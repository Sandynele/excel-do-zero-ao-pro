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1. Navegação Exploratória/1 Navegação Exploratória - Formação Excel - Versão Aluno/"/>
    </mc:Choice>
  </mc:AlternateContent>
  <xr:revisionPtr revIDLastSave="0" documentId="10_ncr:8000_{08B95B92-F904-40C2-9ABE-BA80DCEE0E5C}" xr6:coauthVersionLast="47" xr6:coauthVersionMax="47" xr10:uidLastSave="{00000000-0000-0000-0000-000000000000}"/>
  <bookViews>
    <workbookView xWindow="-120" yWindow="-120" windowWidth="38640" windowHeight="16440" xr2:uid="{94BF6021-92D8-4156-ACB1-1C2121CCEF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I65" i="1"/>
  <c r="H65" i="1"/>
  <c r="G65" i="1"/>
  <c r="F65" i="1"/>
  <c r="H64" i="1"/>
  <c r="F64" i="1"/>
  <c r="O56" i="1"/>
  <c r="O66" i="1" s="1"/>
  <c r="N56" i="1"/>
  <c r="N66" i="1" s="1"/>
  <c r="M56" i="1"/>
  <c r="M66" i="1" s="1"/>
  <c r="L56" i="1"/>
  <c r="L66" i="1" s="1"/>
  <c r="K56" i="1"/>
  <c r="K66" i="1" s="1"/>
  <c r="J56" i="1"/>
  <c r="J66" i="1" s="1"/>
  <c r="I56" i="1"/>
  <c r="I66" i="1" s="1"/>
  <c r="H56" i="1"/>
  <c r="H66" i="1" s="1"/>
  <c r="G56" i="1"/>
  <c r="G66" i="1" s="1"/>
  <c r="F56" i="1"/>
  <c r="F66" i="1" s="1"/>
  <c r="E56" i="1"/>
  <c r="E66" i="1" s="1"/>
  <c r="D56" i="1"/>
  <c r="D66" i="1" s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L28" i="1"/>
  <c r="K28" i="1"/>
  <c r="J28" i="1"/>
  <c r="I28" i="1"/>
  <c r="H28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O27" i="1"/>
  <c r="O65" i="1" s="1"/>
  <c r="N27" i="1"/>
  <c r="N65" i="1" s="1"/>
  <c r="M27" i="1"/>
  <c r="M65" i="1" s="1"/>
  <c r="L27" i="1"/>
  <c r="L65" i="1" s="1"/>
  <c r="K27" i="1"/>
  <c r="K65" i="1" s="1"/>
  <c r="J27" i="1"/>
  <c r="I27" i="1"/>
  <c r="H27" i="1"/>
  <c r="G27" i="1"/>
  <c r="F27" i="1"/>
  <c r="E27" i="1"/>
  <c r="E65" i="1" s="1"/>
  <c r="D27" i="1"/>
  <c r="D65" i="1" s="1"/>
  <c r="P6" i="1"/>
  <c r="P7" i="1"/>
  <c r="P8" i="1"/>
  <c r="P9" i="1"/>
  <c r="P10" i="1"/>
  <c r="P11" i="1"/>
  <c r="O12" i="1"/>
  <c r="O64" i="1" s="1"/>
  <c r="N12" i="1"/>
  <c r="N64" i="1" s="1"/>
  <c r="M12" i="1"/>
  <c r="M64" i="1" s="1"/>
  <c r="L12" i="1"/>
  <c r="L64" i="1" s="1"/>
  <c r="K12" i="1"/>
  <c r="K64" i="1" s="1"/>
  <c r="J12" i="1"/>
  <c r="J64" i="1" s="1"/>
  <c r="I12" i="1"/>
  <c r="I64" i="1" s="1"/>
  <c r="H12" i="1"/>
  <c r="G12" i="1"/>
  <c r="F12" i="1"/>
  <c r="E12" i="1"/>
  <c r="D12" i="1"/>
  <c r="D64" i="1" s="1"/>
  <c r="E57" i="1" l="1"/>
  <c r="F57" i="1"/>
  <c r="G57" i="1"/>
  <c r="J57" i="1"/>
  <c r="N57" i="1"/>
  <c r="O57" i="1"/>
  <c r="L57" i="1"/>
  <c r="H57" i="1"/>
  <c r="I57" i="1"/>
  <c r="M57" i="1"/>
  <c r="K57" i="1"/>
  <c r="D57" i="1"/>
  <c r="P27" i="1"/>
  <c r="P65" i="1" s="1"/>
  <c r="M28" i="1"/>
  <c r="E28" i="1"/>
  <c r="F28" i="1"/>
  <c r="G28" i="1"/>
  <c r="F68" i="1"/>
  <c r="I68" i="1"/>
  <c r="J68" i="1"/>
  <c r="N68" i="1"/>
  <c r="O68" i="1"/>
  <c r="L68" i="1"/>
  <c r="K68" i="1"/>
  <c r="D68" i="1"/>
  <c r="M68" i="1"/>
  <c r="H68" i="1"/>
  <c r="E64" i="1"/>
  <c r="E68" i="1" s="1"/>
  <c r="G64" i="1"/>
  <c r="G68" i="1" s="1"/>
  <c r="P12" i="1"/>
  <c r="P64" i="1" s="1"/>
  <c r="N28" i="1"/>
  <c r="D28" i="1"/>
  <c r="O28" i="1"/>
  <c r="P56" i="1"/>
  <c r="P66" i="1" l="1"/>
  <c r="P68" i="1" s="1"/>
  <c r="P57" i="1"/>
  <c r="P28" i="1"/>
</calcChain>
</file>

<file path=xl/sharedStrings.xml><?xml version="1.0" encoding="utf-8"?>
<sst xmlns="http://schemas.openxmlformats.org/spreadsheetml/2006/main" count="92" uniqueCount="75">
  <si>
    <t>Planilha de Orçamento Pessoal</t>
  </si>
  <si>
    <t>Mês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</si>
  <si>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</si>
  <si>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</si>
  <si>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</si>
  <si>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</si>
  <si>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</si>
  <si>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</si>
  <si>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</si>
  <si>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</si>
  <si>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</si>
  <si>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</si>
  <si>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</si>
  <si>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</si>
  <si>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</si>
  <si>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</si>
  <si>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Aluguel</t>
  </si>
  <si>
    <t>Horas extras</t>
  </si>
  <si>
    <t>13º salário</t>
  </si>
  <si>
    <t>Férias</t>
  </si>
  <si>
    <t>Outros</t>
  </si>
  <si>
    <t>Condomínio</t>
  </si>
  <si>
    <t>Prestação da casa</t>
  </si>
  <si>
    <t>Seguro da casa</t>
  </si>
  <si>
    <t>Empregada Doméstica</t>
  </si>
  <si>
    <t>Saúde</t>
  </si>
  <si>
    <t>Plano de saúde</t>
  </si>
  <si>
    <t>Transporte</t>
  </si>
  <si>
    <t>Prestação do carro</t>
  </si>
  <si>
    <t>Seguro do carro</t>
  </si>
  <si>
    <t>Estacionamento</t>
  </si>
  <si>
    <t>Educação</t>
  </si>
  <si>
    <t>Faculdade</t>
  </si>
  <si>
    <t>Curso</t>
  </si>
  <si>
    <t>Escola</t>
  </si>
  <si>
    <t>IPTU</t>
  </si>
  <si>
    <t>IPVA</t>
  </si>
  <si>
    <t>Luz</t>
  </si>
  <si>
    <t>Água</t>
  </si>
  <si>
    <t>Telefone</t>
  </si>
  <si>
    <t>Telefone Celular</t>
  </si>
  <si>
    <t>Gás</t>
  </si>
  <si>
    <t>Mensalidade TV</t>
  </si>
  <si>
    <t>Internet</t>
  </si>
  <si>
    <t>Moradia</t>
  </si>
  <si>
    <t>Medicamentos</t>
  </si>
  <si>
    <t>Dentista</t>
  </si>
  <si>
    <t>Médico Particular</t>
  </si>
  <si>
    <t>Combustível</t>
  </si>
  <si>
    <t>Público</t>
  </si>
  <si>
    <t>Alimentação</t>
  </si>
  <si>
    <t>Supermercado</t>
  </si>
  <si>
    <t>Feira</t>
  </si>
  <si>
    <t>Padaria</t>
  </si>
  <si>
    <t>Cuidados pessoais</t>
  </si>
  <si>
    <t>Academia</t>
  </si>
  <si>
    <t>Lazer</t>
  </si>
  <si>
    <t>Viagens</t>
  </si>
  <si>
    <t>Cinema/teatro</t>
  </si>
  <si>
    <t>Restaurantes/bares/festas</t>
  </si>
  <si>
    <t>Vestuário</t>
  </si>
  <si>
    <t>Roupas/Calçados/Acessórios</t>
  </si>
  <si>
    <t>Presentes</t>
  </si>
  <si>
    <t>Material escolar</t>
  </si>
  <si>
    <t>Uniforme</t>
  </si>
  <si>
    <t>Oficina Mecânica/Revisão</t>
  </si>
  <si>
    <t>Cabeleireiro/Manicure</t>
  </si>
  <si>
    <t>Total</t>
  </si>
  <si>
    <t>% sobre receita</t>
  </si>
  <si>
    <t>Investimentos</t>
  </si>
  <si>
    <t>Investido</t>
  </si>
  <si>
    <t>Saldo</t>
  </si>
  <si>
    <t>Receita</t>
  </si>
  <si>
    <t>Despesas Fixas</t>
  </si>
  <si>
    <t>Despesas Variáveis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</si>
</sst>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8"/>
      <color theme="1"/>
      <name val="Segoe UI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9E9D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497"/>
        <bgColor indexed="64"/>
      </patternFill>
    </fill>
    <fill>
      <patternFill patternType="solid">
        <fgColor rgb="FF9DD7C5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rgb="FFAFBFE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BFB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2" fillId="2" borderId="0" xfId="0" applyFont="1" applyFill="1"/>
    <xf numFmtId="0" fontId="2" fillId="0" borderId="0" xfId="0" applyFont="1" applyAlignment="1">
      <alignment vertical="distributed"/>
    </xf>
    <xf numFmtId="0" fontId="3" fillId="4" borderId="0" xfId="0" applyFont="1" applyFill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7" borderId="0" xfId="0" applyFont="1" applyFill="1"/>
    <xf numFmtId="0" fontId="3" fillId="8" borderId="0" xfId="0" applyFont="1" applyFill="1" applyAlignment="1">
      <alignment vertical="distributed"/>
    </xf>
    <xf numFmtId="0" fontId="2" fillId="8" borderId="0" xfId="0" applyFont="1" applyFill="1" applyAlignment="1">
      <alignment vertical="distributed"/>
    </xf>
    <xf numFmtId="0" fontId="2" fillId="9" borderId="0" xfId="0" applyFont="1" applyFill="1"/>
    <xf numFmtId="0" fontId="3" fillId="9" borderId="0" xfId="0" applyFont="1" applyFill="1"/>
    <xf numFmtId="0" fontId="3" fillId="10" borderId="0" xfId="0" applyFont="1" applyFill="1"/>
    <xf numFmtId="0" fontId="3" fillId="11" borderId="0" xfId="0" applyFont="1" applyFill="1"/>
    <xf numFmtId="0" fontId="3" fillId="3" borderId="0" xfId="0" applyFont="1" applyFill="1"/>
    <xf numFmtId="0" fontId="4" fillId="0" borderId="0" xfId="0" applyFont="1"/>
    <xf numFmtId="0" fontId="2" fillId="12" borderId="0" xfId="0" applyFont="1" applyFill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13" borderId="0" xfId="0" applyFont="1" applyFill="1"/>
    <xf numFmtId="164" fontId="2" fillId="13" borderId="0" xfId="1" applyNumberFormat="1" applyFont="1" applyFill="1"/>
    <xf numFmtId="164" fontId="2" fillId="13" borderId="0" xfId="0" applyNumberFormat="1" applyFont="1" applyFill="1"/>
    <xf numFmtId="164" fontId="2" fillId="12" borderId="0" xfId="0" applyNumberFormat="1" applyFont="1" applyFill="1"/>
    <xf numFmtId="9" fontId="3" fillId="7" borderId="0" xfId="2" applyFont="1" applyFill="1"/>
    <xf numFmtId="164" fontId="2" fillId="12" borderId="0" xfId="1" applyNumberFormat="1" applyFont="1" applyFill="1"/>
    <xf numFmtId="164" fontId="3" fillId="7" borderId="0" xfId="1" applyNumberFormat="1" applyFont="1" applyFill="1"/>
    <xf numFmtId="164" fontId="3" fillId="8" borderId="0" xfId="1" applyNumberFormat="1" applyFont="1" applyFill="1" applyAlignment="1">
      <alignment vertical="distributed"/>
    </xf>
    <xf numFmtId="164" fontId="2" fillId="0" borderId="0" xfId="1" applyNumberFormat="1" applyFont="1"/>
    <xf numFmtId="164" fontId="3" fillId="9" borderId="0" xfId="1" applyNumberFormat="1" applyFont="1" applyFill="1"/>
    <xf numFmtId="164" fontId="3" fillId="0" borderId="0" xfId="1" applyNumberFormat="1" applyFont="1"/>
    <xf numFmtId="164" fontId="3" fillId="10" borderId="0" xfId="1" applyNumberFormat="1" applyFont="1" applyFill="1"/>
    <xf numFmtId="164" fontId="3" fillId="11" borderId="0" xfId="1" applyNumberFormat="1" applyFont="1" applyFill="1"/>
    <xf numFmtId="9" fontId="3" fillId="9" borderId="0" xfId="2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BFBFB"/>
      <color rgb="FFD9D9D9"/>
      <color rgb="FFAFBFE3"/>
      <color rgb="FFFF6565"/>
      <color rgb="FF9DD7C5"/>
      <color rgb="FFFFE497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0B0C-B020-48FB-9412-1950771EE9E7}">
  <dimension ref="A2:Q71"/>
  <sheetViews>
    <sheetView showGridLines="0" tabSelected="1" workbookViewId="0">
      <selection activeCell="L30" sqref="L30"/>
    </sheetView>
  </sheetViews>
  <sheetFormatPr defaultRowHeight="16.5" x14ac:dyDescent="0.3"/>
  <cols>
    <col min="1" max="1" width="22.140625" style="1" customWidth="1"/>
    <col min="2" max="2" width="19.7109375" style="1" bestFit="1" customWidth="1"/>
    <col min="3" max="3" width="28.85546875" style="1" bestFit="1" customWidth="1"/>
    <col min="4" max="15" width="12.140625" style="1" customWidth="1"/>
    <col min="16" max="16" width="11.140625" style="1" customWidth="1"/>
    <col min="17" max="16384" width="9.140625" style="1"/>
  </cols>
  <sheetData>
    <row r="2" spans="1:17" ht="26.25" x14ac:dyDescent="0.45">
      <c r="A2" s="20" t="s">
        <v>0</v>
      </c>
    </row>
    <row r="4" spans="1:17" s="3" customFormat="1" x14ac:dyDescent="0.3">
      <c r="A4" s="2" t="s">
        <v>1</v>
      </c>
      <c r="B4" s="2"/>
      <c r="C4" s="2"/>
      <c r="D4" s="23" t="s">
        <v>3</v>
      </c>
      <c r="E4" s="23" t="s">
        <v>4</v>
      </c>
      <c r="F4" s="23" t="s">
        <v>5</v>
      </c>
      <c r="G4" s="23" t="s">
        <v>6</v>
      </c>
      <c r="H4" s="23" t="s">
        <v>7</v>
      </c>
      <c r="I4" s="23" t="s">
        <v>8</v>
      </c>
      <c r="J4" s="23" t="s">
        <v>9</v>
      </c>
      <c r="K4" s="23" t="s">
        <v>10</v>
      </c>
      <c r="L4" s="23" t="s">
        <v>11</v>
      </c>
      <c r="M4" s="23" t="s">
        <v>12</v>
      </c>
      <c r="N4" s="23" t="s">
        <v>13</v>
      </c>
      <c r="O4" s="23" t="s">
        <v>14</v>
      </c>
      <c r="P4" s="23" t="s">
        <v>67</v>
      </c>
      <c r="Q4" s="22"/>
    </row>
    <row r="5" spans="1:17" ht="6.75" customHeight="1" x14ac:dyDescent="0.3"/>
    <row r="6" spans="1:17" x14ac:dyDescent="0.3">
      <c r="A6" s="13" t="s">
        <v>2</v>
      </c>
      <c r="B6" s="14"/>
      <c r="C6" s="4" t="s">
        <v>15</v>
      </c>
      <c r="D6" s="25">
        <v>8500</v>
      </c>
      <c r="E6" s="25">
        <v>8500</v>
      </c>
      <c r="F6" s="25">
        <v>8500</v>
      </c>
      <c r="G6" s="25">
        <v>8500</v>
      </c>
      <c r="H6" s="25">
        <v>8500</v>
      </c>
      <c r="I6" s="25">
        <v>8500</v>
      </c>
      <c r="J6" s="25">
        <v>8500</v>
      </c>
      <c r="K6" s="25">
        <v>8500</v>
      </c>
      <c r="L6" s="25">
        <v>8500</v>
      </c>
      <c r="M6" s="25">
        <v>8500</v>
      </c>
      <c r="N6" s="25">
        <v>8500</v>
      </c>
      <c r="O6" s="25">
        <v>8500</v>
      </c>
      <c r="P6" s="26">
        <f t="shared" ref="P6:P11" si="0">SUM(D6:O6)</f>
        <v>102000</v>
      </c>
    </row>
    <row r="7" spans="1:17" x14ac:dyDescent="0.3">
      <c r="A7" s="14"/>
      <c r="B7" s="14"/>
      <c r="C7" s="4" t="s">
        <v>16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7">
        <f t="shared" si="0"/>
        <v>0</v>
      </c>
    </row>
    <row r="8" spans="1:17" x14ac:dyDescent="0.3">
      <c r="A8" s="14"/>
      <c r="B8" s="14"/>
      <c r="C8" s="4" t="s">
        <v>17</v>
      </c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>
        <f t="shared" si="0"/>
        <v>0</v>
      </c>
    </row>
    <row r="9" spans="1:17" x14ac:dyDescent="0.3">
      <c r="A9" s="14"/>
      <c r="B9" s="14"/>
      <c r="C9" s="4" t="s">
        <v>18</v>
      </c>
      <c r="D9" s="21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7">
        <f t="shared" si="0"/>
        <v>0</v>
      </c>
    </row>
    <row r="10" spans="1:17" x14ac:dyDescent="0.3">
      <c r="A10" s="14"/>
      <c r="B10" s="14"/>
      <c r="C10" s="4" t="s">
        <v>19</v>
      </c>
      <c r="D10" s="24"/>
      <c r="E10" s="25"/>
      <c r="F10" s="25"/>
      <c r="G10" s="25"/>
      <c r="H10" s="25">
        <v>14000</v>
      </c>
      <c r="I10" s="25"/>
      <c r="J10" s="25"/>
      <c r="K10" s="25"/>
      <c r="L10" s="25"/>
      <c r="M10" s="25"/>
      <c r="N10" s="25"/>
      <c r="O10" s="25">
        <v>8500</v>
      </c>
      <c r="P10" s="26">
        <f t="shared" si="0"/>
        <v>22500</v>
      </c>
    </row>
    <row r="11" spans="1:17" x14ac:dyDescent="0.3">
      <c r="A11" s="14"/>
      <c r="B11" s="14"/>
      <c r="C11" s="4" t="s">
        <v>20</v>
      </c>
      <c r="D11" s="21"/>
      <c r="E11" s="29">
        <v>2000</v>
      </c>
      <c r="F11" s="29"/>
      <c r="G11" s="29"/>
      <c r="H11" s="29"/>
      <c r="I11" s="29"/>
      <c r="J11" s="29"/>
      <c r="K11" s="29">
        <v>3000</v>
      </c>
      <c r="L11" s="29"/>
      <c r="M11" s="29"/>
      <c r="N11" s="29">
        <v>5000</v>
      </c>
      <c r="O11" s="29"/>
      <c r="P11" s="27">
        <f t="shared" si="0"/>
        <v>10000</v>
      </c>
    </row>
    <row r="12" spans="1:17" x14ac:dyDescent="0.3">
      <c r="A12" s="14"/>
      <c r="B12" s="14"/>
      <c r="C12" s="13" t="s">
        <v>67</v>
      </c>
      <c r="D12" s="31">
        <f>SUM(D6:D11)</f>
        <v>8500</v>
      </c>
      <c r="E12" s="31">
        <f t="shared" ref="E12:P12" si="1">SUM(E6:E11)</f>
        <v>10500</v>
      </c>
      <c r="F12" s="31">
        <f t="shared" si="1"/>
        <v>8500</v>
      </c>
      <c r="G12" s="31">
        <f t="shared" si="1"/>
        <v>8500</v>
      </c>
      <c r="H12" s="31">
        <f t="shared" si="1"/>
        <v>22500</v>
      </c>
      <c r="I12" s="31">
        <f t="shared" si="1"/>
        <v>8500</v>
      </c>
      <c r="J12" s="31">
        <f t="shared" si="1"/>
        <v>8500</v>
      </c>
      <c r="K12" s="31">
        <f t="shared" si="1"/>
        <v>11500</v>
      </c>
      <c r="L12" s="31">
        <f t="shared" si="1"/>
        <v>8500</v>
      </c>
      <c r="M12" s="31">
        <f t="shared" si="1"/>
        <v>8500</v>
      </c>
      <c r="N12" s="31">
        <f t="shared" si="1"/>
        <v>13500</v>
      </c>
      <c r="O12" s="31">
        <f t="shared" si="1"/>
        <v>17000</v>
      </c>
      <c r="P12" s="31">
        <f t="shared" si="1"/>
        <v>134500</v>
      </c>
    </row>
    <row r="13" spans="1:17" ht="8.25" customHeight="1" x14ac:dyDescent="0.3">
      <c r="A13" s="5"/>
      <c r="B13" s="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7" x14ac:dyDescent="0.3">
      <c r="A14" s="11" t="s">
        <v>73</v>
      </c>
      <c r="B14" s="6" t="s">
        <v>44</v>
      </c>
      <c r="C14" s="7" t="s">
        <v>16</v>
      </c>
      <c r="D14" s="25">
        <v>2000</v>
      </c>
      <c r="E14" s="25">
        <v>2000</v>
      </c>
      <c r="F14" s="25">
        <v>2000</v>
      </c>
      <c r="G14" s="25">
        <v>2000</v>
      </c>
      <c r="H14" s="25">
        <v>2000</v>
      </c>
      <c r="I14" s="25">
        <v>2000</v>
      </c>
      <c r="J14" s="25">
        <v>2000</v>
      </c>
      <c r="K14" s="25">
        <v>2000</v>
      </c>
      <c r="L14" s="25">
        <v>2000</v>
      </c>
      <c r="M14" s="25">
        <v>2000</v>
      </c>
      <c r="N14" s="25">
        <v>2000</v>
      </c>
      <c r="O14" s="25">
        <v>2000</v>
      </c>
      <c r="P14" s="25">
        <f t="shared" ref="P14:P26" si="2">SUM(D14:O14)</f>
        <v>24000</v>
      </c>
    </row>
    <row r="15" spans="1:17" x14ac:dyDescent="0.3">
      <c r="A15" s="12"/>
      <c r="B15" s="6"/>
      <c r="C15" s="7" t="s">
        <v>21</v>
      </c>
      <c r="D15" s="29">
        <v>150</v>
      </c>
      <c r="E15" s="29">
        <v>150</v>
      </c>
      <c r="F15" s="29">
        <v>150</v>
      </c>
      <c r="G15" s="29">
        <v>150</v>
      </c>
      <c r="H15" s="29">
        <v>150</v>
      </c>
      <c r="I15" s="29">
        <v>150</v>
      </c>
      <c r="J15" s="29">
        <v>150</v>
      </c>
      <c r="K15" s="29">
        <v>150</v>
      </c>
      <c r="L15" s="29">
        <v>150</v>
      </c>
      <c r="M15" s="29">
        <v>150</v>
      </c>
      <c r="N15" s="29">
        <v>150</v>
      </c>
      <c r="O15" s="29">
        <v>150</v>
      </c>
      <c r="P15" s="29">
        <f t="shared" si="2"/>
        <v>1800</v>
      </c>
    </row>
    <row r="16" spans="1:17" x14ac:dyDescent="0.3">
      <c r="A16" s="12"/>
      <c r="B16" s="6"/>
      <c r="C16" s="7" t="s">
        <v>22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>
        <f t="shared" si="2"/>
        <v>0</v>
      </c>
    </row>
    <row r="17" spans="1:16" x14ac:dyDescent="0.3">
      <c r="A17" s="12"/>
      <c r="B17" s="6"/>
      <c r="C17" s="7" t="s">
        <v>23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>
        <f t="shared" si="2"/>
        <v>0</v>
      </c>
    </row>
    <row r="18" spans="1:16" x14ac:dyDescent="0.3">
      <c r="A18" s="12"/>
      <c r="B18" s="6"/>
      <c r="C18" s="7" t="s">
        <v>24</v>
      </c>
      <c r="D18" s="25">
        <v>100</v>
      </c>
      <c r="E18" s="25">
        <v>100</v>
      </c>
      <c r="F18" s="25">
        <v>100</v>
      </c>
      <c r="G18" s="25">
        <v>100</v>
      </c>
      <c r="H18" s="25">
        <v>100</v>
      </c>
      <c r="I18" s="25">
        <v>100</v>
      </c>
      <c r="J18" s="25">
        <v>100</v>
      </c>
      <c r="K18" s="25">
        <v>100</v>
      </c>
      <c r="L18" s="25">
        <v>100</v>
      </c>
      <c r="M18" s="25">
        <v>100</v>
      </c>
      <c r="N18" s="25">
        <v>100</v>
      </c>
      <c r="O18" s="25">
        <v>100</v>
      </c>
      <c r="P18" s="25">
        <f t="shared" si="2"/>
        <v>1200</v>
      </c>
    </row>
    <row r="19" spans="1:16" x14ac:dyDescent="0.3">
      <c r="A19" s="12"/>
      <c r="B19" s="6"/>
      <c r="C19" s="7" t="s">
        <v>35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>
        <f t="shared" si="2"/>
        <v>0</v>
      </c>
    </row>
    <row r="20" spans="1:16" x14ac:dyDescent="0.3">
      <c r="A20" s="12"/>
      <c r="B20" s="6" t="s">
        <v>25</v>
      </c>
      <c r="C20" s="7" t="s">
        <v>26</v>
      </c>
      <c r="D20" s="25">
        <v>500</v>
      </c>
      <c r="E20" s="25">
        <v>500</v>
      </c>
      <c r="F20" s="25">
        <v>500</v>
      </c>
      <c r="G20" s="25">
        <v>500</v>
      </c>
      <c r="H20" s="25">
        <v>500</v>
      </c>
      <c r="I20" s="25">
        <v>500</v>
      </c>
      <c r="J20" s="25">
        <v>500</v>
      </c>
      <c r="K20" s="25">
        <v>500</v>
      </c>
      <c r="L20" s="25">
        <v>500</v>
      </c>
      <c r="M20" s="25">
        <v>500</v>
      </c>
      <c r="N20" s="25">
        <v>500</v>
      </c>
      <c r="O20" s="25">
        <v>500</v>
      </c>
      <c r="P20" s="25">
        <f t="shared" si="2"/>
        <v>6000</v>
      </c>
    </row>
    <row r="21" spans="1:16" x14ac:dyDescent="0.3">
      <c r="A21" s="12"/>
      <c r="B21" s="6" t="s">
        <v>27</v>
      </c>
      <c r="C21" s="7" t="s">
        <v>28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>
        <f t="shared" si="2"/>
        <v>0</v>
      </c>
    </row>
    <row r="22" spans="1:16" x14ac:dyDescent="0.3">
      <c r="A22" s="12"/>
      <c r="B22" s="6"/>
      <c r="C22" s="7" t="s">
        <v>29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>
        <f t="shared" si="2"/>
        <v>0</v>
      </c>
    </row>
    <row r="23" spans="1:16" x14ac:dyDescent="0.3">
      <c r="A23" s="12"/>
      <c r="B23" s="6"/>
      <c r="C23" s="7" t="s">
        <v>36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>
        <f t="shared" si="2"/>
        <v>0</v>
      </c>
    </row>
    <row r="24" spans="1:16" x14ac:dyDescent="0.3">
      <c r="A24" s="12"/>
      <c r="B24" s="6" t="s">
        <v>31</v>
      </c>
      <c r="C24" s="7" t="s">
        <v>34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>
        <f t="shared" si="2"/>
        <v>0</v>
      </c>
    </row>
    <row r="25" spans="1:16" x14ac:dyDescent="0.3">
      <c r="A25" s="12"/>
      <c r="B25" s="6"/>
      <c r="C25" s="7" t="s">
        <v>32</v>
      </c>
      <c r="D25" s="29">
        <v>800</v>
      </c>
      <c r="E25" s="29">
        <v>800</v>
      </c>
      <c r="F25" s="29">
        <v>800</v>
      </c>
      <c r="G25" s="29">
        <v>800</v>
      </c>
      <c r="H25" s="29">
        <v>800</v>
      </c>
      <c r="I25" s="29">
        <v>800</v>
      </c>
      <c r="J25" s="29">
        <v>800</v>
      </c>
      <c r="K25" s="29">
        <v>800</v>
      </c>
      <c r="L25" s="29">
        <v>800</v>
      </c>
      <c r="M25" s="29">
        <v>800</v>
      </c>
      <c r="N25" s="29">
        <v>800</v>
      </c>
      <c r="O25" s="29">
        <v>800</v>
      </c>
      <c r="P25" s="29">
        <f t="shared" si="2"/>
        <v>9600</v>
      </c>
    </row>
    <row r="26" spans="1:16" x14ac:dyDescent="0.3">
      <c r="A26" s="12"/>
      <c r="B26" s="6"/>
      <c r="C26" s="7" t="s">
        <v>33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>
        <f t="shared" si="2"/>
        <v>0</v>
      </c>
    </row>
    <row r="27" spans="1:16" x14ac:dyDescent="0.3">
      <c r="A27" s="12"/>
      <c r="B27" s="12"/>
      <c r="C27" s="11" t="s">
        <v>67</v>
      </c>
      <c r="D27" s="30">
        <f>SUM(D14:D26)</f>
        <v>3550</v>
      </c>
      <c r="E27" s="30">
        <f t="shared" ref="E27:P27" si="3">SUM(E14:E26)</f>
        <v>3550</v>
      </c>
      <c r="F27" s="30">
        <f t="shared" si="3"/>
        <v>3550</v>
      </c>
      <c r="G27" s="30">
        <f t="shared" si="3"/>
        <v>3550</v>
      </c>
      <c r="H27" s="30">
        <f t="shared" si="3"/>
        <v>3550</v>
      </c>
      <c r="I27" s="30">
        <f t="shared" si="3"/>
        <v>3550</v>
      </c>
      <c r="J27" s="30">
        <f t="shared" si="3"/>
        <v>3550</v>
      </c>
      <c r="K27" s="30">
        <f t="shared" si="3"/>
        <v>3550</v>
      </c>
      <c r="L27" s="30">
        <f t="shared" si="3"/>
        <v>3550</v>
      </c>
      <c r="M27" s="30">
        <f t="shared" si="3"/>
        <v>3550</v>
      </c>
      <c r="N27" s="30">
        <f t="shared" si="3"/>
        <v>3550</v>
      </c>
      <c r="O27" s="30">
        <f t="shared" si="3"/>
        <v>3550</v>
      </c>
      <c r="P27" s="30">
        <f t="shared" si="3"/>
        <v>42600</v>
      </c>
    </row>
    <row r="28" spans="1:16" x14ac:dyDescent="0.3">
      <c r="A28" s="11"/>
      <c r="B28" s="12"/>
      <c r="C28" s="11" t="s">
        <v>68</v>
      </c>
      <c r="D28" s="28">
        <f>D27/D12</f>
        <v>0.41764705882352943</v>
      </c>
      <c r="E28" s="28">
        <f t="shared" ref="E28:P28" si="4">E27/E12</f>
        <v>0.33809523809523812</v>
      </c>
      <c r="F28" s="28">
        <f t="shared" si="4"/>
        <v>0.41764705882352943</v>
      </c>
      <c r="G28" s="28">
        <f t="shared" si="4"/>
        <v>0.41764705882352943</v>
      </c>
      <c r="H28" s="28">
        <f t="shared" si="4"/>
        <v>0.15777777777777777</v>
      </c>
      <c r="I28" s="28">
        <f t="shared" si="4"/>
        <v>0.41764705882352943</v>
      </c>
      <c r="J28" s="28">
        <f t="shared" si="4"/>
        <v>0.41764705882352943</v>
      </c>
      <c r="K28" s="28">
        <f t="shared" si="4"/>
        <v>0.30869565217391304</v>
      </c>
      <c r="L28" s="28">
        <f t="shared" si="4"/>
        <v>0.41764705882352943</v>
      </c>
      <c r="M28" s="28">
        <f t="shared" si="4"/>
        <v>0.41764705882352943</v>
      </c>
      <c r="N28" s="28">
        <f t="shared" si="4"/>
        <v>0.26296296296296295</v>
      </c>
      <c r="O28" s="28">
        <f t="shared" si="4"/>
        <v>0.20882352941176471</v>
      </c>
      <c r="P28" s="28">
        <f t="shared" si="4"/>
        <v>0.31672862453531597</v>
      </c>
    </row>
    <row r="29" spans="1:16" ht="6" customHeight="1" x14ac:dyDescent="0.3">
      <c r="A29" s="3"/>
      <c r="B29" s="3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x14ac:dyDescent="0.3">
      <c r="A30" s="16" t="s">
        <v>74</v>
      </c>
      <c r="B30" s="19" t="s">
        <v>44</v>
      </c>
      <c r="C30" s="8" t="s">
        <v>37</v>
      </c>
      <c r="D30" s="25">
        <v>250</v>
      </c>
      <c r="E30" s="25">
        <v>250</v>
      </c>
      <c r="F30" s="25">
        <v>250</v>
      </c>
      <c r="G30" s="25">
        <v>250</v>
      </c>
      <c r="H30" s="25">
        <v>250</v>
      </c>
      <c r="I30" s="25">
        <v>250</v>
      </c>
      <c r="J30" s="25">
        <v>250</v>
      </c>
      <c r="K30" s="25">
        <v>250</v>
      </c>
      <c r="L30" s="25">
        <v>250</v>
      </c>
      <c r="M30" s="25">
        <v>250</v>
      </c>
      <c r="N30" s="25">
        <v>250</v>
      </c>
      <c r="O30" s="25">
        <v>250</v>
      </c>
      <c r="P30" s="25">
        <f t="shared" ref="P30:P55" si="5">SUM(D30:O30)</f>
        <v>3000</v>
      </c>
    </row>
    <row r="31" spans="1:16" x14ac:dyDescent="0.3">
      <c r="A31" s="16"/>
      <c r="B31" s="19"/>
      <c r="C31" s="8" t="s">
        <v>38</v>
      </c>
      <c r="D31" s="29">
        <v>50</v>
      </c>
      <c r="E31" s="29">
        <v>50</v>
      </c>
      <c r="F31" s="29">
        <v>50</v>
      </c>
      <c r="G31" s="29">
        <v>50</v>
      </c>
      <c r="H31" s="29">
        <v>50</v>
      </c>
      <c r="I31" s="29">
        <v>50</v>
      </c>
      <c r="J31" s="29">
        <v>50</v>
      </c>
      <c r="K31" s="29">
        <v>50</v>
      </c>
      <c r="L31" s="29">
        <v>50</v>
      </c>
      <c r="M31" s="29">
        <v>50</v>
      </c>
      <c r="N31" s="29">
        <v>50</v>
      </c>
      <c r="O31" s="29">
        <v>50</v>
      </c>
      <c r="P31" s="29">
        <f t="shared" si="5"/>
        <v>600</v>
      </c>
    </row>
    <row r="32" spans="1:16" x14ac:dyDescent="0.3">
      <c r="A32" s="15"/>
      <c r="B32" s="19"/>
      <c r="C32" s="8" t="s">
        <v>39</v>
      </c>
      <c r="D32" s="25">
        <v>100</v>
      </c>
      <c r="E32" s="25">
        <v>100</v>
      </c>
      <c r="F32" s="25">
        <v>100</v>
      </c>
      <c r="G32" s="25">
        <v>100</v>
      </c>
      <c r="H32" s="25">
        <v>100</v>
      </c>
      <c r="I32" s="25">
        <v>100</v>
      </c>
      <c r="J32" s="25">
        <v>100</v>
      </c>
      <c r="K32" s="25">
        <v>100</v>
      </c>
      <c r="L32" s="25">
        <v>100</v>
      </c>
      <c r="M32" s="25">
        <v>100</v>
      </c>
      <c r="N32" s="25">
        <v>100</v>
      </c>
      <c r="O32" s="25">
        <v>100</v>
      </c>
      <c r="P32" s="25">
        <f t="shared" si="5"/>
        <v>1200</v>
      </c>
    </row>
    <row r="33" spans="1:16" x14ac:dyDescent="0.3">
      <c r="A33" s="15"/>
      <c r="B33" s="19"/>
      <c r="C33" s="8" t="s">
        <v>40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>
        <f t="shared" si="5"/>
        <v>0</v>
      </c>
    </row>
    <row r="34" spans="1:16" x14ac:dyDescent="0.3">
      <c r="A34" s="15"/>
      <c r="B34" s="19"/>
      <c r="C34" s="8" t="s">
        <v>41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>
        <f t="shared" si="5"/>
        <v>0</v>
      </c>
    </row>
    <row r="35" spans="1:16" x14ac:dyDescent="0.3">
      <c r="A35" s="15"/>
      <c r="B35" s="19"/>
      <c r="C35" s="8" t="s">
        <v>42</v>
      </c>
      <c r="D35" s="29">
        <v>50</v>
      </c>
      <c r="E35" s="29">
        <v>50</v>
      </c>
      <c r="F35" s="29">
        <v>50</v>
      </c>
      <c r="G35" s="29">
        <v>50</v>
      </c>
      <c r="H35" s="29">
        <v>50</v>
      </c>
      <c r="I35" s="29">
        <v>50</v>
      </c>
      <c r="J35" s="29">
        <v>50</v>
      </c>
      <c r="K35" s="29">
        <v>50</v>
      </c>
      <c r="L35" s="29">
        <v>50</v>
      </c>
      <c r="M35" s="29">
        <v>50</v>
      </c>
      <c r="N35" s="29">
        <v>50</v>
      </c>
      <c r="O35" s="29">
        <v>50</v>
      </c>
      <c r="P35" s="29">
        <f t="shared" si="5"/>
        <v>600</v>
      </c>
    </row>
    <row r="36" spans="1:16" x14ac:dyDescent="0.3">
      <c r="A36" s="15"/>
      <c r="B36" s="19"/>
      <c r="C36" s="8" t="s">
        <v>43</v>
      </c>
      <c r="D36" s="25">
        <v>150</v>
      </c>
      <c r="E36" s="25">
        <v>150</v>
      </c>
      <c r="F36" s="25">
        <v>150</v>
      </c>
      <c r="G36" s="25">
        <v>150</v>
      </c>
      <c r="H36" s="25">
        <v>150</v>
      </c>
      <c r="I36" s="25">
        <v>150</v>
      </c>
      <c r="J36" s="25">
        <v>150</v>
      </c>
      <c r="K36" s="25">
        <v>150</v>
      </c>
      <c r="L36" s="25">
        <v>150</v>
      </c>
      <c r="M36" s="25">
        <v>150</v>
      </c>
      <c r="N36" s="25">
        <v>150</v>
      </c>
      <c r="O36" s="25">
        <v>150</v>
      </c>
      <c r="P36" s="25">
        <f t="shared" si="5"/>
        <v>1800</v>
      </c>
    </row>
    <row r="37" spans="1:16" x14ac:dyDescent="0.3">
      <c r="A37" s="15"/>
      <c r="B37" s="19" t="s">
        <v>25</v>
      </c>
      <c r="C37" s="8" t="s">
        <v>45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>
        <f t="shared" si="5"/>
        <v>0</v>
      </c>
    </row>
    <row r="38" spans="1:16" x14ac:dyDescent="0.3">
      <c r="A38" s="15"/>
      <c r="B38" s="19"/>
      <c r="C38" s="8" t="s">
        <v>46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>
        <f t="shared" si="5"/>
        <v>0</v>
      </c>
    </row>
    <row r="39" spans="1:16" x14ac:dyDescent="0.3">
      <c r="A39" s="15"/>
      <c r="B39" s="19"/>
      <c r="C39" s="8" t="s">
        <v>47</v>
      </c>
      <c r="D39" s="29"/>
      <c r="E39" s="29"/>
      <c r="F39" s="29"/>
      <c r="G39" s="29"/>
      <c r="H39" s="29">
        <v>300</v>
      </c>
      <c r="I39" s="29"/>
      <c r="J39" s="29"/>
      <c r="K39" s="29"/>
      <c r="L39" s="29"/>
      <c r="M39" s="29">
        <v>500</v>
      </c>
      <c r="N39" s="29"/>
      <c r="O39" s="29"/>
      <c r="P39" s="29">
        <f t="shared" si="5"/>
        <v>800</v>
      </c>
    </row>
    <row r="40" spans="1:16" x14ac:dyDescent="0.3">
      <c r="A40" s="15"/>
      <c r="B40" s="19" t="s">
        <v>27</v>
      </c>
      <c r="C40" s="8" t="s">
        <v>49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>
        <f t="shared" si="5"/>
        <v>0</v>
      </c>
    </row>
    <row r="41" spans="1:16" x14ac:dyDescent="0.3">
      <c r="A41" s="15"/>
      <c r="B41" s="19"/>
      <c r="C41" s="8" t="s">
        <v>48</v>
      </c>
      <c r="D41" s="29">
        <v>250</v>
      </c>
      <c r="E41" s="29"/>
      <c r="F41" s="29"/>
      <c r="G41" s="29">
        <v>350</v>
      </c>
      <c r="H41" s="29"/>
      <c r="I41" s="29"/>
      <c r="J41" s="29"/>
      <c r="K41" s="29">
        <v>500</v>
      </c>
      <c r="L41" s="29">
        <v>500</v>
      </c>
      <c r="M41" s="29">
        <v>600</v>
      </c>
      <c r="N41" s="29"/>
      <c r="O41" s="29"/>
      <c r="P41" s="29">
        <f t="shared" si="5"/>
        <v>2200</v>
      </c>
    </row>
    <row r="42" spans="1:16" x14ac:dyDescent="0.3">
      <c r="A42" s="15"/>
      <c r="B42" s="19"/>
      <c r="C42" s="8" t="s">
        <v>30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>
        <f t="shared" si="5"/>
        <v>0</v>
      </c>
    </row>
    <row r="43" spans="1:16" x14ac:dyDescent="0.3">
      <c r="A43" s="15"/>
      <c r="B43" s="19"/>
      <c r="C43" s="8" t="s">
        <v>65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>
        <f t="shared" si="5"/>
        <v>0</v>
      </c>
    </row>
    <row r="44" spans="1:16" x14ac:dyDescent="0.3">
      <c r="A44" s="15"/>
      <c r="B44" s="19" t="s">
        <v>50</v>
      </c>
      <c r="C44" s="8" t="s">
        <v>51</v>
      </c>
      <c r="D44" s="25">
        <v>1000</v>
      </c>
      <c r="E44" s="25">
        <v>1000</v>
      </c>
      <c r="F44" s="25">
        <v>1000</v>
      </c>
      <c r="G44" s="25">
        <v>1000</v>
      </c>
      <c r="H44" s="25">
        <v>1000</v>
      </c>
      <c r="I44" s="25">
        <v>1000</v>
      </c>
      <c r="J44" s="25">
        <v>1000</v>
      </c>
      <c r="K44" s="25">
        <v>1000</v>
      </c>
      <c r="L44" s="25">
        <v>1000</v>
      </c>
      <c r="M44" s="25">
        <v>1000</v>
      </c>
      <c r="N44" s="25">
        <v>1000</v>
      </c>
      <c r="O44" s="25">
        <v>1000</v>
      </c>
      <c r="P44" s="25">
        <f t="shared" si="5"/>
        <v>12000</v>
      </c>
    </row>
    <row r="45" spans="1:16" x14ac:dyDescent="0.3">
      <c r="A45" s="15"/>
      <c r="B45" s="19"/>
      <c r="C45" s="8" t="s">
        <v>52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>
        <f t="shared" si="5"/>
        <v>0</v>
      </c>
    </row>
    <row r="46" spans="1:16" x14ac:dyDescent="0.3">
      <c r="A46" s="15"/>
      <c r="B46" s="19"/>
      <c r="C46" s="8" t="s">
        <v>53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>
        <f t="shared" si="5"/>
        <v>0</v>
      </c>
    </row>
    <row r="47" spans="1:16" x14ac:dyDescent="0.3">
      <c r="A47" s="15"/>
      <c r="B47" s="19" t="s">
        <v>54</v>
      </c>
      <c r="C47" s="8" t="s">
        <v>66</v>
      </c>
      <c r="D47" s="29">
        <v>35</v>
      </c>
      <c r="E47" s="29">
        <v>35</v>
      </c>
      <c r="F47" s="29">
        <v>35</v>
      </c>
      <c r="G47" s="29">
        <v>35</v>
      </c>
      <c r="H47" s="29">
        <v>35</v>
      </c>
      <c r="I47" s="29">
        <v>35</v>
      </c>
      <c r="J47" s="29">
        <v>35</v>
      </c>
      <c r="K47" s="29">
        <v>35</v>
      </c>
      <c r="L47" s="29">
        <v>35</v>
      </c>
      <c r="M47" s="29">
        <v>35</v>
      </c>
      <c r="N47" s="29">
        <v>35</v>
      </c>
      <c r="O47" s="29">
        <v>35</v>
      </c>
      <c r="P47" s="29">
        <f t="shared" si="5"/>
        <v>420</v>
      </c>
    </row>
    <row r="48" spans="1:16" x14ac:dyDescent="0.3">
      <c r="A48" s="15"/>
      <c r="B48" s="19"/>
      <c r="C48" s="8" t="s">
        <v>55</v>
      </c>
      <c r="D48" s="25">
        <v>50</v>
      </c>
      <c r="E48" s="25">
        <v>50</v>
      </c>
      <c r="F48" s="25">
        <v>50</v>
      </c>
      <c r="G48" s="25">
        <v>50</v>
      </c>
      <c r="H48" s="25">
        <v>50</v>
      </c>
      <c r="I48" s="25">
        <v>50</v>
      </c>
      <c r="J48" s="25">
        <v>50</v>
      </c>
      <c r="K48" s="25">
        <v>50</v>
      </c>
      <c r="L48" s="25">
        <v>50</v>
      </c>
      <c r="M48" s="25">
        <v>50</v>
      </c>
      <c r="N48" s="25">
        <v>50</v>
      </c>
      <c r="O48" s="25">
        <v>50</v>
      </c>
      <c r="P48" s="25">
        <f t="shared" si="5"/>
        <v>600</v>
      </c>
    </row>
    <row r="49" spans="1:17" x14ac:dyDescent="0.3">
      <c r="A49" s="15"/>
      <c r="B49" s="19" t="s">
        <v>31</v>
      </c>
      <c r="C49" s="8" t="s">
        <v>63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>
        <f t="shared" si="5"/>
        <v>0</v>
      </c>
    </row>
    <row r="50" spans="1:17" x14ac:dyDescent="0.3">
      <c r="A50" s="15"/>
      <c r="B50" s="19"/>
      <c r="C50" s="8" t="s">
        <v>64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>
        <f t="shared" si="5"/>
        <v>0</v>
      </c>
    </row>
    <row r="51" spans="1:17" x14ac:dyDescent="0.3">
      <c r="A51" s="15"/>
      <c r="B51" s="19" t="s">
        <v>56</v>
      </c>
      <c r="C51" s="8" t="s">
        <v>57</v>
      </c>
      <c r="D51" s="29"/>
      <c r="E51" s="29"/>
      <c r="F51" s="29"/>
      <c r="G51" s="29">
        <v>3000</v>
      </c>
      <c r="H51" s="29"/>
      <c r="I51" s="29"/>
      <c r="J51" s="29"/>
      <c r="K51" s="29"/>
      <c r="L51" s="29"/>
      <c r="M51" s="29"/>
      <c r="N51" s="29"/>
      <c r="O51" s="29"/>
      <c r="P51" s="29">
        <f t="shared" si="5"/>
        <v>3000</v>
      </c>
    </row>
    <row r="52" spans="1:17" x14ac:dyDescent="0.3">
      <c r="A52" s="15"/>
      <c r="B52" s="19"/>
      <c r="C52" s="8" t="s">
        <v>58</v>
      </c>
      <c r="D52" s="25">
        <v>50</v>
      </c>
      <c r="E52" s="25"/>
      <c r="F52" s="25"/>
      <c r="G52" s="25"/>
      <c r="H52" s="25"/>
      <c r="I52" s="25"/>
      <c r="J52" s="25"/>
      <c r="K52" s="25">
        <v>200</v>
      </c>
      <c r="L52" s="25"/>
      <c r="M52" s="25"/>
      <c r="N52" s="25"/>
      <c r="O52" s="25"/>
      <c r="P52" s="25">
        <f t="shared" si="5"/>
        <v>250</v>
      </c>
    </row>
    <row r="53" spans="1:17" x14ac:dyDescent="0.3">
      <c r="A53" s="15"/>
      <c r="B53" s="19"/>
      <c r="C53" s="8" t="s">
        <v>59</v>
      </c>
      <c r="D53" s="29"/>
      <c r="E53" s="29"/>
      <c r="F53" s="29">
        <v>150</v>
      </c>
      <c r="G53" s="29"/>
      <c r="H53" s="29"/>
      <c r="I53" s="29">
        <v>200</v>
      </c>
      <c r="J53" s="29"/>
      <c r="K53" s="29"/>
      <c r="L53" s="29"/>
      <c r="M53" s="29">
        <v>600</v>
      </c>
      <c r="N53" s="29"/>
      <c r="O53" s="29"/>
      <c r="P53" s="29">
        <f t="shared" si="5"/>
        <v>950</v>
      </c>
    </row>
    <row r="54" spans="1:17" x14ac:dyDescent="0.3">
      <c r="A54" s="15"/>
      <c r="B54" s="19" t="s">
        <v>60</v>
      </c>
      <c r="C54" s="8" t="s">
        <v>61</v>
      </c>
      <c r="D54" s="25"/>
      <c r="E54" s="25"/>
      <c r="F54" s="25"/>
      <c r="G54" s="25"/>
      <c r="H54" s="25">
        <v>600</v>
      </c>
      <c r="I54" s="25"/>
      <c r="J54" s="25"/>
      <c r="K54" s="25"/>
      <c r="L54" s="25">
        <v>800</v>
      </c>
      <c r="M54" s="25"/>
      <c r="N54" s="25"/>
      <c r="O54" s="25">
        <v>600</v>
      </c>
      <c r="P54" s="25">
        <f t="shared" si="5"/>
        <v>2000</v>
      </c>
    </row>
    <row r="55" spans="1:17" x14ac:dyDescent="0.3">
      <c r="A55" s="15"/>
      <c r="B55" s="19" t="s">
        <v>20</v>
      </c>
      <c r="C55" s="8" t="s">
        <v>62</v>
      </c>
      <c r="D55" s="29"/>
      <c r="E55" s="29"/>
      <c r="F55" s="29"/>
      <c r="G55" s="29">
        <v>300</v>
      </c>
      <c r="H55" s="29"/>
      <c r="I55" s="29"/>
      <c r="J55" s="29">
        <v>150</v>
      </c>
      <c r="K55" s="29"/>
      <c r="L55" s="29"/>
      <c r="M55" s="29"/>
      <c r="N55" s="29">
        <v>10</v>
      </c>
      <c r="O55" s="29"/>
      <c r="P55" s="29">
        <f t="shared" si="5"/>
        <v>460</v>
      </c>
    </row>
    <row r="56" spans="1:17" x14ac:dyDescent="0.3">
      <c r="A56" s="15"/>
      <c r="B56" s="15"/>
      <c r="C56" s="16" t="s">
        <v>67</v>
      </c>
      <c r="D56" s="33">
        <f>SUM(D30:D55)</f>
        <v>1985</v>
      </c>
      <c r="E56" s="33">
        <f t="shared" ref="E56:P56" si="6">SUM(E30:E55)</f>
        <v>1685</v>
      </c>
      <c r="F56" s="33">
        <f t="shared" si="6"/>
        <v>1835</v>
      </c>
      <c r="G56" s="33">
        <f t="shared" si="6"/>
        <v>5335</v>
      </c>
      <c r="H56" s="33">
        <f t="shared" si="6"/>
        <v>2585</v>
      </c>
      <c r="I56" s="33">
        <f t="shared" si="6"/>
        <v>1885</v>
      </c>
      <c r="J56" s="33">
        <f t="shared" si="6"/>
        <v>1835</v>
      </c>
      <c r="K56" s="33">
        <f t="shared" si="6"/>
        <v>2385</v>
      </c>
      <c r="L56" s="33">
        <f t="shared" si="6"/>
        <v>2985</v>
      </c>
      <c r="M56" s="33">
        <f t="shared" si="6"/>
        <v>3385</v>
      </c>
      <c r="N56" s="33">
        <f t="shared" si="6"/>
        <v>1695</v>
      </c>
      <c r="O56" s="33">
        <f t="shared" si="6"/>
        <v>2285</v>
      </c>
      <c r="P56" s="33">
        <f t="shared" si="6"/>
        <v>29880</v>
      </c>
      <c r="Q56" s="3"/>
    </row>
    <row r="57" spans="1:17" x14ac:dyDescent="0.3">
      <c r="A57" s="15"/>
      <c r="B57" s="15"/>
      <c r="C57" s="16" t="s">
        <v>68</v>
      </c>
      <c r="D57" s="37">
        <f>D56/D12</f>
        <v>0.23352941176470587</v>
      </c>
      <c r="E57" s="37">
        <f t="shared" ref="E57:P57" si="7">E56/E12</f>
        <v>0.16047619047619047</v>
      </c>
      <c r="F57" s="37">
        <f t="shared" si="7"/>
        <v>0.21588235294117647</v>
      </c>
      <c r="G57" s="37">
        <f t="shared" si="7"/>
        <v>0.62764705882352945</v>
      </c>
      <c r="H57" s="37">
        <f t="shared" si="7"/>
        <v>0.11488888888888889</v>
      </c>
      <c r="I57" s="37">
        <f t="shared" si="7"/>
        <v>0.22176470588235295</v>
      </c>
      <c r="J57" s="37">
        <f t="shared" si="7"/>
        <v>0.21588235294117647</v>
      </c>
      <c r="K57" s="37">
        <f t="shared" si="7"/>
        <v>0.2073913043478261</v>
      </c>
      <c r="L57" s="37">
        <f t="shared" si="7"/>
        <v>0.35117647058823531</v>
      </c>
      <c r="M57" s="37">
        <f t="shared" si="7"/>
        <v>0.39823529411764708</v>
      </c>
      <c r="N57" s="37">
        <f t="shared" si="7"/>
        <v>0.12555555555555556</v>
      </c>
      <c r="O57" s="37">
        <f t="shared" si="7"/>
        <v>0.13441176470588234</v>
      </c>
      <c r="P57" s="37">
        <f t="shared" si="7"/>
        <v>0.22215613382899629</v>
      </c>
      <c r="Q57" s="3"/>
    </row>
    <row r="58" spans="1:17" ht="8.25" customHeight="1" x14ac:dyDescent="0.3">
      <c r="B58" s="3"/>
      <c r="C58" s="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"/>
    </row>
    <row r="59" spans="1:17" x14ac:dyDescent="0.3">
      <c r="A59" s="17" t="s">
        <v>69</v>
      </c>
      <c r="B59" s="17"/>
      <c r="C59" s="9" t="s">
        <v>70</v>
      </c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7" x14ac:dyDescent="0.3">
      <c r="A60" s="17"/>
      <c r="B60" s="17"/>
      <c r="C60" s="9" t="s">
        <v>20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</row>
    <row r="61" spans="1:17" x14ac:dyDescent="0.3">
      <c r="A61" s="17"/>
      <c r="B61" s="17"/>
      <c r="C61" s="17" t="s">
        <v>67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7" x14ac:dyDescent="0.3">
      <c r="A62" s="17"/>
      <c r="B62" s="17"/>
      <c r="C62" s="17" t="s">
        <v>68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7" ht="7.5" customHeight="1" x14ac:dyDescent="0.3">
      <c r="A63" s="3"/>
      <c r="B63" s="3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1:17" x14ac:dyDescent="0.3">
      <c r="A64" s="18" t="s">
        <v>71</v>
      </c>
      <c r="B64" s="18"/>
      <c r="C64" s="10" t="s">
        <v>72</v>
      </c>
      <c r="D64" s="25">
        <f>D12</f>
        <v>8500</v>
      </c>
      <c r="E64" s="25">
        <f t="shared" ref="E64:P64" si="8">E12</f>
        <v>10500</v>
      </c>
      <c r="F64" s="25">
        <f t="shared" si="8"/>
        <v>8500</v>
      </c>
      <c r="G64" s="25">
        <f t="shared" si="8"/>
        <v>8500</v>
      </c>
      <c r="H64" s="25">
        <f t="shared" si="8"/>
        <v>22500</v>
      </c>
      <c r="I64" s="25">
        <f t="shared" si="8"/>
        <v>8500</v>
      </c>
      <c r="J64" s="25">
        <f t="shared" si="8"/>
        <v>8500</v>
      </c>
      <c r="K64" s="25">
        <f t="shared" si="8"/>
        <v>11500</v>
      </c>
      <c r="L64" s="25">
        <f t="shared" si="8"/>
        <v>8500</v>
      </c>
      <c r="M64" s="25">
        <f t="shared" si="8"/>
        <v>8500</v>
      </c>
      <c r="N64" s="25">
        <f t="shared" si="8"/>
        <v>13500</v>
      </c>
      <c r="O64" s="25">
        <f t="shared" si="8"/>
        <v>17000</v>
      </c>
      <c r="P64" s="25">
        <f t="shared" si="8"/>
        <v>134500</v>
      </c>
    </row>
    <row r="65" spans="1:16" x14ac:dyDescent="0.3">
      <c r="A65" s="18"/>
      <c r="B65" s="18"/>
      <c r="C65" s="10" t="s">
        <v>73</v>
      </c>
      <c r="D65" s="29">
        <f>D27</f>
        <v>3550</v>
      </c>
      <c r="E65" s="29">
        <f t="shared" ref="E65:P65" si="9">E27</f>
        <v>3550</v>
      </c>
      <c r="F65" s="29">
        <f t="shared" si="9"/>
        <v>3550</v>
      </c>
      <c r="G65" s="29">
        <f t="shared" si="9"/>
        <v>3550</v>
      </c>
      <c r="H65" s="29">
        <f t="shared" si="9"/>
        <v>3550</v>
      </c>
      <c r="I65" s="29">
        <f t="shared" si="9"/>
        <v>3550</v>
      </c>
      <c r="J65" s="29">
        <f t="shared" si="9"/>
        <v>3550</v>
      </c>
      <c r="K65" s="29">
        <f t="shared" si="9"/>
        <v>3550</v>
      </c>
      <c r="L65" s="29">
        <f t="shared" si="9"/>
        <v>3550</v>
      </c>
      <c r="M65" s="29">
        <f t="shared" si="9"/>
        <v>3550</v>
      </c>
      <c r="N65" s="29">
        <f t="shared" si="9"/>
        <v>3550</v>
      </c>
      <c r="O65" s="29">
        <f t="shared" si="9"/>
        <v>3550</v>
      </c>
      <c r="P65" s="29">
        <f t="shared" si="9"/>
        <v>42600</v>
      </c>
    </row>
    <row r="66" spans="1:16" x14ac:dyDescent="0.3">
      <c r="A66" s="18"/>
      <c r="B66" s="18"/>
      <c r="C66" s="10" t="s">
        <v>74</v>
      </c>
      <c r="D66" s="25">
        <f>D56</f>
        <v>1985</v>
      </c>
      <c r="E66" s="25">
        <f t="shared" ref="E66:P66" si="10">E56</f>
        <v>1685</v>
      </c>
      <c r="F66" s="25">
        <f t="shared" si="10"/>
        <v>1835</v>
      </c>
      <c r="G66" s="25">
        <f t="shared" si="10"/>
        <v>5335</v>
      </c>
      <c r="H66" s="25">
        <f t="shared" si="10"/>
        <v>2585</v>
      </c>
      <c r="I66" s="25">
        <f t="shared" si="10"/>
        <v>1885</v>
      </c>
      <c r="J66" s="25">
        <f t="shared" si="10"/>
        <v>1835</v>
      </c>
      <c r="K66" s="25">
        <f t="shared" si="10"/>
        <v>2385</v>
      </c>
      <c r="L66" s="25">
        <f t="shared" si="10"/>
        <v>2985</v>
      </c>
      <c r="M66" s="25">
        <f t="shared" si="10"/>
        <v>3385</v>
      </c>
      <c r="N66" s="25">
        <f t="shared" si="10"/>
        <v>1695</v>
      </c>
      <c r="O66" s="25">
        <f t="shared" si="10"/>
        <v>2285</v>
      </c>
      <c r="P66" s="25">
        <f t="shared" si="10"/>
        <v>29880</v>
      </c>
    </row>
    <row r="67" spans="1:16" x14ac:dyDescent="0.3">
      <c r="A67" s="18"/>
      <c r="B67" s="18"/>
      <c r="C67" s="10" t="s">
        <v>69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pans="1:16" x14ac:dyDescent="0.3">
      <c r="A68" s="18"/>
      <c r="B68" s="18"/>
      <c r="C68" s="18" t="s">
        <v>71</v>
      </c>
      <c r="D68" s="36">
        <f>D64-D65-D66-D67</f>
        <v>2965</v>
      </c>
      <c r="E68" s="36">
        <f t="shared" ref="E68:P68" si="11">E64-E65-E66-E67</f>
        <v>5265</v>
      </c>
      <c r="F68" s="36">
        <f t="shared" si="11"/>
        <v>3115</v>
      </c>
      <c r="G68" s="36">
        <f t="shared" si="11"/>
        <v>-385</v>
      </c>
      <c r="H68" s="36">
        <f t="shared" si="11"/>
        <v>16365</v>
      </c>
      <c r="I68" s="36">
        <f t="shared" si="11"/>
        <v>3065</v>
      </c>
      <c r="J68" s="36">
        <f t="shared" si="11"/>
        <v>3115</v>
      </c>
      <c r="K68" s="36">
        <f t="shared" si="11"/>
        <v>5565</v>
      </c>
      <c r="L68" s="36">
        <f t="shared" si="11"/>
        <v>1965</v>
      </c>
      <c r="M68" s="36">
        <f t="shared" si="11"/>
        <v>1565</v>
      </c>
      <c r="N68" s="36">
        <f t="shared" si="11"/>
        <v>8255</v>
      </c>
      <c r="O68" s="36">
        <f t="shared" si="11"/>
        <v>11165</v>
      </c>
      <c r="P68" s="36">
        <f t="shared" si="11"/>
        <v>62020</v>
      </c>
    </row>
    <row r="69" spans="1:16" x14ac:dyDescent="0.3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</row>
    <row r="70" spans="1:16" x14ac:dyDescent="0.3"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</row>
    <row r="71" spans="1:16" x14ac:dyDescent="0.3"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517B75-F0C9-479E-B3D8-C7ABB7FF3F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FD8836-44AA-4D8B-9B5E-D6D689745854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27abfcf4-a53b-45ec-9541-9b00a41a0f09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f20de4e-4892-4869-a652-a7c915abf32f"/>
  </ds:schemaRefs>
</ds:datastoreItem>
</file>

<file path=customXml/itemProps3.xml><?xml version="1.0" encoding="utf-8"?>
<ds:datastoreItem xmlns:ds="http://schemas.openxmlformats.org/officeDocument/2006/customXml" ds:itemID="{C1892796-6157-4341-9984-E65AD859B8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Karine Lago</cp:lastModifiedBy>
  <dcterms:modified xsi:type="dcterms:W3CDTF">2023-07-02T00:08:11Z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0x0101004C36BFA3F7CA2244925E07107AC027F4</vt:lpwstr>
  </property>
</Properties>
</file>