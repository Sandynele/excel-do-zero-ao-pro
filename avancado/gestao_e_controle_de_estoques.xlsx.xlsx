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yPC\Documents\Excel - Data Driven\Modulo 5\Aula 5 - Gestão de Estoques\"/>
    </mc:Choice>
  </mc:AlternateContent>
  <xr:revisionPtr revIDLastSave="0" documentId="13_ncr:1_{BACEE18F-6C82-41AB-AB02-937E0FB57618}" xr6:coauthVersionLast="47" xr6:coauthVersionMax="47" xr10:uidLastSave="{00000000-0000-0000-0000-000000000000}"/>
  <bookViews>
    <workbookView xWindow="-120" yWindow="-120" windowWidth="29040" windowHeight="15720" activeTab="2" xr2:uid="{82D79082-545C-4991-BD37-D1D2598791A6}"/>
  </bookViews>
  <sheets>
    <sheet name="O que veremos nessa aula" sheetId="1" r:id="rId1"/>
    <sheet name="Dinâmicas" sheetId="8" r:id="rId2"/>
    <sheet name="Base" sheetId="2" r:id="rId3"/>
  </sheets>
  <definedNames>
    <definedName name="_xlnm._FilterDatabase" localSheetId="2" hidden="1">Base!$A$1:$I$55</definedName>
    <definedName name="_xlchart.v1.0" hidden="1">Dinâmicas!$D$4:$D$10</definedName>
    <definedName name="_xlchart.v1.1" hidden="1">Dinâmicas!$E$3</definedName>
    <definedName name="_xlchart.v1.2" hidden="1">Dinâmicas!$E$4:$E$10</definedName>
    <definedName name="_xlchart.v1.3" hidden="1">Dinâmicas!$D$4:$D$9</definedName>
    <definedName name="_xlchart.v1.4" hidden="1">Dinâmicas!$E$4:$E$9</definedName>
    <definedName name="SegmentaçãodeDados_Armazém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" i="2" l="1"/>
  <c r="Q4" i="2"/>
  <c r="Q5" i="2"/>
  <c r="Q7" i="2"/>
  <c r="Q15" i="2"/>
  <c r="Q19" i="2"/>
  <c r="Q23" i="2"/>
  <c r="Q37" i="2"/>
  <c r="Q50" i="2"/>
  <c r="Q51" i="2"/>
  <c r="Q52" i="2"/>
  <c r="Q55" i="2"/>
  <c r="P4" i="2"/>
  <c r="P5" i="2"/>
  <c r="P7" i="2"/>
  <c r="P15" i="2"/>
  <c r="P19" i="2"/>
  <c r="P23" i="2"/>
  <c r="P37" i="2"/>
  <c r="P50" i="2"/>
  <c r="P51" i="2"/>
  <c r="P52" i="2"/>
  <c r="P55" i="2"/>
  <c r="O4" i="2"/>
  <c r="O5" i="2"/>
  <c r="O7" i="2"/>
  <c r="O15" i="2"/>
  <c r="O19" i="2"/>
  <c r="O23" i="2"/>
  <c r="O37" i="2"/>
  <c r="O50" i="2"/>
  <c r="O51" i="2"/>
  <c r="O52" i="2"/>
  <c r="O55" i="2"/>
  <c r="N4" i="2"/>
  <c r="N5" i="2"/>
  <c r="N7" i="2"/>
  <c r="N15" i="2"/>
  <c r="N19" i="2"/>
  <c r="N23" i="2"/>
  <c r="N37" i="2"/>
  <c r="N50" i="2"/>
  <c r="N51" i="2"/>
  <c r="N52" i="2"/>
  <c r="N55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2" i="2"/>
  <c r="K3" i="2"/>
  <c r="N3" i="2" s="1"/>
  <c r="K4" i="2"/>
  <c r="K5" i="2"/>
  <c r="K6" i="2"/>
  <c r="N6" i="2" s="1"/>
  <c r="K7" i="2"/>
  <c r="K8" i="2"/>
  <c r="N8" i="2" s="1"/>
  <c r="K9" i="2"/>
  <c r="N9" i="2" s="1"/>
  <c r="K10" i="2"/>
  <c r="N10" i="2" s="1"/>
  <c r="K11" i="2"/>
  <c r="N11" i="2" s="1"/>
  <c r="K12" i="2"/>
  <c r="N12" i="2" s="1"/>
  <c r="K13" i="2"/>
  <c r="N13" i="2" s="1"/>
  <c r="K14" i="2"/>
  <c r="N14" i="2" s="1"/>
  <c r="K15" i="2"/>
  <c r="K16" i="2"/>
  <c r="N16" i="2" s="1"/>
  <c r="K17" i="2"/>
  <c r="N17" i="2" s="1"/>
  <c r="K18" i="2"/>
  <c r="N18" i="2" s="1"/>
  <c r="K19" i="2"/>
  <c r="K20" i="2"/>
  <c r="N20" i="2" s="1"/>
  <c r="K21" i="2"/>
  <c r="N21" i="2" s="1"/>
  <c r="K22" i="2"/>
  <c r="N22" i="2" s="1"/>
  <c r="K23" i="2"/>
  <c r="K24" i="2"/>
  <c r="N24" i="2" s="1"/>
  <c r="K25" i="2"/>
  <c r="N25" i="2" s="1"/>
  <c r="K26" i="2"/>
  <c r="N26" i="2" s="1"/>
  <c r="K27" i="2"/>
  <c r="N27" i="2" s="1"/>
  <c r="K28" i="2"/>
  <c r="N28" i="2" s="1"/>
  <c r="K29" i="2"/>
  <c r="N29" i="2" s="1"/>
  <c r="K30" i="2"/>
  <c r="N30" i="2" s="1"/>
  <c r="K31" i="2"/>
  <c r="N31" i="2" s="1"/>
  <c r="K32" i="2"/>
  <c r="N32" i="2" s="1"/>
  <c r="K33" i="2"/>
  <c r="N33" i="2" s="1"/>
  <c r="K34" i="2"/>
  <c r="N34" i="2" s="1"/>
  <c r="K35" i="2"/>
  <c r="N35" i="2" s="1"/>
  <c r="K36" i="2"/>
  <c r="N36" i="2" s="1"/>
  <c r="K37" i="2"/>
  <c r="K38" i="2"/>
  <c r="N38" i="2" s="1"/>
  <c r="K39" i="2"/>
  <c r="N39" i="2" s="1"/>
  <c r="K40" i="2"/>
  <c r="N40" i="2" s="1"/>
  <c r="K41" i="2"/>
  <c r="N41" i="2" s="1"/>
  <c r="K42" i="2"/>
  <c r="N42" i="2" s="1"/>
  <c r="K43" i="2"/>
  <c r="N43" i="2" s="1"/>
  <c r="K44" i="2"/>
  <c r="N44" i="2" s="1"/>
  <c r="K45" i="2"/>
  <c r="N45" i="2" s="1"/>
  <c r="K46" i="2"/>
  <c r="N46" i="2" s="1"/>
  <c r="K47" i="2"/>
  <c r="N47" i="2" s="1"/>
  <c r="K48" i="2"/>
  <c r="N48" i="2" s="1"/>
  <c r="K49" i="2"/>
  <c r="N49" i="2" s="1"/>
  <c r="K50" i="2"/>
  <c r="K51" i="2"/>
  <c r="K52" i="2"/>
  <c r="K53" i="2"/>
  <c r="N53" i="2" s="1"/>
  <c r="K54" i="2"/>
  <c r="N54" i="2" s="1"/>
  <c r="K55" i="2"/>
  <c r="K2" i="2"/>
  <c r="N2" i="2" s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P33" i="2" l="1"/>
  <c r="P17" i="2"/>
  <c r="P34" i="2"/>
  <c r="P18" i="2"/>
  <c r="P49" i="2"/>
  <c r="P31" i="2"/>
  <c r="P10" i="2"/>
  <c r="P47" i="2"/>
  <c r="P26" i="2"/>
  <c r="P9" i="2"/>
  <c r="P42" i="2"/>
  <c r="P25" i="2"/>
  <c r="P41" i="2"/>
  <c r="P39" i="2"/>
  <c r="P48" i="2"/>
  <c r="P40" i="2"/>
  <c r="P32" i="2"/>
  <c r="P24" i="2"/>
  <c r="P16" i="2"/>
  <c r="P8" i="2"/>
  <c r="P54" i="2"/>
  <c r="P46" i="2"/>
  <c r="P38" i="2"/>
  <c r="P30" i="2"/>
  <c r="P22" i="2"/>
  <c r="P14" i="2"/>
  <c r="P6" i="2"/>
  <c r="P53" i="2"/>
  <c r="P45" i="2"/>
  <c r="P29" i="2"/>
  <c r="P21" i="2"/>
  <c r="P13" i="2"/>
  <c r="P44" i="2"/>
  <c r="P36" i="2"/>
  <c r="P28" i="2"/>
  <c r="P20" i="2"/>
  <c r="P12" i="2"/>
  <c r="P43" i="2"/>
  <c r="P35" i="2"/>
  <c r="P27" i="2"/>
  <c r="P11" i="2"/>
  <c r="P3" i="2"/>
  <c r="P2" i="2"/>
  <c r="O34" i="2"/>
  <c r="O17" i="2"/>
  <c r="O33" i="2"/>
  <c r="O10" i="2"/>
  <c r="Q10" i="2" s="1"/>
  <c r="O47" i="2"/>
  <c r="Q47" i="2" s="1"/>
  <c r="O26" i="2"/>
  <c r="Q26" i="2" s="1"/>
  <c r="O9" i="2"/>
  <c r="Q9" i="2" s="1"/>
  <c r="O18" i="2"/>
  <c r="O49" i="2"/>
  <c r="O42" i="2"/>
  <c r="O25" i="2"/>
  <c r="O31" i="2"/>
  <c r="O41" i="2"/>
  <c r="O39" i="2"/>
  <c r="O48" i="2"/>
  <c r="O40" i="2"/>
  <c r="O32" i="2"/>
  <c r="O24" i="2"/>
  <c r="O16" i="2"/>
  <c r="O8" i="2"/>
  <c r="O54" i="2"/>
  <c r="O46" i="2"/>
  <c r="O38" i="2"/>
  <c r="O30" i="2"/>
  <c r="O22" i="2"/>
  <c r="O14" i="2"/>
  <c r="O6" i="2"/>
  <c r="O53" i="2"/>
  <c r="O45" i="2"/>
  <c r="O29" i="2"/>
  <c r="O21" i="2"/>
  <c r="O13" i="2"/>
  <c r="O44" i="2"/>
  <c r="O36" i="2"/>
  <c r="O28" i="2"/>
  <c r="O20" i="2"/>
  <c r="O12" i="2"/>
  <c r="O43" i="2"/>
  <c r="O35" i="2"/>
  <c r="O27" i="2"/>
  <c r="O11" i="2"/>
  <c r="O3" i="2"/>
  <c r="O2" i="2"/>
  <c r="Q12" i="2" l="1"/>
  <c r="Q45" i="2"/>
  <c r="Q54" i="2"/>
  <c r="Q41" i="2"/>
  <c r="Q49" i="2"/>
  <c r="Q33" i="2"/>
  <c r="Q3" i="2"/>
  <c r="Q36" i="2"/>
  <c r="Q14" i="2"/>
  <c r="Q24" i="2"/>
  <c r="Q17" i="2"/>
  <c r="Q11" i="2"/>
  <c r="Q44" i="2"/>
  <c r="Q22" i="2"/>
  <c r="Q32" i="2"/>
  <c r="Q27" i="2"/>
  <c r="Q13" i="2"/>
  <c r="Q30" i="2"/>
  <c r="Q40" i="2"/>
  <c r="Q38" i="2"/>
  <c r="Q43" i="2"/>
  <c r="Q20" i="2"/>
  <c r="Q8" i="2"/>
  <c r="Q25" i="2"/>
  <c r="Q53" i="2"/>
  <c r="Q35" i="2"/>
  <c r="Q21" i="2"/>
  <c r="Q48" i="2"/>
  <c r="Q29" i="2"/>
  <c r="Q18" i="2"/>
  <c r="Q2" i="2"/>
  <c r="Q28" i="2"/>
  <c r="Q6" i="2"/>
  <c r="Q16" i="2"/>
  <c r="Q46" i="2"/>
  <c r="Q42" i="2"/>
  <c r="Q34" i="2"/>
  <c r="Q39" i="2"/>
  <c r="Q3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910372-5F25-435C-9333-E2617D7E6761}" keepAlive="1" name="Consulta - lista" description="Conexão com a consulta 'lista' na pasta de trabalho." type="5" refreshedVersion="0" background="1" saveData="1">
    <dbPr connection="Provider=Microsoft.Mashup.OleDb.1;Data Source=$Workbook$;Location=lista;Extended Properties=&quot;&quot;" command="SELECT * FROM [lista]"/>
  </connection>
</connections>
</file>

<file path=xl/sharedStrings.xml><?xml version="1.0" encoding="utf-8"?>
<sst xmlns="http://schemas.openxmlformats.org/spreadsheetml/2006/main" count="260" uniqueCount="90">
  <si>
    <t>Indicadores importantes de gestão de estoque: quais e como criá-los</t>
  </si>
  <si>
    <t>Entendendo uma base de gestão de estoque</t>
  </si>
  <si>
    <t>Gráficos sugeridos para gestão de estoque</t>
  </si>
  <si>
    <t>Item</t>
  </si>
  <si>
    <t>Armazém</t>
  </si>
  <si>
    <t>Volume (Unidades)</t>
  </si>
  <si>
    <t>Custo (R$/unidades)</t>
  </si>
  <si>
    <t>Lote</t>
  </si>
  <si>
    <t>Data de Fabricação</t>
  </si>
  <si>
    <t>Produto A</t>
  </si>
  <si>
    <t>Lote001</t>
  </si>
  <si>
    <t>Campinas</t>
  </si>
  <si>
    <t>Produto B</t>
  </si>
  <si>
    <t>Lote002</t>
  </si>
  <si>
    <t>Itajaí</t>
  </si>
  <si>
    <t>Produto C</t>
  </si>
  <si>
    <t>Lote003</t>
  </si>
  <si>
    <t>Belo Horizonte</t>
  </si>
  <si>
    <t>Lote1999</t>
  </si>
  <si>
    <t>Lote2000</t>
  </si>
  <si>
    <t>Produto D</t>
  </si>
  <si>
    <t>Lote004</t>
  </si>
  <si>
    <t>Produto E</t>
  </si>
  <si>
    <t>Lote005</t>
  </si>
  <si>
    <t>Produto F</t>
  </si>
  <si>
    <t>Lote006</t>
  </si>
  <si>
    <t>Lote007</t>
  </si>
  <si>
    <t>Lote008</t>
  </si>
  <si>
    <t>Lote009</t>
  </si>
  <si>
    <t>Lote010</t>
  </si>
  <si>
    <t>Lote011</t>
  </si>
  <si>
    <t>Lote012</t>
  </si>
  <si>
    <t>Lote013</t>
  </si>
  <si>
    <t>Lote014</t>
  </si>
  <si>
    <t>Lote015</t>
  </si>
  <si>
    <t>Lote016</t>
  </si>
  <si>
    <t>Lote017</t>
  </si>
  <si>
    <t>Lote018</t>
  </si>
  <si>
    <t>Lote019</t>
  </si>
  <si>
    <t>Lote020</t>
  </si>
  <si>
    <t>Lote021</t>
  </si>
  <si>
    <t>Lote022</t>
  </si>
  <si>
    <t>Lote023</t>
  </si>
  <si>
    <t>Lote024</t>
  </si>
  <si>
    <t>Lote025</t>
  </si>
  <si>
    <t>Lote026</t>
  </si>
  <si>
    <t>Lote027</t>
  </si>
  <si>
    <t>Lote028</t>
  </si>
  <si>
    <t>Lote029</t>
  </si>
  <si>
    <t>Lote030</t>
  </si>
  <si>
    <t>Lote031</t>
  </si>
  <si>
    <t>Lote032</t>
  </si>
  <si>
    <t>Lote033</t>
  </si>
  <si>
    <t>Lote034</t>
  </si>
  <si>
    <t>Lote035</t>
  </si>
  <si>
    <t>Lote036</t>
  </si>
  <si>
    <t>Lote037</t>
  </si>
  <si>
    <t>Lote038</t>
  </si>
  <si>
    <t>Lote039</t>
  </si>
  <si>
    <t>Lote040</t>
  </si>
  <si>
    <t>Validade (Dias)</t>
  </si>
  <si>
    <t>SLOB</t>
  </si>
  <si>
    <t>Status</t>
  </si>
  <si>
    <t>Razão</t>
  </si>
  <si>
    <t>Bloqueado</t>
  </si>
  <si>
    <t>Vencido</t>
  </si>
  <si>
    <t>Qualidade</t>
  </si>
  <si>
    <t>Avaria</t>
  </si>
  <si>
    <t>Rótulos de Linha</t>
  </si>
  <si>
    <t>Total Geral</t>
  </si>
  <si>
    <t>&lt;25%</t>
  </si>
  <si>
    <t>Entre 41% e 50%</t>
  </si>
  <si>
    <t>Data Vencimento</t>
  </si>
  <si>
    <t>Valor do Inventário (R$)</t>
  </si>
  <si>
    <t>% de Vida útil disponível</t>
  </si>
  <si>
    <t>Faixa</t>
  </si>
  <si>
    <t>Inv&lt;=25%</t>
  </si>
  <si>
    <t>26%&gt;Inv &lt;=40%</t>
  </si>
  <si>
    <t>41%&gt;Inv&lt;=50%</t>
  </si>
  <si>
    <t>Entre 26% e 40%</t>
  </si>
  <si>
    <t>Soma de Valor do Inventário (R$)</t>
  </si>
  <si>
    <t>Soma de Inv Saudável</t>
  </si>
  <si>
    <t>Soma de SLOB</t>
  </si>
  <si>
    <t>Soma de % SLOB</t>
  </si>
  <si>
    <t>Soma de Bloqueado</t>
  </si>
  <si>
    <t>Soma de &lt;25%</t>
  </si>
  <si>
    <t>Soma de Entre 26% e 40%</t>
  </si>
  <si>
    <t>Soma de Entre 41% e 50%</t>
  </si>
  <si>
    <t>(vazio)</t>
  </si>
  <si>
    <t>Rótulos de Coluna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</si>
</sst>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_-;\-[$R$-416]\ * #,##0_-;_-[$R$-416]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2" borderId="0" xfId="0" applyFont="1" applyFill="1" applyAlignment="1">
      <alignment horizontal="center"/>
    </xf>
    <xf numFmtId="14" fontId="4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5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9" fontId="0" fillId="0" borderId="0" xfId="1" applyFont="1" applyAlignment="1">
      <alignment horizontal="center"/>
    </xf>
    <xf numFmtId="9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9" fontId="0" fillId="4" borderId="1" xfId="0" applyNumberFormat="1" applyFill="1" applyBorder="1" applyAlignment="1">
      <alignment horizontal="center"/>
    </xf>
    <xf numFmtId="9" fontId="0" fillId="0" borderId="0" xfId="0" applyNumberFormat="1"/>
  </cellXfs>
  <cellStyles count="2">
    <cellStyle name="Normal" xfId="0" builtinId="0"/>
    <cellStyle name="Porcentagem" xfId="1" builtinId="5"/>
  </cellStyles>
  <dxfs count="9">
    <dxf>
      <numFmt numFmtId="13" formatCode="0%"/>
    </dxf>
    <dxf>
      <numFmt numFmtId="164" formatCode="_-[$R$-416]\ * #,##0_-;\-[$R$-416]\ * #,##0_-;_-[$R$-416]\ * &quot;-&quot;??_-;_-@_-"/>
    </dxf>
    <dxf>
      <numFmt numFmtId="13" formatCode="0%"/>
    </dxf>
    <dxf>
      <numFmt numFmtId="164" formatCode="_-[$R$-416]\ * #,##0_-;\-[$R$-416]\ * #,##0_-;_-[$R$-416]\ * &quot;-&quot;??_-;_-@_-"/>
    </dxf>
    <dxf>
      <numFmt numFmtId="164" formatCode="_-[$R$-416]\ * #,##0_-;\-[$R$-416]\ * #,##0_-;_-[$R$-416]\ * &quot;-&quot;??_-;_-@_-"/>
    </dxf>
    <dxf>
      <numFmt numFmtId="164" formatCode="_-[$R$-416]\ * #,##0_-;\-[$R$-416]\ * #,##0_-;_-[$R$-416]\ * &quot;-&quot;??_-;_-@_-"/>
    </dxf>
    <dxf>
      <numFmt numFmtId="164" formatCode="_-[$R$-416]\ * #,##0_-;\-[$R$-416]\ * #,##0_-;_-[$R$-416]\ * &quot;-&quot;??_-;_-@_-"/>
    </dxf>
    <dxf>
      <numFmt numFmtId="164" formatCode="_-[$R$-416]\ * #,##0_-;\-[$R$-416]\ * #,##0_-;_-[$R$-416]\ * &quot;-&quot;??_-;_-@_-"/>
    </dxf>
    <dxf>
      <numFmt numFmtId="164" formatCode="_-[$R$-416]\ * #,##0_-;\-[$R$-416]\ * #,##0_-;_-[$R$-416]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microsoft.com/office/2007/relationships/slicerCache" Target="slicerCaches/slicerCach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[Aula 5 - Gestão de estoques - Base Aula.xlsx]Dinâmicas!Tabela dinâmica1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084721687451247"/>
              <c:y val="-0.1715616959880934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718134355305607"/>
              <c:y val="-0.1230768688610236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25019800380247098"/>
              <c:y val="6.713283756055830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Dinâmicas!$B$3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A58-4CED-AC32-9270BAAF351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A58-4CED-AC32-9270BAAF351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A58-4CED-AC32-9270BAAF351D}"/>
              </c:ext>
            </c:extLst>
          </c:dPt>
          <c:dLbls>
            <c:dLbl>
              <c:idx val="0"/>
              <c:layout>
                <c:manualLayout>
                  <c:x val="-0.11718134355305607"/>
                  <c:y val="-0.1230768688610236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A58-4CED-AC32-9270BAAF35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Dinâmicas!$A$4:$A$5</c:f>
              <c:strCache>
                <c:ptCount val="1"/>
                <c:pt idx="0">
                  <c:v>Itajaí</c:v>
                </c:pt>
              </c:strCache>
            </c:strRef>
          </c:cat>
          <c:val>
            <c:numRef>
              <c:f>Dinâmicas!$B$4:$B$5</c:f>
              <c:numCache>
                <c:formatCode>_-[$R$-416]\ * #,##0_-;\-[$R$-416]\ * #,##0_-;_-[$R$-416]\ * "-"??_-;_-@_-</c:formatCode>
                <c:ptCount val="1"/>
                <c:pt idx="0">
                  <c:v>3521700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58-4CED-AC32-9270BAAF351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[Aula 5 - Gestão de estoques - Base Aula.xlsx]Dinâmicas!Tabela dinâmica5</c:name>
    <c:fmtId val="18"/>
  </c:pivotSource>
  <c:chart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Dinâmicas!$I$3</c:f>
              <c:strCache>
                <c:ptCount val="1"/>
                <c:pt idx="0">
                  <c:v>Soma de Inv Saudável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Dinâmicas!$H$4</c:f>
              <c:strCache>
                <c:ptCount val="1"/>
                <c:pt idx="0">
                  <c:v>Itajaí</c:v>
                </c:pt>
              </c:strCache>
            </c:strRef>
          </c:cat>
          <c:val>
            <c:numRef>
              <c:f>Dinâmicas!$I$4</c:f>
              <c:numCache>
                <c:formatCode>_-[$R$-416]\ * #,##0_-;\-[$R$-416]\ * #,##0_-;_-[$R$-416]\ * "-"??_-;_-@_-</c:formatCode>
                <c:ptCount val="1"/>
                <c:pt idx="0">
                  <c:v>1961575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38-4C2C-B1EE-E4883DC9BA0D}"/>
            </c:ext>
          </c:extLst>
        </c:ser>
        <c:ser>
          <c:idx val="1"/>
          <c:order val="1"/>
          <c:tx>
            <c:strRef>
              <c:f>Dinâmicas!$J$3</c:f>
              <c:strCache>
                <c:ptCount val="1"/>
                <c:pt idx="0">
                  <c:v>Soma de SLOB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Dinâmicas!$H$4</c:f>
              <c:strCache>
                <c:ptCount val="1"/>
                <c:pt idx="0">
                  <c:v>Itajaí</c:v>
                </c:pt>
              </c:strCache>
            </c:strRef>
          </c:cat>
          <c:val>
            <c:numRef>
              <c:f>Dinâmicas!$J$4</c:f>
              <c:numCache>
                <c:formatCode>_-[$R$-416]\ * #,##0_-;\-[$R$-416]\ * #,##0_-;_-[$R$-416]\ * "-"??_-;_-@_-</c:formatCode>
                <c:ptCount val="1"/>
                <c:pt idx="0">
                  <c:v>1560125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38-4C2C-B1EE-E4883DC9BA0D}"/>
            </c:ext>
          </c:extLst>
        </c:ser>
        <c:ser>
          <c:idx val="2"/>
          <c:order val="2"/>
          <c:tx>
            <c:strRef>
              <c:f>Dinâmicas!$K$3</c:f>
              <c:strCache>
                <c:ptCount val="1"/>
                <c:pt idx="0">
                  <c:v>Soma de % SLOB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Dinâmicas!$H$4</c:f>
              <c:strCache>
                <c:ptCount val="1"/>
                <c:pt idx="0">
                  <c:v>Itajaí</c:v>
                </c:pt>
              </c:strCache>
            </c:strRef>
          </c:cat>
          <c:val>
            <c:numRef>
              <c:f>Dinâmicas!$K$4</c:f>
              <c:numCache>
                <c:formatCode>0%</c:formatCode>
                <c:ptCount val="1"/>
                <c:pt idx="0">
                  <c:v>0.44300337904989068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38-4C2C-B1EE-E4883DC9BA0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03968079"/>
        <c:axId val="503968559"/>
      </c:barChart>
      <c:catAx>
        <c:axId val="5039680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3968559"/>
        <c:crosses val="autoZero"/>
        <c:auto val="1"/>
        <c:lblAlgn val="ctr"/>
        <c:lblOffset val="100"/>
        <c:noMultiLvlLbl val="0"/>
      </c:catAx>
      <c:valAx>
        <c:axId val="503968559"/>
        <c:scaling>
          <c:orientation val="minMax"/>
        </c:scaling>
        <c:delete val="1"/>
        <c:axPos val="b"/>
        <c:numFmt formatCode="_-[$R$-416]\ * #,##0_-;\-[$R$-416]\ * #,##0_-;_-[$R$-416]\ * &quot;-&quot;??_-;_-@_-" sourceLinked="1"/>
        <c:majorTickMark val="none"/>
        <c:minorTickMark val="none"/>
        <c:tickLblPos val="nextTo"/>
        <c:crossAx val="503968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[Aula 5 - Gestão de estoques - Base Aula.xlsx]Dinâmicas!Tabela dinâmica3</c:name>
    <c:fmtId val="23"/>
  </c:pivotSource>
  <c:chart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Dinâmicas!$I$28</c:f>
              <c:strCache>
                <c:ptCount val="1"/>
                <c:pt idx="0">
                  <c:v>Soma de Inv Saudável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Dinâmicas!$H$29:$H$34</c:f>
              <c:strCache>
                <c:ptCount val="6"/>
                <c:pt idx="0">
                  <c:v>Produto B</c:v>
                </c:pt>
                <c:pt idx="1">
                  <c:v>Produto A</c:v>
                </c:pt>
                <c:pt idx="2">
                  <c:v>Produto F</c:v>
                </c:pt>
                <c:pt idx="3">
                  <c:v>Produto E</c:v>
                </c:pt>
                <c:pt idx="4">
                  <c:v>Produto C</c:v>
                </c:pt>
                <c:pt idx="5">
                  <c:v>Produto D</c:v>
                </c:pt>
              </c:strCache>
            </c:strRef>
          </c:cat>
          <c:val>
            <c:numRef>
              <c:f>Dinâmicas!$I$29:$I$34</c:f>
              <c:numCache>
                <c:formatCode>_-[$R$-416]\ * #,##0_-;\-[$R$-416]\ * #,##0_-;_-[$R$-416]\ * "-"??_-;_-@_-</c:formatCode>
                <c:ptCount val="6"/>
                <c:pt idx="0">
                  <c:v>672000</c:v>
                </c:pt>
                <c:pt idx="1">
                  <c:v>501375</c:v>
                </c:pt>
                <c:pt idx="2">
                  <c:v>235200</c:v>
                </c:pt>
                <c:pt idx="3">
                  <c:v>229500</c:v>
                </c:pt>
                <c:pt idx="4">
                  <c:v>190000</c:v>
                </c:pt>
                <c:pt idx="5">
                  <c:v>133500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00-4AC1-B0C8-794DBC2FB150}"/>
            </c:ext>
          </c:extLst>
        </c:ser>
        <c:ser>
          <c:idx val="1"/>
          <c:order val="1"/>
          <c:tx>
            <c:strRef>
              <c:f>Dinâmicas!$J$28</c:f>
              <c:strCache>
                <c:ptCount val="1"/>
                <c:pt idx="0">
                  <c:v>Soma de SLOB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Dinâmicas!$H$29:$H$34</c:f>
              <c:strCache>
                <c:ptCount val="6"/>
                <c:pt idx="0">
                  <c:v>Produto B</c:v>
                </c:pt>
                <c:pt idx="1">
                  <c:v>Produto A</c:v>
                </c:pt>
                <c:pt idx="2">
                  <c:v>Produto F</c:v>
                </c:pt>
                <c:pt idx="3">
                  <c:v>Produto E</c:v>
                </c:pt>
                <c:pt idx="4">
                  <c:v>Produto C</c:v>
                </c:pt>
                <c:pt idx="5">
                  <c:v>Produto D</c:v>
                </c:pt>
              </c:strCache>
            </c:strRef>
          </c:cat>
          <c:val>
            <c:numRef>
              <c:f>Dinâmicas!$J$29:$J$34</c:f>
              <c:numCache>
                <c:formatCode>_-[$R$-416]\ * #,##0_-;\-[$R$-416]\ * #,##0_-;_-[$R$-416]\ * "-"??_-;_-@_-</c:formatCode>
                <c:ptCount val="6"/>
                <c:pt idx="0">
                  <c:v>80000</c:v>
                </c:pt>
                <c:pt idx="1">
                  <c:v>39375</c:v>
                </c:pt>
                <c:pt idx="2">
                  <c:v>0</c:v>
                </c:pt>
                <c:pt idx="3">
                  <c:v>318750</c:v>
                </c:pt>
                <c:pt idx="4">
                  <c:v>855000</c:v>
                </c:pt>
                <c:pt idx="5">
                  <c:v>267000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00-4AC1-B0C8-794DBC2FB150}"/>
            </c:ext>
          </c:extLst>
        </c:ser>
        <c:ser>
          <c:idx val="2"/>
          <c:order val="2"/>
          <c:tx>
            <c:strRef>
              <c:f>Dinâmicas!$K$28</c:f>
              <c:strCache>
                <c:ptCount val="1"/>
                <c:pt idx="0">
                  <c:v>Soma de % SLOB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Dinâmicas!$H$29:$H$34</c:f>
              <c:strCache>
                <c:ptCount val="6"/>
                <c:pt idx="0">
                  <c:v>Produto B</c:v>
                </c:pt>
                <c:pt idx="1">
                  <c:v>Produto A</c:v>
                </c:pt>
                <c:pt idx="2">
                  <c:v>Produto F</c:v>
                </c:pt>
                <c:pt idx="3">
                  <c:v>Produto E</c:v>
                </c:pt>
                <c:pt idx="4">
                  <c:v>Produto C</c:v>
                </c:pt>
                <c:pt idx="5">
                  <c:v>Produto D</c:v>
                </c:pt>
              </c:strCache>
            </c:strRef>
          </c:cat>
          <c:val>
            <c:numRef>
              <c:f>Dinâmicas!$K$29:$K$34</c:f>
              <c:numCache>
                <c:formatCode>0%</c:formatCode>
                <c:ptCount val="6"/>
                <c:pt idx="0">
                  <c:v>0.10638297872340426</c:v>
                </c:pt>
                <c:pt idx="1">
                  <c:v>7.281553398058252E-2</c:v>
                </c:pt>
                <c:pt idx="2">
                  <c:v>0</c:v>
                </c:pt>
                <c:pt idx="3">
                  <c:v>0.58139534883720934</c:v>
                </c:pt>
                <c:pt idx="4">
                  <c:v>0.81818181818181823</c:v>
                </c:pt>
                <c:pt idx="5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00-4AC1-B0C8-794DBC2FB15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733307103"/>
        <c:axId val="733308543"/>
      </c:barChart>
      <c:catAx>
        <c:axId val="733307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3308543"/>
        <c:crosses val="autoZero"/>
        <c:auto val="1"/>
        <c:lblAlgn val="ctr"/>
        <c:lblOffset val="100"/>
        <c:noMultiLvlLbl val="0"/>
      </c:catAx>
      <c:valAx>
        <c:axId val="733308543"/>
        <c:scaling>
          <c:orientation val="minMax"/>
        </c:scaling>
        <c:delete val="1"/>
        <c:axPos val="b"/>
        <c:numFmt formatCode="_-[$R$-416]\ * #,##0_-;\-[$R$-416]\ * #,##0_-;_-[$R$-416]\ * &quot;-&quot;??_-;_-@_-" sourceLinked="1"/>
        <c:majorTickMark val="none"/>
        <c:minorTickMark val="none"/>
        <c:tickLblPos val="nextTo"/>
        <c:crossAx val="733307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[Aula 5 - Gestão de estoques - Base Aula.xlsx]Dinâmicas!Tabela dinâmica4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Análise</a:t>
            </a:r>
            <a:r>
              <a:rPr lang="pt-BR" baseline="0"/>
              <a:t> do SLOB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Dinâmicas!$P$3</c:f>
              <c:strCache>
                <c:ptCount val="1"/>
                <c:pt idx="0">
                  <c:v>Soma de Bloqueado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Dinâmicas!$O$4:$O$9</c:f>
              <c:strCache>
                <c:ptCount val="6"/>
                <c:pt idx="0">
                  <c:v>Produto F</c:v>
                </c:pt>
                <c:pt idx="1">
                  <c:v>Produto E</c:v>
                </c:pt>
                <c:pt idx="2">
                  <c:v>Produto D</c:v>
                </c:pt>
                <c:pt idx="3">
                  <c:v>Produto C</c:v>
                </c:pt>
                <c:pt idx="4">
                  <c:v>Produto B</c:v>
                </c:pt>
                <c:pt idx="5">
                  <c:v>Produto A</c:v>
                </c:pt>
              </c:strCache>
            </c:strRef>
          </c:cat>
          <c:val>
            <c:numRef>
              <c:f>Dinâmicas!$P$4:$P$9</c:f>
              <c:numCache>
                <c:formatCode>_-[$R$-416]\ * #,##0_-;\-[$R$-416]\ * #,##0_-;_-[$R$-416]\ * "-"??_-;_-@_-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133500</c:v>
                </c:pt>
                <c:pt idx="3">
                  <c:v>855000</c:v>
                </c:pt>
                <c:pt idx="4">
                  <c:v>80000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0E-432E-824C-86CB4491190D}"/>
            </c:ext>
          </c:extLst>
        </c:ser>
        <c:ser>
          <c:idx val="1"/>
          <c:order val="1"/>
          <c:tx>
            <c:strRef>
              <c:f>Dinâmicas!$Q$3</c:f>
              <c:strCache>
                <c:ptCount val="1"/>
                <c:pt idx="0">
                  <c:v>Soma de &lt;25%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Dinâmicas!$O$4:$O$9</c:f>
              <c:strCache>
                <c:ptCount val="6"/>
                <c:pt idx="0">
                  <c:v>Produto F</c:v>
                </c:pt>
                <c:pt idx="1">
                  <c:v>Produto E</c:v>
                </c:pt>
                <c:pt idx="2">
                  <c:v>Produto D</c:v>
                </c:pt>
                <c:pt idx="3">
                  <c:v>Produto C</c:v>
                </c:pt>
                <c:pt idx="4">
                  <c:v>Produto B</c:v>
                </c:pt>
                <c:pt idx="5">
                  <c:v>Produto A</c:v>
                </c:pt>
              </c:strCache>
            </c:strRef>
          </c:cat>
          <c:val>
            <c:numRef>
              <c:f>Dinâmicas!$Q$4:$Q$9</c:f>
              <c:numCache>
                <c:formatCode>_-[$R$-416]\ * #,##0_-;\-[$R$-416]\ * #,##0_-;_-[$R$-416]\ * "-"??_-;_-@_-</c:formatCode>
                <c:ptCount val="6"/>
                <c:pt idx="0">
                  <c:v>0</c:v>
                </c:pt>
                <c:pt idx="1">
                  <c:v>318750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0E-432E-824C-86CB4491190D}"/>
            </c:ext>
          </c:extLst>
        </c:ser>
        <c:ser>
          <c:idx val="2"/>
          <c:order val="2"/>
          <c:tx>
            <c:strRef>
              <c:f>Dinâmicas!$R$3</c:f>
              <c:strCache>
                <c:ptCount val="1"/>
                <c:pt idx="0">
                  <c:v>Soma de Entre 26% e 40%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Dinâmicas!$O$4:$O$9</c:f>
              <c:strCache>
                <c:ptCount val="6"/>
                <c:pt idx="0">
                  <c:v>Produto F</c:v>
                </c:pt>
                <c:pt idx="1">
                  <c:v>Produto E</c:v>
                </c:pt>
                <c:pt idx="2">
                  <c:v>Produto D</c:v>
                </c:pt>
                <c:pt idx="3">
                  <c:v>Produto C</c:v>
                </c:pt>
                <c:pt idx="4">
                  <c:v>Produto B</c:v>
                </c:pt>
                <c:pt idx="5">
                  <c:v>Produto A</c:v>
                </c:pt>
              </c:strCache>
            </c:strRef>
          </c:cat>
          <c:val>
            <c:numRef>
              <c:f>Dinâmicas!$R$4:$R$9</c:f>
              <c:numCache>
                <c:formatCode>_-[$R$-416]\ * #,##0_-;\-[$R$-416]\ * #,##0_-;_-[$R$-416]\ * "-"??_-;_-@_-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0E-432E-824C-86CB4491190D}"/>
            </c:ext>
          </c:extLst>
        </c:ser>
        <c:ser>
          <c:idx val="3"/>
          <c:order val="3"/>
          <c:tx>
            <c:strRef>
              <c:f>Dinâmicas!$S$3</c:f>
              <c:strCache>
                <c:ptCount val="1"/>
                <c:pt idx="0">
                  <c:v>Soma de Entre 41% e 50%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Dinâmicas!$O$4:$O$9</c:f>
              <c:strCache>
                <c:ptCount val="6"/>
                <c:pt idx="0">
                  <c:v>Produto F</c:v>
                </c:pt>
                <c:pt idx="1">
                  <c:v>Produto E</c:v>
                </c:pt>
                <c:pt idx="2">
                  <c:v>Produto D</c:v>
                </c:pt>
                <c:pt idx="3">
                  <c:v>Produto C</c:v>
                </c:pt>
                <c:pt idx="4">
                  <c:v>Produto B</c:v>
                </c:pt>
                <c:pt idx="5">
                  <c:v>Produto A</c:v>
                </c:pt>
              </c:strCache>
            </c:strRef>
          </c:cat>
          <c:val>
            <c:numRef>
              <c:f>Dinâmicas!$S$4:$S$9</c:f>
              <c:numCache>
                <c:formatCode>_-[$R$-416]\ * #,##0_-;\-[$R$-416]\ * #,##0_-;_-[$R$-416]\ * "-"??_-;_-@_-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133500</c:v>
                </c:pt>
                <c:pt idx="3">
                  <c:v>0</c:v>
                </c:pt>
                <c:pt idx="4">
                  <c:v>0</c:v>
                </c:pt>
                <c:pt idx="5">
                  <c:v>39375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0E-432E-824C-86CB4491190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06952687"/>
        <c:axId val="506954607"/>
      </c:barChart>
      <c:catAx>
        <c:axId val="5069526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6954607"/>
        <c:crosses val="autoZero"/>
        <c:auto val="1"/>
        <c:lblAlgn val="ctr"/>
        <c:lblOffset val="100"/>
        <c:noMultiLvlLbl val="0"/>
      </c:catAx>
      <c:valAx>
        <c:axId val="506954607"/>
        <c:scaling>
          <c:orientation val="minMax"/>
        </c:scaling>
        <c:delete val="1"/>
        <c:axPos val="b"/>
        <c:numFmt formatCode="_-[$R$-416]\ * #,##0_-;\-[$R$-416]\ * #,##0_-;_-[$R$-416]\ * &quot;-&quot;??_-;_-@_-" sourceLinked="1"/>
        <c:majorTickMark val="none"/>
        <c:minorTickMark val="none"/>
        <c:tickLblPos val="nextTo"/>
        <c:crossAx val="506952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[Aula 5 - Gestão de estoques - Base Aula.xlsx]Dinâmicas!Tabela dinâmica6</c:name>
    <c:fmtId val="29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8540423571313946"/>
              <c:y val="0.2557544757033248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layout>
                <c:manualLayout>
                  <c:w val="0.38487836949375404"/>
                  <c:h val="0.38491062018782179"/>
                </c:manualLayout>
              </c15:layout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Dinâmicas!$AC$3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F9A-42A4-B9A0-8D71E44A136F}"/>
              </c:ext>
            </c:extLst>
          </c:dPt>
          <c:dPt>
            <c:idx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F9A-42A4-B9A0-8D71E44A136F}"/>
              </c:ext>
            </c:extLst>
          </c:dPt>
          <c:dLbls>
            <c:dLbl>
              <c:idx val="0"/>
              <c:layout>
                <c:manualLayout>
                  <c:x val="-0.18540423571313946"/>
                  <c:y val="0.2557544757033248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38487836949375404"/>
                      <c:h val="0.384910620187821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F9A-42A4-B9A0-8D71E44A136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F9A-42A4-B9A0-8D71E44A136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Dinâmicas!$AB$4:$AB$5</c:f>
              <c:strCache>
                <c:ptCount val="2"/>
                <c:pt idx="0">
                  <c:v>Bloqueado</c:v>
                </c:pt>
                <c:pt idx="1">
                  <c:v>(vazio)</c:v>
                </c:pt>
              </c:strCache>
            </c:strRef>
          </c:cat>
          <c:val>
            <c:numRef>
              <c:f>Dinâmicas!$AC$4:$AC$5</c:f>
              <c:numCache>
                <c:formatCode>_-[$R$-416]\ * #,##0_-;\-[$R$-416]\ * #,##0_-;_-[$R$-416]\ * "-"??_-;_-@_-</c:formatCode>
                <c:ptCount val="2"/>
                <c:pt idx="0">
                  <c:v>1068500</c:v>
                </c:pt>
                <c:pt idx="1">
                  <c:v>2453200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9A-42A4-B9A0-8D71E44A136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[Aula 5 - Gestão de estoques - Base Aula.xlsx]Dinâmicas!Tabela dinâmica7</c:name>
    <c:fmtId val="34"/>
  </c:pivotSource>
  <c:chart>
    <c:autoTitleDeleted val="0"/>
    <c:pivotFmts>
      <c:pivotFmt>
        <c:idx val="0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Dinâmicas!$AF$3:$AF$4</c:f>
              <c:strCache>
                <c:ptCount val="1"/>
                <c:pt idx="0">
                  <c:v>Avaria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Dinâmicas!$AE$5</c:f>
              <c:strCache>
                <c:ptCount val="1"/>
                <c:pt idx="0">
                  <c:v>Itajaí</c:v>
                </c:pt>
              </c:strCache>
            </c:strRef>
          </c:cat>
          <c:val>
            <c:numRef>
              <c:f>Dinâmicas!$AF$5</c:f>
              <c:numCache>
                <c:formatCode>_-[$R$-416]\ * #,##0_-;\-[$R$-416]\ * #,##0_-;_-[$R$-416]\ * "-"??_-;_-@_-</c:formatCode>
                <c:ptCount val="1"/>
                <c:pt idx="0">
                  <c:v>190000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AF-4688-A5A5-9EED1D782209}"/>
            </c:ext>
          </c:extLst>
        </c:ser>
        <c:ser>
          <c:idx val="1"/>
          <c:order val="1"/>
          <c:tx>
            <c:strRef>
              <c:f>Dinâmicas!$AG$3:$AG$4</c:f>
              <c:strCache>
                <c:ptCount val="1"/>
                <c:pt idx="0">
                  <c:v>Qualidade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Dinâmicas!$AE$5</c:f>
              <c:strCache>
                <c:ptCount val="1"/>
                <c:pt idx="0">
                  <c:v>Itajaí</c:v>
                </c:pt>
              </c:strCache>
            </c:strRef>
          </c:cat>
          <c:val>
            <c:numRef>
              <c:f>Dinâmicas!$AG$5</c:f>
              <c:numCache>
                <c:formatCode>_-[$R$-416]\ * #,##0_-;\-[$R$-416]\ * #,##0_-;_-[$R$-416]\ * "-"??_-;_-@_-</c:formatCode>
                <c:ptCount val="1"/>
                <c:pt idx="0">
                  <c:v>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AF-4688-A5A5-9EED1D782209}"/>
            </c:ext>
          </c:extLst>
        </c:ser>
        <c:ser>
          <c:idx val="2"/>
          <c:order val="2"/>
          <c:tx>
            <c:strRef>
              <c:f>Dinâmicas!$AH$3:$AH$4</c:f>
              <c:strCache>
                <c:ptCount val="1"/>
                <c:pt idx="0">
                  <c:v>Vencido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Dinâmicas!$AE$5</c:f>
              <c:strCache>
                <c:ptCount val="1"/>
                <c:pt idx="0">
                  <c:v>Itajaí</c:v>
                </c:pt>
              </c:strCache>
            </c:strRef>
          </c:cat>
          <c:val>
            <c:numRef>
              <c:f>Dinâmicas!$AH$5</c:f>
              <c:numCache>
                <c:formatCode>_-[$R$-416]\ * #,##0_-;\-[$R$-416]\ * #,##0_-;_-[$R$-416]\ * "-"??_-;_-@_-</c:formatCode>
                <c:ptCount val="1"/>
                <c:pt idx="0">
                  <c:v>798500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AF-4688-A5A5-9EED1D782209}"/>
            </c:ext>
          </c:extLst>
        </c:ser>
        <c:ser>
          <c:idx val="3"/>
          <c:order val="3"/>
          <c:tx>
            <c:strRef>
              <c:f>Dinâmicas!$AI$3:$AI$4</c:f>
              <c:strCache>
                <c:ptCount val="1"/>
                <c:pt idx="0">
                  <c:v>(vazio)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Dinâmicas!$AE$5</c:f>
              <c:strCache>
                <c:ptCount val="1"/>
                <c:pt idx="0">
                  <c:v>Itajaí</c:v>
                </c:pt>
              </c:strCache>
            </c:strRef>
          </c:cat>
          <c:val>
            <c:numRef>
              <c:f>Dinâmicas!$AI$5</c:f>
              <c:numCache>
                <c:formatCode>_-[$R$-416]\ * #,##0_-;\-[$R$-416]\ * #,##0_-;_-[$R$-416]\ * "-"??_-;_-@_-</c:formatCode>
                <c:ptCount val="1"/>
                <c:pt idx="0">
                  <c:v>2453200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1AF-4688-A5A5-9EED1D7822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33304703"/>
        <c:axId val="733297023"/>
      </c:barChart>
      <c:catAx>
        <c:axId val="7333047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3297023"/>
        <c:crosses val="autoZero"/>
        <c:auto val="1"/>
        <c:lblAlgn val="ctr"/>
        <c:lblOffset val="100"/>
        <c:noMultiLvlLbl val="0"/>
      </c:catAx>
      <c:valAx>
        <c:axId val="733297023"/>
        <c:scaling>
          <c:orientation val="minMax"/>
        </c:scaling>
        <c:delete val="1"/>
        <c:axPos val="b"/>
        <c:numFmt formatCode="_-[$R$-416]\ * #,##0_-;\-[$R$-416]\ * #,##0_-;_-[$R$-416]\ * &quot;-&quot;??_-;_-@_-" sourceLinked="1"/>
        <c:majorTickMark val="none"/>
        <c:minorTickMark val="none"/>
        <c:tickLblPos val="nextTo"/>
        <c:crossAx val="733304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plotArea>
      <cx:plotAreaRegion>
        <cx:series layoutId="treemap" uniqueId="{72DD68E0-E9F7-45D3-83F3-742873C5812F}">
          <cx:tx>
            <cx:txData>
              <cx:f>_xlchart.v1.1</cx:f>
              <cx:v>Soma de Valor do Inventário (R$)</cx:v>
            </cx:txData>
          </cx:tx>
          <cx:dataPt idx="4">
            <cx:spPr>
              <a:solidFill>
                <a:srgbClr val="ED7D31">
                  <a:lumMod val="50000"/>
                </a:srgbClr>
              </a:solidFill>
            </cx:spPr>
          </cx:dataPt>
          <cx:dataLabels pos="inEnd">
            <cx:visibility seriesName="0" categoryName="1" value="1"/>
            <cx:separator> </cx:separator>
          </cx:dataLabels>
          <cx:dataId val="0"/>
          <cx:layoutPr>
            <cx:parentLabelLayout val="overlapping"/>
          </cx:layoutPr>
        </cx:series>
      </cx:plotAreaRegion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_xlchart.v1.4</cx:f>
      </cx:numDim>
    </cx:data>
  </cx:chartData>
  <cx:chart>
    <cx:title pos="t" align="ctr" overlay="0">
      <cx:tx>
        <cx:txData>
          <cx:v>Pareto de Produtos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Pareto de Produtos</a:t>
          </a:r>
        </a:p>
      </cx:txPr>
    </cx:title>
    <cx:plotArea>
      <cx:plotAreaRegion>
        <cx:series layoutId="clusteredColumn" uniqueId="{A9908384-6E45-49C9-8033-BABF501E9112}">
          <cx:dataPt idx="1">
            <cx:spPr>
              <a:solidFill>
                <a:srgbClr val="ED7D31"/>
              </a:solidFill>
            </cx:spPr>
          </cx:dataPt>
          <cx:dataPt idx="2">
            <cx:spPr>
              <a:solidFill>
                <a:sysClr val="window" lastClr="FFFFFF">
                  <a:lumMod val="65000"/>
                </a:sysClr>
              </a:solidFill>
            </cx:spPr>
          </cx:dataPt>
          <cx:dataPt idx="3">
            <cx:spPr>
              <a:solidFill>
                <a:srgbClr val="FFC000"/>
              </a:solidFill>
            </cx:spPr>
          </cx:dataPt>
          <cx:dataPt idx="4">
            <cx:spPr>
              <a:solidFill>
                <a:srgbClr val="ED7D31">
                  <a:lumMod val="50000"/>
                </a:srgbClr>
              </a:solidFill>
            </cx:spPr>
          </cx:dataPt>
          <cx:dataPt idx="5">
            <cx:spPr>
              <a:solidFill>
                <a:srgbClr val="70AD47"/>
              </a:solidFill>
            </cx:spPr>
          </cx:dataPt>
          <cx:dataId val="0"/>
          <cx:layoutPr>
            <cx:aggregation/>
          </cx:layoutPr>
          <cx:axisId val="1"/>
        </cx:series>
        <cx:series layoutId="paretoLine" ownerIdx="0" uniqueId="{49F4BD09-0C77-4B0F-AB7B-23011D7F68F8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microsoft.com/office/2014/relationships/chartEx" Target="../charts/chartEx2.xml"/><Relationship Id="rId7" Type="http://schemas.openxmlformats.org/officeDocument/2006/relationships/chart" Target="../charts/chart5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71436</xdr:rowOff>
    </xdr:from>
    <xdr:to>
      <xdr:col>2</xdr:col>
      <xdr:colOff>247650</xdr:colOff>
      <xdr:row>26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BF4CB1B-7C77-679C-0F23-3FC7B8A5D2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561975</xdr:colOff>
      <xdr:row>10</xdr:row>
      <xdr:rowOff>80961</xdr:rowOff>
    </xdr:from>
    <xdr:to>
      <xdr:col>6</xdr:col>
      <xdr:colOff>323850</xdr:colOff>
      <xdr:row>30</xdr:row>
      <xdr:rowOff>66674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1783EB7D-01E1-5F09-DA1E-BC6CB20F90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00" y="1985961"/>
              <a:ext cx="4229100" cy="37957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2</xdr:col>
      <xdr:colOff>544995</xdr:colOff>
      <xdr:row>30</xdr:row>
      <xdr:rowOff>91936</xdr:rowOff>
    </xdr:from>
    <xdr:to>
      <xdr:col>6</xdr:col>
      <xdr:colOff>354495</xdr:colOff>
      <xdr:row>44</xdr:row>
      <xdr:rowOff>168136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9B6B3AAC-2EAF-9E1F-9E2C-FDD557527AF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93020" y="5806936"/>
              <a:ext cx="427672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7</xdr:col>
      <xdr:colOff>24847</xdr:colOff>
      <xdr:row>6</xdr:row>
      <xdr:rowOff>123410</xdr:rowOff>
    </xdr:from>
    <xdr:to>
      <xdr:col>12</xdr:col>
      <xdr:colOff>24847</xdr:colOff>
      <xdr:row>24</xdr:row>
      <xdr:rowOff>107673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E52195B-942E-2979-B27E-AA504AC902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523875</xdr:colOff>
      <xdr:row>35</xdr:row>
      <xdr:rowOff>66674</xdr:rowOff>
    </xdr:from>
    <xdr:to>
      <xdr:col>13</xdr:col>
      <xdr:colOff>561975</xdr:colOff>
      <xdr:row>61</xdr:row>
      <xdr:rowOff>57150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F965D712-5D7B-99BC-8EE5-40A4297A0F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123823</xdr:colOff>
      <xdr:row>9</xdr:row>
      <xdr:rowOff>123824</xdr:rowOff>
    </xdr:from>
    <xdr:to>
      <xdr:col>25</xdr:col>
      <xdr:colOff>200024</xdr:colOff>
      <xdr:row>42</xdr:row>
      <xdr:rowOff>171450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B440423-58AA-0786-6DC9-E3FA862499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26</xdr:col>
      <xdr:colOff>419099</xdr:colOff>
      <xdr:row>7</xdr:row>
      <xdr:rowOff>19049</xdr:rowOff>
    </xdr:from>
    <xdr:to>
      <xdr:col>29</xdr:col>
      <xdr:colOff>1390649</xdr:colOff>
      <xdr:row>26</xdr:row>
      <xdr:rowOff>123824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45897B2C-43BD-06B2-1491-224168E512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30</xdr:col>
      <xdr:colOff>47624</xdr:colOff>
      <xdr:row>7</xdr:row>
      <xdr:rowOff>161924</xdr:rowOff>
    </xdr:from>
    <xdr:to>
      <xdr:col>38</xdr:col>
      <xdr:colOff>476250</xdr:colOff>
      <xdr:row>30</xdr:row>
      <xdr:rowOff>38100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88DB7A1E-67A4-4E06-3AAB-52C749033F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155762</xdr:colOff>
      <xdr:row>28</xdr:row>
      <xdr:rowOff>2242</xdr:rowOff>
    </xdr:from>
    <xdr:to>
      <xdr:col>1</xdr:col>
      <xdr:colOff>785533</xdr:colOff>
      <xdr:row>41</xdr:row>
      <xdr:rowOff>49867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Armazém">
              <a:extLst>
                <a:ext uri="{FF2B5EF4-FFF2-40B4-BE49-F238E27FC236}">
                  <a16:creationId xmlns:a16="http://schemas.microsoft.com/office/drawing/2014/main" id="{8EB7E7F4-DCFB-58F2-53C4-62CFC5E6904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rmazém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5762" y="5336242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103.866130324073" createdVersion="8" refreshedVersion="8" minRefreshableVersion="3" recordCount="54" xr:uid="{588D3E8F-ABE7-4B51-98B6-931EA48113AB}">
  <cacheSource type="worksheet">
    <worksheetSource ref="A1:Q55" sheet="Base"/>
  </cacheSource>
  <cacheFields count="19">
    <cacheField name="Armazém" numFmtId="0">
      <sharedItems count="3">
        <s v="Campinas"/>
        <s v="Itajaí"/>
        <s v="Belo Horizonte"/>
      </sharedItems>
    </cacheField>
    <cacheField name="Item" numFmtId="0">
      <sharedItems count="6">
        <s v="Produto A"/>
        <s v="Produto B"/>
        <s v="Produto C"/>
        <s v="Produto D"/>
        <s v="Produto E"/>
        <s v="Produto F"/>
      </sharedItems>
    </cacheField>
    <cacheField name="Lote" numFmtId="0">
      <sharedItems/>
    </cacheField>
    <cacheField name="Volume (Unidades)" numFmtId="0">
      <sharedItems containsSemiMixedTypes="0" containsString="0" containsNumber="1" containsInteger="1" minValue="50" maxValue="700"/>
    </cacheField>
    <cacheField name="Custo (R$/unidades)" numFmtId="164">
      <sharedItems containsSemiMixedTypes="0" containsString="0" containsNumber="1" containsInteger="1" minValue="890" maxValue="1600"/>
    </cacheField>
    <cacheField name="Data de Fabricação" numFmtId="14">
      <sharedItems containsSemiMixedTypes="0" containsNonDate="0" containsDate="1" containsString="0" minDate="2022-04-10T00:00:00" maxDate="2023-06-03T00:00:00"/>
    </cacheField>
    <cacheField name="Validade (Dias)" numFmtId="0">
      <sharedItems containsSemiMixedTypes="0" containsString="0" containsNumber="1" containsInteger="1" minValue="365" maxValue="730"/>
    </cacheField>
    <cacheField name="Status" numFmtId="0">
      <sharedItems containsBlank="1" count="2">
        <m/>
        <s v="Bloqueado"/>
      </sharedItems>
    </cacheField>
    <cacheField name="Razão" numFmtId="0">
      <sharedItems containsBlank="1" count="4">
        <m/>
        <s v="Vencido"/>
        <s v="Avaria"/>
        <s v="Qualidade"/>
      </sharedItems>
    </cacheField>
    <cacheField name="Data Vencimento" numFmtId="14">
      <sharedItems containsSemiMixedTypes="0" containsNonDate="0" containsDate="1" containsString="0" minDate="2023-05-15T00:00:00" maxDate="2025-02-11T00:00:00"/>
    </cacheField>
    <cacheField name="% de Vida útil disponível" numFmtId="9">
      <sharedItems containsSemiMixedTypes="0" containsString="0" containsNumber="1" minValue="-0.105" maxValue="0.9342465753424658"/>
    </cacheField>
    <cacheField name="Valor do Inventário (R$)" numFmtId="164">
      <sharedItems containsSemiMixedTypes="0" containsString="0" containsNumber="1" containsInteger="1" minValue="66750" maxValue="1120000"/>
    </cacheField>
    <cacheField name="Bloqueado" numFmtId="164">
      <sharedItems containsSemiMixedTypes="0" containsString="0" containsNumber="1" containsInteger="1" minValue="0" maxValue="665000"/>
    </cacheField>
    <cacheField name="&lt;25%" numFmtId="164">
      <sharedItems containsSemiMixedTypes="0" containsString="0" containsNumber="1" containsInteger="1" minValue="0" maxValue="382500"/>
    </cacheField>
    <cacheField name="Entre 26% e 40%" numFmtId="164">
      <sharedItems containsSemiMixedTypes="0" containsString="0" containsNumber="1" containsInteger="1" minValue="0" maxValue="157500"/>
    </cacheField>
    <cacheField name="Entre 41% e 50%" numFmtId="164">
      <sharedItems containsSemiMixedTypes="0" containsString="0" containsNumber="1" containsInteger="1" minValue="0" maxValue="66750"/>
    </cacheField>
    <cacheField name="SLOB" numFmtId="164">
      <sharedItems containsSemiMixedTypes="0" containsString="0" containsNumber="1" containsInteger="1" minValue="0" maxValue="665000"/>
    </cacheField>
    <cacheField name="Inv Saudável" numFmtId="0" formula="'Valor do Inventário (R$)'-SLOB" databaseField="0"/>
    <cacheField name="% SLOB" numFmtId="0" formula="SLOB/'Valor do Inventário (R$)'" databaseField="0"/>
  </cacheFields>
  <extLst>
    <ext xmlns:x14="http://schemas.microsoft.com/office/spreadsheetml/2009/9/main" uri="{725AE2AE-9491-48be-B2B4-4EB974FC3084}">
      <x14:pivotCacheDefinition pivotCacheId="146348589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x v="0"/>
    <x v="0"/>
    <s v="Lote001"/>
    <n v="100"/>
    <n v="1050"/>
    <d v="2022-09-24T00:00:00"/>
    <n v="400"/>
    <x v="0"/>
    <x v="0"/>
    <d v="2023-10-29T00:00:00"/>
    <n v="0.3125"/>
    <n v="105000"/>
    <n v="0"/>
    <n v="0"/>
    <n v="78750"/>
    <n v="0"/>
    <n v="78750"/>
  </r>
  <r>
    <x v="1"/>
    <x v="1"/>
    <s v="Lote002"/>
    <n v="200"/>
    <n v="1600"/>
    <d v="2022-08-12T00:00:00"/>
    <n v="730"/>
    <x v="0"/>
    <x v="0"/>
    <d v="2024-08-11T00:00:00"/>
    <n v="0.56438356164383563"/>
    <n v="320000"/>
    <n v="0"/>
    <n v="0"/>
    <n v="0"/>
    <n v="0"/>
    <n v="0"/>
  </r>
  <r>
    <x v="2"/>
    <x v="2"/>
    <s v="Lote003"/>
    <n v="200"/>
    <n v="950"/>
    <d v="2022-05-24T00:00:00"/>
    <n v="365"/>
    <x v="1"/>
    <x v="1"/>
    <d v="2023-05-24T00:00:00"/>
    <n v="-9.0410958904109592E-2"/>
    <n v="190000"/>
    <n v="190000"/>
    <n v="0"/>
    <n v="0"/>
    <n v="0"/>
    <n v="190000"/>
  </r>
  <r>
    <x v="1"/>
    <x v="3"/>
    <s v="Lote004"/>
    <n v="150"/>
    <n v="890"/>
    <d v="2022-04-10T00:00:00"/>
    <n v="400"/>
    <x v="1"/>
    <x v="1"/>
    <d v="2023-05-15T00:00:00"/>
    <n v="-0.105"/>
    <n v="133500"/>
    <n v="133500"/>
    <n v="0"/>
    <n v="0"/>
    <n v="0"/>
    <n v="133500"/>
  </r>
  <r>
    <x v="0"/>
    <x v="4"/>
    <s v="Lote005"/>
    <n v="300"/>
    <n v="1275"/>
    <d v="2022-05-15T00:00:00"/>
    <n v="460"/>
    <x v="0"/>
    <x v="0"/>
    <d v="2023-08-18T00:00:00"/>
    <n v="0.11521739130434783"/>
    <n v="382500"/>
    <n v="0"/>
    <n v="382500"/>
    <n v="0"/>
    <n v="0"/>
    <n v="382500"/>
  </r>
  <r>
    <x v="2"/>
    <x v="5"/>
    <s v="Lote006"/>
    <n v="250"/>
    <n v="980"/>
    <d v="2022-06-23T00:00:00"/>
    <n v="365"/>
    <x v="1"/>
    <x v="2"/>
    <d v="2023-06-23T00:00:00"/>
    <n v="-8.21917808219178E-3"/>
    <n v="245000"/>
    <n v="245000"/>
    <n v="0"/>
    <n v="0"/>
    <n v="0"/>
    <n v="245000"/>
  </r>
  <r>
    <x v="1"/>
    <x v="5"/>
    <s v="Lote007"/>
    <n v="120"/>
    <n v="980"/>
    <d v="2023-03-10T00:00:00"/>
    <n v="365"/>
    <x v="0"/>
    <x v="0"/>
    <d v="2024-03-09T00:00:00"/>
    <n v="0.70410958904109588"/>
    <n v="117600"/>
    <n v="0"/>
    <n v="0"/>
    <n v="0"/>
    <n v="0"/>
    <n v="0"/>
  </r>
  <r>
    <x v="0"/>
    <x v="5"/>
    <s v="Lote008"/>
    <n v="80"/>
    <n v="980"/>
    <d v="2022-12-01T00:00:00"/>
    <n v="365"/>
    <x v="0"/>
    <x v="0"/>
    <d v="2023-12-01T00:00:00"/>
    <n v="0.43287671232876712"/>
    <n v="78400"/>
    <n v="0"/>
    <n v="0"/>
    <n v="0"/>
    <n v="39200"/>
    <n v="39200"/>
  </r>
  <r>
    <x v="2"/>
    <x v="4"/>
    <s v="Lote009"/>
    <n v="220"/>
    <n v="1275"/>
    <d v="2023-04-02T00:00:00"/>
    <n v="460"/>
    <x v="0"/>
    <x v="0"/>
    <d v="2024-07-05T00:00:00"/>
    <n v="0.81521739130434778"/>
    <n v="280500"/>
    <n v="0"/>
    <n v="0"/>
    <n v="0"/>
    <n v="0"/>
    <n v="0"/>
  </r>
  <r>
    <x v="1"/>
    <x v="4"/>
    <s v="Lote010"/>
    <n v="90"/>
    <n v="1275"/>
    <d v="2022-07-19T00:00:00"/>
    <n v="460"/>
    <x v="0"/>
    <x v="0"/>
    <d v="2023-10-22T00:00:00"/>
    <n v="0.2565217391304348"/>
    <n v="114750"/>
    <n v="0"/>
    <n v="0"/>
    <n v="0"/>
    <n v="0"/>
    <n v="0"/>
  </r>
  <r>
    <x v="0"/>
    <x v="4"/>
    <s v="Lote011"/>
    <n v="180"/>
    <n v="1275"/>
    <d v="2023-01-28T00:00:00"/>
    <n v="460"/>
    <x v="0"/>
    <x v="0"/>
    <d v="2024-05-02T00:00:00"/>
    <n v="0.67608695652173911"/>
    <n v="229500"/>
    <n v="0"/>
    <n v="0"/>
    <n v="0"/>
    <n v="0"/>
    <n v="0"/>
  </r>
  <r>
    <x v="1"/>
    <x v="3"/>
    <s v="Lote012"/>
    <n v="75"/>
    <n v="890"/>
    <d v="2022-11-30T00:00:00"/>
    <n v="400"/>
    <x v="0"/>
    <x v="0"/>
    <d v="2024-01-04T00:00:00"/>
    <n v="0.48"/>
    <n v="66750"/>
    <n v="0"/>
    <n v="0"/>
    <n v="0"/>
    <n v="33375"/>
    <n v="33375"/>
  </r>
  <r>
    <x v="2"/>
    <x v="3"/>
    <s v="Lote013"/>
    <n v="120"/>
    <n v="890"/>
    <d v="2022-10-12T00:00:00"/>
    <n v="400"/>
    <x v="0"/>
    <x v="0"/>
    <d v="2023-11-16T00:00:00"/>
    <n v="0.35749999999999998"/>
    <n v="106800"/>
    <n v="0"/>
    <n v="0"/>
    <n v="80100"/>
    <n v="0"/>
    <n v="80100"/>
  </r>
  <r>
    <x v="1"/>
    <x v="2"/>
    <s v="Lote014"/>
    <n v="200"/>
    <n v="950"/>
    <d v="2023-05-25T00:00:00"/>
    <n v="365"/>
    <x v="1"/>
    <x v="2"/>
    <d v="2024-05-24T00:00:00"/>
    <n v="0.9123287671232877"/>
    <n v="190000"/>
    <n v="190000"/>
    <n v="0"/>
    <n v="0"/>
    <n v="0"/>
    <n v="190000"/>
  </r>
  <r>
    <x v="0"/>
    <x v="2"/>
    <s v="Lote015"/>
    <n v="150"/>
    <n v="950"/>
    <d v="2023-06-02T00:00:00"/>
    <n v="365"/>
    <x v="0"/>
    <x v="0"/>
    <d v="2024-06-01T00:00:00"/>
    <n v="0.9342465753424658"/>
    <n v="142500"/>
    <n v="0"/>
    <n v="0"/>
    <n v="0"/>
    <n v="0"/>
    <n v="0"/>
  </r>
  <r>
    <x v="2"/>
    <x v="1"/>
    <s v="Lote016"/>
    <n v="80"/>
    <n v="1600"/>
    <d v="2022-08-28T00:00:00"/>
    <n v="730"/>
    <x v="0"/>
    <x v="0"/>
    <d v="2024-08-27T00:00:00"/>
    <n v="0.58630136986301373"/>
    <n v="128000"/>
    <n v="0"/>
    <n v="0"/>
    <n v="0"/>
    <n v="0"/>
    <n v="0"/>
  </r>
  <r>
    <x v="1"/>
    <x v="1"/>
    <s v="Lote017"/>
    <n v="110"/>
    <n v="1600"/>
    <d v="2023-02-11T00:00:00"/>
    <n v="730"/>
    <x v="0"/>
    <x v="0"/>
    <d v="2025-02-10T00:00:00"/>
    <n v="0.81506849315068497"/>
    <n v="176000"/>
    <n v="0"/>
    <n v="0"/>
    <n v="0"/>
    <n v="0"/>
    <n v="0"/>
  </r>
  <r>
    <x v="0"/>
    <x v="0"/>
    <s v="Lote018"/>
    <n v="250"/>
    <n v="1050"/>
    <d v="2022-12-10T00:00:00"/>
    <n v="400"/>
    <x v="1"/>
    <x v="3"/>
    <d v="2024-01-14T00:00:00"/>
    <n v="0.505"/>
    <n v="262500"/>
    <n v="262500"/>
    <n v="0"/>
    <n v="0"/>
    <n v="0"/>
    <n v="262500"/>
  </r>
  <r>
    <x v="1"/>
    <x v="0"/>
    <s v="Lote019"/>
    <n v="70"/>
    <n v="1050"/>
    <d v="2023-01-15T00:00:00"/>
    <n v="400"/>
    <x v="0"/>
    <x v="0"/>
    <d v="2024-02-19T00:00:00"/>
    <n v="0.59499999999999997"/>
    <n v="73500"/>
    <n v="0"/>
    <n v="0"/>
    <n v="0"/>
    <n v="0"/>
    <n v="0"/>
  </r>
  <r>
    <x v="2"/>
    <x v="0"/>
    <s v="Lote020"/>
    <n v="180"/>
    <n v="1050"/>
    <d v="2022-09-06T00:00:00"/>
    <n v="400"/>
    <x v="0"/>
    <x v="0"/>
    <d v="2023-10-11T00:00:00"/>
    <n v="0.26750000000000002"/>
    <n v="189000"/>
    <n v="0"/>
    <n v="0"/>
    <n v="141750"/>
    <n v="0"/>
    <n v="141750"/>
  </r>
  <r>
    <x v="0"/>
    <x v="0"/>
    <s v="Lote021"/>
    <n v="100"/>
    <n v="1050"/>
    <d v="2022-06-24T00:00:00"/>
    <n v="400"/>
    <x v="0"/>
    <x v="0"/>
    <d v="2023-07-29T00:00:00"/>
    <n v="8.2500000000000004E-2"/>
    <n v="105000"/>
    <n v="0"/>
    <n v="105000"/>
    <n v="0"/>
    <n v="0"/>
    <n v="105000"/>
  </r>
  <r>
    <x v="1"/>
    <x v="1"/>
    <s v="Lote022"/>
    <n v="50"/>
    <n v="1600"/>
    <d v="2023-01-12T00:00:00"/>
    <n v="730"/>
    <x v="1"/>
    <x v="3"/>
    <d v="2025-01-11T00:00:00"/>
    <n v="0.77397260273972601"/>
    <n v="80000"/>
    <n v="80000"/>
    <n v="0"/>
    <n v="0"/>
    <n v="0"/>
    <n v="80000"/>
  </r>
  <r>
    <x v="2"/>
    <x v="2"/>
    <s v="Lote023"/>
    <n v="200"/>
    <n v="950"/>
    <d v="2023-01-05T00:00:00"/>
    <n v="365"/>
    <x v="0"/>
    <x v="0"/>
    <d v="2024-01-05T00:00:00"/>
    <n v="0.52876712328767128"/>
    <n v="190000"/>
    <n v="0"/>
    <n v="0"/>
    <n v="0"/>
    <n v="0"/>
    <n v="0"/>
  </r>
  <r>
    <x v="1"/>
    <x v="3"/>
    <s v="Lote024"/>
    <n v="150"/>
    <n v="890"/>
    <d v="2022-11-30T00:00:00"/>
    <n v="400"/>
    <x v="0"/>
    <x v="0"/>
    <d v="2024-01-04T00:00:00"/>
    <n v="0.48"/>
    <n v="133500"/>
    <n v="0"/>
    <n v="0"/>
    <n v="0"/>
    <n v="66750"/>
    <n v="66750"/>
  </r>
  <r>
    <x v="0"/>
    <x v="4"/>
    <s v="Lote025"/>
    <n v="300"/>
    <n v="1275"/>
    <d v="2022-05-15T00:00:00"/>
    <n v="460"/>
    <x v="0"/>
    <x v="0"/>
    <d v="2023-08-18T00:00:00"/>
    <n v="0.11521739130434783"/>
    <n v="382500"/>
    <n v="0"/>
    <n v="382500"/>
    <n v="0"/>
    <n v="0"/>
    <n v="382500"/>
  </r>
  <r>
    <x v="2"/>
    <x v="5"/>
    <s v="Lote026"/>
    <n v="250"/>
    <n v="980"/>
    <d v="2022-09-20T00:00:00"/>
    <n v="365"/>
    <x v="0"/>
    <x v="0"/>
    <d v="2023-09-20T00:00:00"/>
    <n v="0.23561643835616439"/>
    <n v="245000"/>
    <n v="0"/>
    <n v="245000"/>
    <n v="0"/>
    <n v="0"/>
    <n v="245000"/>
  </r>
  <r>
    <x v="1"/>
    <x v="5"/>
    <s v="Lote027"/>
    <n v="120"/>
    <n v="980"/>
    <d v="2023-03-10T00:00:00"/>
    <n v="365"/>
    <x v="0"/>
    <x v="0"/>
    <d v="2024-03-09T00:00:00"/>
    <n v="0.70410958904109588"/>
    <n v="117600"/>
    <n v="0"/>
    <n v="0"/>
    <n v="0"/>
    <n v="0"/>
    <n v="0"/>
  </r>
  <r>
    <x v="0"/>
    <x v="5"/>
    <s v="Lote028"/>
    <n v="80"/>
    <n v="980"/>
    <d v="2022-12-01T00:00:00"/>
    <n v="365"/>
    <x v="0"/>
    <x v="0"/>
    <d v="2023-12-01T00:00:00"/>
    <n v="0.43287671232876712"/>
    <n v="78400"/>
    <n v="0"/>
    <n v="0"/>
    <n v="0"/>
    <n v="39200"/>
    <n v="39200"/>
  </r>
  <r>
    <x v="2"/>
    <x v="4"/>
    <s v="Lote029"/>
    <n v="220"/>
    <n v="1275"/>
    <d v="2023-04-02T00:00:00"/>
    <n v="460"/>
    <x v="0"/>
    <x v="0"/>
    <d v="2024-07-05T00:00:00"/>
    <n v="0.81521739130434778"/>
    <n v="280500"/>
    <n v="0"/>
    <n v="0"/>
    <n v="0"/>
    <n v="0"/>
    <n v="0"/>
  </r>
  <r>
    <x v="1"/>
    <x v="4"/>
    <s v="Lote030"/>
    <n v="90"/>
    <n v="1275"/>
    <d v="2022-07-19T00:00:00"/>
    <n v="460"/>
    <x v="0"/>
    <x v="0"/>
    <d v="2023-10-22T00:00:00"/>
    <n v="0.2565217391304348"/>
    <n v="114750"/>
    <n v="0"/>
    <n v="0"/>
    <n v="0"/>
    <n v="0"/>
    <n v="0"/>
  </r>
  <r>
    <x v="0"/>
    <x v="4"/>
    <s v="Lote031"/>
    <n v="180"/>
    <n v="1275"/>
    <d v="2023-01-28T00:00:00"/>
    <n v="460"/>
    <x v="0"/>
    <x v="0"/>
    <d v="2024-05-02T00:00:00"/>
    <n v="0.67608695652173911"/>
    <n v="229500"/>
    <n v="0"/>
    <n v="0"/>
    <n v="0"/>
    <n v="0"/>
    <n v="0"/>
  </r>
  <r>
    <x v="1"/>
    <x v="3"/>
    <s v="Lote032"/>
    <n v="75"/>
    <n v="890"/>
    <d v="2022-11-30T00:00:00"/>
    <n v="400"/>
    <x v="0"/>
    <x v="0"/>
    <d v="2024-01-04T00:00:00"/>
    <n v="0.48"/>
    <n v="66750"/>
    <n v="0"/>
    <n v="0"/>
    <n v="0"/>
    <n v="33375"/>
    <n v="33375"/>
  </r>
  <r>
    <x v="2"/>
    <x v="3"/>
    <s v="Lote033"/>
    <n v="120"/>
    <n v="890"/>
    <d v="2022-10-12T00:00:00"/>
    <n v="400"/>
    <x v="0"/>
    <x v="0"/>
    <d v="2023-11-16T00:00:00"/>
    <n v="0.35749999999999998"/>
    <n v="106800"/>
    <n v="0"/>
    <n v="0"/>
    <n v="80100"/>
    <n v="0"/>
    <n v="80100"/>
  </r>
  <r>
    <x v="1"/>
    <x v="2"/>
    <s v="Lote034"/>
    <n v="200"/>
    <n v="950"/>
    <d v="2023-05-25T00:00:00"/>
    <n v="365"/>
    <x v="0"/>
    <x v="0"/>
    <d v="2024-05-24T00:00:00"/>
    <n v="0.9123287671232877"/>
    <n v="190000"/>
    <n v="0"/>
    <n v="0"/>
    <n v="0"/>
    <n v="0"/>
    <n v="0"/>
  </r>
  <r>
    <x v="0"/>
    <x v="2"/>
    <s v="Lote035"/>
    <n v="150"/>
    <n v="950"/>
    <d v="2023-06-02T00:00:00"/>
    <n v="365"/>
    <x v="0"/>
    <x v="0"/>
    <d v="2024-06-01T00:00:00"/>
    <n v="0.9342465753424658"/>
    <n v="142500"/>
    <n v="0"/>
    <n v="0"/>
    <n v="0"/>
    <n v="0"/>
    <n v="0"/>
  </r>
  <r>
    <x v="2"/>
    <x v="1"/>
    <s v="Lote036"/>
    <n v="80"/>
    <n v="1600"/>
    <d v="2022-08-28T00:00:00"/>
    <n v="730"/>
    <x v="1"/>
    <x v="3"/>
    <d v="2024-08-27T00:00:00"/>
    <n v="0.58630136986301373"/>
    <n v="128000"/>
    <n v="128000"/>
    <n v="0"/>
    <n v="0"/>
    <n v="0"/>
    <n v="128000"/>
  </r>
  <r>
    <x v="1"/>
    <x v="1"/>
    <s v="Lote037"/>
    <n v="110"/>
    <n v="1600"/>
    <d v="2023-02-11T00:00:00"/>
    <n v="730"/>
    <x v="0"/>
    <x v="0"/>
    <d v="2025-02-10T00:00:00"/>
    <n v="0.81506849315068497"/>
    <n v="176000"/>
    <n v="0"/>
    <n v="0"/>
    <n v="0"/>
    <n v="0"/>
    <n v="0"/>
  </r>
  <r>
    <x v="0"/>
    <x v="0"/>
    <s v="Lote038"/>
    <n v="250"/>
    <n v="1050"/>
    <d v="2022-12-10T00:00:00"/>
    <n v="400"/>
    <x v="0"/>
    <x v="0"/>
    <d v="2024-01-14T00:00:00"/>
    <n v="0.505"/>
    <n v="262500"/>
    <n v="0"/>
    <n v="0"/>
    <n v="0"/>
    <n v="0"/>
    <n v="0"/>
  </r>
  <r>
    <x v="1"/>
    <x v="0"/>
    <s v="Lote039"/>
    <n v="70"/>
    <n v="1050"/>
    <d v="2023-01-15T00:00:00"/>
    <n v="400"/>
    <x v="0"/>
    <x v="0"/>
    <d v="2024-02-19T00:00:00"/>
    <n v="0.59499999999999997"/>
    <n v="73500"/>
    <n v="0"/>
    <n v="0"/>
    <n v="0"/>
    <n v="0"/>
    <n v="0"/>
  </r>
  <r>
    <x v="2"/>
    <x v="0"/>
    <s v="Lote040"/>
    <n v="180"/>
    <n v="1050"/>
    <d v="2022-09-06T00:00:00"/>
    <n v="400"/>
    <x v="0"/>
    <x v="0"/>
    <d v="2023-10-11T00:00:00"/>
    <n v="0.26750000000000002"/>
    <n v="189000"/>
    <n v="0"/>
    <n v="0"/>
    <n v="141750"/>
    <n v="0"/>
    <n v="141750"/>
  </r>
  <r>
    <x v="1"/>
    <x v="0"/>
    <s v="Lote1999"/>
    <n v="75"/>
    <n v="1050"/>
    <d v="2022-11-30T00:00:00"/>
    <n v="400"/>
    <x v="0"/>
    <x v="0"/>
    <d v="2024-01-04T00:00:00"/>
    <n v="0.48"/>
    <n v="78750"/>
    <n v="0"/>
    <n v="0"/>
    <n v="0"/>
    <n v="39375"/>
    <n v="39375"/>
  </r>
  <r>
    <x v="0"/>
    <x v="0"/>
    <s v="Lote2000"/>
    <n v="150"/>
    <n v="1050"/>
    <d v="2023-01-15T00:00:00"/>
    <n v="400"/>
    <x v="0"/>
    <x v="0"/>
    <d v="2024-02-19T00:00:00"/>
    <n v="0.59499999999999997"/>
    <n v="157500"/>
    <n v="0"/>
    <n v="0"/>
    <n v="0"/>
    <n v="0"/>
    <n v="0"/>
  </r>
  <r>
    <x v="2"/>
    <x v="0"/>
    <s v="Lote001"/>
    <n v="200"/>
    <n v="1050"/>
    <d v="2022-09-24T00:00:00"/>
    <n v="400"/>
    <x v="0"/>
    <x v="0"/>
    <d v="2023-10-29T00:00:00"/>
    <n v="0.3125"/>
    <n v="210000"/>
    <n v="0"/>
    <n v="0"/>
    <n v="157500"/>
    <n v="0"/>
    <n v="157500"/>
  </r>
  <r>
    <x v="2"/>
    <x v="0"/>
    <s v="Lote2000"/>
    <n v="150"/>
    <n v="1050"/>
    <d v="2023-01-15T00:00:00"/>
    <n v="400"/>
    <x v="0"/>
    <x v="0"/>
    <d v="2024-02-19T00:00:00"/>
    <n v="0.59499999999999997"/>
    <n v="157500"/>
    <n v="0"/>
    <n v="0"/>
    <n v="0"/>
    <n v="0"/>
    <n v="0"/>
  </r>
  <r>
    <x v="1"/>
    <x v="0"/>
    <s v="Lote2000"/>
    <n v="300"/>
    <n v="1050"/>
    <d v="2023-01-15T00:00:00"/>
    <n v="400"/>
    <x v="0"/>
    <x v="0"/>
    <d v="2024-02-19T00:00:00"/>
    <n v="0.59499999999999997"/>
    <n v="315000"/>
    <n v="0"/>
    <n v="0"/>
    <n v="0"/>
    <n v="0"/>
    <n v="0"/>
  </r>
  <r>
    <x v="0"/>
    <x v="1"/>
    <s v="Lote002"/>
    <n v="500"/>
    <n v="1600"/>
    <d v="2022-08-12T00:00:00"/>
    <n v="730"/>
    <x v="0"/>
    <x v="0"/>
    <d v="2024-08-11T00:00:00"/>
    <n v="0.56438356164383563"/>
    <n v="800000"/>
    <n v="0"/>
    <n v="0"/>
    <n v="0"/>
    <n v="0"/>
    <n v="0"/>
  </r>
  <r>
    <x v="2"/>
    <x v="1"/>
    <s v="Lote002"/>
    <n v="700"/>
    <n v="1600"/>
    <d v="2022-08-12T00:00:00"/>
    <n v="730"/>
    <x v="0"/>
    <x v="0"/>
    <d v="2024-08-11T00:00:00"/>
    <n v="0.56438356164383563"/>
    <n v="1120000"/>
    <n v="0"/>
    <n v="0"/>
    <n v="0"/>
    <n v="0"/>
    <n v="0"/>
  </r>
  <r>
    <x v="0"/>
    <x v="1"/>
    <s v="Lote037"/>
    <n v="300"/>
    <n v="1600"/>
    <d v="2023-02-11T00:00:00"/>
    <n v="730"/>
    <x v="0"/>
    <x v="0"/>
    <d v="2025-02-10T00:00:00"/>
    <n v="0.81506849315068497"/>
    <n v="480000"/>
    <n v="0"/>
    <n v="0"/>
    <n v="0"/>
    <n v="0"/>
    <n v="0"/>
  </r>
  <r>
    <x v="0"/>
    <x v="2"/>
    <s v="Lote003"/>
    <n v="500"/>
    <n v="950"/>
    <d v="2022-05-24T00:00:00"/>
    <n v="365"/>
    <x v="1"/>
    <x v="1"/>
    <d v="2023-05-24T00:00:00"/>
    <n v="-9.0410958904109592E-2"/>
    <n v="475000"/>
    <n v="475000"/>
    <n v="0"/>
    <n v="0"/>
    <n v="0"/>
    <n v="475000"/>
  </r>
  <r>
    <x v="1"/>
    <x v="2"/>
    <s v="Lote003"/>
    <n v="700"/>
    <n v="950"/>
    <d v="2022-05-24T00:00:00"/>
    <n v="365"/>
    <x v="1"/>
    <x v="1"/>
    <d v="2023-05-24T00:00:00"/>
    <n v="-9.0410958904109592E-2"/>
    <n v="665000"/>
    <n v="665000"/>
    <n v="0"/>
    <n v="0"/>
    <n v="0"/>
    <n v="665000"/>
  </r>
  <r>
    <x v="2"/>
    <x v="3"/>
    <s v="Lote004"/>
    <n v="130"/>
    <n v="890"/>
    <d v="2022-04-10T00:00:00"/>
    <n v="400"/>
    <x v="1"/>
    <x v="1"/>
    <d v="2023-05-15T00:00:00"/>
    <n v="-0.105"/>
    <n v="115700"/>
    <n v="115700"/>
    <n v="0"/>
    <n v="0"/>
    <n v="0"/>
    <n v="115700"/>
  </r>
  <r>
    <x v="2"/>
    <x v="4"/>
    <s v="Lote005"/>
    <n v="150"/>
    <n v="1275"/>
    <d v="2022-05-15T00:00:00"/>
    <n v="460"/>
    <x v="0"/>
    <x v="0"/>
    <d v="2023-08-18T00:00:00"/>
    <n v="0.11521739130434783"/>
    <n v="191250"/>
    <n v="0"/>
    <n v="191250"/>
    <n v="0"/>
    <n v="0"/>
    <n v="191250"/>
  </r>
  <r>
    <x v="1"/>
    <x v="4"/>
    <s v="Lote005"/>
    <n v="250"/>
    <n v="1275"/>
    <d v="2022-05-15T00:00:00"/>
    <n v="460"/>
    <x v="0"/>
    <x v="0"/>
    <d v="2023-08-18T00:00:00"/>
    <n v="0.11521739130434783"/>
    <n v="318750"/>
    <n v="0"/>
    <n v="318750"/>
    <n v="0"/>
    <n v="0"/>
    <n v="318750"/>
  </r>
  <r>
    <x v="0"/>
    <x v="5"/>
    <s v="Lote006"/>
    <n v="200"/>
    <n v="980"/>
    <d v="2022-06-23T00:00:00"/>
    <n v="365"/>
    <x v="1"/>
    <x v="1"/>
    <d v="2023-06-23T00:00:00"/>
    <n v="-8.21917808219178E-3"/>
    <n v="196000"/>
    <n v="196000"/>
    <n v="0"/>
    <n v="0"/>
    <n v="0"/>
    <n v="196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6C31E2-0BE3-4397-BB12-1A9EFBD91BF3}" name="Tabela dinâmica3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24">
  <location ref="H28:K34" firstHeaderRow="0" firstDataRow="1" firstDataCol="1"/>
  <pivotFields count="19">
    <pivotField showAll="0">
      <items count="4">
        <item h="1" x="2"/>
        <item h="1" x="0"/>
        <item x="1"/>
        <item t="default"/>
      </items>
    </pivotField>
    <pivotField axis="axisRow" showAll="0" sortType="descending">
      <items count="7">
        <item x="5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numFmtId="14" showAll="0"/>
    <pivotField showAll="0"/>
    <pivotField showAll="0"/>
    <pivotField showAll="0"/>
    <pivotField numFmtId="14" showAll="0"/>
    <pivotField numFmtId="9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dataField="1" dragToRow="0" dragToCol="0" dragToPage="0" showAll="0" defaultSubtotal="0"/>
    <pivotField dataField="1" dragToRow="0" dragToCol="0" dragToPage="0" showAll="0" defaultSubtotal="0"/>
  </pivotFields>
  <rowFields count="1">
    <field x="1"/>
  </rowFields>
  <rowItems count="6">
    <i>
      <x v="4"/>
    </i>
    <i>
      <x v="5"/>
    </i>
    <i>
      <x/>
    </i>
    <i>
      <x v="1"/>
    </i>
    <i>
      <x v="3"/>
    </i>
    <i>
      <x v="2"/>
    </i>
  </rowItems>
  <colFields count="1">
    <field x="-2"/>
  </colFields>
  <colItems count="3">
    <i>
      <x/>
    </i>
    <i i="1">
      <x v="1"/>
    </i>
    <i i="2">
      <x v="2"/>
    </i>
  </colItems>
  <dataFields count="3">
    <dataField name="Soma de Inv Saudável" fld="17" baseField="0" baseItem="0" numFmtId="164"/>
    <dataField name="Soma de SLOB" fld="16" baseField="0" baseItem="0"/>
    <dataField name="Soma de % SLOB" fld="18" baseField="0" baseItem="0" numFmtId="9"/>
  </dataFields>
  <formats count="2">
    <format dxfId="1">
      <pivotArea outline="0" collapsedLevelsAreSubtotals="1" fieldPosition="0"/>
    </format>
    <format dxfId="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6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0F5EAB-0839-41C4-9187-7ECEABB691CD}" name="Tabela dinâmica5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9">
  <location ref="H3:K4" firstHeaderRow="0" firstDataRow="1" firstDataCol="1"/>
  <pivotFields count="19">
    <pivotField axis="axisRow" showAll="0">
      <items count="4">
        <item h="1" x="2"/>
        <item h="1" x="0"/>
        <item x="1"/>
        <item t="default"/>
      </items>
    </pivotField>
    <pivotField showAll="0" sortType="descending">
      <items count="7">
        <item x="5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numFmtId="14" showAll="0"/>
    <pivotField showAll="0"/>
    <pivotField showAll="0"/>
    <pivotField showAll="0"/>
    <pivotField numFmtId="14" showAll="0"/>
    <pivotField numFmtId="9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dataField="1" dragToRow="0" dragToCol="0" dragToPage="0" showAll="0" defaultSubtotal="0"/>
    <pivotField dataField="1" dragToRow="0" dragToCol="0" dragToPage="0" showAll="0" defaultSubtotal="0"/>
  </pivotFields>
  <rowFields count="1">
    <field x="0"/>
  </rowFields>
  <rowItems count="1">
    <i>
      <x v="2"/>
    </i>
  </rowItems>
  <colFields count="1">
    <field x="-2"/>
  </colFields>
  <colItems count="3">
    <i>
      <x/>
    </i>
    <i i="1">
      <x v="1"/>
    </i>
    <i i="2">
      <x v="2"/>
    </i>
  </colItems>
  <dataFields count="3">
    <dataField name="Soma de Inv Saudável" fld="17" baseField="0" baseItem="0" numFmtId="164"/>
    <dataField name="Soma de SLOB" fld="16" baseField="0" baseItem="0"/>
    <dataField name="Soma de % SLOB" fld="18" baseField="0" baseItem="0" numFmtId="9"/>
  </dataFields>
  <formats count="2">
    <format dxfId="3">
      <pivotArea outline="0" collapsedLevelsAreSubtotals="1" fieldPosition="0"/>
    </format>
    <format dxfId="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3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512C05-E14B-48BF-BF0A-BB5FEEB54A27}" name="Tabela dinâmica2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7">
  <location ref="D3:E9" firstHeaderRow="1" firstDataRow="1" firstDataCol="1"/>
  <pivotFields count="19">
    <pivotField showAll="0">
      <items count="4">
        <item h="1" x="2"/>
        <item h="1" x="0"/>
        <item x="1"/>
        <item t="default"/>
      </items>
    </pivotField>
    <pivotField axis="axisRow" showAll="0" sortType="descending">
      <items count="7">
        <item x="5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numFmtId="14" showAll="0"/>
    <pivotField showAll="0"/>
    <pivotField showAll="0"/>
    <pivotField showAll="0"/>
    <pivotField numFmtId="14" showAll="0"/>
    <pivotField numFmtId="9" showAll="0"/>
    <pivotField dataField="1" numFmtId="164" showAll="0"/>
    <pivotField numFmtId="164" showAll="0"/>
    <pivotField numFmtId="164" showAll="0"/>
    <pivotField numFmtId="164" showAll="0"/>
    <pivotField numFmtId="164" showAll="0"/>
    <pivotField numFmtId="164" showAl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6">
    <i>
      <x v="3"/>
    </i>
    <i>
      <x v="4"/>
    </i>
    <i>
      <x v="1"/>
    </i>
    <i>
      <x v="5"/>
    </i>
    <i>
      <x v="2"/>
    </i>
    <i>
      <x/>
    </i>
  </rowItems>
  <colItems count="1">
    <i/>
  </colItems>
  <dataFields count="1">
    <dataField name="Soma de Valor do Inventário (R$)" fld="11" baseField="0" baseItem="0" numFmtId="164"/>
  </dataFields>
  <formats count="1">
    <format dxfId="4">
      <pivotArea outline="0" collapsedLevelsAreSubtotals="1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B980DE-40D3-4B1C-9218-3E48DDB95B3B}" name="Tabela dinâmica6" cacheId="0" applyNumberFormats="0" applyBorderFormats="0" applyFontFormats="0" applyPatternFormats="0" applyAlignmentFormats="0" applyWidthHeightFormats="1" dataCaption="Valores" missingCaption="0" showMissing="0" updatedVersion="8" minRefreshableVersion="3" useAutoFormatting="1" rowGrandTotals="0" colGrandTotals="0" itemPrintTitles="1" createdVersion="8" indent="0" outline="1" outlineData="1" multipleFieldFilters="0" chartFormat="30">
  <location ref="AB3:AC5" firstHeaderRow="1" firstDataRow="1" firstDataCol="1"/>
  <pivotFields count="19">
    <pivotField showAll="0">
      <items count="4">
        <item h="1" x="2"/>
        <item h="1" x="0"/>
        <item x="1"/>
        <item t="default"/>
      </items>
    </pivotField>
    <pivotField showAll="0">
      <items count="7">
        <item x="5"/>
        <item x="4"/>
        <item x="3"/>
        <item x="2"/>
        <item x="1"/>
        <item x="0"/>
        <item t="default"/>
      </items>
    </pivotField>
    <pivotField showAll="0"/>
    <pivotField showAll="0"/>
    <pivotField numFmtId="164" showAll="0"/>
    <pivotField numFmtId="14" showAll="0"/>
    <pivotField showAll="0"/>
    <pivotField axis="axisRow" showAll="0">
      <items count="3">
        <item x="1"/>
        <item x="0"/>
        <item t="default"/>
      </items>
    </pivotField>
    <pivotField showAll="0"/>
    <pivotField numFmtId="14" showAll="0"/>
    <pivotField numFmtId="9" showAll="0"/>
    <pivotField dataField="1" numFmtId="164" showAll="0"/>
    <pivotField numFmtId="164" showAll="0"/>
    <pivotField numFmtId="164" showAll="0"/>
    <pivotField numFmtId="164" showAll="0"/>
    <pivotField numFmtId="164" showAll="0"/>
    <pivotField numFmtId="164" showAll="0"/>
    <pivotField dragToRow="0" dragToCol="0" dragToPage="0" showAll="0" defaultSubtotal="0"/>
    <pivotField dragToRow="0" dragToCol="0" dragToPage="0" showAll="0" defaultSubtotal="0"/>
  </pivotFields>
  <rowFields count="1">
    <field x="7"/>
  </rowFields>
  <rowItems count="2">
    <i>
      <x/>
    </i>
    <i>
      <x v="1"/>
    </i>
  </rowItems>
  <colItems count="1">
    <i/>
  </colItems>
  <dataFields count="1">
    <dataField name="Soma de Valor do Inventário (R$)" fld="11" baseField="0" baseItem="0"/>
  </dataFields>
  <formats count="1">
    <format dxfId="5">
      <pivotArea outline="0" collapsedLevelsAreSubtotals="1" fieldPosition="0"/>
    </format>
  </formats>
  <chartFormats count="3">
    <chartFormat chart="2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9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CEEF1C-2499-4FB0-9529-9D0BE0667638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3:B5" firstHeaderRow="1" firstDataRow="1" firstDataCol="1"/>
  <pivotFields count="19">
    <pivotField axis="axisRow" showAll="0" sortType="descending">
      <items count="4">
        <item h="1" x="2"/>
        <item h="1"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64" showAll="0"/>
    <pivotField numFmtId="14" showAll="0"/>
    <pivotField showAll="0"/>
    <pivotField showAll="0"/>
    <pivotField showAll="0"/>
    <pivotField numFmtId="14" showAll="0"/>
    <pivotField numFmtId="9" showAll="0"/>
    <pivotField dataField="1" numFmtId="164" showAll="0"/>
    <pivotField numFmtId="164" showAll="0"/>
    <pivotField numFmtId="164" showAll="0"/>
    <pivotField numFmtId="164" showAll="0"/>
    <pivotField numFmtId="164" showAll="0"/>
    <pivotField numFmtId="164" showAl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2">
    <i>
      <x v="2"/>
    </i>
    <i t="grand">
      <x/>
    </i>
  </rowItems>
  <colItems count="1">
    <i/>
  </colItems>
  <dataFields count="1">
    <dataField name="Soma de Valor do Inventário (R$)" fld="11" baseField="0" baseItem="0" numFmtId="164"/>
  </dataFields>
  <formats count="1">
    <format dxfId="6">
      <pivotArea outline="0" collapsedLevelsAreSubtotals="1" fieldPosition="0"/>
    </format>
  </format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4E7BEC-B542-4EC7-9688-D7036E483790}" name="Tabela dinâmica7" cacheId="0" applyNumberFormats="0" applyBorderFormats="0" applyFontFormats="0" applyPatternFormats="0" applyAlignmentFormats="0" applyWidthHeightFormats="1" dataCaption="Valores" missingCaption="0" showMissing="0" updatedVersion="8" minRefreshableVersion="3" useAutoFormatting="1" rowGrandTotals="0" colGrandTotals="0" itemPrintTitles="1" createdVersion="8" indent="0" outline="1" outlineData="1" multipleFieldFilters="0" chartFormat="35">
  <location ref="AE3:AI5" firstHeaderRow="1" firstDataRow="2" firstDataCol="1"/>
  <pivotFields count="19">
    <pivotField axis="axisRow" showAll="0">
      <items count="4">
        <item h="1" x="2"/>
        <item h="1" x="0"/>
        <item x="1"/>
        <item t="default"/>
      </items>
    </pivotField>
    <pivotField showAll="0">
      <items count="7">
        <item x="5"/>
        <item x="4"/>
        <item x="3"/>
        <item x="2"/>
        <item x="1"/>
        <item x="0"/>
        <item t="default"/>
      </items>
    </pivotField>
    <pivotField showAll="0"/>
    <pivotField showAll="0"/>
    <pivotField numFmtId="164" showAll="0"/>
    <pivotField numFmtId="14" showAll="0"/>
    <pivotField showAll="0"/>
    <pivotField showAll="0">
      <items count="3">
        <item x="1"/>
        <item x="0"/>
        <item t="default"/>
      </items>
    </pivotField>
    <pivotField axis="axisCol" showAll="0">
      <items count="5">
        <item x="2"/>
        <item x="3"/>
        <item x="1"/>
        <item x="0"/>
        <item t="default"/>
      </items>
    </pivotField>
    <pivotField numFmtId="14" showAll="0"/>
    <pivotField numFmtId="9" showAll="0"/>
    <pivotField dataField="1" numFmtId="164" showAll="0"/>
    <pivotField numFmtId="164" showAll="0"/>
    <pivotField numFmtId="164" showAll="0"/>
    <pivotField numFmtId="164" showAll="0"/>
    <pivotField numFmtId="164" showAll="0"/>
    <pivotField numFmtId="164" showAl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">
    <i>
      <x v="2"/>
    </i>
  </rowItems>
  <colFields count="1">
    <field x="8"/>
  </colFields>
  <colItems count="4">
    <i>
      <x/>
    </i>
    <i>
      <x v="1"/>
    </i>
    <i>
      <x v="2"/>
    </i>
    <i>
      <x v="3"/>
    </i>
  </colItems>
  <dataFields count="1">
    <dataField name="Soma de Valor do Inventário (R$)" fld="11" baseField="0" baseItem="0"/>
  </dataFields>
  <formats count="1">
    <format dxfId="7">
      <pivotArea outline="0" collapsedLevelsAreSubtotals="1" fieldPosition="0"/>
    </format>
  </formats>
  <chartFormats count="5">
    <chartFormat chart="2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4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4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4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F11047-BCB5-4422-8EB4-4F5E52E72219}" name="Tabela dinâmica4" cacheId="0" applyNumberFormats="0" applyBorderFormats="0" applyFontFormats="0" applyPatternFormats="0" applyAlignmentFormats="0" applyWidthHeightFormats="1" dataCaption="Valores" missingCaption="0" showMissing="0" updatedVersion="8" minRefreshableVersion="3" useAutoFormatting="1" rowGrandTotals="0" colGrandTotals="0" itemPrintTitles="1" createdVersion="8" indent="0" outline="1" outlineData="1" multipleFieldFilters="0" chartFormat="27">
  <location ref="O3:S9" firstHeaderRow="0" firstDataRow="1" firstDataCol="1"/>
  <pivotFields count="19">
    <pivotField showAll="0">
      <items count="4">
        <item h="1" x="2"/>
        <item h="1" x="0"/>
        <item x="1"/>
        <item t="default"/>
      </items>
    </pivotField>
    <pivotField axis="axisRow" showAll="0">
      <items count="7">
        <item x="5"/>
        <item x="4"/>
        <item x="3"/>
        <item x="2"/>
        <item x="1"/>
        <item x="0"/>
        <item t="default"/>
      </items>
    </pivotField>
    <pivotField showAll="0"/>
    <pivotField showAll="0"/>
    <pivotField numFmtId="164" showAll="0"/>
    <pivotField numFmtId="14" showAll="0"/>
    <pivotField showAll="0"/>
    <pivotField showAll="0"/>
    <pivotField showAll="0"/>
    <pivotField numFmtId="14" showAll="0"/>
    <pivotField numFmtId="9" showAll="0"/>
    <pivotField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numFmtId="164" showAl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oma de Bloqueado" fld="12" baseField="0" baseItem="0"/>
    <dataField name="Soma de &lt;25%" fld="13" baseField="0" baseItem="0"/>
    <dataField name="Soma de Entre 26% e 40%" fld="14" baseField="0" baseItem="0"/>
    <dataField name="Soma de Entre 41% e 50%" fld="15" baseField="0" baseItem="0"/>
  </dataFields>
  <formats count="1">
    <format dxfId="8">
      <pivotArea outline="0" collapsedLevelsAreSubtotals="1" fieldPosition="0"/>
    </format>
  </formats>
  <chartFormats count="4"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6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6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rmazém" xr10:uid="{9A38E7F9-67B1-495E-BF9C-089AEA44586E}" sourceName="Armazém">
  <pivotTables>
    <pivotTable tabId="8" name="Tabela dinâmica1"/>
    <pivotTable tabId="8" name="Tabela dinâmica2"/>
    <pivotTable tabId="8" name="Tabela dinâmica3"/>
    <pivotTable tabId="8" name="Tabela dinâmica4"/>
    <pivotTable tabId="8" name="Tabela dinâmica5"/>
    <pivotTable tabId="8" name="Tabela dinâmica6"/>
    <pivotTable tabId="8" name="Tabela dinâmica7"/>
  </pivotTables>
  <data>
    <tabular pivotCacheId="1463485897">
      <items count="3">
        <i x="2"/>
        <i x="0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rmazém" xr10:uid="{9D1414D6-4BB2-4D36-97AF-7CC2A057358B}" cache="SegmentaçãodeDados_Armazém" caption="Armazém" rowHeight="241300"/>
</slicer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E9F4C-FA16-49A3-8F61-81FB2F68C759}">
  <dimension ref="C3:D8"/>
  <sheetViews>
    <sheetView showGridLines="0" zoomScale="145" zoomScaleNormal="145" workbookViewId="0">
      <selection activeCell="C7" sqref="C7"/>
    </sheetView>
  </sheetViews>
  <sheetFormatPr defaultRowHeight="15" x14ac:dyDescent="0.25"/>
  <cols>
    <col min="3" max="3" width="4.85546875" style="1" customWidth="1"/>
    <col min="4" max="4" width="61.5703125" bestFit="1" customWidth="1"/>
  </cols>
  <sheetData>
    <row r="3" spans="3:4" x14ac:dyDescent="0.25">
      <c r="C3" s="13"/>
      <c r="D3" t="s">
        <v>1</v>
      </c>
    </row>
    <row r="4" spans="3:4" ht="5.25" customHeight="1" x14ac:dyDescent="0.25"/>
    <row r="5" spans="3:4" x14ac:dyDescent="0.25">
      <c r="C5" s="13"/>
      <c r="D5" t="s">
        <v>0</v>
      </c>
    </row>
    <row r="6" spans="3:4" ht="5.25" customHeight="1" x14ac:dyDescent="0.25"/>
    <row r="7" spans="3:4" x14ac:dyDescent="0.25">
      <c r="C7" s="13"/>
      <c r="D7" t="s">
        <v>2</v>
      </c>
    </row>
    <row r="8" spans="3:4" ht="5.25" customHeight="1" x14ac:dyDescent="0.25"/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20DD-3F8E-467B-AE75-9F40754C5E3F}">
  <dimension ref="A3:AI34"/>
  <sheetViews>
    <sheetView topLeftCell="K1" zoomScale="85" zoomScaleNormal="85" workbookViewId="0">
      <selection activeCell="B36" sqref="B36"/>
    </sheetView>
  </sheetViews>
  <sheetFormatPr defaultRowHeight="15" x14ac:dyDescent="0.25"/>
  <cols>
    <col min="1" max="1" width="18" bestFit="1" customWidth="1"/>
    <col min="2" max="2" width="30.7109375" bestFit="1" customWidth="1"/>
    <col min="4" max="4" width="18" bestFit="1" customWidth="1"/>
    <col min="5" max="5" width="30.7109375" bestFit="1" customWidth="1"/>
    <col min="8" max="8" width="18" bestFit="1" customWidth="1"/>
    <col min="9" max="9" width="20.42578125" bestFit="1" customWidth="1"/>
    <col min="10" max="10" width="13.5703125" bestFit="1" customWidth="1"/>
    <col min="11" max="11" width="15.5703125" bestFit="1" customWidth="1"/>
    <col min="15" max="15" width="18" bestFit="1" customWidth="1"/>
    <col min="16" max="16" width="18.85546875" bestFit="1" customWidth="1"/>
    <col min="17" max="17" width="13.7109375" bestFit="1" customWidth="1"/>
    <col min="18" max="19" width="23.7109375" bestFit="1" customWidth="1"/>
    <col min="28" max="28" width="18" bestFit="1" customWidth="1"/>
    <col min="29" max="29" width="30.7109375" bestFit="1" customWidth="1"/>
    <col min="30" max="30" width="23.7109375" bestFit="1" customWidth="1"/>
    <col min="31" max="31" width="30.7109375" bestFit="1" customWidth="1"/>
    <col min="32" max="32" width="19.5703125" bestFit="1" customWidth="1"/>
    <col min="33" max="33" width="10.7109375" bestFit="1" customWidth="1"/>
    <col min="34" max="34" width="11.7109375" bestFit="1" customWidth="1"/>
    <col min="35" max="35" width="13.42578125" bestFit="1" customWidth="1"/>
  </cols>
  <sheetData>
    <row r="3" spans="1:35" x14ac:dyDescent="0.25">
      <c r="A3" s="11" t="s">
        <v>68</v>
      </c>
      <c r="B3" t="s">
        <v>80</v>
      </c>
      <c r="D3" s="11" t="s">
        <v>68</v>
      </c>
      <c r="E3" t="s">
        <v>80</v>
      </c>
      <c r="H3" s="11" t="s">
        <v>68</v>
      </c>
      <c r="I3" t="s">
        <v>81</v>
      </c>
      <c r="J3" t="s">
        <v>82</v>
      </c>
      <c r="K3" t="s">
        <v>83</v>
      </c>
      <c r="O3" s="11" t="s">
        <v>68</v>
      </c>
      <c r="P3" t="s">
        <v>84</v>
      </c>
      <c r="Q3" t="s">
        <v>85</v>
      </c>
      <c r="R3" t="s">
        <v>86</v>
      </c>
      <c r="S3" t="s">
        <v>87</v>
      </c>
      <c r="AB3" s="11" t="s">
        <v>68</v>
      </c>
      <c r="AC3" t="s">
        <v>80</v>
      </c>
      <c r="AE3" s="11" t="s">
        <v>80</v>
      </c>
      <c r="AF3" s="11" t="s">
        <v>89</v>
      </c>
    </row>
    <row r="4" spans="1:35" x14ac:dyDescent="0.25">
      <c r="A4" s="12" t="s">
        <v>14</v>
      </c>
      <c r="B4" s="2">
        <v>3521700</v>
      </c>
      <c r="D4" s="12" t="s">
        <v>15</v>
      </c>
      <c r="E4" s="2">
        <v>1045000</v>
      </c>
      <c r="H4" s="12" t="s">
        <v>14</v>
      </c>
      <c r="I4" s="2">
        <v>1961575</v>
      </c>
      <c r="J4" s="2">
        <v>1560125</v>
      </c>
      <c r="K4" s="23">
        <v>0.44300337904989068</v>
      </c>
      <c r="O4" s="12" t="s">
        <v>24</v>
      </c>
      <c r="P4" s="2">
        <v>0</v>
      </c>
      <c r="Q4" s="2">
        <v>0</v>
      </c>
      <c r="R4" s="2">
        <v>0</v>
      </c>
      <c r="S4" s="2">
        <v>0</v>
      </c>
      <c r="AB4" s="12" t="s">
        <v>64</v>
      </c>
      <c r="AC4" s="2">
        <v>1068500</v>
      </c>
      <c r="AE4" s="11" t="s">
        <v>68</v>
      </c>
      <c r="AF4" t="s">
        <v>67</v>
      </c>
      <c r="AG4" t="s">
        <v>66</v>
      </c>
      <c r="AH4" t="s">
        <v>65</v>
      </c>
      <c r="AI4" t="s">
        <v>88</v>
      </c>
    </row>
    <row r="5" spans="1:35" x14ac:dyDescent="0.25">
      <c r="A5" s="12" t="s">
        <v>69</v>
      </c>
      <c r="B5" s="2">
        <v>3521700</v>
      </c>
      <c r="D5" s="12" t="s">
        <v>12</v>
      </c>
      <c r="E5" s="2">
        <v>752000</v>
      </c>
      <c r="O5" s="12" t="s">
        <v>22</v>
      </c>
      <c r="P5" s="2">
        <v>0</v>
      </c>
      <c r="Q5" s="2">
        <v>318750</v>
      </c>
      <c r="R5" s="2">
        <v>0</v>
      </c>
      <c r="S5" s="2">
        <v>0</v>
      </c>
      <c r="AB5" s="12" t="s">
        <v>88</v>
      </c>
      <c r="AC5" s="2">
        <v>2453200</v>
      </c>
      <c r="AE5" s="12" t="s">
        <v>14</v>
      </c>
      <c r="AF5" s="2">
        <v>190000</v>
      </c>
      <c r="AG5" s="2">
        <v>80000</v>
      </c>
      <c r="AH5" s="2">
        <v>798500</v>
      </c>
      <c r="AI5" s="2">
        <v>2453200</v>
      </c>
    </row>
    <row r="6" spans="1:35" x14ac:dyDescent="0.25">
      <c r="D6" s="12" t="s">
        <v>22</v>
      </c>
      <c r="E6" s="2">
        <v>548250</v>
      </c>
      <c r="O6" s="12" t="s">
        <v>20</v>
      </c>
      <c r="P6" s="2">
        <v>133500</v>
      </c>
      <c r="Q6" s="2">
        <v>0</v>
      </c>
      <c r="R6" s="2">
        <v>0</v>
      </c>
      <c r="S6" s="2">
        <v>133500</v>
      </c>
    </row>
    <row r="7" spans="1:35" x14ac:dyDescent="0.25">
      <c r="D7" s="12" t="s">
        <v>9</v>
      </c>
      <c r="E7" s="2">
        <v>540750</v>
      </c>
      <c r="O7" s="12" t="s">
        <v>15</v>
      </c>
      <c r="P7" s="2">
        <v>855000</v>
      </c>
      <c r="Q7" s="2">
        <v>0</v>
      </c>
      <c r="R7" s="2">
        <v>0</v>
      </c>
      <c r="S7" s="2">
        <v>0</v>
      </c>
    </row>
    <row r="8" spans="1:35" x14ac:dyDescent="0.25">
      <c r="D8" s="12" t="s">
        <v>20</v>
      </c>
      <c r="E8" s="2">
        <v>400500</v>
      </c>
      <c r="O8" s="12" t="s">
        <v>12</v>
      </c>
      <c r="P8" s="2">
        <v>80000</v>
      </c>
      <c r="Q8" s="2">
        <v>0</v>
      </c>
      <c r="R8" s="2">
        <v>0</v>
      </c>
      <c r="S8" s="2">
        <v>0</v>
      </c>
    </row>
    <row r="9" spans="1:35" x14ac:dyDescent="0.25">
      <c r="D9" s="12" t="s">
        <v>24</v>
      </c>
      <c r="E9" s="2">
        <v>235200</v>
      </c>
      <c r="O9" s="12" t="s">
        <v>9</v>
      </c>
      <c r="P9" s="2">
        <v>0</v>
      </c>
      <c r="Q9" s="2">
        <v>0</v>
      </c>
      <c r="R9" s="2">
        <v>0</v>
      </c>
      <c r="S9" s="2">
        <v>39375</v>
      </c>
    </row>
    <row r="28" spans="8:11" x14ac:dyDescent="0.25">
      <c r="H28" s="11" t="s">
        <v>68</v>
      </c>
      <c r="I28" t="s">
        <v>81</v>
      </c>
      <c r="J28" t="s">
        <v>82</v>
      </c>
      <c r="K28" t="s">
        <v>83</v>
      </c>
    </row>
    <row r="29" spans="8:11" x14ac:dyDescent="0.25">
      <c r="H29" s="12" t="s">
        <v>12</v>
      </c>
      <c r="I29" s="2">
        <v>672000</v>
      </c>
      <c r="J29" s="2">
        <v>80000</v>
      </c>
      <c r="K29" s="23">
        <v>0.10638297872340426</v>
      </c>
    </row>
    <row r="30" spans="8:11" x14ac:dyDescent="0.25">
      <c r="H30" s="12" t="s">
        <v>9</v>
      </c>
      <c r="I30" s="2">
        <v>501375</v>
      </c>
      <c r="J30" s="2">
        <v>39375</v>
      </c>
      <c r="K30" s="23">
        <v>7.281553398058252E-2</v>
      </c>
    </row>
    <row r="31" spans="8:11" x14ac:dyDescent="0.25">
      <c r="H31" s="12" t="s">
        <v>24</v>
      </c>
      <c r="I31" s="2">
        <v>235200</v>
      </c>
      <c r="J31" s="2">
        <v>0</v>
      </c>
      <c r="K31" s="23">
        <v>0</v>
      </c>
    </row>
    <row r="32" spans="8:11" x14ac:dyDescent="0.25">
      <c r="H32" s="12" t="s">
        <v>22</v>
      </c>
      <c r="I32" s="2">
        <v>229500</v>
      </c>
      <c r="J32" s="2">
        <v>318750</v>
      </c>
      <c r="K32" s="23">
        <v>0.58139534883720934</v>
      </c>
    </row>
    <row r="33" spans="8:11" x14ac:dyDescent="0.25">
      <c r="H33" s="12" t="s">
        <v>15</v>
      </c>
      <c r="I33" s="2">
        <v>190000</v>
      </c>
      <c r="J33" s="2">
        <v>855000</v>
      </c>
      <c r="K33" s="23">
        <v>0.81818181818181823</v>
      </c>
    </row>
    <row r="34" spans="8:11" x14ac:dyDescent="0.25">
      <c r="H34" s="12" t="s">
        <v>20</v>
      </c>
      <c r="I34" s="2">
        <v>133500</v>
      </c>
      <c r="J34" s="2">
        <v>267000</v>
      </c>
      <c r="K34" s="23">
        <v>0.66666666666666663</v>
      </c>
    </row>
  </sheetData>
  <pageMargins left="0.511811024" right="0.511811024" top="0.78740157499999996" bottom="0.78740157499999996" header="0.31496062000000002" footer="0.31496062000000002"/>
  <drawing r:id="rId8"/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D7BC7-D97C-49F4-88FC-49B35C136A3B}">
  <dimension ref="A1:V55"/>
  <sheetViews>
    <sheetView showGridLines="0" tabSelected="1" zoomScaleNormal="100" workbookViewId="0">
      <selection activeCell="F5" sqref="F5"/>
    </sheetView>
  </sheetViews>
  <sheetFormatPr defaultRowHeight="16.5" x14ac:dyDescent="0.3"/>
  <cols>
    <col min="1" max="1" width="18.7109375" style="3" customWidth="1"/>
    <col min="2" max="2" width="14.28515625" style="3" customWidth="1"/>
    <col min="3" max="3" width="10.5703125" style="3" customWidth="1"/>
    <col min="4" max="4" width="13.5703125" style="4" customWidth="1"/>
    <col min="5" max="5" width="18.7109375" style="4" customWidth="1"/>
    <col min="6" max="6" width="18.28515625" style="4" customWidth="1"/>
    <col min="7" max="7" width="10.28515625" style="4" customWidth="1"/>
    <col min="8" max="8" width="11.7109375" style="4" bestFit="1" customWidth="1"/>
    <col min="9" max="9" width="11.5703125" style="4" bestFit="1" customWidth="1"/>
    <col min="10" max="10" width="16.42578125" bestFit="1" customWidth="1"/>
    <col min="11" max="11" width="17" customWidth="1"/>
    <col min="12" max="12" width="16.5703125" customWidth="1"/>
    <col min="13" max="14" width="12.140625" bestFit="1" customWidth="1"/>
    <col min="15" max="15" width="15.7109375" bestFit="1" customWidth="1"/>
    <col min="16" max="16" width="16" customWidth="1"/>
    <col min="17" max="17" width="11.85546875" customWidth="1"/>
    <col min="20" max="20" width="9.140625" style="1"/>
    <col min="21" max="21" width="14.7109375" style="1" bestFit="1" customWidth="1"/>
    <col min="22" max="22" width="9.140625" style="1"/>
  </cols>
  <sheetData>
    <row r="1" spans="1:22" s="10" customFormat="1" ht="33.6" customHeight="1" x14ac:dyDescent="0.25">
      <c r="A1" s="8" t="s">
        <v>4</v>
      </c>
      <c r="B1" s="8" t="s">
        <v>3</v>
      </c>
      <c r="C1" s="8" t="s">
        <v>7</v>
      </c>
      <c r="D1" s="9" t="s">
        <v>5</v>
      </c>
      <c r="E1" s="9" t="s">
        <v>6</v>
      </c>
      <c r="F1" s="9" t="s">
        <v>8</v>
      </c>
      <c r="G1" s="9" t="s">
        <v>60</v>
      </c>
      <c r="H1" s="8" t="s">
        <v>62</v>
      </c>
      <c r="I1" s="8" t="s">
        <v>63</v>
      </c>
      <c r="J1" s="14" t="s">
        <v>72</v>
      </c>
      <c r="K1" s="16" t="s">
        <v>74</v>
      </c>
      <c r="L1" s="16" t="s">
        <v>73</v>
      </c>
      <c r="M1" s="16" t="s">
        <v>64</v>
      </c>
      <c r="N1" s="16" t="s">
        <v>70</v>
      </c>
      <c r="O1" s="16" t="s">
        <v>79</v>
      </c>
      <c r="P1" s="16" t="s">
        <v>71</v>
      </c>
      <c r="Q1" s="16" t="s">
        <v>61</v>
      </c>
    </row>
    <row r="2" spans="1:22" x14ac:dyDescent="0.3">
      <c r="A2" s="3" t="s">
        <v>11</v>
      </c>
      <c r="B2" s="3" t="s">
        <v>9</v>
      </c>
      <c r="C2" s="3" t="s">
        <v>10</v>
      </c>
      <c r="D2" s="4">
        <v>100</v>
      </c>
      <c r="E2" s="5">
        <v>1050</v>
      </c>
      <c r="F2" s="7">
        <v>45559</v>
      </c>
      <c r="G2" s="4">
        <v>400</v>
      </c>
      <c r="J2" s="15">
        <f>F2+G2</f>
        <v>45959</v>
      </c>
      <c r="K2" s="17">
        <f ca="1">(G2-(TODAY()-F2))/G2</f>
        <v>-0.21</v>
      </c>
      <c r="L2" s="2">
        <f>D2*E2</f>
        <v>105000</v>
      </c>
      <c r="M2" s="2">
        <f>IF(H2="Bloqueado",L2,0)</f>
        <v>0</v>
      </c>
      <c r="N2" s="2">
        <f ca="1">IF(H2="Bloqueado",0,IF(K2&lt;=0.25,L2,0))</f>
        <v>105000</v>
      </c>
      <c r="O2" s="2">
        <f ca="1">IF(H2="Bloqueado",0,IF(AND(K2&gt;=0.26,K2&lt;0.4),L2*0.75,0))</f>
        <v>0</v>
      </c>
      <c r="P2" s="2">
        <f ca="1">IF(H2="Bloqueado",0,IF(AND(K2&gt;=0.41,K2&lt;0.5),L2*0.5,0))</f>
        <v>0</v>
      </c>
      <c r="Q2" s="2">
        <f ca="1">SUM(M2:P2)</f>
        <v>105000</v>
      </c>
    </row>
    <row r="3" spans="1:22" x14ac:dyDescent="0.3">
      <c r="A3" s="3" t="s">
        <v>14</v>
      </c>
      <c r="B3" s="3" t="s">
        <v>12</v>
      </c>
      <c r="C3" s="3" t="s">
        <v>13</v>
      </c>
      <c r="D3" s="4">
        <v>200</v>
      </c>
      <c r="E3" s="5">
        <v>1600</v>
      </c>
      <c r="F3" s="7">
        <v>45516</v>
      </c>
      <c r="G3" s="4">
        <v>730</v>
      </c>
      <c r="J3" s="15">
        <f t="shared" ref="J3:J55" si="0">F3+G3</f>
        <v>46246</v>
      </c>
      <c r="K3" s="17">
        <f t="shared" ref="K3:K55" ca="1" si="1">(G3-(TODAY()-F3))/G3</f>
        <v>0.27808219178082194</v>
      </c>
      <c r="L3" s="2">
        <f t="shared" ref="L3:L55" si="2">D3*E3</f>
        <v>320000</v>
      </c>
      <c r="M3" s="2">
        <f t="shared" ref="M3:M55" si="3">IF(H3="Bloqueado",L3,0)</f>
        <v>0</v>
      </c>
      <c r="N3" s="2">
        <f t="shared" ref="N3:N55" ca="1" si="4">IF(H3="Bloqueado",0,IF(K3&lt;=0.25,L3,0))</f>
        <v>0</v>
      </c>
      <c r="O3" s="2">
        <f t="shared" ref="O3:O55" ca="1" si="5">IF(H3="Bloqueado",0,IF(AND(K3&gt;=0.26,K3&lt;0.4),L3*0.75,0))</f>
        <v>240000</v>
      </c>
      <c r="P3" s="2">
        <f t="shared" ref="P3:P55" ca="1" si="6">IF(H3="Bloqueado",0,IF(AND(K3&gt;=0.41,K3&lt;0.5),L3*0.5,0))</f>
        <v>0</v>
      </c>
      <c r="Q3" s="2">
        <f t="shared" ref="Q3:Q55" ca="1" si="7">SUM(M3:P3)</f>
        <v>240000</v>
      </c>
    </row>
    <row r="4" spans="1:22" x14ac:dyDescent="0.3">
      <c r="A4" s="3" t="s">
        <v>17</v>
      </c>
      <c r="B4" s="3" t="s">
        <v>15</v>
      </c>
      <c r="C4" s="3" t="s">
        <v>16</v>
      </c>
      <c r="D4" s="4">
        <v>200</v>
      </c>
      <c r="E4" s="5">
        <v>950</v>
      </c>
      <c r="F4" s="7">
        <v>45436</v>
      </c>
      <c r="G4" s="4">
        <v>365</v>
      </c>
      <c r="H4" s="6" t="s">
        <v>64</v>
      </c>
      <c r="I4" s="4" t="s">
        <v>65</v>
      </c>
      <c r="J4" s="15">
        <f t="shared" si="0"/>
        <v>45801</v>
      </c>
      <c r="K4" s="17">
        <f t="shared" ca="1" si="1"/>
        <v>-0.66301369863013704</v>
      </c>
      <c r="L4" s="2">
        <f t="shared" si="2"/>
        <v>190000</v>
      </c>
      <c r="M4" s="2">
        <f t="shared" si="3"/>
        <v>190000</v>
      </c>
      <c r="N4" s="2">
        <f t="shared" si="4"/>
        <v>0</v>
      </c>
      <c r="O4" s="2">
        <f t="shared" si="5"/>
        <v>0</v>
      </c>
      <c r="P4" s="2">
        <f t="shared" si="6"/>
        <v>0</v>
      </c>
      <c r="Q4" s="2">
        <f t="shared" si="7"/>
        <v>190000</v>
      </c>
      <c r="T4" s="18"/>
      <c r="U4" s="19" t="s">
        <v>75</v>
      </c>
      <c r="V4" s="20" t="s">
        <v>61</v>
      </c>
    </row>
    <row r="5" spans="1:22" x14ac:dyDescent="0.3">
      <c r="A5" s="3" t="s">
        <v>14</v>
      </c>
      <c r="B5" s="3" t="s">
        <v>20</v>
      </c>
      <c r="C5" s="3" t="s">
        <v>21</v>
      </c>
      <c r="D5" s="4">
        <v>150</v>
      </c>
      <c r="E5" s="5">
        <v>890</v>
      </c>
      <c r="F5" s="7">
        <v>45392</v>
      </c>
      <c r="G5" s="4">
        <v>400</v>
      </c>
      <c r="H5" s="6" t="s">
        <v>64</v>
      </c>
      <c r="I5" s="4" t="s">
        <v>65</v>
      </c>
      <c r="J5" s="15">
        <f t="shared" si="0"/>
        <v>45792</v>
      </c>
      <c r="K5" s="17">
        <f t="shared" ca="1" si="1"/>
        <v>-0.62749999999999995</v>
      </c>
      <c r="L5" s="2">
        <f t="shared" si="2"/>
        <v>133500</v>
      </c>
      <c r="M5" s="2">
        <f t="shared" si="3"/>
        <v>133500</v>
      </c>
      <c r="N5" s="2">
        <f t="shared" si="4"/>
        <v>0</v>
      </c>
      <c r="O5" s="2">
        <f t="shared" si="5"/>
        <v>0</v>
      </c>
      <c r="P5" s="2">
        <f t="shared" si="6"/>
        <v>0</v>
      </c>
      <c r="Q5" s="2">
        <f t="shared" si="7"/>
        <v>133500</v>
      </c>
      <c r="T5" s="18"/>
      <c r="U5" s="21" t="s">
        <v>64</v>
      </c>
      <c r="V5" s="22">
        <v>1</v>
      </c>
    </row>
    <row r="6" spans="1:22" x14ac:dyDescent="0.3">
      <c r="A6" s="3" t="s">
        <v>11</v>
      </c>
      <c r="B6" s="3" t="s">
        <v>22</v>
      </c>
      <c r="C6" s="3" t="s">
        <v>23</v>
      </c>
      <c r="D6" s="4">
        <v>300</v>
      </c>
      <c r="E6" s="5">
        <v>1275</v>
      </c>
      <c r="F6" s="7">
        <v>45427</v>
      </c>
      <c r="G6" s="4">
        <v>460</v>
      </c>
      <c r="J6" s="15">
        <f t="shared" si="0"/>
        <v>45887</v>
      </c>
      <c r="K6" s="17">
        <f t="shared" ca="1" si="1"/>
        <v>-0.33913043478260868</v>
      </c>
      <c r="L6" s="2">
        <f t="shared" si="2"/>
        <v>382500</v>
      </c>
      <c r="M6" s="2">
        <f t="shared" si="3"/>
        <v>0</v>
      </c>
      <c r="N6" s="2">
        <f t="shared" ca="1" si="4"/>
        <v>382500</v>
      </c>
      <c r="O6" s="2">
        <f t="shared" ca="1" si="5"/>
        <v>0</v>
      </c>
      <c r="P6" s="2">
        <f t="shared" ca="1" si="6"/>
        <v>0</v>
      </c>
      <c r="Q6" s="2">
        <f t="shared" ca="1" si="7"/>
        <v>382500</v>
      </c>
      <c r="U6" s="21" t="s">
        <v>76</v>
      </c>
      <c r="V6" s="22">
        <v>1</v>
      </c>
    </row>
    <row r="7" spans="1:22" x14ac:dyDescent="0.3">
      <c r="A7" s="3" t="s">
        <v>17</v>
      </c>
      <c r="B7" s="3" t="s">
        <v>24</v>
      </c>
      <c r="C7" s="3" t="s">
        <v>25</v>
      </c>
      <c r="D7" s="4">
        <v>250</v>
      </c>
      <c r="E7" s="5">
        <v>980</v>
      </c>
      <c r="F7" s="7">
        <v>45831</v>
      </c>
      <c r="G7" s="4">
        <v>365</v>
      </c>
      <c r="H7" s="6" t="s">
        <v>64</v>
      </c>
      <c r="I7" s="4" t="s">
        <v>67</v>
      </c>
      <c r="J7" s="15">
        <f t="shared" si="0"/>
        <v>46196</v>
      </c>
      <c r="K7" s="17">
        <f t="shared" ca="1" si="1"/>
        <v>0.41917808219178082</v>
      </c>
      <c r="L7" s="2">
        <f t="shared" si="2"/>
        <v>245000</v>
      </c>
      <c r="M7" s="2">
        <f t="shared" si="3"/>
        <v>245000</v>
      </c>
      <c r="N7" s="2">
        <f t="shared" si="4"/>
        <v>0</v>
      </c>
      <c r="O7" s="2">
        <f t="shared" si="5"/>
        <v>0</v>
      </c>
      <c r="P7" s="2">
        <f t="shared" si="6"/>
        <v>0</v>
      </c>
      <c r="Q7" s="2">
        <f t="shared" si="7"/>
        <v>245000</v>
      </c>
      <c r="U7" s="21" t="s">
        <v>77</v>
      </c>
      <c r="V7" s="22">
        <v>0.75</v>
      </c>
    </row>
    <row r="8" spans="1:22" x14ac:dyDescent="0.3">
      <c r="A8" s="3" t="s">
        <v>14</v>
      </c>
      <c r="B8" s="3" t="s">
        <v>24</v>
      </c>
      <c r="C8" s="3" t="s">
        <v>26</v>
      </c>
      <c r="D8" s="4">
        <v>120</v>
      </c>
      <c r="E8" s="5">
        <v>980</v>
      </c>
      <c r="F8" s="7">
        <v>45726</v>
      </c>
      <c r="G8" s="4">
        <v>365</v>
      </c>
      <c r="J8" s="15">
        <f t="shared" si="0"/>
        <v>46091</v>
      </c>
      <c r="K8" s="17">
        <f t="shared" ca="1" si="1"/>
        <v>0.13150684931506848</v>
      </c>
      <c r="L8" s="2">
        <f t="shared" si="2"/>
        <v>117600</v>
      </c>
      <c r="M8" s="2">
        <f t="shared" si="3"/>
        <v>0</v>
      </c>
      <c r="N8" s="2">
        <f t="shared" ca="1" si="4"/>
        <v>117600</v>
      </c>
      <c r="O8" s="2">
        <f t="shared" ca="1" si="5"/>
        <v>0</v>
      </c>
      <c r="P8" s="2">
        <f t="shared" ca="1" si="6"/>
        <v>0</v>
      </c>
      <c r="Q8" s="2">
        <f t="shared" ca="1" si="7"/>
        <v>117600</v>
      </c>
      <c r="U8" s="21" t="s">
        <v>78</v>
      </c>
      <c r="V8" s="22">
        <v>0.5</v>
      </c>
    </row>
    <row r="9" spans="1:22" x14ac:dyDescent="0.3">
      <c r="A9" s="3" t="s">
        <v>11</v>
      </c>
      <c r="B9" s="3" t="s">
        <v>24</v>
      </c>
      <c r="C9" s="3" t="s">
        <v>27</v>
      </c>
      <c r="D9" s="4">
        <v>80</v>
      </c>
      <c r="E9" s="5">
        <v>980</v>
      </c>
      <c r="F9" s="7">
        <v>44896</v>
      </c>
      <c r="G9" s="4">
        <v>365</v>
      </c>
      <c r="J9" s="15">
        <f t="shared" si="0"/>
        <v>45261</v>
      </c>
      <c r="K9" s="17">
        <f t="shared" ca="1" si="1"/>
        <v>-2.1424657534246574</v>
      </c>
      <c r="L9" s="2">
        <f t="shared" si="2"/>
        <v>78400</v>
      </c>
      <c r="M9" s="2">
        <f t="shared" si="3"/>
        <v>0</v>
      </c>
      <c r="N9" s="2">
        <f t="shared" ca="1" si="4"/>
        <v>78400</v>
      </c>
      <c r="O9" s="2">
        <f t="shared" ca="1" si="5"/>
        <v>0</v>
      </c>
      <c r="P9" s="2">
        <f t="shared" ca="1" si="6"/>
        <v>0</v>
      </c>
      <c r="Q9" s="2">
        <f t="shared" ca="1" si="7"/>
        <v>78400</v>
      </c>
    </row>
    <row r="10" spans="1:22" x14ac:dyDescent="0.3">
      <c r="A10" s="3" t="s">
        <v>17</v>
      </c>
      <c r="B10" s="3" t="s">
        <v>22</v>
      </c>
      <c r="C10" s="3" t="s">
        <v>28</v>
      </c>
      <c r="D10" s="4">
        <v>220</v>
      </c>
      <c r="E10" s="5">
        <v>1275</v>
      </c>
      <c r="F10" s="7">
        <v>45384</v>
      </c>
      <c r="G10" s="4">
        <v>460</v>
      </c>
      <c r="J10" s="15">
        <f t="shared" si="0"/>
        <v>45844</v>
      </c>
      <c r="K10" s="17">
        <f t="shared" ca="1" si="1"/>
        <v>-0.43260869565217391</v>
      </c>
      <c r="L10" s="2">
        <f t="shared" si="2"/>
        <v>280500</v>
      </c>
      <c r="M10" s="2">
        <f t="shared" si="3"/>
        <v>0</v>
      </c>
      <c r="N10" s="2">
        <f t="shared" ca="1" si="4"/>
        <v>280500</v>
      </c>
      <c r="O10" s="2">
        <f t="shared" ca="1" si="5"/>
        <v>0</v>
      </c>
      <c r="P10" s="2">
        <f t="shared" ca="1" si="6"/>
        <v>0</v>
      </c>
      <c r="Q10" s="2">
        <f t="shared" ca="1" si="7"/>
        <v>280500</v>
      </c>
    </row>
    <row r="11" spans="1:22" x14ac:dyDescent="0.3">
      <c r="A11" s="3" t="s">
        <v>14</v>
      </c>
      <c r="B11" s="3" t="s">
        <v>22</v>
      </c>
      <c r="C11" s="3" t="s">
        <v>29</v>
      </c>
      <c r="D11" s="4">
        <v>90</v>
      </c>
      <c r="E11" s="5">
        <v>1275</v>
      </c>
      <c r="F11" s="7">
        <v>45492</v>
      </c>
      <c r="G11" s="4">
        <v>460</v>
      </c>
      <c r="J11" s="15">
        <f t="shared" si="0"/>
        <v>45952</v>
      </c>
      <c r="K11" s="17">
        <f t="shared" ca="1" si="1"/>
        <v>-0.19782608695652174</v>
      </c>
      <c r="L11" s="2">
        <f t="shared" si="2"/>
        <v>114750</v>
      </c>
      <c r="M11" s="2">
        <f t="shared" si="3"/>
        <v>0</v>
      </c>
      <c r="N11" s="2">
        <f t="shared" ca="1" si="4"/>
        <v>114750</v>
      </c>
      <c r="O11" s="2">
        <f t="shared" ca="1" si="5"/>
        <v>0</v>
      </c>
      <c r="P11" s="2">
        <f t="shared" ca="1" si="6"/>
        <v>0</v>
      </c>
      <c r="Q11" s="2">
        <f t="shared" ca="1" si="7"/>
        <v>114750</v>
      </c>
    </row>
    <row r="12" spans="1:22" x14ac:dyDescent="0.3">
      <c r="A12" s="3" t="s">
        <v>11</v>
      </c>
      <c r="B12" s="3" t="s">
        <v>22</v>
      </c>
      <c r="C12" s="3" t="s">
        <v>30</v>
      </c>
      <c r="D12" s="4">
        <v>180</v>
      </c>
      <c r="E12" s="5">
        <v>1275</v>
      </c>
      <c r="F12" s="7">
        <v>45685</v>
      </c>
      <c r="G12" s="4">
        <v>460</v>
      </c>
      <c r="J12" s="15">
        <f t="shared" si="0"/>
        <v>46145</v>
      </c>
      <c r="K12" s="17">
        <f t="shared" ca="1" si="1"/>
        <v>0.22173913043478261</v>
      </c>
      <c r="L12" s="2">
        <f t="shared" si="2"/>
        <v>229500</v>
      </c>
      <c r="M12" s="2">
        <f t="shared" si="3"/>
        <v>0</v>
      </c>
      <c r="N12" s="2">
        <f t="shared" ca="1" si="4"/>
        <v>229500</v>
      </c>
      <c r="O12" s="2">
        <f t="shared" ca="1" si="5"/>
        <v>0</v>
      </c>
      <c r="P12" s="2">
        <f t="shared" ca="1" si="6"/>
        <v>0</v>
      </c>
      <c r="Q12" s="2">
        <f t="shared" ca="1" si="7"/>
        <v>229500</v>
      </c>
    </row>
    <row r="13" spans="1:22" x14ac:dyDescent="0.3">
      <c r="A13" s="3" t="s">
        <v>14</v>
      </c>
      <c r="B13" s="3" t="s">
        <v>20</v>
      </c>
      <c r="C13" s="3" t="s">
        <v>31</v>
      </c>
      <c r="D13" s="4">
        <v>75</v>
      </c>
      <c r="E13" s="5">
        <v>890</v>
      </c>
      <c r="F13" s="7">
        <v>45626</v>
      </c>
      <c r="G13" s="4">
        <v>400</v>
      </c>
      <c r="J13" s="15">
        <f t="shared" si="0"/>
        <v>46026</v>
      </c>
      <c r="K13" s="17">
        <f t="shared" ca="1" si="1"/>
        <v>-4.2500000000000003E-2</v>
      </c>
      <c r="L13" s="2">
        <f t="shared" si="2"/>
        <v>66750</v>
      </c>
      <c r="M13" s="2">
        <f t="shared" si="3"/>
        <v>0</v>
      </c>
      <c r="N13" s="2">
        <f t="shared" ca="1" si="4"/>
        <v>66750</v>
      </c>
      <c r="O13" s="2">
        <f t="shared" ca="1" si="5"/>
        <v>0</v>
      </c>
      <c r="P13" s="2">
        <f t="shared" ca="1" si="6"/>
        <v>0</v>
      </c>
      <c r="Q13" s="2">
        <f t="shared" ca="1" si="7"/>
        <v>66750</v>
      </c>
    </row>
    <row r="14" spans="1:22" x14ac:dyDescent="0.3">
      <c r="A14" s="3" t="s">
        <v>17</v>
      </c>
      <c r="B14" s="3" t="s">
        <v>20</v>
      </c>
      <c r="C14" s="3" t="s">
        <v>32</v>
      </c>
      <c r="D14" s="4">
        <v>120</v>
      </c>
      <c r="E14" s="5">
        <v>890</v>
      </c>
      <c r="F14" s="7">
        <v>45577</v>
      </c>
      <c r="G14" s="4">
        <v>400</v>
      </c>
      <c r="J14" s="15">
        <f t="shared" si="0"/>
        <v>45977</v>
      </c>
      <c r="K14" s="17">
        <f t="shared" ca="1" si="1"/>
        <v>-0.16500000000000001</v>
      </c>
      <c r="L14" s="2">
        <f t="shared" si="2"/>
        <v>106800</v>
      </c>
      <c r="M14" s="2">
        <f t="shared" si="3"/>
        <v>0</v>
      </c>
      <c r="N14" s="2">
        <f t="shared" ca="1" si="4"/>
        <v>106800</v>
      </c>
      <c r="O14" s="2">
        <f t="shared" ca="1" si="5"/>
        <v>0</v>
      </c>
      <c r="P14" s="2">
        <f t="shared" ca="1" si="6"/>
        <v>0</v>
      </c>
      <c r="Q14" s="2">
        <f t="shared" ca="1" si="7"/>
        <v>106800</v>
      </c>
    </row>
    <row r="15" spans="1:22" x14ac:dyDescent="0.3">
      <c r="A15" s="3" t="s">
        <v>14</v>
      </c>
      <c r="B15" s="3" t="s">
        <v>15</v>
      </c>
      <c r="C15" s="3" t="s">
        <v>33</v>
      </c>
      <c r="D15" s="4">
        <v>200</v>
      </c>
      <c r="E15" s="5">
        <v>950</v>
      </c>
      <c r="F15" s="7">
        <v>45802</v>
      </c>
      <c r="G15" s="4">
        <v>365</v>
      </c>
      <c r="H15" s="6" t="s">
        <v>64</v>
      </c>
      <c r="I15" s="4" t="s">
        <v>67</v>
      </c>
      <c r="J15" s="15">
        <f t="shared" si="0"/>
        <v>46167</v>
      </c>
      <c r="K15" s="17">
        <f t="shared" ca="1" si="1"/>
        <v>0.33972602739726027</v>
      </c>
      <c r="L15" s="2">
        <f t="shared" si="2"/>
        <v>190000</v>
      </c>
      <c r="M15" s="2">
        <f t="shared" si="3"/>
        <v>190000</v>
      </c>
      <c r="N15" s="2">
        <f t="shared" si="4"/>
        <v>0</v>
      </c>
      <c r="O15" s="2">
        <f t="shared" si="5"/>
        <v>0</v>
      </c>
      <c r="P15" s="2">
        <f t="shared" si="6"/>
        <v>0</v>
      </c>
      <c r="Q15" s="2">
        <f t="shared" si="7"/>
        <v>190000</v>
      </c>
    </row>
    <row r="16" spans="1:22" x14ac:dyDescent="0.3">
      <c r="A16" s="3" t="s">
        <v>11</v>
      </c>
      <c r="B16" s="3" t="s">
        <v>15</v>
      </c>
      <c r="C16" s="3" t="s">
        <v>34</v>
      </c>
      <c r="D16" s="4">
        <v>150</v>
      </c>
      <c r="E16" s="5">
        <v>950</v>
      </c>
      <c r="F16" s="7">
        <v>45810</v>
      </c>
      <c r="G16" s="4">
        <v>365</v>
      </c>
      <c r="J16" s="15">
        <f t="shared" si="0"/>
        <v>46175</v>
      </c>
      <c r="K16" s="17">
        <f t="shared" ca="1" si="1"/>
        <v>0.36164383561643837</v>
      </c>
      <c r="L16" s="2">
        <f t="shared" si="2"/>
        <v>142500</v>
      </c>
      <c r="M16" s="2">
        <f t="shared" si="3"/>
        <v>0</v>
      </c>
      <c r="N16" s="2">
        <f t="shared" ca="1" si="4"/>
        <v>0</v>
      </c>
      <c r="O16" s="2">
        <f t="shared" ca="1" si="5"/>
        <v>106875</v>
      </c>
      <c r="P16" s="2">
        <f t="shared" ca="1" si="6"/>
        <v>0</v>
      </c>
      <c r="Q16" s="2">
        <f t="shared" ca="1" si="7"/>
        <v>106875</v>
      </c>
    </row>
    <row r="17" spans="1:17" x14ac:dyDescent="0.3">
      <c r="A17" s="3" t="s">
        <v>17</v>
      </c>
      <c r="B17" s="3" t="s">
        <v>12</v>
      </c>
      <c r="C17" s="3" t="s">
        <v>35</v>
      </c>
      <c r="D17" s="4">
        <v>80</v>
      </c>
      <c r="E17" s="5">
        <v>1600</v>
      </c>
      <c r="F17" s="7">
        <v>45532</v>
      </c>
      <c r="G17" s="4">
        <v>730</v>
      </c>
      <c r="J17" s="15">
        <f t="shared" si="0"/>
        <v>46262</v>
      </c>
      <c r="K17" s="17">
        <f t="shared" ca="1" si="1"/>
        <v>0.3</v>
      </c>
      <c r="L17" s="2">
        <f t="shared" si="2"/>
        <v>128000</v>
      </c>
      <c r="M17" s="2">
        <f t="shared" si="3"/>
        <v>0</v>
      </c>
      <c r="N17" s="2">
        <f t="shared" ca="1" si="4"/>
        <v>0</v>
      </c>
      <c r="O17" s="2">
        <f t="shared" ca="1" si="5"/>
        <v>96000</v>
      </c>
      <c r="P17" s="2">
        <f t="shared" ca="1" si="6"/>
        <v>0</v>
      </c>
      <c r="Q17" s="2">
        <f t="shared" ca="1" si="7"/>
        <v>96000</v>
      </c>
    </row>
    <row r="18" spans="1:17" x14ac:dyDescent="0.3">
      <c r="A18" s="3" t="s">
        <v>14</v>
      </c>
      <c r="B18" s="3" t="s">
        <v>12</v>
      </c>
      <c r="C18" s="3" t="s">
        <v>36</v>
      </c>
      <c r="D18" s="4">
        <v>110</v>
      </c>
      <c r="E18" s="5">
        <v>1600</v>
      </c>
      <c r="F18" s="7">
        <v>45699</v>
      </c>
      <c r="G18" s="4">
        <v>730</v>
      </c>
      <c r="J18" s="15">
        <f t="shared" si="0"/>
        <v>46429</v>
      </c>
      <c r="K18" s="17">
        <f t="shared" ca="1" si="1"/>
        <v>0.52876712328767128</v>
      </c>
      <c r="L18" s="2">
        <f t="shared" si="2"/>
        <v>176000</v>
      </c>
      <c r="M18" s="2">
        <f t="shared" si="3"/>
        <v>0</v>
      </c>
      <c r="N18" s="2">
        <f t="shared" ca="1" si="4"/>
        <v>0</v>
      </c>
      <c r="O18" s="2">
        <f t="shared" ca="1" si="5"/>
        <v>0</v>
      </c>
      <c r="P18" s="2">
        <f t="shared" ca="1" si="6"/>
        <v>0</v>
      </c>
      <c r="Q18" s="2">
        <f t="shared" ca="1" si="7"/>
        <v>0</v>
      </c>
    </row>
    <row r="19" spans="1:17" x14ac:dyDescent="0.3">
      <c r="A19" s="3" t="s">
        <v>11</v>
      </c>
      <c r="B19" s="3" t="s">
        <v>9</v>
      </c>
      <c r="C19" s="3" t="s">
        <v>37</v>
      </c>
      <c r="D19" s="4">
        <v>250</v>
      </c>
      <c r="E19" s="5">
        <v>1050</v>
      </c>
      <c r="F19" s="7">
        <v>45636</v>
      </c>
      <c r="G19" s="4">
        <v>400</v>
      </c>
      <c r="H19" s="6" t="s">
        <v>64</v>
      </c>
      <c r="I19" s="4" t="s">
        <v>66</v>
      </c>
      <c r="J19" s="15">
        <f t="shared" si="0"/>
        <v>46036</v>
      </c>
      <c r="K19" s="17">
        <f t="shared" ca="1" si="1"/>
        <v>-1.7500000000000002E-2</v>
      </c>
      <c r="L19" s="2">
        <f t="shared" si="2"/>
        <v>262500</v>
      </c>
      <c r="M19" s="2">
        <f t="shared" si="3"/>
        <v>262500</v>
      </c>
      <c r="N19" s="2">
        <f t="shared" si="4"/>
        <v>0</v>
      </c>
      <c r="O19" s="2">
        <f t="shared" si="5"/>
        <v>0</v>
      </c>
      <c r="P19" s="2">
        <f t="shared" si="6"/>
        <v>0</v>
      </c>
      <c r="Q19" s="2">
        <f t="shared" si="7"/>
        <v>262500</v>
      </c>
    </row>
    <row r="20" spans="1:17" x14ac:dyDescent="0.3">
      <c r="A20" s="3" t="s">
        <v>14</v>
      </c>
      <c r="B20" s="3" t="s">
        <v>9</v>
      </c>
      <c r="C20" s="3" t="s">
        <v>38</v>
      </c>
      <c r="D20" s="4">
        <v>70</v>
      </c>
      <c r="E20" s="5">
        <v>1050</v>
      </c>
      <c r="F20" s="7">
        <v>45672</v>
      </c>
      <c r="G20" s="4">
        <v>400</v>
      </c>
      <c r="J20" s="15">
        <f t="shared" si="0"/>
        <v>46072</v>
      </c>
      <c r="K20" s="17">
        <f t="shared" ca="1" si="1"/>
        <v>7.2499999999999995E-2</v>
      </c>
      <c r="L20" s="2">
        <f t="shared" si="2"/>
        <v>73500</v>
      </c>
      <c r="M20" s="2">
        <f t="shared" si="3"/>
        <v>0</v>
      </c>
      <c r="N20" s="2">
        <f t="shared" ca="1" si="4"/>
        <v>73500</v>
      </c>
      <c r="O20" s="2">
        <f t="shared" ca="1" si="5"/>
        <v>0</v>
      </c>
      <c r="P20" s="2">
        <f t="shared" ca="1" si="6"/>
        <v>0</v>
      </c>
      <c r="Q20" s="2">
        <f t="shared" ca="1" si="7"/>
        <v>73500</v>
      </c>
    </row>
    <row r="21" spans="1:17" x14ac:dyDescent="0.3">
      <c r="A21" s="3" t="s">
        <v>17</v>
      </c>
      <c r="B21" s="3" t="s">
        <v>9</v>
      </c>
      <c r="C21" s="3" t="s">
        <v>39</v>
      </c>
      <c r="D21" s="4">
        <v>180</v>
      </c>
      <c r="E21" s="5">
        <v>1050</v>
      </c>
      <c r="F21" s="7">
        <v>45541</v>
      </c>
      <c r="G21" s="4">
        <v>400</v>
      </c>
      <c r="J21" s="15">
        <f t="shared" si="0"/>
        <v>45941</v>
      </c>
      <c r="K21" s="17">
        <f t="shared" ca="1" si="1"/>
        <v>-0.255</v>
      </c>
      <c r="L21" s="2">
        <f t="shared" si="2"/>
        <v>189000</v>
      </c>
      <c r="M21" s="2">
        <f t="shared" si="3"/>
        <v>0</v>
      </c>
      <c r="N21" s="2">
        <f t="shared" ca="1" si="4"/>
        <v>189000</v>
      </c>
      <c r="O21" s="2">
        <f t="shared" ca="1" si="5"/>
        <v>0</v>
      </c>
      <c r="P21" s="2">
        <f t="shared" ca="1" si="6"/>
        <v>0</v>
      </c>
      <c r="Q21" s="2">
        <f t="shared" ca="1" si="7"/>
        <v>189000</v>
      </c>
    </row>
    <row r="22" spans="1:17" x14ac:dyDescent="0.3">
      <c r="A22" s="3" t="s">
        <v>11</v>
      </c>
      <c r="B22" s="3" t="s">
        <v>9</v>
      </c>
      <c r="C22" s="3" t="s">
        <v>40</v>
      </c>
      <c r="D22" s="4">
        <v>100</v>
      </c>
      <c r="E22" s="5">
        <v>1050</v>
      </c>
      <c r="F22" s="7">
        <v>45467</v>
      </c>
      <c r="G22" s="4">
        <v>400</v>
      </c>
      <c r="J22" s="15">
        <f t="shared" si="0"/>
        <v>45867</v>
      </c>
      <c r="K22" s="17">
        <f t="shared" ca="1" si="1"/>
        <v>-0.44</v>
      </c>
      <c r="L22" s="2">
        <f t="shared" si="2"/>
        <v>105000</v>
      </c>
      <c r="M22" s="2">
        <f t="shared" si="3"/>
        <v>0</v>
      </c>
      <c r="N22" s="2">
        <f t="shared" ca="1" si="4"/>
        <v>105000</v>
      </c>
      <c r="O22" s="2">
        <f t="shared" ca="1" si="5"/>
        <v>0</v>
      </c>
      <c r="P22" s="2">
        <f t="shared" ca="1" si="6"/>
        <v>0</v>
      </c>
      <c r="Q22" s="2">
        <f t="shared" ca="1" si="7"/>
        <v>105000</v>
      </c>
    </row>
    <row r="23" spans="1:17" x14ac:dyDescent="0.3">
      <c r="A23" s="3" t="s">
        <v>14</v>
      </c>
      <c r="B23" s="3" t="s">
        <v>12</v>
      </c>
      <c r="C23" s="3" t="s">
        <v>41</v>
      </c>
      <c r="D23" s="4">
        <v>50</v>
      </c>
      <c r="E23" s="5">
        <v>1600</v>
      </c>
      <c r="F23" s="7">
        <v>45669</v>
      </c>
      <c r="G23" s="4">
        <v>730</v>
      </c>
      <c r="H23" s="6" t="s">
        <v>64</v>
      </c>
      <c r="I23" s="4" t="s">
        <v>66</v>
      </c>
      <c r="J23" s="15">
        <f t="shared" si="0"/>
        <v>46399</v>
      </c>
      <c r="K23" s="17">
        <f t="shared" ca="1" si="1"/>
        <v>0.48767123287671232</v>
      </c>
      <c r="L23" s="2">
        <f t="shared" si="2"/>
        <v>80000</v>
      </c>
      <c r="M23" s="2">
        <f t="shared" si="3"/>
        <v>80000</v>
      </c>
      <c r="N23" s="2">
        <f t="shared" si="4"/>
        <v>0</v>
      </c>
      <c r="O23" s="2">
        <f t="shared" si="5"/>
        <v>0</v>
      </c>
      <c r="P23" s="2">
        <f t="shared" si="6"/>
        <v>0</v>
      </c>
      <c r="Q23" s="2">
        <f t="shared" si="7"/>
        <v>80000</v>
      </c>
    </row>
    <row r="24" spans="1:17" x14ac:dyDescent="0.3">
      <c r="A24" s="3" t="s">
        <v>17</v>
      </c>
      <c r="B24" s="3" t="s">
        <v>15</v>
      </c>
      <c r="C24" s="3" t="s">
        <v>42</v>
      </c>
      <c r="D24" s="4">
        <v>200</v>
      </c>
      <c r="E24" s="5">
        <v>950</v>
      </c>
      <c r="F24" s="7">
        <v>45662</v>
      </c>
      <c r="G24" s="4">
        <v>365</v>
      </c>
      <c r="J24" s="15">
        <f t="shared" si="0"/>
        <v>46027</v>
      </c>
      <c r="K24" s="17">
        <f t="shared" ca="1" si="1"/>
        <v>-4.3835616438356165E-2</v>
      </c>
      <c r="L24" s="2">
        <f t="shared" si="2"/>
        <v>190000</v>
      </c>
      <c r="M24" s="2">
        <f t="shared" si="3"/>
        <v>0</v>
      </c>
      <c r="N24" s="2">
        <f t="shared" ca="1" si="4"/>
        <v>190000</v>
      </c>
      <c r="O24" s="2">
        <f t="shared" ca="1" si="5"/>
        <v>0</v>
      </c>
      <c r="P24" s="2">
        <f t="shared" ca="1" si="6"/>
        <v>0</v>
      </c>
      <c r="Q24" s="2">
        <f t="shared" ca="1" si="7"/>
        <v>190000</v>
      </c>
    </row>
    <row r="25" spans="1:17" x14ac:dyDescent="0.3">
      <c r="A25" s="3" t="s">
        <v>14</v>
      </c>
      <c r="B25" s="3" t="s">
        <v>20</v>
      </c>
      <c r="C25" s="3" t="s">
        <v>43</v>
      </c>
      <c r="D25" s="4">
        <v>150</v>
      </c>
      <c r="E25" s="5">
        <v>890</v>
      </c>
      <c r="F25" s="7">
        <v>45991</v>
      </c>
      <c r="G25" s="4">
        <v>400</v>
      </c>
      <c r="J25" s="15">
        <f t="shared" si="0"/>
        <v>46391</v>
      </c>
      <c r="K25" s="17">
        <f t="shared" ca="1" si="1"/>
        <v>0.87</v>
      </c>
      <c r="L25" s="2">
        <f t="shared" si="2"/>
        <v>133500</v>
      </c>
      <c r="M25" s="2">
        <f t="shared" si="3"/>
        <v>0</v>
      </c>
      <c r="N25" s="2">
        <f t="shared" ca="1" si="4"/>
        <v>0</v>
      </c>
      <c r="O25" s="2">
        <f t="shared" ca="1" si="5"/>
        <v>0</v>
      </c>
      <c r="P25" s="2">
        <f t="shared" ca="1" si="6"/>
        <v>0</v>
      </c>
      <c r="Q25" s="2">
        <f t="shared" ca="1" si="7"/>
        <v>0</v>
      </c>
    </row>
    <row r="26" spans="1:17" x14ac:dyDescent="0.3">
      <c r="A26" s="3" t="s">
        <v>11</v>
      </c>
      <c r="B26" s="3" t="s">
        <v>22</v>
      </c>
      <c r="C26" s="3" t="s">
        <v>44</v>
      </c>
      <c r="D26" s="4">
        <v>300</v>
      </c>
      <c r="E26" s="5">
        <v>1275</v>
      </c>
      <c r="F26" s="7">
        <v>45427</v>
      </c>
      <c r="G26" s="4">
        <v>460</v>
      </c>
      <c r="J26" s="15">
        <f t="shared" si="0"/>
        <v>45887</v>
      </c>
      <c r="K26" s="17">
        <f t="shared" ca="1" si="1"/>
        <v>-0.33913043478260868</v>
      </c>
      <c r="L26" s="2">
        <f t="shared" si="2"/>
        <v>382500</v>
      </c>
      <c r="M26" s="2">
        <f t="shared" si="3"/>
        <v>0</v>
      </c>
      <c r="N26" s="2">
        <f t="shared" ca="1" si="4"/>
        <v>382500</v>
      </c>
      <c r="O26" s="2">
        <f t="shared" ca="1" si="5"/>
        <v>0</v>
      </c>
      <c r="P26" s="2">
        <f t="shared" ca="1" si="6"/>
        <v>0</v>
      </c>
      <c r="Q26" s="2">
        <f t="shared" ca="1" si="7"/>
        <v>382500</v>
      </c>
    </row>
    <row r="27" spans="1:17" x14ac:dyDescent="0.3">
      <c r="A27" s="3" t="s">
        <v>17</v>
      </c>
      <c r="B27" s="3" t="s">
        <v>24</v>
      </c>
      <c r="C27" s="3" t="s">
        <v>45</v>
      </c>
      <c r="D27" s="4">
        <v>250</v>
      </c>
      <c r="E27" s="5">
        <v>980</v>
      </c>
      <c r="F27" s="7">
        <v>45555</v>
      </c>
      <c r="G27" s="4">
        <v>365</v>
      </c>
      <c r="J27" s="15">
        <f t="shared" si="0"/>
        <v>45920</v>
      </c>
      <c r="K27" s="17">
        <f t="shared" ca="1" si="1"/>
        <v>-0.33698630136986302</v>
      </c>
      <c r="L27" s="2">
        <f t="shared" si="2"/>
        <v>245000</v>
      </c>
      <c r="M27" s="2">
        <f t="shared" si="3"/>
        <v>0</v>
      </c>
      <c r="N27" s="2">
        <f t="shared" ca="1" si="4"/>
        <v>245000</v>
      </c>
      <c r="O27" s="2">
        <f t="shared" ca="1" si="5"/>
        <v>0</v>
      </c>
      <c r="P27" s="2">
        <f t="shared" ca="1" si="6"/>
        <v>0</v>
      </c>
      <c r="Q27" s="2">
        <f t="shared" ca="1" si="7"/>
        <v>245000</v>
      </c>
    </row>
    <row r="28" spans="1:17" x14ac:dyDescent="0.3">
      <c r="A28" s="3" t="s">
        <v>14</v>
      </c>
      <c r="B28" s="3" t="s">
        <v>24</v>
      </c>
      <c r="C28" s="3" t="s">
        <v>46</v>
      </c>
      <c r="D28" s="4">
        <v>120</v>
      </c>
      <c r="E28" s="5">
        <v>980</v>
      </c>
      <c r="F28" s="7">
        <v>45726</v>
      </c>
      <c r="G28" s="4">
        <v>365</v>
      </c>
      <c r="J28" s="15">
        <f t="shared" si="0"/>
        <v>46091</v>
      </c>
      <c r="K28" s="17">
        <f t="shared" ca="1" si="1"/>
        <v>0.13150684931506848</v>
      </c>
      <c r="L28" s="2">
        <f t="shared" si="2"/>
        <v>117600</v>
      </c>
      <c r="M28" s="2">
        <f t="shared" si="3"/>
        <v>0</v>
      </c>
      <c r="N28" s="2">
        <f t="shared" ca="1" si="4"/>
        <v>117600</v>
      </c>
      <c r="O28" s="2">
        <f t="shared" ca="1" si="5"/>
        <v>0</v>
      </c>
      <c r="P28" s="2">
        <f t="shared" ca="1" si="6"/>
        <v>0</v>
      </c>
      <c r="Q28" s="2">
        <f t="shared" ca="1" si="7"/>
        <v>117600</v>
      </c>
    </row>
    <row r="29" spans="1:17" x14ac:dyDescent="0.3">
      <c r="A29" s="3" t="s">
        <v>11</v>
      </c>
      <c r="B29" s="3" t="s">
        <v>24</v>
      </c>
      <c r="C29" s="3" t="s">
        <v>47</v>
      </c>
      <c r="D29" s="4">
        <v>80</v>
      </c>
      <c r="E29" s="5">
        <v>980</v>
      </c>
      <c r="F29" s="7">
        <v>45627</v>
      </c>
      <c r="G29" s="4">
        <v>365</v>
      </c>
      <c r="J29" s="15">
        <f t="shared" si="0"/>
        <v>45992</v>
      </c>
      <c r="K29" s="17">
        <f t="shared" ca="1" si="1"/>
        <v>-0.13972602739726028</v>
      </c>
      <c r="L29" s="2">
        <f t="shared" si="2"/>
        <v>78400</v>
      </c>
      <c r="M29" s="2">
        <f t="shared" si="3"/>
        <v>0</v>
      </c>
      <c r="N29" s="2">
        <f t="shared" ca="1" si="4"/>
        <v>78400</v>
      </c>
      <c r="O29" s="2">
        <f t="shared" ca="1" si="5"/>
        <v>0</v>
      </c>
      <c r="P29" s="2">
        <f t="shared" ca="1" si="6"/>
        <v>0</v>
      </c>
      <c r="Q29" s="2">
        <f t="shared" ca="1" si="7"/>
        <v>78400</v>
      </c>
    </row>
    <row r="30" spans="1:17" x14ac:dyDescent="0.3">
      <c r="A30" s="3" t="s">
        <v>17</v>
      </c>
      <c r="B30" s="3" t="s">
        <v>22</v>
      </c>
      <c r="C30" s="3" t="s">
        <v>48</v>
      </c>
      <c r="D30" s="4">
        <v>220</v>
      </c>
      <c r="E30" s="5">
        <v>1275</v>
      </c>
      <c r="F30" s="7">
        <v>45749</v>
      </c>
      <c r="G30" s="4">
        <v>460</v>
      </c>
      <c r="J30" s="15">
        <f t="shared" si="0"/>
        <v>46209</v>
      </c>
      <c r="K30" s="17">
        <f t="shared" ca="1" si="1"/>
        <v>0.36086956521739133</v>
      </c>
      <c r="L30" s="2">
        <f t="shared" si="2"/>
        <v>280500</v>
      </c>
      <c r="M30" s="2">
        <f t="shared" si="3"/>
        <v>0</v>
      </c>
      <c r="N30" s="2">
        <f t="shared" ca="1" si="4"/>
        <v>0</v>
      </c>
      <c r="O30" s="2">
        <f t="shared" ca="1" si="5"/>
        <v>210375</v>
      </c>
      <c r="P30" s="2">
        <f t="shared" ca="1" si="6"/>
        <v>0</v>
      </c>
      <c r="Q30" s="2">
        <f t="shared" ca="1" si="7"/>
        <v>210375</v>
      </c>
    </row>
    <row r="31" spans="1:17" x14ac:dyDescent="0.3">
      <c r="A31" s="3" t="s">
        <v>14</v>
      </c>
      <c r="B31" s="3" t="s">
        <v>22</v>
      </c>
      <c r="C31" s="3" t="s">
        <v>49</v>
      </c>
      <c r="D31" s="4">
        <v>90</v>
      </c>
      <c r="E31" s="5">
        <v>1275</v>
      </c>
      <c r="F31" s="7">
        <v>45492</v>
      </c>
      <c r="G31" s="4">
        <v>460</v>
      </c>
      <c r="J31" s="15">
        <f t="shared" si="0"/>
        <v>45952</v>
      </c>
      <c r="K31" s="17">
        <f t="shared" ca="1" si="1"/>
        <v>-0.19782608695652174</v>
      </c>
      <c r="L31" s="2">
        <f t="shared" si="2"/>
        <v>114750</v>
      </c>
      <c r="M31" s="2">
        <f t="shared" si="3"/>
        <v>0</v>
      </c>
      <c r="N31" s="2">
        <f t="shared" ca="1" si="4"/>
        <v>114750</v>
      </c>
      <c r="O31" s="2">
        <f t="shared" ca="1" si="5"/>
        <v>0</v>
      </c>
      <c r="P31" s="2">
        <f t="shared" ca="1" si="6"/>
        <v>0</v>
      </c>
      <c r="Q31" s="2">
        <f t="shared" ca="1" si="7"/>
        <v>114750</v>
      </c>
    </row>
    <row r="32" spans="1:17" x14ac:dyDescent="0.3">
      <c r="A32" s="3" t="s">
        <v>11</v>
      </c>
      <c r="B32" s="3" t="s">
        <v>22</v>
      </c>
      <c r="C32" s="3" t="s">
        <v>50</v>
      </c>
      <c r="D32" s="4">
        <v>180</v>
      </c>
      <c r="E32" s="5">
        <v>1275</v>
      </c>
      <c r="F32" s="7">
        <v>45685</v>
      </c>
      <c r="G32" s="4">
        <v>460</v>
      </c>
      <c r="J32" s="15">
        <f t="shared" si="0"/>
        <v>46145</v>
      </c>
      <c r="K32" s="17">
        <f t="shared" ca="1" si="1"/>
        <v>0.22173913043478261</v>
      </c>
      <c r="L32" s="2">
        <f t="shared" si="2"/>
        <v>229500</v>
      </c>
      <c r="M32" s="2">
        <f t="shared" si="3"/>
        <v>0</v>
      </c>
      <c r="N32" s="2">
        <f t="shared" ca="1" si="4"/>
        <v>229500</v>
      </c>
      <c r="O32" s="2">
        <f t="shared" ca="1" si="5"/>
        <v>0</v>
      </c>
      <c r="P32" s="2">
        <f t="shared" ca="1" si="6"/>
        <v>0</v>
      </c>
      <c r="Q32" s="2">
        <f t="shared" ca="1" si="7"/>
        <v>229500</v>
      </c>
    </row>
    <row r="33" spans="1:17" x14ac:dyDescent="0.3">
      <c r="A33" s="3" t="s">
        <v>14</v>
      </c>
      <c r="B33" s="3" t="s">
        <v>20</v>
      </c>
      <c r="C33" s="3" t="s">
        <v>51</v>
      </c>
      <c r="D33" s="4">
        <v>75</v>
      </c>
      <c r="E33" s="5">
        <v>890</v>
      </c>
      <c r="F33" s="7">
        <v>45626</v>
      </c>
      <c r="G33" s="4">
        <v>400</v>
      </c>
      <c r="J33" s="15">
        <f t="shared" si="0"/>
        <v>46026</v>
      </c>
      <c r="K33" s="17">
        <f t="shared" ca="1" si="1"/>
        <v>-4.2500000000000003E-2</v>
      </c>
      <c r="L33" s="2">
        <f t="shared" si="2"/>
        <v>66750</v>
      </c>
      <c r="M33" s="2">
        <f t="shared" si="3"/>
        <v>0</v>
      </c>
      <c r="N33" s="2">
        <f t="shared" ca="1" si="4"/>
        <v>66750</v>
      </c>
      <c r="O33" s="2">
        <f t="shared" ca="1" si="5"/>
        <v>0</v>
      </c>
      <c r="P33" s="2">
        <f t="shared" ca="1" si="6"/>
        <v>0</v>
      </c>
      <c r="Q33" s="2">
        <f t="shared" ca="1" si="7"/>
        <v>66750</v>
      </c>
    </row>
    <row r="34" spans="1:17" x14ac:dyDescent="0.3">
      <c r="A34" s="3" t="s">
        <v>17</v>
      </c>
      <c r="B34" s="3" t="s">
        <v>20</v>
      </c>
      <c r="C34" s="3" t="s">
        <v>52</v>
      </c>
      <c r="D34" s="4">
        <v>120</v>
      </c>
      <c r="E34" s="5">
        <v>890</v>
      </c>
      <c r="F34" s="7">
        <v>45577</v>
      </c>
      <c r="G34" s="4">
        <v>400</v>
      </c>
      <c r="J34" s="15">
        <f t="shared" si="0"/>
        <v>45977</v>
      </c>
      <c r="K34" s="17">
        <f t="shared" ca="1" si="1"/>
        <v>-0.16500000000000001</v>
      </c>
      <c r="L34" s="2">
        <f t="shared" si="2"/>
        <v>106800</v>
      </c>
      <c r="M34" s="2">
        <f t="shared" si="3"/>
        <v>0</v>
      </c>
      <c r="N34" s="2">
        <f t="shared" ca="1" si="4"/>
        <v>106800</v>
      </c>
      <c r="O34" s="2">
        <f t="shared" ca="1" si="5"/>
        <v>0</v>
      </c>
      <c r="P34" s="2">
        <f t="shared" ca="1" si="6"/>
        <v>0</v>
      </c>
      <c r="Q34" s="2">
        <f t="shared" ca="1" si="7"/>
        <v>106800</v>
      </c>
    </row>
    <row r="35" spans="1:17" x14ac:dyDescent="0.3">
      <c r="A35" s="3" t="s">
        <v>14</v>
      </c>
      <c r="B35" s="3" t="s">
        <v>15</v>
      </c>
      <c r="C35" s="3" t="s">
        <v>53</v>
      </c>
      <c r="D35" s="4">
        <v>200</v>
      </c>
      <c r="E35" s="5">
        <v>950</v>
      </c>
      <c r="F35" s="7">
        <v>45802</v>
      </c>
      <c r="G35" s="4">
        <v>365</v>
      </c>
      <c r="J35" s="15">
        <f t="shared" si="0"/>
        <v>46167</v>
      </c>
      <c r="K35" s="17">
        <f t="shared" ca="1" si="1"/>
        <v>0.33972602739726027</v>
      </c>
      <c r="L35" s="2">
        <f t="shared" si="2"/>
        <v>190000</v>
      </c>
      <c r="M35" s="2">
        <f t="shared" si="3"/>
        <v>0</v>
      </c>
      <c r="N35" s="2">
        <f t="shared" ca="1" si="4"/>
        <v>0</v>
      </c>
      <c r="O35" s="2">
        <f t="shared" ca="1" si="5"/>
        <v>142500</v>
      </c>
      <c r="P35" s="2">
        <f t="shared" ca="1" si="6"/>
        <v>0</v>
      </c>
      <c r="Q35" s="2">
        <f t="shared" ca="1" si="7"/>
        <v>142500</v>
      </c>
    </row>
    <row r="36" spans="1:17" x14ac:dyDescent="0.3">
      <c r="A36" s="3" t="s">
        <v>11</v>
      </c>
      <c r="B36" s="3" t="s">
        <v>15</v>
      </c>
      <c r="C36" s="3" t="s">
        <v>54</v>
      </c>
      <c r="D36" s="4">
        <v>150</v>
      </c>
      <c r="E36" s="5">
        <v>950</v>
      </c>
      <c r="F36" s="7">
        <v>45810</v>
      </c>
      <c r="G36" s="4">
        <v>365</v>
      </c>
      <c r="J36" s="15">
        <f t="shared" si="0"/>
        <v>46175</v>
      </c>
      <c r="K36" s="17">
        <f t="shared" ca="1" si="1"/>
        <v>0.36164383561643837</v>
      </c>
      <c r="L36" s="2">
        <f t="shared" si="2"/>
        <v>142500</v>
      </c>
      <c r="M36" s="2">
        <f t="shared" si="3"/>
        <v>0</v>
      </c>
      <c r="N36" s="2">
        <f t="shared" ca="1" si="4"/>
        <v>0</v>
      </c>
      <c r="O36" s="2">
        <f t="shared" ca="1" si="5"/>
        <v>106875</v>
      </c>
      <c r="P36" s="2">
        <f t="shared" ca="1" si="6"/>
        <v>0</v>
      </c>
      <c r="Q36" s="2">
        <f t="shared" ca="1" si="7"/>
        <v>106875</v>
      </c>
    </row>
    <row r="37" spans="1:17" x14ac:dyDescent="0.3">
      <c r="A37" s="3" t="s">
        <v>17</v>
      </c>
      <c r="B37" s="3" t="s">
        <v>12</v>
      </c>
      <c r="C37" s="3" t="s">
        <v>55</v>
      </c>
      <c r="D37" s="4">
        <v>80</v>
      </c>
      <c r="E37" s="5">
        <v>1600</v>
      </c>
      <c r="F37" s="7">
        <v>45532</v>
      </c>
      <c r="G37" s="4">
        <v>730</v>
      </c>
      <c r="H37" s="6" t="s">
        <v>64</v>
      </c>
      <c r="I37" s="4" t="s">
        <v>66</v>
      </c>
      <c r="J37" s="15">
        <f t="shared" si="0"/>
        <v>46262</v>
      </c>
      <c r="K37" s="17">
        <f t="shared" ca="1" si="1"/>
        <v>0.3</v>
      </c>
      <c r="L37" s="2">
        <f t="shared" si="2"/>
        <v>128000</v>
      </c>
      <c r="M37" s="2">
        <f t="shared" si="3"/>
        <v>128000</v>
      </c>
      <c r="N37" s="2">
        <f t="shared" si="4"/>
        <v>0</v>
      </c>
      <c r="O37" s="2">
        <f t="shared" si="5"/>
        <v>0</v>
      </c>
      <c r="P37" s="2">
        <f t="shared" si="6"/>
        <v>0</v>
      </c>
      <c r="Q37" s="2">
        <f t="shared" si="7"/>
        <v>128000</v>
      </c>
    </row>
    <row r="38" spans="1:17" x14ac:dyDescent="0.3">
      <c r="A38" s="3" t="s">
        <v>14</v>
      </c>
      <c r="B38" s="3" t="s">
        <v>12</v>
      </c>
      <c r="C38" s="3" t="s">
        <v>56</v>
      </c>
      <c r="D38" s="4">
        <v>110</v>
      </c>
      <c r="E38" s="5">
        <v>1600</v>
      </c>
      <c r="F38" s="7">
        <v>45699</v>
      </c>
      <c r="G38" s="4">
        <v>730</v>
      </c>
      <c r="J38" s="15">
        <f t="shared" si="0"/>
        <v>46429</v>
      </c>
      <c r="K38" s="17">
        <f t="shared" ca="1" si="1"/>
        <v>0.52876712328767128</v>
      </c>
      <c r="L38" s="2">
        <f t="shared" si="2"/>
        <v>176000</v>
      </c>
      <c r="M38" s="2">
        <f t="shared" si="3"/>
        <v>0</v>
      </c>
      <c r="N38" s="2">
        <f t="shared" ca="1" si="4"/>
        <v>0</v>
      </c>
      <c r="O38" s="2">
        <f t="shared" ca="1" si="5"/>
        <v>0</v>
      </c>
      <c r="P38" s="2">
        <f t="shared" ca="1" si="6"/>
        <v>0</v>
      </c>
      <c r="Q38" s="2">
        <f t="shared" ca="1" si="7"/>
        <v>0</v>
      </c>
    </row>
    <row r="39" spans="1:17" x14ac:dyDescent="0.3">
      <c r="A39" s="3" t="s">
        <v>11</v>
      </c>
      <c r="B39" s="3" t="s">
        <v>9</v>
      </c>
      <c r="C39" s="3" t="s">
        <v>57</v>
      </c>
      <c r="D39" s="4">
        <v>250</v>
      </c>
      <c r="E39" s="5">
        <v>1050</v>
      </c>
      <c r="F39" s="7">
        <v>45636</v>
      </c>
      <c r="G39" s="4">
        <v>400</v>
      </c>
      <c r="J39" s="15">
        <f t="shared" si="0"/>
        <v>46036</v>
      </c>
      <c r="K39" s="17">
        <f t="shared" ca="1" si="1"/>
        <v>-1.7500000000000002E-2</v>
      </c>
      <c r="L39" s="2">
        <f t="shared" si="2"/>
        <v>262500</v>
      </c>
      <c r="M39" s="2">
        <f t="shared" si="3"/>
        <v>0</v>
      </c>
      <c r="N39" s="2">
        <f t="shared" ca="1" si="4"/>
        <v>262500</v>
      </c>
      <c r="O39" s="2">
        <f t="shared" ca="1" si="5"/>
        <v>0</v>
      </c>
      <c r="P39" s="2">
        <f t="shared" ca="1" si="6"/>
        <v>0</v>
      </c>
      <c r="Q39" s="2">
        <f t="shared" ca="1" si="7"/>
        <v>262500</v>
      </c>
    </row>
    <row r="40" spans="1:17" x14ac:dyDescent="0.3">
      <c r="A40" s="3" t="s">
        <v>14</v>
      </c>
      <c r="B40" s="3" t="s">
        <v>9</v>
      </c>
      <c r="C40" s="3" t="s">
        <v>58</v>
      </c>
      <c r="D40" s="4">
        <v>70</v>
      </c>
      <c r="E40" s="5">
        <v>1050</v>
      </c>
      <c r="F40" s="7">
        <v>45672</v>
      </c>
      <c r="G40" s="4">
        <v>400</v>
      </c>
      <c r="J40" s="15">
        <f t="shared" si="0"/>
        <v>46072</v>
      </c>
      <c r="K40" s="17">
        <f t="shared" ca="1" si="1"/>
        <v>7.2499999999999995E-2</v>
      </c>
      <c r="L40" s="2">
        <f t="shared" si="2"/>
        <v>73500</v>
      </c>
      <c r="M40" s="2">
        <f t="shared" si="3"/>
        <v>0</v>
      </c>
      <c r="N40" s="2">
        <f t="shared" ca="1" si="4"/>
        <v>73500</v>
      </c>
      <c r="O40" s="2">
        <f t="shared" ca="1" si="5"/>
        <v>0</v>
      </c>
      <c r="P40" s="2">
        <f t="shared" ca="1" si="6"/>
        <v>0</v>
      </c>
      <c r="Q40" s="2">
        <f t="shared" ca="1" si="7"/>
        <v>73500</v>
      </c>
    </row>
    <row r="41" spans="1:17" x14ac:dyDescent="0.3">
      <c r="A41" s="3" t="s">
        <v>17</v>
      </c>
      <c r="B41" s="3" t="s">
        <v>9</v>
      </c>
      <c r="C41" s="3" t="s">
        <v>59</v>
      </c>
      <c r="D41" s="4">
        <v>180</v>
      </c>
      <c r="E41" s="5">
        <v>1050</v>
      </c>
      <c r="F41" s="7">
        <v>45541</v>
      </c>
      <c r="G41" s="4">
        <v>400</v>
      </c>
      <c r="J41" s="15">
        <f t="shared" si="0"/>
        <v>45941</v>
      </c>
      <c r="K41" s="17">
        <f t="shared" ca="1" si="1"/>
        <v>-0.255</v>
      </c>
      <c r="L41" s="2">
        <f t="shared" si="2"/>
        <v>189000</v>
      </c>
      <c r="M41" s="2">
        <f t="shared" si="3"/>
        <v>0</v>
      </c>
      <c r="N41" s="2">
        <f t="shared" ca="1" si="4"/>
        <v>189000</v>
      </c>
      <c r="O41" s="2">
        <f t="shared" ca="1" si="5"/>
        <v>0</v>
      </c>
      <c r="P41" s="2">
        <f t="shared" ca="1" si="6"/>
        <v>0</v>
      </c>
      <c r="Q41" s="2">
        <f t="shared" ca="1" si="7"/>
        <v>189000</v>
      </c>
    </row>
    <row r="42" spans="1:17" x14ac:dyDescent="0.3">
      <c r="A42" s="3" t="s">
        <v>14</v>
      </c>
      <c r="B42" s="3" t="s">
        <v>9</v>
      </c>
      <c r="C42" s="3" t="s">
        <v>18</v>
      </c>
      <c r="D42" s="4">
        <v>75</v>
      </c>
      <c r="E42" s="5">
        <v>1050</v>
      </c>
      <c r="F42" s="7">
        <v>45626</v>
      </c>
      <c r="G42" s="4">
        <v>400</v>
      </c>
      <c r="J42" s="15">
        <f t="shared" si="0"/>
        <v>46026</v>
      </c>
      <c r="K42" s="17">
        <f t="shared" ca="1" si="1"/>
        <v>-4.2500000000000003E-2</v>
      </c>
      <c r="L42" s="2">
        <f t="shared" si="2"/>
        <v>78750</v>
      </c>
      <c r="M42" s="2">
        <f t="shared" si="3"/>
        <v>0</v>
      </c>
      <c r="N42" s="2">
        <f t="shared" ca="1" si="4"/>
        <v>78750</v>
      </c>
      <c r="O42" s="2">
        <f t="shared" ca="1" si="5"/>
        <v>0</v>
      </c>
      <c r="P42" s="2">
        <f t="shared" ca="1" si="6"/>
        <v>0</v>
      </c>
      <c r="Q42" s="2">
        <f t="shared" ca="1" si="7"/>
        <v>78750</v>
      </c>
    </row>
    <row r="43" spans="1:17" x14ac:dyDescent="0.3">
      <c r="A43" s="3" t="s">
        <v>11</v>
      </c>
      <c r="B43" s="3" t="s">
        <v>9</v>
      </c>
      <c r="C43" s="3" t="s">
        <v>19</v>
      </c>
      <c r="D43" s="4">
        <v>150</v>
      </c>
      <c r="E43" s="5">
        <v>1050</v>
      </c>
      <c r="F43" s="7">
        <v>45672</v>
      </c>
      <c r="G43" s="4">
        <v>400</v>
      </c>
      <c r="J43" s="15">
        <f t="shared" si="0"/>
        <v>46072</v>
      </c>
      <c r="K43" s="17">
        <f t="shared" ca="1" si="1"/>
        <v>7.2499999999999995E-2</v>
      </c>
      <c r="L43" s="2">
        <f t="shared" si="2"/>
        <v>157500</v>
      </c>
      <c r="M43" s="2">
        <f t="shared" si="3"/>
        <v>0</v>
      </c>
      <c r="N43" s="2">
        <f t="shared" ca="1" si="4"/>
        <v>157500</v>
      </c>
      <c r="O43" s="2">
        <f t="shared" ca="1" si="5"/>
        <v>0</v>
      </c>
      <c r="P43" s="2">
        <f t="shared" ca="1" si="6"/>
        <v>0</v>
      </c>
      <c r="Q43" s="2">
        <f t="shared" ca="1" si="7"/>
        <v>157500</v>
      </c>
    </row>
    <row r="44" spans="1:17" x14ac:dyDescent="0.3">
      <c r="A44" s="3" t="s">
        <v>17</v>
      </c>
      <c r="B44" s="3" t="s">
        <v>9</v>
      </c>
      <c r="C44" s="3" t="s">
        <v>10</v>
      </c>
      <c r="D44" s="4">
        <v>200</v>
      </c>
      <c r="E44" s="5">
        <v>1050</v>
      </c>
      <c r="F44" s="7">
        <v>45559</v>
      </c>
      <c r="G44" s="4">
        <v>400</v>
      </c>
      <c r="J44" s="15">
        <f t="shared" si="0"/>
        <v>45959</v>
      </c>
      <c r="K44" s="17">
        <f t="shared" ca="1" si="1"/>
        <v>-0.21</v>
      </c>
      <c r="L44" s="2">
        <f t="shared" si="2"/>
        <v>210000</v>
      </c>
      <c r="M44" s="2">
        <f t="shared" si="3"/>
        <v>0</v>
      </c>
      <c r="N44" s="2">
        <f t="shared" ca="1" si="4"/>
        <v>210000</v>
      </c>
      <c r="O44" s="2">
        <f t="shared" ca="1" si="5"/>
        <v>0</v>
      </c>
      <c r="P44" s="2">
        <f t="shared" ca="1" si="6"/>
        <v>0</v>
      </c>
      <c r="Q44" s="2">
        <f t="shared" ca="1" si="7"/>
        <v>210000</v>
      </c>
    </row>
    <row r="45" spans="1:17" x14ac:dyDescent="0.3">
      <c r="A45" s="3" t="s">
        <v>17</v>
      </c>
      <c r="B45" s="3" t="s">
        <v>9</v>
      </c>
      <c r="C45" s="3" t="s">
        <v>19</v>
      </c>
      <c r="D45" s="4">
        <v>150</v>
      </c>
      <c r="E45" s="5">
        <v>1050</v>
      </c>
      <c r="F45" s="7">
        <v>45672</v>
      </c>
      <c r="G45" s="4">
        <v>400</v>
      </c>
      <c r="J45" s="15">
        <f t="shared" si="0"/>
        <v>46072</v>
      </c>
      <c r="K45" s="17">
        <f t="shared" ca="1" si="1"/>
        <v>7.2499999999999995E-2</v>
      </c>
      <c r="L45" s="2">
        <f t="shared" si="2"/>
        <v>157500</v>
      </c>
      <c r="M45" s="2">
        <f t="shared" si="3"/>
        <v>0</v>
      </c>
      <c r="N45" s="2">
        <f t="shared" ca="1" si="4"/>
        <v>157500</v>
      </c>
      <c r="O45" s="2">
        <f t="shared" ca="1" si="5"/>
        <v>0</v>
      </c>
      <c r="P45" s="2">
        <f t="shared" ca="1" si="6"/>
        <v>0</v>
      </c>
      <c r="Q45" s="2">
        <f t="shared" ca="1" si="7"/>
        <v>157500</v>
      </c>
    </row>
    <row r="46" spans="1:17" x14ac:dyDescent="0.3">
      <c r="A46" s="3" t="s">
        <v>14</v>
      </c>
      <c r="B46" s="3" t="s">
        <v>9</v>
      </c>
      <c r="C46" s="3" t="s">
        <v>19</v>
      </c>
      <c r="D46" s="4">
        <v>300</v>
      </c>
      <c r="E46" s="5">
        <v>1050</v>
      </c>
      <c r="F46" s="7">
        <v>45672</v>
      </c>
      <c r="G46" s="4">
        <v>400</v>
      </c>
      <c r="J46" s="15">
        <f t="shared" si="0"/>
        <v>46072</v>
      </c>
      <c r="K46" s="17">
        <f t="shared" ca="1" si="1"/>
        <v>7.2499999999999995E-2</v>
      </c>
      <c r="L46" s="2">
        <f t="shared" si="2"/>
        <v>315000</v>
      </c>
      <c r="M46" s="2">
        <f t="shared" si="3"/>
        <v>0</v>
      </c>
      <c r="N46" s="2">
        <f t="shared" ca="1" si="4"/>
        <v>315000</v>
      </c>
      <c r="O46" s="2">
        <f t="shared" ca="1" si="5"/>
        <v>0</v>
      </c>
      <c r="P46" s="2">
        <f t="shared" ca="1" si="6"/>
        <v>0</v>
      </c>
      <c r="Q46" s="2">
        <f t="shared" ca="1" si="7"/>
        <v>315000</v>
      </c>
    </row>
    <row r="47" spans="1:17" x14ac:dyDescent="0.3">
      <c r="A47" s="3" t="s">
        <v>11</v>
      </c>
      <c r="B47" s="3" t="s">
        <v>12</v>
      </c>
      <c r="C47" s="3" t="s">
        <v>13</v>
      </c>
      <c r="D47" s="4">
        <v>500</v>
      </c>
      <c r="E47" s="5">
        <v>1600</v>
      </c>
      <c r="F47" s="7">
        <v>45516</v>
      </c>
      <c r="G47" s="4">
        <v>730</v>
      </c>
      <c r="J47" s="15">
        <f t="shared" si="0"/>
        <v>46246</v>
      </c>
      <c r="K47" s="17">
        <f t="shared" ca="1" si="1"/>
        <v>0.27808219178082194</v>
      </c>
      <c r="L47" s="2">
        <f t="shared" si="2"/>
        <v>800000</v>
      </c>
      <c r="M47" s="2">
        <f t="shared" si="3"/>
        <v>0</v>
      </c>
      <c r="N47" s="2">
        <f t="shared" ca="1" si="4"/>
        <v>0</v>
      </c>
      <c r="O47" s="2">
        <f t="shared" ca="1" si="5"/>
        <v>600000</v>
      </c>
      <c r="P47" s="2">
        <f t="shared" ca="1" si="6"/>
        <v>0</v>
      </c>
      <c r="Q47" s="2">
        <f t="shared" ca="1" si="7"/>
        <v>600000</v>
      </c>
    </row>
    <row r="48" spans="1:17" x14ac:dyDescent="0.3">
      <c r="A48" s="3" t="s">
        <v>17</v>
      </c>
      <c r="B48" s="3" t="s">
        <v>12</v>
      </c>
      <c r="C48" s="3" t="s">
        <v>13</v>
      </c>
      <c r="D48" s="4">
        <v>700</v>
      </c>
      <c r="E48" s="5">
        <v>1600</v>
      </c>
      <c r="F48" s="7">
        <v>45881</v>
      </c>
      <c r="G48" s="4">
        <v>730</v>
      </c>
      <c r="J48" s="15">
        <f t="shared" si="0"/>
        <v>46611</v>
      </c>
      <c r="K48" s="17">
        <f t="shared" ca="1" si="1"/>
        <v>0.77808219178082194</v>
      </c>
      <c r="L48" s="2">
        <f t="shared" si="2"/>
        <v>1120000</v>
      </c>
      <c r="M48" s="2">
        <f t="shared" si="3"/>
        <v>0</v>
      </c>
      <c r="N48" s="2">
        <f t="shared" ca="1" si="4"/>
        <v>0</v>
      </c>
      <c r="O48" s="2">
        <f t="shared" ca="1" si="5"/>
        <v>0</v>
      </c>
      <c r="P48" s="2">
        <f t="shared" ca="1" si="6"/>
        <v>0</v>
      </c>
      <c r="Q48" s="2">
        <f t="shared" ca="1" si="7"/>
        <v>0</v>
      </c>
    </row>
    <row r="49" spans="1:17" x14ac:dyDescent="0.3">
      <c r="A49" s="3" t="s">
        <v>11</v>
      </c>
      <c r="B49" s="3" t="s">
        <v>12</v>
      </c>
      <c r="C49" s="3" t="s">
        <v>56</v>
      </c>
      <c r="D49" s="4">
        <v>300</v>
      </c>
      <c r="E49" s="5">
        <v>1600</v>
      </c>
      <c r="F49" s="7">
        <v>45699</v>
      </c>
      <c r="G49" s="4">
        <v>730</v>
      </c>
      <c r="J49" s="15">
        <f t="shared" si="0"/>
        <v>46429</v>
      </c>
      <c r="K49" s="17">
        <f t="shared" ca="1" si="1"/>
        <v>0.52876712328767128</v>
      </c>
      <c r="L49" s="2">
        <f t="shared" si="2"/>
        <v>480000</v>
      </c>
      <c r="M49" s="2">
        <f t="shared" si="3"/>
        <v>0</v>
      </c>
      <c r="N49" s="2">
        <f t="shared" ca="1" si="4"/>
        <v>0</v>
      </c>
      <c r="O49" s="2">
        <f t="shared" ca="1" si="5"/>
        <v>0</v>
      </c>
      <c r="P49" s="2">
        <f t="shared" ca="1" si="6"/>
        <v>0</v>
      </c>
      <c r="Q49" s="2">
        <f t="shared" ca="1" si="7"/>
        <v>0</v>
      </c>
    </row>
    <row r="50" spans="1:17" x14ac:dyDescent="0.3">
      <c r="A50" s="3" t="s">
        <v>11</v>
      </c>
      <c r="B50" s="3" t="s">
        <v>15</v>
      </c>
      <c r="C50" s="3" t="s">
        <v>16</v>
      </c>
      <c r="D50" s="4">
        <v>500</v>
      </c>
      <c r="E50" s="5">
        <v>950</v>
      </c>
      <c r="F50" s="7">
        <v>45436</v>
      </c>
      <c r="G50" s="4">
        <v>365</v>
      </c>
      <c r="H50" s="6" t="s">
        <v>64</v>
      </c>
      <c r="I50" s="4" t="s">
        <v>65</v>
      </c>
      <c r="J50" s="15">
        <f t="shared" si="0"/>
        <v>45801</v>
      </c>
      <c r="K50" s="17">
        <f t="shared" ca="1" si="1"/>
        <v>-0.66301369863013704</v>
      </c>
      <c r="L50" s="2">
        <f t="shared" si="2"/>
        <v>475000</v>
      </c>
      <c r="M50" s="2">
        <f t="shared" si="3"/>
        <v>475000</v>
      </c>
      <c r="N50" s="2">
        <f t="shared" si="4"/>
        <v>0</v>
      </c>
      <c r="O50" s="2">
        <f t="shared" si="5"/>
        <v>0</v>
      </c>
      <c r="P50" s="2">
        <f t="shared" si="6"/>
        <v>0</v>
      </c>
      <c r="Q50" s="2">
        <f t="shared" si="7"/>
        <v>475000</v>
      </c>
    </row>
    <row r="51" spans="1:17" x14ac:dyDescent="0.3">
      <c r="A51" s="3" t="s">
        <v>14</v>
      </c>
      <c r="B51" s="3" t="s">
        <v>15</v>
      </c>
      <c r="C51" s="3" t="s">
        <v>16</v>
      </c>
      <c r="D51" s="4">
        <v>700</v>
      </c>
      <c r="E51" s="5">
        <v>950</v>
      </c>
      <c r="F51" s="7">
        <v>45436</v>
      </c>
      <c r="G51" s="4">
        <v>365</v>
      </c>
      <c r="H51" s="6" t="s">
        <v>64</v>
      </c>
      <c r="I51" s="4" t="s">
        <v>65</v>
      </c>
      <c r="J51" s="15">
        <f t="shared" si="0"/>
        <v>45801</v>
      </c>
      <c r="K51" s="17">
        <f t="shared" ca="1" si="1"/>
        <v>-0.66301369863013704</v>
      </c>
      <c r="L51" s="2">
        <f t="shared" si="2"/>
        <v>665000</v>
      </c>
      <c r="M51" s="2">
        <f t="shared" si="3"/>
        <v>665000</v>
      </c>
      <c r="N51" s="2">
        <f t="shared" si="4"/>
        <v>0</v>
      </c>
      <c r="O51" s="2">
        <f t="shared" si="5"/>
        <v>0</v>
      </c>
      <c r="P51" s="2">
        <f t="shared" si="6"/>
        <v>0</v>
      </c>
      <c r="Q51" s="2">
        <f t="shared" si="7"/>
        <v>665000</v>
      </c>
    </row>
    <row r="52" spans="1:17" x14ac:dyDescent="0.3">
      <c r="A52" s="3" t="s">
        <v>17</v>
      </c>
      <c r="B52" s="3" t="s">
        <v>20</v>
      </c>
      <c r="C52" s="3" t="s">
        <v>21</v>
      </c>
      <c r="D52" s="4">
        <v>130</v>
      </c>
      <c r="E52" s="5">
        <v>890</v>
      </c>
      <c r="F52" s="7">
        <v>45392</v>
      </c>
      <c r="G52" s="4">
        <v>400</v>
      </c>
      <c r="H52" s="6" t="s">
        <v>64</v>
      </c>
      <c r="I52" s="4" t="s">
        <v>65</v>
      </c>
      <c r="J52" s="15">
        <f t="shared" si="0"/>
        <v>45792</v>
      </c>
      <c r="K52" s="17">
        <f t="shared" ca="1" si="1"/>
        <v>-0.62749999999999995</v>
      </c>
      <c r="L52" s="2">
        <f t="shared" si="2"/>
        <v>115700</v>
      </c>
      <c r="M52" s="2">
        <f t="shared" si="3"/>
        <v>115700</v>
      </c>
      <c r="N52" s="2">
        <f t="shared" si="4"/>
        <v>0</v>
      </c>
      <c r="O52" s="2">
        <f t="shared" si="5"/>
        <v>0</v>
      </c>
      <c r="P52" s="2">
        <f t="shared" si="6"/>
        <v>0</v>
      </c>
      <c r="Q52" s="2">
        <f t="shared" si="7"/>
        <v>115700</v>
      </c>
    </row>
    <row r="53" spans="1:17" x14ac:dyDescent="0.3">
      <c r="A53" s="3" t="s">
        <v>17</v>
      </c>
      <c r="B53" s="3" t="s">
        <v>22</v>
      </c>
      <c r="C53" s="3" t="s">
        <v>23</v>
      </c>
      <c r="D53" s="4">
        <v>150</v>
      </c>
      <c r="E53" s="5">
        <v>1275</v>
      </c>
      <c r="F53" s="7">
        <v>45792</v>
      </c>
      <c r="G53" s="4">
        <v>460</v>
      </c>
      <c r="J53" s="15">
        <f t="shared" si="0"/>
        <v>46252</v>
      </c>
      <c r="K53" s="17">
        <f t="shared" ca="1" si="1"/>
        <v>0.45434782608695651</v>
      </c>
      <c r="L53" s="2">
        <f t="shared" si="2"/>
        <v>191250</v>
      </c>
      <c r="M53" s="2">
        <f t="shared" si="3"/>
        <v>0</v>
      </c>
      <c r="N53" s="2">
        <f t="shared" ca="1" si="4"/>
        <v>0</v>
      </c>
      <c r="O53" s="2">
        <f t="shared" ca="1" si="5"/>
        <v>0</v>
      </c>
      <c r="P53" s="2">
        <f t="shared" ca="1" si="6"/>
        <v>95625</v>
      </c>
      <c r="Q53" s="2">
        <f t="shared" ca="1" si="7"/>
        <v>95625</v>
      </c>
    </row>
    <row r="54" spans="1:17" x14ac:dyDescent="0.3">
      <c r="A54" s="3" t="s">
        <v>14</v>
      </c>
      <c r="B54" s="3" t="s">
        <v>22</v>
      </c>
      <c r="C54" s="3" t="s">
        <v>23</v>
      </c>
      <c r="D54" s="4">
        <v>250</v>
      </c>
      <c r="E54" s="5">
        <v>1275</v>
      </c>
      <c r="F54" s="7">
        <v>45792</v>
      </c>
      <c r="G54" s="4">
        <v>460</v>
      </c>
      <c r="J54" s="15">
        <f t="shared" si="0"/>
        <v>46252</v>
      </c>
      <c r="K54" s="17">
        <f t="shared" ca="1" si="1"/>
        <v>0.45434782608695651</v>
      </c>
      <c r="L54" s="2">
        <f t="shared" si="2"/>
        <v>318750</v>
      </c>
      <c r="M54" s="2">
        <f t="shared" si="3"/>
        <v>0</v>
      </c>
      <c r="N54" s="2">
        <f t="shared" ca="1" si="4"/>
        <v>0</v>
      </c>
      <c r="O54" s="2">
        <f t="shared" ca="1" si="5"/>
        <v>0</v>
      </c>
      <c r="P54" s="2">
        <f t="shared" ca="1" si="6"/>
        <v>159375</v>
      </c>
      <c r="Q54" s="2">
        <f t="shared" ca="1" si="7"/>
        <v>159375</v>
      </c>
    </row>
    <row r="55" spans="1:17" x14ac:dyDescent="0.3">
      <c r="A55" s="3" t="s">
        <v>11</v>
      </c>
      <c r="B55" s="3" t="s">
        <v>24</v>
      </c>
      <c r="C55" s="3" t="s">
        <v>25</v>
      </c>
      <c r="D55" s="4">
        <v>200</v>
      </c>
      <c r="E55" s="5">
        <v>980</v>
      </c>
      <c r="F55" s="7">
        <v>45466</v>
      </c>
      <c r="G55" s="4">
        <v>365</v>
      </c>
      <c r="H55" s="6" t="s">
        <v>64</v>
      </c>
      <c r="I55" s="4" t="s">
        <v>65</v>
      </c>
      <c r="J55" s="15">
        <f t="shared" si="0"/>
        <v>45831</v>
      </c>
      <c r="K55" s="17">
        <f t="shared" ca="1" si="1"/>
        <v>-0.58082191780821912</v>
      </c>
      <c r="L55" s="2">
        <f t="shared" si="2"/>
        <v>196000</v>
      </c>
      <c r="M55" s="2">
        <f t="shared" si="3"/>
        <v>196000</v>
      </c>
      <c r="N55" s="2">
        <f t="shared" si="4"/>
        <v>0</v>
      </c>
      <c r="O55" s="2">
        <f t="shared" si="5"/>
        <v>0</v>
      </c>
      <c r="P55" s="2">
        <f t="shared" si="6"/>
        <v>0</v>
      </c>
      <c r="Q55" s="2">
        <f t="shared" si="7"/>
        <v>196000</v>
      </c>
    </row>
  </sheetData>
  <autoFilter ref="A1:I55" xr:uid="{83DD7BC7-D97C-49F4-88FC-49B35C136A3B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C36BFA3F7CA2244925E07107AC027F4" ma:contentTypeVersion="14" ma:contentTypeDescription="Crie um novo documento." ma:contentTypeScope="" ma:versionID="f1dad3fd801066effaaa78d394a00547">
  <xsd:schema xmlns:xsd="http://www.w3.org/2001/XMLSchema" xmlns:xs="http://www.w3.org/2001/XMLSchema" xmlns:p="http://schemas.microsoft.com/office/2006/metadata/properties" xmlns:ns2="27abfcf4-a53b-45ec-9541-9b00a41a0f09" xmlns:ns3="df20de4e-4892-4869-a652-a7c915abf32f" targetNamespace="http://schemas.microsoft.com/office/2006/metadata/properties" ma:root="true" ma:fieldsID="cab3a69541c8979052db647cfac11b15" ns2:_="" ns3:_="">
    <xsd:import namespace="27abfcf4-a53b-45ec-9541-9b00a41a0f09"/>
    <xsd:import namespace="df20de4e-4892-4869-a652-a7c915abf3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abfcf4-a53b-45ec-9541-9b00a41a0f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bdd6607b-17a9-4d68-980a-d0ce8eb27d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20de4e-4892-4869-a652-a7c915abf3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2878446-74c9-4094-890e-e361259db24f}" ma:internalName="TaxCatchAll" ma:showField="CatchAllData" ma:web="df20de4e-4892-4869-a652-a7c915abf3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Props1.xml><?xml version="1.0" encoding="utf-8"?>
<ds:datastoreItem xmlns:ds="http://schemas.openxmlformats.org/officeDocument/2006/customXml" ds:itemID="{8D8FC3D4-1667-428B-A3C3-2CE83A7692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2DBF5C2-36DA-4B8B-A231-7AE8E1DF55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abfcf4-a53b-45ec-9541-9b00a41a0f09"/>
    <ds:schemaRef ds:uri="df20de4e-4892-4869-a652-a7c915abf3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B5310A8-0CE6-49DF-AA6E-B66C1B83B6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O que veremos nessa aula</vt:lpstr>
      <vt:lpstr>Dinâmicas</vt:lpstr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Cléber Neves de Freitas</dc:creator>
  <cp:lastModifiedBy>Sandynele Dias</cp:lastModifiedBy>
  <dcterms:created xsi:type="dcterms:W3CDTF">2023-06-23T00:45:27Z</dcterms:created>
  <dcterms:modified xsi:type="dcterms:W3CDTF">2026-01-21T22:55:23Z</dcterms:modified>
</cp:coreProperties>
</file>