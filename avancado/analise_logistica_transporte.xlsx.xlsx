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5\Aula 4 - Planilha de Transporte\"/>
    </mc:Choice>
  </mc:AlternateContent>
  <xr:revisionPtr revIDLastSave="0" documentId="13_ncr:1_{6C5B50C9-7A85-4B64-806D-F249BC34637C}" xr6:coauthVersionLast="47" xr6:coauthVersionMax="47" xr10:uidLastSave="{00000000-0000-0000-0000-000000000000}"/>
  <bookViews>
    <workbookView xWindow="-120" yWindow="-120" windowWidth="29040" windowHeight="15720" activeTab="4" xr2:uid="{9F359555-6486-479B-BB39-F7E8F49BAF99}"/>
  </bookViews>
  <sheets>
    <sheet name="CadTransportadoras" sheetId="4" r:id="rId1"/>
    <sheet name="dimCliente" sheetId="3" r:id="rId2"/>
    <sheet name="fNotasFiscais" sheetId="2" r:id="rId3"/>
    <sheet name="Dinâmica Base" sheetId="5" r:id="rId4"/>
    <sheet name="Dashboard" sheetId="6" r:id="rId5"/>
  </sheets>
  <definedNames>
    <definedName name="DadosExternos_1" localSheetId="2" hidden="1">fNotasFiscais!$A$1:$V$2726</definedName>
    <definedName name="DadosExternos_2" localSheetId="1" hidden="1">dimCliente!$A$1:$E$265</definedName>
    <definedName name="DadosExternos_3" localSheetId="0" hidden="1">'CadTransportadoras'!$A$1:$C$8</definedName>
    <definedName name="SegmentaçãodeDados_Anos__Data_da_Entrega">#N/A</definedName>
    <definedName name="SegmentaçãodeDados_Data_da_Entrega">#N/A</definedName>
    <definedName name="SegmentaçãodeDados_Nome_do_Cliente">#N/A</definedName>
    <definedName name="SegmentaçãodeDados_Transportadora">#N/A</definedName>
  </definedNames>
  <calcPr calcId="191029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4" i="5" l="1"/>
  <c r="AA15" i="5"/>
  <c r="AA16" i="5"/>
  <c r="AA17" i="5"/>
  <c r="AA13" i="5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Z142" i="2"/>
  <c r="Z158" i="2"/>
  <c r="Z246" i="2"/>
  <c r="Z251" i="2"/>
  <c r="Z319" i="2"/>
  <c r="Z326" i="2"/>
  <c r="Z410" i="2"/>
  <c r="Z446" i="2"/>
  <c r="Z447" i="2"/>
  <c r="Z483" i="2"/>
  <c r="Z486" i="2"/>
  <c r="Z522" i="2"/>
  <c r="Z523" i="2"/>
  <c r="Z559" i="2"/>
  <c r="Z560" i="2"/>
  <c r="Z587" i="2"/>
  <c r="Z590" i="2"/>
  <c r="Z618" i="2"/>
  <c r="Z646" i="2"/>
  <c r="Z675" i="2"/>
  <c r="Z702" i="2"/>
  <c r="Z703" i="2"/>
  <c r="Z730" i="2"/>
  <c r="Z731" i="2"/>
  <c r="Z758" i="2"/>
  <c r="Z760" i="2"/>
  <c r="Z787" i="2"/>
  <c r="Z788" i="2"/>
  <c r="Z815" i="2"/>
  <c r="Z816" i="2"/>
  <c r="Z843" i="2"/>
  <c r="Z846" i="2"/>
  <c r="Z874" i="2"/>
  <c r="Z902" i="2"/>
  <c r="Z922" i="2"/>
  <c r="Z923" i="2"/>
  <c r="Z942" i="2"/>
  <c r="Z943" i="2"/>
  <c r="Z959" i="2"/>
  <c r="Z963" i="2"/>
  <c r="Z979" i="2"/>
  <c r="Z980" i="2"/>
  <c r="Z994" i="2"/>
  <c r="Z996" i="2"/>
  <c r="Z1010" i="2"/>
  <c r="Z1022" i="2"/>
  <c r="Z1024" i="2"/>
  <c r="Z1038" i="2"/>
  <c r="Z1050" i="2"/>
  <c r="Z1066" i="2"/>
  <c r="Z1096" i="2"/>
  <c r="Z1122" i="2"/>
  <c r="Z1124" i="2"/>
  <c r="Z1138" i="2"/>
  <c r="Z1150" i="2"/>
  <c r="Z1152" i="2"/>
  <c r="Z1166" i="2"/>
  <c r="Z1178" i="2"/>
  <c r="Z1194" i="2"/>
  <c r="Z1224" i="2"/>
  <c r="Z1250" i="2"/>
  <c r="Z1252" i="2"/>
  <c r="Z1266" i="2"/>
  <c r="Z1278" i="2"/>
  <c r="Z1280" i="2"/>
  <c r="Z1294" i="2"/>
  <c r="Z1306" i="2"/>
  <c r="Z1322" i="2"/>
  <c r="Z1352" i="2"/>
  <c r="Z1378" i="2"/>
  <c r="Z1380" i="2"/>
  <c r="Z1394" i="2"/>
  <c r="Z1406" i="2"/>
  <c r="Z1408" i="2"/>
  <c r="Z1422" i="2"/>
  <c r="Z1434" i="2"/>
  <c r="Z1450" i="2"/>
  <c r="Z1480" i="2"/>
  <c r="Z1506" i="2"/>
  <c r="Z1508" i="2"/>
  <c r="Z1522" i="2"/>
  <c r="Z1534" i="2"/>
  <c r="Z1536" i="2"/>
  <c r="Z1550" i="2"/>
  <c r="Z1562" i="2"/>
  <c r="Z1578" i="2"/>
  <c r="Z1608" i="2"/>
  <c r="Z1634" i="2"/>
  <c r="Z1636" i="2"/>
  <c r="Z1650" i="2"/>
  <c r="Z1662" i="2"/>
  <c r="Z1664" i="2"/>
  <c r="Z1678" i="2"/>
  <c r="Z1690" i="2"/>
  <c r="Z1706" i="2"/>
  <c r="Z1736" i="2"/>
  <c r="Z1762" i="2"/>
  <c r="Z1764" i="2"/>
  <c r="Z1778" i="2"/>
  <c r="Z1790" i="2"/>
  <c r="Z1792" i="2"/>
  <c r="Z1806" i="2"/>
  <c r="Z1818" i="2"/>
  <c r="Z1834" i="2"/>
  <c r="Z1839" i="2"/>
  <c r="Z1846" i="2"/>
  <c r="Z1850" i="2"/>
  <c r="Z1851" i="2"/>
  <c r="Z1855" i="2"/>
  <c r="Z1862" i="2"/>
  <c r="Z1866" i="2"/>
  <c r="Z1867" i="2"/>
  <c r="Z1871" i="2"/>
  <c r="Z1878" i="2"/>
  <c r="Z1882" i="2"/>
  <c r="Z1883" i="2"/>
  <c r="Z1887" i="2"/>
  <c r="Z1894" i="2"/>
  <c r="Z1898" i="2"/>
  <c r="Z1899" i="2"/>
  <c r="Z1903" i="2"/>
  <c r="Z1910" i="2"/>
  <c r="Z1914" i="2"/>
  <c r="Z1915" i="2"/>
  <c r="Z1919" i="2"/>
  <c r="Z1926" i="2"/>
  <c r="Z1930" i="2"/>
  <c r="Z1931" i="2"/>
  <c r="Z1935" i="2"/>
  <c r="Z1942" i="2"/>
  <c r="Z1946" i="2"/>
  <c r="Z1947" i="2"/>
  <c r="Z1951" i="2"/>
  <c r="Z1958" i="2"/>
  <c r="Z1962" i="2"/>
  <c r="Z1963" i="2"/>
  <c r="Z1967" i="2"/>
  <c r="Z1974" i="2"/>
  <c r="Z1978" i="2"/>
  <c r="Z1979" i="2"/>
  <c r="Z1983" i="2"/>
  <c r="Z1990" i="2"/>
  <c r="Z1994" i="2"/>
  <c r="Z1995" i="2"/>
  <c r="Z1999" i="2"/>
  <c r="Z2006" i="2"/>
  <c r="Z2010" i="2"/>
  <c r="Z2011" i="2"/>
  <c r="Z2015" i="2"/>
  <c r="Z2022" i="2"/>
  <c r="Z2026" i="2"/>
  <c r="Z2027" i="2"/>
  <c r="Z2031" i="2"/>
  <c r="Z2038" i="2"/>
  <c r="Z2042" i="2"/>
  <c r="Z2043" i="2"/>
  <c r="Z2047" i="2"/>
  <c r="Z2054" i="2"/>
  <c r="Z2058" i="2"/>
  <c r="Z2059" i="2"/>
  <c r="Z2063" i="2"/>
  <c r="Z2070" i="2"/>
  <c r="Z2074" i="2"/>
  <c r="Z2075" i="2"/>
  <c r="Z2079" i="2"/>
  <c r="Z2086" i="2"/>
  <c r="Z2090" i="2"/>
  <c r="Z2091" i="2"/>
  <c r="Z2095" i="2"/>
  <c r="Z2102" i="2"/>
  <c r="Z2106" i="2"/>
  <c r="Z2107" i="2"/>
  <c r="Z2111" i="2"/>
  <c r="Z2118" i="2"/>
  <c r="Z2122" i="2"/>
  <c r="Z2123" i="2"/>
  <c r="Z2127" i="2"/>
  <c r="Z2134" i="2"/>
  <c r="Z2138" i="2"/>
  <c r="Z2139" i="2"/>
  <c r="Z2143" i="2"/>
  <c r="Z2150" i="2"/>
  <c r="Z2154" i="2"/>
  <c r="Z2155" i="2"/>
  <c r="Z2159" i="2"/>
  <c r="Z2166" i="2"/>
  <c r="Z2170" i="2"/>
  <c r="Z2171" i="2"/>
  <c r="Z2175" i="2"/>
  <c r="Z2182" i="2"/>
  <c r="Z2186" i="2"/>
  <c r="Z2187" i="2"/>
  <c r="Z2191" i="2"/>
  <c r="Z2198" i="2"/>
  <c r="Z2202" i="2"/>
  <c r="Z2203" i="2"/>
  <c r="Z2207" i="2"/>
  <c r="Z2214" i="2"/>
  <c r="Z2218" i="2"/>
  <c r="Z2219" i="2"/>
  <c r="Z2223" i="2"/>
  <c r="Z2230" i="2"/>
  <c r="Z2234" i="2"/>
  <c r="Z2235" i="2"/>
  <c r="Z2239" i="2"/>
  <c r="Z2246" i="2"/>
  <c r="Z2250" i="2"/>
  <c r="Z2251" i="2"/>
  <c r="Z2255" i="2"/>
  <c r="Z2262" i="2"/>
  <c r="Z2266" i="2"/>
  <c r="Z2267" i="2"/>
  <c r="Z2271" i="2"/>
  <c r="Z2278" i="2"/>
  <c r="Z2282" i="2"/>
  <c r="Z2283" i="2"/>
  <c r="Z2287" i="2"/>
  <c r="Z2294" i="2"/>
  <c r="Z2298" i="2"/>
  <c r="Z2299" i="2"/>
  <c r="Z2303" i="2"/>
  <c r="Z2310" i="2"/>
  <c r="Z2314" i="2"/>
  <c r="Z2315" i="2"/>
  <c r="Z2319" i="2"/>
  <c r="Z2326" i="2"/>
  <c r="Z2330" i="2"/>
  <c r="Z2331" i="2"/>
  <c r="Z2335" i="2"/>
  <c r="Z2342" i="2"/>
  <c r="Z2346" i="2"/>
  <c r="Z2347" i="2"/>
  <c r="Z2351" i="2"/>
  <c r="Z2358" i="2"/>
  <c r="Z2362" i="2"/>
  <c r="Z2363" i="2"/>
  <c r="Z2367" i="2"/>
  <c r="Z2374" i="2"/>
  <c r="Z2378" i="2"/>
  <c r="Z2379" i="2"/>
  <c r="Z2383" i="2"/>
  <c r="Z2390" i="2"/>
  <c r="Z2394" i="2"/>
  <c r="Z2395" i="2"/>
  <c r="Z2399" i="2"/>
  <c r="Z2406" i="2"/>
  <c r="Z2410" i="2"/>
  <c r="Z2411" i="2"/>
  <c r="Z2415" i="2"/>
  <c r="Z2422" i="2"/>
  <c r="Z2426" i="2"/>
  <c r="Z2427" i="2"/>
  <c r="Z2431" i="2"/>
  <c r="Z2438" i="2"/>
  <c r="Z2442" i="2"/>
  <c r="Z2443" i="2"/>
  <c r="Z2447" i="2"/>
  <c r="Z2454" i="2"/>
  <c r="Z2458" i="2"/>
  <c r="Z2459" i="2"/>
  <c r="Z2463" i="2"/>
  <c r="Z2470" i="2"/>
  <c r="Z2474" i="2"/>
  <c r="Z2475" i="2"/>
  <c r="Z2479" i="2"/>
  <c r="Z2486" i="2"/>
  <c r="Z2490" i="2"/>
  <c r="Z2491" i="2"/>
  <c r="Z2495" i="2"/>
  <c r="Z2502" i="2"/>
  <c r="Z2506" i="2"/>
  <c r="Z2507" i="2"/>
  <c r="Z2511" i="2"/>
  <c r="Z2518" i="2"/>
  <c r="Z2522" i="2"/>
  <c r="Z2523" i="2"/>
  <c r="Z2527" i="2"/>
  <c r="Z2534" i="2"/>
  <c r="Z2538" i="2"/>
  <c r="Z2539" i="2"/>
  <c r="Z2543" i="2"/>
  <c r="Z2550" i="2"/>
  <c r="Z2554" i="2"/>
  <c r="Z2555" i="2"/>
  <c r="Z2559" i="2"/>
  <c r="Z2566" i="2"/>
  <c r="Z2570" i="2"/>
  <c r="Z2571" i="2"/>
  <c r="Z2575" i="2"/>
  <c r="Z2582" i="2"/>
  <c r="Z2586" i="2"/>
  <c r="Z2587" i="2"/>
  <c r="Z2591" i="2"/>
  <c r="Z2598" i="2"/>
  <c r="Z2602" i="2"/>
  <c r="Z2603" i="2"/>
  <c r="Z2607" i="2"/>
  <c r="Z2614" i="2"/>
  <c r="Z2618" i="2"/>
  <c r="Z2619" i="2"/>
  <c r="Z2623" i="2"/>
  <c r="Z2630" i="2"/>
  <c r="Z2634" i="2"/>
  <c r="Z2635" i="2"/>
  <c r="Z2639" i="2"/>
  <c r="Z2646" i="2"/>
  <c r="Z2650" i="2"/>
  <c r="Z2651" i="2"/>
  <c r="Z2655" i="2"/>
  <c r="Z2662" i="2"/>
  <c r="Z2666" i="2"/>
  <c r="Z2667" i="2"/>
  <c r="Z2671" i="2"/>
  <c r="Z2678" i="2"/>
  <c r="Z2682" i="2"/>
  <c r="Z2683" i="2"/>
  <c r="Z2687" i="2"/>
  <c r="Z2694" i="2"/>
  <c r="Z2698" i="2"/>
  <c r="Z2699" i="2"/>
  <c r="Z2703" i="2"/>
  <c r="Z2710" i="2"/>
  <c r="Z2714" i="2"/>
  <c r="Z2715" i="2"/>
  <c r="Z2719" i="2"/>
  <c r="Z2726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Z30" i="2" s="1"/>
  <c r="Y31" i="2"/>
  <c r="Y32" i="2"/>
  <c r="Y33" i="2"/>
  <c r="Y34" i="2"/>
  <c r="Y35" i="2"/>
  <c r="Y36" i="2"/>
  <c r="Y37" i="2"/>
  <c r="Y38" i="2"/>
  <c r="Y39" i="2"/>
  <c r="Y40" i="2"/>
  <c r="Y41" i="2"/>
  <c r="Y42" i="2"/>
  <c r="Z42" i="2" s="1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Z74" i="2" s="1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X1330" i="2"/>
  <c r="Z1330" i="2" s="1"/>
  <c r="W2" i="2"/>
  <c r="X2" i="2" s="1"/>
  <c r="W3" i="2"/>
  <c r="X3" i="2" s="1"/>
  <c r="Z3" i="2" s="1"/>
  <c r="W4" i="2"/>
  <c r="X4" i="2" s="1"/>
  <c r="Z4" i="2" s="1"/>
  <c r="W5" i="2"/>
  <c r="X5" i="2" s="1"/>
  <c r="Z5" i="2" s="1"/>
  <c r="W6" i="2"/>
  <c r="X6" i="2" s="1"/>
  <c r="W7" i="2"/>
  <c r="X7" i="2" s="1"/>
  <c r="Z7" i="2" s="1"/>
  <c r="W8" i="2"/>
  <c r="X8" i="2" s="1"/>
  <c r="Z8" i="2" s="1"/>
  <c r="W9" i="2"/>
  <c r="X9" i="2" s="1"/>
  <c r="Z9" i="2" s="1"/>
  <c r="W10" i="2"/>
  <c r="X10" i="2" s="1"/>
  <c r="W11" i="2"/>
  <c r="X11" i="2" s="1"/>
  <c r="Z11" i="2" s="1"/>
  <c r="W12" i="2"/>
  <c r="X12" i="2" s="1"/>
  <c r="Z12" i="2" s="1"/>
  <c r="W13" i="2"/>
  <c r="X13" i="2" s="1"/>
  <c r="Z13" i="2" s="1"/>
  <c r="W14" i="2"/>
  <c r="X14" i="2" s="1"/>
  <c r="Z14" i="2" s="1"/>
  <c r="W15" i="2"/>
  <c r="X15" i="2" s="1"/>
  <c r="Z15" i="2" s="1"/>
  <c r="W16" i="2"/>
  <c r="X16" i="2" s="1"/>
  <c r="Z16" i="2" s="1"/>
  <c r="W17" i="2"/>
  <c r="X17" i="2" s="1"/>
  <c r="Z17" i="2" s="1"/>
  <c r="W18" i="2"/>
  <c r="X18" i="2" s="1"/>
  <c r="W19" i="2"/>
  <c r="X19" i="2" s="1"/>
  <c r="Z19" i="2" s="1"/>
  <c r="W20" i="2"/>
  <c r="X20" i="2" s="1"/>
  <c r="Z20" i="2" s="1"/>
  <c r="W21" i="2"/>
  <c r="X21" i="2" s="1"/>
  <c r="Z21" i="2" s="1"/>
  <c r="W22" i="2"/>
  <c r="X22" i="2" s="1"/>
  <c r="Z22" i="2" s="1"/>
  <c r="W23" i="2"/>
  <c r="X23" i="2" s="1"/>
  <c r="Z23" i="2" s="1"/>
  <c r="W24" i="2"/>
  <c r="X24" i="2" s="1"/>
  <c r="Z24" i="2" s="1"/>
  <c r="W25" i="2"/>
  <c r="X25" i="2" s="1"/>
  <c r="Z25" i="2" s="1"/>
  <c r="W26" i="2"/>
  <c r="X26" i="2" s="1"/>
  <c r="W27" i="2"/>
  <c r="X27" i="2" s="1"/>
  <c r="Z27" i="2" s="1"/>
  <c r="W28" i="2"/>
  <c r="X28" i="2" s="1"/>
  <c r="Z28" i="2" s="1"/>
  <c r="W29" i="2"/>
  <c r="X29" i="2" s="1"/>
  <c r="Z29" i="2" s="1"/>
  <c r="W30" i="2"/>
  <c r="X30" i="2" s="1"/>
  <c r="W31" i="2"/>
  <c r="X31" i="2" s="1"/>
  <c r="Z31" i="2" s="1"/>
  <c r="W32" i="2"/>
  <c r="X32" i="2" s="1"/>
  <c r="Z32" i="2" s="1"/>
  <c r="W33" i="2"/>
  <c r="X33" i="2" s="1"/>
  <c r="Z33" i="2" s="1"/>
  <c r="W34" i="2"/>
  <c r="X34" i="2" s="1"/>
  <c r="W35" i="2"/>
  <c r="X35" i="2" s="1"/>
  <c r="Z35" i="2" s="1"/>
  <c r="W36" i="2"/>
  <c r="X36" i="2" s="1"/>
  <c r="Z36" i="2" s="1"/>
  <c r="W37" i="2"/>
  <c r="X37" i="2" s="1"/>
  <c r="Z37" i="2" s="1"/>
  <c r="W38" i="2"/>
  <c r="X38" i="2" s="1"/>
  <c r="W39" i="2"/>
  <c r="X39" i="2" s="1"/>
  <c r="Z39" i="2" s="1"/>
  <c r="W40" i="2"/>
  <c r="X40" i="2" s="1"/>
  <c r="Z40" i="2" s="1"/>
  <c r="W41" i="2"/>
  <c r="X41" i="2" s="1"/>
  <c r="Z41" i="2" s="1"/>
  <c r="W42" i="2"/>
  <c r="X42" i="2" s="1"/>
  <c r="W43" i="2"/>
  <c r="X43" i="2" s="1"/>
  <c r="Z43" i="2" s="1"/>
  <c r="W44" i="2"/>
  <c r="X44" i="2" s="1"/>
  <c r="Z44" i="2" s="1"/>
  <c r="W45" i="2"/>
  <c r="X45" i="2" s="1"/>
  <c r="Z45" i="2" s="1"/>
  <c r="W46" i="2"/>
  <c r="X46" i="2" s="1"/>
  <c r="W47" i="2"/>
  <c r="X47" i="2" s="1"/>
  <c r="Z47" i="2" s="1"/>
  <c r="W48" i="2"/>
  <c r="X48" i="2" s="1"/>
  <c r="Z48" i="2" s="1"/>
  <c r="W49" i="2"/>
  <c r="X49" i="2" s="1"/>
  <c r="Z49" i="2" s="1"/>
  <c r="W50" i="2"/>
  <c r="X50" i="2" s="1"/>
  <c r="W51" i="2"/>
  <c r="X51" i="2" s="1"/>
  <c r="Z51" i="2" s="1"/>
  <c r="W52" i="2"/>
  <c r="X52" i="2" s="1"/>
  <c r="Z52" i="2" s="1"/>
  <c r="W53" i="2"/>
  <c r="X53" i="2" s="1"/>
  <c r="Z53" i="2" s="1"/>
  <c r="W54" i="2"/>
  <c r="X54" i="2" s="1"/>
  <c r="Z54" i="2" s="1"/>
  <c r="W55" i="2"/>
  <c r="X55" i="2" s="1"/>
  <c r="Z55" i="2" s="1"/>
  <c r="W56" i="2"/>
  <c r="X56" i="2" s="1"/>
  <c r="Z56" i="2" s="1"/>
  <c r="W57" i="2"/>
  <c r="X57" i="2" s="1"/>
  <c r="Z57" i="2" s="1"/>
  <c r="W58" i="2"/>
  <c r="X58" i="2" s="1"/>
  <c r="Z58" i="2" s="1"/>
  <c r="W59" i="2"/>
  <c r="X59" i="2" s="1"/>
  <c r="Z59" i="2" s="1"/>
  <c r="W60" i="2"/>
  <c r="X60" i="2" s="1"/>
  <c r="Z60" i="2" s="1"/>
  <c r="W61" i="2"/>
  <c r="X61" i="2" s="1"/>
  <c r="Z61" i="2" s="1"/>
  <c r="W62" i="2"/>
  <c r="X62" i="2" s="1"/>
  <c r="W63" i="2"/>
  <c r="X63" i="2" s="1"/>
  <c r="Z63" i="2" s="1"/>
  <c r="W64" i="2"/>
  <c r="X64" i="2" s="1"/>
  <c r="Z64" i="2" s="1"/>
  <c r="W65" i="2"/>
  <c r="X65" i="2" s="1"/>
  <c r="Z65" i="2" s="1"/>
  <c r="W66" i="2"/>
  <c r="X66" i="2" s="1"/>
  <c r="W67" i="2"/>
  <c r="X67" i="2" s="1"/>
  <c r="Z67" i="2" s="1"/>
  <c r="W68" i="2"/>
  <c r="X68" i="2" s="1"/>
  <c r="Z68" i="2" s="1"/>
  <c r="W69" i="2"/>
  <c r="X69" i="2" s="1"/>
  <c r="Z69" i="2" s="1"/>
  <c r="W70" i="2"/>
  <c r="X70" i="2" s="1"/>
  <c r="W71" i="2"/>
  <c r="X71" i="2" s="1"/>
  <c r="Z71" i="2" s="1"/>
  <c r="W72" i="2"/>
  <c r="X72" i="2" s="1"/>
  <c r="Z72" i="2" s="1"/>
  <c r="W73" i="2"/>
  <c r="X73" i="2" s="1"/>
  <c r="Z73" i="2" s="1"/>
  <c r="W74" i="2"/>
  <c r="X74" i="2" s="1"/>
  <c r="W75" i="2"/>
  <c r="X75" i="2" s="1"/>
  <c r="Z75" i="2" s="1"/>
  <c r="W76" i="2"/>
  <c r="X76" i="2" s="1"/>
  <c r="Z76" i="2" s="1"/>
  <c r="W77" i="2"/>
  <c r="X77" i="2" s="1"/>
  <c r="Z77" i="2" s="1"/>
  <c r="W78" i="2"/>
  <c r="X78" i="2" s="1"/>
  <c r="Z78" i="2" s="1"/>
  <c r="W79" i="2"/>
  <c r="X79" i="2" s="1"/>
  <c r="Z79" i="2" s="1"/>
  <c r="W80" i="2"/>
  <c r="X80" i="2" s="1"/>
  <c r="Z80" i="2" s="1"/>
  <c r="W81" i="2"/>
  <c r="X81" i="2" s="1"/>
  <c r="Z81" i="2" s="1"/>
  <c r="W82" i="2"/>
  <c r="X82" i="2" s="1"/>
  <c r="Z82" i="2" s="1"/>
  <c r="W83" i="2"/>
  <c r="X83" i="2" s="1"/>
  <c r="Z83" i="2" s="1"/>
  <c r="W84" i="2"/>
  <c r="X84" i="2" s="1"/>
  <c r="Z84" i="2" s="1"/>
  <c r="W85" i="2"/>
  <c r="X85" i="2" s="1"/>
  <c r="Z85" i="2" s="1"/>
  <c r="W86" i="2"/>
  <c r="X86" i="2" s="1"/>
  <c r="Z86" i="2" s="1"/>
  <c r="W87" i="2"/>
  <c r="X87" i="2" s="1"/>
  <c r="Z87" i="2" s="1"/>
  <c r="W88" i="2"/>
  <c r="X88" i="2" s="1"/>
  <c r="Z88" i="2" s="1"/>
  <c r="W89" i="2"/>
  <c r="X89" i="2" s="1"/>
  <c r="Z89" i="2" s="1"/>
  <c r="W90" i="2"/>
  <c r="X90" i="2" s="1"/>
  <c r="Z90" i="2" s="1"/>
  <c r="W91" i="2"/>
  <c r="X91" i="2" s="1"/>
  <c r="Z91" i="2" s="1"/>
  <c r="W92" i="2"/>
  <c r="X92" i="2" s="1"/>
  <c r="Z92" i="2" s="1"/>
  <c r="W93" i="2"/>
  <c r="X93" i="2" s="1"/>
  <c r="Z93" i="2" s="1"/>
  <c r="W94" i="2"/>
  <c r="X94" i="2" s="1"/>
  <c r="Z94" i="2" s="1"/>
  <c r="W95" i="2"/>
  <c r="X95" i="2" s="1"/>
  <c r="Z95" i="2" s="1"/>
  <c r="W96" i="2"/>
  <c r="X96" i="2" s="1"/>
  <c r="Z96" i="2" s="1"/>
  <c r="W97" i="2"/>
  <c r="X97" i="2" s="1"/>
  <c r="Z97" i="2" s="1"/>
  <c r="W98" i="2"/>
  <c r="X98" i="2" s="1"/>
  <c r="Z98" i="2" s="1"/>
  <c r="W99" i="2"/>
  <c r="X99" i="2" s="1"/>
  <c r="Z99" i="2" s="1"/>
  <c r="W100" i="2"/>
  <c r="X100" i="2" s="1"/>
  <c r="Z100" i="2" s="1"/>
  <c r="W101" i="2"/>
  <c r="X101" i="2" s="1"/>
  <c r="Z101" i="2" s="1"/>
  <c r="W102" i="2"/>
  <c r="X102" i="2" s="1"/>
  <c r="Z102" i="2" s="1"/>
  <c r="W103" i="2"/>
  <c r="X103" i="2" s="1"/>
  <c r="Z103" i="2" s="1"/>
  <c r="W104" i="2"/>
  <c r="X104" i="2" s="1"/>
  <c r="Z104" i="2" s="1"/>
  <c r="W105" i="2"/>
  <c r="X105" i="2" s="1"/>
  <c r="Z105" i="2" s="1"/>
  <c r="W106" i="2"/>
  <c r="X106" i="2" s="1"/>
  <c r="Z106" i="2" s="1"/>
  <c r="W107" i="2"/>
  <c r="X107" i="2" s="1"/>
  <c r="Z107" i="2" s="1"/>
  <c r="W108" i="2"/>
  <c r="X108" i="2" s="1"/>
  <c r="Z108" i="2" s="1"/>
  <c r="W109" i="2"/>
  <c r="X109" i="2" s="1"/>
  <c r="Z109" i="2" s="1"/>
  <c r="W110" i="2"/>
  <c r="X110" i="2" s="1"/>
  <c r="Z110" i="2" s="1"/>
  <c r="W111" i="2"/>
  <c r="X111" i="2" s="1"/>
  <c r="Z111" i="2" s="1"/>
  <c r="W112" i="2"/>
  <c r="X112" i="2" s="1"/>
  <c r="Z112" i="2" s="1"/>
  <c r="W113" i="2"/>
  <c r="X113" i="2" s="1"/>
  <c r="Z113" i="2" s="1"/>
  <c r="W114" i="2"/>
  <c r="X114" i="2" s="1"/>
  <c r="Z114" i="2" s="1"/>
  <c r="W115" i="2"/>
  <c r="X115" i="2" s="1"/>
  <c r="Z115" i="2" s="1"/>
  <c r="W116" i="2"/>
  <c r="X116" i="2" s="1"/>
  <c r="Z116" i="2" s="1"/>
  <c r="W117" i="2"/>
  <c r="X117" i="2" s="1"/>
  <c r="Z117" i="2" s="1"/>
  <c r="W118" i="2"/>
  <c r="X118" i="2" s="1"/>
  <c r="Z118" i="2" s="1"/>
  <c r="W119" i="2"/>
  <c r="X119" i="2" s="1"/>
  <c r="Z119" i="2" s="1"/>
  <c r="W120" i="2"/>
  <c r="X120" i="2" s="1"/>
  <c r="Z120" i="2" s="1"/>
  <c r="W121" i="2"/>
  <c r="X121" i="2" s="1"/>
  <c r="Z121" i="2" s="1"/>
  <c r="W122" i="2"/>
  <c r="X122" i="2" s="1"/>
  <c r="Z122" i="2" s="1"/>
  <c r="W123" i="2"/>
  <c r="X123" i="2" s="1"/>
  <c r="Z123" i="2" s="1"/>
  <c r="W124" i="2"/>
  <c r="X124" i="2" s="1"/>
  <c r="Z124" i="2" s="1"/>
  <c r="W125" i="2"/>
  <c r="X125" i="2" s="1"/>
  <c r="Z125" i="2" s="1"/>
  <c r="W126" i="2"/>
  <c r="X126" i="2" s="1"/>
  <c r="Z126" i="2" s="1"/>
  <c r="W127" i="2"/>
  <c r="X127" i="2" s="1"/>
  <c r="Z127" i="2" s="1"/>
  <c r="W128" i="2"/>
  <c r="X128" i="2" s="1"/>
  <c r="Z128" i="2" s="1"/>
  <c r="W129" i="2"/>
  <c r="X129" i="2" s="1"/>
  <c r="Z129" i="2" s="1"/>
  <c r="W130" i="2"/>
  <c r="X130" i="2" s="1"/>
  <c r="Z130" i="2" s="1"/>
  <c r="W131" i="2"/>
  <c r="X131" i="2" s="1"/>
  <c r="Z131" i="2" s="1"/>
  <c r="W132" i="2"/>
  <c r="X132" i="2" s="1"/>
  <c r="Z132" i="2" s="1"/>
  <c r="W133" i="2"/>
  <c r="X133" i="2" s="1"/>
  <c r="Z133" i="2" s="1"/>
  <c r="W134" i="2"/>
  <c r="X134" i="2" s="1"/>
  <c r="Z134" i="2" s="1"/>
  <c r="W135" i="2"/>
  <c r="X135" i="2" s="1"/>
  <c r="Z135" i="2" s="1"/>
  <c r="W136" i="2"/>
  <c r="X136" i="2" s="1"/>
  <c r="Z136" i="2" s="1"/>
  <c r="W137" i="2"/>
  <c r="X137" i="2" s="1"/>
  <c r="Z137" i="2" s="1"/>
  <c r="W138" i="2"/>
  <c r="X138" i="2" s="1"/>
  <c r="Z138" i="2" s="1"/>
  <c r="W139" i="2"/>
  <c r="X139" i="2" s="1"/>
  <c r="Z139" i="2" s="1"/>
  <c r="W140" i="2"/>
  <c r="X140" i="2" s="1"/>
  <c r="Z140" i="2" s="1"/>
  <c r="W141" i="2"/>
  <c r="X141" i="2" s="1"/>
  <c r="Z141" i="2" s="1"/>
  <c r="W142" i="2"/>
  <c r="X142" i="2" s="1"/>
  <c r="W143" i="2"/>
  <c r="X143" i="2" s="1"/>
  <c r="Z143" i="2" s="1"/>
  <c r="W144" i="2"/>
  <c r="X144" i="2" s="1"/>
  <c r="Z144" i="2" s="1"/>
  <c r="W145" i="2"/>
  <c r="X145" i="2" s="1"/>
  <c r="Z145" i="2" s="1"/>
  <c r="W146" i="2"/>
  <c r="X146" i="2" s="1"/>
  <c r="Z146" i="2" s="1"/>
  <c r="W147" i="2"/>
  <c r="X147" i="2" s="1"/>
  <c r="Z147" i="2" s="1"/>
  <c r="W148" i="2"/>
  <c r="X148" i="2" s="1"/>
  <c r="Z148" i="2" s="1"/>
  <c r="W149" i="2"/>
  <c r="X149" i="2" s="1"/>
  <c r="Z149" i="2" s="1"/>
  <c r="W150" i="2"/>
  <c r="X150" i="2" s="1"/>
  <c r="Z150" i="2" s="1"/>
  <c r="W151" i="2"/>
  <c r="X151" i="2" s="1"/>
  <c r="Z151" i="2" s="1"/>
  <c r="W152" i="2"/>
  <c r="X152" i="2" s="1"/>
  <c r="Z152" i="2" s="1"/>
  <c r="W153" i="2"/>
  <c r="X153" i="2" s="1"/>
  <c r="Z153" i="2" s="1"/>
  <c r="W154" i="2"/>
  <c r="X154" i="2" s="1"/>
  <c r="Z154" i="2" s="1"/>
  <c r="W155" i="2"/>
  <c r="X155" i="2" s="1"/>
  <c r="Z155" i="2" s="1"/>
  <c r="W156" i="2"/>
  <c r="X156" i="2" s="1"/>
  <c r="Z156" i="2" s="1"/>
  <c r="W157" i="2"/>
  <c r="X157" i="2" s="1"/>
  <c r="Z157" i="2" s="1"/>
  <c r="W158" i="2"/>
  <c r="X158" i="2" s="1"/>
  <c r="W159" i="2"/>
  <c r="X159" i="2" s="1"/>
  <c r="Z159" i="2" s="1"/>
  <c r="W160" i="2"/>
  <c r="X160" i="2" s="1"/>
  <c r="Z160" i="2" s="1"/>
  <c r="W161" i="2"/>
  <c r="X161" i="2" s="1"/>
  <c r="Z161" i="2" s="1"/>
  <c r="W162" i="2"/>
  <c r="X162" i="2" s="1"/>
  <c r="Z162" i="2" s="1"/>
  <c r="W163" i="2"/>
  <c r="X163" i="2" s="1"/>
  <c r="Z163" i="2" s="1"/>
  <c r="W164" i="2"/>
  <c r="X164" i="2" s="1"/>
  <c r="Z164" i="2" s="1"/>
  <c r="W165" i="2"/>
  <c r="X165" i="2" s="1"/>
  <c r="Z165" i="2" s="1"/>
  <c r="W166" i="2"/>
  <c r="X166" i="2" s="1"/>
  <c r="Z166" i="2" s="1"/>
  <c r="W167" i="2"/>
  <c r="X167" i="2" s="1"/>
  <c r="Z167" i="2" s="1"/>
  <c r="W168" i="2"/>
  <c r="X168" i="2" s="1"/>
  <c r="Z168" i="2" s="1"/>
  <c r="W169" i="2"/>
  <c r="X169" i="2" s="1"/>
  <c r="Z169" i="2" s="1"/>
  <c r="W170" i="2"/>
  <c r="X170" i="2" s="1"/>
  <c r="Z170" i="2" s="1"/>
  <c r="W171" i="2"/>
  <c r="X171" i="2" s="1"/>
  <c r="Z171" i="2" s="1"/>
  <c r="W172" i="2"/>
  <c r="X172" i="2" s="1"/>
  <c r="Z172" i="2" s="1"/>
  <c r="W173" i="2"/>
  <c r="X173" i="2" s="1"/>
  <c r="Z173" i="2" s="1"/>
  <c r="W174" i="2"/>
  <c r="X174" i="2" s="1"/>
  <c r="Z174" i="2" s="1"/>
  <c r="W175" i="2"/>
  <c r="X175" i="2" s="1"/>
  <c r="Z175" i="2" s="1"/>
  <c r="W176" i="2"/>
  <c r="X176" i="2" s="1"/>
  <c r="Z176" i="2" s="1"/>
  <c r="W177" i="2"/>
  <c r="X177" i="2" s="1"/>
  <c r="Z177" i="2" s="1"/>
  <c r="W178" i="2"/>
  <c r="X178" i="2" s="1"/>
  <c r="Z178" i="2" s="1"/>
  <c r="W179" i="2"/>
  <c r="X179" i="2" s="1"/>
  <c r="Z179" i="2" s="1"/>
  <c r="W180" i="2"/>
  <c r="X180" i="2" s="1"/>
  <c r="Z180" i="2" s="1"/>
  <c r="W181" i="2"/>
  <c r="X181" i="2" s="1"/>
  <c r="Z181" i="2" s="1"/>
  <c r="W182" i="2"/>
  <c r="X182" i="2" s="1"/>
  <c r="Z182" i="2" s="1"/>
  <c r="W183" i="2"/>
  <c r="X183" i="2" s="1"/>
  <c r="Z183" i="2" s="1"/>
  <c r="W184" i="2"/>
  <c r="X184" i="2" s="1"/>
  <c r="Z184" i="2" s="1"/>
  <c r="W185" i="2"/>
  <c r="X185" i="2" s="1"/>
  <c r="Z185" i="2" s="1"/>
  <c r="W186" i="2"/>
  <c r="X186" i="2" s="1"/>
  <c r="Z186" i="2" s="1"/>
  <c r="W187" i="2"/>
  <c r="X187" i="2" s="1"/>
  <c r="Z187" i="2" s="1"/>
  <c r="W188" i="2"/>
  <c r="X188" i="2" s="1"/>
  <c r="Z188" i="2" s="1"/>
  <c r="W189" i="2"/>
  <c r="X189" i="2" s="1"/>
  <c r="Z189" i="2" s="1"/>
  <c r="W190" i="2"/>
  <c r="X190" i="2" s="1"/>
  <c r="Z190" i="2" s="1"/>
  <c r="W191" i="2"/>
  <c r="X191" i="2" s="1"/>
  <c r="Z191" i="2" s="1"/>
  <c r="W192" i="2"/>
  <c r="X192" i="2" s="1"/>
  <c r="Z192" i="2" s="1"/>
  <c r="W193" i="2"/>
  <c r="X193" i="2" s="1"/>
  <c r="Z193" i="2" s="1"/>
  <c r="W194" i="2"/>
  <c r="X194" i="2" s="1"/>
  <c r="Z194" i="2" s="1"/>
  <c r="W195" i="2"/>
  <c r="X195" i="2" s="1"/>
  <c r="Z195" i="2" s="1"/>
  <c r="W196" i="2"/>
  <c r="X196" i="2" s="1"/>
  <c r="Z196" i="2" s="1"/>
  <c r="W197" i="2"/>
  <c r="X197" i="2" s="1"/>
  <c r="Z197" i="2" s="1"/>
  <c r="W198" i="2"/>
  <c r="X198" i="2" s="1"/>
  <c r="Z198" i="2" s="1"/>
  <c r="W199" i="2"/>
  <c r="X199" i="2" s="1"/>
  <c r="Z199" i="2" s="1"/>
  <c r="W200" i="2"/>
  <c r="X200" i="2" s="1"/>
  <c r="Z200" i="2" s="1"/>
  <c r="W201" i="2"/>
  <c r="X201" i="2" s="1"/>
  <c r="Z201" i="2" s="1"/>
  <c r="W202" i="2"/>
  <c r="X202" i="2" s="1"/>
  <c r="Z202" i="2" s="1"/>
  <c r="W203" i="2"/>
  <c r="X203" i="2" s="1"/>
  <c r="Z203" i="2" s="1"/>
  <c r="W204" i="2"/>
  <c r="X204" i="2" s="1"/>
  <c r="Z204" i="2" s="1"/>
  <c r="W205" i="2"/>
  <c r="X205" i="2" s="1"/>
  <c r="Z205" i="2" s="1"/>
  <c r="W206" i="2"/>
  <c r="X206" i="2" s="1"/>
  <c r="Z206" i="2" s="1"/>
  <c r="W207" i="2"/>
  <c r="X207" i="2" s="1"/>
  <c r="Z207" i="2" s="1"/>
  <c r="W208" i="2"/>
  <c r="X208" i="2" s="1"/>
  <c r="Z208" i="2" s="1"/>
  <c r="W209" i="2"/>
  <c r="X209" i="2" s="1"/>
  <c r="Z209" i="2" s="1"/>
  <c r="W210" i="2"/>
  <c r="X210" i="2" s="1"/>
  <c r="Z210" i="2" s="1"/>
  <c r="W211" i="2"/>
  <c r="X211" i="2" s="1"/>
  <c r="Z211" i="2" s="1"/>
  <c r="W212" i="2"/>
  <c r="X212" i="2" s="1"/>
  <c r="Z212" i="2" s="1"/>
  <c r="W213" i="2"/>
  <c r="X213" i="2" s="1"/>
  <c r="Z213" i="2" s="1"/>
  <c r="W214" i="2"/>
  <c r="X214" i="2" s="1"/>
  <c r="Z214" i="2" s="1"/>
  <c r="W215" i="2"/>
  <c r="X215" i="2" s="1"/>
  <c r="Z215" i="2" s="1"/>
  <c r="W216" i="2"/>
  <c r="X216" i="2" s="1"/>
  <c r="Z216" i="2" s="1"/>
  <c r="W217" i="2"/>
  <c r="X217" i="2" s="1"/>
  <c r="Z217" i="2" s="1"/>
  <c r="W218" i="2"/>
  <c r="X218" i="2" s="1"/>
  <c r="Z218" i="2" s="1"/>
  <c r="W219" i="2"/>
  <c r="X219" i="2" s="1"/>
  <c r="Z219" i="2" s="1"/>
  <c r="W220" i="2"/>
  <c r="X220" i="2" s="1"/>
  <c r="Z220" i="2" s="1"/>
  <c r="W221" i="2"/>
  <c r="X221" i="2" s="1"/>
  <c r="Z221" i="2" s="1"/>
  <c r="W222" i="2"/>
  <c r="X222" i="2" s="1"/>
  <c r="Z222" i="2" s="1"/>
  <c r="W223" i="2"/>
  <c r="X223" i="2" s="1"/>
  <c r="Z223" i="2" s="1"/>
  <c r="W224" i="2"/>
  <c r="X224" i="2" s="1"/>
  <c r="Z224" i="2" s="1"/>
  <c r="W225" i="2"/>
  <c r="X225" i="2" s="1"/>
  <c r="Z225" i="2" s="1"/>
  <c r="W226" i="2"/>
  <c r="X226" i="2" s="1"/>
  <c r="Z226" i="2" s="1"/>
  <c r="W227" i="2"/>
  <c r="X227" i="2" s="1"/>
  <c r="Z227" i="2" s="1"/>
  <c r="W228" i="2"/>
  <c r="X228" i="2" s="1"/>
  <c r="Z228" i="2" s="1"/>
  <c r="W229" i="2"/>
  <c r="X229" i="2" s="1"/>
  <c r="Z229" i="2" s="1"/>
  <c r="W230" i="2"/>
  <c r="X230" i="2" s="1"/>
  <c r="Z230" i="2" s="1"/>
  <c r="W231" i="2"/>
  <c r="X231" i="2" s="1"/>
  <c r="Z231" i="2" s="1"/>
  <c r="W232" i="2"/>
  <c r="X232" i="2" s="1"/>
  <c r="Z232" i="2" s="1"/>
  <c r="W233" i="2"/>
  <c r="X233" i="2" s="1"/>
  <c r="Z233" i="2" s="1"/>
  <c r="W234" i="2"/>
  <c r="X234" i="2" s="1"/>
  <c r="Z234" i="2" s="1"/>
  <c r="W235" i="2"/>
  <c r="X235" i="2" s="1"/>
  <c r="Z235" i="2" s="1"/>
  <c r="W236" i="2"/>
  <c r="X236" i="2" s="1"/>
  <c r="Z236" i="2" s="1"/>
  <c r="W237" i="2"/>
  <c r="X237" i="2" s="1"/>
  <c r="Z237" i="2" s="1"/>
  <c r="W238" i="2"/>
  <c r="X238" i="2" s="1"/>
  <c r="Z238" i="2" s="1"/>
  <c r="W239" i="2"/>
  <c r="X239" i="2" s="1"/>
  <c r="Z239" i="2" s="1"/>
  <c r="W240" i="2"/>
  <c r="X240" i="2" s="1"/>
  <c r="Z240" i="2" s="1"/>
  <c r="W241" i="2"/>
  <c r="X241" i="2" s="1"/>
  <c r="Z241" i="2" s="1"/>
  <c r="W242" i="2"/>
  <c r="X242" i="2" s="1"/>
  <c r="Z242" i="2" s="1"/>
  <c r="W243" i="2"/>
  <c r="X243" i="2" s="1"/>
  <c r="Z243" i="2" s="1"/>
  <c r="W244" i="2"/>
  <c r="X244" i="2" s="1"/>
  <c r="Z244" i="2" s="1"/>
  <c r="W245" i="2"/>
  <c r="X245" i="2" s="1"/>
  <c r="Z245" i="2" s="1"/>
  <c r="W246" i="2"/>
  <c r="X246" i="2" s="1"/>
  <c r="W247" i="2"/>
  <c r="X247" i="2" s="1"/>
  <c r="Z247" i="2" s="1"/>
  <c r="W248" i="2"/>
  <c r="X248" i="2" s="1"/>
  <c r="Z248" i="2" s="1"/>
  <c r="W249" i="2"/>
  <c r="X249" i="2" s="1"/>
  <c r="Z249" i="2" s="1"/>
  <c r="W250" i="2"/>
  <c r="X250" i="2" s="1"/>
  <c r="Z250" i="2" s="1"/>
  <c r="W251" i="2"/>
  <c r="X251" i="2" s="1"/>
  <c r="W252" i="2"/>
  <c r="X252" i="2" s="1"/>
  <c r="Z252" i="2" s="1"/>
  <c r="W253" i="2"/>
  <c r="X253" i="2" s="1"/>
  <c r="Z253" i="2" s="1"/>
  <c r="W254" i="2"/>
  <c r="X254" i="2" s="1"/>
  <c r="Z254" i="2" s="1"/>
  <c r="W255" i="2"/>
  <c r="X255" i="2" s="1"/>
  <c r="Z255" i="2" s="1"/>
  <c r="W256" i="2"/>
  <c r="X256" i="2" s="1"/>
  <c r="Z256" i="2" s="1"/>
  <c r="W257" i="2"/>
  <c r="X257" i="2" s="1"/>
  <c r="Z257" i="2" s="1"/>
  <c r="W258" i="2"/>
  <c r="X258" i="2" s="1"/>
  <c r="Z258" i="2" s="1"/>
  <c r="W259" i="2"/>
  <c r="X259" i="2" s="1"/>
  <c r="Z259" i="2" s="1"/>
  <c r="W260" i="2"/>
  <c r="X260" i="2" s="1"/>
  <c r="Z260" i="2" s="1"/>
  <c r="W261" i="2"/>
  <c r="X261" i="2" s="1"/>
  <c r="Z261" i="2" s="1"/>
  <c r="W262" i="2"/>
  <c r="X262" i="2" s="1"/>
  <c r="Z262" i="2" s="1"/>
  <c r="W263" i="2"/>
  <c r="X263" i="2" s="1"/>
  <c r="Z263" i="2" s="1"/>
  <c r="W264" i="2"/>
  <c r="X264" i="2" s="1"/>
  <c r="Z264" i="2" s="1"/>
  <c r="W265" i="2"/>
  <c r="X265" i="2" s="1"/>
  <c r="Z265" i="2" s="1"/>
  <c r="W266" i="2"/>
  <c r="X266" i="2" s="1"/>
  <c r="Z266" i="2" s="1"/>
  <c r="W267" i="2"/>
  <c r="X267" i="2" s="1"/>
  <c r="Z267" i="2" s="1"/>
  <c r="W268" i="2"/>
  <c r="X268" i="2" s="1"/>
  <c r="Z268" i="2" s="1"/>
  <c r="W269" i="2"/>
  <c r="X269" i="2" s="1"/>
  <c r="Z269" i="2" s="1"/>
  <c r="W270" i="2"/>
  <c r="X270" i="2" s="1"/>
  <c r="Z270" i="2" s="1"/>
  <c r="W271" i="2"/>
  <c r="X271" i="2" s="1"/>
  <c r="Z271" i="2" s="1"/>
  <c r="W272" i="2"/>
  <c r="X272" i="2" s="1"/>
  <c r="Z272" i="2" s="1"/>
  <c r="W273" i="2"/>
  <c r="X273" i="2" s="1"/>
  <c r="Z273" i="2" s="1"/>
  <c r="W274" i="2"/>
  <c r="X274" i="2" s="1"/>
  <c r="Z274" i="2" s="1"/>
  <c r="W275" i="2"/>
  <c r="X275" i="2" s="1"/>
  <c r="Z275" i="2" s="1"/>
  <c r="W276" i="2"/>
  <c r="X276" i="2" s="1"/>
  <c r="Z276" i="2" s="1"/>
  <c r="W277" i="2"/>
  <c r="X277" i="2" s="1"/>
  <c r="Z277" i="2" s="1"/>
  <c r="W278" i="2"/>
  <c r="X278" i="2" s="1"/>
  <c r="Z278" i="2" s="1"/>
  <c r="W279" i="2"/>
  <c r="X279" i="2" s="1"/>
  <c r="Z279" i="2" s="1"/>
  <c r="W280" i="2"/>
  <c r="X280" i="2" s="1"/>
  <c r="Z280" i="2" s="1"/>
  <c r="W281" i="2"/>
  <c r="X281" i="2" s="1"/>
  <c r="Z281" i="2" s="1"/>
  <c r="W282" i="2"/>
  <c r="X282" i="2" s="1"/>
  <c r="Z282" i="2" s="1"/>
  <c r="W283" i="2"/>
  <c r="X283" i="2" s="1"/>
  <c r="Z283" i="2" s="1"/>
  <c r="W284" i="2"/>
  <c r="X284" i="2" s="1"/>
  <c r="Z284" i="2" s="1"/>
  <c r="W285" i="2"/>
  <c r="X285" i="2" s="1"/>
  <c r="Z285" i="2" s="1"/>
  <c r="W286" i="2"/>
  <c r="X286" i="2" s="1"/>
  <c r="Z286" i="2" s="1"/>
  <c r="W287" i="2"/>
  <c r="X287" i="2" s="1"/>
  <c r="Z287" i="2" s="1"/>
  <c r="W288" i="2"/>
  <c r="X288" i="2" s="1"/>
  <c r="Z288" i="2" s="1"/>
  <c r="W289" i="2"/>
  <c r="X289" i="2" s="1"/>
  <c r="Z289" i="2" s="1"/>
  <c r="W290" i="2"/>
  <c r="X290" i="2" s="1"/>
  <c r="Z290" i="2" s="1"/>
  <c r="W291" i="2"/>
  <c r="X291" i="2" s="1"/>
  <c r="Z291" i="2" s="1"/>
  <c r="W292" i="2"/>
  <c r="X292" i="2" s="1"/>
  <c r="Z292" i="2" s="1"/>
  <c r="W293" i="2"/>
  <c r="X293" i="2" s="1"/>
  <c r="Z293" i="2" s="1"/>
  <c r="W294" i="2"/>
  <c r="X294" i="2" s="1"/>
  <c r="Z294" i="2" s="1"/>
  <c r="W295" i="2"/>
  <c r="X295" i="2" s="1"/>
  <c r="Z295" i="2" s="1"/>
  <c r="W296" i="2"/>
  <c r="X296" i="2" s="1"/>
  <c r="Z296" i="2" s="1"/>
  <c r="W297" i="2"/>
  <c r="X297" i="2" s="1"/>
  <c r="Z297" i="2" s="1"/>
  <c r="W298" i="2"/>
  <c r="X298" i="2" s="1"/>
  <c r="Z298" i="2" s="1"/>
  <c r="W299" i="2"/>
  <c r="X299" i="2" s="1"/>
  <c r="Z299" i="2" s="1"/>
  <c r="W300" i="2"/>
  <c r="X300" i="2" s="1"/>
  <c r="Z300" i="2" s="1"/>
  <c r="W301" i="2"/>
  <c r="X301" i="2" s="1"/>
  <c r="Z301" i="2" s="1"/>
  <c r="W302" i="2"/>
  <c r="X302" i="2" s="1"/>
  <c r="Z302" i="2" s="1"/>
  <c r="W303" i="2"/>
  <c r="X303" i="2" s="1"/>
  <c r="Z303" i="2" s="1"/>
  <c r="W304" i="2"/>
  <c r="X304" i="2" s="1"/>
  <c r="Z304" i="2" s="1"/>
  <c r="W305" i="2"/>
  <c r="X305" i="2" s="1"/>
  <c r="Z305" i="2" s="1"/>
  <c r="W306" i="2"/>
  <c r="X306" i="2" s="1"/>
  <c r="Z306" i="2" s="1"/>
  <c r="W307" i="2"/>
  <c r="X307" i="2" s="1"/>
  <c r="Z307" i="2" s="1"/>
  <c r="W308" i="2"/>
  <c r="X308" i="2" s="1"/>
  <c r="Z308" i="2" s="1"/>
  <c r="W309" i="2"/>
  <c r="X309" i="2" s="1"/>
  <c r="Z309" i="2" s="1"/>
  <c r="W310" i="2"/>
  <c r="X310" i="2" s="1"/>
  <c r="Z310" i="2" s="1"/>
  <c r="W311" i="2"/>
  <c r="X311" i="2" s="1"/>
  <c r="Z311" i="2" s="1"/>
  <c r="W312" i="2"/>
  <c r="X312" i="2" s="1"/>
  <c r="Z312" i="2" s="1"/>
  <c r="W313" i="2"/>
  <c r="X313" i="2" s="1"/>
  <c r="Z313" i="2" s="1"/>
  <c r="W314" i="2"/>
  <c r="X314" i="2" s="1"/>
  <c r="Z314" i="2" s="1"/>
  <c r="W315" i="2"/>
  <c r="X315" i="2" s="1"/>
  <c r="Z315" i="2" s="1"/>
  <c r="W316" i="2"/>
  <c r="X316" i="2" s="1"/>
  <c r="Z316" i="2" s="1"/>
  <c r="W317" i="2"/>
  <c r="X317" i="2" s="1"/>
  <c r="Z317" i="2" s="1"/>
  <c r="W318" i="2"/>
  <c r="X318" i="2" s="1"/>
  <c r="Z318" i="2" s="1"/>
  <c r="W319" i="2"/>
  <c r="X319" i="2" s="1"/>
  <c r="W320" i="2"/>
  <c r="X320" i="2" s="1"/>
  <c r="Z320" i="2" s="1"/>
  <c r="W321" i="2"/>
  <c r="X321" i="2" s="1"/>
  <c r="Z321" i="2" s="1"/>
  <c r="W322" i="2"/>
  <c r="X322" i="2" s="1"/>
  <c r="Z322" i="2" s="1"/>
  <c r="W323" i="2"/>
  <c r="X323" i="2" s="1"/>
  <c r="Z323" i="2" s="1"/>
  <c r="W324" i="2"/>
  <c r="X324" i="2" s="1"/>
  <c r="Z324" i="2" s="1"/>
  <c r="W325" i="2"/>
  <c r="X325" i="2" s="1"/>
  <c r="Z325" i="2" s="1"/>
  <c r="W326" i="2"/>
  <c r="X326" i="2" s="1"/>
  <c r="W327" i="2"/>
  <c r="X327" i="2" s="1"/>
  <c r="Z327" i="2" s="1"/>
  <c r="W328" i="2"/>
  <c r="X328" i="2" s="1"/>
  <c r="Z328" i="2" s="1"/>
  <c r="W329" i="2"/>
  <c r="X329" i="2" s="1"/>
  <c r="Z329" i="2" s="1"/>
  <c r="W330" i="2"/>
  <c r="X330" i="2" s="1"/>
  <c r="Z330" i="2" s="1"/>
  <c r="W331" i="2"/>
  <c r="X331" i="2" s="1"/>
  <c r="Z331" i="2" s="1"/>
  <c r="W332" i="2"/>
  <c r="X332" i="2" s="1"/>
  <c r="Z332" i="2" s="1"/>
  <c r="W333" i="2"/>
  <c r="X333" i="2" s="1"/>
  <c r="Z333" i="2" s="1"/>
  <c r="W334" i="2"/>
  <c r="X334" i="2" s="1"/>
  <c r="Z334" i="2" s="1"/>
  <c r="W335" i="2"/>
  <c r="X335" i="2" s="1"/>
  <c r="Z335" i="2" s="1"/>
  <c r="W336" i="2"/>
  <c r="X336" i="2" s="1"/>
  <c r="Z336" i="2" s="1"/>
  <c r="W337" i="2"/>
  <c r="X337" i="2" s="1"/>
  <c r="Z337" i="2" s="1"/>
  <c r="W338" i="2"/>
  <c r="X338" i="2" s="1"/>
  <c r="Z338" i="2" s="1"/>
  <c r="W339" i="2"/>
  <c r="X339" i="2" s="1"/>
  <c r="Z339" i="2" s="1"/>
  <c r="W340" i="2"/>
  <c r="X340" i="2" s="1"/>
  <c r="Z340" i="2" s="1"/>
  <c r="W341" i="2"/>
  <c r="X341" i="2" s="1"/>
  <c r="Z341" i="2" s="1"/>
  <c r="W342" i="2"/>
  <c r="X342" i="2" s="1"/>
  <c r="Z342" i="2" s="1"/>
  <c r="W343" i="2"/>
  <c r="X343" i="2" s="1"/>
  <c r="Z343" i="2" s="1"/>
  <c r="W344" i="2"/>
  <c r="X344" i="2" s="1"/>
  <c r="Z344" i="2" s="1"/>
  <c r="W345" i="2"/>
  <c r="X345" i="2" s="1"/>
  <c r="Z345" i="2" s="1"/>
  <c r="W346" i="2"/>
  <c r="X346" i="2" s="1"/>
  <c r="Z346" i="2" s="1"/>
  <c r="W347" i="2"/>
  <c r="X347" i="2" s="1"/>
  <c r="Z347" i="2" s="1"/>
  <c r="W348" i="2"/>
  <c r="X348" i="2" s="1"/>
  <c r="Z348" i="2" s="1"/>
  <c r="W349" i="2"/>
  <c r="X349" i="2" s="1"/>
  <c r="Z349" i="2" s="1"/>
  <c r="W350" i="2"/>
  <c r="X350" i="2" s="1"/>
  <c r="Z350" i="2" s="1"/>
  <c r="W351" i="2"/>
  <c r="X351" i="2" s="1"/>
  <c r="Z351" i="2" s="1"/>
  <c r="W352" i="2"/>
  <c r="X352" i="2" s="1"/>
  <c r="Z352" i="2" s="1"/>
  <c r="W353" i="2"/>
  <c r="X353" i="2" s="1"/>
  <c r="Z353" i="2" s="1"/>
  <c r="W354" i="2"/>
  <c r="X354" i="2" s="1"/>
  <c r="Z354" i="2" s="1"/>
  <c r="W355" i="2"/>
  <c r="X355" i="2" s="1"/>
  <c r="Z355" i="2" s="1"/>
  <c r="W356" i="2"/>
  <c r="X356" i="2" s="1"/>
  <c r="Z356" i="2" s="1"/>
  <c r="W357" i="2"/>
  <c r="X357" i="2" s="1"/>
  <c r="Z357" i="2" s="1"/>
  <c r="W358" i="2"/>
  <c r="X358" i="2" s="1"/>
  <c r="Z358" i="2" s="1"/>
  <c r="W359" i="2"/>
  <c r="X359" i="2" s="1"/>
  <c r="Z359" i="2" s="1"/>
  <c r="W360" i="2"/>
  <c r="X360" i="2" s="1"/>
  <c r="Z360" i="2" s="1"/>
  <c r="W361" i="2"/>
  <c r="X361" i="2" s="1"/>
  <c r="Z361" i="2" s="1"/>
  <c r="W362" i="2"/>
  <c r="X362" i="2" s="1"/>
  <c r="Z362" i="2" s="1"/>
  <c r="W363" i="2"/>
  <c r="X363" i="2" s="1"/>
  <c r="Z363" i="2" s="1"/>
  <c r="W364" i="2"/>
  <c r="X364" i="2" s="1"/>
  <c r="Z364" i="2" s="1"/>
  <c r="W365" i="2"/>
  <c r="X365" i="2" s="1"/>
  <c r="Z365" i="2" s="1"/>
  <c r="W366" i="2"/>
  <c r="X366" i="2" s="1"/>
  <c r="Z366" i="2" s="1"/>
  <c r="W367" i="2"/>
  <c r="X367" i="2" s="1"/>
  <c r="Z367" i="2" s="1"/>
  <c r="W368" i="2"/>
  <c r="X368" i="2" s="1"/>
  <c r="Z368" i="2" s="1"/>
  <c r="W369" i="2"/>
  <c r="X369" i="2" s="1"/>
  <c r="Z369" i="2" s="1"/>
  <c r="W370" i="2"/>
  <c r="X370" i="2" s="1"/>
  <c r="Z370" i="2" s="1"/>
  <c r="W371" i="2"/>
  <c r="X371" i="2" s="1"/>
  <c r="Z371" i="2" s="1"/>
  <c r="W372" i="2"/>
  <c r="X372" i="2" s="1"/>
  <c r="Z372" i="2" s="1"/>
  <c r="W373" i="2"/>
  <c r="X373" i="2" s="1"/>
  <c r="Z373" i="2" s="1"/>
  <c r="W374" i="2"/>
  <c r="X374" i="2" s="1"/>
  <c r="Z374" i="2" s="1"/>
  <c r="W375" i="2"/>
  <c r="X375" i="2" s="1"/>
  <c r="Z375" i="2" s="1"/>
  <c r="W376" i="2"/>
  <c r="X376" i="2" s="1"/>
  <c r="Z376" i="2" s="1"/>
  <c r="W377" i="2"/>
  <c r="X377" i="2" s="1"/>
  <c r="Z377" i="2" s="1"/>
  <c r="W378" i="2"/>
  <c r="X378" i="2" s="1"/>
  <c r="Z378" i="2" s="1"/>
  <c r="W379" i="2"/>
  <c r="X379" i="2" s="1"/>
  <c r="Z379" i="2" s="1"/>
  <c r="W380" i="2"/>
  <c r="X380" i="2" s="1"/>
  <c r="Z380" i="2" s="1"/>
  <c r="W381" i="2"/>
  <c r="X381" i="2" s="1"/>
  <c r="Z381" i="2" s="1"/>
  <c r="W382" i="2"/>
  <c r="X382" i="2" s="1"/>
  <c r="Z382" i="2" s="1"/>
  <c r="W383" i="2"/>
  <c r="X383" i="2" s="1"/>
  <c r="Z383" i="2" s="1"/>
  <c r="W384" i="2"/>
  <c r="X384" i="2" s="1"/>
  <c r="Z384" i="2" s="1"/>
  <c r="W385" i="2"/>
  <c r="X385" i="2" s="1"/>
  <c r="Z385" i="2" s="1"/>
  <c r="W386" i="2"/>
  <c r="X386" i="2" s="1"/>
  <c r="Z386" i="2" s="1"/>
  <c r="W387" i="2"/>
  <c r="X387" i="2" s="1"/>
  <c r="Z387" i="2" s="1"/>
  <c r="W388" i="2"/>
  <c r="X388" i="2" s="1"/>
  <c r="Z388" i="2" s="1"/>
  <c r="W389" i="2"/>
  <c r="X389" i="2" s="1"/>
  <c r="Z389" i="2" s="1"/>
  <c r="W390" i="2"/>
  <c r="X390" i="2" s="1"/>
  <c r="Z390" i="2" s="1"/>
  <c r="W391" i="2"/>
  <c r="X391" i="2" s="1"/>
  <c r="Z391" i="2" s="1"/>
  <c r="W392" i="2"/>
  <c r="X392" i="2" s="1"/>
  <c r="Z392" i="2" s="1"/>
  <c r="W393" i="2"/>
  <c r="X393" i="2" s="1"/>
  <c r="Z393" i="2" s="1"/>
  <c r="W394" i="2"/>
  <c r="X394" i="2" s="1"/>
  <c r="Z394" i="2" s="1"/>
  <c r="W395" i="2"/>
  <c r="X395" i="2" s="1"/>
  <c r="Z395" i="2" s="1"/>
  <c r="W396" i="2"/>
  <c r="X396" i="2" s="1"/>
  <c r="Z396" i="2" s="1"/>
  <c r="W397" i="2"/>
  <c r="X397" i="2" s="1"/>
  <c r="Z397" i="2" s="1"/>
  <c r="W398" i="2"/>
  <c r="X398" i="2" s="1"/>
  <c r="Z398" i="2" s="1"/>
  <c r="W399" i="2"/>
  <c r="X399" i="2" s="1"/>
  <c r="Z399" i="2" s="1"/>
  <c r="W400" i="2"/>
  <c r="X400" i="2" s="1"/>
  <c r="Z400" i="2" s="1"/>
  <c r="W401" i="2"/>
  <c r="X401" i="2" s="1"/>
  <c r="Z401" i="2" s="1"/>
  <c r="W402" i="2"/>
  <c r="X402" i="2" s="1"/>
  <c r="Z402" i="2" s="1"/>
  <c r="W403" i="2"/>
  <c r="X403" i="2" s="1"/>
  <c r="Z403" i="2" s="1"/>
  <c r="W404" i="2"/>
  <c r="X404" i="2" s="1"/>
  <c r="Z404" i="2" s="1"/>
  <c r="W405" i="2"/>
  <c r="X405" i="2" s="1"/>
  <c r="Z405" i="2" s="1"/>
  <c r="W406" i="2"/>
  <c r="X406" i="2" s="1"/>
  <c r="Z406" i="2" s="1"/>
  <c r="W407" i="2"/>
  <c r="X407" i="2" s="1"/>
  <c r="Z407" i="2" s="1"/>
  <c r="W408" i="2"/>
  <c r="X408" i="2" s="1"/>
  <c r="Z408" i="2" s="1"/>
  <c r="W409" i="2"/>
  <c r="X409" i="2" s="1"/>
  <c r="Z409" i="2" s="1"/>
  <c r="W410" i="2"/>
  <c r="X410" i="2" s="1"/>
  <c r="W411" i="2"/>
  <c r="X411" i="2" s="1"/>
  <c r="Z411" i="2" s="1"/>
  <c r="W412" i="2"/>
  <c r="X412" i="2" s="1"/>
  <c r="Z412" i="2" s="1"/>
  <c r="W413" i="2"/>
  <c r="X413" i="2" s="1"/>
  <c r="Z413" i="2" s="1"/>
  <c r="W414" i="2"/>
  <c r="X414" i="2" s="1"/>
  <c r="Z414" i="2" s="1"/>
  <c r="W415" i="2"/>
  <c r="X415" i="2" s="1"/>
  <c r="Z415" i="2" s="1"/>
  <c r="W416" i="2"/>
  <c r="X416" i="2" s="1"/>
  <c r="Z416" i="2" s="1"/>
  <c r="W417" i="2"/>
  <c r="X417" i="2" s="1"/>
  <c r="Z417" i="2" s="1"/>
  <c r="W418" i="2"/>
  <c r="X418" i="2" s="1"/>
  <c r="Z418" i="2" s="1"/>
  <c r="W419" i="2"/>
  <c r="X419" i="2" s="1"/>
  <c r="Z419" i="2" s="1"/>
  <c r="W420" i="2"/>
  <c r="X420" i="2" s="1"/>
  <c r="Z420" i="2" s="1"/>
  <c r="W421" i="2"/>
  <c r="X421" i="2" s="1"/>
  <c r="Z421" i="2" s="1"/>
  <c r="W422" i="2"/>
  <c r="X422" i="2" s="1"/>
  <c r="Z422" i="2" s="1"/>
  <c r="W423" i="2"/>
  <c r="X423" i="2" s="1"/>
  <c r="Z423" i="2" s="1"/>
  <c r="W424" i="2"/>
  <c r="X424" i="2" s="1"/>
  <c r="Z424" i="2" s="1"/>
  <c r="W425" i="2"/>
  <c r="X425" i="2" s="1"/>
  <c r="Z425" i="2" s="1"/>
  <c r="W426" i="2"/>
  <c r="X426" i="2" s="1"/>
  <c r="Z426" i="2" s="1"/>
  <c r="W427" i="2"/>
  <c r="X427" i="2" s="1"/>
  <c r="Z427" i="2" s="1"/>
  <c r="W428" i="2"/>
  <c r="X428" i="2" s="1"/>
  <c r="Z428" i="2" s="1"/>
  <c r="W429" i="2"/>
  <c r="X429" i="2" s="1"/>
  <c r="Z429" i="2" s="1"/>
  <c r="W430" i="2"/>
  <c r="X430" i="2" s="1"/>
  <c r="Z430" i="2" s="1"/>
  <c r="W431" i="2"/>
  <c r="X431" i="2" s="1"/>
  <c r="Z431" i="2" s="1"/>
  <c r="W432" i="2"/>
  <c r="X432" i="2" s="1"/>
  <c r="Z432" i="2" s="1"/>
  <c r="W433" i="2"/>
  <c r="X433" i="2" s="1"/>
  <c r="Z433" i="2" s="1"/>
  <c r="W434" i="2"/>
  <c r="X434" i="2" s="1"/>
  <c r="Z434" i="2" s="1"/>
  <c r="W435" i="2"/>
  <c r="X435" i="2" s="1"/>
  <c r="Z435" i="2" s="1"/>
  <c r="W436" i="2"/>
  <c r="X436" i="2" s="1"/>
  <c r="Z436" i="2" s="1"/>
  <c r="W437" i="2"/>
  <c r="X437" i="2" s="1"/>
  <c r="Z437" i="2" s="1"/>
  <c r="W438" i="2"/>
  <c r="X438" i="2" s="1"/>
  <c r="Z438" i="2" s="1"/>
  <c r="W439" i="2"/>
  <c r="X439" i="2" s="1"/>
  <c r="Z439" i="2" s="1"/>
  <c r="W440" i="2"/>
  <c r="X440" i="2" s="1"/>
  <c r="Z440" i="2" s="1"/>
  <c r="W441" i="2"/>
  <c r="X441" i="2" s="1"/>
  <c r="Z441" i="2" s="1"/>
  <c r="W442" i="2"/>
  <c r="X442" i="2" s="1"/>
  <c r="Z442" i="2" s="1"/>
  <c r="W443" i="2"/>
  <c r="X443" i="2" s="1"/>
  <c r="Z443" i="2" s="1"/>
  <c r="W444" i="2"/>
  <c r="X444" i="2" s="1"/>
  <c r="Z444" i="2" s="1"/>
  <c r="W445" i="2"/>
  <c r="X445" i="2" s="1"/>
  <c r="Z445" i="2" s="1"/>
  <c r="W446" i="2"/>
  <c r="X446" i="2" s="1"/>
  <c r="W447" i="2"/>
  <c r="X447" i="2" s="1"/>
  <c r="W448" i="2"/>
  <c r="X448" i="2" s="1"/>
  <c r="Z448" i="2" s="1"/>
  <c r="W449" i="2"/>
  <c r="X449" i="2" s="1"/>
  <c r="Z449" i="2" s="1"/>
  <c r="W450" i="2"/>
  <c r="X450" i="2" s="1"/>
  <c r="Z450" i="2" s="1"/>
  <c r="W451" i="2"/>
  <c r="X451" i="2" s="1"/>
  <c r="Z451" i="2" s="1"/>
  <c r="W452" i="2"/>
  <c r="X452" i="2" s="1"/>
  <c r="Z452" i="2" s="1"/>
  <c r="W453" i="2"/>
  <c r="X453" i="2" s="1"/>
  <c r="Z453" i="2" s="1"/>
  <c r="W454" i="2"/>
  <c r="X454" i="2" s="1"/>
  <c r="Z454" i="2" s="1"/>
  <c r="W455" i="2"/>
  <c r="X455" i="2" s="1"/>
  <c r="Z455" i="2" s="1"/>
  <c r="W456" i="2"/>
  <c r="X456" i="2" s="1"/>
  <c r="Z456" i="2" s="1"/>
  <c r="W457" i="2"/>
  <c r="X457" i="2" s="1"/>
  <c r="Z457" i="2" s="1"/>
  <c r="W458" i="2"/>
  <c r="X458" i="2" s="1"/>
  <c r="Z458" i="2" s="1"/>
  <c r="W459" i="2"/>
  <c r="X459" i="2" s="1"/>
  <c r="Z459" i="2" s="1"/>
  <c r="W460" i="2"/>
  <c r="X460" i="2" s="1"/>
  <c r="Z460" i="2" s="1"/>
  <c r="W461" i="2"/>
  <c r="X461" i="2" s="1"/>
  <c r="Z461" i="2" s="1"/>
  <c r="W462" i="2"/>
  <c r="X462" i="2" s="1"/>
  <c r="Z462" i="2" s="1"/>
  <c r="W463" i="2"/>
  <c r="X463" i="2" s="1"/>
  <c r="Z463" i="2" s="1"/>
  <c r="W464" i="2"/>
  <c r="X464" i="2" s="1"/>
  <c r="Z464" i="2" s="1"/>
  <c r="W465" i="2"/>
  <c r="X465" i="2" s="1"/>
  <c r="Z465" i="2" s="1"/>
  <c r="W466" i="2"/>
  <c r="X466" i="2" s="1"/>
  <c r="Z466" i="2" s="1"/>
  <c r="W467" i="2"/>
  <c r="X467" i="2" s="1"/>
  <c r="Z467" i="2" s="1"/>
  <c r="W468" i="2"/>
  <c r="X468" i="2" s="1"/>
  <c r="Z468" i="2" s="1"/>
  <c r="W469" i="2"/>
  <c r="X469" i="2" s="1"/>
  <c r="Z469" i="2" s="1"/>
  <c r="W470" i="2"/>
  <c r="X470" i="2" s="1"/>
  <c r="Z470" i="2" s="1"/>
  <c r="W471" i="2"/>
  <c r="X471" i="2" s="1"/>
  <c r="Z471" i="2" s="1"/>
  <c r="W472" i="2"/>
  <c r="X472" i="2" s="1"/>
  <c r="Z472" i="2" s="1"/>
  <c r="W473" i="2"/>
  <c r="X473" i="2" s="1"/>
  <c r="Z473" i="2" s="1"/>
  <c r="W474" i="2"/>
  <c r="X474" i="2" s="1"/>
  <c r="Z474" i="2" s="1"/>
  <c r="W475" i="2"/>
  <c r="X475" i="2" s="1"/>
  <c r="Z475" i="2" s="1"/>
  <c r="W476" i="2"/>
  <c r="X476" i="2" s="1"/>
  <c r="Z476" i="2" s="1"/>
  <c r="W477" i="2"/>
  <c r="X477" i="2" s="1"/>
  <c r="Z477" i="2" s="1"/>
  <c r="W478" i="2"/>
  <c r="X478" i="2" s="1"/>
  <c r="Z478" i="2" s="1"/>
  <c r="W479" i="2"/>
  <c r="X479" i="2" s="1"/>
  <c r="Z479" i="2" s="1"/>
  <c r="W480" i="2"/>
  <c r="X480" i="2" s="1"/>
  <c r="Z480" i="2" s="1"/>
  <c r="W481" i="2"/>
  <c r="X481" i="2" s="1"/>
  <c r="Z481" i="2" s="1"/>
  <c r="W482" i="2"/>
  <c r="X482" i="2" s="1"/>
  <c r="Z482" i="2" s="1"/>
  <c r="W483" i="2"/>
  <c r="X483" i="2" s="1"/>
  <c r="W484" i="2"/>
  <c r="X484" i="2" s="1"/>
  <c r="Z484" i="2" s="1"/>
  <c r="W485" i="2"/>
  <c r="X485" i="2" s="1"/>
  <c r="Z485" i="2" s="1"/>
  <c r="W486" i="2"/>
  <c r="X486" i="2" s="1"/>
  <c r="W487" i="2"/>
  <c r="X487" i="2" s="1"/>
  <c r="Z487" i="2" s="1"/>
  <c r="W488" i="2"/>
  <c r="X488" i="2" s="1"/>
  <c r="Z488" i="2" s="1"/>
  <c r="W489" i="2"/>
  <c r="X489" i="2" s="1"/>
  <c r="Z489" i="2" s="1"/>
  <c r="W490" i="2"/>
  <c r="X490" i="2" s="1"/>
  <c r="Z490" i="2" s="1"/>
  <c r="W491" i="2"/>
  <c r="X491" i="2" s="1"/>
  <c r="Z491" i="2" s="1"/>
  <c r="W492" i="2"/>
  <c r="X492" i="2" s="1"/>
  <c r="Z492" i="2" s="1"/>
  <c r="W493" i="2"/>
  <c r="X493" i="2" s="1"/>
  <c r="Z493" i="2" s="1"/>
  <c r="W494" i="2"/>
  <c r="X494" i="2" s="1"/>
  <c r="Z494" i="2" s="1"/>
  <c r="W495" i="2"/>
  <c r="X495" i="2" s="1"/>
  <c r="Z495" i="2" s="1"/>
  <c r="W496" i="2"/>
  <c r="X496" i="2" s="1"/>
  <c r="Z496" i="2" s="1"/>
  <c r="W497" i="2"/>
  <c r="X497" i="2" s="1"/>
  <c r="Z497" i="2" s="1"/>
  <c r="W498" i="2"/>
  <c r="X498" i="2" s="1"/>
  <c r="Z498" i="2" s="1"/>
  <c r="W499" i="2"/>
  <c r="X499" i="2" s="1"/>
  <c r="Z499" i="2" s="1"/>
  <c r="W500" i="2"/>
  <c r="X500" i="2" s="1"/>
  <c r="Z500" i="2" s="1"/>
  <c r="W501" i="2"/>
  <c r="X501" i="2" s="1"/>
  <c r="Z501" i="2" s="1"/>
  <c r="W502" i="2"/>
  <c r="X502" i="2" s="1"/>
  <c r="Z502" i="2" s="1"/>
  <c r="W503" i="2"/>
  <c r="X503" i="2" s="1"/>
  <c r="Z503" i="2" s="1"/>
  <c r="W504" i="2"/>
  <c r="X504" i="2" s="1"/>
  <c r="Z504" i="2" s="1"/>
  <c r="W505" i="2"/>
  <c r="X505" i="2" s="1"/>
  <c r="Z505" i="2" s="1"/>
  <c r="W506" i="2"/>
  <c r="X506" i="2" s="1"/>
  <c r="Z506" i="2" s="1"/>
  <c r="W507" i="2"/>
  <c r="X507" i="2" s="1"/>
  <c r="Z507" i="2" s="1"/>
  <c r="W508" i="2"/>
  <c r="X508" i="2" s="1"/>
  <c r="Z508" i="2" s="1"/>
  <c r="W509" i="2"/>
  <c r="X509" i="2" s="1"/>
  <c r="Z509" i="2" s="1"/>
  <c r="W510" i="2"/>
  <c r="X510" i="2" s="1"/>
  <c r="Z510" i="2" s="1"/>
  <c r="W511" i="2"/>
  <c r="X511" i="2" s="1"/>
  <c r="Z511" i="2" s="1"/>
  <c r="W512" i="2"/>
  <c r="X512" i="2" s="1"/>
  <c r="Z512" i="2" s="1"/>
  <c r="W513" i="2"/>
  <c r="X513" i="2" s="1"/>
  <c r="Z513" i="2" s="1"/>
  <c r="W514" i="2"/>
  <c r="X514" i="2" s="1"/>
  <c r="Z514" i="2" s="1"/>
  <c r="W515" i="2"/>
  <c r="X515" i="2" s="1"/>
  <c r="Z515" i="2" s="1"/>
  <c r="W516" i="2"/>
  <c r="X516" i="2" s="1"/>
  <c r="Z516" i="2" s="1"/>
  <c r="W517" i="2"/>
  <c r="X517" i="2" s="1"/>
  <c r="Z517" i="2" s="1"/>
  <c r="W518" i="2"/>
  <c r="X518" i="2" s="1"/>
  <c r="Z518" i="2" s="1"/>
  <c r="W519" i="2"/>
  <c r="X519" i="2" s="1"/>
  <c r="Z519" i="2" s="1"/>
  <c r="W520" i="2"/>
  <c r="X520" i="2" s="1"/>
  <c r="Z520" i="2" s="1"/>
  <c r="W521" i="2"/>
  <c r="X521" i="2" s="1"/>
  <c r="Z521" i="2" s="1"/>
  <c r="W522" i="2"/>
  <c r="X522" i="2" s="1"/>
  <c r="W523" i="2"/>
  <c r="X523" i="2" s="1"/>
  <c r="W524" i="2"/>
  <c r="X524" i="2" s="1"/>
  <c r="Z524" i="2" s="1"/>
  <c r="W525" i="2"/>
  <c r="X525" i="2" s="1"/>
  <c r="Z525" i="2" s="1"/>
  <c r="W526" i="2"/>
  <c r="X526" i="2" s="1"/>
  <c r="Z526" i="2" s="1"/>
  <c r="W527" i="2"/>
  <c r="X527" i="2" s="1"/>
  <c r="Z527" i="2" s="1"/>
  <c r="W528" i="2"/>
  <c r="X528" i="2" s="1"/>
  <c r="Z528" i="2" s="1"/>
  <c r="W529" i="2"/>
  <c r="X529" i="2" s="1"/>
  <c r="Z529" i="2" s="1"/>
  <c r="W530" i="2"/>
  <c r="X530" i="2" s="1"/>
  <c r="Z530" i="2" s="1"/>
  <c r="W531" i="2"/>
  <c r="X531" i="2" s="1"/>
  <c r="Z531" i="2" s="1"/>
  <c r="W532" i="2"/>
  <c r="X532" i="2" s="1"/>
  <c r="Z532" i="2" s="1"/>
  <c r="W533" i="2"/>
  <c r="X533" i="2" s="1"/>
  <c r="Z533" i="2" s="1"/>
  <c r="W534" i="2"/>
  <c r="X534" i="2" s="1"/>
  <c r="Z534" i="2" s="1"/>
  <c r="W535" i="2"/>
  <c r="X535" i="2" s="1"/>
  <c r="Z535" i="2" s="1"/>
  <c r="W536" i="2"/>
  <c r="X536" i="2" s="1"/>
  <c r="Z536" i="2" s="1"/>
  <c r="W537" i="2"/>
  <c r="X537" i="2" s="1"/>
  <c r="Z537" i="2" s="1"/>
  <c r="W538" i="2"/>
  <c r="X538" i="2" s="1"/>
  <c r="Z538" i="2" s="1"/>
  <c r="W539" i="2"/>
  <c r="X539" i="2" s="1"/>
  <c r="Z539" i="2" s="1"/>
  <c r="W540" i="2"/>
  <c r="X540" i="2" s="1"/>
  <c r="Z540" i="2" s="1"/>
  <c r="W541" i="2"/>
  <c r="X541" i="2" s="1"/>
  <c r="Z541" i="2" s="1"/>
  <c r="W542" i="2"/>
  <c r="X542" i="2" s="1"/>
  <c r="Z542" i="2" s="1"/>
  <c r="W543" i="2"/>
  <c r="X543" i="2" s="1"/>
  <c r="Z543" i="2" s="1"/>
  <c r="W544" i="2"/>
  <c r="X544" i="2" s="1"/>
  <c r="Z544" i="2" s="1"/>
  <c r="W545" i="2"/>
  <c r="X545" i="2" s="1"/>
  <c r="Z545" i="2" s="1"/>
  <c r="W546" i="2"/>
  <c r="X546" i="2" s="1"/>
  <c r="Z546" i="2" s="1"/>
  <c r="W547" i="2"/>
  <c r="X547" i="2" s="1"/>
  <c r="Z547" i="2" s="1"/>
  <c r="W548" i="2"/>
  <c r="X548" i="2" s="1"/>
  <c r="Z548" i="2" s="1"/>
  <c r="W549" i="2"/>
  <c r="X549" i="2" s="1"/>
  <c r="Z549" i="2" s="1"/>
  <c r="W550" i="2"/>
  <c r="X550" i="2" s="1"/>
  <c r="Z550" i="2" s="1"/>
  <c r="W551" i="2"/>
  <c r="X551" i="2" s="1"/>
  <c r="Z551" i="2" s="1"/>
  <c r="W552" i="2"/>
  <c r="X552" i="2" s="1"/>
  <c r="Z552" i="2" s="1"/>
  <c r="W553" i="2"/>
  <c r="X553" i="2" s="1"/>
  <c r="Z553" i="2" s="1"/>
  <c r="W554" i="2"/>
  <c r="X554" i="2" s="1"/>
  <c r="Z554" i="2" s="1"/>
  <c r="W555" i="2"/>
  <c r="X555" i="2" s="1"/>
  <c r="Z555" i="2" s="1"/>
  <c r="W556" i="2"/>
  <c r="X556" i="2" s="1"/>
  <c r="Z556" i="2" s="1"/>
  <c r="W557" i="2"/>
  <c r="X557" i="2" s="1"/>
  <c r="Z557" i="2" s="1"/>
  <c r="W558" i="2"/>
  <c r="X558" i="2" s="1"/>
  <c r="Z558" i="2" s="1"/>
  <c r="W559" i="2"/>
  <c r="X559" i="2" s="1"/>
  <c r="W560" i="2"/>
  <c r="X560" i="2" s="1"/>
  <c r="W561" i="2"/>
  <c r="X561" i="2" s="1"/>
  <c r="Z561" i="2" s="1"/>
  <c r="W562" i="2"/>
  <c r="X562" i="2" s="1"/>
  <c r="Z562" i="2" s="1"/>
  <c r="W563" i="2"/>
  <c r="X563" i="2" s="1"/>
  <c r="Z563" i="2" s="1"/>
  <c r="W564" i="2"/>
  <c r="X564" i="2" s="1"/>
  <c r="Z564" i="2" s="1"/>
  <c r="W565" i="2"/>
  <c r="X565" i="2" s="1"/>
  <c r="Z565" i="2" s="1"/>
  <c r="W566" i="2"/>
  <c r="X566" i="2" s="1"/>
  <c r="Z566" i="2" s="1"/>
  <c r="W567" i="2"/>
  <c r="X567" i="2" s="1"/>
  <c r="Z567" i="2" s="1"/>
  <c r="W568" i="2"/>
  <c r="X568" i="2" s="1"/>
  <c r="Z568" i="2" s="1"/>
  <c r="W569" i="2"/>
  <c r="X569" i="2" s="1"/>
  <c r="Z569" i="2" s="1"/>
  <c r="W570" i="2"/>
  <c r="X570" i="2" s="1"/>
  <c r="Z570" i="2" s="1"/>
  <c r="W571" i="2"/>
  <c r="X571" i="2" s="1"/>
  <c r="Z571" i="2" s="1"/>
  <c r="W572" i="2"/>
  <c r="X572" i="2" s="1"/>
  <c r="Z572" i="2" s="1"/>
  <c r="W573" i="2"/>
  <c r="X573" i="2" s="1"/>
  <c r="Z573" i="2" s="1"/>
  <c r="W574" i="2"/>
  <c r="X574" i="2" s="1"/>
  <c r="Z574" i="2" s="1"/>
  <c r="W575" i="2"/>
  <c r="X575" i="2" s="1"/>
  <c r="Z575" i="2" s="1"/>
  <c r="W576" i="2"/>
  <c r="X576" i="2" s="1"/>
  <c r="Z576" i="2" s="1"/>
  <c r="W577" i="2"/>
  <c r="X577" i="2" s="1"/>
  <c r="Z577" i="2" s="1"/>
  <c r="W578" i="2"/>
  <c r="X578" i="2" s="1"/>
  <c r="Z578" i="2" s="1"/>
  <c r="W579" i="2"/>
  <c r="X579" i="2" s="1"/>
  <c r="Z579" i="2" s="1"/>
  <c r="W580" i="2"/>
  <c r="X580" i="2" s="1"/>
  <c r="Z580" i="2" s="1"/>
  <c r="W581" i="2"/>
  <c r="X581" i="2" s="1"/>
  <c r="Z581" i="2" s="1"/>
  <c r="W582" i="2"/>
  <c r="X582" i="2" s="1"/>
  <c r="Z582" i="2" s="1"/>
  <c r="W583" i="2"/>
  <c r="X583" i="2" s="1"/>
  <c r="Z583" i="2" s="1"/>
  <c r="W584" i="2"/>
  <c r="X584" i="2" s="1"/>
  <c r="Z584" i="2" s="1"/>
  <c r="W585" i="2"/>
  <c r="X585" i="2" s="1"/>
  <c r="Z585" i="2" s="1"/>
  <c r="W586" i="2"/>
  <c r="X586" i="2" s="1"/>
  <c r="Z586" i="2" s="1"/>
  <c r="W587" i="2"/>
  <c r="X587" i="2" s="1"/>
  <c r="W588" i="2"/>
  <c r="X588" i="2" s="1"/>
  <c r="Z588" i="2" s="1"/>
  <c r="W589" i="2"/>
  <c r="X589" i="2" s="1"/>
  <c r="Z589" i="2" s="1"/>
  <c r="W590" i="2"/>
  <c r="X590" i="2" s="1"/>
  <c r="W591" i="2"/>
  <c r="X591" i="2" s="1"/>
  <c r="Z591" i="2" s="1"/>
  <c r="W592" i="2"/>
  <c r="X592" i="2" s="1"/>
  <c r="Z592" i="2" s="1"/>
  <c r="W593" i="2"/>
  <c r="X593" i="2" s="1"/>
  <c r="Z593" i="2" s="1"/>
  <c r="W594" i="2"/>
  <c r="X594" i="2" s="1"/>
  <c r="Z594" i="2" s="1"/>
  <c r="W595" i="2"/>
  <c r="X595" i="2" s="1"/>
  <c r="Z595" i="2" s="1"/>
  <c r="W596" i="2"/>
  <c r="X596" i="2" s="1"/>
  <c r="Z596" i="2" s="1"/>
  <c r="W597" i="2"/>
  <c r="X597" i="2" s="1"/>
  <c r="Z597" i="2" s="1"/>
  <c r="W598" i="2"/>
  <c r="X598" i="2" s="1"/>
  <c r="Z598" i="2" s="1"/>
  <c r="W599" i="2"/>
  <c r="X599" i="2" s="1"/>
  <c r="Z599" i="2" s="1"/>
  <c r="W600" i="2"/>
  <c r="X600" i="2" s="1"/>
  <c r="Z600" i="2" s="1"/>
  <c r="W601" i="2"/>
  <c r="X601" i="2" s="1"/>
  <c r="Z601" i="2" s="1"/>
  <c r="W602" i="2"/>
  <c r="X602" i="2" s="1"/>
  <c r="Z602" i="2" s="1"/>
  <c r="W603" i="2"/>
  <c r="X603" i="2" s="1"/>
  <c r="Z603" i="2" s="1"/>
  <c r="W604" i="2"/>
  <c r="X604" i="2" s="1"/>
  <c r="Z604" i="2" s="1"/>
  <c r="W605" i="2"/>
  <c r="X605" i="2" s="1"/>
  <c r="Z605" i="2" s="1"/>
  <c r="W606" i="2"/>
  <c r="X606" i="2" s="1"/>
  <c r="Z606" i="2" s="1"/>
  <c r="W607" i="2"/>
  <c r="X607" i="2" s="1"/>
  <c r="Z607" i="2" s="1"/>
  <c r="W608" i="2"/>
  <c r="X608" i="2" s="1"/>
  <c r="Z608" i="2" s="1"/>
  <c r="W609" i="2"/>
  <c r="X609" i="2" s="1"/>
  <c r="Z609" i="2" s="1"/>
  <c r="W610" i="2"/>
  <c r="X610" i="2" s="1"/>
  <c r="Z610" i="2" s="1"/>
  <c r="W611" i="2"/>
  <c r="X611" i="2" s="1"/>
  <c r="Z611" i="2" s="1"/>
  <c r="W612" i="2"/>
  <c r="X612" i="2" s="1"/>
  <c r="Z612" i="2" s="1"/>
  <c r="W613" i="2"/>
  <c r="X613" i="2" s="1"/>
  <c r="Z613" i="2" s="1"/>
  <c r="W614" i="2"/>
  <c r="X614" i="2" s="1"/>
  <c r="Z614" i="2" s="1"/>
  <c r="W615" i="2"/>
  <c r="X615" i="2" s="1"/>
  <c r="Z615" i="2" s="1"/>
  <c r="W616" i="2"/>
  <c r="X616" i="2" s="1"/>
  <c r="Z616" i="2" s="1"/>
  <c r="W617" i="2"/>
  <c r="X617" i="2" s="1"/>
  <c r="Z617" i="2" s="1"/>
  <c r="W618" i="2"/>
  <c r="X618" i="2" s="1"/>
  <c r="W619" i="2"/>
  <c r="X619" i="2" s="1"/>
  <c r="Z619" i="2" s="1"/>
  <c r="W620" i="2"/>
  <c r="X620" i="2" s="1"/>
  <c r="Z620" i="2" s="1"/>
  <c r="W621" i="2"/>
  <c r="X621" i="2" s="1"/>
  <c r="Z621" i="2" s="1"/>
  <c r="W622" i="2"/>
  <c r="X622" i="2" s="1"/>
  <c r="Z622" i="2" s="1"/>
  <c r="W623" i="2"/>
  <c r="X623" i="2" s="1"/>
  <c r="Z623" i="2" s="1"/>
  <c r="W624" i="2"/>
  <c r="X624" i="2" s="1"/>
  <c r="Z624" i="2" s="1"/>
  <c r="W625" i="2"/>
  <c r="X625" i="2" s="1"/>
  <c r="Z625" i="2" s="1"/>
  <c r="W626" i="2"/>
  <c r="X626" i="2" s="1"/>
  <c r="Z626" i="2" s="1"/>
  <c r="W627" i="2"/>
  <c r="X627" i="2" s="1"/>
  <c r="Z627" i="2" s="1"/>
  <c r="W628" i="2"/>
  <c r="X628" i="2" s="1"/>
  <c r="Z628" i="2" s="1"/>
  <c r="W629" i="2"/>
  <c r="X629" i="2" s="1"/>
  <c r="Z629" i="2" s="1"/>
  <c r="W630" i="2"/>
  <c r="X630" i="2" s="1"/>
  <c r="Z630" i="2" s="1"/>
  <c r="W631" i="2"/>
  <c r="X631" i="2" s="1"/>
  <c r="Z631" i="2" s="1"/>
  <c r="W632" i="2"/>
  <c r="X632" i="2" s="1"/>
  <c r="Z632" i="2" s="1"/>
  <c r="W633" i="2"/>
  <c r="X633" i="2" s="1"/>
  <c r="Z633" i="2" s="1"/>
  <c r="W634" i="2"/>
  <c r="X634" i="2" s="1"/>
  <c r="Z634" i="2" s="1"/>
  <c r="W635" i="2"/>
  <c r="X635" i="2" s="1"/>
  <c r="Z635" i="2" s="1"/>
  <c r="W636" i="2"/>
  <c r="X636" i="2" s="1"/>
  <c r="Z636" i="2" s="1"/>
  <c r="W637" i="2"/>
  <c r="X637" i="2" s="1"/>
  <c r="Z637" i="2" s="1"/>
  <c r="W638" i="2"/>
  <c r="X638" i="2" s="1"/>
  <c r="Z638" i="2" s="1"/>
  <c r="W639" i="2"/>
  <c r="X639" i="2" s="1"/>
  <c r="Z639" i="2" s="1"/>
  <c r="W640" i="2"/>
  <c r="X640" i="2" s="1"/>
  <c r="Z640" i="2" s="1"/>
  <c r="W641" i="2"/>
  <c r="X641" i="2" s="1"/>
  <c r="Z641" i="2" s="1"/>
  <c r="W642" i="2"/>
  <c r="X642" i="2" s="1"/>
  <c r="Z642" i="2" s="1"/>
  <c r="W643" i="2"/>
  <c r="X643" i="2" s="1"/>
  <c r="Z643" i="2" s="1"/>
  <c r="W644" i="2"/>
  <c r="X644" i="2" s="1"/>
  <c r="Z644" i="2" s="1"/>
  <c r="W645" i="2"/>
  <c r="X645" i="2" s="1"/>
  <c r="Z645" i="2" s="1"/>
  <c r="W646" i="2"/>
  <c r="X646" i="2" s="1"/>
  <c r="W647" i="2"/>
  <c r="X647" i="2" s="1"/>
  <c r="Z647" i="2" s="1"/>
  <c r="W648" i="2"/>
  <c r="X648" i="2" s="1"/>
  <c r="Z648" i="2" s="1"/>
  <c r="W649" i="2"/>
  <c r="X649" i="2" s="1"/>
  <c r="Z649" i="2" s="1"/>
  <c r="W650" i="2"/>
  <c r="X650" i="2" s="1"/>
  <c r="Z650" i="2" s="1"/>
  <c r="W651" i="2"/>
  <c r="X651" i="2" s="1"/>
  <c r="Z651" i="2" s="1"/>
  <c r="W652" i="2"/>
  <c r="X652" i="2" s="1"/>
  <c r="Z652" i="2" s="1"/>
  <c r="W653" i="2"/>
  <c r="X653" i="2" s="1"/>
  <c r="Z653" i="2" s="1"/>
  <c r="W654" i="2"/>
  <c r="X654" i="2" s="1"/>
  <c r="Z654" i="2" s="1"/>
  <c r="W655" i="2"/>
  <c r="X655" i="2" s="1"/>
  <c r="Z655" i="2" s="1"/>
  <c r="W656" i="2"/>
  <c r="X656" i="2" s="1"/>
  <c r="Z656" i="2" s="1"/>
  <c r="W657" i="2"/>
  <c r="X657" i="2" s="1"/>
  <c r="Z657" i="2" s="1"/>
  <c r="W658" i="2"/>
  <c r="X658" i="2" s="1"/>
  <c r="Z658" i="2" s="1"/>
  <c r="W659" i="2"/>
  <c r="X659" i="2" s="1"/>
  <c r="Z659" i="2" s="1"/>
  <c r="W660" i="2"/>
  <c r="X660" i="2" s="1"/>
  <c r="Z660" i="2" s="1"/>
  <c r="W661" i="2"/>
  <c r="X661" i="2" s="1"/>
  <c r="Z661" i="2" s="1"/>
  <c r="W662" i="2"/>
  <c r="X662" i="2" s="1"/>
  <c r="Z662" i="2" s="1"/>
  <c r="W663" i="2"/>
  <c r="X663" i="2" s="1"/>
  <c r="Z663" i="2" s="1"/>
  <c r="W664" i="2"/>
  <c r="X664" i="2" s="1"/>
  <c r="Z664" i="2" s="1"/>
  <c r="W665" i="2"/>
  <c r="X665" i="2" s="1"/>
  <c r="Z665" i="2" s="1"/>
  <c r="W666" i="2"/>
  <c r="X666" i="2" s="1"/>
  <c r="Z666" i="2" s="1"/>
  <c r="W667" i="2"/>
  <c r="X667" i="2" s="1"/>
  <c r="Z667" i="2" s="1"/>
  <c r="W668" i="2"/>
  <c r="X668" i="2" s="1"/>
  <c r="Z668" i="2" s="1"/>
  <c r="W669" i="2"/>
  <c r="X669" i="2" s="1"/>
  <c r="Z669" i="2" s="1"/>
  <c r="W670" i="2"/>
  <c r="X670" i="2" s="1"/>
  <c r="Z670" i="2" s="1"/>
  <c r="W671" i="2"/>
  <c r="X671" i="2" s="1"/>
  <c r="Z671" i="2" s="1"/>
  <c r="W672" i="2"/>
  <c r="X672" i="2" s="1"/>
  <c r="Z672" i="2" s="1"/>
  <c r="W673" i="2"/>
  <c r="X673" i="2" s="1"/>
  <c r="Z673" i="2" s="1"/>
  <c r="W674" i="2"/>
  <c r="X674" i="2" s="1"/>
  <c r="Z674" i="2" s="1"/>
  <c r="W675" i="2"/>
  <c r="X675" i="2" s="1"/>
  <c r="W676" i="2"/>
  <c r="X676" i="2" s="1"/>
  <c r="Z676" i="2" s="1"/>
  <c r="W677" i="2"/>
  <c r="X677" i="2" s="1"/>
  <c r="Z677" i="2" s="1"/>
  <c r="W678" i="2"/>
  <c r="X678" i="2" s="1"/>
  <c r="Z678" i="2" s="1"/>
  <c r="W679" i="2"/>
  <c r="X679" i="2" s="1"/>
  <c r="Z679" i="2" s="1"/>
  <c r="W680" i="2"/>
  <c r="X680" i="2" s="1"/>
  <c r="Z680" i="2" s="1"/>
  <c r="W681" i="2"/>
  <c r="X681" i="2" s="1"/>
  <c r="Z681" i="2" s="1"/>
  <c r="W682" i="2"/>
  <c r="X682" i="2" s="1"/>
  <c r="Z682" i="2" s="1"/>
  <c r="W683" i="2"/>
  <c r="X683" i="2" s="1"/>
  <c r="Z683" i="2" s="1"/>
  <c r="W684" i="2"/>
  <c r="X684" i="2" s="1"/>
  <c r="Z684" i="2" s="1"/>
  <c r="W685" i="2"/>
  <c r="X685" i="2" s="1"/>
  <c r="Z685" i="2" s="1"/>
  <c r="W686" i="2"/>
  <c r="X686" i="2" s="1"/>
  <c r="Z686" i="2" s="1"/>
  <c r="W687" i="2"/>
  <c r="X687" i="2" s="1"/>
  <c r="Z687" i="2" s="1"/>
  <c r="W688" i="2"/>
  <c r="X688" i="2" s="1"/>
  <c r="Z688" i="2" s="1"/>
  <c r="W689" i="2"/>
  <c r="X689" i="2" s="1"/>
  <c r="Z689" i="2" s="1"/>
  <c r="W690" i="2"/>
  <c r="X690" i="2" s="1"/>
  <c r="Z690" i="2" s="1"/>
  <c r="W691" i="2"/>
  <c r="X691" i="2" s="1"/>
  <c r="Z691" i="2" s="1"/>
  <c r="W692" i="2"/>
  <c r="X692" i="2" s="1"/>
  <c r="Z692" i="2" s="1"/>
  <c r="W693" i="2"/>
  <c r="X693" i="2" s="1"/>
  <c r="Z693" i="2" s="1"/>
  <c r="W694" i="2"/>
  <c r="X694" i="2" s="1"/>
  <c r="Z694" i="2" s="1"/>
  <c r="W695" i="2"/>
  <c r="X695" i="2" s="1"/>
  <c r="Z695" i="2" s="1"/>
  <c r="W696" i="2"/>
  <c r="X696" i="2" s="1"/>
  <c r="Z696" i="2" s="1"/>
  <c r="W697" i="2"/>
  <c r="X697" i="2" s="1"/>
  <c r="Z697" i="2" s="1"/>
  <c r="W698" i="2"/>
  <c r="X698" i="2" s="1"/>
  <c r="Z698" i="2" s="1"/>
  <c r="W699" i="2"/>
  <c r="X699" i="2" s="1"/>
  <c r="Z699" i="2" s="1"/>
  <c r="W700" i="2"/>
  <c r="X700" i="2" s="1"/>
  <c r="Z700" i="2" s="1"/>
  <c r="W701" i="2"/>
  <c r="X701" i="2" s="1"/>
  <c r="Z701" i="2" s="1"/>
  <c r="W702" i="2"/>
  <c r="X702" i="2" s="1"/>
  <c r="W703" i="2"/>
  <c r="X703" i="2" s="1"/>
  <c r="W704" i="2"/>
  <c r="X704" i="2" s="1"/>
  <c r="Z704" i="2" s="1"/>
  <c r="W705" i="2"/>
  <c r="X705" i="2" s="1"/>
  <c r="Z705" i="2" s="1"/>
  <c r="W706" i="2"/>
  <c r="X706" i="2" s="1"/>
  <c r="Z706" i="2" s="1"/>
  <c r="W707" i="2"/>
  <c r="X707" i="2" s="1"/>
  <c r="Z707" i="2" s="1"/>
  <c r="W708" i="2"/>
  <c r="X708" i="2" s="1"/>
  <c r="Z708" i="2" s="1"/>
  <c r="W709" i="2"/>
  <c r="X709" i="2" s="1"/>
  <c r="Z709" i="2" s="1"/>
  <c r="W710" i="2"/>
  <c r="X710" i="2" s="1"/>
  <c r="Z710" i="2" s="1"/>
  <c r="W711" i="2"/>
  <c r="X711" i="2" s="1"/>
  <c r="Z711" i="2" s="1"/>
  <c r="W712" i="2"/>
  <c r="X712" i="2" s="1"/>
  <c r="Z712" i="2" s="1"/>
  <c r="W713" i="2"/>
  <c r="X713" i="2" s="1"/>
  <c r="Z713" i="2" s="1"/>
  <c r="W714" i="2"/>
  <c r="X714" i="2" s="1"/>
  <c r="Z714" i="2" s="1"/>
  <c r="W715" i="2"/>
  <c r="X715" i="2" s="1"/>
  <c r="Z715" i="2" s="1"/>
  <c r="W716" i="2"/>
  <c r="X716" i="2" s="1"/>
  <c r="Z716" i="2" s="1"/>
  <c r="W717" i="2"/>
  <c r="X717" i="2" s="1"/>
  <c r="Z717" i="2" s="1"/>
  <c r="W718" i="2"/>
  <c r="X718" i="2" s="1"/>
  <c r="Z718" i="2" s="1"/>
  <c r="W719" i="2"/>
  <c r="X719" i="2" s="1"/>
  <c r="Z719" i="2" s="1"/>
  <c r="W720" i="2"/>
  <c r="X720" i="2" s="1"/>
  <c r="Z720" i="2" s="1"/>
  <c r="W721" i="2"/>
  <c r="X721" i="2" s="1"/>
  <c r="Z721" i="2" s="1"/>
  <c r="W722" i="2"/>
  <c r="X722" i="2" s="1"/>
  <c r="Z722" i="2" s="1"/>
  <c r="W723" i="2"/>
  <c r="X723" i="2" s="1"/>
  <c r="Z723" i="2" s="1"/>
  <c r="W724" i="2"/>
  <c r="X724" i="2" s="1"/>
  <c r="Z724" i="2" s="1"/>
  <c r="W725" i="2"/>
  <c r="X725" i="2" s="1"/>
  <c r="Z725" i="2" s="1"/>
  <c r="W726" i="2"/>
  <c r="X726" i="2" s="1"/>
  <c r="Z726" i="2" s="1"/>
  <c r="W727" i="2"/>
  <c r="X727" i="2" s="1"/>
  <c r="Z727" i="2" s="1"/>
  <c r="W728" i="2"/>
  <c r="X728" i="2" s="1"/>
  <c r="Z728" i="2" s="1"/>
  <c r="W729" i="2"/>
  <c r="X729" i="2" s="1"/>
  <c r="Z729" i="2" s="1"/>
  <c r="W730" i="2"/>
  <c r="X730" i="2" s="1"/>
  <c r="W731" i="2"/>
  <c r="X731" i="2" s="1"/>
  <c r="W732" i="2"/>
  <c r="X732" i="2" s="1"/>
  <c r="Z732" i="2" s="1"/>
  <c r="W733" i="2"/>
  <c r="X733" i="2" s="1"/>
  <c r="Z733" i="2" s="1"/>
  <c r="W734" i="2"/>
  <c r="X734" i="2" s="1"/>
  <c r="Z734" i="2" s="1"/>
  <c r="W735" i="2"/>
  <c r="X735" i="2" s="1"/>
  <c r="Z735" i="2" s="1"/>
  <c r="W736" i="2"/>
  <c r="X736" i="2" s="1"/>
  <c r="Z736" i="2" s="1"/>
  <c r="W737" i="2"/>
  <c r="X737" i="2" s="1"/>
  <c r="Z737" i="2" s="1"/>
  <c r="W738" i="2"/>
  <c r="X738" i="2" s="1"/>
  <c r="Z738" i="2" s="1"/>
  <c r="W739" i="2"/>
  <c r="X739" i="2" s="1"/>
  <c r="Z739" i="2" s="1"/>
  <c r="W740" i="2"/>
  <c r="X740" i="2" s="1"/>
  <c r="Z740" i="2" s="1"/>
  <c r="W741" i="2"/>
  <c r="X741" i="2" s="1"/>
  <c r="Z741" i="2" s="1"/>
  <c r="W742" i="2"/>
  <c r="X742" i="2" s="1"/>
  <c r="Z742" i="2" s="1"/>
  <c r="W743" i="2"/>
  <c r="X743" i="2" s="1"/>
  <c r="Z743" i="2" s="1"/>
  <c r="W744" i="2"/>
  <c r="X744" i="2" s="1"/>
  <c r="Z744" i="2" s="1"/>
  <c r="W745" i="2"/>
  <c r="X745" i="2" s="1"/>
  <c r="Z745" i="2" s="1"/>
  <c r="W746" i="2"/>
  <c r="X746" i="2" s="1"/>
  <c r="Z746" i="2" s="1"/>
  <c r="W747" i="2"/>
  <c r="X747" i="2" s="1"/>
  <c r="Z747" i="2" s="1"/>
  <c r="W748" i="2"/>
  <c r="X748" i="2" s="1"/>
  <c r="Z748" i="2" s="1"/>
  <c r="W749" i="2"/>
  <c r="X749" i="2" s="1"/>
  <c r="Z749" i="2" s="1"/>
  <c r="W750" i="2"/>
  <c r="X750" i="2" s="1"/>
  <c r="Z750" i="2" s="1"/>
  <c r="W751" i="2"/>
  <c r="X751" i="2" s="1"/>
  <c r="Z751" i="2" s="1"/>
  <c r="W752" i="2"/>
  <c r="X752" i="2" s="1"/>
  <c r="Z752" i="2" s="1"/>
  <c r="W753" i="2"/>
  <c r="X753" i="2" s="1"/>
  <c r="Z753" i="2" s="1"/>
  <c r="W754" i="2"/>
  <c r="X754" i="2" s="1"/>
  <c r="Z754" i="2" s="1"/>
  <c r="W755" i="2"/>
  <c r="X755" i="2" s="1"/>
  <c r="Z755" i="2" s="1"/>
  <c r="W756" i="2"/>
  <c r="X756" i="2" s="1"/>
  <c r="Z756" i="2" s="1"/>
  <c r="W757" i="2"/>
  <c r="X757" i="2" s="1"/>
  <c r="Z757" i="2" s="1"/>
  <c r="W758" i="2"/>
  <c r="X758" i="2" s="1"/>
  <c r="W759" i="2"/>
  <c r="X759" i="2" s="1"/>
  <c r="Z759" i="2" s="1"/>
  <c r="W760" i="2"/>
  <c r="X760" i="2" s="1"/>
  <c r="W761" i="2"/>
  <c r="X761" i="2" s="1"/>
  <c r="Z761" i="2" s="1"/>
  <c r="W762" i="2"/>
  <c r="X762" i="2" s="1"/>
  <c r="Z762" i="2" s="1"/>
  <c r="W763" i="2"/>
  <c r="X763" i="2" s="1"/>
  <c r="Z763" i="2" s="1"/>
  <c r="W764" i="2"/>
  <c r="X764" i="2" s="1"/>
  <c r="Z764" i="2" s="1"/>
  <c r="W765" i="2"/>
  <c r="X765" i="2" s="1"/>
  <c r="Z765" i="2" s="1"/>
  <c r="W766" i="2"/>
  <c r="X766" i="2" s="1"/>
  <c r="Z766" i="2" s="1"/>
  <c r="W767" i="2"/>
  <c r="X767" i="2" s="1"/>
  <c r="Z767" i="2" s="1"/>
  <c r="W768" i="2"/>
  <c r="X768" i="2" s="1"/>
  <c r="Z768" i="2" s="1"/>
  <c r="W769" i="2"/>
  <c r="X769" i="2" s="1"/>
  <c r="Z769" i="2" s="1"/>
  <c r="W770" i="2"/>
  <c r="X770" i="2" s="1"/>
  <c r="Z770" i="2" s="1"/>
  <c r="W771" i="2"/>
  <c r="X771" i="2" s="1"/>
  <c r="Z771" i="2" s="1"/>
  <c r="W772" i="2"/>
  <c r="X772" i="2" s="1"/>
  <c r="Z772" i="2" s="1"/>
  <c r="W773" i="2"/>
  <c r="X773" i="2" s="1"/>
  <c r="Z773" i="2" s="1"/>
  <c r="W774" i="2"/>
  <c r="X774" i="2" s="1"/>
  <c r="Z774" i="2" s="1"/>
  <c r="W775" i="2"/>
  <c r="X775" i="2" s="1"/>
  <c r="Z775" i="2" s="1"/>
  <c r="W776" i="2"/>
  <c r="X776" i="2" s="1"/>
  <c r="Z776" i="2" s="1"/>
  <c r="W777" i="2"/>
  <c r="X777" i="2" s="1"/>
  <c r="Z777" i="2" s="1"/>
  <c r="W778" i="2"/>
  <c r="X778" i="2" s="1"/>
  <c r="Z778" i="2" s="1"/>
  <c r="W779" i="2"/>
  <c r="X779" i="2" s="1"/>
  <c r="Z779" i="2" s="1"/>
  <c r="W780" i="2"/>
  <c r="X780" i="2" s="1"/>
  <c r="Z780" i="2" s="1"/>
  <c r="W781" i="2"/>
  <c r="X781" i="2" s="1"/>
  <c r="Z781" i="2" s="1"/>
  <c r="W782" i="2"/>
  <c r="X782" i="2" s="1"/>
  <c r="Z782" i="2" s="1"/>
  <c r="W783" i="2"/>
  <c r="X783" i="2" s="1"/>
  <c r="Z783" i="2" s="1"/>
  <c r="W784" i="2"/>
  <c r="X784" i="2" s="1"/>
  <c r="Z784" i="2" s="1"/>
  <c r="W785" i="2"/>
  <c r="X785" i="2" s="1"/>
  <c r="Z785" i="2" s="1"/>
  <c r="W786" i="2"/>
  <c r="X786" i="2" s="1"/>
  <c r="Z786" i="2" s="1"/>
  <c r="W787" i="2"/>
  <c r="X787" i="2" s="1"/>
  <c r="W788" i="2"/>
  <c r="X788" i="2" s="1"/>
  <c r="W789" i="2"/>
  <c r="X789" i="2" s="1"/>
  <c r="Z789" i="2" s="1"/>
  <c r="W790" i="2"/>
  <c r="X790" i="2" s="1"/>
  <c r="Z790" i="2" s="1"/>
  <c r="W791" i="2"/>
  <c r="X791" i="2" s="1"/>
  <c r="Z791" i="2" s="1"/>
  <c r="W792" i="2"/>
  <c r="X792" i="2" s="1"/>
  <c r="Z792" i="2" s="1"/>
  <c r="W793" i="2"/>
  <c r="X793" i="2" s="1"/>
  <c r="Z793" i="2" s="1"/>
  <c r="W794" i="2"/>
  <c r="X794" i="2" s="1"/>
  <c r="Z794" i="2" s="1"/>
  <c r="W795" i="2"/>
  <c r="X795" i="2" s="1"/>
  <c r="Z795" i="2" s="1"/>
  <c r="W796" i="2"/>
  <c r="X796" i="2" s="1"/>
  <c r="Z796" i="2" s="1"/>
  <c r="W797" i="2"/>
  <c r="X797" i="2" s="1"/>
  <c r="Z797" i="2" s="1"/>
  <c r="W798" i="2"/>
  <c r="X798" i="2" s="1"/>
  <c r="Z798" i="2" s="1"/>
  <c r="W799" i="2"/>
  <c r="X799" i="2" s="1"/>
  <c r="Z799" i="2" s="1"/>
  <c r="W800" i="2"/>
  <c r="X800" i="2" s="1"/>
  <c r="Z800" i="2" s="1"/>
  <c r="W801" i="2"/>
  <c r="X801" i="2" s="1"/>
  <c r="Z801" i="2" s="1"/>
  <c r="W802" i="2"/>
  <c r="X802" i="2" s="1"/>
  <c r="Z802" i="2" s="1"/>
  <c r="W803" i="2"/>
  <c r="X803" i="2" s="1"/>
  <c r="Z803" i="2" s="1"/>
  <c r="W804" i="2"/>
  <c r="X804" i="2" s="1"/>
  <c r="Z804" i="2" s="1"/>
  <c r="W805" i="2"/>
  <c r="X805" i="2" s="1"/>
  <c r="Z805" i="2" s="1"/>
  <c r="W806" i="2"/>
  <c r="X806" i="2" s="1"/>
  <c r="Z806" i="2" s="1"/>
  <c r="W807" i="2"/>
  <c r="X807" i="2" s="1"/>
  <c r="Z807" i="2" s="1"/>
  <c r="W808" i="2"/>
  <c r="X808" i="2" s="1"/>
  <c r="Z808" i="2" s="1"/>
  <c r="W809" i="2"/>
  <c r="X809" i="2" s="1"/>
  <c r="Z809" i="2" s="1"/>
  <c r="W810" i="2"/>
  <c r="X810" i="2" s="1"/>
  <c r="Z810" i="2" s="1"/>
  <c r="W811" i="2"/>
  <c r="X811" i="2" s="1"/>
  <c r="Z811" i="2" s="1"/>
  <c r="W812" i="2"/>
  <c r="X812" i="2" s="1"/>
  <c r="Z812" i="2" s="1"/>
  <c r="W813" i="2"/>
  <c r="X813" i="2" s="1"/>
  <c r="Z813" i="2" s="1"/>
  <c r="W814" i="2"/>
  <c r="X814" i="2" s="1"/>
  <c r="Z814" i="2" s="1"/>
  <c r="W815" i="2"/>
  <c r="X815" i="2" s="1"/>
  <c r="W816" i="2"/>
  <c r="X816" i="2" s="1"/>
  <c r="W817" i="2"/>
  <c r="X817" i="2" s="1"/>
  <c r="Z817" i="2" s="1"/>
  <c r="W818" i="2"/>
  <c r="X818" i="2" s="1"/>
  <c r="Z818" i="2" s="1"/>
  <c r="W819" i="2"/>
  <c r="X819" i="2" s="1"/>
  <c r="Z819" i="2" s="1"/>
  <c r="W820" i="2"/>
  <c r="X820" i="2" s="1"/>
  <c r="Z820" i="2" s="1"/>
  <c r="W821" i="2"/>
  <c r="X821" i="2" s="1"/>
  <c r="Z821" i="2" s="1"/>
  <c r="W822" i="2"/>
  <c r="X822" i="2" s="1"/>
  <c r="Z822" i="2" s="1"/>
  <c r="W823" i="2"/>
  <c r="X823" i="2" s="1"/>
  <c r="Z823" i="2" s="1"/>
  <c r="W824" i="2"/>
  <c r="X824" i="2" s="1"/>
  <c r="Z824" i="2" s="1"/>
  <c r="W825" i="2"/>
  <c r="X825" i="2" s="1"/>
  <c r="Z825" i="2" s="1"/>
  <c r="W826" i="2"/>
  <c r="X826" i="2" s="1"/>
  <c r="Z826" i="2" s="1"/>
  <c r="W827" i="2"/>
  <c r="X827" i="2" s="1"/>
  <c r="Z827" i="2" s="1"/>
  <c r="W828" i="2"/>
  <c r="X828" i="2" s="1"/>
  <c r="Z828" i="2" s="1"/>
  <c r="W829" i="2"/>
  <c r="X829" i="2" s="1"/>
  <c r="Z829" i="2" s="1"/>
  <c r="W830" i="2"/>
  <c r="X830" i="2" s="1"/>
  <c r="Z830" i="2" s="1"/>
  <c r="W831" i="2"/>
  <c r="X831" i="2" s="1"/>
  <c r="Z831" i="2" s="1"/>
  <c r="W832" i="2"/>
  <c r="X832" i="2" s="1"/>
  <c r="Z832" i="2" s="1"/>
  <c r="W833" i="2"/>
  <c r="X833" i="2" s="1"/>
  <c r="Z833" i="2" s="1"/>
  <c r="W834" i="2"/>
  <c r="X834" i="2" s="1"/>
  <c r="Z834" i="2" s="1"/>
  <c r="W835" i="2"/>
  <c r="X835" i="2" s="1"/>
  <c r="Z835" i="2" s="1"/>
  <c r="W836" i="2"/>
  <c r="X836" i="2" s="1"/>
  <c r="Z836" i="2" s="1"/>
  <c r="W837" i="2"/>
  <c r="X837" i="2" s="1"/>
  <c r="Z837" i="2" s="1"/>
  <c r="W838" i="2"/>
  <c r="X838" i="2" s="1"/>
  <c r="Z838" i="2" s="1"/>
  <c r="W839" i="2"/>
  <c r="X839" i="2" s="1"/>
  <c r="Z839" i="2" s="1"/>
  <c r="W840" i="2"/>
  <c r="X840" i="2" s="1"/>
  <c r="Z840" i="2" s="1"/>
  <c r="W841" i="2"/>
  <c r="X841" i="2" s="1"/>
  <c r="Z841" i="2" s="1"/>
  <c r="W842" i="2"/>
  <c r="X842" i="2" s="1"/>
  <c r="Z842" i="2" s="1"/>
  <c r="W843" i="2"/>
  <c r="X843" i="2" s="1"/>
  <c r="W844" i="2"/>
  <c r="X844" i="2" s="1"/>
  <c r="Z844" i="2" s="1"/>
  <c r="W845" i="2"/>
  <c r="X845" i="2" s="1"/>
  <c r="Z845" i="2" s="1"/>
  <c r="W846" i="2"/>
  <c r="X846" i="2" s="1"/>
  <c r="W847" i="2"/>
  <c r="X847" i="2" s="1"/>
  <c r="Z847" i="2" s="1"/>
  <c r="W848" i="2"/>
  <c r="X848" i="2" s="1"/>
  <c r="Z848" i="2" s="1"/>
  <c r="W849" i="2"/>
  <c r="X849" i="2" s="1"/>
  <c r="Z849" i="2" s="1"/>
  <c r="W850" i="2"/>
  <c r="X850" i="2" s="1"/>
  <c r="Z850" i="2" s="1"/>
  <c r="W851" i="2"/>
  <c r="X851" i="2" s="1"/>
  <c r="Z851" i="2" s="1"/>
  <c r="W852" i="2"/>
  <c r="X852" i="2" s="1"/>
  <c r="Z852" i="2" s="1"/>
  <c r="W853" i="2"/>
  <c r="X853" i="2" s="1"/>
  <c r="Z853" i="2" s="1"/>
  <c r="W854" i="2"/>
  <c r="X854" i="2" s="1"/>
  <c r="Z854" i="2" s="1"/>
  <c r="W855" i="2"/>
  <c r="X855" i="2" s="1"/>
  <c r="Z855" i="2" s="1"/>
  <c r="W856" i="2"/>
  <c r="X856" i="2" s="1"/>
  <c r="Z856" i="2" s="1"/>
  <c r="W857" i="2"/>
  <c r="X857" i="2" s="1"/>
  <c r="Z857" i="2" s="1"/>
  <c r="W858" i="2"/>
  <c r="X858" i="2" s="1"/>
  <c r="Z858" i="2" s="1"/>
  <c r="W859" i="2"/>
  <c r="X859" i="2" s="1"/>
  <c r="Z859" i="2" s="1"/>
  <c r="W860" i="2"/>
  <c r="X860" i="2" s="1"/>
  <c r="Z860" i="2" s="1"/>
  <c r="W861" i="2"/>
  <c r="X861" i="2" s="1"/>
  <c r="Z861" i="2" s="1"/>
  <c r="W862" i="2"/>
  <c r="X862" i="2" s="1"/>
  <c r="Z862" i="2" s="1"/>
  <c r="W863" i="2"/>
  <c r="X863" i="2" s="1"/>
  <c r="Z863" i="2" s="1"/>
  <c r="W864" i="2"/>
  <c r="X864" i="2" s="1"/>
  <c r="Z864" i="2" s="1"/>
  <c r="W865" i="2"/>
  <c r="X865" i="2" s="1"/>
  <c r="Z865" i="2" s="1"/>
  <c r="W866" i="2"/>
  <c r="X866" i="2" s="1"/>
  <c r="Z866" i="2" s="1"/>
  <c r="W867" i="2"/>
  <c r="X867" i="2" s="1"/>
  <c r="Z867" i="2" s="1"/>
  <c r="W868" i="2"/>
  <c r="X868" i="2" s="1"/>
  <c r="Z868" i="2" s="1"/>
  <c r="W869" i="2"/>
  <c r="X869" i="2" s="1"/>
  <c r="Z869" i="2" s="1"/>
  <c r="W870" i="2"/>
  <c r="X870" i="2" s="1"/>
  <c r="Z870" i="2" s="1"/>
  <c r="W871" i="2"/>
  <c r="X871" i="2" s="1"/>
  <c r="Z871" i="2" s="1"/>
  <c r="W872" i="2"/>
  <c r="X872" i="2" s="1"/>
  <c r="Z872" i="2" s="1"/>
  <c r="W873" i="2"/>
  <c r="X873" i="2" s="1"/>
  <c r="Z873" i="2" s="1"/>
  <c r="W874" i="2"/>
  <c r="X874" i="2" s="1"/>
  <c r="W875" i="2"/>
  <c r="X875" i="2" s="1"/>
  <c r="Z875" i="2" s="1"/>
  <c r="W876" i="2"/>
  <c r="X876" i="2" s="1"/>
  <c r="Z876" i="2" s="1"/>
  <c r="W877" i="2"/>
  <c r="X877" i="2" s="1"/>
  <c r="Z877" i="2" s="1"/>
  <c r="W878" i="2"/>
  <c r="X878" i="2" s="1"/>
  <c r="Z878" i="2" s="1"/>
  <c r="W879" i="2"/>
  <c r="X879" i="2" s="1"/>
  <c r="Z879" i="2" s="1"/>
  <c r="W880" i="2"/>
  <c r="X880" i="2" s="1"/>
  <c r="Z880" i="2" s="1"/>
  <c r="W881" i="2"/>
  <c r="X881" i="2" s="1"/>
  <c r="Z881" i="2" s="1"/>
  <c r="W882" i="2"/>
  <c r="X882" i="2" s="1"/>
  <c r="Z882" i="2" s="1"/>
  <c r="W883" i="2"/>
  <c r="X883" i="2" s="1"/>
  <c r="Z883" i="2" s="1"/>
  <c r="W884" i="2"/>
  <c r="X884" i="2" s="1"/>
  <c r="Z884" i="2" s="1"/>
  <c r="W885" i="2"/>
  <c r="X885" i="2" s="1"/>
  <c r="Z885" i="2" s="1"/>
  <c r="W886" i="2"/>
  <c r="X886" i="2" s="1"/>
  <c r="Z886" i="2" s="1"/>
  <c r="W887" i="2"/>
  <c r="X887" i="2" s="1"/>
  <c r="Z887" i="2" s="1"/>
  <c r="W888" i="2"/>
  <c r="X888" i="2" s="1"/>
  <c r="Z888" i="2" s="1"/>
  <c r="W889" i="2"/>
  <c r="X889" i="2" s="1"/>
  <c r="Z889" i="2" s="1"/>
  <c r="W890" i="2"/>
  <c r="X890" i="2" s="1"/>
  <c r="Z890" i="2" s="1"/>
  <c r="W891" i="2"/>
  <c r="X891" i="2" s="1"/>
  <c r="Z891" i="2" s="1"/>
  <c r="W892" i="2"/>
  <c r="X892" i="2" s="1"/>
  <c r="Z892" i="2" s="1"/>
  <c r="W893" i="2"/>
  <c r="X893" i="2" s="1"/>
  <c r="Z893" i="2" s="1"/>
  <c r="W894" i="2"/>
  <c r="X894" i="2" s="1"/>
  <c r="Z894" i="2" s="1"/>
  <c r="W895" i="2"/>
  <c r="X895" i="2" s="1"/>
  <c r="Z895" i="2" s="1"/>
  <c r="W896" i="2"/>
  <c r="X896" i="2" s="1"/>
  <c r="Z896" i="2" s="1"/>
  <c r="W897" i="2"/>
  <c r="X897" i="2" s="1"/>
  <c r="Z897" i="2" s="1"/>
  <c r="W898" i="2"/>
  <c r="X898" i="2" s="1"/>
  <c r="Z898" i="2" s="1"/>
  <c r="W899" i="2"/>
  <c r="X899" i="2" s="1"/>
  <c r="Z899" i="2" s="1"/>
  <c r="W900" i="2"/>
  <c r="X900" i="2" s="1"/>
  <c r="Z900" i="2" s="1"/>
  <c r="W901" i="2"/>
  <c r="X901" i="2" s="1"/>
  <c r="Z901" i="2" s="1"/>
  <c r="W902" i="2"/>
  <c r="X902" i="2" s="1"/>
  <c r="W903" i="2"/>
  <c r="X903" i="2" s="1"/>
  <c r="Z903" i="2" s="1"/>
  <c r="W904" i="2"/>
  <c r="X904" i="2" s="1"/>
  <c r="Z904" i="2" s="1"/>
  <c r="W905" i="2"/>
  <c r="X905" i="2" s="1"/>
  <c r="Z905" i="2" s="1"/>
  <c r="W906" i="2"/>
  <c r="X906" i="2" s="1"/>
  <c r="Z906" i="2" s="1"/>
  <c r="W907" i="2"/>
  <c r="X907" i="2" s="1"/>
  <c r="Z907" i="2" s="1"/>
  <c r="W908" i="2"/>
  <c r="X908" i="2" s="1"/>
  <c r="Z908" i="2" s="1"/>
  <c r="W909" i="2"/>
  <c r="X909" i="2" s="1"/>
  <c r="Z909" i="2" s="1"/>
  <c r="W910" i="2"/>
  <c r="X910" i="2" s="1"/>
  <c r="Z910" i="2" s="1"/>
  <c r="W911" i="2"/>
  <c r="X911" i="2" s="1"/>
  <c r="Z911" i="2" s="1"/>
  <c r="W912" i="2"/>
  <c r="X912" i="2" s="1"/>
  <c r="Z912" i="2" s="1"/>
  <c r="W913" i="2"/>
  <c r="X913" i="2" s="1"/>
  <c r="Z913" i="2" s="1"/>
  <c r="W914" i="2"/>
  <c r="X914" i="2" s="1"/>
  <c r="Z914" i="2" s="1"/>
  <c r="W915" i="2"/>
  <c r="X915" i="2" s="1"/>
  <c r="Z915" i="2" s="1"/>
  <c r="W916" i="2"/>
  <c r="X916" i="2" s="1"/>
  <c r="Z916" i="2" s="1"/>
  <c r="W917" i="2"/>
  <c r="X917" i="2" s="1"/>
  <c r="Z917" i="2" s="1"/>
  <c r="W918" i="2"/>
  <c r="X918" i="2" s="1"/>
  <c r="Z918" i="2" s="1"/>
  <c r="W919" i="2"/>
  <c r="X919" i="2" s="1"/>
  <c r="Z919" i="2" s="1"/>
  <c r="W920" i="2"/>
  <c r="X920" i="2" s="1"/>
  <c r="Z920" i="2" s="1"/>
  <c r="W921" i="2"/>
  <c r="X921" i="2" s="1"/>
  <c r="Z921" i="2" s="1"/>
  <c r="W922" i="2"/>
  <c r="X922" i="2" s="1"/>
  <c r="W923" i="2"/>
  <c r="X923" i="2" s="1"/>
  <c r="W924" i="2"/>
  <c r="X924" i="2" s="1"/>
  <c r="Z924" i="2" s="1"/>
  <c r="W925" i="2"/>
  <c r="X925" i="2" s="1"/>
  <c r="Z925" i="2" s="1"/>
  <c r="W926" i="2"/>
  <c r="X926" i="2" s="1"/>
  <c r="Z926" i="2" s="1"/>
  <c r="W927" i="2"/>
  <c r="X927" i="2" s="1"/>
  <c r="Z927" i="2" s="1"/>
  <c r="W928" i="2"/>
  <c r="X928" i="2" s="1"/>
  <c r="Z928" i="2" s="1"/>
  <c r="W929" i="2"/>
  <c r="X929" i="2" s="1"/>
  <c r="Z929" i="2" s="1"/>
  <c r="W930" i="2"/>
  <c r="X930" i="2" s="1"/>
  <c r="Z930" i="2" s="1"/>
  <c r="W931" i="2"/>
  <c r="X931" i="2" s="1"/>
  <c r="Z931" i="2" s="1"/>
  <c r="W932" i="2"/>
  <c r="X932" i="2" s="1"/>
  <c r="Z932" i="2" s="1"/>
  <c r="W933" i="2"/>
  <c r="X933" i="2" s="1"/>
  <c r="Z933" i="2" s="1"/>
  <c r="W934" i="2"/>
  <c r="X934" i="2" s="1"/>
  <c r="Z934" i="2" s="1"/>
  <c r="W935" i="2"/>
  <c r="X935" i="2" s="1"/>
  <c r="Z935" i="2" s="1"/>
  <c r="W936" i="2"/>
  <c r="X936" i="2" s="1"/>
  <c r="Z936" i="2" s="1"/>
  <c r="W937" i="2"/>
  <c r="X937" i="2" s="1"/>
  <c r="Z937" i="2" s="1"/>
  <c r="W938" i="2"/>
  <c r="X938" i="2" s="1"/>
  <c r="Z938" i="2" s="1"/>
  <c r="W939" i="2"/>
  <c r="X939" i="2" s="1"/>
  <c r="Z939" i="2" s="1"/>
  <c r="W940" i="2"/>
  <c r="X940" i="2" s="1"/>
  <c r="Z940" i="2" s="1"/>
  <c r="W941" i="2"/>
  <c r="X941" i="2" s="1"/>
  <c r="Z941" i="2" s="1"/>
  <c r="W942" i="2"/>
  <c r="X942" i="2" s="1"/>
  <c r="W943" i="2"/>
  <c r="X943" i="2" s="1"/>
  <c r="W944" i="2"/>
  <c r="X944" i="2" s="1"/>
  <c r="Z944" i="2" s="1"/>
  <c r="W945" i="2"/>
  <c r="X945" i="2" s="1"/>
  <c r="Z945" i="2" s="1"/>
  <c r="W946" i="2"/>
  <c r="X946" i="2" s="1"/>
  <c r="Z946" i="2" s="1"/>
  <c r="W947" i="2"/>
  <c r="X947" i="2" s="1"/>
  <c r="Z947" i="2" s="1"/>
  <c r="W948" i="2"/>
  <c r="X948" i="2" s="1"/>
  <c r="Z948" i="2" s="1"/>
  <c r="W949" i="2"/>
  <c r="X949" i="2" s="1"/>
  <c r="Z949" i="2" s="1"/>
  <c r="W950" i="2"/>
  <c r="X950" i="2" s="1"/>
  <c r="Z950" i="2" s="1"/>
  <c r="W951" i="2"/>
  <c r="X951" i="2" s="1"/>
  <c r="Z951" i="2" s="1"/>
  <c r="W952" i="2"/>
  <c r="X952" i="2" s="1"/>
  <c r="Z952" i="2" s="1"/>
  <c r="W953" i="2"/>
  <c r="X953" i="2" s="1"/>
  <c r="Z953" i="2" s="1"/>
  <c r="W954" i="2"/>
  <c r="X954" i="2" s="1"/>
  <c r="Z954" i="2" s="1"/>
  <c r="W955" i="2"/>
  <c r="X955" i="2" s="1"/>
  <c r="Z955" i="2" s="1"/>
  <c r="W956" i="2"/>
  <c r="X956" i="2" s="1"/>
  <c r="Z956" i="2" s="1"/>
  <c r="W957" i="2"/>
  <c r="X957" i="2" s="1"/>
  <c r="Z957" i="2" s="1"/>
  <c r="W958" i="2"/>
  <c r="X958" i="2" s="1"/>
  <c r="Z958" i="2" s="1"/>
  <c r="W959" i="2"/>
  <c r="X959" i="2" s="1"/>
  <c r="W960" i="2"/>
  <c r="X960" i="2" s="1"/>
  <c r="Z960" i="2" s="1"/>
  <c r="W961" i="2"/>
  <c r="X961" i="2" s="1"/>
  <c r="Z961" i="2" s="1"/>
  <c r="W962" i="2"/>
  <c r="X962" i="2" s="1"/>
  <c r="Z962" i="2" s="1"/>
  <c r="W963" i="2"/>
  <c r="X963" i="2" s="1"/>
  <c r="W964" i="2"/>
  <c r="X964" i="2" s="1"/>
  <c r="Z964" i="2" s="1"/>
  <c r="W965" i="2"/>
  <c r="X965" i="2" s="1"/>
  <c r="Z965" i="2" s="1"/>
  <c r="W966" i="2"/>
  <c r="X966" i="2" s="1"/>
  <c r="Z966" i="2" s="1"/>
  <c r="W967" i="2"/>
  <c r="X967" i="2" s="1"/>
  <c r="Z967" i="2" s="1"/>
  <c r="W968" i="2"/>
  <c r="X968" i="2" s="1"/>
  <c r="Z968" i="2" s="1"/>
  <c r="W969" i="2"/>
  <c r="X969" i="2" s="1"/>
  <c r="Z969" i="2" s="1"/>
  <c r="W970" i="2"/>
  <c r="X970" i="2" s="1"/>
  <c r="Z970" i="2" s="1"/>
  <c r="W971" i="2"/>
  <c r="X971" i="2" s="1"/>
  <c r="Z971" i="2" s="1"/>
  <c r="W972" i="2"/>
  <c r="X972" i="2" s="1"/>
  <c r="Z972" i="2" s="1"/>
  <c r="W973" i="2"/>
  <c r="X973" i="2" s="1"/>
  <c r="Z973" i="2" s="1"/>
  <c r="W974" i="2"/>
  <c r="X974" i="2" s="1"/>
  <c r="Z974" i="2" s="1"/>
  <c r="W975" i="2"/>
  <c r="X975" i="2" s="1"/>
  <c r="Z975" i="2" s="1"/>
  <c r="W976" i="2"/>
  <c r="X976" i="2" s="1"/>
  <c r="Z976" i="2" s="1"/>
  <c r="W977" i="2"/>
  <c r="X977" i="2" s="1"/>
  <c r="Z977" i="2" s="1"/>
  <c r="W978" i="2"/>
  <c r="X978" i="2" s="1"/>
  <c r="Z978" i="2" s="1"/>
  <c r="W979" i="2"/>
  <c r="X979" i="2" s="1"/>
  <c r="W980" i="2"/>
  <c r="X980" i="2" s="1"/>
  <c r="W981" i="2"/>
  <c r="X981" i="2" s="1"/>
  <c r="Z981" i="2" s="1"/>
  <c r="W982" i="2"/>
  <c r="X982" i="2" s="1"/>
  <c r="Z982" i="2" s="1"/>
  <c r="W983" i="2"/>
  <c r="X983" i="2" s="1"/>
  <c r="Z983" i="2" s="1"/>
  <c r="W984" i="2"/>
  <c r="X984" i="2" s="1"/>
  <c r="Z984" i="2" s="1"/>
  <c r="W985" i="2"/>
  <c r="X985" i="2" s="1"/>
  <c r="Z985" i="2" s="1"/>
  <c r="W986" i="2"/>
  <c r="X986" i="2" s="1"/>
  <c r="Z986" i="2" s="1"/>
  <c r="W987" i="2"/>
  <c r="X987" i="2" s="1"/>
  <c r="Z987" i="2" s="1"/>
  <c r="W988" i="2"/>
  <c r="X988" i="2" s="1"/>
  <c r="Z988" i="2" s="1"/>
  <c r="W989" i="2"/>
  <c r="X989" i="2" s="1"/>
  <c r="Z989" i="2" s="1"/>
  <c r="W990" i="2"/>
  <c r="X990" i="2" s="1"/>
  <c r="Z990" i="2" s="1"/>
  <c r="W991" i="2"/>
  <c r="X991" i="2" s="1"/>
  <c r="Z991" i="2" s="1"/>
  <c r="W992" i="2"/>
  <c r="X992" i="2" s="1"/>
  <c r="Z992" i="2" s="1"/>
  <c r="W993" i="2"/>
  <c r="X993" i="2" s="1"/>
  <c r="Z993" i="2" s="1"/>
  <c r="W994" i="2"/>
  <c r="X994" i="2" s="1"/>
  <c r="W995" i="2"/>
  <c r="X995" i="2" s="1"/>
  <c r="Z995" i="2" s="1"/>
  <c r="W996" i="2"/>
  <c r="X996" i="2" s="1"/>
  <c r="W997" i="2"/>
  <c r="X997" i="2" s="1"/>
  <c r="Z997" i="2" s="1"/>
  <c r="W998" i="2"/>
  <c r="X998" i="2" s="1"/>
  <c r="Z998" i="2" s="1"/>
  <c r="W999" i="2"/>
  <c r="X999" i="2" s="1"/>
  <c r="Z999" i="2" s="1"/>
  <c r="W1000" i="2"/>
  <c r="X1000" i="2" s="1"/>
  <c r="Z1000" i="2" s="1"/>
  <c r="W1001" i="2"/>
  <c r="X1001" i="2" s="1"/>
  <c r="Z1001" i="2" s="1"/>
  <c r="W1002" i="2"/>
  <c r="X1002" i="2" s="1"/>
  <c r="Z1002" i="2" s="1"/>
  <c r="W1003" i="2"/>
  <c r="X1003" i="2" s="1"/>
  <c r="Z1003" i="2" s="1"/>
  <c r="W1004" i="2"/>
  <c r="X1004" i="2" s="1"/>
  <c r="Z1004" i="2" s="1"/>
  <c r="W1005" i="2"/>
  <c r="X1005" i="2" s="1"/>
  <c r="Z1005" i="2" s="1"/>
  <c r="W1006" i="2"/>
  <c r="X1006" i="2" s="1"/>
  <c r="Z1006" i="2" s="1"/>
  <c r="W1007" i="2"/>
  <c r="X1007" i="2" s="1"/>
  <c r="Z1007" i="2" s="1"/>
  <c r="W1008" i="2"/>
  <c r="X1008" i="2" s="1"/>
  <c r="Z1008" i="2" s="1"/>
  <c r="W1009" i="2"/>
  <c r="X1009" i="2" s="1"/>
  <c r="Z1009" i="2" s="1"/>
  <c r="W1010" i="2"/>
  <c r="X1010" i="2" s="1"/>
  <c r="W1011" i="2"/>
  <c r="X1011" i="2" s="1"/>
  <c r="Z1011" i="2" s="1"/>
  <c r="W1012" i="2"/>
  <c r="X1012" i="2" s="1"/>
  <c r="Z1012" i="2" s="1"/>
  <c r="W1013" i="2"/>
  <c r="X1013" i="2" s="1"/>
  <c r="Z1013" i="2" s="1"/>
  <c r="W1014" i="2"/>
  <c r="X1014" i="2" s="1"/>
  <c r="Z1014" i="2" s="1"/>
  <c r="W1015" i="2"/>
  <c r="X1015" i="2" s="1"/>
  <c r="Z1015" i="2" s="1"/>
  <c r="W1016" i="2"/>
  <c r="X1016" i="2" s="1"/>
  <c r="Z1016" i="2" s="1"/>
  <c r="W1017" i="2"/>
  <c r="X1017" i="2" s="1"/>
  <c r="Z1017" i="2" s="1"/>
  <c r="W1018" i="2"/>
  <c r="X1018" i="2" s="1"/>
  <c r="Z1018" i="2" s="1"/>
  <c r="W1019" i="2"/>
  <c r="X1019" i="2" s="1"/>
  <c r="Z1019" i="2" s="1"/>
  <c r="W1020" i="2"/>
  <c r="X1020" i="2" s="1"/>
  <c r="Z1020" i="2" s="1"/>
  <c r="W1021" i="2"/>
  <c r="X1021" i="2" s="1"/>
  <c r="Z1021" i="2" s="1"/>
  <c r="W1022" i="2"/>
  <c r="X1022" i="2" s="1"/>
  <c r="W1023" i="2"/>
  <c r="X1023" i="2" s="1"/>
  <c r="Z1023" i="2" s="1"/>
  <c r="W1024" i="2"/>
  <c r="X1024" i="2" s="1"/>
  <c r="W1025" i="2"/>
  <c r="X1025" i="2" s="1"/>
  <c r="Z1025" i="2" s="1"/>
  <c r="W1026" i="2"/>
  <c r="X1026" i="2" s="1"/>
  <c r="Z1026" i="2" s="1"/>
  <c r="W1027" i="2"/>
  <c r="X1027" i="2" s="1"/>
  <c r="Z1027" i="2" s="1"/>
  <c r="W1028" i="2"/>
  <c r="X1028" i="2" s="1"/>
  <c r="Z1028" i="2" s="1"/>
  <c r="W1029" i="2"/>
  <c r="X1029" i="2" s="1"/>
  <c r="Z1029" i="2" s="1"/>
  <c r="W1030" i="2"/>
  <c r="X1030" i="2" s="1"/>
  <c r="Z1030" i="2" s="1"/>
  <c r="W1031" i="2"/>
  <c r="X1031" i="2" s="1"/>
  <c r="Z1031" i="2" s="1"/>
  <c r="W1032" i="2"/>
  <c r="X1032" i="2" s="1"/>
  <c r="Z1032" i="2" s="1"/>
  <c r="W1033" i="2"/>
  <c r="X1033" i="2" s="1"/>
  <c r="Z1033" i="2" s="1"/>
  <c r="W1034" i="2"/>
  <c r="X1034" i="2" s="1"/>
  <c r="Z1034" i="2" s="1"/>
  <c r="W1035" i="2"/>
  <c r="X1035" i="2" s="1"/>
  <c r="Z1035" i="2" s="1"/>
  <c r="W1036" i="2"/>
  <c r="X1036" i="2" s="1"/>
  <c r="Z1036" i="2" s="1"/>
  <c r="W1037" i="2"/>
  <c r="X1037" i="2" s="1"/>
  <c r="Z1037" i="2" s="1"/>
  <c r="W1038" i="2"/>
  <c r="X1038" i="2" s="1"/>
  <c r="W1039" i="2"/>
  <c r="X1039" i="2" s="1"/>
  <c r="Z1039" i="2" s="1"/>
  <c r="W1040" i="2"/>
  <c r="X1040" i="2" s="1"/>
  <c r="Z1040" i="2" s="1"/>
  <c r="W1041" i="2"/>
  <c r="X1041" i="2" s="1"/>
  <c r="Z1041" i="2" s="1"/>
  <c r="W1042" i="2"/>
  <c r="X1042" i="2" s="1"/>
  <c r="Z1042" i="2" s="1"/>
  <c r="W1043" i="2"/>
  <c r="X1043" i="2" s="1"/>
  <c r="Z1043" i="2" s="1"/>
  <c r="W1044" i="2"/>
  <c r="X1044" i="2" s="1"/>
  <c r="Z1044" i="2" s="1"/>
  <c r="W1045" i="2"/>
  <c r="X1045" i="2" s="1"/>
  <c r="Z1045" i="2" s="1"/>
  <c r="W1046" i="2"/>
  <c r="X1046" i="2" s="1"/>
  <c r="Z1046" i="2" s="1"/>
  <c r="W1047" i="2"/>
  <c r="X1047" i="2" s="1"/>
  <c r="Z1047" i="2" s="1"/>
  <c r="W1048" i="2"/>
  <c r="X1048" i="2" s="1"/>
  <c r="Z1048" i="2" s="1"/>
  <c r="W1049" i="2"/>
  <c r="X1049" i="2" s="1"/>
  <c r="Z1049" i="2" s="1"/>
  <c r="W1050" i="2"/>
  <c r="X1050" i="2" s="1"/>
  <c r="W1051" i="2"/>
  <c r="X1051" i="2" s="1"/>
  <c r="Z1051" i="2" s="1"/>
  <c r="W1052" i="2"/>
  <c r="X1052" i="2" s="1"/>
  <c r="Z1052" i="2" s="1"/>
  <c r="W1053" i="2"/>
  <c r="X1053" i="2" s="1"/>
  <c r="Z1053" i="2" s="1"/>
  <c r="W1054" i="2"/>
  <c r="X1054" i="2" s="1"/>
  <c r="Z1054" i="2" s="1"/>
  <c r="W1055" i="2"/>
  <c r="X1055" i="2" s="1"/>
  <c r="Z1055" i="2" s="1"/>
  <c r="W1056" i="2"/>
  <c r="X1056" i="2" s="1"/>
  <c r="Z1056" i="2" s="1"/>
  <c r="W1057" i="2"/>
  <c r="X1057" i="2" s="1"/>
  <c r="Z1057" i="2" s="1"/>
  <c r="W1058" i="2"/>
  <c r="X1058" i="2" s="1"/>
  <c r="Z1058" i="2" s="1"/>
  <c r="W1059" i="2"/>
  <c r="X1059" i="2" s="1"/>
  <c r="Z1059" i="2" s="1"/>
  <c r="W1060" i="2"/>
  <c r="X1060" i="2" s="1"/>
  <c r="Z1060" i="2" s="1"/>
  <c r="W1061" i="2"/>
  <c r="X1061" i="2" s="1"/>
  <c r="Z1061" i="2" s="1"/>
  <c r="W1062" i="2"/>
  <c r="X1062" i="2" s="1"/>
  <c r="Z1062" i="2" s="1"/>
  <c r="W1063" i="2"/>
  <c r="X1063" i="2" s="1"/>
  <c r="Z1063" i="2" s="1"/>
  <c r="W1064" i="2"/>
  <c r="X1064" i="2" s="1"/>
  <c r="Z1064" i="2" s="1"/>
  <c r="W1065" i="2"/>
  <c r="X1065" i="2" s="1"/>
  <c r="Z1065" i="2" s="1"/>
  <c r="W1066" i="2"/>
  <c r="X1066" i="2" s="1"/>
  <c r="W1067" i="2"/>
  <c r="X1067" i="2" s="1"/>
  <c r="Z1067" i="2" s="1"/>
  <c r="W1068" i="2"/>
  <c r="X1068" i="2" s="1"/>
  <c r="Z1068" i="2" s="1"/>
  <c r="W1069" i="2"/>
  <c r="X1069" i="2" s="1"/>
  <c r="Z1069" i="2" s="1"/>
  <c r="W1070" i="2"/>
  <c r="X1070" i="2" s="1"/>
  <c r="Z1070" i="2" s="1"/>
  <c r="W1071" i="2"/>
  <c r="X1071" i="2" s="1"/>
  <c r="Z1071" i="2" s="1"/>
  <c r="W1072" i="2"/>
  <c r="X1072" i="2" s="1"/>
  <c r="Z1072" i="2" s="1"/>
  <c r="W1073" i="2"/>
  <c r="X1073" i="2" s="1"/>
  <c r="Z1073" i="2" s="1"/>
  <c r="W1074" i="2"/>
  <c r="X1074" i="2" s="1"/>
  <c r="Z1074" i="2" s="1"/>
  <c r="W1075" i="2"/>
  <c r="X1075" i="2" s="1"/>
  <c r="Z1075" i="2" s="1"/>
  <c r="W1076" i="2"/>
  <c r="X1076" i="2" s="1"/>
  <c r="Z1076" i="2" s="1"/>
  <c r="W1077" i="2"/>
  <c r="X1077" i="2" s="1"/>
  <c r="Z1077" i="2" s="1"/>
  <c r="W1078" i="2"/>
  <c r="X1078" i="2" s="1"/>
  <c r="Z1078" i="2" s="1"/>
  <c r="W1079" i="2"/>
  <c r="X1079" i="2" s="1"/>
  <c r="Z1079" i="2" s="1"/>
  <c r="W1080" i="2"/>
  <c r="X1080" i="2" s="1"/>
  <c r="Z1080" i="2" s="1"/>
  <c r="W1081" i="2"/>
  <c r="X1081" i="2" s="1"/>
  <c r="Z1081" i="2" s="1"/>
  <c r="W1082" i="2"/>
  <c r="X1082" i="2" s="1"/>
  <c r="Z1082" i="2" s="1"/>
  <c r="W1083" i="2"/>
  <c r="X1083" i="2" s="1"/>
  <c r="Z1083" i="2" s="1"/>
  <c r="W1084" i="2"/>
  <c r="X1084" i="2" s="1"/>
  <c r="Z1084" i="2" s="1"/>
  <c r="W1085" i="2"/>
  <c r="X1085" i="2" s="1"/>
  <c r="Z1085" i="2" s="1"/>
  <c r="W1086" i="2"/>
  <c r="X1086" i="2" s="1"/>
  <c r="Z1086" i="2" s="1"/>
  <c r="W1087" i="2"/>
  <c r="X1087" i="2" s="1"/>
  <c r="Z1087" i="2" s="1"/>
  <c r="W1088" i="2"/>
  <c r="X1088" i="2" s="1"/>
  <c r="Z1088" i="2" s="1"/>
  <c r="W1089" i="2"/>
  <c r="X1089" i="2" s="1"/>
  <c r="Z1089" i="2" s="1"/>
  <c r="W1090" i="2"/>
  <c r="X1090" i="2" s="1"/>
  <c r="Z1090" i="2" s="1"/>
  <c r="W1091" i="2"/>
  <c r="X1091" i="2" s="1"/>
  <c r="Z1091" i="2" s="1"/>
  <c r="W1092" i="2"/>
  <c r="X1092" i="2" s="1"/>
  <c r="Z1092" i="2" s="1"/>
  <c r="W1093" i="2"/>
  <c r="X1093" i="2" s="1"/>
  <c r="Z1093" i="2" s="1"/>
  <c r="W1094" i="2"/>
  <c r="X1094" i="2" s="1"/>
  <c r="Z1094" i="2" s="1"/>
  <c r="W1095" i="2"/>
  <c r="X1095" i="2" s="1"/>
  <c r="Z1095" i="2" s="1"/>
  <c r="W1096" i="2"/>
  <c r="X1096" i="2" s="1"/>
  <c r="W1097" i="2"/>
  <c r="X1097" i="2" s="1"/>
  <c r="Z1097" i="2" s="1"/>
  <c r="W1098" i="2"/>
  <c r="X1098" i="2" s="1"/>
  <c r="Z1098" i="2" s="1"/>
  <c r="W1099" i="2"/>
  <c r="X1099" i="2" s="1"/>
  <c r="Z1099" i="2" s="1"/>
  <c r="W1100" i="2"/>
  <c r="X1100" i="2" s="1"/>
  <c r="Z1100" i="2" s="1"/>
  <c r="W1101" i="2"/>
  <c r="X1101" i="2" s="1"/>
  <c r="Z1101" i="2" s="1"/>
  <c r="W1102" i="2"/>
  <c r="X1102" i="2" s="1"/>
  <c r="Z1102" i="2" s="1"/>
  <c r="W1103" i="2"/>
  <c r="X1103" i="2" s="1"/>
  <c r="Z1103" i="2" s="1"/>
  <c r="W1104" i="2"/>
  <c r="X1104" i="2" s="1"/>
  <c r="Z1104" i="2" s="1"/>
  <c r="W1105" i="2"/>
  <c r="X1105" i="2" s="1"/>
  <c r="Z1105" i="2" s="1"/>
  <c r="W1106" i="2"/>
  <c r="X1106" i="2" s="1"/>
  <c r="Z1106" i="2" s="1"/>
  <c r="W1107" i="2"/>
  <c r="X1107" i="2" s="1"/>
  <c r="Z1107" i="2" s="1"/>
  <c r="W1108" i="2"/>
  <c r="X1108" i="2" s="1"/>
  <c r="Z1108" i="2" s="1"/>
  <c r="W1109" i="2"/>
  <c r="X1109" i="2" s="1"/>
  <c r="Z1109" i="2" s="1"/>
  <c r="W1110" i="2"/>
  <c r="X1110" i="2" s="1"/>
  <c r="Z1110" i="2" s="1"/>
  <c r="W1111" i="2"/>
  <c r="X1111" i="2" s="1"/>
  <c r="Z1111" i="2" s="1"/>
  <c r="W1112" i="2"/>
  <c r="X1112" i="2" s="1"/>
  <c r="Z1112" i="2" s="1"/>
  <c r="W1113" i="2"/>
  <c r="X1113" i="2" s="1"/>
  <c r="Z1113" i="2" s="1"/>
  <c r="W1114" i="2"/>
  <c r="X1114" i="2" s="1"/>
  <c r="Z1114" i="2" s="1"/>
  <c r="W1115" i="2"/>
  <c r="X1115" i="2" s="1"/>
  <c r="Z1115" i="2" s="1"/>
  <c r="W1116" i="2"/>
  <c r="X1116" i="2" s="1"/>
  <c r="Z1116" i="2" s="1"/>
  <c r="W1117" i="2"/>
  <c r="X1117" i="2" s="1"/>
  <c r="Z1117" i="2" s="1"/>
  <c r="W1118" i="2"/>
  <c r="X1118" i="2" s="1"/>
  <c r="Z1118" i="2" s="1"/>
  <c r="W1119" i="2"/>
  <c r="X1119" i="2" s="1"/>
  <c r="Z1119" i="2" s="1"/>
  <c r="W1120" i="2"/>
  <c r="X1120" i="2" s="1"/>
  <c r="Z1120" i="2" s="1"/>
  <c r="W1121" i="2"/>
  <c r="X1121" i="2" s="1"/>
  <c r="Z1121" i="2" s="1"/>
  <c r="W1122" i="2"/>
  <c r="X1122" i="2" s="1"/>
  <c r="W1123" i="2"/>
  <c r="X1123" i="2" s="1"/>
  <c r="Z1123" i="2" s="1"/>
  <c r="W1124" i="2"/>
  <c r="X1124" i="2" s="1"/>
  <c r="W1125" i="2"/>
  <c r="X1125" i="2" s="1"/>
  <c r="Z1125" i="2" s="1"/>
  <c r="W1126" i="2"/>
  <c r="X1126" i="2" s="1"/>
  <c r="Z1126" i="2" s="1"/>
  <c r="W1127" i="2"/>
  <c r="X1127" i="2" s="1"/>
  <c r="Z1127" i="2" s="1"/>
  <c r="W1128" i="2"/>
  <c r="X1128" i="2" s="1"/>
  <c r="Z1128" i="2" s="1"/>
  <c r="W1129" i="2"/>
  <c r="X1129" i="2" s="1"/>
  <c r="Z1129" i="2" s="1"/>
  <c r="W1130" i="2"/>
  <c r="X1130" i="2" s="1"/>
  <c r="Z1130" i="2" s="1"/>
  <c r="W1131" i="2"/>
  <c r="X1131" i="2" s="1"/>
  <c r="Z1131" i="2" s="1"/>
  <c r="W1132" i="2"/>
  <c r="X1132" i="2" s="1"/>
  <c r="Z1132" i="2" s="1"/>
  <c r="W1133" i="2"/>
  <c r="X1133" i="2" s="1"/>
  <c r="Z1133" i="2" s="1"/>
  <c r="W1134" i="2"/>
  <c r="X1134" i="2" s="1"/>
  <c r="Z1134" i="2" s="1"/>
  <c r="W1135" i="2"/>
  <c r="X1135" i="2" s="1"/>
  <c r="Z1135" i="2" s="1"/>
  <c r="W1136" i="2"/>
  <c r="X1136" i="2" s="1"/>
  <c r="Z1136" i="2" s="1"/>
  <c r="W1137" i="2"/>
  <c r="X1137" i="2" s="1"/>
  <c r="Z1137" i="2" s="1"/>
  <c r="W1138" i="2"/>
  <c r="X1138" i="2" s="1"/>
  <c r="W1139" i="2"/>
  <c r="X1139" i="2" s="1"/>
  <c r="Z1139" i="2" s="1"/>
  <c r="W1140" i="2"/>
  <c r="X1140" i="2" s="1"/>
  <c r="Z1140" i="2" s="1"/>
  <c r="W1141" i="2"/>
  <c r="X1141" i="2" s="1"/>
  <c r="Z1141" i="2" s="1"/>
  <c r="W1142" i="2"/>
  <c r="X1142" i="2" s="1"/>
  <c r="Z1142" i="2" s="1"/>
  <c r="W1143" i="2"/>
  <c r="X1143" i="2" s="1"/>
  <c r="Z1143" i="2" s="1"/>
  <c r="W1144" i="2"/>
  <c r="X1144" i="2" s="1"/>
  <c r="Z1144" i="2" s="1"/>
  <c r="W1145" i="2"/>
  <c r="X1145" i="2" s="1"/>
  <c r="Z1145" i="2" s="1"/>
  <c r="W1146" i="2"/>
  <c r="X1146" i="2" s="1"/>
  <c r="Z1146" i="2" s="1"/>
  <c r="W1147" i="2"/>
  <c r="X1147" i="2" s="1"/>
  <c r="Z1147" i="2" s="1"/>
  <c r="W1148" i="2"/>
  <c r="X1148" i="2" s="1"/>
  <c r="Z1148" i="2" s="1"/>
  <c r="W1149" i="2"/>
  <c r="X1149" i="2" s="1"/>
  <c r="Z1149" i="2" s="1"/>
  <c r="W1150" i="2"/>
  <c r="X1150" i="2" s="1"/>
  <c r="W1151" i="2"/>
  <c r="X1151" i="2" s="1"/>
  <c r="Z1151" i="2" s="1"/>
  <c r="W1152" i="2"/>
  <c r="X1152" i="2" s="1"/>
  <c r="W1153" i="2"/>
  <c r="X1153" i="2" s="1"/>
  <c r="Z1153" i="2" s="1"/>
  <c r="W1154" i="2"/>
  <c r="X1154" i="2" s="1"/>
  <c r="Z1154" i="2" s="1"/>
  <c r="W1155" i="2"/>
  <c r="X1155" i="2" s="1"/>
  <c r="Z1155" i="2" s="1"/>
  <c r="W1156" i="2"/>
  <c r="X1156" i="2" s="1"/>
  <c r="Z1156" i="2" s="1"/>
  <c r="W1157" i="2"/>
  <c r="X1157" i="2" s="1"/>
  <c r="Z1157" i="2" s="1"/>
  <c r="W1158" i="2"/>
  <c r="X1158" i="2" s="1"/>
  <c r="Z1158" i="2" s="1"/>
  <c r="W1159" i="2"/>
  <c r="X1159" i="2" s="1"/>
  <c r="Z1159" i="2" s="1"/>
  <c r="W1160" i="2"/>
  <c r="X1160" i="2" s="1"/>
  <c r="Z1160" i="2" s="1"/>
  <c r="W1161" i="2"/>
  <c r="X1161" i="2" s="1"/>
  <c r="Z1161" i="2" s="1"/>
  <c r="W1162" i="2"/>
  <c r="X1162" i="2" s="1"/>
  <c r="Z1162" i="2" s="1"/>
  <c r="W1163" i="2"/>
  <c r="X1163" i="2" s="1"/>
  <c r="Z1163" i="2" s="1"/>
  <c r="W1164" i="2"/>
  <c r="X1164" i="2" s="1"/>
  <c r="Z1164" i="2" s="1"/>
  <c r="W1165" i="2"/>
  <c r="X1165" i="2" s="1"/>
  <c r="Z1165" i="2" s="1"/>
  <c r="W1166" i="2"/>
  <c r="X1166" i="2" s="1"/>
  <c r="W1167" i="2"/>
  <c r="X1167" i="2" s="1"/>
  <c r="Z1167" i="2" s="1"/>
  <c r="W1168" i="2"/>
  <c r="X1168" i="2" s="1"/>
  <c r="Z1168" i="2" s="1"/>
  <c r="W1169" i="2"/>
  <c r="X1169" i="2" s="1"/>
  <c r="Z1169" i="2" s="1"/>
  <c r="W1170" i="2"/>
  <c r="X1170" i="2" s="1"/>
  <c r="Z1170" i="2" s="1"/>
  <c r="W1171" i="2"/>
  <c r="X1171" i="2" s="1"/>
  <c r="Z1171" i="2" s="1"/>
  <c r="W1172" i="2"/>
  <c r="X1172" i="2" s="1"/>
  <c r="Z1172" i="2" s="1"/>
  <c r="W1173" i="2"/>
  <c r="X1173" i="2" s="1"/>
  <c r="Z1173" i="2" s="1"/>
  <c r="W1174" i="2"/>
  <c r="X1174" i="2" s="1"/>
  <c r="Z1174" i="2" s="1"/>
  <c r="W1175" i="2"/>
  <c r="X1175" i="2" s="1"/>
  <c r="Z1175" i="2" s="1"/>
  <c r="W1176" i="2"/>
  <c r="X1176" i="2" s="1"/>
  <c r="Z1176" i="2" s="1"/>
  <c r="W1177" i="2"/>
  <c r="X1177" i="2" s="1"/>
  <c r="Z1177" i="2" s="1"/>
  <c r="W1178" i="2"/>
  <c r="X1178" i="2" s="1"/>
  <c r="W1179" i="2"/>
  <c r="X1179" i="2" s="1"/>
  <c r="Z1179" i="2" s="1"/>
  <c r="W1180" i="2"/>
  <c r="X1180" i="2" s="1"/>
  <c r="Z1180" i="2" s="1"/>
  <c r="W1181" i="2"/>
  <c r="X1181" i="2" s="1"/>
  <c r="Z1181" i="2" s="1"/>
  <c r="W1182" i="2"/>
  <c r="X1182" i="2" s="1"/>
  <c r="Z1182" i="2" s="1"/>
  <c r="W1183" i="2"/>
  <c r="X1183" i="2" s="1"/>
  <c r="Z1183" i="2" s="1"/>
  <c r="W1184" i="2"/>
  <c r="X1184" i="2" s="1"/>
  <c r="Z1184" i="2" s="1"/>
  <c r="W1185" i="2"/>
  <c r="X1185" i="2" s="1"/>
  <c r="Z1185" i="2" s="1"/>
  <c r="W1186" i="2"/>
  <c r="X1186" i="2" s="1"/>
  <c r="Z1186" i="2" s="1"/>
  <c r="W1187" i="2"/>
  <c r="X1187" i="2" s="1"/>
  <c r="Z1187" i="2" s="1"/>
  <c r="W1188" i="2"/>
  <c r="X1188" i="2" s="1"/>
  <c r="Z1188" i="2" s="1"/>
  <c r="W1189" i="2"/>
  <c r="X1189" i="2" s="1"/>
  <c r="Z1189" i="2" s="1"/>
  <c r="W1190" i="2"/>
  <c r="X1190" i="2" s="1"/>
  <c r="Z1190" i="2" s="1"/>
  <c r="W1191" i="2"/>
  <c r="X1191" i="2" s="1"/>
  <c r="Z1191" i="2" s="1"/>
  <c r="W1192" i="2"/>
  <c r="X1192" i="2" s="1"/>
  <c r="Z1192" i="2" s="1"/>
  <c r="W1193" i="2"/>
  <c r="X1193" i="2" s="1"/>
  <c r="Z1193" i="2" s="1"/>
  <c r="W1194" i="2"/>
  <c r="X1194" i="2" s="1"/>
  <c r="W1195" i="2"/>
  <c r="X1195" i="2" s="1"/>
  <c r="Z1195" i="2" s="1"/>
  <c r="W1196" i="2"/>
  <c r="X1196" i="2" s="1"/>
  <c r="Z1196" i="2" s="1"/>
  <c r="W1197" i="2"/>
  <c r="X1197" i="2" s="1"/>
  <c r="Z1197" i="2" s="1"/>
  <c r="W1198" i="2"/>
  <c r="X1198" i="2" s="1"/>
  <c r="Z1198" i="2" s="1"/>
  <c r="W1199" i="2"/>
  <c r="X1199" i="2" s="1"/>
  <c r="Z1199" i="2" s="1"/>
  <c r="W1200" i="2"/>
  <c r="X1200" i="2" s="1"/>
  <c r="Z1200" i="2" s="1"/>
  <c r="W1201" i="2"/>
  <c r="X1201" i="2" s="1"/>
  <c r="Z1201" i="2" s="1"/>
  <c r="W1202" i="2"/>
  <c r="X1202" i="2" s="1"/>
  <c r="Z1202" i="2" s="1"/>
  <c r="W1203" i="2"/>
  <c r="X1203" i="2" s="1"/>
  <c r="Z1203" i="2" s="1"/>
  <c r="W1204" i="2"/>
  <c r="X1204" i="2" s="1"/>
  <c r="Z1204" i="2" s="1"/>
  <c r="W1205" i="2"/>
  <c r="X1205" i="2" s="1"/>
  <c r="Z1205" i="2" s="1"/>
  <c r="W1206" i="2"/>
  <c r="X1206" i="2" s="1"/>
  <c r="Z1206" i="2" s="1"/>
  <c r="W1207" i="2"/>
  <c r="X1207" i="2" s="1"/>
  <c r="Z1207" i="2" s="1"/>
  <c r="W1208" i="2"/>
  <c r="X1208" i="2" s="1"/>
  <c r="Z1208" i="2" s="1"/>
  <c r="W1209" i="2"/>
  <c r="X1209" i="2" s="1"/>
  <c r="Z1209" i="2" s="1"/>
  <c r="W1210" i="2"/>
  <c r="X1210" i="2" s="1"/>
  <c r="Z1210" i="2" s="1"/>
  <c r="W1211" i="2"/>
  <c r="X1211" i="2" s="1"/>
  <c r="Z1211" i="2" s="1"/>
  <c r="W1212" i="2"/>
  <c r="X1212" i="2" s="1"/>
  <c r="Z1212" i="2" s="1"/>
  <c r="W1213" i="2"/>
  <c r="X1213" i="2" s="1"/>
  <c r="Z1213" i="2" s="1"/>
  <c r="W1214" i="2"/>
  <c r="X1214" i="2" s="1"/>
  <c r="Z1214" i="2" s="1"/>
  <c r="W1215" i="2"/>
  <c r="X1215" i="2" s="1"/>
  <c r="Z1215" i="2" s="1"/>
  <c r="W1216" i="2"/>
  <c r="X1216" i="2" s="1"/>
  <c r="Z1216" i="2" s="1"/>
  <c r="W1217" i="2"/>
  <c r="X1217" i="2" s="1"/>
  <c r="Z1217" i="2" s="1"/>
  <c r="W1218" i="2"/>
  <c r="X1218" i="2" s="1"/>
  <c r="Z1218" i="2" s="1"/>
  <c r="W1219" i="2"/>
  <c r="X1219" i="2" s="1"/>
  <c r="Z1219" i="2" s="1"/>
  <c r="W1220" i="2"/>
  <c r="X1220" i="2" s="1"/>
  <c r="Z1220" i="2" s="1"/>
  <c r="W1221" i="2"/>
  <c r="X1221" i="2" s="1"/>
  <c r="Z1221" i="2" s="1"/>
  <c r="W1222" i="2"/>
  <c r="X1222" i="2" s="1"/>
  <c r="Z1222" i="2" s="1"/>
  <c r="W1223" i="2"/>
  <c r="X1223" i="2" s="1"/>
  <c r="Z1223" i="2" s="1"/>
  <c r="W1224" i="2"/>
  <c r="X1224" i="2" s="1"/>
  <c r="W1225" i="2"/>
  <c r="X1225" i="2" s="1"/>
  <c r="Z1225" i="2" s="1"/>
  <c r="W1226" i="2"/>
  <c r="X1226" i="2" s="1"/>
  <c r="Z1226" i="2" s="1"/>
  <c r="W1227" i="2"/>
  <c r="X1227" i="2" s="1"/>
  <c r="Z1227" i="2" s="1"/>
  <c r="W1228" i="2"/>
  <c r="X1228" i="2" s="1"/>
  <c r="Z1228" i="2" s="1"/>
  <c r="W1229" i="2"/>
  <c r="X1229" i="2" s="1"/>
  <c r="Z1229" i="2" s="1"/>
  <c r="W1230" i="2"/>
  <c r="X1230" i="2" s="1"/>
  <c r="Z1230" i="2" s="1"/>
  <c r="W1231" i="2"/>
  <c r="X1231" i="2" s="1"/>
  <c r="Z1231" i="2" s="1"/>
  <c r="W1232" i="2"/>
  <c r="X1232" i="2" s="1"/>
  <c r="Z1232" i="2" s="1"/>
  <c r="W1233" i="2"/>
  <c r="X1233" i="2" s="1"/>
  <c r="Z1233" i="2" s="1"/>
  <c r="W1234" i="2"/>
  <c r="X1234" i="2" s="1"/>
  <c r="Z1234" i="2" s="1"/>
  <c r="W1235" i="2"/>
  <c r="X1235" i="2" s="1"/>
  <c r="Z1235" i="2" s="1"/>
  <c r="W1236" i="2"/>
  <c r="X1236" i="2" s="1"/>
  <c r="Z1236" i="2" s="1"/>
  <c r="W1237" i="2"/>
  <c r="X1237" i="2" s="1"/>
  <c r="Z1237" i="2" s="1"/>
  <c r="W1238" i="2"/>
  <c r="X1238" i="2" s="1"/>
  <c r="Z1238" i="2" s="1"/>
  <c r="W1239" i="2"/>
  <c r="X1239" i="2" s="1"/>
  <c r="Z1239" i="2" s="1"/>
  <c r="W1240" i="2"/>
  <c r="X1240" i="2" s="1"/>
  <c r="Z1240" i="2" s="1"/>
  <c r="W1241" i="2"/>
  <c r="X1241" i="2" s="1"/>
  <c r="Z1241" i="2" s="1"/>
  <c r="W1242" i="2"/>
  <c r="X1242" i="2" s="1"/>
  <c r="Z1242" i="2" s="1"/>
  <c r="W1243" i="2"/>
  <c r="X1243" i="2" s="1"/>
  <c r="Z1243" i="2" s="1"/>
  <c r="W1244" i="2"/>
  <c r="X1244" i="2" s="1"/>
  <c r="Z1244" i="2" s="1"/>
  <c r="W1245" i="2"/>
  <c r="X1245" i="2" s="1"/>
  <c r="Z1245" i="2" s="1"/>
  <c r="W1246" i="2"/>
  <c r="X1246" i="2" s="1"/>
  <c r="Z1246" i="2" s="1"/>
  <c r="W1247" i="2"/>
  <c r="X1247" i="2" s="1"/>
  <c r="Z1247" i="2" s="1"/>
  <c r="W1248" i="2"/>
  <c r="X1248" i="2" s="1"/>
  <c r="Z1248" i="2" s="1"/>
  <c r="W1249" i="2"/>
  <c r="X1249" i="2" s="1"/>
  <c r="Z1249" i="2" s="1"/>
  <c r="W1250" i="2"/>
  <c r="X1250" i="2" s="1"/>
  <c r="W1251" i="2"/>
  <c r="X1251" i="2" s="1"/>
  <c r="Z1251" i="2" s="1"/>
  <c r="W1252" i="2"/>
  <c r="X1252" i="2" s="1"/>
  <c r="W1253" i="2"/>
  <c r="X1253" i="2" s="1"/>
  <c r="Z1253" i="2" s="1"/>
  <c r="W1254" i="2"/>
  <c r="X1254" i="2" s="1"/>
  <c r="Z1254" i="2" s="1"/>
  <c r="W1255" i="2"/>
  <c r="X1255" i="2" s="1"/>
  <c r="Z1255" i="2" s="1"/>
  <c r="W1256" i="2"/>
  <c r="X1256" i="2" s="1"/>
  <c r="Z1256" i="2" s="1"/>
  <c r="W1257" i="2"/>
  <c r="X1257" i="2" s="1"/>
  <c r="Z1257" i="2" s="1"/>
  <c r="W1258" i="2"/>
  <c r="X1258" i="2" s="1"/>
  <c r="Z1258" i="2" s="1"/>
  <c r="W1259" i="2"/>
  <c r="X1259" i="2" s="1"/>
  <c r="Z1259" i="2" s="1"/>
  <c r="W1260" i="2"/>
  <c r="X1260" i="2" s="1"/>
  <c r="Z1260" i="2" s="1"/>
  <c r="W1261" i="2"/>
  <c r="X1261" i="2" s="1"/>
  <c r="Z1261" i="2" s="1"/>
  <c r="W1262" i="2"/>
  <c r="X1262" i="2" s="1"/>
  <c r="Z1262" i="2" s="1"/>
  <c r="W1263" i="2"/>
  <c r="X1263" i="2" s="1"/>
  <c r="Z1263" i="2" s="1"/>
  <c r="W1264" i="2"/>
  <c r="X1264" i="2" s="1"/>
  <c r="Z1264" i="2" s="1"/>
  <c r="W1265" i="2"/>
  <c r="X1265" i="2" s="1"/>
  <c r="Z1265" i="2" s="1"/>
  <c r="W1266" i="2"/>
  <c r="X1266" i="2" s="1"/>
  <c r="W1267" i="2"/>
  <c r="X1267" i="2" s="1"/>
  <c r="Z1267" i="2" s="1"/>
  <c r="W1268" i="2"/>
  <c r="X1268" i="2" s="1"/>
  <c r="Z1268" i="2" s="1"/>
  <c r="W1269" i="2"/>
  <c r="X1269" i="2" s="1"/>
  <c r="Z1269" i="2" s="1"/>
  <c r="W1270" i="2"/>
  <c r="X1270" i="2" s="1"/>
  <c r="Z1270" i="2" s="1"/>
  <c r="W1271" i="2"/>
  <c r="X1271" i="2" s="1"/>
  <c r="Z1271" i="2" s="1"/>
  <c r="W1272" i="2"/>
  <c r="X1272" i="2" s="1"/>
  <c r="Z1272" i="2" s="1"/>
  <c r="W1273" i="2"/>
  <c r="X1273" i="2" s="1"/>
  <c r="Z1273" i="2" s="1"/>
  <c r="W1274" i="2"/>
  <c r="X1274" i="2" s="1"/>
  <c r="Z1274" i="2" s="1"/>
  <c r="W1275" i="2"/>
  <c r="X1275" i="2" s="1"/>
  <c r="Z1275" i="2" s="1"/>
  <c r="W1276" i="2"/>
  <c r="X1276" i="2" s="1"/>
  <c r="Z1276" i="2" s="1"/>
  <c r="W1277" i="2"/>
  <c r="X1277" i="2" s="1"/>
  <c r="Z1277" i="2" s="1"/>
  <c r="W1278" i="2"/>
  <c r="X1278" i="2" s="1"/>
  <c r="W1279" i="2"/>
  <c r="X1279" i="2" s="1"/>
  <c r="Z1279" i="2" s="1"/>
  <c r="W1280" i="2"/>
  <c r="X1280" i="2" s="1"/>
  <c r="W1281" i="2"/>
  <c r="X1281" i="2" s="1"/>
  <c r="Z1281" i="2" s="1"/>
  <c r="W1282" i="2"/>
  <c r="X1282" i="2" s="1"/>
  <c r="Z1282" i="2" s="1"/>
  <c r="W1283" i="2"/>
  <c r="X1283" i="2" s="1"/>
  <c r="Z1283" i="2" s="1"/>
  <c r="W1284" i="2"/>
  <c r="X1284" i="2" s="1"/>
  <c r="Z1284" i="2" s="1"/>
  <c r="W1285" i="2"/>
  <c r="X1285" i="2" s="1"/>
  <c r="Z1285" i="2" s="1"/>
  <c r="W1286" i="2"/>
  <c r="X1286" i="2" s="1"/>
  <c r="Z1286" i="2" s="1"/>
  <c r="W1287" i="2"/>
  <c r="X1287" i="2" s="1"/>
  <c r="Z1287" i="2" s="1"/>
  <c r="W1288" i="2"/>
  <c r="X1288" i="2" s="1"/>
  <c r="Z1288" i="2" s="1"/>
  <c r="W1289" i="2"/>
  <c r="X1289" i="2" s="1"/>
  <c r="Z1289" i="2" s="1"/>
  <c r="W1290" i="2"/>
  <c r="X1290" i="2" s="1"/>
  <c r="Z1290" i="2" s="1"/>
  <c r="W1291" i="2"/>
  <c r="X1291" i="2" s="1"/>
  <c r="Z1291" i="2" s="1"/>
  <c r="W1292" i="2"/>
  <c r="X1292" i="2" s="1"/>
  <c r="Z1292" i="2" s="1"/>
  <c r="W1293" i="2"/>
  <c r="X1293" i="2" s="1"/>
  <c r="Z1293" i="2" s="1"/>
  <c r="W1294" i="2"/>
  <c r="X1294" i="2" s="1"/>
  <c r="W1295" i="2"/>
  <c r="X1295" i="2" s="1"/>
  <c r="Z1295" i="2" s="1"/>
  <c r="W1296" i="2"/>
  <c r="X1296" i="2" s="1"/>
  <c r="Z1296" i="2" s="1"/>
  <c r="W1297" i="2"/>
  <c r="X1297" i="2" s="1"/>
  <c r="Z1297" i="2" s="1"/>
  <c r="W1298" i="2"/>
  <c r="X1298" i="2" s="1"/>
  <c r="Z1298" i="2" s="1"/>
  <c r="W1299" i="2"/>
  <c r="X1299" i="2" s="1"/>
  <c r="Z1299" i="2" s="1"/>
  <c r="W1300" i="2"/>
  <c r="X1300" i="2" s="1"/>
  <c r="Z1300" i="2" s="1"/>
  <c r="W1301" i="2"/>
  <c r="X1301" i="2" s="1"/>
  <c r="Z1301" i="2" s="1"/>
  <c r="W1302" i="2"/>
  <c r="X1302" i="2" s="1"/>
  <c r="Z1302" i="2" s="1"/>
  <c r="W1303" i="2"/>
  <c r="X1303" i="2" s="1"/>
  <c r="Z1303" i="2" s="1"/>
  <c r="W1304" i="2"/>
  <c r="X1304" i="2" s="1"/>
  <c r="Z1304" i="2" s="1"/>
  <c r="W1305" i="2"/>
  <c r="X1305" i="2" s="1"/>
  <c r="Z1305" i="2" s="1"/>
  <c r="W1306" i="2"/>
  <c r="X1306" i="2" s="1"/>
  <c r="W1307" i="2"/>
  <c r="X1307" i="2" s="1"/>
  <c r="Z1307" i="2" s="1"/>
  <c r="W1308" i="2"/>
  <c r="X1308" i="2" s="1"/>
  <c r="Z1308" i="2" s="1"/>
  <c r="W1309" i="2"/>
  <c r="X1309" i="2" s="1"/>
  <c r="Z1309" i="2" s="1"/>
  <c r="W1310" i="2"/>
  <c r="X1310" i="2" s="1"/>
  <c r="Z1310" i="2" s="1"/>
  <c r="W1311" i="2"/>
  <c r="X1311" i="2" s="1"/>
  <c r="Z1311" i="2" s="1"/>
  <c r="W1312" i="2"/>
  <c r="X1312" i="2" s="1"/>
  <c r="Z1312" i="2" s="1"/>
  <c r="W1313" i="2"/>
  <c r="X1313" i="2" s="1"/>
  <c r="Z1313" i="2" s="1"/>
  <c r="W1314" i="2"/>
  <c r="X1314" i="2" s="1"/>
  <c r="Z1314" i="2" s="1"/>
  <c r="W1315" i="2"/>
  <c r="X1315" i="2" s="1"/>
  <c r="Z1315" i="2" s="1"/>
  <c r="W1316" i="2"/>
  <c r="X1316" i="2" s="1"/>
  <c r="Z1316" i="2" s="1"/>
  <c r="W1317" i="2"/>
  <c r="X1317" i="2" s="1"/>
  <c r="Z1317" i="2" s="1"/>
  <c r="W1318" i="2"/>
  <c r="X1318" i="2" s="1"/>
  <c r="Z1318" i="2" s="1"/>
  <c r="W1319" i="2"/>
  <c r="X1319" i="2" s="1"/>
  <c r="Z1319" i="2" s="1"/>
  <c r="W1320" i="2"/>
  <c r="X1320" i="2" s="1"/>
  <c r="Z1320" i="2" s="1"/>
  <c r="W1321" i="2"/>
  <c r="X1321" i="2" s="1"/>
  <c r="Z1321" i="2" s="1"/>
  <c r="W1322" i="2"/>
  <c r="X1322" i="2" s="1"/>
  <c r="W1323" i="2"/>
  <c r="X1323" i="2" s="1"/>
  <c r="Z1323" i="2" s="1"/>
  <c r="W1324" i="2"/>
  <c r="X1324" i="2" s="1"/>
  <c r="Z1324" i="2" s="1"/>
  <c r="W1325" i="2"/>
  <c r="X1325" i="2" s="1"/>
  <c r="Z1325" i="2" s="1"/>
  <c r="W1326" i="2"/>
  <c r="X1326" i="2" s="1"/>
  <c r="Z1326" i="2" s="1"/>
  <c r="W1327" i="2"/>
  <c r="X1327" i="2" s="1"/>
  <c r="Z1327" i="2" s="1"/>
  <c r="W1328" i="2"/>
  <c r="X1328" i="2" s="1"/>
  <c r="Z1328" i="2" s="1"/>
  <c r="W1329" i="2"/>
  <c r="X1329" i="2" s="1"/>
  <c r="Z1329" i="2" s="1"/>
  <c r="W1330" i="2"/>
  <c r="W1331" i="2"/>
  <c r="X1331" i="2" s="1"/>
  <c r="Z1331" i="2" s="1"/>
  <c r="W1332" i="2"/>
  <c r="X1332" i="2" s="1"/>
  <c r="Z1332" i="2" s="1"/>
  <c r="W1333" i="2"/>
  <c r="X1333" i="2" s="1"/>
  <c r="Z1333" i="2" s="1"/>
  <c r="W1334" i="2"/>
  <c r="X1334" i="2" s="1"/>
  <c r="Z1334" i="2" s="1"/>
  <c r="W1335" i="2"/>
  <c r="X1335" i="2" s="1"/>
  <c r="Z1335" i="2" s="1"/>
  <c r="W1336" i="2"/>
  <c r="X1336" i="2" s="1"/>
  <c r="Z1336" i="2" s="1"/>
  <c r="W1337" i="2"/>
  <c r="X1337" i="2" s="1"/>
  <c r="Z1337" i="2" s="1"/>
  <c r="W1338" i="2"/>
  <c r="X1338" i="2" s="1"/>
  <c r="Z1338" i="2" s="1"/>
  <c r="W1339" i="2"/>
  <c r="X1339" i="2" s="1"/>
  <c r="Z1339" i="2" s="1"/>
  <c r="W1340" i="2"/>
  <c r="X1340" i="2" s="1"/>
  <c r="Z1340" i="2" s="1"/>
  <c r="W1341" i="2"/>
  <c r="X1341" i="2" s="1"/>
  <c r="Z1341" i="2" s="1"/>
  <c r="W1342" i="2"/>
  <c r="X1342" i="2" s="1"/>
  <c r="Z1342" i="2" s="1"/>
  <c r="W1343" i="2"/>
  <c r="X1343" i="2" s="1"/>
  <c r="Z1343" i="2" s="1"/>
  <c r="W1344" i="2"/>
  <c r="X1344" i="2" s="1"/>
  <c r="Z1344" i="2" s="1"/>
  <c r="W1345" i="2"/>
  <c r="X1345" i="2" s="1"/>
  <c r="Z1345" i="2" s="1"/>
  <c r="W1346" i="2"/>
  <c r="X1346" i="2" s="1"/>
  <c r="Z1346" i="2" s="1"/>
  <c r="W1347" i="2"/>
  <c r="X1347" i="2" s="1"/>
  <c r="Z1347" i="2" s="1"/>
  <c r="W1348" i="2"/>
  <c r="X1348" i="2" s="1"/>
  <c r="Z1348" i="2" s="1"/>
  <c r="W1349" i="2"/>
  <c r="X1349" i="2" s="1"/>
  <c r="Z1349" i="2" s="1"/>
  <c r="W1350" i="2"/>
  <c r="X1350" i="2" s="1"/>
  <c r="Z1350" i="2" s="1"/>
  <c r="W1351" i="2"/>
  <c r="X1351" i="2" s="1"/>
  <c r="Z1351" i="2" s="1"/>
  <c r="W1352" i="2"/>
  <c r="X1352" i="2" s="1"/>
  <c r="W1353" i="2"/>
  <c r="X1353" i="2" s="1"/>
  <c r="Z1353" i="2" s="1"/>
  <c r="W1354" i="2"/>
  <c r="X1354" i="2" s="1"/>
  <c r="Z1354" i="2" s="1"/>
  <c r="W1355" i="2"/>
  <c r="X1355" i="2" s="1"/>
  <c r="Z1355" i="2" s="1"/>
  <c r="W1356" i="2"/>
  <c r="X1356" i="2" s="1"/>
  <c r="Z1356" i="2" s="1"/>
  <c r="W1357" i="2"/>
  <c r="X1357" i="2" s="1"/>
  <c r="Z1357" i="2" s="1"/>
  <c r="W1358" i="2"/>
  <c r="X1358" i="2" s="1"/>
  <c r="Z1358" i="2" s="1"/>
  <c r="W1359" i="2"/>
  <c r="X1359" i="2" s="1"/>
  <c r="Z1359" i="2" s="1"/>
  <c r="W1360" i="2"/>
  <c r="X1360" i="2" s="1"/>
  <c r="Z1360" i="2" s="1"/>
  <c r="W1361" i="2"/>
  <c r="X1361" i="2" s="1"/>
  <c r="Z1361" i="2" s="1"/>
  <c r="W1362" i="2"/>
  <c r="X1362" i="2" s="1"/>
  <c r="Z1362" i="2" s="1"/>
  <c r="W1363" i="2"/>
  <c r="X1363" i="2" s="1"/>
  <c r="Z1363" i="2" s="1"/>
  <c r="W1364" i="2"/>
  <c r="X1364" i="2" s="1"/>
  <c r="Z1364" i="2" s="1"/>
  <c r="W1365" i="2"/>
  <c r="X1365" i="2" s="1"/>
  <c r="Z1365" i="2" s="1"/>
  <c r="W1366" i="2"/>
  <c r="X1366" i="2" s="1"/>
  <c r="Z1366" i="2" s="1"/>
  <c r="W1367" i="2"/>
  <c r="X1367" i="2" s="1"/>
  <c r="Z1367" i="2" s="1"/>
  <c r="W1368" i="2"/>
  <c r="X1368" i="2" s="1"/>
  <c r="Z1368" i="2" s="1"/>
  <c r="W1369" i="2"/>
  <c r="X1369" i="2" s="1"/>
  <c r="Z1369" i="2" s="1"/>
  <c r="W1370" i="2"/>
  <c r="X1370" i="2" s="1"/>
  <c r="Z1370" i="2" s="1"/>
  <c r="W1371" i="2"/>
  <c r="X1371" i="2" s="1"/>
  <c r="Z1371" i="2" s="1"/>
  <c r="W1372" i="2"/>
  <c r="X1372" i="2" s="1"/>
  <c r="Z1372" i="2" s="1"/>
  <c r="W1373" i="2"/>
  <c r="X1373" i="2" s="1"/>
  <c r="Z1373" i="2" s="1"/>
  <c r="W1374" i="2"/>
  <c r="X1374" i="2" s="1"/>
  <c r="Z1374" i="2" s="1"/>
  <c r="W1375" i="2"/>
  <c r="X1375" i="2" s="1"/>
  <c r="Z1375" i="2" s="1"/>
  <c r="W1376" i="2"/>
  <c r="X1376" i="2" s="1"/>
  <c r="Z1376" i="2" s="1"/>
  <c r="W1377" i="2"/>
  <c r="X1377" i="2" s="1"/>
  <c r="Z1377" i="2" s="1"/>
  <c r="W1378" i="2"/>
  <c r="X1378" i="2" s="1"/>
  <c r="W1379" i="2"/>
  <c r="X1379" i="2" s="1"/>
  <c r="Z1379" i="2" s="1"/>
  <c r="W1380" i="2"/>
  <c r="X1380" i="2" s="1"/>
  <c r="W1381" i="2"/>
  <c r="X1381" i="2" s="1"/>
  <c r="Z1381" i="2" s="1"/>
  <c r="W1382" i="2"/>
  <c r="X1382" i="2" s="1"/>
  <c r="Z1382" i="2" s="1"/>
  <c r="W1383" i="2"/>
  <c r="X1383" i="2" s="1"/>
  <c r="Z1383" i="2" s="1"/>
  <c r="W1384" i="2"/>
  <c r="X1384" i="2" s="1"/>
  <c r="Z1384" i="2" s="1"/>
  <c r="W1385" i="2"/>
  <c r="X1385" i="2" s="1"/>
  <c r="Z1385" i="2" s="1"/>
  <c r="W1386" i="2"/>
  <c r="X1386" i="2" s="1"/>
  <c r="Z1386" i="2" s="1"/>
  <c r="W1387" i="2"/>
  <c r="X1387" i="2" s="1"/>
  <c r="Z1387" i="2" s="1"/>
  <c r="W1388" i="2"/>
  <c r="X1388" i="2" s="1"/>
  <c r="Z1388" i="2" s="1"/>
  <c r="W1389" i="2"/>
  <c r="X1389" i="2" s="1"/>
  <c r="Z1389" i="2" s="1"/>
  <c r="W1390" i="2"/>
  <c r="X1390" i="2" s="1"/>
  <c r="Z1390" i="2" s="1"/>
  <c r="W1391" i="2"/>
  <c r="X1391" i="2" s="1"/>
  <c r="Z1391" i="2" s="1"/>
  <c r="W1392" i="2"/>
  <c r="X1392" i="2" s="1"/>
  <c r="Z1392" i="2" s="1"/>
  <c r="W1393" i="2"/>
  <c r="X1393" i="2" s="1"/>
  <c r="Z1393" i="2" s="1"/>
  <c r="W1394" i="2"/>
  <c r="X1394" i="2" s="1"/>
  <c r="W1395" i="2"/>
  <c r="X1395" i="2" s="1"/>
  <c r="Z1395" i="2" s="1"/>
  <c r="W1396" i="2"/>
  <c r="X1396" i="2" s="1"/>
  <c r="Z1396" i="2" s="1"/>
  <c r="W1397" i="2"/>
  <c r="X1397" i="2" s="1"/>
  <c r="Z1397" i="2" s="1"/>
  <c r="W1398" i="2"/>
  <c r="X1398" i="2" s="1"/>
  <c r="Z1398" i="2" s="1"/>
  <c r="W1399" i="2"/>
  <c r="X1399" i="2" s="1"/>
  <c r="Z1399" i="2" s="1"/>
  <c r="W1400" i="2"/>
  <c r="X1400" i="2" s="1"/>
  <c r="Z1400" i="2" s="1"/>
  <c r="W1401" i="2"/>
  <c r="X1401" i="2" s="1"/>
  <c r="Z1401" i="2" s="1"/>
  <c r="W1402" i="2"/>
  <c r="X1402" i="2" s="1"/>
  <c r="Z1402" i="2" s="1"/>
  <c r="W1403" i="2"/>
  <c r="X1403" i="2" s="1"/>
  <c r="Z1403" i="2" s="1"/>
  <c r="W1404" i="2"/>
  <c r="X1404" i="2" s="1"/>
  <c r="Z1404" i="2" s="1"/>
  <c r="W1405" i="2"/>
  <c r="X1405" i="2" s="1"/>
  <c r="Z1405" i="2" s="1"/>
  <c r="W1406" i="2"/>
  <c r="X1406" i="2" s="1"/>
  <c r="W1407" i="2"/>
  <c r="X1407" i="2" s="1"/>
  <c r="Z1407" i="2" s="1"/>
  <c r="W1408" i="2"/>
  <c r="X1408" i="2" s="1"/>
  <c r="W1409" i="2"/>
  <c r="X1409" i="2" s="1"/>
  <c r="Z1409" i="2" s="1"/>
  <c r="W1410" i="2"/>
  <c r="X1410" i="2" s="1"/>
  <c r="Z1410" i="2" s="1"/>
  <c r="W1411" i="2"/>
  <c r="X1411" i="2" s="1"/>
  <c r="Z1411" i="2" s="1"/>
  <c r="W1412" i="2"/>
  <c r="X1412" i="2" s="1"/>
  <c r="Z1412" i="2" s="1"/>
  <c r="W1413" i="2"/>
  <c r="X1413" i="2" s="1"/>
  <c r="Z1413" i="2" s="1"/>
  <c r="W1414" i="2"/>
  <c r="X1414" i="2" s="1"/>
  <c r="Z1414" i="2" s="1"/>
  <c r="W1415" i="2"/>
  <c r="X1415" i="2" s="1"/>
  <c r="Z1415" i="2" s="1"/>
  <c r="W1416" i="2"/>
  <c r="X1416" i="2" s="1"/>
  <c r="Z1416" i="2" s="1"/>
  <c r="W1417" i="2"/>
  <c r="X1417" i="2" s="1"/>
  <c r="Z1417" i="2" s="1"/>
  <c r="W1418" i="2"/>
  <c r="X1418" i="2" s="1"/>
  <c r="Z1418" i="2" s="1"/>
  <c r="W1419" i="2"/>
  <c r="X1419" i="2" s="1"/>
  <c r="Z1419" i="2" s="1"/>
  <c r="W1420" i="2"/>
  <c r="X1420" i="2" s="1"/>
  <c r="Z1420" i="2" s="1"/>
  <c r="W1421" i="2"/>
  <c r="X1421" i="2" s="1"/>
  <c r="Z1421" i="2" s="1"/>
  <c r="W1422" i="2"/>
  <c r="X1422" i="2" s="1"/>
  <c r="W1423" i="2"/>
  <c r="X1423" i="2" s="1"/>
  <c r="Z1423" i="2" s="1"/>
  <c r="W1424" i="2"/>
  <c r="X1424" i="2" s="1"/>
  <c r="Z1424" i="2" s="1"/>
  <c r="W1425" i="2"/>
  <c r="X1425" i="2" s="1"/>
  <c r="Z1425" i="2" s="1"/>
  <c r="W1426" i="2"/>
  <c r="X1426" i="2" s="1"/>
  <c r="Z1426" i="2" s="1"/>
  <c r="W1427" i="2"/>
  <c r="X1427" i="2" s="1"/>
  <c r="Z1427" i="2" s="1"/>
  <c r="W1428" i="2"/>
  <c r="X1428" i="2" s="1"/>
  <c r="Z1428" i="2" s="1"/>
  <c r="W1429" i="2"/>
  <c r="X1429" i="2" s="1"/>
  <c r="Z1429" i="2" s="1"/>
  <c r="W1430" i="2"/>
  <c r="X1430" i="2" s="1"/>
  <c r="Z1430" i="2" s="1"/>
  <c r="W1431" i="2"/>
  <c r="X1431" i="2" s="1"/>
  <c r="Z1431" i="2" s="1"/>
  <c r="W1432" i="2"/>
  <c r="X1432" i="2" s="1"/>
  <c r="Z1432" i="2" s="1"/>
  <c r="W1433" i="2"/>
  <c r="X1433" i="2" s="1"/>
  <c r="Z1433" i="2" s="1"/>
  <c r="W1434" i="2"/>
  <c r="X1434" i="2" s="1"/>
  <c r="W1435" i="2"/>
  <c r="X1435" i="2" s="1"/>
  <c r="Z1435" i="2" s="1"/>
  <c r="W1436" i="2"/>
  <c r="X1436" i="2" s="1"/>
  <c r="Z1436" i="2" s="1"/>
  <c r="W1437" i="2"/>
  <c r="X1437" i="2" s="1"/>
  <c r="Z1437" i="2" s="1"/>
  <c r="W1438" i="2"/>
  <c r="X1438" i="2" s="1"/>
  <c r="Z1438" i="2" s="1"/>
  <c r="W1439" i="2"/>
  <c r="X1439" i="2" s="1"/>
  <c r="Z1439" i="2" s="1"/>
  <c r="W1440" i="2"/>
  <c r="X1440" i="2" s="1"/>
  <c r="Z1440" i="2" s="1"/>
  <c r="W1441" i="2"/>
  <c r="X1441" i="2" s="1"/>
  <c r="Z1441" i="2" s="1"/>
  <c r="W1442" i="2"/>
  <c r="X1442" i="2" s="1"/>
  <c r="Z1442" i="2" s="1"/>
  <c r="W1443" i="2"/>
  <c r="X1443" i="2" s="1"/>
  <c r="Z1443" i="2" s="1"/>
  <c r="W1444" i="2"/>
  <c r="X1444" i="2" s="1"/>
  <c r="Z1444" i="2" s="1"/>
  <c r="W1445" i="2"/>
  <c r="X1445" i="2" s="1"/>
  <c r="Z1445" i="2" s="1"/>
  <c r="W1446" i="2"/>
  <c r="X1446" i="2" s="1"/>
  <c r="Z1446" i="2" s="1"/>
  <c r="W1447" i="2"/>
  <c r="X1447" i="2" s="1"/>
  <c r="Z1447" i="2" s="1"/>
  <c r="W1448" i="2"/>
  <c r="X1448" i="2" s="1"/>
  <c r="Z1448" i="2" s="1"/>
  <c r="W1449" i="2"/>
  <c r="X1449" i="2" s="1"/>
  <c r="Z1449" i="2" s="1"/>
  <c r="W1450" i="2"/>
  <c r="X1450" i="2" s="1"/>
  <c r="W1451" i="2"/>
  <c r="X1451" i="2" s="1"/>
  <c r="Z1451" i="2" s="1"/>
  <c r="W1452" i="2"/>
  <c r="X1452" i="2" s="1"/>
  <c r="Z1452" i="2" s="1"/>
  <c r="W1453" i="2"/>
  <c r="X1453" i="2" s="1"/>
  <c r="Z1453" i="2" s="1"/>
  <c r="W1454" i="2"/>
  <c r="X1454" i="2" s="1"/>
  <c r="Z1454" i="2" s="1"/>
  <c r="W1455" i="2"/>
  <c r="X1455" i="2" s="1"/>
  <c r="Z1455" i="2" s="1"/>
  <c r="W1456" i="2"/>
  <c r="X1456" i="2" s="1"/>
  <c r="Z1456" i="2" s="1"/>
  <c r="W1457" i="2"/>
  <c r="X1457" i="2" s="1"/>
  <c r="Z1457" i="2" s="1"/>
  <c r="W1458" i="2"/>
  <c r="X1458" i="2" s="1"/>
  <c r="Z1458" i="2" s="1"/>
  <c r="W1459" i="2"/>
  <c r="X1459" i="2" s="1"/>
  <c r="Z1459" i="2" s="1"/>
  <c r="W1460" i="2"/>
  <c r="X1460" i="2" s="1"/>
  <c r="Z1460" i="2" s="1"/>
  <c r="W1461" i="2"/>
  <c r="X1461" i="2" s="1"/>
  <c r="Z1461" i="2" s="1"/>
  <c r="W1462" i="2"/>
  <c r="X1462" i="2" s="1"/>
  <c r="Z1462" i="2" s="1"/>
  <c r="W1463" i="2"/>
  <c r="X1463" i="2" s="1"/>
  <c r="Z1463" i="2" s="1"/>
  <c r="W1464" i="2"/>
  <c r="X1464" i="2" s="1"/>
  <c r="Z1464" i="2" s="1"/>
  <c r="W1465" i="2"/>
  <c r="X1465" i="2" s="1"/>
  <c r="Z1465" i="2" s="1"/>
  <c r="W1466" i="2"/>
  <c r="X1466" i="2" s="1"/>
  <c r="Z1466" i="2" s="1"/>
  <c r="W1467" i="2"/>
  <c r="X1467" i="2" s="1"/>
  <c r="Z1467" i="2" s="1"/>
  <c r="W1468" i="2"/>
  <c r="X1468" i="2" s="1"/>
  <c r="Z1468" i="2" s="1"/>
  <c r="W1469" i="2"/>
  <c r="X1469" i="2" s="1"/>
  <c r="Z1469" i="2" s="1"/>
  <c r="W1470" i="2"/>
  <c r="X1470" i="2" s="1"/>
  <c r="Z1470" i="2" s="1"/>
  <c r="W1471" i="2"/>
  <c r="X1471" i="2" s="1"/>
  <c r="Z1471" i="2" s="1"/>
  <c r="W1472" i="2"/>
  <c r="X1472" i="2" s="1"/>
  <c r="Z1472" i="2" s="1"/>
  <c r="W1473" i="2"/>
  <c r="X1473" i="2" s="1"/>
  <c r="Z1473" i="2" s="1"/>
  <c r="W1474" i="2"/>
  <c r="X1474" i="2" s="1"/>
  <c r="Z1474" i="2" s="1"/>
  <c r="W1475" i="2"/>
  <c r="X1475" i="2" s="1"/>
  <c r="Z1475" i="2" s="1"/>
  <c r="W1476" i="2"/>
  <c r="X1476" i="2" s="1"/>
  <c r="Z1476" i="2" s="1"/>
  <c r="W1477" i="2"/>
  <c r="X1477" i="2" s="1"/>
  <c r="Z1477" i="2" s="1"/>
  <c r="W1478" i="2"/>
  <c r="X1478" i="2" s="1"/>
  <c r="Z1478" i="2" s="1"/>
  <c r="W1479" i="2"/>
  <c r="X1479" i="2" s="1"/>
  <c r="Z1479" i="2" s="1"/>
  <c r="W1480" i="2"/>
  <c r="X1480" i="2" s="1"/>
  <c r="W1481" i="2"/>
  <c r="X1481" i="2" s="1"/>
  <c r="Z1481" i="2" s="1"/>
  <c r="W1482" i="2"/>
  <c r="X1482" i="2" s="1"/>
  <c r="Z1482" i="2" s="1"/>
  <c r="W1483" i="2"/>
  <c r="X1483" i="2" s="1"/>
  <c r="Z1483" i="2" s="1"/>
  <c r="W1484" i="2"/>
  <c r="X1484" i="2" s="1"/>
  <c r="Z1484" i="2" s="1"/>
  <c r="W1485" i="2"/>
  <c r="X1485" i="2" s="1"/>
  <c r="Z1485" i="2" s="1"/>
  <c r="W1486" i="2"/>
  <c r="X1486" i="2" s="1"/>
  <c r="Z1486" i="2" s="1"/>
  <c r="W1487" i="2"/>
  <c r="X1487" i="2" s="1"/>
  <c r="Z1487" i="2" s="1"/>
  <c r="W1488" i="2"/>
  <c r="X1488" i="2" s="1"/>
  <c r="Z1488" i="2" s="1"/>
  <c r="W1489" i="2"/>
  <c r="X1489" i="2" s="1"/>
  <c r="Z1489" i="2" s="1"/>
  <c r="W1490" i="2"/>
  <c r="X1490" i="2" s="1"/>
  <c r="Z1490" i="2" s="1"/>
  <c r="W1491" i="2"/>
  <c r="X1491" i="2" s="1"/>
  <c r="Z1491" i="2" s="1"/>
  <c r="W1492" i="2"/>
  <c r="X1492" i="2" s="1"/>
  <c r="Z1492" i="2" s="1"/>
  <c r="W1493" i="2"/>
  <c r="X1493" i="2" s="1"/>
  <c r="Z1493" i="2" s="1"/>
  <c r="W1494" i="2"/>
  <c r="X1494" i="2" s="1"/>
  <c r="Z1494" i="2" s="1"/>
  <c r="W1495" i="2"/>
  <c r="X1495" i="2" s="1"/>
  <c r="Z1495" i="2" s="1"/>
  <c r="W1496" i="2"/>
  <c r="X1496" i="2" s="1"/>
  <c r="Z1496" i="2" s="1"/>
  <c r="W1497" i="2"/>
  <c r="X1497" i="2" s="1"/>
  <c r="Z1497" i="2" s="1"/>
  <c r="W1498" i="2"/>
  <c r="X1498" i="2" s="1"/>
  <c r="Z1498" i="2" s="1"/>
  <c r="W1499" i="2"/>
  <c r="X1499" i="2" s="1"/>
  <c r="Z1499" i="2" s="1"/>
  <c r="W1500" i="2"/>
  <c r="X1500" i="2" s="1"/>
  <c r="Z1500" i="2" s="1"/>
  <c r="W1501" i="2"/>
  <c r="X1501" i="2" s="1"/>
  <c r="Z1501" i="2" s="1"/>
  <c r="W1502" i="2"/>
  <c r="X1502" i="2" s="1"/>
  <c r="Z1502" i="2" s="1"/>
  <c r="W1503" i="2"/>
  <c r="X1503" i="2" s="1"/>
  <c r="Z1503" i="2" s="1"/>
  <c r="W1504" i="2"/>
  <c r="X1504" i="2" s="1"/>
  <c r="Z1504" i="2" s="1"/>
  <c r="W1505" i="2"/>
  <c r="X1505" i="2" s="1"/>
  <c r="Z1505" i="2" s="1"/>
  <c r="W1506" i="2"/>
  <c r="X1506" i="2" s="1"/>
  <c r="W1507" i="2"/>
  <c r="X1507" i="2" s="1"/>
  <c r="Z1507" i="2" s="1"/>
  <c r="W1508" i="2"/>
  <c r="X1508" i="2" s="1"/>
  <c r="W1509" i="2"/>
  <c r="X1509" i="2" s="1"/>
  <c r="Z1509" i="2" s="1"/>
  <c r="W1510" i="2"/>
  <c r="X1510" i="2" s="1"/>
  <c r="Z1510" i="2" s="1"/>
  <c r="W1511" i="2"/>
  <c r="X1511" i="2" s="1"/>
  <c r="Z1511" i="2" s="1"/>
  <c r="W1512" i="2"/>
  <c r="X1512" i="2" s="1"/>
  <c r="Z1512" i="2" s="1"/>
  <c r="W1513" i="2"/>
  <c r="X1513" i="2" s="1"/>
  <c r="Z1513" i="2" s="1"/>
  <c r="W1514" i="2"/>
  <c r="X1514" i="2" s="1"/>
  <c r="Z1514" i="2" s="1"/>
  <c r="W1515" i="2"/>
  <c r="X1515" i="2" s="1"/>
  <c r="Z1515" i="2" s="1"/>
  <c r="W1516" i="2"/>
  <c r="X1516" i="2" s="1"/>
  <c r="Z1516" i="2" s="1"/>
  <c r="W1517" i="2"/>
  <c r="X1517" i="2" s="1"/>
  <c r="Z1517" i="2" s="1"/>
  <c r="W1518" i="2"/>
  <c r="X1518" i="2" s="1"/>
  <c r="Z1518" i="2" s="1"/>
  <c r="W1519" i="2"/>
  <c r="X1519" i="2" s="1"/>
  <c r="Z1519" i="2" s="1"/>
  <c r="W1520" i="2"/>
  <c r="X1520" i="2" s="1"/>
  <c r="Z1520" i="2" s="1"/>
  <c r="W1521" i="2"/>
  <c r="X1521" i="2" s="1"/>
  <c r="Z1521" i="2" s="1"/>
  <c r="W1522" i="2"/>
  <c r="X1522" i="2" s="1"/>
  <c r="W1523" i="2"/>
  <c r="X1523" i="2" s="1"/>
  <c r="Z1523" i="2" s="1"/>
  <c r="W1524" i="2"/>
  <c r="X1524" i="2" s="1"/>
  <c r="Z1524" i="2" s="1"/>
  <c r="W1525" i="2"/>
  <c r="X1525" i="2" s="1"/>
  <c r="Z1525" i="2" s="1"/>
  <c r="W1526" i="2"/>
  <c r="X1526" i="2" s="1"/>
  <c r="Z1526" i="2" s="1"/>
  <c r="W1527" i="2"/>
  <c r="X1527" i="2" s="1"/>
  <c r="Z1527" i="2" s="1"/>
  <c r="W1528" i="2"/>
  <c r="X1528" i="2" s="1"/>
  <c r="Z1528" i="2" s="1"/>
  <c r="W1529" i="2"/>
  <c r="X1529" i="2" s="1"/>
  <c r="Z1529" i="2" s="1"/>
  <c r="W1530" i="2"/>
  <c r="X1530" i="2" s="1"/>
  <c r="Z1530" i="2" s="1"/>
  <c r="W1531" i="2"/>
  <c r="X1531" i="2" s="1"/>
  <c r="Z1531" i="2" s="1"/>
  <c r="W1532" i="2"/>
  <c r="X1532" i="2" s="1"/>
  <c r="Z1532" i="2" s="1"/>
  <c r="W1533" i="2"/>
  <c r="X1533" i="2" s="1"/>
  <c r="Z1533" i="2" s="1"/>
  <c r="W1534" i="2"/>
  <c r="X1534" i="2" s="1"/>
  <c r="W1535" i="2"/>
  <c r="X1535" i="2" s="1"/>
  <c r="Z1535" i="2" s="1"/>
  <c r="W1536" i="2"/>
  <c r="X1536" i="2" s="1"/>
  <c r="W1537" i="2"/>
  <c r="X1537" i="2" s="1"/>
  <c r="Z1537" i="2" s="1"/>
  <c r="W1538" i="2"/>
  <c r="X1538" i="2" s="1"/>
  <c r="Z1538" i="2" s="1"/>
  <c r="W1539" i="2"/>
  <c r="X1539" i="2" s="1"/>
  <c r="Z1539" i="2" s="1"/>
  <c r="W1540" i="2"/>
  <c r="X1540" i="2" s="1"/>
  <c r="Z1540" i="2" s="1"/>
  <c r="W1541" i="2"/>
  <c r="X1541" i="2" s="1"/>
  <c r="Z1541" i="2" s="1"/>
  <c r="W1542" i="2"/>
  <c r="X1542" i="2" s="1"/>
  <c r="Z1542" i="2" s="1"/>
  <c r="W1543" i="2"/>
  <c r="X1543" i="2" s="1"/>
  <c r="Z1543" i="2" s="1"/>
  <c r="W1544" i="2"/>
  <c r="X1544" i="2" s="1"/>
  <c r="Z1544" i="2" s="1"/>
  <c r="W1545" i="2"/>
  <c r="X1545" i="2" s="1"/>
  <c r="Z1545" i="2" s="1"/>
  <c r="W1546" i="2"/>
  <c r="X1546" i="2" s="1"/>
  <c r="Z1546" i="2" s="1"/>
  <c r="W1547" i="2"/>
  <c r="X1547" i="2" s="1"/>
  <c r="Z1547" i="2" s="1"/>
  <c r="W1548" i="2"/>
  <c r="X1548" i="2" s="1"/>
  <c r="Z1548" i="2" s="1"/>
  <c r="W1549" i="2"/>
  <c r="X1549" i="2" s="1"/>
  <c r="Z1549" i="2" s="1"/>
  <c r="W1550" i="2"/>
  <c r="X1550" i="2" s="1"/>
  <c r="W1551" i="2"/>
  <c r="X1551" i="2" s="1"/>
  <c r="Z1551" i="2" s="1"/>
  <c r="W1552" i="2"/>
  <c r="X1552" i="2" s="1"/>
  <c r="Z1552" i="2" s="1"/>
  <c r="W1553" i="2"/>
  <c r="X1553" i="2" s="1"/>
  <c r="Z1553" i="2" s="1"/>
  <c r="W1554" i="2"/>
  <c r="X1554" i="2" s="1"/>
  <c r="Z1554" i="2" s="1"/>
  <c r="W1555" i="2"/>
  <c r="X1555" i="2" s="1"/>
  <c r="Z1555" i="2" s="1"/>
  <c r="W1556" i="2"/>
  <c r="X1556" i="2" s="1"/>
  <c r="Z1556" i="2" s="1"/>
  <c r="W1557" i="2"/>
  <c r="X1557" i="2" s="1"/>
  <c r="Z1557" i="2" s="1"/>
  <c r="W1558" i="2"/>
  <c r="X1558" i="2" s="1"/>
  <c r="Z1558" i="2" s="1"/>
  <c r="W1559" i="2"/>
  <c r="X1559" i="2" s="1"/>
  <c r="Z1559" i="2" s="1"/>
  <c r="W1560" i="2"/>
  <c r="X1560" i="2" s="1"/>
  <c r="Z1560" i="2" s="1"/>
  <c r="W1561" i="2"/>
  <c r="X1561" i="2" s="1"/>
  <c r="Z1561" i="2" s="1"/>
  <c r="W1562" i="2"/>
  <c r="X1562" i="2" s="1"/>
  <c r="W1563" i="2"/>
  <c r="X1563" i="2" s="1"/>
  <c r="Z1563" i="2" s="1"/>
  <c r="W1564" i="2"/>
  <c r="X1564" i="2" s="1"/>
  <c r="Z1564" i="2" s="1"/>
  <c r="W1565" i="2"/>
  <c r="X1565" i="2" s="1"/>
  <c r="Z1565" i="2" s="1"/>
  <c r="W1566" i="2"/>
  <c r="X1566" i="2" s="1"/>
  <c r="Z1566" i="2" s="1"/>
  <c r="W1567" i="2"/>
  <c r="X1567" i="2" s="1"/>
  <c r="Z1567" i="2" s="1"/>
  <c r="W1568" i="2"/>
  <c r="X1568" i="2" s="1"/>
  <c r="Z1568" i="2" s="1"/>
  <c r="W1569" i="2"/>
  <c r="X1569" i="2" s="1"/>
  <c r="Z1569" i="2" s="1"/>
  <c r="W1570" i="2"/>
  <c r="X1570" i="2" s="1"/>
  <c r="Z1570" i="2" s="1"/>
  <c r="W1571" i="2"/>
  <c r="X1571" i="2" s="1"/>
  <c r="Z1571" i="2" s="1"/>
  <c r="W1572" i="2"/>
  <c r="X1572" i="2" s="1"/>
  <c r="Z1572" i="2" s="1"/>
  <c r="W1573" i="2"/>
  <c r="X1573" i="2" s="1"/>
  <c r="Z1573" i="2" s="1"/>
  <c r="W1574" i="2"/>
  <c r="X1574" i="2" s="1"/>
  <c r="Z1574" i="2" s="1"/>
  <c r="W1575" i="2"/>
  <c r="X1575" i="2" s="1"/>
  <c r="Z1575" i="2" s="1"/>
  <c r="W1576" i="2"/>
  <c r="X1576" i="2" s="1"/>
  <c r="Z1576" i="2" s="1"/>
  <c r="W1577" i="2"/>
  <c r="X1577" i="2" s="1"/>
  <c r="Z1577" i="2" s="1"/>
  <c r="W1578" i="2"/>
  <c r="X1578" i="2" s="1"/>
  <c r="W1579" i="2"/>
  <c r="X1579" i="2" s="1"/>
  <c r="Z1579" i="2" s="1"/>
  <c r="W1580" i="2"/>
  <c r="X1580" i="2" s="1"/>
  <c r="Z1580" i="2" s="1"/>
  <c r="W1581" i="2"/>
  <c r="X1581" i="2" s="1"/>
  <c r="Z1581" i="2" s="1"/>
  <c r="W1582" i="2"/>
  <c r="X1582" i="2" s="1"/>
  <c r="Z1582" i="2" s="1"/>
  <c r="W1583" i="2"/>
  <c r="X1583" i="2" s="1"/>
  <c r="Z1583" i="2" s="1"/>
  <c r="W1584" i="2"/>
  <c r="X1584" i="2" s="1"/>
  <c r="Z1584" i="2" s="1"/>
  <c r="W1585" i="2"/>
  <c r="X1585" i="2" s="1"/>
  <c r="Z1585" i="2" s="1"/>
  <c r="W1586" i="2"/>
  <c r="X1586" i="2" s="1"/>
  <c r="Z1586" i="2" s="1"/>
  <c r="W1587" i="2"/>
  <c r="X1587" i="2" s="1"/>
  <c r="Z1587" i="2" s="1"/>
  <c r="W1588" i="2"/>
  <c r="X1588" i="2" s="1"/>
  <c r="Z1588" i="2" s="1"/>
  <c r="W1589" i="2"/>
  <c r="X1589" i="2" s="1"/>
  <c r="Z1589" i="2" s="1"/>
  <c r="W1590" i="2"/>
  <c r="X1590" i="2" s="1"/>
  <c r="Z1590" i="2" s="1"/>
  <c r="W1591" i="2"/>
  <c r="X1591" i="2" s="1"/>
  <c r="Z1591" i="2" s="1"/>
  <c r="W1592" i="2"/>
  <c r="X1592" i="2" s="1"/>
  <c r="Z1592" i="2" s="1"/>
  <c r="W1593" i="2"/>
  <c r="X1593" i="2" s="1"/>
  <c r="Z1593" i="2" s="1"/>
  <c r="W1594" i="2"/>
  <c r="X1594" i="2" s="1"/>
  <c r="Z1594" i="2" s="1"/>
  <c r="W1595" i="2"/>
  <c r="X1595" i="2" s="1"/>
  <c r="Z1595" i="2" s="1"/>
  <c r="W1596" i="2"/>
  <c r="X1596" i="2" s="1"/>
  <c r="Z1596" i="2" s="1"/>
  <c r="W1597" i="2"/>
  <c r="X1597" i="2" s="1"/>
  <c r="Z1597" i="2" s="1"/>
  <c r="W1598" i="2"/>
  <c r="X1598" i="2" s="1"/>
  <c r="Z1598" i="2" s="1"/>
  <c r="W1599" i="2"/>
  <c r="X1599" i="2" s="1"/>
  <c r="Z1599" i="2" s="1"/>
  <c r="W1600" i="2"/>
  <c r="X1600" i="2" s="1"/>
  <c r="Z1600" i="2" s="1"/>
  <c r="W1601" i="2"/>
  <c r="X1601" i="2" s="1"/>
  <c r="Z1601" i="2" s="1"/>
  <c r="W1602" i="2"/>
  <c r="X1602" i="2" s="1"/>
  <c r="Z1602" i="2" s="1"/>
  <c r="W1603" i="2"/>
  <c r="X1603" i="2" s="1"/>
  <c r="Z1603" i="2" s="1"/>
  <c r="W1604" i="2"/>
  <c r="X1604" i="2" s="1"/>
  <c r="Z1604" i="2" s="1"/>
  <c r="W1605" i="2"/>
  <c r="X1605" i="2" s="1"/>
  <c r="Z1605" i="2" s="1"/>
  <c r="W1606" i="2"/>
  <c r="X1606" i="2" s="1"/>
  <c r="Z1606" i="2" s="1"/>
  <c r="W1607" i="2"/>
  <c r="X1607" i="2" s="1"/>
  <c r="Z1607" i="2" s="1"/>
  <c r="W1608" i="2"/>
  <c r="X1608" i="2" s="1"/>
  <c r="W1609" i="2"/>
  <c r="X1609" i="2" s="1"/>
  <c r="Z1609" i="2" s="1"/>
  <c r="W1610" i="2"/>
  <c r="X1610" i="2" s="1"/>
  <c r="Z1610" i="2" s="1"/>
  <c r="W1611" i="2"/>
  <c r="X1611" i="2" s="1"/>
  <c r="Z1611" i="2" s="1"/>
  <c r="W1612" i="2"/>
  <c r="X1612" i="2" s="1"/>
  <c r="Z1612" i="2" s="1"/>
  <c r="W1613" i="2"/>
  <c r="X1613" i="2" s="1"/>
  <c r="Z1613" i="2" s="1"/>
  <c r="W1614" i="2"/>
  <c r="X1614" i="2" s="1"/>
  <c r="Z1614" i="2" s="1"/>
  <c r="W1615" i="2"/>
  <c r="X1615" i="2" s="1"/>
  <c r="Z1615" i="2" s="1"/>
  <c r="W1616" i="2"/>
  <c r="X1616" i="2" s="1"/>
  <c r="Z1616" i="2" s="1"/>
  <c r="W1617" i="2"/>
  <c r="X1617" i="2" s="1"/>
  <c r="Z1617" i="2" s="1"/>
  <c r="W1618" i="2"/>
  <c r="X1618" i="2" s="1"/>
  <c r="Z1618" i="2" s="1"/>
  <c r="W1619" i="2"/>
  <c r="X1619" i="2" s="1"/>
  <c r="Z1619" i="2" s="1"/>
  <c r="W1620" i="2"/>
  <c r="X1620" i="2" s="1"/>
  <c r="Z1620" i="2" s="1"/>
  <c r="W1621" i="2"/>
  <c r="X1621" i="2" s="1"/>
  <c r="Z1621" i="2" s="1"/>
  <c r="W1622" i="2"/>
  <c r="X1622" i="2" s="1"/>
  <c r="Z1622" i="2" s="1"/>
  <c r="W1623" i="2"/>
  <c r="X1623" i="2" s="1"/>
  <c r="Z1623" i="2" s="1"/>
  <c r="W1624" i="2"/>
  <c r="X1624" i="2" s="1"/>
  <c r="Z1624" i="2" s="1"/>
  <c r="W1625" i="2"/>
  <c r="X1625" i="2" s="1"/>
  <c r="Z1625" i="2" s="1"/>
  <c r="W1626" i="2"/>
  <c r="X1626" i="2" s="1"/>
  <c r="Z1626" i="2" s="1"/>
  <c r="W1627" i="2"/>
  <c r="X1627" i="2" s="1"/>
  <c r="Z1627" i="2" s="1"/>
  <c r="W1628" i="2"/>
  <c r="X1628" i="2" s="1"/>
  <c r="Z1628" i="2" s="1"/>
  <c r="W1629" i="2"/>
  <c r="X1629" i="2" s="1"/>
  <c r="Z1629" i="2" s="1"/>
  <c r="W1630" i="2"/>
  <c r="X1630" i="2" s="1"/>
  <c r="Z1630" i="2" s="1"/>
  <c r="W1631" i="2"/>
  <c r="X1631" i="2" s="1"/>
  <c r="Z1631" i="2" s="1"/>
  <c r="W1632" i="2"/>
  <c r="X1632" i="2" s="1"/>
  <c r="Z1632" i="2" s="1"/>
  <c r="W1633" i="2"/>
  <c r="X1633" i="2" s="1"/>
  <c r="Z1633" i="2" s="1"/>
  <c r="W1634" i="2"/>
  <c r="X1634" i="2" s="1"/>
  <c r="W1635" i="2"/>
  <c r="X1635" i="2" s="1"/>
  <c r="Z1635" i="2" s="1"/>
  <c r="W1636" i="2"/>
  <c r="X1636" i="2" s="1"/>
  <c r="W1637" i="2"/>
  <c r="X1637" i="2" s="1"/>
  <c r="Z1637" i="2" s="1"/>
  <c r="W1638" i="2"/>
  <c r="X1638" i="2" s="1"/>
  <c r="Z1638" i="2" s="1"/>
  <c r="W1639" i="2"/>
  <c r="X1639" i="2" s="1"/>
  <c r="Z1639" i="2" s="1"/>
  <c r="W1640" i="2"/>
  <c r="X1640" i="2" s="1"/>
  <c r="Z1640" i="2" s="1"/>
  <c r="W1641" i="2"/>
  <c r="X1641" i="2" s="1"/>
  <c r="Z1641" i="2" s="1"/>
  <c r="W1642" i="2"/>
  <c r="X1642" i="2" s="1"/>
  <c r="Z1642" i="2" s="1"/>
  <c r="W1643" i="2"/>
  <c r="X1643" i="2" s="1"/>
  <c r="Z1643" i="2" s="1"/>
  <c r="W1644" i="2"/>
  <c r="X1644" i="2" s="1"/>
  <c r="Z1644" i="2" s="1"/>
  <c r="W1645" i="2"/>
  <c r="X1645" i="2" s="1"/>
  <c r="Z1645" i="2" s="1"/>
  <c r="W1646" i="2"/>
  <c r="X1646" i="2" s="1"/>
  <c r="Z1646" i="2" s="1"/>
  <c r="W1647" i="2"/>
  <c r="X1647" i="2" s="1"/>
  <c r="Z1647" i="2" s="1"/>
  <c r="W1648" i="2"/>
  <c r="X1648" i="2" s="1"/>
  <c r="Z1648" i="2" s="1"/>
  <c r="W1649" i="2"/>
  <c r="X1649" i="2" s="1"/>
  <c r="Z1649" i="2" s="1"/>
  <c r="W1650" i="2"/>
  <c r="X1650" i="2" s="1"/>
  <c r="W1651" i="2"/>
  <c r="X1651" i="2" s="1"/>
  <c r="Z1651" i="2" s="1"/>
  <c r="W1652" i="2"/>
  <c r="X1652" i="2" s="1"/>
  <c r="Z1652" i="2" s="1"/>
  <c r="W1653" i="2"/>
  <c r="X1653" i="2" s="1"/>
  <c r="Z1653" i="2" s="1"/>
  <c r="W1654" i="2"/>
  <c r="X1654" i="2" s="1"/>
  <c r="Z1654" i="2" s="1"/>
  <c r="W1655" i="2"/>
  <c r="X1655" i="2" s="1"/>
  <c r="Z1655" i="2" s="1"/>
  <c r="W1656" i="2"/>
  <c r="X1656" i="2" s="1"/>
  <c r="Z1656" i="2" s="1"/>
  <c r="W1657" i="2"/>
  <c r="X1657" i="2" s="1"/>
  <c r="Z1657" i="2" s="1"/>
  <c r="W1658" i="2"/>
  <c r="X1658" i="2" s="1"/>
  <c r="Z1658" i="2" s="1"/>
  <c r="W1659" i="2"/>
  <c r="X1659" i="2" s="1"/>
  <c r="Z1659" i="2" s="1"/>
  <c r="W1660" i="2"/>
  <c r="X1660" i="2" s="1"/>
  <c r="Z1660" i="2" s="1"/>
  <c r="W1661" i="2"/>
  <c r="X1661" i="2" s="1"/>
  <c r="Z1661" i="2" s="1"/>
  <c r="W1662" i="2"/>
  <c r="X1662" i="2" s="1"/>
  <c r="W1663" i="2"/>
  <c r="X1663" i="2" s="1"/>
  <c r="Z1663" i="2" s="1"/>
  <c r="W1664" i="2"/>
  <c r="X1664" i="2" s="1"/>
  <c r="W1665" i="2"/>
  <c r="X1665" i="2" s="1"/>
  <c r="Z1665" i="2" s="1"/>
  <c r="W1666" i="2"/>
  <c r="X1666" i="2" s="1"/>
  <c r="Z1666" i="2" s="1"/>
  <c r="W1667" i="2"/>
  <c r="X1667" i="2" s="1"/>
  <c r="Z1667" i="2" s="1"/>
  <c r="W1668" i="2"/>
  <c r="X1668" i="2" s="1"/>
  <c r="Z1668" i="2" s="1"/>
  <c r="W1669" i="2"/>
  <c r="X1669" i="2" s="1"/>
  <c r="Z1669" i="2" s="1"/>
  <c r="W1670" i="2"/>
  <c r="X1670" i="2" s="1"/>
  <c r="Z1670" i="2" s="1"/>
  <c r="W1671" i="2"/>
  <c r="X1671" i="2" s="1"/>
  <c r="Z1671" i="2" s="1"/>
  <c r="W1672" i="2"/>
  <c r="X1672" i="2" s="1"/>
  <c r="Z1672" i="2" s="1"/>
  <c r="W1673" i="2"/>
  <c r="X1673" i="2" s="1"/>
  <c r="Z1673" i="2" s="1"/>
  <c r="W1674" i="2"/>
  <c r="X1674" i="2" s="1"/>
  <c r="Z1674" i="2" s="1"/>
  <c r="W1675" i="2"/>
  <c r="X1675" i="2" s="1"/>
  <c r="Z1675" i="2" s="1"/>
  <c r="W1676" i="2"/>
  <c r="X1676" i="2" s="1"/>
  <c r="Z1676" i="2" s="1"/>
  <c r="W1677" i="2"/>
  <c r="X1677" i="2" s="1"/>
  <c r="Z1677" i="2" s="1"/>
  <c r="W1678" i="2"/>
  <c r="X1678" i="2" s="1"/>
  <c r="W1679" i="2"/>
  <c r="X1679" i="2" s="1"/>
  <c r="Z1679" i="2" s="1"/>
  <c r="W1680" i="2"/>
  <c r="X1680" i="2" s="1"/>
  <c r="Z1680" i="2" s="1"/>
  <c r="W1681" i="2"/>
  <c r="X1681" i="2" s="1"/>
  <c r="Z1681" i="2" s="1"/>
  <c r="W1682" i="2"/>
  <c r="X1682" i="2" s="1"/>
  <c r="Z1682" i="2" s="1"/>
  <c r="W1683" i="2"/>
  <c r="X1683" i="2" s="1"/>
  <c r="Z1683" i="2" s="1"/>
  <c r="W1684" i="2"/>
  <c r="X1684" i="2" s="1"/>
  <c r="Z1684" i="2" s="1"/>
  <c r="W1685" i="2"/>
  <c r="X1685" i="2" s="1"/>
  <c r="Z1685" i="2" s="1"/>
  <c r="W1686" i="2"/>
  <c r="X1686" i="2" s="1"/>
  <c r="Z1686" i="2" s="1"/>
  <c r="W1687" i="2"/>
  <c r="X1687" i="2" s="1"/>
  <c r="Z1687" i="2" s="1"/>
  <c r="W1688" i="2"/>
  <c r="X1688" i="2" s="1"/>
  <c r="Z1688" i="2" s="1"/>
  <c r="W1689" i="2"/>
  <c r="X1689" i="2" s="1"/>
  <c r="Z1689" i="2" s="1"/>
  <c r="W1690" i="2"/>
  <c r="X1690" i="2" s="1"/>
  <c r="W1691" i="2"/>
  <c r="X1691" i="2" s="1"/>
  <c r="Z1691" i="2" s="1"/>
  <c r="W1692" i="2"/>
  <c r="X1692" i="2" s="1"/>
  <c r="Z1692" i="2" s="1"/>
  <c r="W1693" i="2"/>
  <c r="X1693" i="2" s="1"/>
  <c r="Z1693" i="2" s="1"/>
  <c r="W1694" i="2"/>
  <c r="X1694" i="2" s="1"/>
  <c r="Z1694" i="2" s="1"/>
  <c r="W1695" i="2"/>
  <c r="X1695" i="2" s="1"/>
  <c r="Z1695" i="2" s="1"/>
  <c r="W1696" i="2"/>
  <c r="X1696" i="2" s="1"/>
  <c r="Z1696" i="2" s="1"/>
  <c r="W1697" i="2"/>
  <c r="X1697" i="2" s="1"/>
  <c r="Z1697" i="2" s="1"/>
  <c r="W1698" i="2"/>
  <c r="X1698" i="2" s="1"/>
  <c r="Z1698" i="2" s="1"/>
  <c r="W1699" i="2"/>
  <c r="X1699" i="2" s="1"/>
  <c r="Z1699" i="2" s="1"/>
  <c r="W1700" i="2"/>
  <c r="X1700" i="2" s="1"/>
  <c r="Z1700" i="2" s="1"/>
  <c r="W1701" i="2"/>
  <c r="X1701" i="2" s="1"/>
  <c r="Z1701" i="2" s="1"/>
  <c r="W1702" i="2"/>
  <c r="X1702" i="2" s="1"/>
  <c r="Z1702" i="2" s="1"/>
  <c r="W1703" i="2"/>
  <c r="X1703" i="2" s="1"/>
  <c r="Z1703" i="2" s="1"/>
  <c r="W1704" i="2"/>
  <c r="X1704" i="2" s="1"/>
  <c r="Z1704" i="2" s="1"/>
  <c r="W1705" i="2"/>
  <c r="X1705" i="2" s="1"/>
  <c r="Z1705" i="2" s="1"/>
  <c r="W1706" i="2"/>
  <c r="X1706" i="2" s="1"/>
  <c r="W1707" i="2"/>
  <c r="X1707" i="2" s="1"/>
  <c r="Z1707" i="2" s="1"/>
  <c r="W1708" i="2"/>
  <c r="X1708" i="2" s="1"/>
  <c r="Z1708" i="2" s="1"/>
  <c r="W1709" i="2"/>
  <c r="X1709" i="2" s="1"/>
  <c r="Z1709" i="2" s="1"/>
  <c r="W1710" i="2"/>
  <c r="X1710" i="2" s="1"/>
  <c r="Z1710" i="2" s="1"/>
  <c r="W1711" i="2"/>
  <c r="X1711" i="2" s="1"/>
  <c r="Z1711" i="2" s="1"/>
  <c r="W1712" i="2"/>
  <c r="X1712" i="2" s="1"/>
  <c r="Z1712" i="2" s="1"/>
  <c r="W1713" i="2"/>
  <c r="X1713" i="2" s="1"/>
  <c r="Z1713" i="2" s="1"/>
  <c r="W1714" i="2"/>
  <c r="X1714" i="2" s="1"/>
  <c r="Z1714" i="2" s="1"/>
  <c r="W1715" i="2"/>
  <c r="X1715" i="2" s="1"/>
  <c r="Z1715" i="2" s="1"/>
  <c r="W1716" i="2"/>
  <c r="X1716" i="2" s="1"/>
  <c r="Z1716" i="2" s="1"/>
  <c r="W1717" i="2"/>
  <c r="X1717" i="2" s="1"/>
  <c r="Z1717" i="2" s="1"/>
  <c r="W1718" i="2"/>
  <c r="X1718" i="2" s="1"/>
  <c r="Z1718" i="2" s="1"/>
  <c r="W1719" i="2"/>
  <c r="X1719" i="2" s="1"/>
  <c r="Z1719" i="2" s="1"/>
  <c r="W1720" i="2"/>
  <c r="X1720" i="2" s="1"/>
  <c r="Z1720" i="2" s="1"/>
  <c r="W1721" i="2"/>
  <c r="X1721" i="2" s="1"/>
  <c r="Z1721" i="2" s="1"/>
  <c r="W1722" i="2"/>
  <c r="X1722" i="2" s="1"/>
  <c r="Z1722" i="2" s="1"/>
  <c r="W1723" i="2"/>
  <c r="X1723" i="2" s="1"/>
  <c r="Z1723" i="2" s="1"/>
  <c r="W1724" i="2"/>
  <c r="X1724" i="2" s="1"/>
  <c r="Z1724" i="2" s="1"/>
  <c r="W1725" i="2"/>
  <c r="X1725" i="2" s="1"/>
  <c r="Z1725" i="2" s="1"/>
  <c r="W1726" i="2"/>
  <c r="X1726" i="2" s="1"/>
  <c r="Z1726" i="2" s="1"/>
  <c r="W1727" i="2"/>
  <c r="X1727" i="2" s="1"/>
  <c r="Z1727" i="2" s="1"/>
  <c r="W1728" i="2"/>
  <c r="X1728" i="2" s="1"/>
  <c r="Z1728" i="2" s="1"/>
  <c r="W1729" i="2"/>
  <c r="X1729" i="2" s="1"/>
  <c r="Z1729" i="2" s="1"/>
  <c r="W1730" i="2"/>
  <c r="X1730" i="2" s="1"/>
  <c r="Z1730" i="2" s="1"/>
  <c r="W1731" i="2"/>
  <c r="X1731" i="2" s="1"/>
  <c r="Z1731" i="2" s="1"/>
  <c r="W1732" i="2"/>
  <c r="X1732" i="2" s="1"/>
  <c r="Z1732" i="2" s="1"/>
  <c r="W1733" i="2"/>
  <c r="X1733" i="2" s="1"/>
  <c r="Z1733" i="2" s="1"/>
  <c r="W1734" i="2"/>
  <c r="X1734" i="2" s="1"/>
  <c r="Z1734" i="2" s="1"/>
  <c r="W1735" i="2"/>
  <c r="X1735" i="2" s="1"/>
  <c r="Z1735" i="2" s="1"/>
  <c r="W1736" i="2"/>
  <c r="X1736" i="2" s="1"/>
  <c r="W1737" i="2"/>
  <c r="X1737" i="2" s="1"/>
  <c r="Z1737" i="2" s="1"/>
  <c r="W1738" i="2"/>
  <c r="X1738" i="2" s="1"/>
  <c r="Z1738" i="2" s="1"/>
  <c r="W1739" i="2"/>
  <c r="X1739" i="2" s="1"/>
  <c r="Z1739" i="2" s="1"/>
  <c r="W1740" i="2"/>
  <c r="X1740" i="2" s="1"/>
  <c r="Z1740" i="2" s="1"/>
  <c r="W1741" i="2"/>
  <c r="X1741" i="2" s="1"/>
  <c r="Z1741" i="2" s="1"/>
  <c r="W1742" i="2"/>
  <c r="X1742" i="2" s="1"/>
  <c r="Z1742" i="2" s="1"/>
  <c r="W1743" i="2"/>
  <c r="X1743" i="2" s="1"/>
  <c r="Z1743" i="2" s="1"/>
  <c r="W1744" i="2"/>
  <c r="X1744" i="2" s="1"/>
  <c r="Z1744" i="2" s="1"/>
  <c r="W1745" i="2"/>
  <c r="X1745" i="2" s="1"/>
  <c r="Z1745" i="2" s="1"/>
  <c r="W1746" i="2"/>
  <c r="X1746" i="2" s="1"/>
  <c r="Z1746" i="2" s="1"/>
  <c r="W1747" i="2"/>
  <c r="X1747" i="2" s="1"/>
  <c r="Z1747" i="2" s="1"/>
  <c r="W1748" i="2"/>
  <c r="X1748" i="2" s="1"/>
  <c r="Z1748" i="2" s="1"/>
  <c r="W1749" i="2"/>
  <c r="X1749" i="2" s="1"/>
  <c r="Z1749" i="2" s="1"/>
  <c r="W1750" i="2"/>
  <c r="X1750" i="2" s="1"/>
  <c r="Z1750" i="2" s="1"/>
  <c r="W1751" i="2"/>
  <c r="X1751" i="2" s="1"/>
  <c r="Z1751" i="2" s="1"/>
  <c r="W1752" i="2"/>
  <c r="X1752" i="2" s="1"/>
  <c r="Z1752" i="2" s="1"/>
  <c r="W1753" i="2"/>
  <c r="X1753" i="2" s="1"/>
  <c r="Z1753" i="2" s="1"/>
  <c r="W1754" i="2"/>
  <c r="X1754" i="2" s="1"/>
  <c r="Z1754" i="2" s="1"/>
  <c r="W1755" i="2"/>
  <c r="X1755" i="2" s="1"/>
  <c r="Z1755" i="2" s="1"/>
  <c r="W1756" i="2"/>
  <c r="X1756" i="2" s="1"/>
  <c r="Z1756" i="2" s="1"/>
  <c r="W1757" i="2"/>
  <c r="X1757" i="2" s="1"/>
  <c r="Z1757" i="2" s="1"/>
  <c r="W1758" i="2"/>
  <c r="X1758" i="2" s="1"/>
  <c r="Z1758" i="2" s="1"/>
  <c r="W1759" i="2"/>
  <c r="X1759" i="2" s="1"/>
  <c r="Z1759" i="2" s="1"/>
  <c r="W1760" i="2"/>
  <c r="X1760" i="2" s="1"/>
  <c r="Z1760" i="2" s="1"/>
  <c r="W1761" i="2"/>
  <c r="X1761" i="2" s="1"/>
  <c r="Z1761" i="2" s="1"/>
  <c r="W1762" i="2"/>
  <c r="X1762" i="2" s="1"/>
  <c r="W1763" i="2"/>
  <c r="X1763" i="2" s="1"/>
  <c r="Z1763" i="2" s="1"/>
  <c r="W1764" i="2"/>
  <c r="X1764" i="2" s="1"/>
  <c r="W1765" i="2"/>
  <c r="X1765" i="2" s="1"/>
  <c r="Z1765" i="2" s="1"/>
  <c r="W1766" i="2"/>
  <c r="X1766" i="2" s="1"/>
  <c r="Z1766" i="2" s="1"/>
  <c r="W1767" i="2"/>
  <c r="X1767" i="2" s="1"/>
  <c r="Z1767" i="2" s="1"/>
  <c r="W1768" i="2"/>
  <c r="X1768" i="2" s="1"/>
  <c r="Z1768" i="2" s="1"/>
  <c r="W1769" i="2"/>
  <c r="X1769" i="2" s="1"/>
  <c r="Z1769" i="2" s="1"/>
  <c r="W1770" i="2"/>
  <c r="X1770" i="2" s="1"/>
  <c r="Z1770" i="2" s="1"/>
  <c r="W1771" i="2"/>
  <c r="X1771" i="2" s="1"/>
  <c r="Z1771" i="2" s="1"/>
  <c r="W1772" i="2"/>
  <c r="X1772" i="2" s="1"/>
  <c r="Z1772" i="2" s="1"/>
  <c r="W1773" i="2"/>
  <c r="X1773" i="2" s="1"/>
  <c r="Z1773" i="2" s="1"/>
  <c r="W1774" i="2"/>
  <c r="X1774" i="2" s="1"/>
  <c r="Z1774" i="2" s="1"/>
  <c r="W1775" i="2"/>
  <c r="X1775" i="2" s="1"/>
  <c r="Z1775" i="2" s="1"/>
  <c r="W1776" i="2"/>
  <c r="X1776" i="2" s="1"/>
  <c r="Z1776" i="2" s="1"/>
  <c r="W1777" i="2"/>
  <c r="X1777" i="2" s="1"/>
  <c r="Z1777" i="2" s="1"/>
  <c r="W1778" i="2"/>
  <c r="X1778" i="2" s="1"/>
  <c r="W1779" i="2"/>
  <c r="X1779" i="2" s="1"/>
  <c r="Z1779" i="2" s="1"/>
  <c r="W1780" i="2"/>
  <c r="X1780" i="2" s="1"/>
  <c r="Z1780" i="2" s="1"/>
  <c r="W1781" i="2"/>
  <c r="X1781" i="2" s="1"/>
  <c r="Z1781" i="2" s="1"/>
  <c r="W1782" i="2"/>
  <c r="X1782" i="2" s="1"/>
  <c r="Z1782" i="2" s="1"/>
  <c r="W1783" i="2"/>
  <c r="X1783" i="2" s="1"/>
  <c r="Z1783" i="2" s="1"/>
  <c r="W1784" i="2"/>
  <c r="X1784" i="2" s="1"/>
  <c r="Z1784" i="2" s="1"/>
  <c r="W1785" i="2"/>
  <c r="X1785" i="2" s="1"/>
  <c r="Z1785" i="2" s="1"/>
  <c r="W1786" i="2"/>
  <c r="X1786" i="2" s="1"/>
  <c r="Z1786" i="2" s="1"/>
  <c r="W1787" i="2"/>
  <c r="X1787" i="2" s="1"/>
  <c r="Z1787" i="2" s="1"/>
  <c r="W1788" i="2"/>
  <c r="X1788" i="2" s="1"/>
  <c r="Z1788" i="2" s="1"/>
  <c r="W1789" i="2"/>
  <c r="X1789" i="2" s="1"/>
  <c r="Z1789" i="2" s="1"/>
  <c r="W1790" i="2"/>
  <c r="X1790" i="2" s="1"/>
  <c r="W1791" i="2"/>
  <c r="X1791" i="2" s="1"/>
  <c r="Z1791" i="2" s="1"/>
  <c r="W1792" i="2"/>
  <c r="X1792" i="2" s="1"/>
  <c r="W1793" i="2"/>
  <c r="X1793" i="2" s="1"/>
  <c r="Z1793" i="2" s="1"/>
  <c r="W1794" i="2"/>
  <c r="X1794" i="2" s="1"/>
  <c r="Z1794" i="2" s="1"/>
  <c r="W1795" i="2"/>
  <c r="X1795" i="2" s="1"/>
  <c r="Z1795" i="2" s="1"/>
  <c r="W1796" i="2"/>
  <c r="X1796" i="2" s="1"/>
  <c r="Z1796" i="2" s="1"/>
  <c r="W1797" i="2"/>
  <c r="X1797" i="2" s="1"/>
  <c r="Z1797" i="2" s="1"/>
  <c r="W1798" i="2"/>
  <c r="X1798" i="2" s="1"/>
  <c r="Z1798" i="2" s="1"/>
  <c r="W1799" i="2"/>
  <c r="X1799" i="2" s="1"/>
  <c r="Z1799" i="2" s="1"/>
  <c r="W1800" i="2"/>
  <c r="X1800" i="2" s="1"/>
  <c r="Z1800" i="2" s="1"/>
  <c r="W1801" i="2"/>
  <c r="X1801" i="2" s="1"/>
  <c r="Z1801" i="2" s="1"/>
  <c r="W1802" i="2"/>
  <c r="X1802" i="2" s="1"/>
  <c r="Z1802" i="2" s="1"/>
  <c r="W1803" i="2"/>
  <c r="X1803" i="2" s="1"/>
  <c r="Z1803" i="2" s="1"/>
  <c r="W1804" i="2"/>
  <c r="X1804" i="2" s="1"/>
  <c r="Z1804" i="2" s="1"/>
  <c r="W1805" i="2"/>
  <c r="X1805" i="2" s="1"/>
  <c r="Z1805" i="2" s="1"/>
  <c r="W1806" i="2"/>
  <c r="X1806" i="2" s="1"/>
  <c r="W1807" i="2"/>
  <c r="X1807" i="2" s="1"/>
  <c r="Z1807" i="2" s="1"/>
  <c r="W1808" i="2"/>
  <c r="X1808" i="2" s="1"/>
  <c r="Z1808" i="2" s="1"/>
  <c r="W1809" i="2"/>
  <c r="X1809" i="2" s="1"/>
  <c r="Z1809" i="2" s="1"/>
  <c r="W1810" i="2"/>
  <c r="X1810" i="2" s="1"/>
  <c r="Z1810" i="2" s="1"/>
  <c r="W1811" i="2"/>
  <c r="X1811" i="2" s="1"/>
  <c r="Z1811" i="2" s="1"/>
  <c r="W1812" i="2"/>
  <c r="X1812" i="2" s="1"/>
  <c r="Z1812" i="2" s="1"/>
  <c r="W1813" i="2"/>
  <c r="X1813" i="2" s="1"/>
  <c r="Z1813" i="2" s="1"/>
  <c r="W1814" i="2"/>
  <c r="X1814" i="2" s="1"/>
  <c r="Z1814" i="2" s="1"/>
  <c r="W1815" i="2"/>
  <c r="X1815" i="2" s="1"/>
  <c r="Z1815" i="2" s="1"/>
  <c r="W1816" i="2"/>
  <c r="X1816" i="2" s="1"/>
  <c r="Z1816" i="2" s="1"/>
  <c r="W1817" i="2"/>
  <c r="X1817" i="2" s="1"/>
  <c r="Z1817" i="2" s="1"/>
  <c r="W1818" i="2"/>
  <c r="X1818" i="2" s="1"/>
  <c r="W1819" i="2"/>
  <c r="X1819" i="2" s="1"/>
  <c r="Z1819" i="2" s="1"/>
  <c r="W1820" i="2"/>
  <c r="X1820" i="2" s="1"/>
  <c r="Z1820" i="2" s="1"/>
  <c r="W1821" i="2"/>
  <c r="X1821" i="2" s="1"/>
  <c r="Z1821" i="2" s="1"/>
  <c r="W1822" i="2"/>
  <c r="X1822" i="2" s="1"/>
  <c r="Z1822" i="2" s="1"/>
  <c r="W1823" i="2"/>
  <c r="X1823" i="2" s="1"/>
  <c r="Z1823" i="2" s="1"/>
  <c r="W1824" i="2"/>
  <c r="X1824" i="2" s="1"/>
  <c r="Z1824" i="2" s="1"/>
  <c r="W1825" i="2"/>
  <c r="X1825" i="2" s="1"/>
  <c r="Z1825" i="2" s="1"/>
  <c r="W1826" i="2"/>
  <c r="X1826" i="2" s="1"/>
  <c r="Z1826" i="2" s="1"/>
  <c r="W1827" i="2"/>
  <c r="X1827" i="2" s="1"/>
  <c r="Z1827" i="2" s="1"/>
  <c r="W1828" i="2"/>
  <c r="X1828" i="2" s="1"/>
  <c r="Z1828" i="2" s="1"/>
  <c r="W1829" i="2"/>
  <c r="X1829" i="2" s="1"/>
  <c r="Z1829" i="2" s="1"/>
  <c r="W1830" i="2"/>
  <c r="X1830" i="2" s="1"/>
  <c r="Z1830" i="2" s="1"/>
  <c r="W1831" i="2"/>
  <c r="X1831" i="2" s="1"/>
  <c r="Z1831" i="2" s="1"/>
  <c r="W1832" i="2"/>
  <c r="X1832" i="2" s="1"/>
  <c r="Z1832" i="2" s="1"/>
  <c r="W1833" i="2"/>
  <c r="X1833" i="2" s="1"/>
  <c r="Z1833" i="2" s="1"/>
  <c r="W1834" i="2"/>
  <c r="X1834" i="2" s="1"/>
  <c r="W1835" i="2"/>
  <c r="X1835" i="2" s="1"/>
  <c r="Z1835" i="2" s="1"/>
  <c r="W1836" i="2"/>
  <c r="X1836" i="2" s="1"/>
  <c r="Z1836" i="2" s="1"/>
  <c r="W1837" i="2"/>
  <c r="X1837" i="2" s="1"/>
  <c r="Z1837" i="2" s="1"/>
  <c r="W1838" i="2"/>
  <c r="X1838" i="2" s="1"/>
  <c r="Z1838" i="2" s="1"/>
  <c r="W1839" i="2"/>
  <c r="X1839" i="2" s="1"/>
  <c r="W1840" i="2"/>
  <c r="X1840" i="2" s="1"/>
  <c r="Z1840" i="2" s="1"/>
  <c r="W1841" i="2"/>
  <c r="X1841" i="2" s="1"/>
  <c r="Z1841" i="2" s="1"/>
  <c r="W1842" i="2"/>
  <c r="X1842" i="2" s="1"/>
  <c r="Z1842" i="2" s="1"/>
  <c r="W1843" i="2"/>
  <c r="X1843" i="2" s="1"/>
  <c r="Z1843" i="2" s="1"/>
  <c r="W1844" i="2"/>
  <c r="X1844" i="2" s="1"/>
  <c r="Z1844" i="2" s="1"/>
  <c r="W1845" i="2"/>
  <c r="X1845" i="2" s="1"/>
  <c r="Z1845" i="2" s="1"/>
  <c r="W1846" i="2"/>
  <c r="X1846" i="2" s="1"/>
  <c r="W1847" i="2"/>
  <c r="X1847" i="2" s="1"/>
  <c r="Z1847" i="2" s="1"/>
  <c r="W1848" i="2"/>
  <c r="X1848" i="2" s="1"/>
  <c r="Z1848" i="2" s="1"/>
  <c r="W1849" i="2"/>
  <c r="X1849" i="2" s="1"/>
  <c r="Z1849" i="2" s="1"/>
  <c r="W1850" i="2"/>
  <c r="X1850" i="2" s="1"/>
  <c r="W1851" i="2"/>
  <c r="X1851" i="2" s="1"/>
  <c r="W1852" i="2"/>
  <c r="X1852" i="2" s="1"/>
  <c r="Z1852" i="2" s="1"/>
  <c r="W1853" i="2"/>
  <c r="X1853" i="2" s="1"/>
  <c r="Z1853" i="2" s="1"/>
  <c r="W1854" i="2"/>
  <c r="X1854" i="2" s="1"/>
  <c r="Z1854" i="2" s="1"/>
  <c r="W1855" i="2"/>
  <c r="X1855" i="2" s="1"/>
  <c r="W1856" i="2"/>
  <c r="X1856" i="2" s="1"/>
  <c r="Z1856" i="2" s="1"/>
  <c r="W1857" i="2"/>
  <c r="X1857" i="2" s="1"/>
  <c r="Z1857" i="2" s="1"/>
  <c r="W1858" i="2"/>
  <c r="X1858" i="2" s="1"/>
  <c r="Z1858" i="2" s="1"/>
  <c r="W1859" i="2"/>
  <c r="X1859" i="2" s="1"/>
  <c r="Z1859" i="2" s="1"/>
  <c r="W1860" i="2"/>
  <c r="X1860" i="2" s="1"/>
  <c r="Z1860" i="2" s="1"/>
  <c r="W1861" i="2"/>
  <c r="X1861" i="2" s="1"/>
  <c r="Z1861" i="2" s="1"/>
  <c r="W1862" i="2"/>
  <c r="X1862" i="2" s="1"/>
  <c r="W1863" i="2"/>
  <c r="X1863" i="2" s="1"/>
  <c r="Z1863" i="2" s="1"/>
  <c r="W1864" i="2"/>
  <c r="X1864" i="2" s="1"/>
  <c r="Z1864" i="2" s="1"/>
  <c r="W1865" i="2"/>
  <c r="X1865" i="2" s="1"/>
  <c r="Z1865" i="2" s="1"/>
  <c r="W1866" i="2"/>
  <c r="X1866" i="2" s="1"/>
  <c r="W1867" i="2"/>
  <c r="X1867" i="2" s="1"/>
  <c r="W1868" i="2"/>
  <c r="X1868" i="2" s="1"/>
  <c r="Z1868" i="2" s="1"/>
  <c r="W1869" i="2"/>
  <c r="X1869" i="2" s="1"/>
  <c r="Z1869" i="2" s="1"/>
  <c r="W1870" i="2"/>
  <c r="X1870" i="2" s="1"/>
  <c r="Z1870" i="2" s="1"/>
  <c r="W1871" i="2"/>
  <c r="X1871" i="2" s="1"/>
  <c r="W1872" i="2"/>
  <c r="X1872" i="2" s="1"/>
  <c r="Z1872" i="2" s="1"/>
  <c r="W1873" i="2"/>
  <c r="X1873" i="2" s="1"/>
  <c r="Z1873" i="2" s="1"/>
  <c r="W1874" i="2"/>
  <c r="X1874" i="2" s="1"/>
  <c r="Z1874" i="2" s="1"/>
  <c r="W1875" i="2"/>
  <c r="X1875" i="2" s="1"/>
  <c r="Z1875" i="2" s="1"/>
  <c r="W1876" i="2"/>
  <c r="X1876" i="2" s="1"/>
  <c r="Z1876" i="2" s="1"/>
  <c r="W1877" i="2"/>
  <c r="X1877" i="2" s="1"/>
  <c r="Z1877" i="2" s="1"/>
  <c r="W1878" i="2"/>
  <c r="X1878" i="2" s="1"/>
  <c r="W1879" i="2"/>
  <c r="X1879" i="2" s="1"/>
  <c r="Z1879" i="2" s="1"/>
  <c r="W1880" i="2"/>
  <c r="X1880" i="2" s="1"/>
  <c r="Z1880" i="2" s="1"/>
  <c r="W1881" i="2"/>
  <c r="X1881" i="2" s="1"/>
  <c r="Z1881" i="2" s="1"/>
  <c r="W1882" i="2"/>
  <c r="X1882" i="2" s="1"/>
  <c r="W1883" i="2"/>
  <c r="X1883" i="2" s="1"/>
  <c r="W1884" i="2"/>
  <c r="X1884" i="2" s="1"/>
  <c r="Z1884" i="2" s="1"/>
  <c r="W1885" i="2"/>
  <c r="X1885" i="2" s="1"/>
  <c r="Z1885" i="2" s="1"/>
  <c r="W1886" i="2"/>
  <c r="X1886" i="2" s="1"/>
  <c r="Z1886" i="2" s="1"/>
  <c r="W1887" i="2"/>
  <c r="X1887" i="2" s="1"/>
  <c r="W1888" i="2"/>
  <c r="X1888" i="2" s="1"/>
  <c r="Z1888" i="2" s="1"/>
  <c r="W1889" i="2"/>
  <c r="X1889" i="2" s="1"/>
  <c r="Z1889" i="2" s="1"/>
  <c r="W1890" i="2"/>
  <c r="X1890" i="2" s="1"/>
  <c r="Z1890" i="2" s="1"/>
  <c r="W1891" i="2"/>
  <c r="X1891" i="2" s="1"/>
  <c r="Z1891" i="2" s="1"/>
  <c r="W1892" i="2"/>
  <c r="X1892" i="2" s="1"/>
  <c r="Z1892" i="2" s="1"/>
  <c r="W1893" i="2"/>
  <c r="X1893" i="2" s="1"/>
  <c r="Z1893" i="2" s="1"/>
  <c r="W1894" i="2"/>
  <c r="X1894" i="2" s="1"/>
  <c r="W1895" i="2"/>
  <c r="X1895" i="2" s="1"/>
  <c r="Z1895" i="2" s="1"/>
  <c r="W1896" i="2"/>
  <c r="X1896" i="2" s="1"/>
  <c r="Z1896" i="2" s="1"/>
  <c r="W1897" i="2"/>
  <c r="X1897" i="2" s="1"/>
  <c r="Z1897" i="2" s="1"/>
  <c r="W1898" i="2"/>
  <c r="X1898" i="2" s="1"/>
  <c r="W1899" i="2"/>
  <c r="X1899" i="2" s="1"/>
  <c r="W1900" i="2"/>
  <c r="X1900" i="2" s="1"/>
  <c r="Z1900" i="2" s="1"/>
  <c r="W1901" i="2"/>
  <c r="X1901" i="2" s="1"/>
  <c r="Z1901" i="2" s="1"/>
  <c r="W1902" i="2"/>
  <c r="X1902" i="2" s="1"/>
  <c r="Z1902" i="2" s="1"/>
  <c r="W1903" i="2"/>
  <c r="X1903" i="2" s="1"/>
  <c r="W1904" i="2"/>
  <c r="X1904" i="2" s="1"/>
  <c r="Z1904" i="2" s="1"/>
  <c r="W1905" i="2"/>
  <c r="X1905" i="2" s="1"/>
  <c r="Z1905" i="2" s="1"/>
  <c r="W1906" i="2"/>
  <c r="X1906" i="2" s="1"/>
  <c r="Z1906" i="2" s="1"/>
  <c r="W1907" i="2"/>
  <c r="X1907" i="2" s="1"/>
  <c r="Z1907" i="2" s="1"/>
  <c r="W1908" i="2"/>
  <c r="X1908" i="2" s="1"/>
  <c r="Z1908" i="2" s="1"/>
  <c r="W1909" i="2"/>
  <c r="X1909" i="2" s="1"/>
  <c r="Z1909" i="2" s="1"/>
  <c r="W1910" i="2"/>
  <c r="X1910" i="2" s="1"/>
  <c r="W1911" i="2"/>
  <c r="X1911" i="2" s="1"/>
  <c r="Z1911" i="2" s="1"/>
  <c r="W1912" i="2"/>
  <c r="X1912" i="2" s="1"/>
  <c r="Z1912" i="2" s="1"/>
  <c r="W1913" i="2"/>
  <c r="X1913" i="2" s="1"/>
  <c r="Z1913" i="2" s="1"/>
  <c r="W1914" i="2"/>
  <c r="X1914" i="2" s="1"/>
  <c r="W1915" i="2"/>
  <c r="X1915" i="2" s="1"/>
  <c r="W1916" i="2"/>
  <c r="X1916" i="2" s="1"/>
  <c r="Z1916" i="2" s="1"/>
  <c r="W1917" i="2"/>
  <c r="X1917" i="2" s="1"/>
  <c r="Z1917" i="2" s="1"/>
  <c r="W1918" i="2"/>
  <c r="X1918" i="2" s="1"/>
  <c r="Z1918" i="2" s="1"/>
  <c r="W1919" i="2"/>
  <c r="X1919" i="2" s="1"/>
  <c r="W1920" i="2"/>
  <c r="X1920" i="2" s="1"/>
  <c r="Z1920" i="2" s="1"/>
  <c r="W1921" i="2"/>
  <c r="X1921" i="2" s="1"/>
  <c r="Z1921" i="2" s="1"/>
  <c r="W1922" i="2"/>
  <c r="X1922" i="2" s="1"/>
  <c r="Z1922" i="2" s="1"/>
  <c r="W1923" i="2"/>
  <c r="X1923" i="2" s="1"/>
  <c r="Z1923" i="2" s="1"/>
  <c r="W1924" i="2"/>
  <c r="X1924" i="2" s="1"/>
  <c r="Z1924" i="2" s="1"/>
  <c r="W1925" i="2"/>
  <c r="X1925" i="2" s="1"/>
  <c r="Z1925" i="2" s="1"/>
  <c r="W1926" i="2"/>
  <c r="X1926" i="2" s="1"/>
  <c r="W1927" i="2"/>
  <c r="X1927" i="2" s="1"/>
  <c r="Z1927" i="2" s="1"/>
  <c r="W1928" i="2"/>
  <c r="X1928" i="2" s="1"/>
  <c r="Z1928" i="2" s="1"/>
  <c r="W1929" i="2"/>
  <c r="X1929" i="2" s="1"/>
  <c r="Z1929" i="2" s="1"/>
  <c r="W1930" i="2"/>
  <c r="X1930" i="2" s="1"/>
  <c r="W1931" i="2"/>
  <c r="X1931" i="2" s="1"/>
  <c r="W1932" i="2"/>
  <c r="X1932" i="2" s="1"/>
  <c r="Z1932" i="2" s="1"/>
  <c r="W1933" i="2"/>
  <c r="X1933" i="2" s="1"/>
  <c r="Z1933" i="2" s="1"/>
  <c r="W1934" i="2"/>
  <c r="X1934" i="2" s="1"/>
  <c r="Z1934" i="2" s="1"/>
  <c r="W1935" i="2"/>
  <c r="X1935" i="2" s="1"/>
  <c r="W1936" i="2"/>
  <c r="X1936" i="2" s="1"/>
  <c r="Z1936" i="2" s="1"/>
  <c r="W1937" i="2"/>
  <c r="X1937" i="2" s="1"/>
  <c r="Z1937" i="2" s="1"/>
  <c r="W1938" i="2"/>
  <c r="X1938" i="2" s="1"/>
  <c r="Z1938" i="2" s="1"/>
  <c r="W1939" i="2"/>
  <c r="X1939" i="2" s="1"/>
  <c r="Z1939" i="2" s="1"/>
  <c r="W1940" i="2"/>
  <c r="X1940" i="2" s="1"/>
  <c r="Z1940" i="2" s="1"/>
  <c r="W1941" i="2"/>
  <c r="X1941" i="2" s="1"/>
  <c r="Z1941" i="2" s="1"/>
  <c r="W1942" i="2"/>
  <c r="X1942" i="2" s="1"/>
  <c r="W1943" i="2"/>
  <c r="X1943" i="2" s="1"/>
  <c r="Z1943" i="2" s="1"/>
  <c r="W1944" i="2"/>
  <c r="X1944" i="2" s="1"/>
  <c r="Z1944" i="2" s="1"/>
  <c r="W1945" i="2"/>
  <c r="X1945" i="2" s="1"/>
  <c r="Z1945" i="2" s="1"/>
  <c r="W1946" i="2"/>
  <c r="X1946" i="2" s="1"/>
  <c r="W1947" i="2"/>
  <c r="X1947" i="2" s="1"/>
  <c r="W1948" i="2"/>
  <c r="X1948" i="2" s="1"/>
  <c r="Z1948" i="2" s="1"/>
  <c r="W1949" i="2"/>
  <c r="X1949" i="2" s="1"/>
  <c r="Z1949" i="2" s="1"/>
  <c r="W1950" i="2"/>
  <c r="X1950" i="2" s="1"/>
  <c r="Z1950" i="2" s="1"/>
  <c r="W1951" i="2"/>
  <c r="X1951" i="2" s="1"/>
  <c r="W1952" i="2"/>
  <c r="X1952" i="2" s="1"/>
  <c r="Z1952" i="2" s="1"/>
  <c r="W1953" i="2"/>
  <c r="X1953" i="2" s="1"/>
  <c r="Z1953" i="2" s="1"/>
  <c r="W1954" i="2"/>
  <c r="X1954" i="2" s="1"/>
  <c r="Z1954" i="2" s="1"/>
  <c r="W1955" i="2"/>
  <c r="X1955" i="2" s="1"/>
  <c r="Z1955" i="2" s="1"/>
  <c r="W1956" i="2"/>
  <c r="X1956" i="2" s="1"/>
  <c r="Z1956" i="2" s="1"/>
  <c r="W1957" i="2"/>
  <c r="X1957" i="2" s="1"/>
  <c r="Z1957" i="2" s="1"/>
  <c r="W1958" i="2"/>
  <c r="X1958" i="2" s="1"/>
  <c r="W1959" i="2"/>
  <c r="X1959" i="2" s="1"/>
  <c r="Z1959" i="2" s="1"/>
  <c r="W1960" i="2"/>
  <c r="X1960" i="2" s="1"/>
  <c r="Z1960" i="2" s="1"/>
  <c r="W1961" i="2"/>
  <c r="X1961" i="2" s="1"/>
  <c r="Z1961" i="2" s="1"/>
  <c r="W1962" i="2"/>
  <c r="X1962" i="2" s="1"/>
  <c r="W1963" i="2"/>
  <c r="X1963" i="2" s="1"/>
  <c r="W1964" i="2"/>
  <c r="X1964" i="2" s="1"/>
  <c r="Z1964" i="2" s="1"/>
  <c r="W1965" i="2"/>
  <c r="X1965" i="2" s="1"/>
  <c r="Z1965" i="2" s="1"/>
  <c r="W1966" i="2"/>
  <c r="X1966" i="2" s="1"/>
  <c r="Z1966" i="2" s="1"/>
  <c r="W1967" i="2"/>
  <c r="X1967" i="2" s="1"/>
  <c r="W1968" i="2"/>
  <c r="X1968" i="2" s="1"/>
  <c r="Z1968" i="2" s="1"/>
  <c r="W1969" i="2"/>
  <c r="X1969" i="2" s="1"/>
  <c r="Z1969" i="2" s="1"/>
  <c r="W1970" i="2"/>
  <c r="X1970" i="2" s="1"/>
  <c r="Z1970" i="2" s="1"/>
  <c r="W1971" i="2"/>
  <c r="X1971" i="2" s="1"/>
  <c r="Z1971" i="2" s="1"/>
  <c r="W1972" i="2"/>
  <c r="X1972" i="2" s="1"/>
  <c r="Z1972" i="2" s="1"/>
  <c r="W1973" i="2"/>
  <c r="X1973" i="2" s="1"/>
  <c r="Z1973" i="2" s="1"/>
  <c r="W1974" i="2"/>
  <c r="X1974" i="2" s="1"/>
  <c r="W1975" i="2"/>
  <c r="X1975" i="2" s="1"/>
  <c r="Z1975" i="2" s="1"/>
  <c r="W1976" i="2"/>
  <c r="X1976" i="2" s="1"/>
  <c r="Z1976" i="2" s="1"/>
  <c r="W1977" i="2"/>
  <c r="X1977" i="2" s="1"/>
  <c r="Z1977" i="2" s="1"/>
  <c r="W1978" i="2"/>
  <c r="X1978" i="2" s="1"/>
  <c r="W1979" i="2"/>
  <c r="X1979" i="2" s="1"/>
  <c r="W1980" i="2"/>
  <c r="X1980" i="2" s="1"/>
  <c r="Z1980" i="2" s="1"/>
  <c r="W1981" i="2"/>
  <c r="X1981" i="2" s="1"/>
  <c r="Z1981" i="2" s="1"/>
  <c r="W1982" i="2"/>
  <c r="X1982" i="2" s="1"/>
  <c r="Z1982" i="2" s="1"/>
  <c r="W1983" i="2"/>
  <c r="X1983" i="2" s="1"/>
  <c r="W1984" i="2"/>
  <c r="X1984" i="2" s="1"/>
  <c r="Z1984" i="2" s="1"/>
  <c r="W1985" i="2"/>
  <c r="X1985" i="2" s="1"/>
  <c r="Z1985" i="2" s="1"/>
  <c r="W1986" i="2"/>
  <c r="X1986" i="2" s="1"/>
  <c r="Z1986" i="2" s="1"/>
  <c r="W1987" i="2"/>
  <c r="X1987" i="2" s="1"/>
  <c r="Z1987" i="2" s="1"/>
  <c r="W1988" i="2"/>
  <c r="X1988" i="2" s="1"/>
  <c r="Z1988" i="2" s="1"/>
  <c r="W1989" i="2"/>
  <c r="X1989" i="2" s="1"/>
  <c r="Z1989" i="2" s="1"/>
  <c r="W1990" i="2"/>
  <c r="X1990" i="2" s="1"/>
  <c r="W1991" i="2"/>
  <c r="X1991" i="2" s="1"/>
  <c r="Z1991" i="2" s="1"/>
  <c r="W1992" i="2"/>
  <c r="X1992" i="2" s="1"/>
  <c r="Z1992" i="2" s="1"/>
  <c r="W1993" i="2"/>
  <c r="X1993" i="2" s="1"/>
  <c r="Z1993" i="2" s="1"/>
  <c r="W1994" i="2"/>
  <c r="X1994" i="2" s="1"/>
  <c r="W1995" i="2"/>
  <c r="X1995" i="2" s="1"/>
  <c r="W1996" i="2"/>
  <c r="X1996" i="2" s="1"/>
  <c r="Z1996" i="2" s="1"/>
  <c r="W1997" i="2"/>
  <c r="X1997" i="2" s="1"/>
  <c r="Z1997" i="2" s="1"/>
  <c r="W1998" i="2"/>
  <c r="X1998" i="2" s="1"/>
  <c r="Z1998" i="2" s="1"/>
  <c r="W1999" i="2"/>
  <c r="X1999" i="2" s="1"/>
  <c r="W2000" i="2"/>
  <c r="X2000" i="2" s="1"/>
  <c r="Z2000" i="2" s="1"/>
  <c r="W2001" i="2"/>
  <c r="X2001" i="2" s="1"/>
  <c r="Z2001" i="2" s="1"/>
  <c r="W2002" i="2"/>
  <c r="X2002" i="2" s="1"/>
  <c r="Z2002" i="2" s="1"/>
  <c r="W2003" i="2"/>
  <c r="X2003" i="2" s="1"/>
  <c r="Z2003" i="2" s="1"/>
  <c r="W2004" i="2"/>
  <c r="X2004" i="2" s="1"/>
  <c r="Z2004" i="2" s="1"/>
  <c r="W2005" i="2"/>
  <c r="X2005" i="2" s="1"/>
  <c r="Z2005" i="2" s="1"/>
  <c r="W2006" i="2"/>
  <c r="X2006" i="2" s="1"/>
  <c r="W2007" i="2"/>
  <c r="X2007" i="2" s="1"/>
  <c r="Z2007" i="2" s="1"/>
  <c r="W2008" i="2"/>
  <c r="X2008" i="2" s="1"/>
  <c r="Z2008" i="2" s="1"/>
  <c r="W2009" i="2"/>
  <c r="X2009" i="2" s="1"/>
  <c r="Z2009" i="2" s="1"/>
  <c r="W2010" i="2"/>
  <c r="X2010" i="2" s="1"/>
  <c r="W2011" i="2"/>
  <c r="X2011" i="2" s="1"/>
  <c r="W2012" i="2"/>
  <c r="X2012" i="2" s="1"/>
  <c r="Z2012" i="2" s="1"/>
  <c r="W2013" i="2"/>
  <c r="X2013" i="2" s="1"/>
  <c r="Z2013" i="2" s="1"/>
  <c r="W2014" i="2"/>
  <c r="X2014" i="2" s="1"/>
  <c r="Z2014" i="2" s="1"/>
  <c r="W2015" i="2"/>
  <c r="X2015" i="2" s="1"/>
  <c r="W2016" i="2"/>
  <c r="X2016" i="2" s="1"/>
  <c r="Z2016" i="2" s="1"/>
  <c r="W2017" i="2"/>
  <c r="X2017" i="2" s="1"/>
  <c r="Z2017" i="2" s="1"/>
  <c r="W2018" i="2"/>
  <c r="X2018" i="2" s="1"/>
  <c r="Z2018" i="2" s="1"/>
  <c r="W2019" i="2"/>
  <c r="X2019" i="2" s="1"/>
  <c r="Z2019" i="2" s="1"/>
  <c r="W2020" i="2"/>
  <c r="X2020" i="2" s="1"/>
  <c r="Z2020" i="2" s="1"/>
  <c r="W2021" i="2"/>
  <c r="X2021" i="2" s="1"/>
  <c r="Z2021" i="2" s="1"/>
  <c r="W2022" i="2"/>
  <c r="X2022" i="2" s="1"/>
  <c r="W2023" i="2"/>
  <c r="X2023" i="2" s="1"/>
  <c r="Z2023" i="2" s="1"/>
  <c r="W2024" i="2"/>
  <c r="X2024" i="2" s="1"/>
  <c r="Z2024" i="2" s="1"/>
  <c r="W2025" i="2"/>
  <c r="X2025" i="2" s="1"/>
  <c r="Z2025" i="2" s="1"/>
  <c r="W2026" i="2"/>
  <c r="X2026" i="2" s="1"/>
  <c r="W2027" i="2"/>
  <c r="X2027" i="2" s="1"/>
  <c r="W2028" i="2"/>
  <c r="X2028" i="2" s="1"/>
  <c r="Z2028" i="2" s="1"/>
  <c r="W2029" i="2"/>
  <c r="X2029" i="2" s="1"/>
  <c r="Z2029" i="2" s="1"/>
  <c r="W2030" i="2"/>
  <c r="X2030" i="2" s="1"/>
  <c r="Z2030" i="2" s="1"/>
  <c r="W2031" i="2"/>
  <c r="X2031" i="2" s="1"/>
  <c r="W2032" i="2"/>
  <c r="X2032" i="2" s="1"/>
  <c r="Z2032" i="2" s="1"/>
  <c r="W2033" i="2"/>
  <c r="X2033" i="2" s="1"/>
  <c r="Z2033" i="2" s="1"/>
  <c r="W2034" i="2"/>
  <c r="X2034" i="2" s="1"/>
  <c r="Z2034" i="2" s="1"/>
  <c r="W2035" i="2"/>
  <c r="X2035" i="2" s="1"/>
  <c r="Z2035" i="2" s="1"/>
  <c r="W2036" i="2"/>
  <c r="X2036" i="2" s="1"/>
  <c r="Z2036" i="2" s="1"/>
  <c r="W2037" i="2"/>
  <c r="X2037" i="2" s="1"/>
  <c r="Z2037" i="2" s="1"/>
  <c r="W2038" i="2"/>
  <c r="X2038" i="2" s="1"/>
  <c r="W2039" i="2"/>
  <c r="X2039" i="2" s="1"/>
  <c r="Z2039" i="2" s="1"/>
  <c r="W2040" i="2"/>
  <c r="X2040" i="2" s="1"/>
  <c r="Z2040" i="2" s="1"/>
  <c r="W2041" i="2"/>
  <c r="X2041" i="2" s="1"/>
  <c r="Z2041" i="2" s="1"/>
  <c r="W2042" i="2"/>
  <c r="X2042" i="2" s="1"/>
  <c r="W2043" i="2"/>
  <c r="X2043" i="2" s="1"/>
  <c r="W2044" i="2"/>
  <c r="X2044" i="2" s="1"/>
  <c r="Z2044" i="2" s="1"/>
  <c r="W2045" i="2"/>
  <c r="X2045" i="2" s="1"/>
  <c r="Z2045" i="2" s="1"/>
  <c r="W2046" i="2"/>
  <c r="X2046" i="2" s="1"/>
  <c r="Z2046" i="2" s="1"/>
  <c r="W2047" i="2"/>
  <c r="X2047" i="2" s="1"/>
  <c r="W2048" i="2"/>
  <c r="X2048" i="2" s="1"/>
  <c r="Z2048" i="2" s="1"/>
  <c r="W2049" i="2"/>
  <c r="X2049" i="2" s="1"/>
  <c r="Z2049" i="2" s="1"/>
  <c r="W2050" i="2"/>
  <c r="X2050" i="2" s="1"/>
  <c r="Z2050" i="2" s="1"/>
  <c r="W2051" i="2"/>
  <c r="X2051" i="2" s="1"/>
  <c r="Z2051" i="2" s="1"/>
  <c r="W2052" i="2"/>
  <c r="X2052" i="2" s="1"/>
  <c r="Z2052" i="2" s="1"/>
  <c r="W2053" i="2"/>
  <c r="X2053" i="2" s="1"/>
  <c r="Z2053" i="2" s="1"/>
  <c r="W2054" i="2"/>
  <c r="X2054" i="2" s="1"/>
  <c r="W2055" i="2"/>
  <c r="X2055" i="2" s="1"/>
  <c r="Z2055" i="2" s="1"/>
  <c r="W2056" i="2"/>
  <c r="X2056" i="2" s="1"/>
  <c r="Z2056" i="2" s="1"/>
  <c r="W2057" i="2"/>
  <c r="X2057" i="2" s="1"/>
  <c r="Z2057" i="2" s="1"/>
  <c r="W2058" i="2"/>
  <c r="X2058" i="2" s="1"/>
  <c r="W2059" i="2"/>
  <c r="X2059" i="2" s="1"/>
  <c r="W2060" i="2"/>
  <c r="X2060" i="2" s="1"/>
  <c r="Z2060" i="2" s="1"/>
  <c r="W2061" i="2"/>
  <c r="X2061" i="2" s="1"/>
  <c r="Z2061" i="2" s="1"/>
  <c r="W2062" i="2"/>
  <c r="X2062" i="2" s="1"/>
  <c r="Z2062" i="2" s="1"/>
  <c r="W2063" i="2"/>
  <c r="X2063" i="2" s="1"/>
  <c r="W2064" i="2"/>
  <c r="X2064" i="2" s="1"/>
  <c r="Z2064" i="2" s="1"/>
  <c r="W2065" i="2"/>
  <c r="X2065" i="2" s="1"/>
  <c r="Z2065" i="2" s="1"/>
  <c r="W2066" i="2"/>
  <c r="X2066" i="2" s="1"/>
  <c r="Z2066" i="2" s="1"/>
  <c r="W2067" i="2"/>
  <c r="X2067" i="2" s="1"/>
  <c r="Z2067" i="2" s="1"/>
  <c r="W2068" i="2"/>
  <c r="X2068" i="2" s="1"/>
  <c r="Z2068" i="2" s="1"/>
  <c r="W2069" i="2"/>
  <c r="X2069" i="2" s="1"/>
  <c r="Z2069" i="2" s="1"/>
  <c r="W2070" i="2"/>
  <c r="X2070" i="2" s="1"/>
  <c r="W2071" i="2"/>
  <c r="X2071" i="2" s="1"/>
  <c r="Z2071" i="2" s="1"/>
  <c r="W2072" i="2"/>
  <c r="X2072" i="2" s="1"/>
  <c r="Z2072" i="2" s="1"/>
  <c r="W2073" i="2"/>
  <c r="X2073" i="2" s="1"/>
  <c r="Z2073" i="2" s="1"/>
  <c r="W2074" i="2"/>
  <c r="X2074" i="2" s="1"/>
  <c r="W2075" i="2"/>
  <c r="X2075" i="2" s="1"/>
  <c r="W2076" i="2"/>
  <c r="X2076" i="2" s="1"/>
  <c r="Z2076" i="2" s="1"/>
  <c r="W2077" i="2"/>
  <c r="X2077" i="2" s="1"/>
  <c r="Z2077" i="2" s="1"/>
  <c r="W2078" i="2"/>
  <c r="X2078" i="2" s="1"/>
  <c r="Z2078" i="2" s="1"/>
  <c r="W2079" i="2"/>
  <c r="X2079" i="2" s="1"/>
  <c r="W2080" i="2"/>
  <c r="X2080" i="2" s="1"/>
  <c r="Z2080" i="2" s="1"/>
  <c r="W2081" i="2"/>
  <c r="X2081" i="2" s="1"/>
  <c r="Z2081" i="2" s="1"/>
  <c r="W2082" i="2"/>
  <c r="X2082" i="2" s="1"/>
  <c r="Z2082" i="2" s="1"/>
  <c r="W2083" i="2"/>
  <c r="X2083" i="2" s="1"/>
  <c r="Z2083" i="2" s="1"/>
  <c r="W2084" i="2"/>
  <c r="X2084" i="2" s="1"/>
  <c r="Z2084" i="2" s="1"/>
  <c r="W2085" i="2"/>
  <c r="X2085" i="2" s="1"/>
  <c r="Z2085" i="2" s="1"/>
  <c r="W2086" i="2"/>
  <c r="X2086" i="2" s="1"/>
  <c r="W2087" i="2"/>
  <c r="X2087" i="2" s="1"/>
  <c r="Z2087" i="2" s="1"/>
  <c r="W2088" i="2"/>
  <c r="X2088" i="2" s="1"/>
  <c r="Z2088" i="2" s="1"/>
  <c r="W2089" i="2"/>
  <c r="X2089" i="2" s="1"/>
  <c r="Z2089" i="2" s="1"/>
  <c r="W2090" i="2"/>
  <c r="X2090" i="2" s="1"/>
  <c r="W2091" i="2"/>
  <c r="X2091" i="2" s="1"/>
  <c r="W2092" i="2"/>
  <c r="X2092" i="2" s="1"/>
  <c r="Z2092" i="2" s="1"/>
  <c r="W2093" i="2"/>
  <c r="X2093" i="2" s="1"/>
  <c r="Z2093" i="2" s="1"/>
  <c r="W2094" i="2"/>
  <c r="X2094" i="2" s="1"/>
  <c r="Z2094" i="2" s="1"/>
  <c r="W2095" i="2"/>
  <c r="X2095" i="2" s="1"/>
  <c r="W2096" i="2"/>
  <c r="X2096" i="2" s="1"/>
  <c r="Z2096" i="2" s="1"/>
  <c r="W2097" i="2"/>
  <c r="X2097" i="2" s="1"/>
  <c r="Z2097" i="2" s="1"/>
  <c r="W2098" i="2"/>
  <c r="X2098" i="2" s="1"/>
  <c r="Z2098" i="2" s="1"/>
  <c r="W2099" i="2"/>
  <c r="X2099" i="2" s="1"/>
  <c r="Z2099" i="2" s="1"/>
  <c r="W2100" i="2"/>
  <c r="X2100" i="2" s="1"/>
  <c r="Z2100" i="2" s="1"/>
  <c r="W2101" i="2"/>
  <c r="X2101" i="2" s="1"/>
  <c r="Z2101" i="2" s="1"/>
  <c r="W2102" i="2"/>
  <c r="X2102" i="2" s="1"/>
  <c r="W2103" i="2"/>
  <c r="X2103" i="2" s="1"/>
  <c r="Z2103" i="2" s="1"/>
  <c r="W2104" i="2"/>
  <c r="X2104" i="2" s="1"/>
  <c r="Z2104" i="2" s="1"/>
  <c r="W2105" i="2"/>
  <c r="X2105" i="2" s="1"/>
  <c r="Z2105" i="2" s="1"/>
  <c r="W2106" i="2"/>
  <c r="X2106" i="2" s="1"/>
  <c r="W2107" i="2"/>
  <c r="X2107" i="2" s="1"/>
  <c r="W2108" i="2"/>
  <c r="X2108" i="2" s="1"/>
  <c r="Z2108" i="2" s="1"/>
  <c r="W2109" i="2"/>
  <c r="X2109" i="2" s="1"/>
  <c r="Z2109" i="2" s="1"/>
  <c r="W2110" i="2"/>
  <c r="X2110" i="2" s="1"/>
  <c r="Z2110" i="2" s="1"/>
  <c r="W2111" i="2"/>
  <c r="X2111" i="2" s="1"/>
  <c r="W2112" i="2"/>
  <c r="X2112" i="2" s="1"/>
  <c r="Z2112" i="2" s="1"/>
  <c r="W2113" i="2"/>
  <c r="X2113" i="2" s="1"/>
  <c r="Z2113" i="2" s="1"/>
  <c r="W2114" i="2"/>
  <c r="X2114" i="2" s="1"/>
  <c r="Z2114" i="2" s="1"/>
  <c r="W2115" i="2"/>
  <c r="X2115" i="2" s="1"/>
  <c r="Z2115" i="2" s="1"/>
  <c r="W2116" i="2"/>
  <c r="X2116" i="2" s="1"/>
  <c r="Z2116" i="2" s="1"/>
  <c r="W2117" i="2"/>
  <c r="X2117" i="2" s="1"/>
  <c r="Z2117" i="2" s="1"/>
  <c r="W2118" i="2"/>
  <c r="X2118" i="2" s="1"/>
  <c r="W2119" i="2"/>
  <c r="X2119" i="2" s="1"/>
  <c r="Z2119" i="2" s="1"/>
  <c r="W2120" i="2"/>
  <c r="X2120" i="2" s="1"/>
  <c r="Z2120" i="2" s="1"/>
  <c r="W2121" i="2"/>
  <c r="X2121" i="2" s="1"/>
  <c r="Z2121" i="2" s="1"/>
  <c r="W2122" i="2"/>
  <c r="X2122" i="2" s="1"/>
  <c r="W2123" i="2"/>
  <c r="X2123" i="2" s="1"/>
  <c r="W2124" i="2"/>
  <c r="X2124" i="2" s="1"/>
  <c r="Z2124" i="2" s="1"/>
  <c r="W2125" i="2"/>
  <c r="X2125" i="2" s="1"/>
  <c r="Z2125" i="2" s="1"/>
  <c r="W2126" i="2"/>
  <c r="X2126" i="2" s="1"/>
  <c r="Z2126" i="2" s="1"/>
  <c r="W2127" i="2"/>
  <c r="X2127" i="2" s="1"/>
  <c r="W2128" i="2"/>
  <c r="X2128" i="2" s="1"/>
  <c r="Z2128" i="2" s="1"/>
  <c r="W2129" i="2"/>
  <c r="X2129" i="2" s="1"/>
  <c r="Z2129" i="2" s="1"/>
  <c r="W2130" i="2"/>
  <c r="X2130" i="2" s="1"/>
  <c r="Z2130" i="2" s="1"/>
  <c r="W2131" i="2"/>
  <c r="X2131" i="2" s="1"/>
  <c r="Z2131" i="2" s="1"/>
  <c r="W2132" i="2"/>
  <c r="X2132" i="2" s="1"/>
  <c r="Z2132" i="2" s="1"/>
  <c r="W2133" i="2"/>
  <c r="X2133" i="2" s="1"/>
  <c r="Z2133" i="2" s="1"/>
  <c r="W2134" i="2"/>
  <c r="X2134" i="2" s="1"/>
  <c r="W2135" i="2"/>
  <c r="X2135" i="2" s="1"/>
  <c r="Z2135" i="2" s="1"/>
  <c r="W2136" i="2"/>
  <c r="X2136" i="2" s="1"/>
  <c r="Z2136" i="2" s="1"/>
  <c r="W2137" i="2"/>
  <c r="X2137" i="2" s="1"/>
  <c r="Z2137" i="2" s="1"/>
  <c r="W2138" i="2"/>
  <c r="X2138" i="2" s="1"/>
  <c r="W2139" i="2"/>
  <c r="X2139" i="2" s="1"/>
  <c r="W2140" i="2"/>
  <c r="X2140" i="2" s="1"/>
  <c r="Z2140" i="2" s="1"/>
  <c r="W2141" i="2"/>
  <c r="X2141" i="2" s="1"/>
  <c r="Z2141" i="2" s="1"/>
  <c r="W2142" i="2"/>
  <c r="X2142" i="2" s="1"/>
  <c r="Z2142" i="2" s="1"/>
  <c r="W2143" i="2"/>
  <c r="X2143" i="2" s="1"/>
  <c r="W2144" i="2"/>
  <c r="X2144" i="2" s="1"/>
  <c r="Z2144" i="2" s="1"/>
  <c r="W2145" i="2"/>
  <c r="X2145" i="2" s="1"/>
  <c r="Z2145" i="2" s="1"/>
  <c r="W2146" i="2"/>
  <c r="X2146" i="2" s="1"/>
  <c r="Z2146" i="2" s="1"/>
  <c r="W2147" i="2"/>
  <c r="X2147" i="2" s="1"/>
  <c r="Z2147" i="2" s="1"/>
  <c r="W2148" i="2"/>
  <c r="X2148" i="2" s="1"/>
  <c r="Z2148" i="2" s="1"/>
  <c r="W2149" i="2"/>
  <c r="X2149" i="2" s="1"/>
  <c r="Z2149" i="2" s="1"/>
  <c r="W2150" i="2"/>
  <c r="X2150" i="2" s="1"/>
  <c r="W2151" i="2"/>
  <c r="X2151" i="2" s="1"/>
  <c r="Z2151" i="2" s="1"/>
  <c r="W2152" i="2"/>
  <c r="X2152" i="2" s="1"/>
  <c r="Z2152" i="2" s="1"/>
  <c r="W2153" i="2"/>
  <c r="X2153" i="2" s="1"/>
  <c r="Z2153" i="2" s="1"/>
  <c r="W2154" i="2"/>
  <c r="X2154" i="2" s="1"/>
  <c r="W2155" i="2"/>
  <c r="X2155" i="2" s="1"/>
  <c r="W2156" i="2"/>
  <c r="X2156" i="2" s="1"/>
  <c r="Z2156" i="2" s="1"/>
  <c r="W2157" i="2"/>
  <c r="X2157" i="2" s="1"/>
  <c r="Z2157" i="2" s="1"/>
  <c r="W2158" i="2"/>
  <c r="X2158" i="2" s="1"/>
  <c r="Z2158" i="2" s="1"/>
  <c r="W2159" i="2"/>
  <c r="X2159" i="2" s="1"/>
  <c r="W2160" i="2"/>
  <c r="X2160" i="2" s="1"/>
  <c r="Z2160" i="2" s="1"/>
  <c r="W2161" i="2"/>
  <c r="X2161" i="2" s="1"/>
  <c r="Z2161" i="2" s="1"/>
  <c r="W2162" i="2"/>
  <c r="X2162" i="2" s="1"/>
  <c r="Z2162" i="2" s="1"/>
  <c r="W2163" i="2"/>
  <c r="X2163" i="2" s="1"/>
  <c r="Z2163" i="2" s="1"/>
  <c r="W2164" i="2"/>
  <c r="X2164" i="2" s="1"/>
  <c r="Z2164" i="2" s="1"/>
  <c r="W2165" i="2"/>
  <c r="X2165" i="2" s="1"/>
  <c r="Z2165" i="2" s="1"/>
  <c r="W2166" i="2"/>
  <c r="X2166" i="2" s="1"/>
  <c r="W2167" i="2"/>
  <c r="X2167" i="2" s="1"/>
  <c r="Z2167" i="2" s="1"/>
  <c r="W2168" i="2"/>
  <c r="X2168" i="2" s="1"/>
  <c r="Z2168" i="2" s="1"/>
  <c r="W2169" i="2"/>
  <c r="X2169" i="2" s="1"/>
  <c r="Z2169" i="2" s="1"/>
  <c r="W2170" i="2"/>
  <c r="X2170" i="2" s="1"/>
  <c r="W2171" i="2"/>
  <c r="X2171" i="2" s="1"/>
  <c r="W2172" i="2"/>
  <c r="X2172" i="2" s="1"/>
  <c r="Z2172" i="2" s="1"/>
  <c r="W2173" i="2"/>
  <c r="X2173" i="2" s="1"/>
  <c r="Z2173" i="2" s="1"/>
  <c r="W2174" i="2"/>
  <c r="X2174" i="2" s="1"/>
  <c r="Z2174" i="2" s="1"/>
  <c r="W2175" i="2"/>
  <c r="X2175" i="2" s="1"/>
  <c r="W2176" i="2"/>
  <c r="X2176" i="2" s="1"/>
  <c r="Z2176" i="2" s="1"/>
  <c r="W2177" i="2"/>
  <c r="X2177" i="2" s="1"/>
  <c r="Z2177" i="2" s="1"/>
  <c r="W2178" i="2"/>
  <c r="X2178" i="2" s="1"/>
  <c r="Z2178" i="2" s="1"/>
  <c r="W2179" i="2"/>
  <c r="X2179" i="2" s="1"/>
  <c r="Z2179" i="2" s="1"/>
  <c r="W2180" i="2"/>
  <c r="X2180" i="2" s="1"/>
  <c r="Z2180" i="2" s="1"/>
  <c r="W2181" i="2"/>
  <c r="X2181" i="2" s="1"/>
  <c r="Z2181" i="2" s="1"/>
  <c r="W2182" i="2"/>
  <c r="X2182" i="2" s="1"/>
  <c r="W2183" i="2"/>
  <c r="X2183" i="2" s="1"/>
  <c r="Z2183" i="2" s="1"/>
  <c r="W2184" i="2"/>
  <c r="X2184" i="2" s="1"/>
  <c r="Z2184" i="2" s="1"/>
  <c r="W2185" i="2"/>
  <c r="X2185" i="2" s="1"/>
  <c r="Z2185" i="2" s="1"/>
  <c r="W2186" i="2"/>
  <c r="X2186" i="2" s="1"/>
  <c r="W2187" i="2"/>
  <c r="X2187" i="2" s="1"/>
  <c r="W2188" i="2"/>
  <c r="X2188" i="2" s="1"/>
  <c r="Z2188" i="2" s="1"/>
  <c r="W2189" i="2"/>
  <c r="X2189" i="2" s="1"/>
  <c r="Z2189" i="2" s="1"/>
  <c r="W2190" i="2"/>
  <c r="X2190" i="2" s="1"/>
  <c r="Z2190" i="2" s="1"/>
  <c r="W2191" i="2"/>
  <c r="X2191" i="2" s="1"/>
  <c r="W2192" i="2"/>
  <c r="X2192" i="2" s="1"/>
  <c r="Z2192" i="2" s="1"/>
  <c r="W2193" i="2"/>
  <c r="X2193" i="2" s="1"/>
  <c r="Z2193" i="2" s="1"/>
  <c r="W2194" i="2"/>
  <c r="X2194" i="2" s="1"/>
  <c r="Z2194" i="2" s="1"/>
  <c r="W2195" i="2"/>
  <c r="X2195" i="2" s="1"/>
  <c r="Z2195" i="2" s="1"/>
  <c r="W2196" i="2"/>
  <c r="X2196" i="2" s="1"/>
  <c r="Z2196" i="2" s="1"/>
  <c r="W2197" i="2"/>
  <c r="X2197" i="2" s="1"/>
  <c r="Z2197" i="2" s="1"/>
  <c r="W2198" i="2"/>
  <c r="X2198" i="2" s="1"/>
  <c r="W2199" i="2"/>
  <c r="X2199" i="2" s="1"/>
  <c r="Z2199" i="2" s="1"/>
  <c r="W2200" i="2"/>
  <c r="X2200" i="2" s="1"/>
  <c r="Z2200" i="2" s="1"/>
  <c r="W2201" i="2"/>
  <c r="X2201" i="2" s="1"/>
  <c r="Z2201" i="2" s="1"/>
  <c r="W2202" i="2"/>
  <c r="X2202" i="2" s="1"/>
  <c r="W2203" i="2"/>
  <c r="X2203" i="2" s="1"/>
  <c r="W2204" i="2"/>
  <c r="X2204" i="2" s="1"/>
  <c r="Z2204" i="2" s="1"/>
  <c r="W2205" i="2"/>
  <c r="X2205" i="2" s="1"/>
  <c r="Z2205" i="2" s="1"/>
  <c r="W2206" i="2"/>
  <c r="X2206" i="2" s="1"/>
  <c r="Z2206" i="2" s="1"/>
  <c r="W2207" i="2"/>
  <c r="X2207" i="2" s="1"/>
  <c r="W2208" i="2"/>
  <c r="X2208" i="2" s="1"/>
  <c r="Z2208" i="2" s="1"/>
  <c r="W2209" i="2"/>
  <c r="X2209" i="2" s="1"/>
  <c r="Z2209" i="2" s="1"/>
  <c r="W2210" i="2"/>
  <c r="X2210" i="2" s="1"/>
  <c r="Z2210" i="2" s="1"/>
  <c r="W2211" i="2"/>
  <c r="X2211" i="2" s="1"/>
  <c r="Z2211" i="2" s="1"/>
  <c r="W2212" i="2"/>
  <c r="X2212" i="2" s="1"/>
  <c r="Z2212" i="2" s="1"/>
  <c r="W2213" i="2"/>
  <c r="X2213" i="2" s="1"/>
  <c r="Z2213" i="2" s="1"/>
  <c r="W2214" i="2"/>
  <c r="X2214" i="2" s="1"/>
  <c r="W2215" i="2"/>
  <c r="X2215" i="2" s="1"/>
  <c r="Z2215" i="2" s="1"/>
  <c r="W2216" i="2"/>
  <c r="X2216" i="2" s="1"/>
  <c r="Z2216" i="2" s="1"/>
  <c r="W2217" i="2"/>
  <c r="X2217" i="2" s="1"/>
  <c r="Z2217" i="2" s="1"/>
  <c r="W2218" i="2"/>
  <c r="X2218" i="2" s="1"/>
  <c r="W2219" i="2"/>
  <c r="X2219" i="2" s="1"/>
  <c r="W2220" i="2"/>
  <c r="X2220" i="2" s="1"/>
  <c r="Z2220" i="2" s="1"/>
  <c r="W2221" i="2"/>
  <c r="X2221" i="2" s="1"/>
  <c r="Z2221" i="2" s="1"/>
  <c r="W2222" i="2"/>
  <c r="X2222" i="2" s="1"/>
  <c r="Z2222" i="2" s="1"/>
  <c r="W2223" i="2"/>
  <c r="X2223" i="2" s="1"/>
  <c r="W2224" i="2"/>
  <c r="X2224" i="2" s="1"/>
  <c r="Z2224" i="2" s="1"/>
  <c r="W2225" i="2"/>
  <c r="X2225" i="2" s="1"/>
  <c r="Z2225" i="2" s="1"/>
  <c r="W2226" i="2"/>
  <c r="X2226" i="2" s="1"/>
  <c r="Z2226" i="2" s="1"/>
  <c r="W2227" i="2"/>
  <c r="X2227" i="2" s="1"/>
  <c r="Z2227" i="2" s="1"/>
  <c r="W2228" i="2"/>
  <c r="X2228" i="2" s="1"/>
  <c r="Z2228" i="2" s="1"/>
  <c r="W2229" i="2"/>
  <c r="X2229" i="2" s="1"/>
  <c r="Z2229" i="2" s="1"/>
  <c r="W2230" i="2"/>
  <c r="X2230" i="2" s="1"/>
  <c r="W2231" i="2"/>
  <c r="X2231" i="2" s="1"/>
  <c r="Z2231" i="2" s="1"/>
  <c r="W2232" i="2"/>
  <c r="X2232" i="2" s="1"/>
  <c r="Z2232" i="2" s="1"/>
  <c r="W2233" i="2"/>
  <c r="X2233" i="2" s="1"/>
  <c r="Z2233" i="2" s="1"/>
  <c r="W2234" i="2"/>
  <c r="X2234" i="2" s="1"/>
  <c r="W2235" i="2"/>
  <c r="X2235" i="2" s="1"/>
  <c r="W2236" i="2"/>
  <c r="X2236" i="2" s="1"/>
  <c r="Z2236" i="2" s="1"/>
  <c r="W2237" i="2"/>
  <c r="X2237" i="2" s="1"/>
  <c r="Z2237" i="2" s="1"/>
  <c r="W2238" i="2"/>
  <c r="X2238" i="2" s="1"/>
  <c r="Z2238" i="2" s="1"/>
  <c r="W2239" i="2"/>
  <c r="X2239" i="2" s="1"/>
  <c r="W2240" i="2"/>
  <c r="X2240" i="2" s="1"/>
  <c r="Z2240" i="2" s="1"/>
  <c r="W2241" i="2"/>
  <c r="X2241" i="2" s="1"/>
  <c r="Z2241" i="2" s="1"/>
  <c r="W2242" i="2"/>
  <c r="X2242" i="2" s="1"/>
  <c r="Z2242" i="2" s="1"/>
  <c r="W2243" i="2"/>
  <c r="X2243" i="2" s="1"/>
  <c r="Z2243" i="2" s="1"/>
  <c r="W2244" i="2"/>
  <c r="X2244" i="2" s="1"/>
  <c r="Z2244" i="2" s="1"/>
  <c r="W2245" i="2"/>
  <c r="X2245" i="2" s="1"/>
  <c r="Z2245" i="2" s="1"/>
  <c r="W2246" i="2"/>
  <c r="X2246" i="2" s="1"/>
  <c r="W2247" i="2"/>
  <c r="X2247" i="2" s="1"/>
  <c r="Z2247" i="2" s="1"/>
  <c r="W2248" i="2"/>
  <c r="X2248" i="2" s="1"/>
  <c r="Z2248" i="2" s="1"/>
  <c r="W2249" i="2"/>
  <c r="X2249" i="2" s="1"/>
  <c r="Z2249" i="2" s="1"/>
  <c r="W2250" i="2"/>
  <c r="X2250" i="2" s="1"/>
  <c r="W2251" i="2"/>
  <c r="X2251" i="2" s="1"/>
  <c r="W2252" i="2"/>
  <c r="X2252" i="2" s="1"/>
  <c r="Z2252" i="2" s="1"/>
  <c r="W2253" i="2"/>
  <c r="X2253" i="2" s="1"/>
  <c r="Z2253" i="2" s="1"/>
  <c r="W2254" i="2"/>
  <c r="X2254" i="2" s="1"/>
  <c r="Z2254" i="2" s="1"/>
  <c r="W2255" i="2"/>
  <c r="X2255" i="2" s="1"/>
  <c r="W2256" i="2"/>
  <c r="X2256" i="2" s="1"/>
  <c r="Z2256" i="2" s="1"/>
  <c r="W2257" i="2"/>
  <c r="X2257" i="2" s="1"/>
  <c r="Z2257" i="2" s="1"/>
  <c r="W2258" i="2"/>
  <c r="X2258" i="2" s="1"/>
  <c r="Z2258" i="2" s="1"/>
  <c r="W2259" i="2"/>
  <c r="X2259" i="2" s="1"/>
  <c r="Z2259" i="2" s="1"/>
  <c r="W2260" i="2"/>
  <c r="X2260" i="2" s="1"/>
  <c r="Z2260" i="2" s="1"/>
  <c r="W2261" i="2"/>
  <c r="X2261" i="2" s="1"/>
  <c r="Z2261" i="2" s="1"/>
  <c r="W2262" i="2"/>
  <c r="X2262" i="2" s="1"/>
  <c r="W2263" i="2"/>
  <c r="X2263" i="2" s="1"/>
  <c r="Z2263" i="2" s="1"/>
  <c r="W2264" i="2"/>
  <c r="X2264" i="2" s="1"/>
  <c r="Z2264" i="2" s="1"/>
  <c r="W2265" i="2"/>
  <c r="X2265" i="2" s="1"/>
  <c r="Z2265" i="2" s="1"/>
  <c r="W2266" i="2"/>
  <c r="X2266" i="2" s="1"/>
  <c r="W2267" i="2"/>
  <c r="X2267" i="2" s="1"/>
  <c r="W2268" i="2"/>
  <c r="X2268" i="2" s="1"/>
  <c r="Z2268" i="2" s="1"/>
  <c r="W2269" i="2"/>
  <c r="X2269" i="2" s="1"/>
  <c r="Z2269" i="2" s="1"/>
  <c r="W2270" i="2"/>
  <c r="X2270" i="2" s="1"/>
  <c r="Z2270" i="2" s="1"/>
  <c r="W2271" i="2"/>
  <c r="X2271" i="2" s="1"/>
  <c r="W2272" i="2"/>
  <c r="X2272" i="2" s="1"/>
  <c r="Z2272" i="2" s="1"/>
  <c r="W2273" i="2"/>
  <c r="X2273" i="2" s="1"/>
  <c r="Z2273" i="2" s="1"/>
  <c r="W2274" i="2"/>
  <c r="X2274" i="2" s="1"/>
  <c r="Z2274" i="2" s="1"/>
  <c r="W2275" i="2"/>
  <c r="X2275" i="2" s="1"/>
  <c r="Z2275" i="2" s="1"/>
  <c r="W2276" i="2"/>
  <c r="X2276" i="2" s="1"/>
  <c r="Z2276" i="2" s="1"/>
  <c r="W2277" i="2"/>
  <c r="X2277" i="2" s="1"/>
  <c r="Z2277" i="2" s="1"/>
  <c r="W2278" i="2"/>
  <c r="X2278" i="2" s="1"/>
  <c r="W2279" i="2"/>
  <c r="X2279" i="2" s="1"/>
  <c r="Z2279" i="2" s="1"/>
  <c r="W2280" i="2"/>
  <c r="X2280" i="2" s="1"/>
  <c r="Z2280" i="2" s="1"/>
  <c r="W2281" i="2"/>
  <c r="X2281" i="2" s="1"/>
  <c r="Z2281" i="2" s="1"/>
  <c r="W2282" i="2"/>
  <c r="X2282" i="2" s="1"/>
  <c r="W2283" i="2"/>
  <c r="X2283" i="2" s="1"/>
  <c r="W2284" i="2"/>
  <c r="X2284" i="2" s="1"/>
  <c r="Z2284" i="2" s="1"/>
  <c r="W2285" i="2"/>
  <c r="X2285" i="2" s="1"/>
  <c r="Z2285" i="2" s="1"/>
  <c r="W2286" i="2"/>
  <c r="X2286" i="2" s="1"/>
  <c r="Z2286" i="2" s="1"/>
  <c r="W2287" i="2"/>
  <c r="X2287" i="2" s="1"/>
  <c r="W2288" i="2"/>
  <c r="X2288" i="2" s="1"/>
  <c r="Z2288" i="2" s="1"/>
  <c r="W2289" i="2"/>
  <c r="X2289" i="2" s="1"/>
  <c r="Z2289" i="2" s="1"/>
  <c r="W2290" i="2"/>
  <c r="X2290" i="2" s="1"/>
  <c r="Z2290" i="2" s="1"/>
  <c r="W2291" i="2"/>
  <c r="X2291" i="2" s="1"/>
  <c r="Z2291" i="2" s="1"/>
  <c r="W2292" i="2"/>
  <c r="X2292" i="2" s="1"/>
  <c r="Z2292" i="2" s="1"/>
  <c r="W2293" i="2"/>
  <c r="X2293" i="2" s="1"/>
  <c r="Z2293" i="2" s="1"/>
  <c r="W2294" i="2"/>
  <c r="X2294" i="2" s="1"/>
  <c r="W2295" i="2"/>
  <c r="X2295" i="2" s="1"/>
  <c r="Z2295" i="2" s="1"/>
  <c r="W2296" i="2"/>
  <c r="X2296" i="2" s="1"/>
  <c r="Z2296" i="2" s="1"/>
  <c r="W2297" i="2"/>
  <c r="X2297" i="2" s="1"/>
  <c r="Z2297" i="2" s="1"/>
  <c r="W2298" i="2"/>
  <c r="X2298" i="2" s="1"/>
  <c r="W2299" i="2"/>
  <c r="X2299" i="2" s="1"/>
  <c r="W2300" i="2"/>
  <c r="X2300" i="2" s="1"/>
  <c r="Z2300" i="2" s="1"/>
  <c r="W2301" i="2"/>
  <c r="X2301" i="2" s="1"/>
  <c r="Z2301" i="2" s="1"/>
  <c r="W2302" i="2"/>
  <c r="X2302" i="2" s="1"/>
  <c r="Z2302" i="2" s="1"/>
  <c r="W2303" i="2"/>
  <c r="X2303" i="2" s="1"/>
  <c r="W2304" i="2"/>
  <c r="X2304" i="2" s="1"/>
  <c r="Z2304" i="2" s="1"/>
  <c r="W2305" i="2"/>
  <c r="X2305" i="2" s="1"/>
  <c r="Z2305" i="2" s="1"/>
  <c r="W2306" i="2"/>
  <c r="X2306" i="2" s="1"/>
  <c r="Z2306" i="2" s="1"/>
  <c r="W2307" i="2"/>
  <c r="X2307" i="2" s="1"/>
  <c r="Z2307" i="2" s="1"/>
  <c r="W2308" i="2"/>
  <c r="X2308" i="2" s="1"/>
  <c r="Z2308" i="2" s="1"/>
  <c r="W2309" i="2"/>
  <c r="X2309" i="2" s="1"/>
  <c r="Z2309" i="2" s="1"/>
  <c r="W2310" i="2"/>
  <c r="X2310" i="2" s="1"/>
  <c r="W2311" i="2"/>
  <c r="X2311" i="2" s="1"/>
  <c r="Z2311" i="2" s="1"/>
  <c r="W2312" i="2"/>
  <c r="X2312" i="2" s="1"/>
  <c r="Z2312" i="2" s="1"/>
  <c r="W2313" i="2"/>
  <c r="X2313" i="2" s="1"/>
  <c r="Z2313" i="2" s="1"/>
  <c r="W2314" i="2"/>
  <c r="X2314" i="2" s="1"/>
  <c r="W2315" i="2"/>
  <c r="X2315" i="2" s="1"/>
  <c r="W2316" i="2"/>
  <c r="X2316" i="2" s="1"/>
  <c r="Z2316" i="2" s="1"/>
  <c r="W2317" i="2"/>
  <c r="X2317" i="2" s="1"/>
  <c r="Z2317" i="2" s="1"/>
  <c r="W2318" i="2"/>
  <c r="X2318" i="2" s="1"/>
  <c r="Z2318" i="2" s="1"/>
  <c r="W2319" i="2"/>
  <c r="X2319" i="2" s="1"/>
  <c r="W2320" i="2"/>
  <c r="X2320" i="2" s="1"/>
  <c r="Z2320" i="2" s="1"/>
  <c r="W2321" i="2"/>
  <c r="X2321" i="2" s="1"/>
  <c r="Z2321" i="2" s="1"/>
  <c r="W2322" i="2"/>
  <c r="X2322" i="2" s="1"/>
  <c r="Z2322" i="2" s="1"/>
  <c r="W2323" i="2"/>
  <c r="X2323" i="2" s="1"/>
  <c r="Z2323" i="2" s="1"/>
  <c r="W2324" i="2"/>
  <c r="X2324" i="2" s="1"/>
  <c r="Z2324" i="2" s="1"/>
  <c r="W2325" i="2"/>
  <c r="X2325" i="2" s="1"/>
  <c r="Z2325" i="2" s="1"/>
  <c r="W2326" i="2"/>
  <c r="X2326" i="2" s="1"/>
  <c r="W2327" i="2"/>
  <c r="X2327" i="2" s="1"/>
  <c r="Z2327" i="2" s="1"/>
  <c r="W2328" i="2"/>
  <c r="X2328" i="2" s="1"/>
  <c r="Z2328" i="2" s="1"/>
  <c r="W2329" i="2"/>
  <c r="X2329" i="2" s="1"/>
  <c r="Z2329" i="2" s="1"/>
  <c r="W2330" i="2"/>
  <c r="X2330" i="2" s="1"/>
  <c r="W2331" i="2"/>
  <c r="X2331" i="2" s="1"/>
  <c r="W2332" i="2"/>
  <c r="X2332" i="2" s="1"/>
  <c r="Z2332" i="2" s="1"/>
  <c r="W2333" i="2"/>
  <c r="X2333" i="2" s="1"/>
  <c r="Z2333" i="2" s="1"/>
  <c r="W2334" i="2"/>
  <c r="X2334" i="2" s="1"/>
  <c r="Z2334" i="2" s="1"/>
  <c r="W2335" i="2"/>
  <c r="X2335" i="2" s="1"/>
  <c r="W2336" i="2"/>
  <c r="X2336" i="2" s="1"/>
  <c r="Z2336" i="2" s="1"/>
  <c r="W2337" i="2"/>
  <c r="X2337" i="2" s="1"/>
  <c r="Z2337" i="2" s="1"/>
  <c r="W2338" i="2"/>
  <c r="X2338" i="2" s="1"/>
  <c r="Z2338" i="2" s="1"/>
  <c r="W2339" i="2"/>
  <c r="X2339" i="2" s="1"/>
  <c r="Z2339" i="2" s="1"/>
  <c r="W2340" i="2"/>
  <c r="X2340" i="2" s="1"/>
  <c r="Z2340" i="2" s="1"/>
  <c r="W2341" i="2"/>
  <c r="X2341" i="2" s="1"/>
  <c r="Z2341" i="2" s="1"/>
  <c r="W2342" i="2"/>
  <c r="X2342" i="2" s="1"/>
  <c r="W2343" i="2"/>
  <c r="X2343" i="2" s="1"/>
  <c r="Z2343" i="2" s="1"/>
  <c r="W2344" i="2"/>
  <c r="X2344" i="2" s="1"/>
  <c r="Z2344" i="2" s="1"/>
  <c r="W2345" i="2"/>
  <c r="X2345" i="2" s="1"/>
  <c r="Z2345" i="2" s="1"/>
  <c r="W2346" i="2"/>
  <c r="X2346" i="2" s="1"/>
  <c r="W2347" i="2"/>
  <c r="X2347" i="2" s="1"/>
  <c r="W2348" i="2"/>
  <c r="X2348" i="2" s="1"/>
  <c r="Z2348" i="2" s="1"/>
  <c r="W2349" i="2"/>
  <c r="X2349" i="2" s="1"/>
  <c r="Z2349" i="2" s="1"/>
  <c r="W2350" i="2"/>
  <c r="X2350" i="2" s="1"/>
  <c r="Z2350" i="2" s="1"/>
  <c r="W2351" i="2"/>
  <c r="X2351" i="2" s="1"/>
  <c r="W2352" i="2"/>
  <c r="X2352" i="2" s="1"/>
  <c r="Z2352" i="2" s="1"/>
  <c r="W2353" i="2"/>
  <c r="X2353" i="2" s="1"/>
  <c r="Z2353" i="2" s="1"/>
  <c r="W2354" i="2"/>
  <c r="X2354" i="2" s="1"/>
  <c r="Z2354" i="2" s="1"/>
  <c r="W2355" i="2"/>
  <c r="X2355" i="2" s="1"/>
  <c r="Z2355" i="2" s="1"/>
  <c r="W2356" i="2"/>
  <c r="X2356" i="2" s="1"/>
  <c r="Z2356" i="2" s="1"/>
  <c r="W2357" i="2"/>
  <c r="X2357" i="2" s="1"/>
  <c r="Z2357" i="2" s="1"/>
  <c r="W2358" i="2"/>
  <c r="X2358" i="2" s="1"/>
  <c r="W2359" i="2"/>
  <c r="X2359" i="2" s="1"/>
  <c r="Z2359" i="2" s="1"/>
  <c r="W2360" i="2"/>
  <c r="X2360" i="2" s="1"/>
  <c r="Z2360" i="2" s="1"/>
  <c r="W2361" i="2"/>
  <c r="X2361" i="2" s="1"/>
  <c r="Z2361" i="2" s="1"/>
  <c r="W2362" i="2"/>
  <c r="X2362" i="2" s="1"/>
  <c r="W2363" i="2"/>
  <c r="X2363" i="2" s="1"/>
  <c r="W2364" i="2"/>
  <c r="X2364" i="2" s="1"/>
  <c r="Z2364" i="2" s="1"/>
  <c r="W2365" i="2"/>
  <c r="X2365" i="2" s="1"/>
  <c r="Z2365" i="2" s="1"/>
  <c r="W2366" i="2"/>
  <c r="X2366" i="2" s="1"/>
  <c r="Z2366" i="2" s="1"/>
  <c r="W2367" i="2"/>
  <c r="X2367" i="2" s="1"/>
  <c r="W2368" i="2"/>
  <c r="X2368" i="2" s="1"/>
  <c r="Z2368" i="2" s="1"/>
  <c r="W2369" i="2"/>
  <c r="X2369" i="2" s="1"/>
  <c r="Z2369" i="2" s="1"/>
  <c r="W2370" i="2"/>
  <c r="X2370" i="2" s="1"/>
  <c r="Z2370" i="2" s="1"/>
  <c r="W2371" i="2"/>
  <c r="X2371" i="2" s="1"/>
  <c r="Z2371" i="2" s="1"/>
  <c r="W2372" i="2"/>
  <c r="X2372" i="2" s="1"/>
  <c r="Z2372" i="2" s="1"/>
  <c r="W2373" i="2"/>
  <c r="X2373" i="2" s="1"/>
  <c r="Z2373" i="2" s="1"/>
  <c r="W2374" i="2"/>
  <c r="X2374" i="2" s="1"/>
  <c r="W2375" i="2"/>
  <c r="X2375" i="2" s="1"/>
  <c r="Z2375" i="2" s="1"/>
  <c r="W2376" i="2"/>
  <c r="X2376" i="2" s="1"/>
  <c r="Z2376" i="2" s="1"/>
  <c r="W2377" i="2"/>
  <c r="X2377" i="2" s="1"/>
  <c r="Z2377" i="2" s="1"/>
  <c r="W2378" i="2"/>
  <c r="X2378" i="2" s="1"/>
  <c r="W2379" i="2"/>
  <c r="X2379" i="2" s="1"/>
  <c r="W2380" i="2"/>
  <c r="X2380" i="2" s="1"/>
  <c r="Z2380" i="2" s="1"/>
  <c r="W2381" i="2"/>
  <c r="X2381" i="2" s="1"/>
  <c r="Z2381" i="2" s="1"/>
  <c r="W2382" i="2"/>
  <c r="X2382" i="2" s="1"/>
  <c r="Z2382" i="2" s="1"/>
  <c r="W2383" i="2"/>
  <c r="X2383" i="2" s="1"/>
  <c r="W2384" i="2"/>
  <c r="X2384" i="2" s="1"/>
  <c r="Z2384" i="2" s="1"/>
  <c r="W2385" i="2"/>
  <c r="X2385" i="2" s="1"/>
  <c r="Z2385" i="2" s="1"/>
  <c r="W2386" i="2"/>
  <c r="X2386" i="2" s="1"/>
  <c r="Z2386" i="2" s="1"/>
  <c r="W2387" i="2"/>
  <c r="X2387" i="2" s="1"/>
  <c r="Z2387" i="2" s="1"/>
  <c r="W2388" i="2"/>
  <c r="X2388" i="2" s="1"/>
  <c r="Z2388" i="2" s="1"/>
  <c r="W2389" i="2"/>
  <c r="X2389" i="2" s="1"/>
  <c r="Z2389" i="2" s="1"/>
  <c r="W2390" i="2"/>
  <c r="X2390" i="2" s="1"/>
  <c r="W2391" i="2"/>
  <c r="X2391" i="2" s="1"/>
  <c r="Z2391" i="2" s="1"/>
  <c r="W2392" i="2"/>
  <c r="X2392" i="2" s="1"/>
  <c r="Z2392" i="2" s="1"/>
  <c r="W2393" i="2"/>
  <c r="X2393" i="2" s="1"/>
  <c r="Z2393" i="2" s="1"/>
  <c r="W2394" i="2"/>
  <c r="X2394" i="2" s="1"/>
  <c r="W2395" i="2"/>
  <c r="X2395" i="2" s="1"/>
  <c r="W2396" i="2"/>
  <c r="X2396" i="2" s="1"/>
  <c r="Z2396" i="2" s="1"/>
  <c r="W2397" i="2"/>
  <c r="X2397" i="2" s="1"/>
  <c r="Z2397" i="2" s="1"/>
  <c r="W2398" i="2"/>
  <c r="X2398" i="2" s="1"/>
  <c r="Z2398" i="2" s="1"/>
  <c r="W2399" i="2"/>
  <c r="X2399" i="2" s="1"/>
  <c r="W2400" i="2"/>
  <c r="X2400" i="2" s="1"/>
  <c r="Z2400" i="2" s="1"/>
  <c r="W2401" i="2"/>
  <c r="X2401" i="2" s="1"/>
  <c r="Z2401" i="2" s="1"/>
  <c r="W2402" i="2"/>
  <c r="X2402" i="2" s="1"/>
  <c r="Z2402" i="2" s="1"/>
  <c r="W2403" i="2"/>
  <c r="X2403" i="2" s="1"/>
  <c r="Z2403" i="2" s="1"/>
  <c r="W2404" i="2"/>
  <c r="X2404" i="2" s="1"/>
  <c r="Z2404" i="2" s="1"/>
  <c r="W2405" i="2"/>
  <c r="X2405" i="2" s="1"/>
  <c r="Z2405" i="2" s="1"/>
  <c r="W2406" i="2"/>
  <c r="X2406" i="2" s="1"/>
  <c r="W2407" i="2"/>
  <c r="X2407" i="2" s="1"/>
  <c r="Z2407" i="2" s="1"/>
  <c r="W2408" i="2"/>
  <c r="X2408" i="2" s="1"/>
  <c r="Z2408" i="2" s="1"/>
  <c r="W2409" i="2"/>
  <c r="X2409" i="2" s="1"/>
  <c r="Z2409" i="2" s="1"/>
  <c r="W2410" i="2"/>
  <c r="X2410" i="2" s="1"/>
  <c r="W2411" i="2"/>
  <c r="X2411" i="2" s="1"/>
  <c r="W2412" i="2"/>
  <c r="X2412" i="2" s="1"/>
  <c r="Z2412" i="2" s="1"/>
  <c r="W2413" i="2"/>
  <c r="X2413" i="2" s="1"/>
  <c r="Z2413" i="2" s="1"/>
  <c r="W2414" i="2"/>
  <c r="X2414" i="2" s="1"/>
  <c r="Z2414" i="2" s="1"/>
  <c r="W2415" i="2"/>
  <c r="X2415" i="2" s="1"/>
  <c r="W2416" i="2"/>
  <c r="X2416" i="2" s="1"/>
  <c r="Z2416" i="2" s="1"/>
  <c r="W2417" i="2"/>
  <c r="X2417" i="2" s="1"/>
  <c r="Z2417" i="2" s="1"/>
  <c r="W2418" i="2"/>
  <c r="X2418" i="2" s="1"/>
  <c r="Z2418" i="2" s="1"/>
  <c r="W2419" i="2"/>
  <c r="X2419" i="2" s="1"/>
  <c r="Z2419" i="2" s="1"/>
  <c r="W2420" i="2"/>
  <c r="X2420" i="2" s="1"/>
  <c r="Z2420" i="2" s="1"/>
  <c r="W2421" i="2"/>
  <c r="X2421" i="2" s="1"/>
  <c r="Z2421" i="2" s="1"/>
  <c r="W2422" i="2"/>
  <c r="X2422" i="2" s="1"/>
  <c r="W2423" i="2"/>
  <c r="X2423" i="2" s="1"/>
  <c r="Z2423" i="2" s="1"/>
  <c r="W2424" i="2"/>
  <c r="X2424" i="2" s="1"/>
  <c r="Z2424" i="2" s="1"/>
  <c r="W2425" i="2"/>
  <c r="X2425" i="2" s="1"/>
  <c r="Z2425" i="2" s="1"/>
  <c r="W2426" i="2"/>
  <c r="X2426" i="2" s="1"/>
  <c r="W2427" i="2"/>
  <c r="X2427" i="2" s="1"/>
  <c r="W2428" i="2"/>
  <c r="X2428" i="2" s="1"/>
  <c r="Z2428" i="2" s="1"/>
  <c r="W2429" i="2"/>
  <c r="X2429" i="2" s="1"/>
  <c r="Z2429" i="2" s="1"/>
  <c r="W2430" i="2"/>
  <c r="X2430" i="2" s="1"/>
  <c r="Z2430" i="2" s="1"/>
  <c r="W2431" i="2"/>
  <c r="X2431" i="2" s="1"/>
  <c r="W2432" i="2"/>
  <c r="X2432" i="2" s="1"/>
  <c r="Z2432" i="2" s="1"/>
  <c r="W2433" i="2"/>
  <c r="X2433" i="2" s="1"/>
  <c r="Z2433" i="2" s="1"/>
  <c r="W2434" i="2"/>
  <c r="X2434" i="2" s="1"/>
  <c r="Z2434" i="2" s="1"/>
  <c r="W2435" i="2"/>
  <c r="X2435" i="2" s="1"/>
  <c r="Z2435" i="2" s="1"/>
  <c r="W2436" i="2"/>
  <c r="X2436" i="2" s="1"/>
  <c r="Z2436" i="2" s="1"/>
  <c r="W2437" i="2"/>
  <c r="X2437" i="2" s="1"/>
  <c r="Z2437" i="2" s="1"/>
  <c r="W2438" i="2"/>
  <c r="X2438" i="2" s="1"/>
  <c r="W2439" i="2"/>
  <c r="X2439" i="2" s="1"/>
  <c r="Z2439" i="2" s="1"/>
  <c r="W2440" i="2"/>
  <c r="X2440" i="2" s="1"/>
  <c r="Z2440" i="2" s="1"/>
  <c r="W2441" i="2"/>
  <c r="X2441" i="2" s="1"/>
  <c r="Z2441" i="2" s="1"/>
  <c r="W2442" i="2"/>
  <c r="X2442" i="2" s="1"/>
  <c r="W2443" i="2"/>
  <c r="X2443" i="2" s="1"/>
  <c r="W2444" i="2"/>
  <c r="X2444" i="2" s="1"/>
  <c r="Z2444" i="2" s="1"/>
  <c r="W2445" i="2"/>
  <c r="X2445" i="2" s="1"/>
  <c r="Z2445" i="2" s="1"/>
  <c r="W2446" i="2"/>
  <c r="X2446" i="2" s="1"/>
  <c r="Z2446" i="2" s="1"/>
  <c r="W2447" i="2"/>
  <c r="X2447" i="2" s="1"/>
  <c r="W2448" i="2"/>
  <c r="X2448" i="2" s="1"/>
  <c r="Z2448" i="2" s="1"/>
  <c r="W2449" i="2"/>
  <c r="X2449" i="2" s="1"/>
  <c r="Z2449" i="2" s="1"/>
  <c r="W2450" i="2"/>
  <c r="X2450" i="2" s="1"/>
  <c r="Z2450" i="2" s="1"/>
  <c r="W2451" i="2"/>
  <c r="X2451" i="2" s="1"/>
  <c r="Z2451" i="2" s="1"/>
  <c r="W2452" i="2"/>
  <c r="X2452" i="2" s="1"/>
  <c r="Z2452" i="2" s="1"/>
  <c r="W2453" i="2"/>
  <c r="X2453" i="2" s="1"/>
  <c r="Z2453" i="2" s="1"/>
  <c r="W2454" i="2"/>
  <c r="X2454" i="2" s="1"/>
  <c r="W2455" i="2"/>
  <c r="X2455" i="2" s="1"/>
  <c r="Z2455" i="2" s="1"/>
  <c r="W2456" i="2"/>
  <c r="X2456" i="2" s="1"/>
  <c r="Z2456" i="2" s="1"/>
  <c r="W2457" i="2"/>
  <c r="X2457" i="2" s="1"/>
  <c r="Z2457" i="2" s="1"/>
  <c r="W2458" i="2"/>
  <c r="X2458" i="2" s="1"/>
  <c r="W2459" i="2"/>
  <c r="X2459" i="2" s="1"/>
  <c r="W2460" i="2"/>
  <c r="X2460" i="2" s="1"/>
  <c r="Z2460" i="2" s="1"/>
  <c r="W2461" i="2"/>
  <c r="X2461" i="2" s="1"/>
  <c r="Z2461" i="2" s="1"/>
  <c r="W2462" i="2"/>
  <c r="X2462" i="2" s="1"/>
  <c r="Z2462" i="2" s="1"/>
  <c r="W2463" i="2"/>
  <c r="X2463" i="2" s="1"/>
  <c r="W2464" i="2"/>
  <c r="X2464" i="2" s="1"/>
  <c r="Z2464" i="2" s="1"/>
  <c r="W2465" i="2"/>
  <c r="X2465" i="2" s="1"/>
  <c r="Z2465" i="2" s="1"/>
  <c r="W2466" i="2"/>
  <c r="X2466" i="2" s="1"/>
  <c r="Z2466" i="2" s="1"/>
  <c r="W2467" i="2"/>
  <c r="X2467" i="2" s="1"/>
  <c r="Z2467" i="2" s="1"/>
  <c r="W2468" i="2"/>
  <c r="X2468" i="2" s="1"/>
  <c r="Z2468" i="2" s="1"/>
  <c r="W2469" i="2"/>
  <c r="X2469" i="2" s="1"/>
  <c r="Z2469" i="2" s="1"/>
  <c r="W2470" i="2"/>
  <c r="X2470" i="2" s="1"/>
  <c r="W2471" i="2"/>
  <c r="X2471" i="2" s="1"/>
  <c r="Z2471" i="2" s="1"/>
  <c r="W2472" i="2"/>
  <c r="X2472" i="2" s="1"/>
  <c r="Z2472" i="2" s="1"/>
  <c r="W2473" i="2"/>
  <c r="X2473" i="2" s="1"/>
  <c r="Z2473" i="2" s="1"/>
  <c r="W2474" i="2"/>
  <c r="X2474" i="2" s="1"/>
  <c r="W2475" i="2"/>
  <c r="X2475" i="2" s="1"/>
  <c r="W2476" i="2"/>
  <c r="X2476" i="2" s="1"/>
  <c r="Z2476" i="2" s="1"/>
  <c r="W2477" i="2"/>
  <c r="X2477" i="2" s="1"/>
  <c r="Z2477" i="2" s="1"/>
  <c r="W2478" i="2"/>
  <c r="X2478" i="2" s="1"/>
  <c r="Z2478" i="2" s="1"/>
  <c r="W2479" i="2"/>
  <c r="X2479" i="2" s="1"/>
  <c r="W2480" i="2"/>
  <c r="X2480" i="2" s="1"/>
  <c r="Z2480" i="2" s="1"/>
  <c r="W2481" i="2"/>
  <c r="X2481" i="2" s="1"/>
  <c r="Z2481" i="2" s="1"/>
  <c r="W2482" i="2"/>
  <c r="X2482" i="2" s="1"/>
  <c r="Z2482" i="2" s="1"/>
  <c r="W2483" i="2"/>
  <c r="X2483" i="2" s="1"/>
  <c r="Z2483" i="2" s="1"/>
  <c r="W2484" i="2"/>
  <c r="X2484" i="2" s="1"/>
  <c r="Z2484" i="2" s="1"/>
  <c r="W2485" i="2"/>
  <c r="X2485" i="2" s="1"/>
  <c r="Z2485" i="2" s="1"/>
  <c r="W2486" i="2"/>
  <c r="X2486" i="2" s="1"/>
  <c r="W2487" i="2"/>
  <c r="X2487" i="2" s="1"/>
  <c r="Z2487" i="2" s="1"/>
  <c r="W2488" i="2"/>
  <c r="X2488" i="2" s="1"/>
  <c r="Z2488" i="2" s="1"/>
  <c r="W2489" i="2"/>
  <c r="X2489" i="2" s="1"/>
  <c r="Z2489" i="2" s="1"/>
  <c r="W2490" i="2"/>
  <c r="X2490" i="2" s="1"/>
  <c r="W2491" i="2"/>
  <c r="X2491" i="2" s="1"/>
  <c r="W2492" i="2"/>
  <c r="X2492" i="2" s="1"/>
  <c r="Z2492" i="2" s="1"/>
  <c r="W2493" i="2"/>
  <c r="X2493" i="2" s="1"/>
  <c r="Z2493" i="2" s="1"/>
  <c r="W2494" i="2"/>
  <c r="X2494" i="2" s="1"/>
  <c r="Z2494" i="2" s="1"/>
  <c r="W2495" i="2"/>
  <c r="X2495" i="2" s="1"/>
  <c r="W2496" i="2"/>
  <c r="X2496" i="2" s="1"/>
  <c r="Z2496" i="2" s="1"/>
  <c r="W2497" i="2"/>
  <c r="X2497" i="2" s="1"/>
  <c r="Z2497" i="2" s="1"/>
  <c r="W2498" i="2"/>
  <c r="X2498" i="2" s="1"/>
  <c r="Z2498" i="2" s="1"/>
  <c r="W2499" i="2"/>
  <c r="X2499" i="2" s="1"/>
  <c r="Z2499" i="2" s="1"/>
  <c r="W2500" i="2"/>
  <c r="X2500" i="2" s="1"/>
  <c r="Z2500" i="2" s="1"/>
  <c r="W2501" i="2"/>
  <c r="X2501" i="2" s="1"/>
  <c r="Z2501" i="2" s="1"/>
  <c r="W2502" i="2"/>
  <c r="X2502" i="2" s="1"/>
  <c r="W2503" i="2"/>
  <c r="X2503" i="2" s="1"/>
  <c r="Z2503" i="2" s="1"/>
  <c r="W2504" i="2"/>
  <c r="X2504" i="2" s="1"/>
  <c r="Z2504" i="2" s="1"/>
  <c r="W2505" i="2"/>
  <c r="X2505" i="2" s="1"/>
  <c r="Z2505" i="2" s="1"/>
  <c r="W2506" i="2"/>
  <c r="X2506" i="2" s="1"/>
  <c r="W2507" i="2"/>
  <c r="X2507" i="2" s="1"/>
  <c r="W2508" i="2"/>
  <c r="X2508" i="2" s="1"/>
  <c r="Z2508" i="2" s="1"/>
  <c r="W2509" i="2"/>
  <c r="X2509" i="2" s="1"/>
  <c r="Z2509" i="2" s="1"/>
  <c r="W2510" i="2"/>
  <c r="X2510" i="2" s="1"/>
  <c r="Z2510" i="2" s="1"/>
  <c r="W2511" i="2"/>
  <c r="X2511" i="2" s="1"/>
  <c r="W2512" i="2"/>
  <c r="X2512" i="2" s="1"/>
  <c r="Z2512" i="2" s="1"/>
  <c r="W2513" i="2"/>
  <c r="X2513" i="2" s="1"/>
  <c r="Z2513" i="2" s="1"/>
  <c r="W2514" i="2"/>
  <c r="X2514" i="2" s="1"/>
  <c r="Z2514" i="2" s="1"/>
  <c r="W2515" i="2"/>
  <c r="X2515" i="2" s="1"/>
  <c r="Z2515" i="2" s="1"/>
  <c r="W2516" i="2"/>
  <c r="X2516" i="2" s="1"/>
  <c r="Z2516" i="2" s="1"/>
  <c r="W2517" i="2"/>
  <c r="X2517" i="2" s="1"/>
  <c r="Z2517" i="2" s="1"/>
  <c r="W2518" i="2"/>
  <c r="X2518" i="2" s="1"/>
  <c r="W2519" i="2"/>
  <c r="X2519" i="2" s="1"/>
  <c r="Z2519" i="2" s="1"/>
  <c r="W2520" i="2"/>
  <c r="X2520" i="2" s="1"/>
  <c r="Z2520" i="2" s="1"/>
  <c r="W2521" i="2"/>
  <c r="X2521" i="2" s="1"/>
  <c r="Z2521" i="2" s="1"/>
  <c r="W2522" i="2"/>
  <c r="X2522" i="2" s="1"/>
  <c r="W2523" i="2"/>
  <c r="X2523" i="2" s="1"/>
  <c r="W2524" i="2"/>
  <c r="X2524" i="2" s="1"/>
  <c r="Z2524" i="2" s="1"/>
  <c r="W2525" i="2"/>
  <c r="X2525" i="2" s="1"/>
  <c r="Z2525" i="2" s="1"/>
  <c r="W2526" i="2"/>
  <c r="X2526" i="2" s="1"/>
  <c r="Z2526" i="2" s="1"/>
  <c r="W2527" i="2"/>
  <c r="X2527" i="2" s="1"/>
  <c r="W2528" i="2"/>
  <c r="X2528" i="2" s="1"/>
  <c r="Z2528" i="2" s="1"/>
  <c r="W2529" i="2"/>
  <c r="X2529" i="2" s="1"/>
  <c r="Z2529" i="2" s="1"/>
  <c r="W2530" i="2"/>
  <c r="X2530" i="2" s="1"/>
  <c r="Z2530" i="2" s="1"/>
  <c r="W2531" i="2"/>
  <c r="X2531" i="2" s="1"/>
  <c r="Z2531" i="2" s="1"/>
  <c r="W2532" i="2"/>
  <c r="X2532" i="2" s="1"/>
  <c r="Z2532" i="2" s="1"/>
  <c r="W2533" i="2"/>
  <c r="X2533" i="2" s="1"/>
  <c r="Z2533" i="2" s="1"/>
  <c r="W2534" i="2"/>
  <c r="X2534" i="2" s="1"/>
  <c r="W2535" i="2"/>
  <c r="X2535" i="2" s="1"/>
  <c r="Z2535" i="2" s="1"/>
  <c r="W2536" i="2"/>
  <c r="X2536" i="2" s="1"/>
  <c r="Z2536" i="2" s="1"/>
  <c r="W2537" i="2"/>
  <c r="X2537" i="2" s="1"/>
  <c r="Z2537" i="2" s="1"/>
  <c r="W2538" i="2"/>
  <c r="X2538" i="2" s="1"/>
  <c r="W2539" i="2"/>
  <c r="X2539" i="2" s="1"/>
  <c r="W2540" i="2"/>
  <c r="X2540" i="2" s="1"/>
  <c r="Z2540" i="2" s="1"/>
  <c r="W2541" i="2"/>
  <c r="X2541" i="2" s="1"/>
  <c r="Z2541" i="2" s="1"/>
  <c r="W2542" i="2"/>
  <c r="X2542" i="2" s="1"/>
  <c r="Z2542" i="2" s="1"/>
  <c r="W2543" i="2"/>
  <c r="X2543" i="2" s="1"/>
  <c r="W2544" i="2"/>
  <c r="X2544" i="2" s="1"/>
  <c r="Z2544" i="2" s="1"/>
  <c r="W2545" i="2"/>
  <c r="X2545" i="2" s="1"/>
  <c r="Z2545" i="2" s="1"/>
  <c r="W2546" i="2"/>
  <c r="X2546" i="2" s="1"/>
  <c r="Z2546" i="2" s="1"/>
  <c r="W2547" i="2"/>
  <c r="X2547" i="2" s="1"/>
  <c r="Z2547" i="2" s="1"/>
  <c r="W2548" i="2"/>
  <c r="X2548" i="2" s="1"/>
  <c r="Z2548" i="2" s="1"/>
  <c r="W2549" i="2"/>
  <c r="X2549" i="2" s="1"/>
  <c r="Z2549" i="2" s="1"/>
  <c r="W2550" i="2"/>
  <c r="X2550" i="2" s="1"/>
  <c r="W2551" i="2"/>
  <c r="X2551" i="2" s="1"/>
  <c r="Z2551" i="2" s="1"/>
  <c r="W2552" i="2"/>
  <c r="X2552" i="2" s="1"/>
  <c r="Z2552" i="2" s="1"/>
  <c r="W2553" i="2"/>
  <c r="X2553" i="2" s="1"/>
  <c r="Z2553" i="2" s="1"/>
  <c r="W2554" i="2"/>
  <c r="X2554" i="2" s="1"/>
  <c r="W2555" i="2"/>
  <c r="X2555" i="2" s="1"/>
  <c r="W2556" i="2"/>
  <c r="X2556" i="2" s="1"/>
  <c r="Z2556" i="2" s="1"/>
  <c r="W2557" i="2"/>
  <c r="X2557" i="2" s="1"/>
  <c r="Z2557" i="2" s="1"/>
  <c r="W2558" i="2"/>
  <c r="X2558" i="2" s="1"/>
  <c r="Z2558" i="2" s="1"/>
  <c r="W2559" i="2"/>
  <c r="X2559" i="2" s="1"/>
  <c r="W2560" i="2"/>
  <c r="X2560" i="2" s="1"/>
  <c r="Z2560" i="2" s="1"/>
  <c r="W2561" i="2"/>
  <c r="X2561" i="2" s="1"/>
  <c r="Z2561" i="2" s="1"/>
  <c r="W2562" i="2"/>
  <c r="X2562" i="2" s="1"/>
  <c r="Z2562" i="2" s="1"/>
  <c r="W2563" i="2"/>
  <c r="X2563" i="2" s="1"/>
  <c r="Z2563" i="2" s="1"/>
  <c r="W2564" i="2"/>
  <c r="X2564" i="2" s="1"/>
  <c r="Z2564" i="2" s="1"/>
  <c r="W2565" i="2"/>
  <c r="X2565" i="2" s="1"/>
  <c r="Z2565" i="2" s="1"/>
  <c r="W2566" i="2"/>
  <c r="X2566" i="2" s="1"/>
  <c r="W2567" i="2"/>
  <c r="X2567" i="2" s="1"/>
  <c r="Z2567" i="2" s="1"/>
  <c r="W2568" i="2"/>
  <c r="X2568" i="2" s="1"/>
  <c r="Z2568" i="2" s="1"/>
  <c r="W2569" i="2"/>
  <c r="X2569" i="2" s="1"/>
  <c r="Z2569" i="2" s="1"/>
  <c r="W2570" i="2"/>
  <c r="X2570" i="2" s="1"/>
  <c r="W2571" i="2"/>
  <c r="X2571" i="2" s="1"/>
  <c r="W2572" i="2"/>
  <c r="X2572" i="2" s="1"/>
  <c r="Z2572" i="2" s="1"/>
  <c r="W2573" i="2"/>
  <c r="X2573" i="2" s="1"/>
  <c r="Z2573" i="2" s="1"/>
  <c r="W2574" i="2"/>
  <c r="X2574" i="2" s="1"/>
  <c r="Z2574" i="2" s="1"/>
  <c r="W2575" i="2"/>
  <c r="X2575" i="2" s="1"/>
  <c r="W2576" i="2"/>
  <c r="X2576" i="2" s="1"/>
  <c r="Z2576" i="2" s="1"/>
  <c r="W2577" i="2"/>
  <c r="X2577" i="2" s="1"/>
  <c r="Z2577" i="2" s="1"/>
  <c r="W2578" i="2"/>
  <c r="X2578" i="2" s="1"/>
  <c r="Z2578" i="2" s="1"/>
  <c r="W2579" i="2"/>
  <c r="X2579" i="2" s="1"/>
  <c r="Z2579" i="2" s="1"/>
  <c r="W2580" i="2"/>
  <c r="X2580" i="2" s="1"/>
  <c r="Z2580" i="2" s="1"/>
  <c r="W2581" i="2"/>
  <c r="X2581" i="2" s="1"/>
  <c r="Z2581" i="2" s="1"/>
  <c r="W2582" i="2"/>
  <c r="X2582" i="2" s="1"/>
  <c r="W2583" i="2"/>
  <c r="X2583" i="2" s="1"/>
  <c r="Z2583" i="2" s="1"/>
  <c r="W2584" i="2"/>
  <c r="X2584" i="2" s="1"/>
  <c r="Z2584" i="2" s="1"/>
  <c r="W2585" i="2"/>
  <c r="X2585" i="2" s="1"/>
  <c r="Z2585" i="2" s="1"/>
  <c r="W2586" i="2"/>
  <c r="X2586" i="2" s="1"/>
  <c r="W2587" i="2"/>
  <c r="X2587" i="2" s="1"/>
  <c r="W2588" i="2"/>
  <c r="X2588" i="2" s="1"/>
  <c r="Z2588" i="2" s="1"/>
  <c r="W2589" i="2"/>
  <c r="X2589" i="2" s="1"/>
  <c r="Z2589" i="2" s="1"/>
  <c r="W2590" i="2"/>
  <c r="X2590" i="2" s="1"/>
  <c r="Z2590" i="2" s="1"/>
  <c r="W2591" i="2"/>
  <c r="X2591" i="2" s="1"/>
  <c r="W2592" i="2"/>
  <c r="X2592" i="2" s="1"/>
  <c r="Z2592" i="2" s="1"/>
  <c r="W2593" i="2"/>
  <c r="X2593" i="2" s="1"/>
  <c r="Z2593" i="2" s="1"/>
  <c r="W2594" i="2"/>
  <c r="X2594" i="2" s="1"/>
  <c r="Z2594" i="2" s="1"/>
  <c r="W2595" i="2"/>
  <c r="X2595" i="2" s="1"/>
  <c r="Z2595" i="2" s="1"/>
  <c r="W2596" i="2"/>
  <c r="X2596" i="2" s="1"/>
  <c r="Z2596" i="2" s="1"/>
  <c r="W2597" i="2"/>
  <c r="X2597" i="2" s="1"/>
  <c r="Z2597" i="2" s="1"/>
  <c r="W2598" i="2"/>
  <c r="X2598" i="2" s="1"/>
  <c r="W2599" i="2"/>
  <c r="X2599" i="2" s="1"/>
  <c r="Z2599" i="2" s="1"/>
  <c r="W2600" i="2"/>
  <c r="X2600" i="2" s="1"/>
  <c r="Z2600" i="2" s="1"/>
  <c r="W2601" i="2"/>
  <c r="X2601" i="2" s="1"/>
  <c r="Z2601" i="2" s="1"/>
  <c r="W2602" i="2"/>
  <c r="X2602" i="2" s="1"/>
  <c r="W2603" i="2"/>
  <c r="X2603" i="2" s="1"/>
  <c r="W2604" i="2"/>
  <c r="X2604" i="2" s="1"/>
  <c r="Z2604" i="2" s="1"/>
  <c r="W2605" i="2"/>
  <c r="X2605" i="2" s="1"/>
  <c r="Z2605" i="2" s="1"/>
  <c r="W2606" i="2"/>
  <c r="X2606" i="2" s="1"/>
  <c r="Z2606" i="2" s="1"/>
  <c r="W2607" i="2"/>
  <c r="X2607" i="2" s="1"/>
  <c r="W2608" i="2"/>
  <c r="X2608" i="2" s="1"/>
  <c r="Z2608" i="2" s="1"/>
  <c r="W2609" i="2"/>
  <c r="X2609" i="2" s="1"/>
  <c r="Z2609" i="2" s="1"/>
  <c r="W2610" i="2"/>
  <c r="X2610" i="2" s="1"/>
  <c r="Z2610" i="2" s="1"/>
  <c r="W2611" i="2"/>
  <c r="X2611" i="2" s="1"/>
  <c r="Z2611" i="2" s="1"/>
  <c r="W2612" i="2"/>
  <c r="X2612" i="2" s="1"/>
  <c r="Z2612" i="2" s="1"/>
  <c r="W2613" i="2"/>
  <c r="X2613" i="2" s="1"/>
  <c r="Z2613" i="2" s="1"/>
  <c r="W2614" i="2"/>
  <c r="X2614" i="2" s="1"/>
  <c r="W2615" i="2"/>
  <c r="X2615" i="2" s="1"/>
  <c r="Z2615" i="2" s="1"/>
  <c r="W2616" i="2"/>
  <c r="X2616" i="2" s="1"/>
  <c r="Z2616" i="2" s="1"/>
  <c r="W2617" i="2"/>
  <c r="X2617" i="2" s="1"/>
  <c r="Z2617" i="2" s="1"/>
  <c r="W2618" i="2"/>
  <c r="X2618" i="2" s="1"/>
  <c r="W2619" i="2"/>
  <c r="X2619" i="2" s="1"/>
  <c r="W2620" i="2"/>
  <c r="X2620" i="2" s="1"/>
  <c r="Z2620" i="2" s="1"/>
  <c r="W2621" i="2"/>
  <c r="X2621" i="2" s="1"/>
  <c r="Z2621" i="2" s="1"/>
  <c r="W2622" i="2"/>
  <c r="X2622" i="2" s="1"/>
  <c r="Z2622" i="2" s="1"/>
  <c r="W2623" i="2"/>
  <c r="X2623" i="2" s="1"/>
  <c r="W2624" i="2"/>
  <c r="X2624" i="2" s="1"/>
  <c r="Z2624" i="2" s="1"/>
  <c r="W2625" i="2"/>
  <c r="X2625" i="2" s="1"/>
  <c r="Z2625" i="2" s="1"/>
  <c r="W2626" i="2"/>
  <c r="X2626" i="2" s="1"/>
  <c r="Z2626" i="2" s="1"/>
  <c r="W2627" i="2"/>
  <c r="X2627" i="2" s="1"/>
  <c r="Z2627" i="2" s="1"/>
  <c r="W2628" i="2"/>
  <c r="X2628" i="2" s="1"/>
  <c r="Z2628" i="2" s="1"/>
  <c r="W2629" i="2"/>
  <c r="X2629" i="2" s="1"/>
  <c r="Z2629" i="2" s="1"/>
  <c r="W2630" i="2"/>
  <c r="X2630" i="2" s="1"/>
  <c r="W2631" i="2"/>
  <c r="X2631" i="2" s="1"/>
  <c r="Z2631" i="2" s="1"/>
  <c r="W2632" i="2"/>
  <c r="X2632" i="2" s="1"/>
  <c r="Z2632" i="2" s="1"/>
  <c r="W2633" i="2"/>
  <c r="X2633" i="2" s="1"/>
  <c r="Z2633" i="2" s="1"/>
  <c r="W2634" i="2"/>
  <c r="X2634" i="2" s="1"/>
  <c r="W2635" i="2"/>
  <c r="X2635" i="2" s="1"/>
  <c r="W2636" i="2"/>
  <c r="X2636" i="2" s="1"/>
  <c r="Z2636" i="2" s="1"/>
  <c r="W2637" i="2"/>
  <c r="X2637" i="2" s="1"/>
  <c r="Z2637" i="2" s="1"/>
  <c r="W2638" i="2"/>
  <c r="X2638" i="2" s="1"/>
  <c r="Z2638" i="2" s="1"/>
  <c r="W2639" i="2"/>
  <c r="X2639" i="2" s="1"/>
  <c r="W2640" i="2"/>
  <c r="X2640" i="2" s="1"/>
  <c r="Z2640" i="2" s="1"/>
  <c r="W2641" i="2"/>
  <c r="X2641" i="2" s="1"/>
  <c r="Z2641" i="2" s="1"/>
  <c r="W2642" i="2"/>
  <c r="X2642" i="2" s="1"/>
  <c r="Z2642" i="2" s="1"/>
  <c r="W2643" i="2"/>
  <c r="X2643" i="2" s="1"/>
  <c r="Z2643" i="2" s="1"/>
  <c r="W2644" i="2"/>
  <c r="X2644" i="2" s="1"/>
  <c r="Z2644" i="2" s="1"/>
  <c r="W2645" i="2"/>
  <c r="X2645" i="2" s="1"/>
  <c r="Z2645" i="2" s="1"/>
  <c r="W2646" i="2"/>
  <c r="X2646" i="2" s="1"/>
  <c r="W2647" i="2"/>
  <c r="X2647" i="2" s="1"/>
  <c r="Z2647" i="2" s="1"/>
  <c r="W2648" i="2"/>
  <c r="X2648" i="2" s="1"/>
  <c r="Z2648" i="2" s="1"/>
  <c r="W2649" i="2"/>
  <c r="X2649" i="2" s="1"/>
  <c r="Z2649" i="2" s="1"/>
  <c r="W2650" i="2"/>
  <c r="X2650" i="2" s="1"/>
  <c r="W2651" i="2"/>
  <c r="X2651" i="2" s="1"/>
  <c r="W2652" i="2"/>
  <c r="X2652" i="2" s="1"/>
  <c r="Z2652" i="2" s="1"/>
  <c r="W2653" i="2"/>
  <c r="X2653" i="2" s="1"/>
  <c r="Z2653" i="2" s="1"/>
  <c r="W2654" i="2"/>
  <c r="X2654" i="2" s="1"/>
  <c r="Z2654" i="2" s="1"/>
  <c r="W2655" i="2"/>
  <c r="X2655" i="2" s="1"/>
  <c r="W2656" i="2"/>
  <c r="X2656" i="2" s="1"/>
  <c r="Z2656" i="2" s="1"/>
  <c r="W2657" i="2"/>
  <c r="X2657" i="2" s="1"/>
  <c r="Z2657" i="2" s="1"/>
  <c r="W2658" i="2"/>
  <c r="X2658" i="2" s="1"/>
  <c r="Z2658" i="2" s="1"/>
  <c r="W2659" i="2"/>
  <c r="X2659" i="2" s="1"/>
  <c r="Z2659" i="2" s="1"/>
  <c r="W2660" i="2"/>
  <c r="X2660" i="2" s="1"/>
  <c r="Z2660" i="2" s="1"/>
  <c r="W2661" i="2"/>
  <c r="X2661" i="2" s="1"/>
  <c r="Z2661" i="2" s="1"/>
  <c r="W2662" i="2"/>
  <c r="X2662" i="2" s="1"/>
  <c r="W2663" i="2"/>
  <c r="X2663" i="2" s="1"/>
  <c r="Z2663" i="2" s="1"/>
  <c r="W2664" i="2"/>
  <c r="X2664" i="2" s="1"/>
  <c r="Z2664" i="2" s="1"/>
  <c r="W2665" i="2"/>
  <c r="X2665" i="2" s="1"/>
  <c r="Z2665" i="2" s="1"/>
  <c r="W2666" i="2"/>
  <c r="X2666" i="2" s="1"/>
  <c r="W2667" i="2"/>
  <c r="X2667" i="2" s="1"/>
  <c r="W2668" i="2"/>
  <c r="X2668" i="2" s="1"/>
  <c r="Z2668" i="2" s="1"/>
  <c r="W2669" i="2"/>
  <c r="X2669" i="2" s="1"/>
  <c r="Z2669" i="2" s="1"/>
  <c r="W2670" i="2"/>
  <c r="X2670" i="2" s="1"/>
  <c r="Z2670" i="2" s="1"/>
  <c r="W2671" i="2"/>
  <c r="X2671" i="2" s="1"/>
  <c r="W2672" i="2"/>
  <c r="X2672" i="2" s="1"/>
  <c r="Z2672" i="2" s="1"/>
  <c r="W2673" i="2"/>
  <c r="X2673" i="2" s="1"/>
  <c r="Z2673" i="2" s="1"/>
  <c r="W2674" i="2"/>
  <c r="X2674" i="2" s="1"/>
  <c r="Z2674" i="2" s="1"/>
  <c r="W2675" i="2"/>
  <c r="X2675" i="2" s="1"/>
  <c r="Z2675" i="2" s="1"/>
  <c r="W2676" i="2"/>
  <c r="X2676" i="2" s="1"/>
  <c r="Z2676" i="2" s="1"/>
  <c r="W2677" i="2"/>
  <c r="X2677" i="2" s="1"/>
  <c r="Z2677" i="2" s="1"/>
  <c r="W2678" i="2"/>
  <c r="X2678" i="2" s="1"/>
  <c r="W2679" i="2"/>
  <c r="X2679" i="2" s="1"/>
  <c r="Z2679" i="2" s="1"/>
  <c r="W2680" i="2"/>
  <c r="X2680" i="2" s="1"/>
  <c r="Z2680" i="2" s="1"/>
  <c r="W2681" i="2"/>
  <c r="X2681" i="2" s="1"/>
  <c r="Z2681" i="2" s="1"/>
  <c r="W2682" i="2"/>
  <c r="X2682" i="2" s="1"/>
  <c r="W2683" i="2"/>
  <c r="X2683" i="2" s="1"/>
  <c r="W2684" i="2"/>
  <c r="X2684" i="2" s="1"/>
  <c r="Z2684" i="2" s="1"/>
  <c r="W2685" i="2"/>
  <c r="X2685" i="2" s="1"/>
  <c r="Z2685" i="2" s="1"/>
  <c r="W2686" i="2"/>
  <c r="X2686" i="2" s="1"/>
  <c r="Z2686" i="2" s="1"/>
  <c r="W2687" i="2"/>
  <c r="X2687" i="2" s="1"/>
  <c r="W2688" i="2"/>
  <c r="X2688" i="2" s="1"/>
  <c r="Z2688" i="2" s="1"/>
  <c r="W2689" i="2"/>
  <c r="X2689" i="2" s="1"/>
  <c r="Z2689" i="2" s="1"/>
  <c r="W2690" i="2"/>
  <c r="X2690" i="2" s="1"/>
  <c r="Z2690" i="2" s="1"/>
  <c r="W2691" i="2"/>
  <c r="X2691" i="2" s="1"/>
  <c r="Z2691" i="2" s="1"/>
  <c r="W2692" i="2"/>
  <c r="X2692" i="2" s="1"/>
  <c r="Z2692" i="2" s="1"/>
  <c r="W2693" i="2"/>
  <c r="X2693" i="2" s="1"/>
  <c r="Z2693" i="2" s="1"/>
  <c r="W2694" i="2"/>
  <c r="X2694" i="2" s="1"/>
  <c r="W2695" i="2"/>
  <c r="X2695" i="2" s="1"/>
  <c r="Z2695" i="2" s="1"/>
  <c r="W2696" i="2"/>
  <c r="X2696" i="2" s="1"/>
  <c r="Z2696" i="2" s="1"/>
  <c r="W2697" i="2"/>
  <c r="X2697" i="2" s="1"/>
  <c r="Z2697" i="2" s="1"/>
  <c r="W2698" i="2"/>
  <c r="X2698" i="2" s="1"/>
  <c r="W2699" i="2"/>
  <c r="X2699" i="2" s="1"/>
  <c r="W2700" i="2"/>
  <c r="X2700" i="2" s="1"/>
  <c r="Z2700" i="2" s="1"/>
  <c r="W2701" i="2"/>
  <c r="X2701" i="2" s="1"/>
  <c r="Z2701" i="2" s="1"/>
  <c r="W2702" i="2"/>
  <c r="X2702" i="2" s="1"/>
  <c r="Z2702" i="2" s="1"/>
  <c r="W2703" i="2"/>
  <c r="X2703" i="2" s="1"/>
  <c r="W2704" i="2"/>
  <c r="X2704" i="2" s="1"/>
  <c r="Z2704" i="2" s="1"/>
  <c r="W2705" i="2"/>
  <c r="X2705" i="2" s="1"/>
  <c r="Z2705" i="2" s="1"/>
  <c r="W2706" i="2"/>
  <c r="X2706" i="2" s="1"/>
  <c r="Z2706" i="2" s="1"/>
  <c r="W2707" i="2"/>
  <c r="X2707" i="2" s="1"/>
  <c r="Z2707" i="2" s="1"/>
  <c r="W2708" i="2"/>
  <c r="X2708" i="2" s="1"/>
  <c r="Z2708" i="2" s="1"/>
  <c r="W2709" i="2"/>
  <c r="X2709" i="2" s="1"/>
  <c r="Z2709" i="2" s="1"/>
  <c r="W2710" i="2"/>
  <c r="X2710" i="2" s="1"/>
  <c r="W2711" i="2"/>
  <c r="X2711" i="2" s="1"/>
  <c r="Z2711" i="2" s="1"/>
  <c r="W2712" i="2"/>
  <c r="X2712" i="2" s="1"/>
  <c r="Z2712" i="2" s="1"/>
  <c r="W2713" i="2"/>
  <c r="X2713" i="2" s="1"/>
  <c r="Z2713" i="2" s="1"/>
  <c r="W2714" i="2"/>
  <c r="X2714" i="2" s="1"/>
  <c r="W2715" i="2"/>
  <c r="X2715" i="2" s="1"/>
  <c r="W2716" i="2"/>
  <c r="X2716" i="2" s="1"/>
  <c r="Z2716" i="2" s="1"/>
  <c r="W2717" i="2"/>
  <c r="X2717" i="2" s="1"/>
  <c r="Z2717" i="2" s="1"/>
  <c r="W2718" i="2"/>
  <c r="X2718" i="2" s="1"/>
  <c r="Z2718" i="2" s="1"/>
  <c r="W2719" i="2"/>
  <c r="X2719" i="2" s="1"/>
  <c r="W2720" i="2"/>
  <c r="X2720" i="2" s="1"/>
  <c r="Z2720" i="2" s="1"/>
  <c r="W2721" i="2"/>
  <c r="X2721" i="2" s="1"/>
  <c r="Z2721" i="2" s="1"/>
  <c r="W2722" i="2"/>
  <c r="X2722" i="2" s="1"/>
  <c r="Z2722" i="2" s="1"/>
  <c r="W2723" i="2"/>
  <c r="X2723" i="2" s="1"/>
  <c r="Z2723" i="2" s="1"/>
  <c r="W2724" i="2"/>
  <c r="X2724" i="2" s="1"/>
  <c r="Z2724" i="2" s="1"/>
  <c r="W2725" i="2"/>
  <c r="X2725" i="2" s="1"/>
  <c r="Z2725" i="2" s="1"/>
  <c r="W2726" i="2"/>
  <c r="X2726" i="2" s="1"/>
  <c r="Z70" i="2" l="1"/>
  <c r="Z66" i="2"/>
  <c r="Z62" i="2"/>
  <c r="Z50" i="2"/>
  <c r="Z46" i="2"/>
  <c r="Z38" i="2"/>
  <c r="Z34" i="2"/>
  <c r="Z26" i="2"/>
  <c r="Z18" i="2"/>
  <c r="Z10" i="2"/>
  <c r="Z6" i="2"/>
  <c r="Z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3940D-130B-4FA1-ADDE-5B9CCFAF8C11}" keepAlive="1" name="Consulta - CadTransportadoras" description="Conexão com a consulta 'CadTransportadoras' na pasta de trabalho." type="5" refreshedVersion="8" background="1" saveData="1">
    <dbPr connection="Provider=Microsoft.Mashup.OleDb.1;Data Source=$Workbook$;Location=CadTransportadoras;Extended Properties=&quot;&quot;" command="SELECT * FROM [CadTransportadoras]"/>
  </connection>
  <connection id="2" xr16:uid="{CAFDB908-B266-4078-BFB9-86AEFAA5BCEE}" keepAlive="1" name="Consulta - dimCliente" description="Conexão com a consulta 'dimCliente' na pasta de trabalho." type="5" refreshedVersion="8" background="1" saveData="1">
    <dbPr connection="Provider=Microsoft.Mashup.OleDb.1;Data Source=$Workbook$;Location=dimCliente;Extended Properties=&quot;&quot;" command="SELECT * FROM [dimCliente]"/>
  </connection>
  <connection id="3" xr16:uid="{97CF4B5A-CEA1-4504-B966-84050A175A35}" keepAlive="1" name="Consulta - fNotasFiscais" description="Conexão com a consulta 'fNotasFiscais' na pasta de trabalho." type="5" refreshedVersion="8" background="1" saveData="1">
    <dbPr connection="Provider=Microsoft.Mashup.OleDb.1;Data Source=$Workbook$;Location=fNotasFiscais;Extended Properties=&quot;&quot;" command="SELECT * FROM [fNotasFiscais]"/>
  </connection>
</connections>
</file>

<file path=xl/sharedStrings.xml><?xml version="1.0" encoding="utf-8"?>
<sst xmlns="http://schemas.openxmlformats.org/spreadsheetml/2006/main" count="31422" uniqueCount="396">
  <si>
    <t>Data Faturamento</t>
  </si>
  <si>
    <t>Nota Fiscal</t>
  </si>
  <si>
    <t>Warehouse Origem</t>
  </si>
  <si>
    <t>Cidade</t>
  </si>
  <si>
    <t>UF</t>
  </si>
  <si>
    <t>Cod. Cliente</t>
  </si>
  <si>
    <t>Nome do Cliente</t>
  </si>
  <si>
    <t>Cidade Destino</t>
  </si>
  <si>
    <t>Estado Destino</t>
  </si>
  <si>
    <t>Região Destino</t>
  </si>
  <si>
    <t>UF Cliente</t>
  </si>
  <si>
    <t>Valor Nota Fiscal</t>
  </si>
  <si>
    <t>Qtd de Volumes</t>
  </si>
  <si>
    <t>Peso bruto (kg)</t>
  </si>
  <si>
    <t>Cod. Transportadora</t>
  </si>
  <si>
    <t>Transportadora</t>
  </si>
  <si>
    <t>Centro de Distribuição</t>
  </si>
  <si>
    <t>Tipo de transporte</t>
  </si>
  <si>
    <t>Prazo Contratado</t>
  </si>
  <si>
    <t>Data da Coleta</t>
  </si>
  <si>
    <t>Data da Entrega</t>
  </si>
  <si>
    <t>Ocorrência</t>
  </si>
  <si>
    <t>WHPOA</t>
  </si>
  <si>
    <t>Porto Alegre</t>
  </si>
  <si>
    <t>RS</t>
  </si>
  <si>
    <t>Amaggi Commodities</t>
  </si>
  <si>
    <t>Sao Jose Dos Pinhais</t>
  </si>
  <si>
    <t>PR</t>
  </si>
  <si>
    <t>Sul</t>
  </si>
  <si>
    <t>Gaucho Transportes</t>
  </si>
  <si>
    <t>Convencional</t>
  </si>
  <si>
    <t>WHSAO</t>
  </si>
  <si>
    <t>Sao Paulo</t>
  </si>
  <si>
    <t>SP</t>
  </si>
  <si>
    <t>WHBH</t>
  </si>
  <si>
    <t>Belo Horizonte</t>
  </si>
  <si>
    <t>MG</t>
  </si>
  <si>
    <t>Copersucar</t>
  </si>
  <si>
    <t>Blumenau</t>
  </si>
  <si>
    <t>SC</t>
  </si>
  <si>
    <t>WHCPQ</t>
  </si>
  <si>
    <t>Campinas</t>
  </si>
  <si>
    <t>Avaria</t>
  </si>
  <si>
    <t>WHRJ</t>
  </si>
  <si>
    <t>Rio De Janeiro</t>
  </si>
  <si>
    <t>RJ</t>
  </si>
  <si>
    <t>ABB</t>
  </si>
  <si>
    <t>Brasilia</t>
  </si>
  <si>
    <t>DF</t>
  </si>
  <si>
    <t>Centro-Oeste</t>
  </si>
  <si>
    <t>Cargo Centro-Oeste</t>
  </si>
  <si>
    <t>Goiania</t>
  </si>
  <si>
    <t>WHSJC</t>
  </si>
  <si>
    <t>Sao Jose dos Campos</t>
  </si>
  <si>
    <t>WHVIT</t>
  </si>
  <si>
    <t>Vitoria</t>
  </si>
  <si>
    <t>ES</t>
  </si>
  <si>
    <t>Extravio</t>
  </si>
  <si>
    <t>Makro</t>
  </si>
  <si>
    <t>Ipatinga</t>
  </si>
  <si>
    <t>Sudeste</t>
  </si>
  <si>
    <t>Transportadora Mineira</t>
  </si>
  <si>
    <t>Urgente</t>
  </si>
  <si>
    <t>ADM</t>
  </si>
  <si>
    <t>Campo Grande</t>
  </si>
  <si>
    <t>MS</t>
  </si>
  <si>
    <t>Cofco Agri</t>
  </si>
  <si>
    <t>Londrina</t>
  </si>
  <si>
    <t>Petróleo Sabbá</t>
  </si>
  <si>
    <t>Pocos De Caldas</t>
  </si>
  <si>
    <t>Agrex do Brasil</t>
  </si>
  <si>
    <t>Agrofel Grãos e Insumos</t>
  </si>
  <si>
    <t>Allied</t>
  </si>
  <si>
    <t>GO</t>
  </si>
  <si>
    <t>Total Combustíveis</t>
  </si>
  <si>
    <t>Itajai</t>
  </si>
  <si>
    <t>Ambev</t>
  </si>
  <si>
    <t>Ultragaz</t>
  </si>
  <si>
    <t>Sao Jose</t>
  </si>
  <si>
    <t>Grupo Martins</t>
  </si>
  <si>
    <t>Florianopolis</t>
  </si>
  <si>
    <t>Arcom</t>
  </si>
  <si>
    <t>Profarma</t>
  </si>
  <si>
    <t>Atem’s Distribuidora</t>
  </si>
  <si>
    <t>Atlas Schindler</t>
  </si>
  <si>
    <t>Cooxupé</t>
  </si>
  <si>
    <t>Fic Petróleo</t>
  </si>
  <si>
    <t>Maringa</t>
  </si>
  <si>
    <t>Liquigás</t>
  </si>
  <si>
    <t>Glencore</t>
  </si>
  <si>
    <t>Boticário</t>
  </si>
  <si>
    <t>Novo Hamburgo</t>
  </si>
  <si>
    <t>Seara Agro-Pecuários</t>
  </si>
  <si>
    <t>Gavilon do Brasil</t>
  </si>
  <si>
    <t>Brasilgás</t>
  </si>
  <si>
    <t>Raízen Mime</t>
  </si>
  <si>
    <t>BRF</t>
  </si>
  <si>
    <t>Taguatinga</t>
  </si>
  <si>
    <t>Bunge</t>
  </si>
  <si>
    <t>Curitiba</t>
  </si>
  <si>
    <t>Sotreq</t>
  </si>
  <si>
    <t>Joinville</t>
  </si>
  <si>
    <t>Fiagril</t>
  </si>
  <si>
    <t>Cargill</t>
  </si>
  <si>
    <t>Multigrain</t>
  </si>
  <si>
    <t>CDPC-Centro Distrib. Prod. Cobre</t>
  </si>
  <si>
    <t>Varzea Grande</t>
  </si>
  <si>
    <t>MT</t>
  </si>
  <si>
    <t>Coopercitrus</t>
  </si>
  <si>
    <t>Rodoil</t>
  </si>
  <si>
    <t>Potencial Petróleo</t>
  </si>
  <si>
    <t>Zema Petróleo</t>
  </si>
  <si>
    <t>CGG Trading</t>
  </si>
  <si>
    <t>Cisa</t>
  </si>
  <si>
    <t>Comexport Trading</t>
  </si>
  <si>
    <t>Sinop</t>
  </si>
  <si>
    <t>Servimed</t>
  </si>
  <si>
    <t>Tambasa</t>
  </si>
  <si>
    <t>Copercampos</t>
  </si>
  <si>
    <t>Copercana</t>
  </si>
  <si>
    <t>Cotrisal</t>
  </si>
  <si>
    <t>Taurus</t>
  </si>
  <si>
    <t>CRBS</t>
  </si>
  <si>
    <t>Ruff</t>
  </si>
  <si>
    <t>Larco Distrib. de Combustível</t>
  </si>
  <si>
    <t>Interagrícola</t>
  </si>
  <si>
    <t>Moove</t>
  </si>
  <si>
    <t>Petrobahia</t>
  </si>
  <si>
    <t>JBS</t>
  </si>
  <si>
    <t>Presidente Prudente</t>
  </si>
  <si>
    <t>Paulistana</t>
  </si>
  <si>
    <t>Guarulhos</t>
  </si>
  <si>
    <t>JBS Foods</t>
  </si>
  <si>
    <t>WEG Equipamentos</t>
  </si>
  <si>
    <t>ThyssenKrupp</t>
  </si>
  <si>
    <t>Unilever Brasil</t>
  </si>
  <si>
    <t>Spal</t>
  </si>
  <si>
    <t>RodoCarioca</t>
  </si>
  <si>
    <t>Rio de Janeiro</t>
  </si>
  <si>
    <t>Aurora Alimentos</t>
  </si>
  <si>
    <t>Souza Cruz</t>
  </si>
  <si>
    <t>Sao Jose Do Rio Preto</t>
  </si>
  <si>
    <t>Natura</t>
  </si>
  <si>
    <t>P&amp;G Industrial</t>
  </si>
  <si>
    <t>Bauru</t>
  </si>
  <si>
    <t>M. Dias Branco</t>
  </si>
  <si>
    <t>Nestlé</t>
  </si>
  <si>
    <t>Kimberly-Clark</t>
  </si>
  <si>
    <t>Mondeléz Brasil</t>
  </si>
  <si>
    <t>Aracatuba</t>
  </si>
  <si>
    <t>Avon</t>
  </si>
  <si>
    <t>Camil</t>
  </si>
  <si>
    <t>Pepsico</t>
  </si>
  <si>
    <t>Bianchini</t>
  </si>
  <si>
    <t>Brasil Kirin</t>
  </si>
  <si>
    <t>Norsa</t>
  </si>
  <si>
    <t>Itambé Alimentos</t>
  </si>
  <si>
    <t>Laticínios Bela Vista</t>
  </si>
  <si>
    <t>Vigor</t>
  </si>
  <si>
    <t>Johnson &amp; Johnson</t>
  </si>
  <si>
    <t>Atibaia</t>
  </si>
  <si>
    <t>Heineken</t>
  </si>
  <si>
    <t>Ajinomoto</t>
  </si>
  <si>
    <t>L’Oréal Brasil</t>
  </si>
  <si>
    <t>Arosuco</t>
  </si>
  <si>
    <t>Rio Grande do Sul</t>
  </si>
  <si>
    <t>Vonpar Refrescos</t>
  </si>
  <si>
    <t>Recife</t>
  </si>
  <si>
    <t>PE</t>
  </si>
  <si>
    <t>Nordeste</t>
  </si>
  <si>
    <t>RodoNordeste</t>
  </si>
  <si>
    <t>Fortaleza</t>
  </si>
  <si>
    <t>P&amp;G</t>
  </si>
  <si>
    <t>Manaus</t>
  </si>
  <si>
    <t>AM</t>
  </si>
  <si>
    <t>Norte</t>
  </si>
  <si>
    <t>Transnorte Cargas</t>
  </si>
  <si>
    <t>Três Corações</t>
  </si>
  <si>
    <t>J. Macêdo</t>
  </si>
  <si>
    <t>Pif Paf</t>
  </si>
  <si>
    <t>Garoto</t>
  </si>
  <si>
    <t>JDE</t>
  </si>
  <si>
    <t>Frangos Canção</t>
  </si>
  <si>
    <t>Santos</t>
  </si>
  <si>
    <t>Frigol</t>
  </si>
  <si>
    <t>Embrapa</t>
  </si>
  <si>
    <t>Casa da Moeda</t>
  </si>
  <si>
    <t>Multiplus</t>
  </si>
  <si>
    <t>Conab</t>
  </si>
  <si>
    <t>Cisper</t>
  </si>
  <si>
    <t>Avibras</t>
  </si>
  <si>
    <t>Samsung</t>
  </si>
  <si>
    <t>Whirlpool</t>
  </si>
  <si>
    <t>LG-SP</t>
  </si>
  <si>
    <t>GE</t>
  </si>
  <si>
    <t>Electrolux</t>
  </si>
  <si>
    <t>Siemens</t>
  </si>
  <si>
    <t>Ericsson</t>
  </si>
  <si>
    <t>Microsoft Mobile</t>
  </si>
  <si>
    <t>Panasonic</t>
  </si>
  <si>
    <t>Huawei</t>
  </si>
  <si>
    <t>Furnas</t>
  </si>
  <si>
    <t>Chesf</t>
  </si>
  <si>
    <t>Itaipu Binacional</t>
  </si>
  <si>
    <t>AES Eletropaulo</t>
  </si>
  <si>
    <t>Cemig Distribuição</t>
  </si>
  <si>
    <t>BG Brasil</t>
  </si>
  <si>
    <t>Light Sesa</t>
  </si>
  <si>
    <t>Eletronorte</t>
  </si>
  <si>
    <t>Copel Distribuição</t>
  </si>
  <si>
    <t>CTEEP</t>
  </si>
  <si>
    <t>CPFL Paulista</t>
  </si>
  <si>
    <t>Coelba</t>
  </si>
  <si>
    <t>Raízen Energia</t>
  </si>
  <si>
    <t>Cemig GT</t>
  </si>
  <si>
    <t>Celesc</t>
  </si>
  <si>
    <t>Comgás</t>
  </si>
  <si>
    <t>Elektro Redes</t>
  </si>
  <si>
    <t>Celpe</t>
  </si>
  <si>
    <t>Celpa</t>
  </si>
  <si>
    <t>Distribuição SSP</t>
  </si>
  <si>
    <t>Engie Brasil Energia</t>
  </si>
  <si>
    <t>Celg D</t>
  </si>
  <si>
    <t>Enel Distribuição</t>
  </si>
  <si>
    <t>Copel GET</t>
  </si>
  <si>
    <t>Eletrobras</t>
  </si>
  <si>
    <t>Energisa Mato Grosso</t>
  </si>
  <si>
    <t>Votener</t>
  </si>
  <si>
    <t>BMTE</t>
  </si>
  <si>
    <t>Biosev</t>
  </si>
  <si>
    <t>Rio Paraná Energia</t>
  </si>
  <si>
    <t>EDP São Paulo</t>
  </si>
  <si>
    <t>CPFL Piratininga</t>
  </si>
  <si>
    <t>CEG</t>
  </si>
  <si>
    <t>Eletrosul</t>
  </si>
  <si>
    <t>Repsol Sinopec</t>
  </si>
  <si>
    <t>Cemar</t>
  </si>
  <si>
    <t>RGE</t>
  </si>
  <si>
    <t>RGE Sul</t>
  </si>
  <si>
    <t>Petrogal Brasil</t>
  </si>
  <si>
    <t>Biosev Bioenergia</t>
  </si>
  <si>
    <t>Santo Antônio Energia</t>
  </si>
  <si>
    <t>EDP Espírito Santo</t>
  </si>
  <si>
    <t>CEEE</t>
  </si>
  <si>
    <t>Eletrobras Amazonas</t>
  </si>
  <si>
    <t>Eletronuclear</t>
  </si>
  <si>
    <t>Energia Sustentável do Brasil</t>
  </si>
  <si>
    <t>Usina Coruripe</t>
  </si>
  <si>
    <t>São Martinho</t>
  </si>
  <si>
    <t>CPFL Brasil</t>
  </si>
  <si>
    <t>CEB Distribuição</t>
  </si>
  <si>
    <t>Energisa M. Grosso do Sul</t>
  </si>
  <si>
    <t>Usina Guarani</t>
  </si>
  <si>
    <t>Shell Brasil</t>
  </si>
  <si>
    <t>CEEE-GT</t>
  </si>
  <si>
    <t>EDP Comercializadora</t>
  </si>
  <si>
    <t>CEG Rio</t>
  </si>
  <si>
    <t>Cosern</t>
  </si>
  <si>
    <t>EDF Norte Fluminense</t>
  </si>
  <si>
    <t>Alto Alegre</t>
  </si>
  <si>
    <t>Brenco</t>
  </si>
  <si>
    <t>Cesp</t>
  </si>
  <si>
    <t>Energisa Paraíba</t>
  </si>
  <si>
    <t>AES Tiete Energia</t>
  </si>
  <si>
    <t>Usina Colombo</t>
  </si>
  <si>
    <t>Eletrobras Rondônia</t>
  </si>
  <si>
    <t>Usaçúcar</t>
  </si>
  <si>
    <t>Adecoagro</t>
  </si>
  <si>
    <t>Usina Delta</t>
  </si>
  <si>
    <t>Statoil</t>
  </si>
  <si>
    <t>Usina da Pedra</t>
  </si>
  <si>
    <t>Eletrobras Distribuição Piauí</t>
  </si>
  <si>
    <t>Rio Paranapanema Energia</t>
  </si>
  <si>
    <t>Comerc Energia</t>
  </si>
  <si>
    <t>Taesa</t>
  </si>
  <si>
    <t>Bahiagás</t>
  </si>
  <si>
    <t>Eletrobras Distribuição Alagoas</t>
  </si>
  <si>
    <t>Clealco</t>
  </si>
  <si>
    <t>Hypermarcas</t>
  </si>
  <si>
    <t>Pfizer</t>
  </si>
  <si>
    <t>Roche</t>
  </si>
  <si>
    <t>Novartis</t>
  </si>
  <si>
    <t>Sanofi-Aventis</t>
  </si>
  <si>
    <t>EMS Sigma Pharma</t>
  </si>
  <si>
    <t>Eurofarma</t>
  </si>
  <si>
    <t>Aché</t>
  </si>
  <si>
    <t>Abbott</t>
  </si>
  <si>
    <t>Laboratório Cristália</t>
  </si>
  <si>
    <t>Votorantim Cimentos</t>
  </si>
  <si>
    <t>Duratex</t>
  </si>
  <si>
    <t>Construtora Odebrecht</t>
  </si>
  <si>
    <t>Queiroz Galvão</t>
  </si>
  <si>
    <t>MRV</t>
  </si>
  <si>
    <t>Andrade Gutierrez</t>
  </si>
  <si>
    <t>InterCement</t>
  </si>
  <si>
    <t>Construtora OAS</t>
  </si>
  <si>
    <t>Camargo Corrêa</t>
  </si>
  <si>
    <t>Magnesita</t>
  </si>
  <si>
    <t>Tigre</t>
  </si>
  <si>
    <t>Votorantim Cimentos N/NE</t>
  </si>
  <si>
    <t>Arauco</t>
  </si>
  <si>
    <t>HP</t>
  </si>
  <si>
    <t>IBM</t>
  </si>
  <si>
    <t>Google</t>
  </si>
  <si>
    <t>Cisco</t>
  </si>
  <si>
    <t>Serpro</t>
  </si>
  <si>
    <t>Oracle</t>
  </si>
  <si>
    <t>TecBan</t>
  </si>
  <si>
    <t>CA Technologies</t>
  </si>
  <si>
    <t>Totvs</t>
  </si>
  <si>
    <t>Positivo Informática</t>
  </si>
  <si>
    <t>SAP</t>
  </si>
  <si>
    <t>Digibras</t>
  </si>
  <si>
    <t>Sabesp</t>
  </si>
  <si>
    <t>Cedae</t>
  </si>
  <si>
    <t>Copasa MG</t>
  </si>
  <si>
    <t>Sanepar</t>
  </si>
  <si>
    <t>Infraero</t>
  </si>
  <si>
    <t>Embasa</t>
  </si>
  <si>
    <t>Corsan</t>
  </si>
  <si>
    <t>Saneago</t>
  </si>
  <si>
    <t>AutoBan</t>
  </si>
  <si>
    <t>Comlurb</t>
  </si>
  <si>
    <t>GRU Airport</t>
  </si>
  <si>
    <t>Caesb</t>
  </si>
  <si>
    <t>Compesa</t>
  </si>
  <si>
    <t>Sistema Produtor São Lourenço</t>
  </si>
  <si>
    <t>CCR NovaDutra</t>
  </si>
  <si>
    <t>Suzano</t>
  </si>
  <si>
    <t>Klabin</t>
  </si>
  <si>
    <t>Fibria</t>
  </si>
  <si>
    <t>Eldorado Brasil</t>
  </si>
  <si>
    <t>Cenibra</t>
  </si>
  <si>
    <t>Fibria-MS</t>
  </si>
  <si>
    <t>Berneck</t>
  </si>
  <si>
    <t>Louis Dreyfus</t>
  </si>
  <si>
    <t>Copersucar-Cooperativa</t>
  </si>
  <si>
    <t>Coamo</t>
  </si>
  <si>
    <t>Nidera Sementes</t>
  </si>
  <si>
    <t>C. Vale</t>
  </si>
  <si>
    <t>Minerva Foods</t>
  </si>
  <si>
    <t>Marfrig</t>
  </si>
  <si>
    <t>Lar</t>
  </si>
  <si>
    <t>Caramuru Alimentos</t>
  </si>
  <si>
    <t>Comigo</t>
  </si>
  <si>
    <t>Cocamar</t>
  </si>
  <si>
    <t>Copacol</t>
  </si>
  <si>
    <t>Granol</t>
  </si>
  <si>
    <t>Citrosuco</t>
  </si>
  <si>
    <t>Belagrícola</t>
  </si>
  <si>
    <t>Integrada</t>
  </si>
  <si>
    <t>Castrolanda</t>
  </si>
  <si>
    <t>Cooperativa Agrária</t>
  </si>
  <si>
    <t>Cooperalfa</t>
  </si>
  <si>
    <t>Frisia</t>
  </si>
  <si>
    <t>Algar Agro</t>
  </si>
  <si>
    <t>Frimesa</t>
  </si>
  <si>
    <t>Coopavel</t>
  </si>
  <si>
    <t>LDC Sucos</t>
  </si>
  <si>
    <t xml:space="preserve">Cod. Transportadora </t>
  </si>
  <si>
    <t>Região</t>
  </si>
  <si>
    <t>Data Contratada</t>
  </si>
  <si>
    <t>On Time</t>
  </si>
  <si>
    <t>In Full</t>
  </si>
  <si>
    <t>On Time In Full</t>
  </si>
  <si>
    <t>Soma de Qtd de Volumes</t>
  </si>
  <si>
    <t>Soma de Peso bruto (kg)</t>
  </si>
  <si>
    <t>Contagem de Nota Fiscal</t>
  </si>
  <si>
    <t>Soma de Valor Nota Fiscal</t>
  </si>
  <si>
    <t>Contador</t>
  </si>
  <si>
    <t>Soma de On Time (%)</t>
  </si>
  <si>
    <t>Soma de In Full (%)</t>
  </si>
  <si>
    <t>Soma de On Time In Full (%)</t>
  </si>
  <si>
    <t>Rótulos de Linha</t>
  </si>
  <si>
    <t>Total Geral</t>
  </si>
  <si>
    <t>2019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</si>
  <si>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</si>
  <si>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</si>
  <si>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</si>
  <si>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</si>
  <si>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</si>
  <si>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</si>
  <si>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</si>
  <si>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</si>
  <si>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</si>
  <si>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</si>
  <si>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</si>
  <si>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</si>
  <si>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Contador</t>
  </si>
  <si>
    <t>(vazio)</t>
  </si>
  <si>
    <t>Trim1</t>
  </si>
  <si>
    <t>Trim2</t>
  </si>
  <si>
    <t>Trim3</t>
  </si>
  <si>
    <t>Trim4</t>
  </si>
  <si>
    <t>Soma de On Time In Full</t>
  </si>
  <si>
    <t>Soma de Perdas (OTIF)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</si>
</sst>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R$&quot;\ * #,##0_-;\-&quot;R$&quot;\ * #,##0_-;_-&quot;R$&quot;\ * &quot;-&quot;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pivotButton="1"/>
    <xf numFmtId="9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 applyFont="1"/>
    <xf numFmtId="3" fontId="0" fillId="0" borderId="0" xfId="0" applyNumberFormat="1" applyFont="1"/>
    <xf numFmtId="42" fontId="0" fillId="0" borderId="0" xfId="0" applyNumberFormat="1"/>
  </cellXfs>
  <cellStyles count="1">
    <cellStyle name="Normal" xfId="0" builtinId="0"/>
  </cellStyles>
  <dxfs count="255">
    <dxf>
      <numFmt numFmtId="3" formatCode="#,##0"/>
    </dxf>
    <dxf>
      <numFmt numFmtId="13" formatCode="0%"/>
    </dxf>
    <dxf>
      <numFmt numFmtId="32" formatCode="_-&quot;R$&quot;\ * #,##0_-;\-&quot;R$&quot;\ * #,##0_-;_-&quot;R$&quot;\ * &quot;-&quot;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" formatCode="#,##0"/>
    </dxf>
    <dxf>
      <numFmt numFmtId="13" formatCode="0%"/>
    </dxf>
    <dxf>
      <numFmt numFmtId="32" formatCode="_-&quot;R$&quot;\ * #,##0_-;\-&quot;R$&quot;\ * #,##0_-;_-&quot;R$&quot;\ * &quot;-&quot;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" formatCode="#,##0"/>
    </dxf>
    <dxf>
      <numFmt numFmtId="13" formatCode="0%"/>
    </dxf>
    <dxf>
      <numFmt numFmtId="32" formatCode="_-&quot;R$&quot;\ * #,##0_-;\-&quot;R$&quot;\ * #,##0_-;_-&quot;R$&quot;\ * &quot;-&quot;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" formatCode="#,##0"/>
    </dxf>
    <dxf>
      <numFmt numFmtId="13" formatCode="0%"/>
    </dxf>
    <dxf>
      <numFmt numFmtId="32" formatCode="_-&quot;R$&quot;\ * #,##0_-;\-&quot;R$&quot;\ * #,##0_-;_-&quot;R$&quot;\ * &quot;-&quot;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" formatCode="#,##0"/>
    </dxf>
    <dxf>
      <numFmt numFmtId="13" formatCode="0%"/>
    </dxf>
    <dxf>
      <numFmt numFmtId="32" formatCode="_-&quot;R$&quot;\ * #,##0_-;\-&quot;R$&quot;\ * #,##0_-;_-&quot;R$&quot;\ * &quot;-&quot;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2" formatCode="_-&quot;R$&quot;\ * #,##0_-;\-&quot;R$&quot;\ * #,##0_-;_-&quot;R$&quot;\ * &quot;-&quot;_-;_-@_-"/>
    </dxf>
    <dxf>
      <numFmt numFmtId="3" formatCode="#,##0"/>
    </dxf>
    <dxf>
      <numFmt numFmtId="3" formatCode="#,##0"/>
    </dxf>
    <dxf>
      <numFmt numFmtId="3" formatCode="#,##0"/>
    </dxf>
    <dxf>
      <font>
        <color theme="0"/>
      </font>
      <fill>
        <patternFill>
          <bgColor rgb="FF2F3448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" formatCode="#,##0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DashBoard" pivot="0" table="0" count="3" xr9:uid="{53158FE9-5A52-43C7-B7F7-2AC0DE928184}">
      <tableStyleElement type="wholeTable" dxfId="194"/>
    </tableStyle>
  </tableStyles>
  <colors>
    <mruColors>
      <color rgb="FF2F3448"/>
      <color rgb="FFFFFFFF"/>
    </mruColors>
  </colors>
  <extLst>
    <ext xmlns:x14="http://schemas.microsoft.com/office/spreadsheetml/2009/9/main" uri="{46F421CA-312F-682f-3DD2-61675219B42D}">
      <x14:dxfs count="2">
        <dxf>
          <font>
            <b/>
            <i val="0"/>
          </font>
        </dxf>
        <dxf>
          <font>
            <b/>
            <i val="0"/>
            <color theme="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Prática.xlsx]Dinâmica Base!Tabela dinâmica9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33157961227147E-2"/>
              <c:y val="-8.0515297906602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0005000210552477E-2"/>
              <c:y val="-7.08534621578100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631907908588989"/>
              <c:y val="-0.154589371980676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'Dinâmica Base'!$X$3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F99-48C8-96FA-F3B3F32026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99-48C8-96FA-F3B3F32026B7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F99-48C8-96FA-F3B3F32026B7}"/>
              </c:ext>
            </c:extLst>
          </c:dPt>
          <c:dLbls>
            <c:dLbl>
              <c:idx val="0"/>
              <c:layout>
                <c:manualLayout>
                  <c:x val="1.2633157961227147E-2"/>
                  <c:y val="-8.05152979066022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99-48C8-96FA-F3B3F32026B7}"/>
                </c:ext>
              </c:extLst>
            </c:dLbl>
            <c:dLbl>
              <c:idx val="1"/>
              <c:layout>
                <c:manualLayout>
                  <c:x val="4.0005000210552477E-2"/>
                  <c:y val="-7.08534621578100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99-48C8-96FA-F3B3F32026B7}"/>
                </c:ext>
              </c:extLst>
            </c:dLbl>
            <c:dLbl>
              <c:idx val="2"/>
              <c:layout>
                <c:manualLayout>
                  <c:x val="-0.2631907908588989"/>
                  <c:y val="-0.154589371980676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99-48C8-96FA-F3B3F32026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'Dinâmica Base'!$W$4:$W$7</c:f>
              <c:strCache>
                <c:ptCount val="3"/>
                <c:pt idx="0">
                  <c:v>Avaria</c:v>
                </c:pt>
                <c:pt idx="1">
                  <c:v>Extravio</c:v>
                </c:pt>
                <c:pt idx="2">
                  <c:v>(vazio)</c:v>
                </c:pt>
              </c:strCache>
            </c:strRef>
          </c:cat>
          <c:val>
            <c:numRef>
              <c:f>'Dinâmica Base'!$X$4:$X$7</c:f>
              <c:numCache>
                <c:formatCode>#,##0</c:formatCode>
                <c:ptCount val="3"/>
                <c:pt idx="0">
                  <c:v>81</c:v>
                </c:pt>
                <c:pt idx="1">
                  <c:v>71</c:v>
                </c:pt>
                <c:pt idx="2">
                  <c:v>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9-48C8-96FA-F3B3F3202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Prática.xlsx]Dinâmica Base!Tabela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000" b="1">
                <a:solidFill>
                  <a:schemeClr val="bg1"/>
                </a:solidFill>
              </a:rPr>
              <a:t>OTIF 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>
        <c:manualLayout>
          <c:layoutTarget val="inner"/>
          <c:xMode val="edge"/>
          <c:yMode val="edge"/>
          <c:x val="5.4724702630947149E-2"/>
          <c:y val="9.9577199664949378E-2"/>
          <c:w val="0.88660664814021783"/>
          <c:h val="0.7774224688660753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'Dinâmica Base'!$K$3</c:f>
              <c:strCache>
                <c:ptCount val="1"/>
                <c:pt idx="0">
                  <c:v>Soma de Qtd de Volumes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'Dinâmica Base'!$I$4:$I$17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'Dinâmica Base'!$K$4:$K$17</c:f>
              <c:numCache>
                <c:formatCode>#,##0</c:formatCode>
                <c:ptCount val="12"/>
                <c:pt idx="0">
                  <c:v>281</c:v>
                </c:pt>
                <c:pt idx="1">
                  <c:v>215</c:v>
                </c:pt>
                <c:pt idx="2">
                  <c:v>265</c:v>
                </c:pt>
                <c:pt idx="3">
                  <c:v>180</c:v>
                </c:pt>
                <c:pt idx="4">
                  <c:v>322</c:v>
                </c:pt>
                <c:pt idx="5">
                  <c:v>630</c:v>
                </c:pt>
                <c:pt idx="6">
                  <c:v>408</c:v>
                </c:pt>
                <c:pt idx="7">
                  <c:v>470</c:v>
                </c:pt>
                <c:pt idx="8">
                  <c:v>520</c:v>
                </c:pt>
                <c:pt idx="9">
                  <c:v>738</c:v>
                </c:pt>
                <c:pt idx="10">
                  <c:v>405</c:v>
                </c:pt>
                <c:pt idx="1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2-4450-A545-C2BD4262D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486489472"/>
        <c:axId val="486475552"/>
      </c:barChart>
      <c:lineChart>
        <c:grouping val="standard"/>
        <c:varyColors val="0"/>
        <c:ser>
          <c:idx val="0"/>
          <c:order val="0"/>
          <c:tx>
            <c:strRef>
              <c:f>'Dinâmica Base'!$J$3</c:f>
              <c:strCache>
                <c:ptCount val="1"/>
                <c:pt idx="0">
                  <c:v>Soma de On Time In Full (%)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'Dinâmica Base'!$I$4:$I$17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'Dinâmica Base'!$J$4:$J$17</c:f>
              <c:numCache>
                <c:formatCode>0%</c:formatCode>
                <c:ptCount val="12"/>
                <c:pt idx="0">
                  <c:v>0.55769230769230771</c:v>
                </c:pt>
                <c:pt idx="1">
                  <c:v>0.6097560975609756</c:v>
                </c:pt>
                <c:pt idx="2">
                  <c:v>0.51401869158878499</c:v>
                </c:pt>
                <c:pt idx="3">
                  <c:v>0.5145631067961165</c:v>
                </c:pt>
                <c:pt idx="4">
                  <c:v>0.63559322033898302</c:v>
                </c:pt>
                <c:pt idx="5">
                  <c:v>0.53703703703703709</c:v>
                </c:pt>
                <c:pt idx="6">
                  <c:v>0.53521126760563376</c:v>
                </c:pt>
                <c:pt idx="7">
                  <c:v>0.61956521739130432</c:v>
                </c:pt>
                <c:pt idx="8">
                  <c:v>0.61875000000000002</c:v>
                </c:pt>
                <c:pt idx="9">
                  <c:v>0.65151515151515149</c:v>
                </c:pt>
                <c:pt idx="10">
                  <c:v>0.42553191489361702</c:v>
                </c:pt>
                <c:pt idx="11">
                  <c:v>0.6292134831460674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2-4450-A545-C2BD4262D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162463"/>
        <c:axId val="1464478127"/>
      </c:lineChart>
      <c:catAx>
        <c:axId val="4864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475552"/>
        <c:crosses val="autoZero"/>
        <c:auto val="1"/>
        <c:lblAlgn val="ctr"/>
        <c:lblOffset val="100"/>
        <c:noMultiLvlLbl val="0"/>
      </c:catAx>
      <c:valAx>
        <c:axId val="48647555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489472"/>
        <c:crosses val="autoZero"/>
        <c:crossBetween val="between"/>
      </c:valAx>
      <c:valAx>
        <c:axId val="14644781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6162463"/>
        <c:crosses val="max"/>
        <c:crossBetween val="between"/>
      </c:valAx>
      <c:catAx>
        <c:axId val="786162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4478127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Prática.xlsx]Dinâmica Base!Tabela dinâmica6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4904214559386972"/>
              <c:y val="-0.106718217109088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05478625516638"/>
          <c:y val="0.15830826535904569"/>
          <c:w val="0.71719371285485867"/>
          <c:h val="0.74725572477093061"/>
        </c:manualLayout>
      </c:layout>
      <c:doughnutChart>
        <c:varyColors val="1"/>
        <c:ser>
          <c:idx val="0"/>
          <c:order val="0"/>
          <c:tx>
            <c:strRef>
              <c:f>'Dinâmica Base'!$N$3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3-4F0D-9B43-953688FA7C89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3-4F0D-9B43-953688FA7C8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53-4F0D-9B43-953688FA7C89}"/>
                </c:ext>
              </c:extLst>
            </c:dLbl>
            <c:dLbl>
              <c:idx val="1"/>
              <c:layout>
                <c:manualLayout>
                  <c:x val="0.24904214559386972"/>
                  <c:y val="-0.1067182171090889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53-4F0D-9B43-953688FA7C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'Dinâmica Base'!$M$4:$M$6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'Dinâmica Base'!$N$4:$N$6</c:f>
              <c:numCache>
                <c:formatCode>General</c:formatCode>
                <c:ptCount val="2"/>
                <c:pt idx="0">
                  <c:v>559</c:v>
                </c:pt>
                <c:pt idx="1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3-4F0D-9B43-953688FA7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Prática.xlsx]Dinâmica Base!Tabela dinâmica7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0256417158905147"/>
              <c:y val="-0.317015949929335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5547025739972906"/>
                  <c:h val="0.3352451223317364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2030590569428866E-2"/>
          <c:y val="3.7342313342907614E-2"/>
          <c:w val="0.78970710660684207"/>
          <c:h val="0.86149808197052291"/>
        </c:manualLayout>
      </c:layout>
      <c:doughnutChart>
        <c:varyColors val="1"/>
        <c:ser>
          <c:idx val="0"/>
          <c:order val="0"/>
          <c:tx>
            <c:strRef>
              <c:f>'Dinâmica Base'!$Q$3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E7-4152-A78E-7A439BE4FFA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E7-4152-A78E-7A439BE4FFA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E7-4152-A78E-7A439BE4FFAB}"/>
                </c:ext>
              </c:extLst>
            </c:dLbl>
            <c:dLbl>
              <c:idx val="1"/>
              <c:layout>
                <c:manualLayout>
                  <c:x val="0.10256417158905147"/>
                  <c:y val="-0.3170159499293357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547025739972906"/>
                      <c:h val="0.335245122331736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9E7-4152-A78E-7A439BE4F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'Dinâmica Base'!$P$4:$P$6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'Dinâmica Base'!$Q$4:$Q$6</c:f>
              <c:numCache>
                <c:formatCode>General</c:formatCode>
                <c:ptCount val="2"/>
                <c:pt idx="0">
                  <c:v>152</c:v>
                </c:pt>
                <c:pt idx="1">
                  <c:v>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E7-4152-A78E-7A439BE4F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Prática.xlsx]Dinâmica Base!Tabela dinâmica8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57939933213666"/>
          <c:y val="4.1314566208884317E-2"/>
          <c:w val="0.71793784119535298"/>
          <c:h val="0.797412235381238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'Dinâmica Base'!$T$3</c:f>
              <c:strCache>
                <c:ptCount val="1"/>
                <c:pt idx="0">
                  <c:v>Soma de On Time (%)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'Dinâmica Base'!$S$4:$S$11</c:f>
              <c:strCache>
                <c:ptCount val="7"/>
                <c:pt idx="0">
                  <c:v>Cargo Centro-Oeste</c:v>
                </c:pt>
                <c:pt idx="1">
                  <c:v>Gaucho Transportes</c:v>
                </c:pt>
                <c:pt idx="2">
                  <c:v>Paulistana</c:v>
                </c:pt>
                <c:pt idx="3">
                  <c:v>RodoCarioca</c:v>
                </c:pt>
                <c:pt idx="4">
                  <c:v>RodoNordeste</c:v>
                </c:pt>
                <c:pt idx="5">
                  <c:v>Transnorte Cargas</c:v>
                </c:pt>
                <c:pt idx="6">
                  <c:v>Transportadora Mineira</c:v>
                </c:pt>
              </c:strCache>
            </c:strRef>
          </c:cat>
          <c:val>
            <c:numRef>
              <c:f>'Dinâmica Base'!$T$4:$T$11</c:f>
              <c:numCache>
                <c:formatCode>0%</c:formatCode>
                <c:ptCount val="7"/>
                <c:pt idx="0">
                  <c:v>0.65038560411311053</c:v>
                </c:pt>
                <c:pt idx="1">
                  <c:v>0.6</c:v>
                </c:pt>
                <c:pt idx="2">
                  <c:v>0.63755458515283847</c:v>
                </c:pt>
                <c:pt idx="3">
                  <c:v>0.625</c:v>
                </c:pt>
                <c:pt idx="4">
                  <c:v>0.65441176470588236</c:v>
                </c:pt>
                <c:pt idx="5">
                  <c:v>0.67901234567901236</c:v>
                </c:pt>
                <c:pt idx="6">
                  <c:v>0.62376237623762376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E-4381-91FE-EB908B1944D5}"/>
            </c:ext>
          </c:extLst>
        </c:ser>
        <c:ser>
          <c:idx val="1"/>
          <c:order val="1"/>
          <c:tx>
            <c:strRef>
              <c:f>'Dinâmica Base'!$U$3</c:f>
              <c:strCache>
                <c:ptCount val="1"/>
                <c:pt idx="0">
                  <c:v>Soma de In Full (%)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'Dinâmica Base'!$S$4:$S$11</c:f>
              <c:strCache>
                <c:ptCount val="7"/>
                <c:pt idx="0">
                  <c:v>Cargo Centro-Oeste</c:v>
                </c:pt>
                <c:pt idx="1">
                  <c:v>Gaucho Transportes</c:v>
                </c:pt>
                <c:pt idx="2">
                  <c:v>Paulistana</c:v>
                </c:pt>
                <c:pt idx="3">
                  <c:v>RodoCarioca</c:v>
                </c:pt>
                <c:pt idx="4">
                  <c:v>RodoNordeste</c:v>
                </c:pt>
                <c:pt idx="5">
                  <c:v>Transnorte Cargas</c:v>
                </c:pt>
                <c:pt idx="6">
                  <c:v>Transportadora Mineira</c:v>
                </c:pt>
              </c:strCache>
            </c:strRef>
          </c:cat>
          <c:val>
            <c:numRef>
              <c:f>'Dinâmica Base'!$U$4:$U$11</c:f>
              <c:numCache>
                <c:formatCode>0%</c:formatCode>
                <c:ptCount val="7"/>
                <c:pt idx="0">
                  <c:v>0.91002570694087404</c:v>
                </c:pt>
                <c:pt idx="1">
                  <c:v>0.88181818181818183</c:v>
                </c:pt>
                <c:pt idx="2">
                  <c:v>0.92576419213973804</c:v>
                </c:pt>
                <c:pt idx="3">
                  <c:v>0.8214285714285714</c:v>
                </c:pt>
                <c:pt idx="4">
                  <c:v>0.90441176470588236</c:v>
                </c:pt>
                <c:pt idx="5">
                  <c:v>0.85185185185185186</c:v>
                </c:pt>
                <c:pt idx="6">
                  <c:v>0.91419141914191415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7E-4381-91FE-EB908B194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115424"/>
        <c:axId val="591111104"/>
      </c:barChart>
      <c:catAx>
        <c:axId val="59111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111104"/>
        <c:crosses val="autoZero"/>
        <c:auto val="1"/>
        <c:lblAlgn val="ctr"/>
        <c:lblOffset val="100"/>
        <c:noMultiLvlLbl val="0"/>
      </c:catAx>
      <c:valAx>
        <c:axId val="591111104"/>
        <c:scaling>
          <c:orientation val="minMax"/>
          <c:max val="1.100000000000000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1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Prática.xlsx]Dinâmica Base!Tabela dinâmica11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77420158246643"/>
          <c:y val="0.10824020125360467"/>
          <c:w val="0.74784933599717951"/>
          <c:h val="0.7040143941470157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'Dinâmica Base'!$AD$3</c:f>
              <c:strCache>
                <c:ptCount val="1"/>
                <c:pt idx="0">
                  <c:v>Soma de On Time In Full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'Dinâmica Base'!$AC$4:$AC$8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'Dinâmica Base'!$AD$4:$AD$8</c:f>
              <c:numCache>
                <c:formatCode>#,##0</c:formatCode>
                <c:ptCount val="4"/>
                <c:pt idx="0">
                  <c:v>163</c:v>
                </c:pt>
                <c:pt idx="1">
                  <c:v>215</c:v>
                </c:pt>
                <c:pt idx="2">
                  <c:v>289</c:v>
                </c:pt>
                <c:pt idx="3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5-4175-B58A-AE50173A8708}"/>
            </c:ext>
          </c:extLst>
        </c:ser>
        <c:ser>
          <c:idx val="1"/>
          <c:order val="1"/>
          <c:tx>
            <c:strRef>
              <c:f>'Dinâmica Base'!$AE$3</c:f>
              <c:strCache>
                <c:ptCount val="1"/>
                <c:pt idx="0">
                  <c:v>Soma de Perdas (OTIF)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'Dinâmica Base'!$AC$4:$AC$8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'Dinâmica Base'!$AE$4:$AE$8</c:f>
              <c:numCache>
                <c:formatCode>#,##0</c:formatCode>
                <c:ptCount val="4"/>
                <c:pt idx="0">
                  <c:v>130</c:v>
                </c:pt>
                <c:pt idx="1">
                  <c:v>168</c:v>
                </c:pt>
                <c:pt idx="2">
                  <c:v>197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5-4175-B58A-AE50173A87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7457007"/>
        <c:axId val="637459407"/>
      </c:barChart>
      <c:catAx>
        <c:axId val="63745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7459407"/>
        <c:crosses val="autoZero"/>
        <c:auto val="1"/>
        <c:lblAlgn val="ctr"/>
        <c:lblOffset val="100"/>
        <c:noMultiLvlLbl val="0"/>
      </c:catAx>
      <c:valAx>
        <c:axId val="637459407"/>
        <c:scaling>
          <c:orientation val="minMax"/>
          <c:max val="40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745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528409</xdr:colOff>
      <xdr:row>34</xdr:row>
      <xdr:rowOff>8770</xdr:rowOff>
    </xdr:from>
    <xdr:to>
      <xdr:col>21</xdr:col>
      <xdr:colOff>31750</xdr:colOff>
      <xdr:row>48</xdr:row>
      <xdr:rowOff>10584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AA711A6-63BD-DB18-31FF-CAA30390A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474663</xdr:colOff>
      <xdr:row>11</xdr:row>
      <xdr:rowOff>72232</xdr:rowOff>
    </xdr:from>
    <xdr:to>
      <xdr:col>2</xdr:col>
      <xdr:colOff>565150</xdr:colOff>
      <xdr:row>25</xdr:row>
      <xdr:rowOff>72232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ata da Entrega">
              <a:extLst>
                <a:ext uri="{FF2B5EF4-FFF2-40B4-BE49-F238E27FC236}">
                  <a16:creationId xmlns:a16="http://schemas.microsoft.com/office/drawing/2014/main" id="{09D37591-4669-9C7F-4B8D-8A391AF302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da Entreg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663" y="2167732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25</xdr:col>
      <xdr:colOff>595312</xdr:colOff>
      <xdr:row>23</xdr:row>
      <xdr:rowOff>35718</xdr:rowOff>
    </xdr:from>
    <xdr:to>
      <xdr:col>25</xdr:col>
      <xdr:colOff>1267164</xdr:colOff>
      <xdr:row>24</xdr:row>
      <xdr:rowOff>185397</xdr:rowOff>
    </xdr:to>
    <xdr:sp macro="" textlink="$AA$17">
      <xdr:nvSpPr>
        <xdr:cNvPr id="14" name="CaixaDeTexto 13">
          <a:extLst>
            <a:ext uri="{FF2B5EF4-FFF2-40B4-BE49-F238E27FC236}">
              <a16:creationId xmlns:a16="http://schemas.microsoft.com/office/drawing/2014/main" id="{A03F96B1-A015-C6D7-DDBB-EE4AD0A1A147}"/>
            </a:ext>
          </a:extLst>
        </xdr:cNvPr>
        <xdr:cNvSpPr txBox="1"/>
      </xdr:nvSpPr>
      <xdr:spPr>
        <a:xfrm>
          <a:off x="35909250" y="4417218"/>
          <a:ext cx="671852" cy="34017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3B8FB21-D0C1-4DC7-B28B-10C56594A864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175</a:t>
          </a:fld>
          <a:endParaRPr lang="pt-BR" sz="1600" b="1"/>
        </a:p>
      </xdr:txBody>
    </xdr:sp>
    <xdr:clientData/>
  </xdr:twoCellAnchor>
  <xdr:twoCellAnchor>
    <xdr:from>
      <xdr:col>26</xdr:col>
      <xdr:colOff>1360109</xdr:colOff>
      <xdr:row>26</xdr:row>
      <xdr:rowOff>68638</xdr:rowOff>
    </xdr:from>
    <xdr:to>
      <xdr:col>26</xdr:col>
      <xdr:colOff>2031963</xdr:colOff>
      <xdr:row>28</xdr:row>
      <xdr:rowOff>27817</xdr:rowOff>
    </xdr:to>
    <xdr:sp macro="" textlink="$AA$16">
      <xdr:nvSpPr>
        <xdr:cNvPr id="15" name="CaixaDeTexto 14">
          <a:extLst>
            <a:ext uri="{FF2B5EF4-FFF2-40B4-BE49-F238E27FC236}">
              <a16:creationId xmlns:a16="http://schemas.microsoft.com/office/drawing/2014/main" id="{F9E403B0-B3C5-4594-B0C7-FA5F9EDCEAB9}"/>
            </a:ext>
          </a:extLst>
        </xdr:cNvPr>
        <xdr:cNvSpPr txBox="1"/>
      </xdr:nvSpPr>
      <xdr:spPr>
        <a:xfrm>
          <a:off x="38448078" y="5021638"/>
          <a:ext cx="671854" cy="34017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287C2C-B34D-47C5-B975-318AFE9E8AF8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382</a:t>
          </a:fld>
          <a:endParaRPr lang="pt-BR" sz="2400" b="1"/>
        </a:p>
      </xdr:txBody>
    </xdr:sp>
    <xdr:clientData/>
  </xdr:twoCellAnchor>
  <xdr:twoCellAnchor>
    <xdr:from>
      <xdr:col>25</xdr:col>
      <xdr:colOff>1565237</xdr:colOff>
      <xdr:row>30</xdr:row>
      <xdr:rowOff>103677</xdr:rowOff>
    </xdr:from>
    <xdr:to>
      <xdr:col>26</xdr:col>
      <xdr:colOff>457956</xdr:colOff>
      <xdr:row>32</xdr:row>
      <xdr:rowOff>62856</xdr:rowOff>
    </xdr:to>
    <xdr:sp macro="" textlink="$AA$14">
      <xdr:nvSpPr>
        <xdr:cNvPr id="16" name="CaixaDeTexto 15">
          <a:extLst>
            <a:ext uri="{FF2B5EF4-FFF2-40B4-BE49-F238E27FC236}">
              <a16:creationId xmlns:a16="http://schemas.microsoft.com/office/drawing/2014/main" id="{565DADDB-3678-42FF-8186-24DF11F18E26}"/>
            </a:ext>
          </a:extLst>
        </xdr:cNvPr>
        <xdr:cNvSpPr txBox="1"/>
      </xdr:nvSpPr>
      <xdr:spPr>
        <a:xfrm>
          <a:off x="36879175" y="5818677"/>
          <a:ext cx="666750" cy="34017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20A9360-CF35-46A7-A069-3E1679E552B7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1056</a:t>
          </a:fld>
          <a:endParaRPr lang="pt-BR" sz="2400" b="1"/>
        </a:p>
      </xdr:txBody>
    </xdr:sp>
    <xdr:clientData/>
  </xdr:twoCellAnchor>
  <xdr:twoCellAnchor>
    <xdr:from>
      <xdr:col>26</xdr:col>
      <xdr:colOff>1489378</xdr:colOff>
      <xdr:row>35</xdr:row>
      <xdr:rowOff>27817</xdr:rowOff>
    </xdr:from>
    <xdr:to>
      <xdr:col>26</xdr:col>
      <xdr:colOff>2156128</xdr:colOff>
      <xdr:row>36</xdr:row>
      <xdr:rowOff>177496</xdr:rowOff>
    </xdr:to>
    <xdr:sp macro="" textlink="$AA$13">
      <xdr:nvSpPr>
        <xdr:cNvPr id="17" name="CaixaDeTexto 16">
          <a:extLst>
            <a:ext uri="{FF2B5EF4-FFF2-40B4-BE49-F238E27FC236}">
              <a16:creationId xmlns:a16="http://schemas.microsoft.com/office/drawing/2014/main" id="{A26D405F-ED1B-4C70-B5DC-8B1DEF530209}"/>
            </a:ext>
          </a:extLst>
        </xdr:cNvPr>
        <xdr:cNvSpPr txBox="1"/>
      </xdr:nvSpPr>
      <xdr:spPr>
        <a:xfrm>
          <a:off x="38577347" y="6695317"/>
          <a:ext cx="666750" cy="34017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6C0730-318C-494F-81FE-9280532483E0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2173</a:t>
          </a:fld>
          <a:endParaRPr lang="pt-BR" sz="2400" b="1"/>
        </a:p>
      </xdr:txBody>
    </xdr:sp>
    <xdr:clientData/>
  </xdr:twoCellAnchor>
  <xdr:twoCellAnchor>
    <xdr:from>
      <xdr:col>26</xdr:col>
      <xdr:colOff>584503</xdr:colOff>
      <xdr:row>41</xdr:row>
      <xdr:rowOff>170692</xdr:rowOff>
    </xdr:from>
    <xdr:to>
      <xdr:col>26</xdr:col>
      <xdr:colOff>1251253</xdr:colOff>
      <xdr:row>43</xdr:row>
      <xdr:rowOff>129871</xdr:rowOff>
    </xdr:to>
    <xdr:sp macro="" textlink="$AA$15">
      <xdr:nvSpPr>
        <xdr:cNvPr id="18" name="CaixaDeTexto 17">
          <a:extLst>
            <a:ext uri="{FF2B5EF4-FFF2-40B4-BE49-F238E27FC236}">
              <a16:creationId xmlns:a16="http://schemas.microsoft.com/office/drawing/2014/main" id="{E41D34A2-7736-4CCA-8D8F-FD53E7C27E72}"/>
            </a:ext>
          </a:extLst>
        </xdr:cNvPr>
        <xdr:cNvSpPr txBox="1"/>
      </xdr:nvSpPr>
      <xdr:spPr>
        <a:xfrm>
          <a:off x="37672472" y="7981192"/>
          <a:ext cx="666750" cy="34017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8E17B1C-3CEA-4885-B89E-DFD32DAC8455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902</a:t>
          </a:fld>
          <a:endParaRPr lang="pt-BR" sz="3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21</xdr:col>
      <xdr:colOff>533401</xdr:colOff>
      <xdr:row>41</xdr:row>
      <xdr:rowOff>97068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238742-938F-2E15-3934-5D562DDF8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3335000" cy="7907568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</xdr:row>
      <xdr:rowOff>66675</xdr:rowOff>
    </xdr:from>
    <xdr:to>
      <xdr:col>3</xdr:col>
      <xdr:colOff>323850</xdr:colOff>
      <xdr:row>11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nos (Data da Entrega)">
              <a:extLst>
                <a:ext uri="{FF2B5EF4-FFF2-40B4-BE49-F238E27FC236}">
                  <a16:creationId xmlns:a16="http://schemas.microsoft.com/office/drawing/2014/main" id="{FDEDB1F1-4AF2-4E11-82E4-AEF845CCFE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 da Entreg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5" y="1400175"/>
              <a:ext cx="1812925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342900</xdr:colOff>
      <xdr:row>11</xdr:row>
      <xdr:rowOff>114300</xdr:rowOff>
    </xdr:from>
    <xdr:to>
      <xdr:col>3</xdr:col>
      <xdr:colOff>338931</xdr:colOff>
      <xdr:row>24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ransportadora">
              <a:extLst>
                <a:ext uri="{FF2B5EF4-FFF2-40B4-BE49-F238E27FC236}">
                  <a16:creationId xmlns:a16="http://schemas.microsoft.com/office/drawing/2014/main" id="{51909400-F16B-4E0F-AA2B-70F20D1E47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do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" y="2209800"/>
              <a:ext cx="1837531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352426</xdr:colOff>
      <xdr:row>24</xdr:row>
      <xdr:rowOff>180974</xdr:rowOff>
    </xdr:from>
    <xdr:to>
      <xdr:col>3</xdr:col>
      <xdr:colOff>344488</xdr:colOff>
      <xdr:row>39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Nome do Cliente">
              <a:extLst>
                <a:ext uri="{FF2B5EF4-FFF2-40B4-BE49-F238E27FC236}">
                  <a16:creationId xmlns:a16="http://schemas.microsoft.com/office/drawing/2014/main" id="{D18E75FD-A7E5-4C94-ADF7-6896CB62E2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 do 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6" y="4752974"/>
              <a:ext cx="1833562" cy="27336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533399</xdr:colOff>
      <xdr:row>3</xdr:row>
      <xdr:rowOff>66676</xdr:rowOff>
    </xdr:from>
    <xdr:to>
      <xdr:col>12</xdr:col>
      <xdr:colOff>47625</xdr:colOff>
      <xdr:row>5</xdr:row>
      <xdr:rowOff>28576</xdr:rowOff>
    </xdr:to>
    <xdr:sp macro="" textlink="'Dinâmica Base'!$A$4">
      <xdr:nvSpPr>
        <xdr:cNvPr id="7" name="CaixaDeTexto 6">
          <a:extLst>
            <a:ext uri="{FF2B5EF4-FFF2-40B4-BE49-F238E27FC236}">
              <a16:creationId xmlns:a16="http://schemas.microsoft.com/office/drawing/2014/main" id="{57965A46-873E-8CE4-6FDB-4C411AF45E64}"/>
            </a:ext>
          </a:extLst>
        </xdr:cNvPr>
        <xdr:cNvSpPr txBox="1"/>
      </xdr:nvSpPr>
      <xdr:spPr>
        <a:xfrm>
          <a:off x="6629399" y="638176"/>
          <a:ext cx="733426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14FA25-363B-4F4B-8EA8-9683FBBADF98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t>4.688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466726</xdr:colOff>
      <xdr:row>3</xdr:row>
      <xdr:rowOff>85725</xdr:rowOff>
    </xdr:from>
    <xdr:to>
      <xdr:col>15</xdr:col>
      <xdr:colOff>152400</xdr:colOff>
      <xdr:row>5</xdr:row>
      <xdr:rowOff>47625</xdr:rowOff>
    </xdr:to>
    <xdr:sp macro="" textlink="'Dinâmica Base'!$C$4">
      <xdr:nvSpPr>
        <xdr:cNvPr id="8" name="CaixaDeTexto 7">
          <a:extLst>
            <a:ext uri="{FF2B5EF4-FFF2-40B4-BE49-F238E27FC236}">
              <a16:creationId xmlns:a16="http://schemas.microsoft.com/office/drawing/2014/main" id="{5EDDBFD7-0CA7-4427-B172-08BA655F2539}"/>
            </a:ext>
          </a:extLst>
        </xdr:cNvPr>
        <xdr:cNvSpPr txBox="1"/>
      </xdr:nvSpPr>
      <xdr:spPr>
        <a:xfrm>
          <a:off x="8391526" y="657225"/>
          <a:ext cx="904874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95D2844-C56B-4599-A0CE-46F06F5CCCD8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21.971</a:t>
          </a:fld>
          <a:endParaRPr lang="pt-BR" sz="1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466726</xdr:colOff>
      <xdr:row>3</xdr:row>
      <xdr:rowOff>57150</xdr:rowOff>
    </xdr:from>
    <xdr:to>
      <xdr:col>17</xdr:col>
      <xdr:colOff>571500</xdr:colOff>
      <xdr:row>5</xdr:row>
      <xdr:rowOff>19050</xdr:rowOff>
    </xdr:to>
    <xdr:sp macro="" textlink="'Dinâmica Base'!$E$4">
      <xdr:nvSpPr>
        <xdr:cNvPr id="10" name="CaixaDeTexto 9">
          <a:extLst>
            <a:ext uri="{FF2B5EF4-FFF2-40B4-BE49-F238E27FC236}">
              <a16:creationId xmlns:a16="http://schemas.microsoft.com/office/drawing/2014/main" id="{2A8A0CE0-26A9-4703-A548-71D2FB27583E}"/>
            </a:ext>
          </a:extLst>
        </xdr:cNvPr>
        <xdr:cNvSpPr txBox="1"/>
      </xdr:nvSpPr>
      <xdr:spPr>
        <a:xfrm>
          <a:off x="10220326" y="628650"/>
          <a:ext cx="714374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CFEE568-763E-4FDA-905E-11C6F6E83DEB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1.524</a:t>
          </a:fld>
          <a:endParaRPr lang="pt-BR" sz="1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295275</xdr:colOff>
      <xdr:row>3</xdr:row>
      <xdr:rowOff>104775</xdr:rowOff>
    </xdr:from>
    <xdr:to>
      <xdr:col>21</xdr:col>
      <xdr:colOff>381000</xdr:colOff>
      <xdr:row>5</xdr:row>
      <xdr:rowOff>66675</xdr:rowOff>
    </xdr:to>
    <xdr:sp macro="" textlink="'Dinâmica Base'!$G$4">
      <xdr:nvSpPr>
        <xdr:cNvPr id="11" name="CaixaDeTexto 10">
          <a:extLst>
            <a:ext uri="{FF2B5EF4-FFF2-40B4-BE49-F238E27FC236}">
              <a16:creationId xmlns:a16="http://schemas.microsoft.com/office/drawing/2014/main" id="{B28FB61D-820F-436D-A59E-35FA158FF221}"/>
            </a:ext>
          </a:extLst>
        </xdr:cNvPr>
        <xdr:cNvSpPr txBox="1"/>
      </xdr:nvSpPr>
      <xdr:spPr>
        <a:xfrm>
          <a:off x="11877675" y="676275"/>
          <a:ext cx="13049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5A095E9-F739-40C1-AB32-9B37DBA51310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 R$ 3.247.275 </a:t>
          </a:fld>
          <a:endParaRPr lang="pt-B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571500</xdr:colOff>
      <xdr:row>6</xdr:row>
      <xdr:rowOff>163285</xdr:rowOff>
    </xdr:from>
    <xdr:to>
      <xdr:col>11</xdr:col>
      <xdr:colOff>605517</xdr:colOff>
      <xdr:row>22</xdr:row>
      <xdr:rowOff>74838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C37FE69-96A9-4777-94DE-0A51D450F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485775</xdr:colOff>
      <xdr:row>6</xdr:row>
      <xdr:rowOff>104775</xdr:rowOff>
    </xdr:from>
    <xdr:to>
      <xdr:col>16</xdr:col>
      <xdr:colOff>314325</xdr:colOff>
      <xdr:row>14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3762469-9663-480D-A949-49D8B4936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314325</xdr:colOff>
      <xdr:row>10</xdr:row>
      <xdr:rowOff>38100</xdr:rowOff>
    </xdr:from>
    <xdr:to>
      <xdr:col>13</xdr:col>
      <xdr:colOff>361950</xdr:colOff>
      <xdr:row>11</xdr:row>
      <xdr:rowOff>142875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1D5EB548-32E4-D45B-6055-F893C896F0FA}"/>
            </a:ext>
          </a:extLst>
        </xdr:cNvPr>
        <xdr:cNvSpPr txBox="1"/>
      </xdr:nvSpPr>
      <xdr:spPr>
        <a:xfrm>
          <a:off x="7629525" y="1943100"/>
          <a:ext cx="6572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On Time</a:t>
          </a:r>
        </a:p>
      </xdr:txBody>
    </xdr:sp>
    <xdr:clientData/>
  </xdr:twoCellAnchor>
  <xdr:twoCellAnchor>
    <xdr:from>
      <xdr:col>12</xdr:col>
      <xdr:colOff>381000</xdr:colOff>
      <xdr:row>17</xdr:row>
      <xdr:rowOff>142875</xdr:rowOff>
    </xdr:from>
    <xdr:to>
      <xdr:col>13</xdr:col>
      <xdr:colOff>323850</xdr:colOff>
      <xdr:row>19</xdr:row>
      <xdr:rowOff>28575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E88C964-B353-38C9-77D6-C63B3586990B}"/>
            </a:ext>
          </a:extLst>
        </xdr:cNvPr>
        <xdr:cNvSpPr txBox="1"/>
      </xdr:nvSpPr>
      <xdr:spPr>
        <a:xfrm>
          <a:off x="7696200" y="3381375"/>
          <a:ext cx="5524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In Full</a:t>
          </a:r>
        </a:p>
      </xdr:txBody>
    </xdr:sp>
    <xdr:clientData/>
  </xdr:twoCellAnchor>
  <xdr:twoCellAnchor>
    <xdr:from>
      <xdr:col>14</xdr:col>
      <xdr:colOff>47626</xdr:colOff>
      <xdr:row>14</xdr:row>
      <xdr:rowOff>152400</xdr:rowOff>
    </xdr:from>
    <xdr:to>
      <xdr:col>16</xdr:col>
      <xdr:colOff>314325</xdr:colOff>
      <xdr:row>21</xdr:row>
      <xdr:rowOff>180975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D70B65A-1EFF-4EE5-AACD-EA39C3D87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419100</xdr:colOff>
      <xdr:row>13</xdr:row>
      <xdr:rowOff>69642</xdr:rowOff>
    </xdr:from>
    <xdr:to>
      <xdr:col>21</xdr:col>
      <xdr:colOff>400050</xdr:colOff>
      <xdr:row>30</xdr:row>
      <xdr:rowOff>85725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435F11BB-524B-4192-8DB8-CF4819A3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2546142"/>
          <a:ext cx="3028950" cy="3254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342900</xdr:colOff>
      <xdr:row>16</xdr:row>
      <xdr:rowOff>104775</xdr:rowOff>
    </xdr:from>
    <xdr:to>
      <xdr:col>18</xdr:col>
      <xdr:colOff>276225</xdr:colOff>
      <xdr:row>18</xdr:row>
      <xdr:rowOff>19050</xdr:rowOff>
    </xdr:to>
    <xdr:sp macro="" textlink="'Dinâmica Base'!$AA$17">
      <xdr:nvSpPr>
        <xdr:cNvPr id="25" name="CaixaDeTexto 24">
          <a:extLst>
            <a:ext uri="{FF2B5EF4-FFF2-40B4-BE49-F238E27FC236}">
              <a16:creationId xmlns:a16="http://schemas.microsoft.com/office/drawing/2014/main" id="{1887F41F-679D-DA0A-C569-9F60A0D8C207}"/>
            </a:ext>
          </a:extLst>
        </xdr:cNvPr>
        <xdr:cNvSpPr txBox="1"/>
      </xdr:nvSpPr>
      <xdr:spPr>
        <a:xfrm>
          <a:off x="10706100" y="3152775"/>
          <a:ext cx="5429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549BF6-0B00-4D7A-AF68-F9C7B7466F3C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t>175</a:t>
          </a:fld>
          <a:endParaRPr lang="pt-BR" sz="1400" b="1"/>
        </a:p>
      </xdr:txBody>
    </xdr:sp>
    <xdr:clientData/>
  </xdr:twoCellAnchor>
  <xdr:twoCellAnchor>
    <xdr:from>
      <xdr:col>20</xdr:col>
      <xdr:colOff>133351</xdr:colOff>
      <xdr:row>17</xdr:row>
      <xdr:rowOff>180976</xdr:rowOff>
    </xdr:from>
    <xdr:to>
      <xdr:col>21</xdr:col>
      <xdr:colOff>66676</xdr:colOff>
      <xdr:row>19</xdr:row>
      <xdr:rowOff>95251</xdr:rowOff>
    </xdr:to>
    <xdr:sp macro="" textlink="'Dinâmica Base'!$AA$16">
      <xdr:nvSpPr>
        <xdr:cNvPr id="26" name="CaixaDeTexto 25">
          <a:extLst>
            <a:ext uri="{FF2B5EF4-FFF2-40B4-BE49-F238E27FC236}">
              <a16:creationId xmlns:a16="http://schemas.microsoft.com/office/drawing/2014/main" id="{5582FE60-7652-423A-AC3E-34B5F7227867}"/>
            </a:ext>
          </a:extLst>
        </xdr:cNvPr>
        <xdr:cNvSpPr txBox="1"/>
      </xdr:nvSpPr>
      <xdr:spPr>
        <a:xfrm>
          <a:off x="12325351" y="3419476"/>
          <a:ext cx="5429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9EEA7C9-F725-40BB-BD37-EE44E76D58FF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382</a:t>
          </a:fld>
          <a:endParaRPr lang="pt-BR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228601</xdr:colOff>
      <xdr:row>20</xdr:row>
      <xdr:rowOff>1</xdr:rowOff>
    </xdr:from>
    <xdr:to>
      <xdr:col>19</xdr:col>
      <xdr:colOff>295277</xdr:colOff>
      <xdr:row>21</xdr:row>
      <xdr:rowOff>104776</xdr:rowOff>
    </xdr:to>
    <xdr:sp macro="" textlink="'Dinâmica Base'!$AA$14">
      <xdr:nvSpPr>
        <xdr:cNvPr id="27" name="CaixaDeTexto 26">
          <a:extLst>
            <a:ext uri="{FF2B5EF4-FFF2-40B4-BE49-F238E27FC236}">
              <a16:creationId xmlns:a16="http://schemas.microsoft.com/office/drawing/2014/main" id="{1B1721B8-78DB-4458-9FDC-7E03F220905D}"/>
            </a:ext>
          </a:extLst>
        </xdr:cNvPr>
        <xdr:cNvSpPr txBox="1"/>
      </xdr:nvSpPr>
      <xdr:spPr>
        <a:xfrm>
          <a:off x="11201401" y="3810001"/>
          <a:ext cx="67627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B769A62-9E1B-49EC-8687-15D255392041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1056</a:t>
          </a:fld>
          <a:endParaRPr lang="pt-BR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371476</xdr:colOff>
      <xdr:row>23</xdr:row>
      <xdr:rowOff>1</xdr:rowOff>
    </xdr:from>
    <xdr:to>
      <xdr:col>20</xdr:col>
      <xdr:colOff>438152</xdr:colOff>
      <xdr:row>24</xdr:row>
      <xdr:rowOff>104776</xdr:rowOff>
    </xdr:to>
    <xdr:sp macro="" textlink="'Dinâmica Base'!$AA$13">
      <xdr:nvSpPr>
        <xdr:cNvPr id="28" name="CaixaDeTexto 27">
          <a:extLst>
            <a:ext uri="{FF2B5EF4-FFF2-40B4-BE49-F238E27FC236}">
              <a16:creationId xmlns:a16="http://schemas.microsoft.com/office/drawing/2014/main" id="{DEBA9D85-45C7-484B-8263-1DAEDDAC4196}"/>
            </a:ext>
          </a:extLst>
        </xdr:cNvPr>
        <xdr:cNvSpPr txBox="1"/>
      </xdr:nvSpPr>
      <xdr:spPr>
        <a:xfrm>
          <a:off x="11953876" y="4381501"/>
          <a:ext cx="67627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EFF762B-A664-42AD-B6E3-FAABB9DB0D14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2173</a:t>
          </a:fld>
          <a:endParaRPr lang="pt-BR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504826</xdr:colOff>
      <xdr:row>26</xdr:row>
      <xdr:rowOff>152401</xdr:rowOff>
    </xdr:from>
    <xdr:to>
      <xdr:col>19</xdr:col>
      <xdr:colOff>571502</xdr:colOff>
      <xdr:row>28</xdr:row>
      <xdr:rowOff>66676</xdr:rowOff>
    </xdr:to>
    <xdr:sp macro="" textlink="'Dinâmica Base'!$AA$15">
      <xdr:nvSpPr>
        <xdr:cNvPr id="29" name="CaixaDeTexto 28">
          <a:extLst>
            <a:ext uri="{FF2B5EF4-FFF2-40B4-BE49-F238E27FC236}">
              <a16:creationId xmlns:a16="http://schemas.microsoft.com/office/drawing/2014/main" id="{E18402BB-1F76-48CE-9BE2-03F09D5B3027}"/>
            </a:ext>
          </a:extLst>
        </xdr:cNvPr>
        <xdr:cNvSpPr txBox="1"/>
      </xdr:nvSpPr>
      <xdr:spPr>
        <a:xfrm>
          <a:off x="11477626" y="5105401"/>
          <a:ext cx="67627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982B4F7-5217-47A5-AB5E-98435CA29FE1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902</a:t>
          </a:fld>
          <a:endParaRPr lang="pt-BR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219075</xdr:colOff>
      <xdr:row>22</xdr:row>
      <xdr:rowOff>133351</xdr:rowOff>
    </xdr:from>
    <xdr:to>
      <xdr:col>12</xdr:col>
      <xdr:colOff>76200</xdr:colOff>
      <xdr:row>40</xdr:row>
      <xdr:rowOff>85725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793C954-4E0C-4B9B-B490-14ACB0ABB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114300</xdr:colOff>
      <xdr:row>22</xdr:row>
      <xdr:rowOff>114299</xdr:rowOff>
    </xdr:from>
    <xdr:to>
      <xdr:col>16</xdr:col>
      <xdr:colOff>285750</xdr:colOff>
      <xdr:row>39</xdr:row>
      <xdr:rowOff>114300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61941AC-BF2C-4E5F-8650-F9A05116A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yPC" refreshedDate="46037.856844675924" createdVersion="8" refreshedVersion="8" minRefreshableVersion="3" recordCount="2725" xr:uid="{78AD52BF-B9B4-4094-8038-571E5D037C59}">
  <cacheSource type="worksheet">
    <worksheetSource name="fNotasFiscais"/>
  </cacheSource>
  <cacheFields count="34">
    <cacheField name="Data Faturamento" numFmtId="14">
      <sharedItems containsSemiMixedTypes="0" containsNonDate="0" containsDate="1" containsString="0" minDate="2018-01-01T00:00:00" maxDate="2019-12-29T00:00:00"/>
    </cacheField>
    <cacheField name="Nota Fiscal" numFmtId="0">
      <sharedItems containsSemiMixedTypes="0" containsString="0" containsNumber="1" containsInteger="1" minValue="10411" maxValue="13135"/>
    </cacheField>
    <cacheField name="Warehouse Origem" numFmtId="0">
      <sharedItems/>
    </cacheField>
    <cacheField name="Cidade" numFmtId="0">
      <sharedItems/>
    </cacheField>
    <cacheField name="UF" numFmtId="0">
      <sharedItems/>
    </cacheField>
    <cacheField name="Cod. Cliente" numFmtId="0">
      <sharedItems containsSemiMixedTypes="0" containsString="0" containsNumber="1" containsInteger="1" minValue="4012" maxValue="4275"/>
    </cacheField>
    <cacheField name="Nome do Cliente" numFmtId="0">
      <sharedItems count="264">
        <s v="Amaggi Commodities"/>
        <s v="Copersucar"/>
        <s v="ABB"/>
        <s v="Makro"/>
        <s v="ADM"/>
        <s v="Cofco Agri"/>
        <s v="Petróleo Sabbá"/>
        <s v="Agrex do Brasil"/>
        <s v="Agrofel Grãos e Insumos"/>
        <s v="Allied"/>
        <s v="Total Combustíveis"/>
        <s v="Ambev"/>
        <s v="Ultragaz"/>
        <s v="Grupo Martins"/>
        <s v="Arcom"/>
        <s v="Profarma"/>
        <s v="Atem’s Distribuidora"/>
        <s v="Atlas Schindler"/>
        <s v="Cooxupé"/>
        <s v="Fic Petróleo"/>
        <s v="Liquigás"/>
        <s v="Glencore"/>
        <s v="Boticário"/>
        <s v="Seara Agro-Pecuários"/>
        <s v="Gavilon do Brasil"/>
        <s v="Brasilgás"/>
        <s v="Raízen Mime"/>
        <s v="BRF"/>
        <s v="Bunge"/>
        <s v="Sotreq"/>
        <s v="Fiagril"/>
        <s v="Cargill"/>
        <s v="Multigrain"/>
        <s v="CDPC-Centro Distrib. Prod. Cobre"/>
        <s v="Coopercitrus"/>
        <s v="Rodoil"/>
        <s v="Potencial Petróleo"/>
        <s v="Zema Petróleo"/>
        <s v="CGG Trading"/>
        <s v="Cisa"/>
        <s v="Comexport Trading"/>
        <s v="Servimed"/>
        <s v="Tambasa"/>
        <s v="Copercampos"/>
        <s v="Copercana"/>
        <s v="Cotrisal"/>
        <s v="Taurus"/>
        <s v="CRBS"/>
        <s v="Ruff"/>
        <s v="Larco Distrib. de Combustível"/>
        <s v="Interagrícola"/>
        <s v="Moove"/>
        <s v="Petrobahia"/>
        <s v="JBS"/>
        <s v="JBS Foods"/>
        <s v="WEG Equipamentos"/>
        <s v="ThyssenKrupp"/>
        <s v="Unilever Brasil"/>
        <s v="Spal"/>
        <s v="Aurora Alimentos"/>
        <s v="Souza Cruz"/>
        <s v="Natura"/>
        <s v="P&amp;G Industrial"/>
        <s v="M. Dias Branco"/>
        <s v="Nestlé"/>
        <s v="Kimberly-Clark"/>
        <s v="Mondeléz Brasil"/>
        <s v="Avon"/>
        <s v="Camil"/>
        <s v="Pepsico"/>
        <s v="Bianchini"/>
        <s v="Brasil Kirin"/>
        <s v="Norsa"/>
        <s v="Itambé Alimentos"/>
        <s v="Laticínios Bela Vista"/>
        <s v="Vigor"/>
        <s v="Johnson &amp; Johnson"/>
        <s v="Heineken"/>
        <s v="Ajinomoto"/>
        <s v="L’Oréal Brasil"/>
        <s v="Arosuco"/>
        <s v="Vonpar Refrescos"/>
        <s v="P&amp;G"/>
        <s v="Três Corações"/>
        <s v="J. Macêdo"/>
        <s v="Pif Paf"/>
        <s v="Garoto"/>
        <s v="JDE"/>
        <s v="Frangos Canção"/>
        <s v="Frigol"/>
        <s v="Embrapa"/>
        <s v="Casa da Moeda"/>
        <s v="Multiplus"/>
        <s v="Conab"/>
        <s v="Cisper"/>
        <s v="Avibras"/>
        <s v="Samsung"/>
        <s v="Whirlpool"/>
        <s v="LG-SP"/>
        <s v="GE"/>
        <s v="Electrolux"/>
        <s v="Siemens"/>
        <s v="Ericsson"/>
        <s v="Microsoft Mobile"/>
        <s v="Panasonic"/>
        <s v="Huawei"/>
        <s v="Furnas"/>
        <s v="Chesf"/>
        <s v="Itaipu Binacional"/>
        <s v="AES Eletropaulo"/>
        <s v="Cemig Distribuição"/>
        <s v="BG Brasil"/>
        <s v="Light Sesa"/>
        <s v="Eletronorte"/>
        <s v="Copel Distribuição"/>
        <s v="CTEEP"/>
        <s v="CPFL Paulista"/>
        <s v="Coelba"/>
        <s v="Raízen Energia"/>
        <s v="Cemig GT"/>
        <s v="Celesc"/>
        <s v="Comgás"/>
        <s v="Elektro Redes"/>
        <s v="Celpe"/>
        <s v="Celpa"/>
        <s v="Distribuição SSP"/>
        <s v="Engie Brasil Energia"/>
        <s v="Celg D"/>
        <s v="Enel Distribuição"/>
        <s v="Copel GET"/>
        <s v="Eletrobras"/>
        <s v="Energisa Mato Grosso"/>
        <s v="Votener"/>
        <s v="BMTE"/>
        <s v="Biosev"/>
        <s v="Rio Paraná Energia"/>
        <s v="EDP São Paulo"/>
        <s v="CPFL Piratininga"/>
        <s v="CEG"/>
        <s v="Eletrosul"/>
        <s v="Repsol Sinopec"/>
        <s v="Cemar"/>
        <s v="RGE"/>
        <s v="RGE Sul"/>
        <s v="Petrogal Brasil"/>
        <s v="Biosev Bioenergia"/>
        <s v="Santo Antônio Energia"/>
        <s v="EDP Espírito Santo"/>
        <s v="CEEE"/>
        <s v="Eletrobras Amazonas"/>
        <s v="Eletronuclear"/>
        <s v="Energia Sustentável do Brasil"/>
        <s v="Usina Coruripe"/>
        <s v="São Martinho"/>
        <s v="CPFL Brasil"/>
        <s v="CEB Distribuição"/>
        <s v="Energisa M. Grosso do Sul"/>
        <s v="Usina Guarani"/>
        <s v="Shell Brasil"/>
        <s v="CEEE-GT"/>
        <s v="EDP Comercializadora"/>
        <s v="CEG Rio"/>
        <s v="Cosern"/>
        <s v="EDF Norte Fluminense"/>
        <s v="Alto Alegre"/>
        <s v="Brenco"/>
        <s v="Cesp"/>
        <s v="Energisa Paraíba"/>
        <s v="AES Tiete Energia"/>
        <s v="Usina Colombo"/>
        <s v="Eletrobras Rondônia"/>
        <s v="Usaçúcar"/>
        <s v="Adecoagro"/>
        <s v="Usina Delta"/>
        <s v="Statoil"/>
        <s v="Usina da Pedra"/>
        <s v="Eletrobras Distribuição Piauí"/>
        <s v="Rio Paranapanema Energia"/>
        <s v="Comerc Energia"/>
        <s v="Taesa"/>
        <s v="Bahiagás"/>
        <s v="Eletrobras Distribuição Alagoas"/>
        <s v="Clealco"/>
        <s v="Hypermarcas"/>
        <s v="Pfizer"/>
        <s v="Roche"/>
        <s v="Novartis"/>
        <s v="Sanofi-Aventis"/>
        <s v="EMS Sigma Pharma"/>
        <s v="Eurofarma"/>
        <s v="Aché"/>
        <s v="Abbott"/>
        <s v="Laboratório Cristália"/>
        <s v="Votorantim Cimentos"/>
        <s v="Duratex"/>
        <s v="Construtora Odebrecht"/>
        <s v="Queiroz Galvão"/>
        <s v="MRV"/>
        <s v="Andrade Gutierrez"/>
        <s v="InterCement"/>
        <s v="Construtora OAS"/>
        <s v="Camargo Corrêa"/>
        <s v="Magnesita"/>
        <s v="Tigre"/>
        <s v="Votorantim Cimentos N/NE"/>
        <s v="Arauco"/>
        <s v="HP"/>
        <s v="IBM"/>
        <s v="Google"/>
        <s v="Cisco"/>
        <s v="Serpro"/>
        <s v="Oracle"/>
        <s v="TecBan"/>
        <s v="CA Technologies"/>
        <s v="Totvs"/>
        <s v="Positivo Informática"/>
        <s v="SAP"/>
        <s v="Digibras"/>
        <s v="Sabesp"/>
        <s v="Cedae"/>
        <s v="Copasa MG"/>
        <s v="Sanepar"/>
        <s v="Infraero"/>
        <s v="Embasa"/>
        <s v="Corsan"/>
        <s v="Saneago"/>
        <s v="AutoBan"/>
        <s v="Comlurb"/>
        <s v="GRU Airport"/>
        <s v="Caesb"/>
        <s v="Compesa"/>
        <s v="Sistema Produtor São Lourenço"/>
        <s v="CCR NovaDutra"/>
        <s v="Suzano"/>
        <s v="Klabin"/>
        <s v="Fibria"/>
        <s v="Eldorado Brasil"/>
        <s v="Cenibra"/>
        <s v="Fibria-MS"/>
        <s v="Berneck"/>
        <s v="Louis Dreyfus"/>
        <s v="Copersucar-Cooperativa"/>
        <s v="Coamo"/>
        <s v="Nidera Sementes"/>
        <s v="C. Vale"/>
        <s v="Minerva Foods"/>
        <s v="Marfrig"/>
        <s v="Lar"/>
        <s v="Caramuru Alimentos"/>
        <s v="Comigo"/>
        <s v="Cocamar"/>
        <s v="Copacol"/>
        <s v="Granol"/>
        <s v="Citrosuco"/>
        <s v="Belagrícola"/>
        <s v="Integrada"/>
        <s v="Castrolanda"/>
        <s v="Cooperativa Agrária"/>
        <s v="Cooperalfa"/>
        <s v="Frisia"/>
        <s v="Algar Agro"/>
        <s v="Frimesa"/>
        <s v="Coopavel"/>
        <s v="LDC Sucos"/>
      </sharedItems>
    </cacheField>
    <cacheField name="Cidade Destino" numFmtId="0">
      <sharedItems/>
    </cacheField>
    <cacheField name="Estado Destino" numFmtId="0">
      <sharedItems/>
    </cacheField>
    <cacheField name="Região Destino" numFmtId="0">
      <sharedItems count="5">
        <s v="Sul"/>
        <s v="Centro-Oeste"/>
        <s v="Sudeste"/>
        <s v="Nordeste"/>
        <s v="Norte"/>
      </sharedItems>
    </cacheField>
    <cacheField name="UF Cliente" numFmtId="0">
      <sharedItems/>
    </cacheField>
    <cacheField name="Valor Nota Fiscal" numFmtId="0">
      <sharedItems containsSemiMixedTypes="0" containsString="0" containsNumber="1" minValue="1.46" maxValue="113610.98"/>
    </cacheField>
    <cacheField name="Qtd de Volumes" numFmtId="0">
      <sharedItems containsSemiMixedTypes="0" containsString="0" containsNumber="1" containsInteger="1" minValue="1" maxValue="230"/>
    </cacheField>
    <cacheField name="Peso bruto (kg)" numFmtId="0">
      <sharedItems containsSemiMixedTypes="0" containsString="0" containsNumber="1" minValue="6.0000000000000001E-3" maxValue="789.74"/>
    </cacheField>
    <cacheField name="Cod. Transportadora" numFmtId="0">
      <sharedItems containsSemiMixedTypes="0" containsString="0" containsNumber="1" containsInteger="1" minValue="6100231" maxValue="6900304"/>
    </cacheField>
    <cacheField name="Transportadora" numFmtId="0">
      <sharedItems count="7">
        <s v="Gaucho Transportes"/>
        <s v="Cargo Centro-Oeste"/>
        <s v="Transportadora Mineira"/>
        <s v="Paulistana"/>
        <s v="RodoCarioca"/>
        <s v="RodoNordeste"/>
        <s v="Transnorte Cargas"/>
      </sharedItems>
    </cacheField>
    <cacheField name="Centro de Distribuição" numFmtId="0">
      <sharedItems/>
    </cacheField>
    <cacheField name="Tipo de transporte" numFmtId="0">
      <sharedItems/>
    </cacheField>
    <cacheField name="Prazo Contratado" numFmtId="0">
      <sharedItems containsSemiMixedTypes="0" containsString="0" containsNumber="1" containsInteger="1" minValue="1" maxValue="12"/>
    </cacheField>
    <cacheField name="Data da Coleta" numFmtId="14">
      <sharedItems containsSemiMixedTypes="0" containsNonDate="0" containsDate="1" containsString="0" minDate="2018-01-02T00:00:00" maxDate="2019-12-29T00:00:00"/>
    </cacheField>
    <cacheField name="Data da Entrega" numFmtId="14">
      <sharedItems containsSemiMixedTypes="0" containsNonDate="0" containsDate="1" containsString="0" minDate="2018-01-04T00:00:00" maxDate="2020-01-08T00:00:00" count="693">
        <d v="2018-01-04T00:00:00"/>
        <d v="2018-02-06T00:00:00"/>
        <d v="2018-02-10T00:00:00"/>
        <d v="2018-01-10T00:00:00"/>
        <d v="2018-02-19T00:00:00"/>
        <d v="2018-02-24T00:00:00"/>
        <d v="2018-01-12T00:00:00"/>
        <d v="2018-01-11T00:00:00"/>
        <d v="2018-01-20T00:00:00"/>
        <d v="2018-01-13T00:00:00"/>
        <d v="2018-01-16T00:00:00"/>
        <d v="2018-01-22T00:00:00"/>
        <d v="2018-01-17T00:00:00"/>
        <d v="2018-01-24T00:00:00"/>
        <d v="2018-01-29T00:00:00"/>
        <d v="2018-02-04T00:00:00"/>
        <d v="2018-02-02T00:00:00"/>
        <d v="2018-02-07T00:00:00"/>
        <d v="2018-02-05T00:00:00"/>
        <d v="2018-02-16T00:00:00"/>
        <d v="2018-02-09T00:00:00"/>
        <d v="2018-02-23T00:00:00"/>
        <d v="2018-02-22T00:00:00"/>
        <d v="2018-02-25T00:00:00"/>
        <d v="2018-02-17T00:00:00"/>
        <d v="2018-02-18T00:00:00"/>
        <d v="2018-03-04T00:00:00"/>
        <d v="2018-02-27T00:00:00"/>
        <d v="2018-03-05T00:00:00"/>
        <d v="2018-03-13T00:00:00"/>
        <d v="2018-01-08T00:00:00"/>
        <d v="2018-01-14T00:00:00"/>
        <d v="2018-01-21T00:00:00"/>
        <d v="2018-01-18T00:00:00"/>
        <d v="2018-03-08T00:00:00"/>
        <d v="2018-03-10T00:00:00"/>
        <d v="2018-01-07T00:00:00"/>
        <d v="2018-01-15T00:00:00"/>
        <d v="2018-01-23T00:00:00"/>
        <d v="2018-01-25T00:00:00"/>
        <d v="2018-02-13T00:00:00"/>
        <d v="2018-02-14T00:00:00"/>
        <d v="2018-02-11T00:00:00"/>
        <d v="2018-01-27T00:00:00"/>
        <d v="2018-01-09T00:00:00"/>
        <d v="2018-01-31T00:00:00"/>
        <d v="2018-02-01T00:00:00"/>
        <d v="2018-01-30T00:00:00"/>
        <d v="2018-02-12T00:00:00"/>
        <d v="2018-02-26T00:00:00"/>
        <d v="2018-03-12T00:00:00"/>
        <d v="2018-02-08T00:00:00"/>
        <d v="2018-03-01T00:00:00"/>
        <d v="2018-02-28T00:00:00"/>
        <d v="2018-02-21T00:00:00"/>
        <d v="2018-02-15T00:00:00"/>
        <d v="2018-03-16T00:00:00"/>
        <d v="2018-03-15T00:00:00"/>
        <d v="2018-03-03T00:00:00"/>
        <d v="2018-01-28T00:00:00"/>
        <d v="2018-03-11T00:00:00"/>
        <d v="2018-03-02T00:00:00"/>
        <d v="2018-03-17T00:00:00"/>
        <d v="2018-03-14T00:00:00"/>
        <d v="2018-01-26T00:00:00"/>
        <d v="2018-01-19T00:00:00"/>
        <d v="2018-02-03T00:00:00"/>
        <d v="2018-03-09T00:00:00"/>
        <d v="2018-02-20T00:00:00"/>
        <d v="2018-03-06T00:00:00"/>
        <d v="2018-03-19T00:00:00"/>
        <d v="2018-03-20T00:00:00"/>
        <d v="2018-03-18T00:00:00"/>
        <d v="2018-03-24T00:00:00"/>
        <d v="2018-03-23T00:00:00"/>
        <d v="2018-03-22T00:00:00"/>
        <d v="2018-03-21T00:00:00"/>
        <d v="2018-03-27T00:00:00"/>
        <d v="2018-03-25T00:00:00"/>
        <d v="2018-03-28T00:00:00"/>
        <d v="2018-03-26T00:00:00"/>
        <d v="2018-04-01T00:00:00"/>
        <d v="2018-03-29T00:00:00"/>
        <d v="2018-03-30T00:00:00"/>
        <d v="2018-04-02T00:00:00"/>
        <d v="2018-04-03T00:00:00"/>
        <d v="2018-03-31T00:00:00"/>
        <d v="2018-04-04T00:00:00"/>
        <d v="2018-04-05T00:00:00"/>
        <d v="2018-04-07T00:00:00"/>
        <d v="2018-04-09T00:00:00"/>
        <d v="2018-04-06T00:00:00"/>
        <d v="2018-04-08T00:00:00"/>
        <d v="2018-04-10T00:00:00"/>
        <d v="2018-04-14T00:00:00"/>
        <d v="2018-04-13T00:00:00"/>
        <d v="2018-04-16T00:00:00"/>
        <d v="2018-04-17T00:00:00"/>
        <d v="2018-04-15T00:00:00"/>
        <d v="2018-04-12T00:00:00"/>
        <d v="2018-04-19T00:00:00"/>
        <d v="2018-04-22T00:00:00"/>
        <d v="2018-04-18T00:00:00"/>
        <d v="2018-04-27T00:00:00"/>
        <d v="2018-04-25T00:00:00"/>
        <d v="2018-04-26T00:00:00"/>
        <d v="2018-04-29T00:00:00"/>
        <d v="2018-04-24T00:00:00"/>
        <d v="2018-05-03T00:00:00"/>
        <d v="2018-04-30T00:00:00"/>
        <d v="2018-05-04T00:00:00"/>
        <d v="2018-05-02T00:00:00"/>
        <d v="2018-05-01T00:00:00"/>
        <d v="2018-05-05T00:00:00"/>
        <d v="2018-05-06T00:00:00"/>
        <d v="2018-05-08T00:00:00"/>
        <d v="2018-05-13T00:00:00"/>
        <d v="2018-05-07T00:00:00"/>
        <d v="2018-05-10T00:00:00"/>
        <d v="2018-05-12T00:00:00"/>
        <d v="2018-05-16T00:00:00"/>
        <d v="2018-05-09T00:00:00"/>
        <d v="2018-05-14T00:00:00"/>
        <d v="2018-05-15T00:00:00"/>
        <d v="2018-05-11T00:00:00"/>
        <d v="2018-05-17T00:00:00"/>
        <d v="2018-05-21T00:00:00"/>
        <d v="2018-05-19T00:00:00"/>
        <d v="2018-05-18T00:00:00"/>
        <d v="2018-05-20T00:00:00"/>
        <d v="2018-05-22T00:00:00"/>
        <d v="2018-05-25T00:00:00"/>
        <d v="2018-05-26T00:00:00"/>
        <d v="2018-05-24T00:00:00"/>
        <d v="2018-05-27T00:00:00"/>
        <d v="2018-05-31T00:00:00"/>
        <d v="2018-06-01T00:00:00"/>
        <d v="2018-06-02T00:00:00"/>
        <d v="2018-06-03T00:00:00"/>
        <d v="2018-06-04T00:00:00"/>
        <d v="2018-05-30T00:00:00"/>
        <d v="2018-06-07T00:00:00"/>
        <d v="2018-06-09T00:00:00"/>
        <d v="2018-06-05T00:00:00"/>
        <d v="2018-06-08T00:00:00"/>
        <d v="2018-06-14T00:00:00"/>
        <d v="2018-06-12T00:00:00"/>
        <d v="2018-06-13T00:00:00"/>
        <d v="2018-06-16T00:00:00"/>
        <d v="2018-06-15T00:00:00"/>
        <d v="2018-06-19T00:00:00"/>
        <d v="2018-06-18T00:00:00"/>
        <d v="2018-06-17T00:00:00"/>
        <d v="2018-06-11T00:00:00"/>
        <d v="2018-06-22T00:00:00"/>
        <d v="2018-06-21T00:00:00"/>
        <d v="2018-06-20T00:00:00"/>
        <d v="2018-06-24T00:00:00"/>
        <d v="2018-06-23T00:00:00"/>
        <d v="2018-06-25T00:00:00"/>
        <d v="2018-06-29T00:00:00"/>
        <d v="2018-06-26T00:00:00"/>
        <d v="2018-06-27T00:00:00"/>
        <d v="2018-07-01T00:00:00"/>
        <d v="2018-07-02T00:00:00"/>
        <d v="2018-06-30T00:00:00"/>
        <d v="2018-06-28T00:00:00"/>
        <d v="2018-07-04T00:00:00"/>
        <d v="2018-07-03T00:00:00"/>
        <d v="2018-07-09T00:00:00"/>
        <d v="2018-07-08T00:00:00"/>
        <d v="2018-07-07T00:00:00"/>
        <d v="2018-07-14T00:00:00"/>
        <d v="2018-07-06T00:00:00"/>
        <d v="2018-07-13T00:00:00"/>
        <d v="2018-07-11T00:00:00"/>
        <d v="2018-07-16T00:00:00"/>
        <d v="2018-07-17T00:00:00"/>
        <d v="2018-07-12T00:00:00"/>
        <d v="2018-07-19T00:00:00"/>
        <d v="2018-07-21T00:00:00"/>
        <d v="2018-07-20T00:00:00"/>
        <d v="2018-07-15T00:00:00"/>
        <d v="2018-07-18T00:00:00"/>
        <d v="2018-07-22T00:00:00"/>
        <d v="2018-07-27T00:00:00"/>
        <d v="2018-07-29T00:00:00"/>
        <d v="2018-07-23T00:00:00"/>
        <d v="2018-07-28T00:00:00"/>
        <d v="2018-07-30T00:00:00"/>
        <d v="2018-07-25T00:00:00"/>
        <d v="2018-07-24T00:00:00"/>
        <d v="2018-07-26T00:00:00"/>
        <d v="2018-08-01T00:00:00"/>
        <d v="2018-07-31T00:00:00"/>
        <d v="2018-08-05T00:00:00"/>
        <d v="2018-08-04T00:00:00"/>
        <d v="2018-08-07T00:00:00"/>
        <d v="2018-08-06T00:00:00"/>
        <d v="2018-08-09T00:00:00"/>
        <d v="2018-08-02T00:00:00"/>
        <d v="2018-08-10T00:00:00"/>
        <d v="2018-08-03T00:00:00"/>
        <d v="2018-08-11T00:00:00"/>
        <d v="2018-08-08T00:00:00"/>
        <d v="2018-08-12T00:00:00"/>
        <d v="2018-08-15T00:00:00"/>
        <d v="2018-08-13T00:00:00"/>
        <d v="2018-08-16T00:00:00"/>
        <d v="2018-08-14T00:00:00"/>
        <d v="2018-08-17T00:00:00"/>
        <d v="2018-08-19T00:00:00"/>
        <d v="2018-08-18T00:00:00"/>
        <d v="2018-08-20T00:00:00"/>
        <d v="2018-08-21T00:00:00"/>
        <d v="2018-08-24T00:00:00"/>
        <d v="2018-08-23T00:00:00"/>
        <d v="2018-08-28T00:00:00"/>
        <d v="2018-08-29T00:00:00"/>
        <d v="2018-08-27T00:00:00"/>
        <d v="2018-08-30T00:00:00"/>
        <d v="2018-09-03T00:00:00"/>
        <d v="2018-08-31T00:00:00"/>
        <d v="2018-09-02T00:00:00"/>
        <d v="2018-09-01T00:00:00"/>
        <d v="2018-09-08T00:00:00"/>
        <d v="2018-09-07T00:00:00"/>
        <d v="2018-09-09T00:00:00"/>
        <d v="2018-09-05T00:00:00"/>
        <d v="2018-09-04T00:00:00"/>
        <d v="2018-09-10T00:00:00"/>
        <d v="2018-09-06T00:00:00"/>
        <d v="2018-09-15T00:00:00"/>
        <d v="2018-09-13T00:00:00"/>
        <d v="2018-09-12T00:00:00"/>
        <d v="2018-09-16T00:00:00"/>
        <d v="2018-09-17T00:00:00"/>
        <d v="2018-09-18T00:00:00"/>
        <d v="2018-09-20T00:00:00"/>
        <d v="2018-09-25T00:00:00"/>
        <d v="2018-09-21T00:00:00"/>
        <d v="2018-09-19T00:00:00"/>
        <d v="2018-09-26T00:00:00"/>
        <d v="2018-09-24T00:00:00"/>
        <d v="2018-09-28T00:00:00"/>
        <d v="2018-09-23T00:00:00"/>
        <d v="2018-09-22T00:00:00"/>
        <d v="2018-09-30T00:00:00"/>
        <d v="2018-10-01T00:00:00"/>
        <d v="2018-09-29T00:00:00"/>
        <d v="2018-10-02T00:00:00"/>
        <d v="2018-09-27T00:00:00"/>
        <d v="2018-10-03T00:00:00"/>
        <d v="2018-10-04T00:00:00"/>
        <d v="2018-10-08T00:00:00"/>
        <d v="2018-10-06T00:00:00"/>
        <d v="2018-10-05T00:00:00"/>
        <d v="2018-10-09T00:00:00"/>
        <d v="2018-10-07T00:00:00"/>
        <d v="2018-10-10T00:00:00"/>
        <d v="2018-10-12T00:00:00"/>
        <d v="2018-10-11T00:00:00"/>
        <d v="2018-10-15T00:00:00"/>
        <d v="2018-10-16T00:00:00"/>
        <d v="2018-10-17T00:00:00"/>
        <d v="2018-10-20T00:00:00"/>
        <d v="2018-10-21T00:00:00"/>
        <d v="2018-10-19T00:00:00"/>
        <d v="2018-10-25T00:00:00"/>
        <d v="2018-10-27T00:00:00"/>
        <d v="2018-10-24T00:00:00"/>
        <d v="2018-10-26T00:00:00"/>
        <d v="2018-10-22T00:00:00"/>
        <d v="2018-10-30T00:00:00"/>
        <d v="2018-10-23T00:00:00"/>
        <d v="2018-10-29T00:00:00"/>
        <d v="2018-10-28T00:00:00"/>
        <d v="2018-11-02T00:00:00"/>
        <d v="2018-10-31T00:00:00"/>
        <d v="2018-11-01T00:00:00"/>
        <d v="2018-11-04T00:00:00"/>
        <d v="2018-11-03T00:00:00"/>
        <d v="2018-11-05T00:00:00"/>
        <d v="2018-11-07T00:00:00"/>
        <d v="2018-11-06T00:00:00"/>
        <d v="2018-11-08T00:00:00"/>
        <d v="2018-11-16T00:00:00"/>
        <d v="2018-11-17T00:00:00"/>
        <d v="2018-11-15T00:00:00"/>
        <d v="2018-11-14T00:00:00"/>
        <d v="2018-11-19T00:00:00"/>
        <d v="2018-11-10T00:00:00"/>
        <d v="2018-11-13T00:00:00"/>
        <d v="2018-11-12T00:00:00"/>
        <d v="2018-11-18T00:00:00"/>
        <d v="2018-11-11T00:00:00"/>
        <d v="2018-11-20T00:00:00"/>
        <d v="2018-11-23T00:00:00"/>
        <d v="2018-11-24T00:00:00"/>
        <d v="2018-11-26T00:00:00"/>
        <d v="2018-11-21T00:00:00"/>
        <d v="2018-11-27T00:00:00"/>
        <d v="2018-11-25T00:00:00"/>
        <d v="2018-11-22T00:00:00"/>
        <d v="2018-11-30T00:00:00"/>
        <d v="2018-11-28T00:00:00"/>
        <d v="2018-11-29T00:00:00"/>
        <d v="2018-12-01T00:00:00"/>
        <d v="2018-12-02T00:00:00"/>
        <d v="2018-12-06T00:00:00"/>
        <d v="2018-12-05T00:00:00"/>
        <d v="2018-12-04T00:00:00"/>
        <d v="2018-12-08T00:00:00"/>
        <d v="2018-12-03T00:00:00"/>
        <d v="2018-12-10T00:00:00"/>
        <d v="2018-12-09T00:00:00"/>
        <d v="2018-12-07T00:00:00"/>
        <d v="2018-12-11T00:00:00"/>
        <d v="2018-12-15T00:00:00"/>
        <d v="2018-12-16T00:00:00"/>
        <d v="2018-12-12T00:00:00"/>
        <d v="2018-12-13T00:00:00"/>
        <d v="2018-12-20T00:00:00"/>
        <d v="2018-12-14T00:00:00"/>
        <d v="2018-12-22T00:00:00"/>
        <d v="2018-12-18T00:00:00"/>
        <d v="2018-12-24T00:00:00"/>
        <d v="2018-12-17T00:00:00"/>
        <d v="2018-12-23T00:00:00"/>
        <d v="2018-12-25T00:00:00"/>
        <d v="2018-12-26T00:00:00"/>
        <d v="2018-12-27T00:00:00"/>
        <d v="2018-12-21T00:00:00"/>
        <d v="2018-12-29T00:00:00"/>
        <d v="2018-12-28T00:00:00"/>
        <d v="2018-12-30T00:00:00"/>
        <d v="2018-12-31T00:00:00"/>
        <d v="2019-01-04T00:00:00"/>
        <d v="2019-01-03T00:00:00"/>
        <d v="2019-01-06T00:00:00"/>
        <d v="2019-01-05T00:00:00"/>
        <d v="2019-01-02T00:00:00"/>
        <d v="2019-01-08T00:00:00"/>
        <d v="2019-01-09T00:00:00"/>
        <d v="2019-01-07T00:00:00"/>
        <d v="2019-01-01T00:00:00"/>
        <d v="2019-01-13T00:00:00"/>
        <d v="2019-01-10T00:00:00"/>
        <d v="2019-01-12T00:00:00"/>
        <d v="2019-01-15T00:00:00"/>
        <d v="2019-01-19T00:00:00"/>
        <d v="2019-01-14T00:00:00"/>
        <d v="2019-01-17T00:00:00"/>
        <d v="2019-01-20T00:00:00"/>
        <d v="2019-01-21T00:00:00"/>
        <d v="2019-01-22T00:00:00"/>
        <d v="2019-01-23T00:00:00"/>
        <d v="2019-01-24T00:00:00"/>
        <d v="2019-01-25T00:00:00"/>
        <d v="2019-01-27T00:00:00"/>
        <d v="2019-01-26T00:00:00"/>
        <d v="2019-01-30T00:00:00"/>
        <d v="2019-02-01T00:00:00"/>
        <d v="2019-01-31T00:00:00"/>
        <d v="2019-01-29T00:00:00"/>
        <d v="2019-01-28T00:00:00"/>
        <d v="2019-02-03T00:00:00"/>
        <d v="2019-02-02T00:00:00"/>
        <d v="2019-02-05T00:00:00"/>
        <d v="2019-02-04T00:00:00"/>
        <d v="2019-02-10T00:00:00"/>
        <d v="2019-02-09T00:00:00"/>
        <d v="2019-02-08T00:00:00"/>
        <d v="2019-02-13T00:00:00"/>
        <d v="2019-02-12T00:00:00"/>
        <d v="2019-02-16T00:00:00"/>
        <d v="2019-02-14T00:00:00"/>
        <d v="2019-02-07T00:00:00"/>
        <d v="2019-02-11T00:00:00"/>
        <d v="2019-02-17T00:00:00"/>
        <d v="2019-02-15T00:00:00"/>
        <d v="2019-02-18T00:00:00"/>
        <d v="2019-02-20T00:00:00"/>
        <d v="2019-02-24T00:00:00"/>
        <d v="2019-02-19T00:00:00"/>
        <d v="2019-02-23T00:00:00"/>
        <d v="2019-02-25T00:00:00"/>
        <d v="2019-02-27T00:00:00"/>
        <d v="2019-02-21T00:00:00"/>
        <d v="2019-02-26T00:00:00"/>
        <d v="2019-03-02T00:00:00"/>
        <d v="2019-03-01T00:00:00"/>
        <d v="2019-02-28T00:00:00"/>
        <d v="2019-03-03T00:00:00"/>
        <d v="2019-03-04T00:00:00"/>
        <d v="2019-03-05T00:00:00"/>
        <d v="2019-03-09T00:00:00"/>
        <d v="2019-03-08T00:00:00"/>
        <d v="2019-03-06T00:00:00"/>
        <d v="2019-03-15T00:00:00"/>
        <d v="2019-03-12T00:00:00"/>
        <d v="2019-03-10T00:00:00"/>
        <d v="2019-03-17T00:00:00"/>
        <d v="2019-03-18T00:00:00"/>
        <d v="2019-03-14T00:00:00"/>
        <d v="2019-03-19T00:00:00"/>
        <d v="2019-03-11T00:00:00"/>
        <d v="2019-03-21T00:00:00"/>
        <d v="2019-03-22T00:00:00"/>
        <d v="2019-03-20T00:00:00"/>
        <d v="2019-03-24T00:00:00"/>
        <d v="2019-03-23T00:00:00"/>
        <d v="2019-03-16T00:00:00"/>
        <d v="2019-03-25T00:00:00"/>
        <d v="2019-03-26T00:00:00"/>
        <d v="2019-03-28T00:00:00"/>
        <d v="2019-03-29T00:00:00"/>
        <d v="2019-03-31T00:00:00"/>
        <d v="2019-03-27T00:00:00"/>
        <d v="2019-04-01T00:00:00"/>
        <d v="2019-04-02T00:00:00"/>
        <d v="2019-03-30T00:00:00"/>
        <d v="2019-04-05T00:00:00"/>
        <d v="2019-04-03T00:00:00"/>
        <d v="2019-04-04T00:00:00"/>
        <d v="2019-04-07T00:00:00"/>
        <d v="2019-04-08T00:00:00"/>
        <d v="2019-04-06T00:00:00"/>
        <d v="2019-04-09T00:00:00"/>
        <d v="2019-04-11T00:00:00"/>
        <d v="2019-04-12T00:00:00"/>
        <d v="2019-04-13T00:00:00"/>
        <d v="2019-04-14T00:00:00"/>
        <d v="2019-04-10T00:00:00"/>
        <d v="2019-04-15T00:00:00"/>
        <d v="2019-04-16T00:00:00"/>
        <d v="2019-04-19T00:00:00"/>
        <d v="2019-04-17T00:00:00"/>
        <d v="2019-04-20T00:00:00"/>
        <d v="2019-04-18T00:00:00"/>
        <d v="2019-04-27T00:00:00"/>
        <d v="2019-04-26T00:00:00"/>
        <d v="2019-04-28T00:00:00"/>
        <d v="2019-04-25T00:00:00"/>
        <d v="2019-04-21T00:00:00"/>
        <d v="2019-04-23T00:00:00"/>
        <d v="2019-04-24T00:00:00"/>
        <d v="2019-04-30T00:00:00"/>
        <d v="2019-04-29T00:00:00"/>
        <d v="2019-04-22T00:00:00"/>
        <d v="2019-05-03T00:00:00"/>
        <d v="2019-05-01T00:00:00"/>
        <d v="2019-05-02T00:00:00"/>
        <d v="2019-05-05T00:00:00"/>
        <d v="2019-05-04T00:00:00"/>
        <d v="2019-05-06T00:00:00"/>
        <d v="2019-05-08T00:00:00"/>
        <d v="2019-05-07T00:00:00"/>
        <d v="2019-05-09T00:00:00"/>
        <d v="2019-05-10T00:00:00"/>
        <d v="2019-05-11T00:00:00"/>
        <d v="2019-05-13T00:00:00"/>
        <d v="2019-05-14T00:00:00"/>
        <d v="2019-05-15T00:00:00"/>
        <d v="2019-05-19T00:00:00"/>
        <d v="2019-05-12T00:00:00"/>
        <d v="2019-05-16T00:00:00"/>
        <d v="2019-05-18T00:00:00"/>
        <d v="2019-05-17T00:00:00"/>
        <d v="2019-05-21T00:00:00"/>
        <d v="2019-05-23T00:00:00"/>
        <d v="2019-05-25T00:00:00"/>
        <d v="2019-05-20T00:00:00"/>
        <d v="2019-05-27T00:00:00"/>
        <d v="2019-05-26T00:00:00"/>
        <d v="2019-05-22T00:00:00"/>
        <d v="2019-05-28T00:00:00"/>
        <d v="2019-05-24T00:00:00"/>
        <d v="2019-05-30T00:00:00"/>
        <d v="2019-05-31T00:00:00"/>
        <d v="2019-06-01T00:00:00"/>
        <d v="2019-05-29T00:00:00"/>
        <d v="2019-06-02T00:00:00"/>
        <d v="2019-06-03T00:00:00"/>
        <d v="2019-06-07T00:00:00"/>
        <d v="2019-06-06T00:00:00"/>
        <d v="2019-06-05T00:00:00"/>
        <d v="2019-06-10T00:00:00"/>
        <d v="2019-06-09T00:00:00"/>
        <d v="2019-06-08T00:00:00"/>
        <d v="2019-06-04T00:00:00"/>
        <d v="2019-06-11T00:00:00"/>
        <d v="2019-06-13T00:00:00"/>
        <d v="2019-06-14T00:00:00"/>
        <d v="2019-06-12T00:00:00"/>
        <d v="2019-06-16T00:00:00"/>
        <d v="2019-06-15T00:00:00"/>
        <d v="2019-06-20T00:00:00"/>
        <d v="2019-06-18T00:00:00"/>
        <d v="2019-06-17T00:00:00"/>
        <d v="2019-06-19T00:00:00"/>
        <d v="2019-06-21T00:00:00"/>
        <d v="2019-06-23T00:00:00"/>
        <d v="2019-06-22T00:00:00"/>
        <d v="2019-06-27T00:00:00"/>
        <d v="2019-06-26T00:00:00"/>
        <d v="2019-06-24T00:00:00"/>
        <d v="2019-06-28T00:00:00"/>
        <d v="2019-06-25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7T00:00:00"/>
        <d v="2019-07-09T00:00:00"/>
        <d v="2019-07-06T00:00:00"/>
        <d v="2019-07-08T00:00:00"/>
        <d v="2019-07-13T00:00:00"/>
        <d v="2019-07-10T00:00:00"/>
        <d v="2019-07-14T00:00:00"/>
        <d v="2019-07-15T00:00:00"/>
        <d v="2019-07-12T00:00:00"/>
        <d v="2019-07-19T00:00:00"/>
        <d v="2019-07-20T00:00:00"/>
        <d v="2019-07-18T00:00:00"/>
        <d v="2019-07-16T00:00:00"/>
        <d v="2019-07-17T00:00:00"/>
        <d v="2019-07-21T00:00:00"/>
        <d v="2019-07-22T00:00:00"/>
        <d v="2019-07-23T00:00:00"/>
        <d v="2019-07-28T00:00:00"/>
        <d v="2019-07-24T00:00:00"/>
        <d v="2019-07-27T00:00:00"/>
        <d v="2019-07-29T00:00:00"/>
        <d v="2019-07-26T00:00:00"/>
        <d v="2019-07-30T00:00:00"/>
        <d v="2019-08-01T00:00:00"/>
        <d v="2019-07-25T00:00:00"/>
        <d v="2019-08-02T00:00:00"/>
        <d v="2019-07-31T00:00:00"/>
        <d v="2019-08-03T00:00:00"/>
        <d v="2019-08-07T00:00:00"/>
        <d v="2019-08-08T00:00:00"/>
        <d v="2019-08-04T00:00:00"/>
        <d v="2019-08-06T00:00:00"/>
        <d v="2019-08-05T00:00:00"/>
        <d v="2019-08-09T00:00:00"/>
        <d v="2019-08-10T00:00:00"/>
        <d v="2019-08-12T00:00:00"/>
        <d v="2019-08-13T00:00:00"/>
        <d v="2019-08-14T00:00:00"/>
        <d v="2019-08-16T00:00:00"/>
        <d v="2019-08-11T00:00:00"/>
        <d v="2019-08-15T00:00:00"/>
        <d v="2019-08-17T00:00:00"/>
        <d v="2019-08-18T00:00:00"/>
        <d v="2019-08-19T00:00:00"/>
        <d v="2019-08-22T00:00:00"/>
        <d v="2019-08-20T00:00:00"/>
        <d v="2019-08-23T00:00:00"/>
        <d v="2019-08-25T00:00:00"/>
        <d v="2019-08-21T00:00:00"/>
        <d v="2019-08-24T00:00:00"/>
        <d v="2019-08-26T00:00:00"/>
        <d v="2019-08-27T00:00:00"/>
        <d v="2019-08-30T00:00:00"/>
        <d v="2019-08-28T00:00:00"/>
        <d v="2019-08-29T00:00:00"/>
        <d v="2019-08-31T00:00:00"/>
        <d v="2019-09-03T00:00:00"/>
        <d v="2019-09-01T00:00:00"/>
        <d v="2019-09-02T00:00:00"/>
        <d v="2019-09-04T00:00:00"/>
        <d v="2019-09-05T00:00:00"/>
        <d v="2019-09-06T00:00:00"/>
        <d v="2019-09-07T00:00:00"/>
        <d v="2019-09-09T00:00:00"/>
        <d v="2019-09-08T00:00:00"/>
        <d v="2019-09-10T00:00:00"/>
        <d v="2019-09-14T00:00:00"/>
        <d v="2019-09-11T00:00:00"/>
        <d v="2019-09-16T00:00:00"/>
        <d v="2019-09-13T00:00:00"/>
        <d v="2019-09-15T00:00:00"/>
        <d v="2019-09-12T00:00:00"/>
        <d v="2019-09-19T00:00:00"/>
        <d v="2019-09-18T00:00:00"/>
        <d v="2019-09-22T00:00:00"/>
        <d v="2019-09-20T00:00:00"/>
        <d v="2019-09-17T00:00:00"/>
        <d v="2019-09-21T00:00:00"/>
        <d v="2019-09-24T00:00:00"/>
        <d v="2019-09-27T00:00:00"/>
        <d v="2019-09-25T00:00:00"/>
        <d v="2019-09-26T00:00:00"/>
        <d v="2019-09-23T00:00:00"/>
        <d v="2019-09-28T00:00:00"/>
        <d v="2019-09-30T00:00:00"/>
        <d v="2019-09-29T00:00:00"/>
        <d v="2019-10-01T00:00:00"/>
        <d v="2019-10-02T00:00:00"/>
        <d v="2019-10-03T00:00:00"/>
        <d v="2019-10-04T00:00:00"/>
        <d v="2019-10-05T00:00:00"/>
        <d v="2019-10-07T00:00:00"/>
        <d v="2019-10-08T00:00:00"/>
        <d v="2019-10-06T00:00:00"/>
        <d v="2019-10-09T00:00:00"/>
        <d v="2019-10-11T00:00:00"/>
        <d v="2019-10-14T00:00:00"/>
        <d v="2019-10-12T00:00:00"/>
        <d v="2019-10-17T00:00:00"/>
        <d v="2019-10-10T00:00:00"/>
        <d v="2019-10-18T00:00:00"/>
        <d v="2019-10-16T00:00:00"/>
        <d v="2019-10-19T00:00:00"/>
        <d v="2019-10-15T00:00:00"/>
        <d v="2019-10-25T00:00:00"/>
        <d v="2019-10-23T00:00:00"/>
        <d v="2019-10-22T00:00:00"/>
        <d v="2019-10-26T00:00:00"/>
        <d v="2019-10-24T00:00:00"/>
        <d v="2019-10-21T00:00:00"/>
        <d v="2019-10-29T00:00:00"/>
        <d v="2019-10-30T00:00:00"/>
        <d v="2019-10-31T00:00:00"/>
        <d v="2019-11-01T00:00:00"/>
        <d v="2019-10-27T00:00:00"/>
        <d v="2019-11-02T00:00:00"/>
        <d v="2019-11-03T00:00:00"/>
        <d v="2019-10-28T00:00:00"/>
        <d v="2019-11-04T00:00:00"/>
        <d v="2019-11-06T00:00:00"/>
        <d v="2019-11-07T00:00:00"/>
        <d v="2019-11-08T00:00:00"/>
        <d v="2019-11-05T00:00:00"/>
        <d v="2019-11-09T00:00:00"/>
        <d v="2019-11-10T00:00:00"/>
        <d v="2019-11-11T00:00:00"/>
        <d v="2019-11-15T00:00:00"/>
        <d v="2019-11-16T00:00:00"/>
        <d v="2019-11-13T00:00:00"/>
        <d v="2019-11-14T00:00:00"/>
        <d v="2019-11-12T00:00:00"/>
        <d v="2019-11-18T00:00:00"/>
        <d v="2019-11-17T00:00:00"/>
        <d v="2019-11-22T00:00:00"/>
        <d v="2019-11-21T00:00:00"/>
        <d v="2019-11-19T00:00:00"/>
        <d v="2019-11-23T00:00:00"/>
        <d v="2019-11-20T00:00:00"/>
        <d v="2019-11-29T00:00:00"/>
        <d v="2019-11-27T00:00:00"/>
        <d v="2019-11-26T00:00:00"/>
        <d v="2019-11-25T00:00:00"/>
        <d v="2019-11-28T00:00:00"/>
        <d v="2019-12-01T00:00:00"/>
        <d v="2019-12-02T00:00:00"/>
        <d v="2019-12-06T00:00:00"/>
        <d v="2019-12-04T00:00:00"/>
        <d v="2019-12-08T00:00:00"/>
        <d v="2019-12-03T00:00:00"/>
        <d v="2019-12-09T00:00:00"/>
        <d v="2019-12-05T00:00:00"/>
        <d v="2019-12-10T00:00:00"/>
        <d v="2019-12-07T00:00:00"/>
        <d v="2019-12-12T00:00:00"/>
        <d v="2019-12-17T00:00:00"/>
        <d v="2019-12-14T00:00:00"/>
        <d v="2019-12-11T00:00:00"/>
        <d v="2019-12-16T00:00:00"/>
        <d v="2019-12-13T00:00:00"/>
        <d v="2019-12-15T00:00:00"/>
        <d v="2019-12-18T00:00:00"/>
        <d v="2019-12-21T00:00:00"/>
        <d v="2019-12-19T00:00:00"/>
        <d v="2019-12-20T00:00:00"/>
        <d v="2019-12-26T00:00:00"/>
        <d v="2019-12-22T00:00:00"/>
        <d v="2019-12-24T00:00:00"/>
        <d v="2019-12-27T00:00:00"/>
        <d v="2019-12-23T00:00:00"/>
        <d v="2019-12-29T00:00:00"/>
        <d v="2019-12-28T00:00:00"/>
        <d v="2020-01-04T00:00:00"/>
        <d v="2020-01-05T00:00:00"/>
        <d v="2020-01-01T00:00:00"/>
        <d v="2019-12-31T00:00:00"/>
        <d v="2020-01-07T00:00:00"/>
        <d v="2020-01-06T00:00:00"/>
      </sharedItems>
      <fieldGroup par="32"/>
    </cacheField>
    <cacheField name="Ocorrência" numFmtId="0">
      <sharedItems containsBlank="1" count="3">
        <m/>
        <s v="Avaria"/>
        <s v="Extravio"/>
      </sharedItems>
    </cacheField>
    <cacheField name="Data Contratada" numFmtId="14">
      <sharedItems containsSemiMixedTypes="0" containsNonDate="0" containsDate="1" containsString="0" minDate="2018-01-05T00:00:00" maxDate="2020-01-09T00:00:00"/>
    </cacheField>
    <cacheField name="On Time" numFmtId="0">
      <sharedItems containsSemiMixedTypes="0" containsString="0" containsNumber="1" containsInteger="1" minValue="0" maxValue="1" count="2">
        <n v="1"/>
        <n v="0"/>
      </sharedItems>
    </cacheField>
    <cacheField name="In Full" numFmtId="0">
      <sharedItems containsSemiMixedTypes="0" containsString="0" containsNumber="1" containsInteger="1" minValue="0" maxValue="1" count="2">
        <n v="1"/>
        <n v="0"/>
      </sharedItems>
    </cacheField>
    <cacheField name="On Time In Full" numFmtId="0">
      <sharedItems containsSemiMixedTypes="0" containsString="0" containsNumber="1" containsInteger="1" minValue="0" maxValue="1"/>
    </cacheField>
    <cacheField name="Contador" numFmtId="0">
      <sharedItems containsSemiMixedTypes="0" containsString="0" containsNumber="1" containsInteger="1" minValue="1" maxValue="1"/>
    </cacheField>
    <cacheField name="On Time (%)" numFmtId="0" formula="'On Time'/Contador" databaseField="0"/>
    <cacheField name="In Full (%)" numFmtId="0" formula="'In Full'/Contador" databaseField="0"/>
    <cacheField name="On Time In Full (%)" numFmtId="0" formula="'On Time In Full'/Contador" databaseField="0"/>
    <cacheField name="Meses (Data da Entrega)" numFmtId="0" databaseField="0">
      <fieldGroup base="20">
        <rangePr groupBy="months" startDate="2018-01-04T00:00:00" endDate="2020-01-08T00:00:00"/>
        <groupItems count="14">
          <s v="&lt;04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01/2020"/>
        </groupItems>
      </fieldGroup>
    </cacheField>
    <cacheField name="Trimestres (Data da Entrega)" numFmtId="0" databaseField="0">
      <fieldGroup base="20">
        <rangePr groupBy="quarters" startDate="2018-01-04T00:00:00" endDate="2020-01-08T00:00:00"/>
        <groupItems count="6">
          <s v="&lt;04/01/2018"/>
          <s v="Trim1"/>
          <s v="Trim2"/>
          <s v="Trim3"/>
          <s v="Trim4"/>
          <s v="&gt;08/01/2020"/>
        </groupItems>
      </fieldGroup>
    </cacheField>
    <cacheField name="Anos (Data da Entrega)" numFmtId="0" databaseField="0">
      <fieldGroup base="20">
        <rangePr groupBy="years" startDate="2018-01-04T00:00:00" endDate="2020-01-08T00:00:00"/>
        <groupItems count="5">
          <s v="&lt;04/01/2018"/>
          <s v="2018"/>
          <s v="2019"/>
          <s v="2020"/>
          <s v="&gt;08/01/2020"/>
        </groupItems>
      </fieldGroup>
    </cacheField>
    <cacheField name="Perdas (OTIF)" numFmtId="0" formula="Contador -'On Time In Full'" databaseField="0"/>
  </cacheFields>
  <extLst>
    <ext xmlns:x14="http://schemas.microsoft.com/office/spreadsheetml/2009/9/main" uri="{725AE2AE-9491-48be-B2B4-4EB974FC3084}">
      <x14:pivotCacheDefinition pivotCacheId="170362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5">
  <r>
    <d v="2018-01-01T00:00:00"/>
    <n v="10411"/>
    <s v="WHPOA"/>
    <s v="Porto Alegre"/>
    <s v="RS"/>
    <n v="4012"/>
    <x v="0"/>
    <s v="Sao Jose Dos Pinhais"/>
    <s v="PR"/>
    <x v="0"/>
    <s v="PR"/>
    <n v="1254.03"/>
    <n v="1"/>
    <n v="2.2000000000000002"/>
    <n v="6500948"/>
    <x v="0"/>
    <s v="Porto Alegre"/>
    <s v="Convencional"/>
    <n v="3"/>
    <d v="2018-01-02T00:00:00"/>
    <x v="0"/>
    <x v="0"/>
    <d v="2018-01-05T00:00:00"/>
    <x v="0"/>
    <x v="0"/>
    <n v="1"/>
    <n v="1"/>
  </r>
  <r>
    <d v="2018-01-31T00:00:00"/>
    <n v="10542"/>
    <s v="WHPOA"/>
    <s v="Porto Alegre"/>
    <s v="RS"/>
    <n v="4012"/>
    <x v="0"/>
    <s v="Sao Jose Dos Pinhais"/>
    <s v="PR"/>
    <x v="0"/>
    <s v="PR"/>
    <n v="6832.7"/>
    <n v="4"/>
    <n v="60.216000000000001"/>
    <n v="6500948"/>
    <x v="0"/>
    <s v="Porto Alegre"/>
    <s v="Convencional"/>
    <n v="11"/>
    <d v="2018-02-01T00:00:00"/>
    <x v="1"/>
    <x v="0"/>
    <d v="2018-02-12T00:00:00"/>
    <x v="0"/>
    <x v="0"/>
    <n v="1"/>
    <n v="1"/>
  </r>
  <r>
    <d v="2018-02-09T00:00:00"/>
    <n v="10573"/>
    <s v="WHSAO"/>
    <s v="Sao Paulo"/>
    <s v="SP"/>
    <n v="4012"/>
    <x v="0"/>
    <s v="Sao Jose Dos Pinhais"/>
    <s v="PR"/>
    <x v="0"/>
    <s v="PR"/>
    <n v="362.39"/>
    <n v="1"/>
    <n v="13.42"/>
    <n v="6500948"/>
    <x v="0"/>
    <s v="Porto Alegre"/>
    <s v="Convencional"/>
    <n v="9"/>
    <d v="2018-02-09T00:00:00"/>
    <x v="2"/>
    <x v="0"/>
    <d v="2018-02-18T00:00:00"/>
    <x v="0"/>
    <x v="0"/>
    <n v="1"/>
    <n v="1"/>
  </r>
  <r>
    <d v="2018-01-03T00:00:00"/>
    <n v="10412"/>
    <s v="WHBH"/>
    <s v="Belo Horizonte"/>
    <s v="MG"/>
    <n v="4013"/>
    <x v="1"/>
    <s v="Blumenau"/>
    <s v="SC"/>
    <x v="0"/>
    <s v="SC"/>
    <n v="4217.6499999999996"/>
    <n v="3"/>
    <n v="12.538"/>
    <n v="6500948"/>
    <x v="0"/>
    <s v="Porto Alegre"/>
    <s v="Convencional"/>
    <n v="6"/>
    <d v="2018-01-04T00:00:00"/>
    <x v="3"/>
    <x v="0"/>
    <d v="2018-01-10T00:00:00"/>
    <x v="0"/>
    <x v="0"/>
    <n v="1"/>
    <n v="1"/>
  </r>
  <r>
    <d v="2018-01-05T00:00:00"/>
    <n v="10417"/>
    <s v="WHCPQ"/>
    <s v="Campinas"/>
    <s v="SP"/>
    <n v="4013"/>
    <x v="1"/>
    <s v="Blumenau"/>
    <s v="SC"/>
    <x v="0"/>
    <s v="SC"/>
    <n v="136.1"/>
    <n v="1"/>
    <n v="0.44"/>
    <n v="6500948"/>
    <x v="0"/>
    <s v="Porto Alegre"/>
    <s v="Convencional"/>
    <n v="12"/>
    <d v="2018-01-05T00:00:00"/>
    <x v="3"/>
    <x v="1"/>
    <d v="2018-01-17T00:00:00"/>
    <x v="0"/>
    <x v="1"/>
    <n v="0"/>
    <n v="1"/>
  </r>
  <r>
    <d v="2018-02-15T00:00:00"/>
    <n v="10597"/>
    <s v="WHRJ"/>
    <s v="Rio De Janeiro"/>
    <s v="RJ"/>
    <n v="4058"/>
    <x v="2"/>
    <s v="Brasilia"/>
    <s v="DF"/>
    <x v="1"/>
    <s v="DF"/>
    <n v="1121.1199999999999"/>
    <n v="4"/>
    <n v="4.74"/>
    <n v="6100231"/>
    <x v="1"/>
    <s v="Goiania"/>
    <s v="Convencional"/>
    <n v="12"/>
    <d v="2018-02-16T00:00:00"/>
    <x v="4"/>
    <x v="0"/>
    <d v="2018-02-28T00:00:00"/>
    <x v="0"/>
    <x v="0"/>
    <n v="1"/>
    <n v="1"/>
  </r>
  <r>
    <d v="2018-02-15T00:00:00"/>
    <n v="10598"/>
    <s v="WHSJC"/>
    <s v="Sao Jose dos Campos"/>
    <s v="SP"/>
    <n v="4058"/>
    <x v="2"/>
    <s v="Brasilia"/>
    <s v="DF"/>
    <x v="1"/>
    <s v="DF"/>
    <n v="263.89"/>
    <n v="1"/>
    <n v="0.98299999999999998"/>
    <n v="6100231"/>
    <x v="1"/>
    <s v="Goiania"/>
    <s v="Convencional"/>
    <n v="7"/>
    <d v="2018-02-16T00:00:00"/>
    <x v="4"/>
    <x v="0"/>
    <d v="2018-02-23T00:00:00"/>
    <x v="0"/>
    <x v="0"/>
    <n v="1"/>
    <n v="1"/>
  </r>
  <r>
    <d v="2018-02-15T00:00:00"/>
    <n v="10600"/>
    <s v="WHSAO"/>
    <s v="Sao Paulo"/>
    <s v="SP"/>
    <n v="4058"/>
    <x v="2"/>
    <s v="Brasilia"/>
    <s v="DF"/>
    <x v="1"/>
    <s v="DF"/>
    <n v="979.49"/>
    <n v="1"/>
    <n v="1.1000000000000001"/>
    <n v="6100231"/>
    <x v="1"/>
    <s v="Goiania"/>
    <s v="Convencional"/>
    <n v="11"/>
    <d v="2018-02-16T00:00:00"/>
    <x v="5"/>
    <x v="0"/>
    <d v="2018-02-27T00:00:00"/>
    <x v="0"/>
    <x v="0"/>
    <n v="1"/>
    <n v="1"/>
  </r>
  <r>
    <d v="2018-01-05T00:00:00"/>
    <n v="10424"/>
    <s v="WHSJC"/>
    <s v="Sao Jose dos Campos"/>
    <s v="SP"/>
    <n v="4013"/>
    <x v="1"/>
    <s v="Blumenau"/>
    <s v="SC"/>
    <x v="0"/>
    <s v="SC"/>
    <n v="1421.58"/>
    <n v="1"/>
    <n v="1.1200000000000001"/>
    <n v="6500948"/>
    <x v="0"/>
    <s v="Porto Alegre"/>
    <s v="Convencional"/>
    <n v="2"/>
    <d v="2018-01-06T00:00:00"/>
    <x v="6"/>
    <x v="1"/>
    <d v="2018-01-08T00:00:00"/>
    <x v="1"/>
    <x v="1"/>
    <n v="0"/>
    <n v="1"/>
  </r>
  <r>
    <d v="2018-01-05T00:00:00"/>
    <n v="10425"/>
    <s v="WHPOA"/>
    <s v="Porto Alegre"/>
    <s v="RS"/>
    <n v="4013"/>
    <x v="1"/>
    <s v="Blumenau"/>
    <s v="SC"/>
    <x v="0"/>
    <s v="SC"/>
    <n v="232.1"/>
    <n v="1"/>
    <n v="1.1879999999999999"/>
    <n v="6500948"/>
    <x v="0"/>
    <s v="Porto Alegre"/>
    <s v="Convencional"/>
    <n v="1"/>
    <d v="2018-01-06T00:00:00"/>
    <x v="7"/>
    <x v="0"/>
    <d v="2018-01-07T00:00:00"/>
    <x v="1"/>
    <x v="0"/>
    <n v="0"/>
    <n v="1"/>
  </r>
  <r>
    <d v="2018-01-08T00:00:00"/>
    <n v="10438"/>
    <s v="WHVIT"/>
    <s v="Vitoria"/>
    <s v="ES"/>
    <n v="4013"/>
    <x v="1"/>
    <s v="Blumenau"/>
    <s v="SC"/>
    <x v="0"/>
    <s v="SC"/>
    <n v="433.05"/>
    <n v="1"/>
    <n v="1.1200000000000001"/>
    <n v="6500948"/>
    <x v="0"/>
    <s v="Porto Alegre"/>
    <s v="Convencional"/>
    <n v="11"/>
    <d v="2018-01-09T00:00:00"/>
    <x v="3"/>
    <x v="0"/>
    <d v="2018-01-20T00:00:00"/>
    <x v="0"/>
    <x v="0"/>
    <n v="1"/>
    <n v="1"/>
  </r>
  <r>
    <d v="2018-01-10T00:00:00"/>
    <n v="10443"/>
    <s v="WHSJC"/>
    <s v="Sao Jose dos Campos"/>
    <s v="SP"/>
    <n v="4013"/>
    <x v="1"/>
    <s v="Blumenau"/>
    <s v="SC"/>
    <x v="0"/>
    <s v="SC"/>
    <n v="1193.29"/>
    <n v="1"/>
    <n v="7.8630000000000004"/>
    <n v="6500948"/>
    <x v="0"/>
    <s v="Porto Alegre"/>
    <s v="Convencional"/>
    <n v="4"/>
    <d v="2018-01-11T00:00:00"/>
    <x v="8"/>
    <x v="0"/>
    <d v="2018-01-15T00:00:00"/>
    <x v="1"/>
    <x v="0"/>
    <n v="0"/>
    <n v="1"/>
  </r>
  <r>
    <d v="2018-01-11T00:00:00"/>
    <n v="10457"/>
    <s v="WHSAO"/>
    <s v="Sao Paulo"/>
    <s v="SP"/>
    <n v="4013"/>
    <x v="1"/>
    <s v="Blumenau"/>
    <s v="SC"/>
    <x v="0"/>
    <s v="SC"/>
    <n v="1952.78"/>
    <n v="1"/>
    <n v="4.8419999999999996"/>
    <n v="6500948"/>
    <x v="0"/>
    <s v="Porto Alegre"/>
    <s v="Convencional"/>
    <n v="2"/>
    <d v="2018-01-12T00:00:00"/>
    <x v="9"/>
    <x v="1"/>
    <d v="2018-01-14T00:00:00"/>
    <x v="0"/>
    <x v="1"/>
    <n v="0"/>
    <n v="1"/>
  </r>
  <r>
    <d v="2018-01-11T00:00:00"/>
    <n v="10458"/>
    <s v="WHSJC"/>
    <s v="Sao Jose dos Campos"/>
    <s v="SP"/>
    <n v="4013"/>
    <x v="1"/>
    <s v="Blumenau"/>
    <s v="SC"/>
    <x v="0"/>
    <s v="SC"/>
    <n v="380.64"/>
    <n v="1"/>
    <n v="10.56"/>
    <n v="6500948"/>
    <x v="0"/>
    <s v="Porto Alegre"/>
    <s v="Convencional"/>
    <n v="12"/>
    <d v="2018-01-12T00:00:00"/>
    <x v="10"/>
    <x v="1"/>
    <d v="2018-01-24T00:00:00"/>
    <x v="0"/>
    <x v="1"/>
    <n v="0"/>
    <n v="1"/>
  </r>
  <r>
    <d v="2018-01-13T00:00:00"/>
    <n v="10467"/>
    <s v="WHRJ"/>
    <s v="Rio De Janeiro"/>
    <s v="RJ"/>
    <n v="4013"/>
    <x v="1"/>
    <s v="Blumenau"/>
    <s v="SC"/>
    <x v="0"/>
    <s v="SC"/>
    <n v="880.15"/>
    <n v="1"/>
    <n v="11.837999999999999"/>
    <n v="6500948"/>
    <x v="0"/>
    <s v="Porto Alegre"/>
    <s v="Convencional"/>
    <n v="12"/>
    <d v="2018-01-13T00:00:00"/>
    <x v="11"/>
    <x v="0"/>
    <d v="2018-01-25T00:00:00"/>
    <x v="0"/>
    <x v="0"/>
    <n v="1"/>
    <n v="1"/>
  </r>
  <r>
    <d v="2018-01-13T00:00:00"/>
    <n v="10468"/>
    <s v="WHPOA"/>
    <s v="Porto Alegre"/>
    <s v="RS"/>
    <n v="4013"/>
    <x v="1"/>
    <s v="Blumenau"/>
    <s v="SC"/>
    <x v="0"/>
    <s v="SC"/>
    <n v="156.68"/>
    <n v="1"/>
    <n v="3.3"/>
    <n v="6500948"/>
    <x v="0"/>
    <s v="Porto Alegre"/>
    <s v="Convencional"/>
    <n v="5"/>
    <d v="2018-01-13T00:00:00"/>
    <x v="10"/>
    <x v="0"/>
    <d v="2018-01-18T00:00:00"/>
    <x v="0"/>
    <x v="0"/>
    <n v="1"/>
    <n v="1"/>
  </r>
  <r>
    <d v="2018-01-16T00:00:00"/>
    <n v="10473"/>
    <s v="WHRJ"/>
    <s v="Rio De Janeiro"/>
    <s v="RJ"/>
    <n v="4013"/>
    <x v="1"/>
    <s v="Blumenau"/>
    <s v="SC"/>
    <x v="0"/>
    <s v="SC"/>
    <n v="714.07"/>
    <n v="3"/>
    <n v="3.5750000000000002"/>
    <n v="6500948"/>
    <x v="0"/>
    <s v="Porto Alegre"/>
    <s v="Convencional"/>
    <n v="6"/>
    <d v="2018-01-16T00:00:00"/>
    <x v="12"/>
    <x v="0"/>
    <d v="2018-01-22T00:00:00"/>
    <x v="0"/>
    <x v="0"/>
    <n v="1"/>
    <n v="1"/>
  </r>
  <r>
    <d v="2018-01-17T00:00:00"/>
    <n v="10480"/>
    <s v="WHVIT"/>
    <s v="Vitoria"/>
    <s v="ES"/>
    <n v="4013"/>
    <x v="1"/>
    <s v="Blumenau"/>
    <s v="SC"/>
    <x v="0"/>
    <s v="SC"/>
    <n v="1760.18"/>
    <n v="6"/>
    <n v="1.32"/>
    <n v="6500948"/>
    <x v="0"/>
    <s v="Porto Alegre"/>
    <s v="Convencional"/>
    <n v="11"/>
    <d v="2018-01-18T00:00:00"/>
    <x v="13"/>
    <x v="2"/>
    <d v="2018-01-29T00:00:00"/>
    <x v="0"/>
    <x v="1"/>
    <n v="0"/>
    <n v="1"/>
  </r>
  <r>
    <d v="2018-01-18T00:00:00"/>
    <n v="10492"/>
    <s v="WHCPQ"/>
    <s v="Campinas"/>
    <s v="SP"/>
    <n v="4013"/>
    <x v="1"/>
    <s v="Blumenau"/>
    <s v="SC"/>
    <x v="0"/>
    <s v="SC"/>
    <n v="2356.9"/>
    <n v="4"/>
    <n v="5.1349999999999998"/>
    <n v="6500948"/>
    <x v="0"/>
    <s v="Porto Alegre"/>
    <s v="Convencional"/>
    <n v="8"/>
    <d v="2018-01-19T00:00:00"/>
    <x v="14"/>
    <x v="0"/>
    <d v="2018-01-27T00:00:00"/>
    <x v="1"/>
    <x v="0"/>
    <n v="0"/>
    <n v="1"/>
  </r>
  <r>
    <d v="2018-01-26T00:00:00"/>
    <n v="10509"/>
    <s v="WHRJ"/>
    <s v="Rio De Janeiro"/>
    <s v="RJ"/>
    <n v="4013"/>
    <x v="1"/>
    <s v="Blumenau"/>
    <s v="SC"/>
    <x v="0"/>
    <s v="SC"/>
    <n v="738.86"/>
    <n v="2"/>
    <n v="10.119999999999999"/>
    <n v="6500948"/>
    <x v="0"/>
    <s v="Porto Alegre"/>
    <s v="Convencional"/>
    <n v="8"/>
    <d v="2018-01-26T00:00:00"/>
    <x v="15"/>
    <x v="0"/>
    <d v="2018-02-03T00:00:00"/>
    <x v="1"/>
    <x v="0"/>
    <n v="0"/>
    <n v="1"/>
  </r>
  <r>
    <d v="2018-01-26T00:00:00"/>
    <n v="10510"/>
    <s v="WHRJ"/>
    <s v="Rio De Janeiro"/>
    <s v="RJ"/>
    <n v="4013"/>
    <x v="1"/>
    <s v="Blumenau"/>
    <s v="SC"/>
    <x v="0"/>
    <s v="SC"/>
    <n v="2962.5"/>
    <n v="2"/>
    <n v="9.57"/>
    <n v="6500948"/>
    <x v="0"/>
    <s v="Porto Alegre"/>
    <s v="Convencional"/>
    <n v="4"/>
    <d v="2018-01-26T00:00:00"/>
    <x v="16"/>
    <x v="2"/>
    <d v="2018-01-30T00:00:00"/>
    <x v="1"/>
    <x v="1"/>
    <n v="0"/>
    <n v="1"/>
  </r>
  <r>
    <d v="2018-01-29T00:00:00"/>
    <n v="10524"/>
    <s v="WHBH"/>
    <s v="Belo Horizonte"/>
    <s v="MG"/>
    <n v="4013"/>
    <x v="1"/>
    <s v="Blumenau"/>
    <s v="SC"/>
    <x v="0"/>
    <s v="SC"/>
    <n v="1947.8"/>
    <n v="5"/>
    <n v="5.95"/>
    <n v="6500948"/>
    <x v="0"/>
    <s v="Porto Alegre"/>
    <s v="Convencional"/>
    <n v="10"/>
    <d v="2018-01-30T00:00:00"/>
    <x v="17"/>
    <x v="0"/>
    <d v="2018-02-09T00:00:00"/>
    <x v="0"/>
    <x v="0"/>
    <n v="1"/>
    <n v="1"/>
  </r>
  <r>
    <d v="2018-01-31T00:00:00"/>
    <n v="10543"/>
    <s v="WHRJ"/>
    <s v="Rio De Janeiro"/>
    <s v="RJ"/>
    <n v="4013"/>
    <x v="1"/>
    <s v="Blumenau"/>
    <s v="SC"/>
    <x v="0"/>
    <s v="SC"/>
    <n v="1997.16"/>
    <n v="6"/>
    <n v="99"/>
    <n v="6500948"/>
    <x v="0"/>
    <s v="Porto Alegre"/>
    <s v="Convencional"/>
    <n v="6"/>
    <d v="2018-02-01T00:00:00"/>
    <x v="18"/>
    <x v="0"/>
    <d v="2018-02-07T00:00:00"/>
    <x v="0"/>
    <x v="0"/>
    <n v="1"/>
    <n v="1"/>
  </r>
  <r>
    <d v="2018-02-01T00:00:00"/>
    <n v="10546"/>
    <s v="WHBH"/>
    <s v="Belo Horizonte"/>
    <s v="MG"/>
    <n v="4013"/>
    <x v="1"/>
    <s v="Blumenau"/>
    <s v="SC"/>
    <x v="0"/>
    <s v="SC"/>
    <n v="3823.86"/>
    <n v="12"/>
    <n v="20.074999999999999"/>
    <n v="6500948"/>
    <x v="0"/>
    <s v="Porto Alegre"/>
    <s v="Convencional"/>
    <n v="1"/>
    <d v="2018-02-02T00:00:00"/>
    <x v="1"/>
    <x v="0"/>
    <d v="2018-02-03T00:00:00"/>
    <x v="1"/>
    <x v="0"/>
    <n v="0"/>
    <n v="1"/>
  </r>
  <r>
    <d v="2018-02-01T00:00:00"/>
    <n v="10547"/>
    <s v="WHBH"/>
    <s v="Belo Horizonte"/>
    <s v="MG"/>
    <n v="4013"/>
    <x v="1"/>
    <s v="Blumenau"/>
    <s v="SC"/>
    <x v="0"/>
    <s v="SC"/>
    <n v="8200.08"/>
    <n v="13"/>
    <n v="9.3829999999999991"/>
    <n v="6500948"/>
    <x v="0"/>
    <s v="Porto Alegre"/>
    <s v="Convencional"/>
    <n v="10"/>
    <d v="2018-02-02T00:00:00"/>
    <x v="2"/>
    <x v="0"/>
    <d v="2018-02-12T00:00:00"/>
    <x v="0"/>
    <x v="0"/>
    <n v="1"/>
    <n v="1"/>
  </r>
  <r>
    <d v="2018-02-06T00:00:00"/>
    <n v="10564"/>
    <s v="WHSAO"/>
    <s v="Sao Paulo"/>
    <s v="SP"/>
    <n v="4013"/>
    <x v="1"/>
    <s v="Blumenau"/>
    <s v="SC"/>
    <x v="0"/>
    <s v="SC"/>
    <n v="578.85"/>
    <n v="1"/>
    <n v="1.1200000000000001"/>
    <n v="6500948"/>
    <x v="0"/>
    <s v="Porto Alegre"/>
    <s v="Convencional"/>
    <n v="4"/>
    <d v="2018-02-06T00:00:00"/>
    <x v="19"/>
    <x v="0"/>
    <d v="2018-02-10T00:00:00"/>
    <x v="1"/>
    <x v="0"/>
    <n v="0"/>
    <n v="1"/>
  </r>
  <r>
    <d v="2018-02-08T00:00:00"/>
    <n v="10571"/>
    <s v="WHSJC"/>
    <s v="Sao Jose dos Campos"/>
    <s v="SP"/>
    <n v="4013"/>
    <x v="1"/>
    <s v="Blumenau"/>
    <s v="SC"/>
    <x v="0"/>
    <s v="SC"/>
    <n v="631.66"/>
    <n v="1"/>
    <n v="2.9790000000000001"/>
    <n v="6500948"/>
    <x v="0"/>
    <s v="Porto Alegre"/>
    <s v="Convencional"/>
    <n v="9"/>
    <d v="2018-02-08T00:00:00"/>
    <x v="20"/>
    <x v="0"/>
    <d v="2018-02-17T00:00:00"/>
    <x v="0"/>
    <x v="0"/>
    <n v="1"/>
    <n v="1"/>
  </r>
  <r>
    <d v="2018-02-12T00:00:00"/>
    <n v="10587"/>
    <s v="WHRJ"/>
    <s v="Rio De Janeiro"/>
    <s v="RJ"/>
    <n v="4013"/>
    <x v="1"/>
    <s v="Blumenau"/>
    <s v="SC"/>
    <x v="0"/>
    <s v="SC"/>
    <n v="524.13"/>
    <n v="1"/>
    <n v="1.65"/>
    <n v="6500948"/>
    <x v="0"/>
    <s v="Porto Alegre"/>
    <s v="Convencional"/>
    <n v="10"/>
    <d v="2018-02-13T00:00:00"/>
    <x v="21"/>
    <x v="0"/>
    <d v="2018-02-23T00:00:00"/>
    <x v="0"/>
    <x v="0"/>
    <n v="1"/>
    <n v="1"/>
  </r>
  <r>
    <d v="2018-02-13T00:00:00"/>
    <n v="10591"/>
    <s v="WHSAO"/>
    <s v="Sao Paulo"/>
    <s v="SP"/>
    <n v="4013"/>
    <x v="1"/>
    <s v="Blumenau"/>
    <s v="SC"/>
    <x v="0"/>
    <s v="SC"/>
    <n v="1790.56"/>
    <n v="4"/>
    <n v="40.557000000000002"/>
    <n v="6500948"/>
    <x v="0"/>
    <s v="Porto Alegre"/>
    <s v="Convencional"/>
    <n v="3"/>
    <d v="2018-02-14T00:00:00"/>
    <x v="22"/>
    <x v="0"/>
    <d v="2018-02-17T00:00:00"/>
    <x v="1"/>
    <x v="0"/>
    <n v="0"/>
    <n v="1"/>
  </r>
  <r>
    <d v="2018-02-14T00:00:00"/>
    <n v="10593"/>
    <s v="WHBH"/>
    <s v="Belo Horizonte"/>
    <s v="MG"/>
    <n v="4013"/>
    <x v="1"/>
    <s v="Blumenau"/>
    <s v="SC"/>
    <x v="0"/>
    <s v="SC"/>
    <n v="709.16"/>
    <n v="1"/>
    <n v="1.177"/>
    <n v="6500948"/>
    <x v="0"/>
    <s v="Porto Alegre"/>
    <s v="Convencional"/>
    <n v="10"/>
    <d v="2018-02-15T00:00:00"/>
    <x v="23"/>
    <x v="0"/>
    <d v="2018-02-25T00:00:00"/>
    <x v="0"/>
    <x v="0"/>
    <n v="1"/>
    <n v="1"/>
  </r>
  <r>
    <d v="2018-02-15T00:00:00"/>
    <n v="10594"/>
    <s v="WHVIT"/>
    <s v="Vitoria"/>
    <s v="ES"/>
    <n v="4013"/>
    <x v="1"/>
    <s v="Blumenau"/>
    <s v="SC"/>
    <x v="0"/>
    <s v="SC"/>
    <n v="483.56"/>
    <n v="2"/>
    <n v="3.3119999999999998"/>
    <n v="6500948"/>
    <x v="0"/>
    <s v="Porto Alegre"/>
    <s v="Convencional"/>
    <n v="12"/>
    <d v="2018-02-15T00:00:00"/>
    <x v="24"/>
    <x v="0"/>
    <d v="2018-02-27T00:00:00"/>
    <x v="0"/>
    <x v="0"/>
    <n v="1"/>
    <n v="1"/>
  </r>
  <r>
    <d v="2018-02-16T00:00:00"/>
    <n v="10604"/>
    <s v="WHPOA"/>
    <s v="Porto Alegre"/>
    <s v="RS"/>
    <n v="4013"/>
    <x v="1"/>
    <s v="Blumenau"/>
    <s v="SC"/>
    <x v="0"/>
    <s v="SC"/>
    <n v="353.84"/>
    <n v="1"/>
    <n v="1.1200000000000001"/>
    <n v="6500948"/>
    <x v="0"/>
    <s v="Porto Alegre"/>
    <s v="Convencional"/>
    <n v="11"/>
    <d v="2018-02-17T00:00:00"/>
    <x v="25"/>
    <x v="0"/>
    <d v="2018-02-28T00:00:00"/>
    <x v="0"/>
    <x v="0"/>
    <n v="1"/>
    <n v="1"/>
  </r>
  <r>
    <d v="2018-02-22T00:00:00"/>
    <n v="10614"/>
    <s v="WHVIT"/>
    <s v="Vitoria"/>
    <s v="ES"/>
    <n v="4013"/>
    <x v="1"/>
    <s v="Blumenau"/>
    <s v="SC"/>
    <x v="0"/>
    <s v="SC"/>
    <n v="102.48"/>
    <n v="1"/>
    <n v="4.4000000000000004"/>
    <n v="6500948"/>
    <x v="0"/>
    <s v="Porto Alegre"/>
    <s v="Convencional"/>
    <n v="8"/>
    <d v="2018-02-22T00:00:00"/>
    <x v="26"/>
    <x v="1"/>
    <d v="2018-03-02T00:00:00"/>
    <x v="1"/>
    <x v="1"/>
    <n v="0"/>
    <n v="1"/>
  </r>
  <r>
    <d v="2018-02-23T00:00:00"/>
    <n v="10630"/>
    <s v="WHRJ"/>
    <s v="Rio De Janeiro"/>
    <s v="RJ"/>
    <n v="4013"/>
    <x v="1"/>
    <s v="Blumenau"/>
    <s v="SC"/>
    <x v="0"/>
    <s v="SC"/>
    <n v="397.72"/>
    <n v="3"/>
    <n v="3.2"/>
    <n v="6500948"/>
    <x v="0"/>
    <s v="Porto Alegre"/>
    <s v="Convencional"/>
    <n v="12"/>
    <d v="2018-02-24T00:00:00"/>
    <x v="23"/>
    <x v="0"/>
    <d v="2018-03-08T00:00:00"/>
    <x v="0"/>
    <x v="0"/>
    <n v="1"/>
    <n v="1"/>
  </r>
  <r>
    <d v="2018-02-23T00:00:00"/>
    <n v="10631"/>
    <s v="WHBH"/>
    <s v="Belo Horizonte"/>
    <s v="MG"/>
    <n v="4013"/>
    <x v="1"/>
    <s v="Blumenau"/>
    <s v="SC"/>
    <x v="0"/>
    <s v="SC"/>
    <n v="6498.92"/>
    <n v="3"/>
    <n v="23.286000000000001"/>
    <n v="6500948"/>
    <x v="0"/>
    <s v="Porto Alegre"/>
    <s v="Convencional"/>
    <n v="12"/>
    <d v="2018-02-24T00:00:00"/>
    <x v="27"/>
    <x v="0"/>
    <d v="2018-03-08T00:00:00"/>
    <x v="0"/>
    <x v="0"/>
    <n v="1"/>
    <n v="1"/>
  </r>
  <r>
    <d v="2018-02-23T00:00:00"/>
    <n v="10632"/>
    <s v="WHBH"/>
    <s v="Belo Horizonte"/>
    <s v="MG"/>
    <n v="4013"/>
    <x v="1"/>
    <s v="Blumenau"/>
    <s v="SC"/>
    <x v="0"/>
    <s v="SC"/>
    <n v="314.67"/>
    <n v="1"/>
    <n v="0.44"/>
    <n v="6500948"/>
    <x v="0"/>
    <s v="Porto Alegre"/>
    <s v="Convencional"/>
    <n v="4"/>
    <d v="2018-02-24T00:00:00"/>
    <x v="28"/>
    <x v="0"/>
    <d v="2018-02-28T00:00:00"/>
    <x v="1"/>
    <x v="0"/>
    <n v="0"/>
    <n v="1"/>
  </r>
  <r>
    <d v="2018-03-03T00:00:00"/>
    <n v="10653"/>
    <s v="WHPOA"/>
    <s v="Porto Alegre"/>
    <s v="RS"/>
    <n v="4013"/>
    <x v="1"/>
    <s v="Blumenau"/>
    <s v="SC"/>
    <x v="0"/>
    <s v="SC"/>
    <n v="834.86"/>
    <n v="1"/>
    <n v="9.35"/>
    <n v="6500948"/>
    <x v="0"/>
    <s v="Porto Alegre"/>
    <s v="Convencional"/>
    <n v="8"/>
    <d v="2018-03-03T00:00:00"/>
    <x v="29"/>
    <x v="0"/>
    <d v="2018-03-11T00:00:00"/>
    <x v="1"/>
    <x v="0"/>
    <n v="0"/>
    <n v="1"/>
  </r>
  <r>
    <d v="2018-01-03T00:00:00"/>
    <n v="10413"/>
    <s v="WHCPQ"/>
    <s v="Campinas"/>
    <s v="SP"/>
    <n v="4014"/>
    <x v="3"/>
    <s v="Ipatinga"/>
    <s v="MG"/>
    <x v="2"/>
    <s v="MG"/>
    <n v="486.99"/>
    <n v="1"/>
    <n v="3.96"/>
    <n v="6600879"/>
    <x v="2"/>
    <s v="Belo Horizonte"/>
    <s v="Convencional"/>
    <n v="7"/>
    <d v="2018-01-04T00:00:00"/>
    <x v="30"/>
    <x v="0"/>
    <d v="2018-01-11T00:00:00"/>
    <x v="0"/>
    <x v="0"/>
    <n v="1"/>
    <n v="1"/>
  </r>
  <r>
    <d v="2018-01-03T00:00:00"/>
    <n v="10414"/>
    <s v="WHCPQ"/>
    <s v="Campinas"/>
    <s v="SP"/>
    <n v="4014"/>
    <x v="3"/>
    <s v="Ipatinga"/>
    <s v="MG"/>
    <x v="2"/>
    <s v="MG"/>
    <n v="1212.8"/>
    <n v="3"/>
    <n v="49.5"/>
    <n v="6600879"/>
    <x v="2"/>
    <s v="Belo Horizonte"/>
    <s v="Urgente"/>
    <n v="7"/>
    <d v="2018-01-04T00:00:00"/>
    <x v="31"/>
    <x v="1"/>
    <d v="2018-01-11T00:00:00"/>
    <x v="1"/>
    <x v="1"/>
    <n v="0"/>
    <n v="1"/>
  </r>
  <r>
    <d v="2018-01-03T00:00:00"/>
    <n v="10415"/>
    <s v="WHBH"/>
    <s v="Belo Horizonte"/>
    <s v="MG"/>
    <n v="4014"/>
    <x v="3"/>
    <s v="Ipatinga"/>
    <s v="MG"/>
    <x v="2"/>
    <s v="MG"/>
    <n v="203.57"/>
    <n v="1"/>
    <n v="0.14199999999999999"/>
    <n v="6600879"/>
    <x v="2"/>
    <s v="Belo Horizonte"/>
    <s v="Convencional"/>
    <n v="11"/>
    <d v="2018-01-04T00:00:00"/>
    <x v="31"/>
    <x v="0"/>
    <d v="2018-01-15T00:00:00"/>
    <x v="0"/>
    <x v="0"/>
    <n v="1"/>
    <n v="1"/>
  </r>
  <r>
    <d v="2018-01-13T00:00:00"/>
    <n v="10466"/>
    <s v="WHCPQ"/>
    <s v="Campinas"/>
    <s v="SP"/>
    <n v="4014"/>
    <x v="3"/>
    <s v="Ipatinga"/>
    <s v="MG"/>
    <x v="2"/>
    <s v="MG"/>
    <n v="334.01"/>
    <n v="1"/>
    <n v="4.4409999999999998"/>
    <n v="6600879"/>
    <x v="2"/>
    <s v="Belo Horizonte"/>
    <s v="Convencional"/>
    <n v="1"/>
    <d v="2018-01-13T00:00:00"/>
    <x v="32"/>
    <x v="0"/>
    <d v="2018-01-14T00:00:00"/>
    <x v="1"/>
    <x v="0"/>
    <n v="0"/>
    <n v="1"/>
  </r>
  <r>
    <d v="2018-01-13T00:00:00"/>
    <n v="10469"/>
    <s v="WHVIT"/>
    <s v="Vitoria"/>
    <s v="ES"/>
    <n v="4014"/>
    <x v="3"/>
    <s v="Ipatinga"/>
    <s v="MG"/>
    <x v="2"/>
    <s v="MG"/>
    <n v="8518.89"/>
    <n v="3"/>
    <n v="45.593000000000004"/>
    <n v="6600879"/>
    <x v="2"/>
    <s v="Belo Horizonte"/>
    <s v="Convencional"/>
    <n v="5"/>
    <d v="2018-01-13T00:00:00"/>
    <x v="32"/>
    <x v="0"/>
    <d v="2018-01-18T00:00:00"/>
    <x v="1"/>
    <x v="0"/>
    <n v="0"/>
    <n v="1"/>
  </r>
  <r>
    <d v="2018-01-13T00:00:00"/>
    <n v="10470"/>
    <s v="WHVIT"/>
    <s v="Vitoria"/>
    <s v="ES"/>
    <n v="4014"/>
    <x v="3"/>
    <s v="Ipatinga"/>
    <s v="MG"/>
    <x v="2"/>
    <s v="MG"/>
    <n v="141.80000000000001"/>
    <n v="1"/>
    <n v="0.55000000000000004"/>
    <n v="6600879"/>
    <x v="2"/>
    <s v="Belo Horizonte"/>
    <s v="Convencional"/>
    <n v="2"/>
    <d v="2018-01-13T00:00:00"/>
    <x v="33"/>
    <x v="0"/>
    <d v="2018-01-15T00:00:00"/>
    <x v="1"/>
    <x v="0"/>
    <n v="0"/>
    <n v="1"/>
  </r>
  <r>
    <d v="2018-01-13T00:00:00"/>
    <n v="10471"/>
    <s v="WHSJC"/>
    <s v="Sao Jose dos Campos"/>
    <s v="SP"/>
    <n v="4014"/>
    <x v="3"/>
    <s v="Ipatinga"/>
    <s v="MG"/>
    <x v="2"/>
    <s v="MG"/>
    <n v="150.04"/>
    <n v="1"/>
    <n v="3.3"/>
    <n v="6600879"/>
    <x v="2"/>
    <s v="Belo Horizonte"/>
    <s v="Convencional"/>
    <n v="10"/>
    <d v="2018-01-13T00:00:00"/>
    <x v="31"/>
    <x v="0"/>
    <d v="2018-01-23T00:00:00"/>
    <x v="0"/>
    <x v="0"/>
    <n v="1"/>
    <n v="1"/>
  </r>
  <r>
    <d v="2018-01-30T00:00:00"/>
    <n v="10526"/>
    <s v="WHVIT"/>
    <s v="Vitoria"/>
    <s v="ES"/>
    <n v="4014"/>
    <x v="3"/>
    <s v="Ipatinga"/>
    <s v="MG"/>
    <x v="2"/>
    <s v="MG"/>
    <n v="822.21"/>
    <n v="2"/>
    <n v="7.1310000000000002"/>
    <n v="6600879"/>
    <x v="2"/>
    <s v="Belo Horizonte"/>
    <s v="Convencional"/>
    <n v="1"/>
    <d v="2018-01-31T00:00:00"/>
    <x v="2"/>
    <x v="0"/>
    <d v="2018-02-01T00:00:00"/>
    <x v="1"/>
    <x v="0"/>
    <n v="0"/>
    <n v="1"/>
  </r>
  <r>
    <d v="2018-01-30T00:00:00"/>
    <n v="10527"/>
    <s v="WHCPQ"/>
    <s v="Campinas"/>
    <s v="SP"/>
    <n v="4014"/>
    <x v="3"/>
    <s v="Ipatinga"/>
    <s v="MG"/>
    <x v="2"/>
    <s v="MG"/>
    <n v="2101.4899999999998"/>
    <n v="1"/>
    <n v="2.2000000000000002"/>
    <n v="6600879"/>
    <x v="2"/>
    <s v="Belo Horizonte"/>
    <s v="Convencional"/>
    <n v="9"/>
    <d v="2018-01-31T00:00:00"/>
    <x v="18"/>
    <x v="0"/>
    <d v="2018-02-09T00:00:00"/>
    <x v="0"/>
    <x v="0"/>
    <n v="1"/>
    <n v="1"/>
  </r>
  <r>
    <d v="2018-01-30T00:00:00"/>
    <n v="10531"/>
    <s v="WHSJC"/>
    <s v="Sao Jose dos Campos"/>
    <s v="SP"/>
    <n v="4014"/>
    <x v="3"/>
    <s v="Ipatinga"/>
    <s v="MG"/>
    <x v="2"/>
    <s v="MG"/>
    <n v="104.28"/>
    <n v="1"/>
    <n v="1.21"/>
    <n v="6600879"/>
    <x v="2"/>
    <s v="Belo Horizonte"/>
    <s v="Convencional"/>
    <n v="10"/>
    <d v="2018-01-31T00:00:00"/>
    <x v="16"/>
    <x v="0"/>
    <d v="2018-02-10T00:00:00"/>
    <x v="0"/>
    <x v="0"/>
    <n v="1"/>
    <n v="1"/>
  </r>
  <r>
    <d v="2018-03-06T00:00:00"/>
    <n v="10654"/>
    <s v="WHPOA"/>
    <s v="Porto Alegre"/>
    <s v="RS"/>
    <n v="4068"/>
    <x v="4"/>
    <s v="Campo Grande"/>
    <s v="MS"/>
    <x v="1"/>
    <s v="MS"/>
    <n v="2414.7199999999998"/>
    <n v="2"/>
    <n v="16.792000000000002"/>
    <n v="6100231"/>
    <x v="1"/>
    <s v="Goiania"/>
    <s v="Convencional"/>
    <n v="2"/>
    <d v="2018-03-06T00:00:00"/>
    <x v="34"/>
    <x v="0"/>
    <d v="2018-03-08T00:00:00"/>
    <x v="0"/>
    <x v="0"/>
    <n v="1"/>
    <n v="1"/>
  </r>
  <r>
    <d v="2018-03-06T00:00:00"/>
    <n v="10655"/>
    <s v="WHRJ"/>
    <s v="Rio De Janeiro"/>
    <s v="RJ"/>
    <n v="4068"/>
    <x v="4"/>
    <s v="Campo Grande"/>
    <s v="MS"/>
    <x v="1"/>
    <s v="MS"/>
    <n v="2853.3"/>
    <n v="3"/>
    <n v="12.54"/>
    <n v="6100231"/>
    <x v="1"/>
    <s v="Goiania"/>
    <s v="Convencional"/>
    <n v="11"/>
    <d v="2018-03-06T00:00:00"/>
    <x v="35"/>
    <x v="0"/>
    <d v="2018-03-17T00:00:00"/>
    <x v="0"/>
    <x v="0"/>
    <n v="1"/>
    <n v="1"/>
  </r>
  <r>
    <d v="2018-01-04T00:00:00"/>
    <n v="10416"/>
    <s v="WHSAO"/>
    <s v="Sao Paulo"/>
    <s v="SP"/>
    <n v="4015"/>
    <x v="5"/>
    <s v="Londrina"/>
    <s v="PR"/>
    <x v="0"/>
    <s v="PR"/>
    <n v="3133.87"/>
    <n v="6"/>
    <n v="23.76"/>
    <n v="6500948"/>
    <x v="0"/>
    <s v="Porto Alegre"/>
    <s v="Convencional"/>
    <n v="4"/>
    <d v="2018-01-05T00:00:00"/>
    <x v="36"/>
    <x v="0"/>
    <d v="2018-01-09T00:00:00"/>
    <x v="0"/>
    <x v="0"/>
    <n v="1"/>
    <n v="1"/>
  </r>
  <r>
    <d v="2018-01-18T00:00:00"/>
    <n v="10491"/>
    <s v="WHVIT"/>
    <s v="Vitoria"/>
    <s v="ES"/>
    <n v="4015"/>
    <x v="5"/>
    <s v="Londrina"/>
    <s v="PR"/>
    <x v="0"/>
    <s v="PR"/>
    <n v="1779.38"/>
    <n v="2"/>
    <n v="7.04"/>
    <n v="6500948"/>
    <x v="0"/>
    <s v="Porto Alegre"/>
    <s v="Convencional"/>
    <n v="4"/>
    <d v="2018-01-19T00:00:00"/>
    <x v="8"/>
    <x v="0"/>
    <d v="2018-01-23T00:00:00"/>
    <x v="0"/>
    <x v="0"/>
    <n v="1"/>
    <n v="1"/>
  </r>
  <r>
    <d v="2018-01-04T00:00:00"/>
    <n v="10418"/>
    <s v="WHRJ"/>
    <s v="Rio De Janeiro"/>
    <s v="RJ"/>
    <n v="4016"/>
    <x v="6"/>
    <s v="Pocos De Caldas"/>
    <s v="MG"/>
    <x v="2"/>
    <s v="MG"/>
    <n v="1763.03"/>
    <n v="1"/>
    <n v="9.91"/>
    <n v="6600879"/>
    <x v="2"/>
    <s v="Belo Horizonte"/>
    <s v="Convencional"/>
    <n v="2"/>
    <d v="2018-01-05T00:00:00"/>
    <x v="31"/>
    <x v="2"/>
    <d v="2018-01-07T00:00:00"/>
    <x v="1"/>
    <x v="1"/>
    <n v="0"/>
    <n v="1"/>
  </r>
  <r>
    <d v="2018-01-04T00:00:00"/>
    <n v="10419"/>
    <s v="WHCPQ"/>
    <s v="Campinas"/>
    <s v="SP"/>
    <n v="4016"/>
    <x v="6"/>
    <s v="Pocos De Caldas"/>
    <s v="MG"/>
    <x v="2"/>
    <s v="MG"/>
    <n v="579.1"/>
    <n v="1"/>
    <n v="3.96"/>
    <n v="6600879"/>
    <x v="2"/>
    <s v="Belo Horizonte"/>
    <s v="Convencional"/>
    <n v="1"/>
    <d v="2018-01-05T00:00:00"/>
    <x v="7"/>
    <x v="0"/>
    <d v="2018-01-06T00:00:00"/>
    <x v="1"/>
    <x v="0"/>
    <n v="0"/>
    <n v="1"/>
  </r>
  <r>
    <d v="2018-01-04T00:00:00"/>
    <n v="10420"/>
    <s v="WHCPQ"/>
    <s v="Campinas"/>
    <s v="SP"/>
    <n v="4016"/>
    <x v="6"/>
    <s v="Pocos De Caldas"/>
    <s v="MG"/>
    <x v="2"/>
    <s v="MG"/>
    <n v="42075.62"/>
    <n v="8"/>
    <n v="161.566"/>
    <n v="6600879"/>
    <x v="2"/>
    <s v="Belo Horizonte"/>
    <s v="Convencional"/>
    <n v="10"/>
    <d v="2018-01-05T00:00:00"/>
    <x v="37"/>
    <x v="2"/>
    <d v="2018-01-15T00:00:00"/>
    <x v="0"/>
    <x v="1"/>
    <n v="0"/>
    <n v="1"/>
  </r>
  <r>
    <d v="2018-01-04T00:00:00"/>
    <n v="10421"/>
    <s v="WHCPQ"/>
    <s v="Campinas"/>
    <s v="SP"/>
    <n v="4016"/>
    <x v="6"/>
    <s v="Pocos De Caldas"/>
    <s v="MG"/>
    <x v="2"/>
    <s v="MG"/>
    <n v="430.9"/>
    <n v="1"/>
    <n v="3.96"/>
    <n v="6600879"/>
    <x v="2"/>
    <s v="Belo Horizonte"/>
    <s v="Convencional"/>
    <n v="7"/>
    <d v="2018-01-05T00:00:00"/>
    <x v="9"/>
    <x v="0"/>
    <d v="2018-01-12T00:00:00"/>
    <x v="1"/>
    <x v="0"/>
    <n v="0"/>
    <n v="1"/>
  </r>
  <r>
    <d v="2018-01-04T00:00:00"/>
    <n v="10422"/>
    <s v="WHPOA"/>
    <s v="Porto Alegre"/>
    <s v="RS"/>
    <n v="4016"/>
    <x v="6"/>
    <s v="Pocos De Caldas"/>
    <s v="MG"/>
    <x v="2"/>
    <s v="MG"/>
    <n v="66.989999999999995"/>
    <n v="1"/>
    <n v="0.28100000000000003"/>
    <n v="6600879"/>
    <x v="2"/>
    <s v="Belo Horizonte"/>
    <s v="Convencional"/>
    <n v="12"/>
    <d v="2018-01-05T00:00:00"/>
    <x v="36"/>
    <x v="0"/>
    <d v="2018-01-17T00:00:00"/>
    <x v="0"/>
    <x v="0"/>
    <n v="1"/>
    <n v="1"/>
  </r>
  <r>
    <d v="2018-01-17T00:00:00"/>
    <n v="10481"/>
    <s v="WHCPQ"/>
    <s v="Campinas"/>
    <s v="SP"/>
    <n v="4016"/>
    <x v="6"/>
    <s v="Pocos De Caldas"/>
    <s v="MG"/>
    <x v="2"/>
    <s v="MG"/>
    <n v="1216.82"/>
    <n v="4"/>
    <n v="0.88"/>
    <n v="6600879"/>
    <x v="2"/>
    <s v="Belo Horizonte"/>
    <s v="Convencional"/>
    <n v="10"/>
    <d v="2018-01-18T00:00:00"/>
    <x v="38"/>
    <x v="0"/>
    <d v="2018-01-28T00:00:00"/>
    <x v="0"/>
    <x v="0"/>
    <n v="1"/>
    <n v="1"/>
  </r>
  <r>
    <d v="2018-01-17T00:00:00"/>
    <n v="10483"/>
    <s v="WHBH"/>
    <s v="Belo Horizonte"/>
    <s v="MG"/>
    <n v="4016"/>
    <x v="6"/>
    <s v="Pocos De Caldas"/>
    <s v="MG"/>
    <x v="2"/>
    <s v="MG"/>
    <n v="665.72"/>
    <n v="2"/>
    <n v="33"/>
    <n v="6600879"/>
    <x v="2"/>
    <s v="Belo Horizonte"/>
    <s v="Convencional"/>
    <n v="9"/>
    <d v="2018-01-18T00:00:00"/>
    <x v="13"/>
    <x v="0"/>
    <d v="2018-01-27T00:00:00"/>
    <x v="0"/>
    <x v="0"/>
    <n v="1"/>
    <n v="1"/>
  </r>
  <r>
    <d v="2018-01-17T00:00:00"/>
    <n v="10485"/>
    <s v="WHRJ"/>
    <s v="Rio De Janeiro"/>
    <s v="RJ"/>
    <n v="4016"/>
    <x v="6"/>
    <s v="Pocos De Caldas"/>
    <s v="MG"/>
    <x v="2"/>
    <s v="MG"/>
    <n v="1612.3"/>
    <n v="4"/>
    <n v="49.783999999999999"/>
    <n v="6600879"/>
    <x v="2"/>
    <s v="Belo Horizonte"/>
    <s v="Convencional"/>
    <n v="11"/>
    <d v="2018-01-18T00:00:00"/>
    <x v="11"/>
    <x v="0"/>
    <d v="2018-01-29T00:00:00"/>
    <x v="0"/>
    <x v="0"/>
    <n v="1"/>
    <n v="1"/>
  </r>
  <r>
    <d v="2018-01-17T00:00:00"/>
    <n v="10488"/>
    <s v="WHRJ"/>
    <s v="Rio De Janeiro"/>
    <s v="RJ"/>
    <n v="4016"/>
    <x v="6"/>
    <s v="Pocos De Caldas"/>
    <s v="MG"/>
    <x v="2"/>
    <s v="MG"/>
    <n v="927.7"/>
    <n v="1"/>
    <n v="26.4"/>
    <n v="6600879"/>
    <x v="2"/>
    <s v="Belo Horizonte"/>
    <s v="Convencional"/>
    <n v="1"/>
    <d v="2018-01-18T00:00:00"/>
    <x v="39"/>
    <x v="0"/>
    <d v="2018-01-19T00:00:00"/>
    <x v="1"/>
    <x v="0"/>
    <n v="0"/>
    <n v="1"/>
  </r>
  <r>
    <d v="2018-01-17T00:00:00"/>
    <n v="10489"/>
    <s v="WHVIT"/>
    <s v="Vitoria"/>
    <s v="ES"/>
    <n v="4016"/>
    <x v="6"/>
    <s v="Pocos De Caldas"/>
    <s v="MG"/>
    <x v="2"/>
    <s v="MG"/>
    <n v="2252.85"/>
    <n v="3"/>
    <n v="37.152999999999999"/>
    <n v="6600879"/>
    <x v="2"/>
    <s v="Belo Horizonte"/>
    <s v="Convencional"/>
    <n v="6"/>
    <d v="2018-01-18T00:00:00"/>
    <x v="11"/>
    <x v="0"/>
    <d v="2018-01-24T00:00:00"/>
    <x v="0"/>
    <x v="0"/>
    <n v="1"/>
    <n v="1"/>
  </r>
  <r>
    <d v="2018-02-07T00:00:00"/>
    <n v="10566"/>
    <s v="WHSAO"/>
    <s v="Sao Paulo"/>
    <s v="SP"/>
    <n v="4016"/>
    <x v="6"/>
    <s v="Pocos De Caldas"/>
    <s v="MG"/>
    <x v="2"/>
    <s v="MG"/>
    <n v="6216.79"/>
    <n v="7"/>
    <n v="35.981000000000002"/>
    <n v="6600879"/>
    <x v="2"/>
    <s v="Belo Horizonte"/>
    <s v="Convencional"/>
    <n v="12"/>
    <d v="2018-02-07T00:00:00"/>
    <x v="40"/>
    <x v="0"/>
    <d v="2018-02-19T00:00:00"/>
    <x v="0"/>
    <x v="0"/>
    <n v="1"/>
    <n v="1"/>
  </r>
  <r>
    <d v="2018-02-07T00:00:00"/>
    <n v="10567"/>
    <s v="WHPOA"/>
    <s v="Porto Alegre"/>
    <s v="RS"/>
    <n v="4016"/>
    <x v="6"/>
    <s v="Pocos De Caldas"/>
    <s v="MG"/>
    <x v="2"/>
    <s v="MG"/>
    <n v="1272.18"/>
    <n v="1"/>
    <n v="16.72"/>
    <n v="6600879"/>
    <x v="2"/>
    <s v="Belo Horizonte"/>
    <s v="Convencional"/>
    <n v="3"/>
    <d v="2018-02-07T00:00:00"/>
    <x v="41"/>
    <x v="0"/>
    <d v="2018-02-10T00:00:00"/>
    <x v="1"/>
    <x v="0"/>
    <n v="0"/>
    <n v="1"/>
  </r>
  <r>
    <d v="2018-02-07T00:00:00"/>
    <n v="10568"/>
    <s v="WHRJ"/>
    <s v="Rio De Janeiro"/>
    <s v="RJ"/>
    <n v="4016"/>
    <x v="6"/>
    <s v="Pocos De Caldas"/>
    <s v="MG"/>
    <x v="2"/>
    <s v="MG"/>
    <n v="605.67999999999995"/>
    <n v="2"/>
    <n v="2.948"/>
    <n v="6600879"/>
    <x v="2"/>
    <s v="Belo Horizonte"/>
    <s v="Convencional"/>
    <n v="5"/>
    <d v="2018-02-07T00:00:00"/>
    <x v="20"/>
    <x v="0"/>
    <d v="2018-02-12T00:00:00"/>
    <x v="0"/>
    <x v="0"/>
    <n v="1"/>
    <n v="1"/>
  </r>
  <r>
    <d v="2018-02-07T00:00:00"/>
    <n v="10569"/>
    <s v="WHVIT"/>
    <s v="Vitoria"/>
    <s v="ES"/>
    <n v="4016"/>
    <x v="6"/>
    <s v="Pocos De Caldas"/>
    <s v="MG"/>
    <x v="2"/>
    <s v="MG"/>
    <n v="693.39"/>
    <n v="1"/>
    <n v="0.38300000000000001"/>
    <n v="6600879"/>
    <x v="2"/>
    <s v="Belo Horizonte"/>
    <s v="Convencional"/>
    <n v="12"/>
    <d v="2018-02-07T00:00:00"/>
    <x v="40"/>
    <x v="0"/>
    <d v="2018-02-19T00:00:00"/>
    <x v="0"/>
    <x v="0"/>
    <n v="1"/>
    <n v="1"/>
  </r>
  <r>
    <d v="2018-02-07T00:00:00"/>
    <n v="10570"/>
    <s v="WHSAO"/>
    <s v="Sao Paulo"/>
    <s v="SP"/>
    <n v="4016"/>
    <x v="6"/>
    <s v="Pocos De Caldas"/>
    <s v="MG"/>
    <x v="2"/>
    <s v="MG"/>
    <n v="4021.45"/>
    <n v="6"/>
    <n v="20.757999999999999"/>
    <n v="6600879"/>
    <x v="2"/>
    <s v="Belo Horizonte"/>
    <s v="Convencional"/>
    <n v="10"/>
    <d v="2018-02-07T00:00:00"/>
    <x v="42"/>
    <x v="0"/>
    <d v="2018-02-17T00:00:00"/>
    <x v="0"/>
    <x v="0"/>
    <n v="1"/>
    <n v="1"/>
  </r>
  <r>
    <d v="2018-01-17T00:00:00"/>
    <n v="10477"/>
    <s v="WHCPQ"/>
    <s v="Campinas"/>
    <s v="SP"/>
    <n v="4036"/>
    <x v="7"/>
    <s v="Brasilia"/>
    <s v="DF"/>
    <x v="1"/>
    <s v="DF"/>
    <n v="1419.55"/>
    <n v="1"/>
    <n v="3.3090000000000002"/>
    <n v="6100231"/>
    <x v="1"/>
    <s v="Goiania"/>
    <s v="Convencional"/>
    <n v="7"/>
    <d v="2018-01-18T00:00:00"/>
    <x v="39"/>
    <x v="0"/>
    <d v="2018-01-25T00:00:00"/>
    <x v="0"/>
    <x v="0"/>
    <n v="1"/>
    <n v="1"/>
  </r>
  <r>
    <d v="2018-02-05T00:00:00"/>
    <n v="10560"/>
    <s v="WHBH"/>
    <s v="Belo Horizonte"/>
    <s v="MG"/>
    <n v="4051"/>
    <x v="8"/>
    <s v="Campo Grande"/>
    <s v="MS"/>
    <x v="1"/>
    <s v="MS"/>
    <n v="669.1"/>
    <n v="2"/>
    <n v="1.1659999999999999"/>
    <n v="6100231"/>
    <x v="1"/>
    <s v="Goiania"/>
    <s v="Convencional"/>
    <n v="9"/>
    <d v="2018-02-06T00:00:00"/>
    <x v="2"/>
    <x v="0"/>
    <d v="2018-02-15T00:00:00"/>
    <x v="0"/>
    <x v="0"/>
    <n v="1"/>
    <n v="1"/>
  </r>
  <r>
    <d v="2018-01-17T00:00:00"/>
    <n v="10482"/>
    <s v="WHCPQ"/>
    <s v="Campinas"/>
    <s v="SP"/>
    <n v="4038"/>
    <x v="9"/>
    <s v="Goiania"/>
    <s v="GO"/>
    <x v="1"/>
    <s v="GO"/>
    <n v="469.5"/>
    <n v="2"/>
    <n v="0.44"/>
    <n v="6100231"/>
    <x v="1"/>
    <s v="Goiania"/>
    <s v="Convencional"/>
    <n v="12"/>
    <d v="2018-01-18T00:00:00"/>
    <x v="32"/>
    <x v="0"/>
    <d v="2018-01-30T00:00:00"/>
    <x v="0"/>
    <x v="0"/>
    <n v="1"/>
    <n v="1"/>
  </r>
  <r>
    <d v="2018-01-17T00:00:00"/>
    <n v="10484"/>
    <s v="WHSAO"/>
    <s v="Sao Paulo"/>
    <s v="SP"/>
    <n v="4038"/>
    <x v="9"/>
    <s v="Goiania"/>
    <s v="GO"/>
    <x v="1"/>
    <s v="GO"/>
    <n v="586.73"/>
    <n v="2"/>
    <n v="0.44"/>
    <n v="6100231"/>
    <x v="1"/>
    <s v="Goiania"/>
    <s v="Convencional"/>
    <n v="2"/>
    <d v="2018-01-18T00:00:00"/>
    <x v="43"/>
    <x v="0"/>
    <d v="2018-01-20T00:00:00"/>
    <x v="1"/>
    <x v="0"/>
    <n v="0"/>
    <n v="1"/>
  </r>
  <r>
    <d v="2018-01-17T00:00:00"/>
    <n v="10486"/>
    <s v="WHSJC"/>
    <s v="Sao Jose dos Campos"/>
    <s v="SP"/>
    <n v="4038"/>
    <x v="9"/>
    <s v="Goiania"/>
    <s v="GO"/>
    <x v="1"/>
    <s v="GO"/>
    <n v="1179.1199999999999"/>
    <n v="4"/>
    <n v="0.88"/>
    <n v="6100231"/>
    <x v="1"/>
    <s v="Goiania"/>
    <s v="Convencional"/>
    <n v="9"/>
    <d v="2018-01-18T00:00:00"/>
    <x v="43"/>
    <x v="0"/>
    <d v="2018-01-27T00:00:00"/>
    <x v="0"/>
    <x v="0"/>
    <n v="1"/>
    <n v="1"/>
  </r>
  <r>
    <d v="2018-01-17T00:00:00"/>
    <n v="10487"/>
    <s v="WHCPQ"/>
    <s v="Campinas"/>
    <s v="SP"/>
    <n v="4038"/>
    <x v="9"/>
    <s v="Goiania"/>
    <s v="GO"/>
    <x v="1"/>
    <s v="GO"/>
    <n v="424.88"/>
    <n v="1"/>
    <n v="4.4409999999999998"/>
    <n v="6100231"/>
    <x v="1"/>
    <s v="Goiania"/>
    <s v="Convencional"/>
    <n v="9"/>
    <d v="2018-01-18T00:00:00"/>
    <x v="39"/>
    <x v="0"/>
    <d v="2018-01-27T00:00:00"/>
    <x v="0"/>
    <x v="0"/>
    <n v="1"/>
    <n v="1"/>
  </r>
  <r>
    <d v="2018-01-05T00:00:00"/>
    <n v="10423"/>
    <s v="WHVIT"/>
    <s v="Vitoria"/>
    <s v="ES"/>
    <n v="4017"/>
    <x v="10"/>
    <s v="Itajai"/>
    <s v="SC"/>
    <x v="0"/>
    <s v="SC"/>
    <n v="6.49"/>
    <n v="1"/>
    <n v="1.0269999999999999"/>
    <n v="6500948"/>
    <x v="0"/>
    <s v="Porto Alegre"/>
    <s v="Convencional"/>
    <n v="10"/>
    <d v="2018-01-06T00:00:00"/>
    <x v="44"/>
    <x v="0"/>
    <d v="2018-01-16T00:00:00"/>
    <x v="0"/>
    <x v="0"/>
    <n v="1"/>
    <n v="1"/>
  </r>
  <r>
    <d v="2018-03-01T00:00:00"/>
    <n v="10646"/>
    <s v="WHCPQ"/>
    <s v="Campinas"/>
    <s v="SP"/>
    <n v="4065"/>
    <x v="11"/>
    <s v="Brasilia"/>
    <s v="DF"/>
    <x v="1"/>
    <s v="DF"/>
    <n v="4328.0600000000004"/>
    <n v="4"/>
    <n v="29.175999999999998"/>
    <n v="6100231"/>
    <x v="1"/>
    <s v="Goiania"/>
    <s v="Convencional"/>
    <n v="8"/>
    <d v="2018-03-02T00:00:00"/>
    <x v="35"/>
    <x v="0"/>
    <d v="2018-03-10T00:00:00"/>
    <x v="0"/>
    <x v="0"/>
    <n v="1"/>
    <n v="1"/>
  </r>
  <r>
    <d v="2018-01-05T00:00:00"/>
    <n v="10426"/>
    <s v="WHPOA"/>
    <s v="Porto Alegre"/>
    <s v="RS"/>
    <n v="4018"/>
    <x v="12"/>
    <s v="Sao Jose"/>
    <s v="SC"/>
    <x v="0"/>
    <s v="SC"/>
    <n v="4705.2700000000004"/>
    <n v="3"/>
    <n v="13.433"/>
    <n v="6500948"/>
    <x v="0"/>
    <s v="Porto Alegre"/>
    <s v="Convencional"/>
    <n v="5"/>
    <d v="2018-01-06T00:00:00"/>
    <x v="44"/>
    <x v="0"/>
    <d v="2018-01-11T00:00:00"/>
    <x v="0"/>
    <x v="0"/>
    <n v="1"/>
    <n v="1"/>
  </r>
  <r>
    <d v="2018-01-05T00:00:00"/>
    <n v="10427"/>
    <s v="WHRJ"/>
    <s v="Rio De Janeiro"/>
    <s v="RJ"/>
    <n v="4018"/>
    <x v="12"/>
    <s v="Sao Jose"/>
    <s v="SC"/>
    <x v="0"/>
    <s v="SC"/>
    <n v="3724.66"/>
    <n v="1"/>
    <n v="9.8350000000000009"/>
    <n v="6500948"/>
    <x v="0"/>
    <s v="Porto Alegre"/>
    <s v="Convencional"/>
    <n v="2"/>
    <d v="2018-01-06T00:00:00"/>
    <x v="30"/>
    <x v="0"/>
    <d v="2018-01-08T00:00:00"/>
    <x v="0"/>
    <x v="0"/>
    <n v="1"/>
    <n v="1"/>
  </r>
  <r>
    <d v="2018-01-23T00:00:00"/>
    <n v="10496"/>
    <s v="WHBH"/>
    <s v="Belo Horizonte"/>
    <s v="MG"/>
    <n v="4018"/>
    <x v="12"/>
    <s v="Sao Jose"/>
    <s v="SC"/>
    <x v="0"/>
    <s v="SC"/>
    <n v="367.2"/>
    <n v="1"/>
    <n v="8.734"/>
    <n v="6500948"/>
    <x v="0"/>
    <s v="Porto Alegre"/>
    <s v="Convencional"/>
    <n v="5"/>
    <d v="2018-01-24T00:00:00"/>
    <x v="45"/>
    <x v="0"/>
    <d v="2018-01-29T00:00:00"/>
    <x v="1"/>
    <x v="0"/>
    <n v="0"/>
    <n v="1"/>
  </r>
  <r>
    <d v="2018-01-23T00:00:00"/>
    <n v="10497"/>
    <s v="WHSJC"/>
    <s v="Sao Jose dos Campos"/>
    <s v="SP"/>
    <n v="4018"/>
    <x v="12"/>
    <s v="Sao Jose"/>
    <s v="SC"/>
    <x v="0"/>
    <s v="SC"/>
    <n v="3204.01"/>
    <n v="5"/>
    <n v="10.56"/>
    <n v="6500948"/>
    <x v="0"/>
    <s v="Porto Alegre"/>
    <s v="Convencional"/>
    <n v="11"/>
    <d v="2018-01-24T00:00:00"/>
    <x v="46"/>
    <x v="0"/>
    <d v="2018-02-04T00:00:00"/>
    <x v="0"/>
    <x v="0"/>
    <n v="1"/>
    <n v="1"/>
  </r>
  <r>
    <d v="2018-01-23T00:00:00"/>
    <n v="10498"/>
    <s v="WHSJC"/>
    <s v="Sao Jose dos Campos"/>
    <s v="SP"/>
    <n v="4018"/>
    <x v="12"/>
    <s v="Sao Jose"/>
    <s v="SC"/>
    <x v="0"/>
    <s v="SC"/>
    <n v="104.37"/>
    <n v="1"/>
    <n v="4.4000000000000004"/>
    <n v="6500948"/>
    <x v="0"/>
    <s v="Porto Alegre"/>
    <s v="Convencional"/>
    <n v="5"/>
    <d v="2018-01-24T00:00:00"/>
    <x v="47"/>
    <x v="0"/>
    <d v="2018-01-29T00:00:00"/>
    <x v="1"/>
    <x v="0"/>
    <n v="0"/>
    <n v="1"/>
  </r>
  <r>
    <d v="2018-02-06T00:00:00"/>
    <n v="10565"/>
    <s v="WHSAO"/>
    <s v="Sao Paulo"/>
    <s v="SP"/>
    <n v="4018"/>
    <x v="12"/>
    <s v="Sao Jose"/>
    <s v="SC"/>
    <x v="0"/>
    <s v="SC"/>
    <n v="1164.42"/>
    <n v="1"/>
    <n v="6.7759999999999998"/>
    <n v="6500948"/>
    <x v="0"/>
    <s v="Porto Alegre"/>
    <s v="Convencional"/>
    <n v="4"/>
    <d v="2018-02-06T00:00:00"/>
    <x v="48"/>
    <x v="0"/>
    <d v="2018-02-10T00:00:00"/>
    <x v="1"/>
    <x v="0"/>
    <n v="0"/>
    <n v="1"/>
  </r>
  <r>
    <d v="2018-02-24T00:00:00"/>
    <n v="10633"/>
    <s v="WHBH"/>
    <s v="Belo Horizonte"/>
    <s v="MG"/>
    <n v="4018"/>
    <x v="12"/>
    <s v="Sao Jose"/>
    <s v="SC"/>
    <x v="0"/>
    <s v="SC"/>
    <n v="5251.06"/>
    <n v="2"/>
    <n v="20.207999999999998"/>
    <n v="6500948"/>
    <x v="0"/>
    <s v="Porto Alegre"/>
    <s v="Urgente"/>
    <n v="1"/>
    <d v="2018-02-25T00:00:00"/>
    <x v="49"/>
    <x v="0"/>
    <d v="2018-02-26T00:00:00"/>
    <x v="0"/>
    <x v="0"/>
    <n v="1"/>
    <n v="1"/>
  </r>
  <r>
    <d v="2018-03-08T00:00:00"/>
    <n v="10660"/>
    <s v="WHRJ"/>
    <s v="Rio De Janeiro"/>
    <s v="RJ"/>
    <n v="4018"/>
    <x v="12"/>
    <s v="Sao Jose"/>
    <s v="SC"/>
    <x v="0"/>
    <s v="SC"/>
    <n v="604.42999999999995"/>
    <n v="1"/>
    <n v="4.6760000000000002"/>
    <n v="6500948"/>
    <x v="0"/>
    <s v="Porto Alegre"/>
    <s v="Convencional"/>
    <n v="4"/>
    <d v="2018-03-08T00:00:00"/>
    <x v="50"/>
    <x v="0"/>
    <d v="2018-03-12T00:00:00"/>
    <x v="0"/>
    <x v="0"/>
    <n v="1"/>
    <n v="1"/>
  </r>
  <r>
    <d v="2018-01-05T00:00:00"/>
    <n v="10428"/>
    <s v="WHRJ"/>
    <s v="Rio De Janeiro"/>
    <s v="RJ"/>
    <n v="4019"/>
    <x v="13"/>
    <s v="Florianopolis"/>
    <s v="SC"/>
    <x v="0"/>
    <s v="SC"/>
    <n v="548.15"/>
    <n v="1"/>
    <n v="3.96"/>
    <n v="6500948"/>
    <x v="0"/>
    <s v="Porto Alegre"/>
    <s v="Convencional"/>
    <n v="1"/>
    <d v="2018-01-06T00:00:00"/>
    <x v="36"/>
    <x v="0"/>
    <d v="2018-01-07T00:00:00"/>
    <x v="0"/>
    <x v="0"/>
    <n v="1"/>
    <n v="1"/>
  </r>
  <r>
    <d v="2018-01-05T00:00:00"/>
    <n v="10430"/>
    <s v="WHBH"/>
    <s v="Belo Horizonte"/>
    <s v="MG"/>
    <n v="4019"/>
    <x v="13"/>
    <s v="Florianopolis"/>
    <s v="SC"/>
    <x v="0"/>
    <s v="SC"/>
    <n v="649.42999999999995"/>
    <n v="1"/>
    <n v="1.1180000000000001"/>
    <n v="6500948"/>
    <x v="0"/>
    <s v="Porto Alegre"/>
    <s v="Urgente"/>
    <n v="8"/>
    <d v="2018-01-06T00:00:00"/>
    <x v="36"/>
    <x v="0"/>
    <d v="2018-01-14T00:00:00"/>
    <x v="0"/>
    <x v="0"/>
    <n v="1"/>
    <n v="1"/>
  </r>
  <r>
    <d v="2018-01-05T00:00:00"/>
    <n v="10432"/>
    <s v="WHBH"/>
    <s v="Belo Horizonte"/>
    <s v="MG"/>
    <n v="4019"/>
    <x v="13"/>
    <s v="Florianopolis"/>
    <s v="SC"/>
    <x v="0"/>
    <s v="SC"/>
    <n v="3637.8"/>
    <n v="3"/>
    <n v="8.1289999999999996"/>
    <n v="6500948"/>
    <x v="0"/>
    <s v="Porto Alegre"/>
    <s v="Convencional"/>
    <n v="1"/>
    <d v="2018-01-06T00:00:00"/>
    <x v="6"/>
    <x v="0"/>
    <d v="2018-01-07T00:00:00"/>
    <x v="1"/>
    <x v="0"/>
    <n v="0"/>
    <n v="1"/>
  </r>
  <r>
    <d v="2018-01-05T00:00:00"/>
    <n v="10434"/>
    <s v="WHVIT"/>
    <s v="Vitoria"/>
    <s v="ES"/>
    <n v="4019"/>
    <x v="13"/>
    <s v="Florianopolis"/>
    <s v="SC"/>
    <x v="0"/>
    <s v="SC"/>
    <n v="2726.19"/>
    <n v="5"/>
    <n v="27.527999999999999"/>
    <n v="6500948"/>
    <x v="0"/>
    <s v="Porto Alegre"/>
    <s v="Convencional"/>
    <n v="3"/>
    <d v="2018-01-06T00:00:00"/>
    <x v="6"/>
    <x v="2"/>
    <d v="2018-01-09T00:00:00"/>
    <x v="1"/>
    <x v="1"/>
    <n v="0"/>
    <n v="1"/>
  </r>
  <r>
    <d v="2018-01-05T00:00:00"/>
    <n v="10436"/>
    <s v="WHBH"/>
    <s v="Belo Horizonte"/>
    <s v="MG"/>
    <n v="4019"/>
    <x v="13"/>
    <s v="Florianopolis"/>
    <s v="SC"/>
    <x v="0"/>
    <s v="SC"/>
    <n v="243.93"/>
    <n v="1"/>
    <n v="0.35799999999999998"/>
    <n v="6500948"/>
    <x v="0"/>
    <s v="Porto Alegre"/>
    <s v="Convencional"/>
    <n v="6"/>
    <d v="2018-01-06T00:00:00"/>
    <x v="9"/>
    <x v="1"/>
    <d v="2018-01-12T00:00:00"/>
    <x v="1"/>
    <x v="1"/>
    <n v="0"/>
    <n v="1"/>
  </r>
  <r>
    <d v="2018-01-30T00:00:00"/>
    <n v="10530"/>
    <s v="WHBH"/>
    <s v="Belo Horizonte"/>
    <s v="MG"/>
    <n v="4019"/>
    <x v="13"/>
    <s v="Florianopolis"/>
    <s v="SC"/>
    <x v="0"/>
    <s v="SC"/>
    <n v="6531.24"/>
    <n v="2"/>
    <n v="13.64"/>
    <n v="6500948"/>
    <x v="0"/>
    <s v="Porto Alegre"/>
    <s v="Convencional"/>
    <n v="2"/>
    <d v="2018-01-31T00:00:00"/>
    <x v="2"/>
    <x v="0"/>
    <d v="2018-02-02T00:00:00"/>
    <x v="1"/>
    <x v="0"/>
    <n v="0"/>
    <n v="1"/>
  </r>
  <r>
    <d v="2018-01-30T00:00:00"/>
    <n v="10534"/>
    <s v="WHVIT"/>
    <s v="Vitoria"/>
    <s v="ES"/>
    <n v="4019"/>
    <x v="13"/>
    <s v="Florianopolis"/>
    <s v="SC"/>
    <x v="0"/>
    <s v="SC"/>
    <n v="2126.9"/>
    <n v="6"/>
    <n v="8.25"/>
    <n v="6500948"/>
    <x v="0"/>
    <s v="Porto Alegre"/>
    <s v="Convencional"/>
    <n v="8"/>
    <d v="2018-01-31T00:00:00"/>
    <x v="46"/>
    <x v="0"/>
    <d v="2018-02-08T00:00:00"/>
    <x v="0"/>
    <x v="0"/>
    <n v="1"/>
    <n v="1"/>
  </r>
  <r>
    <d v="2018-01-30T00:00:00"/>
    <n v="10538"/>
    <s v="WHSAO"/>
    <s v="Sao Paulo"/>
    <s v="SP"/>
    <n v="4019"/>
    <x v="13"/>
    <s v="Florianopolis"/>
    <s v="SC"/>
    <x v="0"/>
    <s v="SC"/>
    <n v="122.36"/>
    <n v="1"/>
    <n v="0.99"/>
    <n v="6500948"/>
    <x v="0"/>
    <s v="Porto Alegre"/>
    <s v="Convencional"/>
    <n v="2"/>
    <d v="2018-01-31T00:00:00"/>
    <x v="20"/>
    <x v="0"/>
    <d v="2018-02-02T00:00:00"/>
    <x v="1"/>
    <x v="0"/>
    <n v="0"/>
    <n v="1"/>
  </r>
  <r>
    <d v="2018-01-30T00:00:00"/>
    <n v="10539"/>
    <s v="WHRJ"/>
    <s v="Rio De Janeiro"/>
    <s v="RJ"/>
    <n v="4019"/>
    <x v="13"/>
    <s v="Florianopolis"/>
    <s v="SC"/>
    <x v="0"/>
    <s v="SC"/>
    <n v="162.30000000000001"/>
    <n v="1"/>
    <n v="6.5990000000000002"/>
    <n v="6500948"/>
    <x v="0"/>
    <s v="Porto Alegre"/>
    <s v="Convencional"/>
    <n v="7"/>
    <d v="2018-01-31T00:00:00"/>
    <x v="51"/>
    <x v="0"/>
    <d v="2018-02-07T00:00:00"/>
    <x v="1"/>
    <x v="0"/>
    <n v="0"/>
    <n v="1"/>
  </r>
  <r>
    <d v="2018-01-30T00:00:00"/>
    <n v="10540"/>
    <s v="WHVIT"/>
    <s v="Vitoria"/>
    <s v="ES"/>
    <n v="4019"/>
    <x v="13"/>
    <s v="Florianopolis"/>
    <s v="SC"/>
    <x v="0"/>
    <s v="SC"/>
    <n v="544.6"/>
    <n v="1"/>
    <n v="8.5250000000000004"/>
    <n v="6500948"/>
    <x v="0"/>
    <s v="Porto Alegre"/>
    <s v="Convencional"/>
    <n v="11"/>
    <d v="2018-01-31T00:00:00"/>
    <x v="17"/>
    <x v="0"/>
    <d v="2018-02-11T00:00:00"/>
    <x v="0"/>
    <x v="0"/>
    <n v="1"/>
    <n v="1"/>
  </r>
  <r>
    <d v="2018-02-22T00:00:00"/>
    <n v="10627"/>
    <s v="WHBH"/>
    <s v="Belo Horizonte"/>
    <s v="MG"/>
    <n v="4019"/>
    <x v="13"/>
    <s v="Florianopolis"/>
    <s v="SC"/>
    <x v="0"/>
    <s v="SC"/>
    <n v="1199.52"/>
    <n v="1"/>
    <n v="16.72"/>
    <n v="6500948"/>
    <x v="0"/>
    <s v="Porto Alegre"/>
    <s v="Convencional"/>
    <n v="9"/>
    <d v="2018-02-23T00:00:00"/>
    <x v="5"/>
    <x v="0"/>
    <d v="2018-03-04T00:00:00"/>
    <x v="0"/>
    <x v="0"/>
    <n v="1"/>
    <n v="1"/>
  </r>
  <r>
    <d v="2018-02-22T00:00:00"/>
    <n v="10628"/>
    <s v="WHRJ"/>
    <s v="Rio De Janeiro"/>
    <s v="RJ"/>
    <n v="4019"/>
    <x v="13"/>
    <s v="Florianopolis"/>
    <s v="SC"/>
    <x v="0"/>
    <s v="SC"/>
    <n v="870.65"/>
    <n v="1"/>
    <n v="9.35"/>
    <n v="6500948"/>
    <x v="0"/>
    <s v="Porto Alegre"/>
    <s v="Convencional"/>
    <n v="2"/>
    <d v="2018-02-23T00:00:00"/>
    <x v="52"/>
    <x v="1"/>
    <d v="2018-02-25T00:00:00"/>
    <x v="1"/>
    <x v="1"/>
    <n v="0"/>
    <n v="1"/>
  </r>
  <r>
    <d v="2018-02-05T00:00:00"/>
    <n v="10561"/>
    <s v="WHSAO"/>
    <s v="Sao Paulo"/>
    <s v="SP"/>
    <n v="4052"/>
    <x v="14"/>
    <s v="Goiania"/>
    <s v="GO"/>
    <x v="1"/>
    <s v="GO"/>
    <n v="1224.67"/>
    <n v="1"/>
    <n v="14.3"/>
    <n v="6100231"/>
    <x v="1"/>
    <s v="Goiania"/>
    <s v="Convencional"/>
    <n v="2"/>
    <d v="2018-02-06T00:00:00"/>
    <x v="41"/>
    <x v="0"/>
    <d v="2018-02-08T00:00:00"/>
    <x v="1"/>
    <x v="0"/>
    <n v="0"/>
    <n v="1"/>
  </r>
  <r>
    <d v="2018-01-05T00:00:00"/>
    <n v="10429"/>
    <s v="WHSJC"/>
    <s v="Sao Jose dos Campos"/>
    <s v="SP"/>
    <n v="4020"/>
    <x v="15"/>
    <s v="Londrina"/>
    <s v="PR"/>
    <x v="0"/>
    <s v="PR"/>
    <n v="5549.38"/>
    <n v="1"/>
    <n v="17.893000000000001"/>
    <n v="6500948"/>
    <x v="0"/>
    <s v="Porto Alegre"/>
    <s v="Convencional"/>
    <n v="4"/>
    <d v="2018-01-06T00:00:00"/>
    <x v="37"/>
    <x v="0"/>
    <d v="2018-01-10T00:00:00"/>
    <x v="1"/>
    <x v="0"/>
    <n v="0"/>
    <n v="1"/>
  </r>
  <r>
    <d v="2018-01-05T00:00:00"/>
    <n v="10431"/>
    <s v="WHSJC"/>
    <s v="Sao Jose dos Campos"/>
    <s v="SP"/>
    <n v="4020"/>
    <x v="15"/>
    <s v="Londrina"/>
    <s v="PR"/>
    <x v="0"/>
    <s v="PR"/>
    <n v="679.29"/>
    <n v="1"/>
    <n v="4.18"/>
    <n v="6500948"/>
    <x v="0"/>
    <s v="Porto Alegre"/>
    <s v="Convencional"/>
    <n v="5"/>
    <d v="2018-01-06T00:00:00"/>
    <x v="6"/>
    <x v="0"/>
    <d v="2018-01-11T00:00:00"/>
    <x v="1"/>
    <x v="0"/>
    <n v="0"/>
    <n v="1"/>
  </r>
  <r>
    <d v="2018-01-05T00:00:00"/>
    <n v="10433"/>
    <s v="WHRJ"/>
    <s v="Rio De Janeiro"/>
    <s v="RJ"/>
    <n v="4020"/>
    <x v="15"/>
    <s v="Londrina"/>
    <s v="PR"/>
    <x v="0"/>
    <s v="PR"/>
    <n v="1403.58"/>
    <n v="2"/>
    <n v="5.28"/>
    <n v="6500948"/>
    <x v="0"/>
    <s v="Porto Alegre"/>
    <s v="Convencional"/>
    <n v="3"/>
    <d v="2018-01-06T00:00:00"/>
    <x v="7"/>
    <x v="0"/>
    <d v="2018-01-09T00:00:00"/>
    <x v="1"/>
    <x v="0"/>
    <n v="0"/>
    <n v="1"/>
  </r>
  <r>
    <d v="2018-01-06T00:00:00"/>
    <n v="10435"/>
    <s v="WHSAO"/>
    <s v="Sao Paulo"/>
    <s v="SP"/>
    <n v="4020"/>
    <x v="15"/>
    <s v="Londrina"/>
    <s v="PR"/>
    <x v="0"/>
    <s v="PR"/>
    <n v="11824.83"/>
    <n v="4"/>
    <n v="29.989000000000001"/>
    <n v="6500948"/>
    <x v="0"/>
    <s v="Porto Alegre"/>
    <s v="Convencional"/>
    <n v="5"/>
    <d v="2018-01-06T00:00:00"/>
    <x v="7"/>
    <x v="0"/>
    <d v="2018-01-11T00:00:00"/>
    <x v="0"/>
    <x v="0"/>
    <n v="1"/>
    <n v="1"/>
  </r>
  <r>
    <d v="2018-01-05T00:00:00"/>
    <n v="10437"/>
    <s v="WHSAO"/>
    <s v="Sao Paulo"/>
    <s v="SP"/>
    <n v="4020"/>
    <x v="15"/>
    <s v="Londrina"/>
    <s v="PR"/>
    <x v="0"/>
    <s v="PR"/>
    <n v="576.87"/>
    <n v="2"/>
    <n v="5.7539999999999996"/>
    <n v="6500948"/>
    <x v="0"/>
    <s v="Porto Alegre"/>
    <s v="Convencional"/>
    <n v="8"/>
    <d v="2018-01-06T00:00:00"/>
    <x v="30"/>
    <x v="0"/>
    <d v="2018-01-14T00:00:00"/>
    <x v="0"/>
    <x v="0"/>
    <n v="1"/>
    <n v="1"/>
  </r>
  <r>
    <d v="2018-01-27T00:00:00"/>
    <n v="10512"/>
    <s v="WHBH"/>
    <s v="Belo Horizonte"/>
    <s v="MG"/>
    <n v="4041"/>
    <x v="16"/>
    <s v="Goiania"/>
    <s v="GO"/>
    <x v="1"/>
    <s v="GO"/>
    <n v="566.69000000000005"/>
    <n v="2"/>
    <n v="2.6840000000000002"/>
    <n v="6100231"/>
    <x v="1"/>
    <s v="Goiania"/>
    <s v="Convencional"/>
    <n v="6"/>
    <d v="2018-01-27T00:00:00"/>
    <x v="18"/>
    <x v="0"/>
    <d v="2018-02-02T00:00:00"/>
    <x v="1"/>
    <x v="0"/>
    <n v="0"/>
    <n v="1"/>
  </r>
  <r>
    <d v="2018-01-27T00:00:00"/>
    <n v="10514"/>
    <s v="WHVIT"/>
    <s v="Vitoria"/>
    <s v="ES"/>
    <n v="4041"/>
    <x v="16"/>
    <s v="Goiania"/>
    <s v="GO"/>
    <x v="1"/>
    <s v="GO"/>
    <n v="789.14"/>
    <n v="2"/>
    <n v="1.498"/>
    <n v="6100231"/>
    <x v="1"/>
    <s v="Goiania"/>
    <s v="Convencional"/>
    <n v="8"/>
    <d v="2018-01-27T00:00:00"/>
    <x v="15"/>
    <x v="0"/>
    <d v="2018-02-04T00:00:00"/>
    <x v="0"/>
    <x v="0"/>
    <n v="1"/>
    <n v="1"/>
  </r>
  <r>
    <d v="2018-01-27T00:00:00"/>
    <n v="10517"/>
    <s v="WHCPQ"/>
    <s v="Campinas"/>
    <s v="SP"/>
    <n v="4041"/>
    <x v="16"/>
    <s v="Goiania"/>
    <s v="GO"/>
    <x v="1"/>
    <s v="GO"/>
    <n v="742.35"/>
    <n v="1"/>
    <n v="4.84"/>
    <n v="6100231"/>
    <x v="1"/>
    <s v="Goiania"/>
    <s v="Convencional"/>
    <n v="7"/>
    <d v="2018-01-27T00:00:00"/>
    <x v="16"/>
    <x v="0"/>
    <d v="2018-02-03T00:00:00"/>
    <x v="0"/>
    <x v="0"/>
    <n v="1"/>
    <n v="1"/>
  </r>
  <r>
    <d v="2018-01-27T00:00:00"/>
    <n v="10518"/>
    <s v="WHCPQ"/>
    <s v="Campinas"/>
    <s v="SP"/>
    <n v="4041"/>
    <x v="16"/>
    <s v="Goiania"/>
    <s v="GO"/>
    <x v="1"/>
    <s v="GO"/>
    <n v="2612.0100000000002"/>
    <n v="8"/>
    <n v="13.42"/>
    <n v="6100231"/>
    <x v="1"/>
    <s v="Goiania"/>
    <s v="Convencional"/>
    <n v="10"/>
    <d v="2018-01-27T00:00:00"/>
    <x v="46"/>
    <x v="0"/>
    <d v="2018-02-06T00:00:00"/>
    <x v="0"/>
    <x v="0"/>
    <n v="1"/>
    <n v="1"/>
  </r>
  <r>
    <d v="2018-01-26T00:00:00"/>
    <n v="10521"/>
    <s v="WHPOA"/>
    <s v="Porto Alegre"/>
    <s v="RS"/>
    <n v="4041"/>
    <x v="16"/>
    <s v="Goiania"/>
    <s v="GO"/>
    <x v="1"/>
    <s v="GO"/>
    <n v="899.98"/>
    <n v="4"/>
    <n v="8.8000000000000007"/>
    <n v="6100231"/>
    <x v="1"/>
    <s v="Goiania"/>
    <s v="Convencional"/>
    <n v="2"/>
    <d v="2018-01-27T00:00:00"/>
    <x v="47"/>
    <x v="0"/>
    <d v="2018-01-29T00:00:00"/>
    <x v="1"/>
    <x v="0"/>
    <n v="0"/>
    <n v="1"/>
  </r>
  <r>
    <d v="2018-02-19T00:00:00"/>
    <n v="10609"/>
    <s v="WHSJC"/>
    <s v="Sao Jose dos Campos"/>
    <s v="SP"/>
    <n v="4059"/>
    <x v="17"/>
    <s v="Campo Grande"/>
    <s v="MS"/>
    <x v="1"/>
    <s v="MS"/>
    <n v="10213.06"/>
    <n v="6"/>
    <n v="35.47"/>
    <n v="6100231"/>
    <x v="1"/>
    <s v="Goiania"/>
    <s v="Convencional"/>
    <n v="3"/>
    <d v="2018-02-20T00:00:00"/>
    <x v="53"/>
    <x v="0"/>
    <d v="2018-02-23T00:00:00"/>
    <x v="1"/>
    <x v="0"/>
    <n v="0"/>
    <n v="1"/>
  </r>
  <r>
    <d v="2018-02-19T00:00:00"/>
    <n v="10610"/>
    <s v="WHBH"/>
    <s v="Belo Horizonte"/>
    <s v="MG"/>
    <n v="4059"/>
    <x v="17"/>
    <s v="Campo Grande"/>
    <s v="MS"/>
    <x v="1"/>
    <s v="MS"/>
    <n v="634.03"/>
    <n v="1"/>
    <n v="3.1E-2"/>
    <n v="6100231"/>
    <x v="1"/>
    <s v="Goiania"/>
    <s v="Convencional"/>
    <n v="6"/>
    <d v="2018-02-20T00:00:00"/>
    <x v="54"/>
    <x v="2"/>
    <d v="2018-02-26T00:00:00"/>
    <x v="0"/>
    <x v="1"/>
    <n v="0"/>
    <n v="1"/>
  </r>
  <r>
    <d v="2018-01-08T00:00:00"/>
    <n v="10439"/>
    <s v="WHBH"/>
    <s v="Belo Horizonte"/>
    <s v="MG"/>
    <n v="4021"/>
    <x v="18"/>
    <s v="Itajai"/>
    <s v="SC"/>
    <x v="0"/>
    <s v="SC"/>
    <n v="99.27"/>
    <n v="1"/>
    <n v="1.331"/>
    <n v="6500948"/>
    <x v="0"/>
    <s v="Porto Alegre"/>
    <s v="Convencional"/>
    <n v="12"/>
    <d v="2018-01-09T00:00:00"/>
    <x v="6"/>
    <x v="0"/>
    <d v="2018-01-21T00:00:00"/>
    <x v="0"/>
    <x v="0"/>
    <n v="1"/>
    <n v="1"/>
  </r>
  <r>
    <d v="2018-02-09T00:00:00"/>
    <n v="10584"/>
    <s v="WHSAO"/>
    <s v="Sao Paulo"/>
    <s v="SP"/>
    <n v="4021"/>
    <x v="18"/>
    <s v="Itajai"/>
    <s v="SC"/>
    <x v="0"/>
    <s v="SC"/>
    <n v="202.48"/>
    <n v="2"/>
    <n v="0.55200000000000005"/>
    <n v="6500948"/>
    <x v="0"/>
    <s v="Porto Alegre"/>
    <s v="Convencional"/>
    <n v="6"/>
    <d v="2018-02-10T00:00:00"/>
    <x v="55"/>
    <x v="0"/>
    <d v="2018-02-16T00:00:00"/>
    <x v="0"/>
    <x v="0"/>
    <n v="1"/>
    <n v="1"/>
  </r>
  <r>
    <d v="2018-02-09T00:00:00"/>
    <n v="10585"/>
    <s v="WHRJ"/>
    <s v="Rio De Janeiro"/>
    <s v="RJ"/>
    <n v="4021"/>
    <x v="18"/>
    <s v="Itajai"/>
    <s v="SC"/>
    <x v="0"/>
    <s v="SC"/>
    <n v="1.46"/>
    <n v="1"/>
    <n v="1.1200000000000001"/>
    <n v="6500948"/>
    <x v="0"/>
    <s v="Porto Alegre"/>
    <s v="Convencional"/>
    <n v="2"/>
    <d v="2018-02-10T00:00:00"/>
    <x v="19"/>
    <x v="0"/>
    <d v="2018-02-12T00:00:00"/>
    <x v="1"/>
    <x v="0"/>
    <n v="0"/>
    <n v="1"/>
  </r>
  <r>
    <d v="2018-02-16T00:00:00"/>
    <n v="10606"/>
    <s v="WHSAO"/>
    <s v="Sao Paulo"/>
    <s v="SP"/>
    <n v="4021"/>
    <x v="18"/>
    <s v="Itajai"/>
    <s v="SC"/>
    <x v="0"/>
    <s v="SC"/>
    <n v="1697"/>
    <n v="1"/>
    <n v="8.984"/>
    <n v="6500948"/>
    <x v="0"/>
    <s v="Porto Alegre"/>
    <s v="Convencional"/>
    <n v="4"/>
    <d v="2018-02-17T00:00:00"/>
    <x v="23"/>
    <x v="2"/>
    <d v="2018-02-21T00:00:00"/>
    <x v="1"/>
    <x v="1"/>
    <n v="0"/>
    <n v="1"/>
  </r>
  <r>
    <d v="2018-02-21T00:00:00"/>
    <n v="10620"/>
    <s v="WHCPQ"/>
    <s v="Campinas"/>
    <s v="SP"/>
    <n v="4021"/>
    <x v="18"/>
    <s v="Itajai"/>
    <s v="SC"/>
    <x v="0"/>
    <s v="SC"/>
    <n v="13026.06"/>
    <n v="12"/>
    <n v="97.89"/>
    <n v="6500948"/>
    <x v="0"/>
    <s v="Porto Alegre"/>
    <s v="Convencional"/>
    <n v="4"/>
    <d v="2018-02-22T00:00:00"/>
    <x v="27"/>
    <x v="0"/>
    <d v="2018-02-26T00:00:00"/>
    <x v="1"/>
    <x v="0"/>
    <n v="0"/>
    <n v="1"/>
  </r>
  <r>
    <d v="2018-02-21T00:00:00"/>
    <n v="10626"/>
    <s v="WHSAO"/>
    <s v="Sao Paulo"/>
    <s v="SP"/>
    <n v="4021"/>
    <x v="18"/>
    <s v="Itajai"/>
    <s v="SC"/>
    <x v="0"/>
    <s v="SC"/>
    <n v="344.33"/>
    <n v="2"/>
    <n v="1.671"/>
    <n v="6500948"/>
    <x v="0"/>
    <s v="Porto Alegre"/>
    <s v="Convencional"/>
    <n v="8"/>
    <d v="2018-02-22T00:00:00"/>
    <x v="26"/>
    <x v="0"/>
    <d v="2018-03-02T00:00:00"/>
    <x v="1"/>
    <x v="0"/>
    <n v="0"/>
    <n v="1"/>
  </r>
  <r>
    <d v="2018-03-09T00:00:00"/>
    <n v="10670"/>
    <s v="WHCPQ"/>
    <s v="Campinas"/>
    <s v="SP"/>
    <n v="4021"/>
    <x v="18"/>
    <s v="Itajai"/>
    <s v="SC"/>
    <x v="0"/>
    <s v="SC"/>
    <n v="1985.19"/>
    <n v="4"/>
    <n v="15.773999999999999"/>
    <n v="6500948"/>
    <x v="0"/>
    <s v="Porto Alegre"/>
    <s v="Convencional"/>
    <n v="6"/>
    <d v="2018-03-09T00:00:00"/>
    <x v="56"/>
    <x v="0"/>
    <d v="2018-03-15T00:00:00"/>
    <x v="1"/>
    <x v="0"/>
    <n v="0"/>
    <n v="1"/>
  </r>
  <r>
    <d v="2018-03-09T00:00:00"/>
    <n v="10671"/>
    <s v="WHBH"/>
    <s v="Belo Horizonte"/>
    <s v="MG"/>
    <n v="4021"/>
    <x v="18"/>
    <s v="Itajai"/>
    <s v="SC"/>
    <x v="0"/>
    <s v="SC"/>
    <n v="437.05"/>
    <n v="1"/>
    <n v="4.6760000000000002"/>
    <n v="6500948"/>
    <x v="0"/>
    <s v="Porto Alegre"/>
    <s v="Convencional"/>
    <n v="7"/>
    <d v="2018-03-09T00:00:00"/>
    <x v="57"/>
    <x v="0"/>
    <d v="2018-03-16T00:00:00"/>
    <x v="0"/>
    <x v="0"/>
    <n v="1"/>
    <n v="1"/>
  </r>
  <r>
    <d v="2018-01-08T00:00:00"/>
    <n v="10440"/>
    <s v="WHSJC"/>
    <s v="Sao Jose dos Campos"/>
    <s v="SP"/>
    <n v="4022"/>
    <x v="19"/>
    <s v="Maringa"/>
    <s v="PR"/>
    <x v="0"/>
    <s v="PR"/>
    <n v="1326.15"/>
    <n v="1"/>
    <n v="2.5979999999999999"/>
    <n v="6500948"/>
    <x v="0"/>
    <s v="Porto Alegre"/>
    <s v="Convencional"/>
    <n v="11"/>
    <d v="2018-01-09T00:00:00"/>
    <x v="10"/>
    <x v="0"/>
    <d v="2018-01-20T00:00:00"/>
    <x v="0"/>
    <x v="0"/>
    <n v="1"/>
    <n v="1"/>
  </r>
  <r>
    <d v="2018-01-11T00:00:00"/>
    <n v="10461"/>
    <s v="WHVIT"/>
    <s v="Vitoria"/>
    <s v="ES"/>
    <n v="4022"/>
    <x v="19"/>
    <s v="Maringa"/>
    <s v="PR"/>
    <x v="0"/>
    <s v="PR"/>
    <n v="489.05"/>
    <n v="1"/>
    <n v="1.2889999999999999"/>
    <n v="6500948"/>
    <x v="0"/>
    <s v="Porto Alegre"/>
    <s v="Convencional"/>
    <n v="11"/>
    <d v="2018-01-12T00:00:00"/>
    <x v="31"/>
    <x v="0"/>
    <d v="2018-01-23T00:00:00"/>
    <x v="0"/>
    <x v="0"/>
    <n v="1"/>
    <n v="1"/>
  </r>
  <r>
    <d v="2018-01-11T00:00:00"/>
    <n v="10462"/>
    <s v="WHPOA"/>
    <s v="Porto Alegre"/>
    <s v="RS"/>
    <n v="4022"/>
    <x v="19"/>
    <s v="Maringa"/>
    <s v="PR"/>
    <x v="0"/>
    <s v="PR"/>
    <n v="543.94000000000005"/>
    <n v="1"/>
    <n v="0.82799999999999996"/>
    <n v="6500948"/>
    <x v="0"/>
    <s v="Porto Alegre"/>
    <s v="Convencional"/>
    <n v="1"/>
    <d v="2018-01-12T00:00:00"/>
    <x v="32"/>
    <x v="0"/>
    <d v="2018-01-13T00:00:00"/>
    <x v="1"/>
    <x v="0"/>
    <n v="0"/>
    <n v="1"/>
  </r>
  <r>
    <d v="2018-01-29T00:00:00"/>
    <n v="10525"/>
    <s v="WHRJ"/>
    <s v="Rio De Janeiro"/>
    <s v="RJ"/>
    <n v="4022"/>
    <x v="19"/>
    <s v="Maringa"/>
    <s v="PR"/>
    <x v="0"/>
    <s v="PR"/>
    <n v="116.12"/>
    <n v="2"/>
    <n v="1.857"/>
    <n v="6500948"/>
    <x v="0"/>
    <s v="Porto Alegre"/>
    <s v="Convencional"/>
    <n v="7"/>
    <d v="2018-01-30T00:00:00"/>
    <x v="17"/>
    <x v="0"/>
    <d v="2018-02-06T00:00:00"/>
    <x v="1"/>
    <x v="0"/>
    <n v="0"/>
    <n v="1"/>
  </r>
  <r>
    <d v="2018-02-17T00:00:00"/>
    <n v="10605"/>
    <s v="WHVIT"/>
    <s v="Vitoria"/>
    <s v="ES"/>
    <n v="4022"/>
    <x v="19"/>
    <s v="Maringa"/>
    <s v="PR"/>
    <x v="0"/>
    <s v="PR"/>
    <n v="3450.03"/>
    <n v="1"/>
    <n v="5.4409999999999998"/>
    <n v="6500948"/>
    <x v="0"/>
    <s v="Porto Alegre"/>
    <s v="Convencional"/>
    <n v="4"/>
    <d v="2018-02-17T00:00:00"/>
    <x v="23"/>
    <x v="0"/>
    <d v="2018-02-21T00:00:00"/>
    <x v="1"/>
    <x v="0"/>
    <n v="0"/>
    <n v="1"/>
  </r>
  <r>
    <d v="2018-02-16T00:00:00"/>
    <n v="10607"/>
    <s v="WHVIT"/>
    <s v="Vitoria"/>
    <s v="ES"/>
    <n v="4022"/>
    <x v="19"/>
    <s v="Maringa"/>
    <s v="PR"/>
    <x v="0"/>
    <s v="PR"/>
    <n v="486.65"/>
    <n v="1"/>
    <n v="1.5549999999999999"/>
    <n v="6500948"/>
    <x v="0"/>
    <s v="Porto Alegre"/>
    <s v="Convencional"/>
    <n v="7"/>
    <d v="2018-02-17T00:00:00"/>
    <x v="21"/>
    <x v="0"/>
    <d v="2018-02-24T00:00:00"/>
    <x v="0"/>
    <x v="0"/>
    <n v="1"/>
    <n v="1"/>
  </r>
  <r>
    <d v="2018-03-07T00:00:00"/>
    <n v="10657"/>
    <s v="WHSJC"/>
    <s v="Sao Jose dos Campos"/>
    <s v="SP"/>
    <n v="4022"/>
    <x v="19"/>
    <s v="Maringa"/>
    <s v="PR"/>
    <x v="0"/>
    <s v="PR"/>
    <n v="1227.76"/>
    <n v="2"/>
    <n v="9.3520000000000003"/>
    <n v="6500948"/>
    <x v="0"/>
    <s v="Porto Alegre"/>
    <s v="Convencional"/>
    <n v="5"/>
    <d v="2018-03-07T00:00:00"/>
    <x v="29"/>
    <x v="0"/>
    <d v="2018-03-12T00:00:00"/>
    <x v="1"/>
    <x v="0"/>
    <n v="0"/>
    <n v="1"/>
  </r>
  <r>
    <d v="2018-01-09T00:00:00"/>
    <n v="10441"/>
    <s v="WHBH"/>
    <s v="Belo Horizonte"/>
    <s v="MG"/>
    <n v="4023"/>
    <x v="20"/>
    <s v="Sao Jose"/>
    <s v="SC"/>
    <x v="0"/>
    <s v="SC"/>
    <n v="4997.8"/>
    <n v="1"/>
    <n v="10.887"/>
    <n v="6500948"/>
    <x v="0"/>
    <s v="Porto Alegre"/>
    <s v="Convencional"/>
    <n v="3"/>
    <d v="2018-01-10T00:00:00"/>
    <x v="6"/>
    <x v="0"/>
    <d v="2018-01-13T00:00:00"/>
    <x v="0"/>
    <x v="0"/>
    <n v="1"/>
    <n v="1"/>
  </r>
  <r>
    <d v="2018-01-11T00:00:00"/>
    <n v="10456"/>
    <s v="WHSAO"/>
    <s v="Sao Paulo"/>
    <s v="SP"/>
    <n v="4023"/>
    <x v="20"/>
    <s v="Sao Jose"/>
    <s v="SC"/>
    <x v="0"/>
    <s v="SC"/>
    <n v="3414.56"/>
    <n v="5"/>
    <n v="20.9"/>
    <n v="6500948"/>
    <x v="0"/>
    <s v="Porto Alegre"/>
    <s v="Convencional"/>
    <n v="12"/>
    <d v="2018-01-12T00:00:00"/>
    <x v="9"/>
    <x v="0"/>
    <d v="2018-01-24T00:00:00"/>
    <x v="0"/>
    <x v="0"/>
    <n v="1"/>
    <n v="1"/>
  </r>
  <r>
    <d v="2018-02-02T00:00:00"/>
    <n v="10549"/>
    <s v="WHCPQ"/>
    <s v="Campinas"/>
    <s v="SP"/>
    <n v="4023"/>
    <x v="20"/>
    <s v="Sao Jose"/>
    <s v="SC"/>
    <x v="0"/>
    <s v="SC"/>
    <n v="524.13"/>
    <n v="1"/>
    <n v="1.65"/>
    <n v="6500948"/>
    <x v="0"/>
    <s v="Porto Alegre"/>
    <s v="Convencional"/>
    <n v="10"/>
    <d v="2018-02-03T00:00:00"/>
    <x v="40"/>
    <x v="0"/>
    <d v="2018-02-13T00:00:00"/>
    <x v="0"/>
    <x v="0"/>
    <n v="1"/>
    <n v="1"/>
  </r>
  <r>
    <d v="2018-02-28T00:00:00"/>
    <n v="10645"/>
    <s v="WHCPQ"/>
    <s v="Campinas"/>
    <s v="SP"/>
    <n v="4023"/>
    <x v="20"/>
    <s v="Sao Jose"/>
    <s v="SC"/>
    <x v="0"/>
    <s v="SC"/>
    <n v="2354.13"/>
    <n v="9"/>
    <n v="120.78"/>
    <n v="6500948"/>
    <x v="0"/>
    <s v="Porto Alegre"/>
    <s v="Convencional"/>
    <n v="1"/>
    <d v="2018-03-01T00:00:00"/>
    <x v="58"/>
    <x v="0"/>
    <d v="2018-03-02T00:00:00"/>
    <x v="1"/>
    <x v="0"/>
    <n v="0"/>
    <n v="1"/>
  </r>
  <r>
    <d v="2018-01-10T00:00:00"/>
    <n v="10442"/>
    <s v="WHSJC"/>
    <s v="Sao Jose dos Campos"/>
    <s v="SP"/>
    <n v="4024"/>
    <x v="21"/>
    <s v="Porto Alegre"/>
    <s v="RS"/>
    <x v="0"/>
    <s v="RS"/>
    <n v="3301.95"/>
    <n v="1"/>
    <n v="8.3610000000000007"/>
    <n v="6500948"/>
    <x v="0"/>
    <s v="Porto Alegre"/>
    <s v="Convencional"/>
    <n v="12"/>
    <d v="2018-01-11T00:00:00"/>
    <x v="12"/>
    <x v="0"/>
    <d v="2018-01-23T00:00:00"/>
    <x v="0"/>
    <x v="0"/>
    <n v="1"/>
    <n v="1"/>
  </r>
  <r>
    <d v="2018-01-17T00:00:00"/>
    <n v="10479"/>
    <s v="WHCPQ"/>
    <s v="Campinas"/>
    <s v="SP"/>
    <n v="4024"/>
    <x v="21"/>
    <s v="Porto Alegre"/>
    <s v="RS"/>
    <x v="0"/>
    <s v="RS"/>
    <n v="2884.03"/>
    <n v="8"/>
    <n v="105.884"/>
    <n v="6500948"/>
    <x v="0"/>
    <s v="Porto Alegre"/>
    <s v="Convencional"/>
    <n v="9"/>
    <d v="2018-01-18T00:00:00"/>
    <x v="59"/>
    <x v="0"/>
    <d v="2018-01-27T00:00:00"/>
    <x v="1"/>
    <x v="0"/>
    <n v="0"/>
    <n v="1"/>
  </r>
  <r>
    <d v="2018-02-09T00:00:00"/>
    <n v="10582"/>
    <s v="WHCPQ"/>
    <s v="Campinas"/>
    <s v="SP"/>
    <n v="4024"/>
    <x v="21"/>
    <s v="Porto Alegre"/>
    <s v="RS"/>
    <x v="0"/>
    <s v="RS"/>
    <n v="575.38"/>
    <n v="2"/>
    <n v="26.84"/>
    <n v="6500948"/>
    <x v="0"/>
    <s v="Porto Alegre"/>
    <s v="Convencional"/>
    <n v="6"/>
    <d v="2018-02-10T00:00:00"/>
    <x v="25"/>
    <x v="0"/>
    <d v="2018-02-16T00:00:00"/>
    <x v="1"/>
    <x v="0"/>
    <n v="0"/>
    <n v="1"/>
  </r>
  <r>
    <d v="2018-01-10T00:00:00"/>
    <n v="10444"/>
    <s v="WHCPQ"/>
    <s v="Campinas"/>
    <s v="SP"/>
    <n v="4025"/>
    <x v="22"/>
    <s v="Novo Hamburgo"/>
    <s v="RS"/>
    <x v="0"/>
    <s v="RS"/>
    <n v="576.12"/>
    <n v="2"/>
    <n v="5.83"/>
    <n v="6500948"/>
    <x v="0"/>
    <s v="Porto Alegre"/>
    <s v="Convencional"/>
    <n v="5"/>
    <d v="2018-01-11T00:00:00"/>
    <x v="31"/>
    <x v="0"/>
    <d v="2018-01-16T00:00:00"/>
    <x v="0"/>
    <x v="0"/>
    <n v="1"/>
    <n v="1"/>
  </r>
  <r>
    <d v="2018-01-10T00:00:00"/>
    <n v="10451"/>
    <s v="WHVIT"/>
    <s v="Vitoria"/>
    <s v="ES"/>
    <n v="4025"/>
    <x v="22"/>
    <s v="Novo Hamburgo"/>
    <s v="RS"/>
    <x v="0"/>
    <s v="RS"/>
    <n v="238.71"/>
    <n v="1"/>
    <n v="1.54"/>
    <n v="6500948"/>
    <x v="0"/>
    <s v="Porto Alegre"/>
    <s v="Convencional"/>
    <n v="10"/>
    <d v="2018-01-11T00:00:00"/>
    <x v="12"/>
    <x v="0"/>
    <d v="2018-01-21T00:00:00"/>
    <x v="0"/>
    <x v="0"/>
    <n v="1"/>
    <n v="1"/>
  </r>
  <r>
    <d v="2018-03-09T00:00:00"/>
    <n v="10674"/>
    <s v="WHPOA"/>
    <s v="Porto Alegre"/>
    <s v="RS"/>
    <n v="4025"/>
    <x v="22"/>
    <s v="Novo Hamburgo"/>
    <s v="RS"/>
    <x v="0"/>
    <s v="RS"/>
    <n v="1096.3"/>
    <n v="2"/>
    <n v="11.010999999999999"/>
    <n v="6500948"/>
    <x v="0"/>
    <s v="Porto Alegre"/>
    <s v="Convencional"/>
    <n v="5"/>
    <d v="2018-03-09T00:00:00"/>
    <x v="60"/>
    <x v="1"/>
    <d v="2018-03-14T00:00:00"/>
    <x v="0"/>
    <x v="1"/>
    <n v="0"/>
    <n v="1"/>
  </r>
  <r>
    <d v="2018-01-10T00:00:00"/>
    <n v="10445"/>
    <s v="WHSAO"/>
    <s v="Sao Paulo"/>
    <s v="SP"/>
    <n v="4026"/>
    <x v="23"/>
    <s v="Belo Horizonte"/>
    <s v="MG"/>
    <x v="2"/>
    <s v="MG"/>
    <n v="1119.6400000000001"/>
    <n v="1"/>
    <n v="1.1000000000000001"/>
    <n v="6600879"/>
    <x v="2"/>
    <s v="Belo Horizonte"/>
    <s v="Convencional"/>
    <n v="8"/>
    <d v="2018-01-11T00:00:00"/>
    <x v="6"/>
    <x v="0"/>
    <d v="2018-01-19T00:00:00"/>
    <x v="0"/>
    <x v="0"/>
    <n v="1"/>
    <n v="1"/>
  </r>
  <r>
    <d v="2018-01-10T00:00:00"/>
    <n v="10449"/>
    <s v="WHSJC"/>
    <s v="Sao Jose dos Campos"/>
    <s v="SP"/>
    <n v="4026"/>
    <x v="23"/>
    <s v="Belo Horizonte"/>
    <s v="MG"/>
    <x v="2"/>
    <s v="MG"/>
    <n v="5677.5"/>
    <n v="5"/>
    <n v="24.875"/>
    <n v="6600879"/>
    <x v="2"/>
    <s v="Belo Horizonte"/>
    <s v="Convencional"/>
    <n v="5"/>
    <d v="2018-01-11T00:00:00"/>
    <x v="33"/>
    <x v="0"/>
    <d v="2018-01-16T00:00:00"/>
    <x v="1"/>
    <x v="0"/>
    <n v="0"/>
    <n v="1"/>
  </r>
  <r>
    <d v="2018-01-24T00:00:00"/>
    <n v="10501"/>
    <s v="WHSJC"/>
    <s v="Sao Jose dos Campos"/>
    <s v="SP"/>
    <n v="4026"/>
    <x v="23"/>
    <s v="Belo Horizonte"/>
    <s v="MG"/>
    <x v="2"/>
    <s v="MG"/>
    <n v="436.34"/>
    <n v="1"/>
    <n v="0.68200000000000005"/>
    <n v="6600879"/>
    <x v="2"/>
    <s v="Belo Horizonte"/>
    <s v="Convencional"/>
    <n v="9"/>
    <d v="2018-01-25T00:00:00"/>
    <x v="59"/>
    <x v="0"/>
    <d v="2018-02-03T00:00:00"/>
    <x v="0"/>
    <x v="0"/>
    <n v="1"/>
    <n v="1"/>
  </r>
  <r>
    <d v="2018-01-24T00:00:00"/>
    <n v="10503"/>
    <s v="WHRJ"/>
    <s v="Rio De Janeiro"/>
    <s v="RJ"/>
    <n v="4026"/>
    <x v="23"/>
    <s v="Belo Horizonte"/>
    <s v="MG"/>
    <x v="2"/>
    <s v="MG"/>
    <n v="472.54"/>
    <n v="2"/>
    <n v="17.617999999999999"/>
    <n v="6600879"/>
    <x v="2"/>
    <s v="Belo Horizonte"/>
    <s v="Convencional"/>
    <n v="6"/>
    <d v="2018-01-25T00:00:00"/>
    <x v="43"/>
    <x v="0"/>
    <d v="2018-01-31T00:00:00"/>
    <x v="0"/>
    <x v="0"/>
    <n v="1"/>
    <n v="1"/>
  </r>
  <r>
    <d v="2018-02-22T00:00:00"/>
    <n v="10615"/>
    <s v="WHRJ"/>
    <s v="Rio De Janeiro"/>
    <s v="RJ"/>
    <n v="4026"/>
    <x v="23"/>
    <s v="Belo Horizonte"/>
    <s v="MG"/>
    <x v="2"/>
    <s v="MG"/>
    <n v="85.59"/>
    <n v="1"/>
    <n v="6.0999999999999999E-2"/>
    <n v="6600879"/>
    <x v="2"/>
    <s v="Belo Horizonte"/>
    <s v="Convencional"/>
    <n v="9"/>
    <d v="2018-02-22T00:00:00"/>
    <x v="52"/>
    <x v="1"/>
    <d v="2018-03-03T00:00:00"/>
    <x v="0"/>
    <x v="1"/>
    <n v="0"/>
    <n v="1"/>
  </r>
  <r>
    <d v="2018-02-21T00:00:00"/>
    <n v="10622"/>
    <s v="WHSAO"/>
    <s v="Sao Paulo"/>
    <s v="SP"/>
    <n v="4026"/>
    <x v="23"/>
    <s v="Belo Horizonte"/>
    <s v="MG"/>
    <x v="2"/>
    <s v="MG"/>
    <n v="801.03"/>
    <n v="3"/>
    <n v="14.95"/>
    <n v="6600879"/>
    <x v="2"/>
    <s v="Belo Horizonte"/>
    <s v="Convencional"/>
    <n v="12"/>
    <d v="2018-02-22T00:00:00"/>
    <x v="58"/>
    <x v="0"/>
    <d v="2018-03-06T00:00:00"/>
    <x v="0"/>
    <x v="0"/>
    <n v="1"/>
    <n v="1"/>
  </r>
  <r>
    <d v="2018-03-09T00:00:00"/>
    <n v="10672"/>
    <s v="WHSAO"/>
    <s v="Sao Paulo"/>
    <s v="SP"/>
    <n v="4026"/>
    <x v="23"/>
    <s v="Belo Horizonte"/>
    <s v="MG"/>
    <x v="2"/>
    <s v="MG"/>
    <n v="2585.0100000000002"/>
    <n v="4"/>
    <n v="19.899999999999999"/>
    <n v="6600879"/>
    <x v="2"/>
    <s v="Belo Horizonte"/>
    <s v="Convencional"/>
    <n v="3"/>
    <d v="2018-03-09T00:00:00"/>
    <x v="57"/>
    <x v="1"/>
    <d v="2018-03-12T00:00:00"/>
    <x v="1"/>
    <x v="1"/>
    <n v="0"/>
    <n v="1"/>
  </r>
  <r>
    <d v="2018-01-10T00:00:00"/>
    <n v="10446"/>
    <s v="WHRJ"/>
    <s v="Rio De Janeiro"/>
    <s v="RJ"/>
    <n v="4027"/>
    <x v="24"/>
    <s v="Novo Hamburgo"/>
    <s v="RS"/>
    <x v="0"/>
    <s v="RS"/>
    <n v="1243.73"/>
    <n v="1"/>
    <n v="16.5"/>
    <n v="6500948"/>
    <x v="0"/>
    <s v="Porto Alegre"/>
    <s v="Convencional"/>
    <n v="8"/>
    <d v="2018-01-11T00:00:00"/>
    <x v="37"/>
    <x v="1"/>
    <d v="2018-01-19T00:00:00"/>
    <x v="0"/>
    <x v="1"/>
    <n v="0"/>
    <n v="1"/>
  </r>
  <r>
    <d v="2018-01-10T00:00:00"/>
    <n v="10448"/>
    <s v="WHCPQ"/>
    <s v="Campinas"/>
    <s v="SP"/>
    <n v="4027"/>
    <x v="24"/>
    <s v="Novo Hamburgo"/>
    <s v="RS"/>
    <x v="0"/>
    <s v="RS"/>
    <n v="971.06"/>
    <n v="1"/>
    <n v="1.54"/>
    <n v="6500948"/>
    <x v="0"/>
    <s v="Porto Alegre"/>
    <s v="Convencional"/>
    <n v="5"/>
    <d v="2018-01-11T00:00:00"/>
    <x v="9"/>
    <x v="0"/>
    <d v="2018-01-16T00:00:00"/>
    <x v="0"/>
    <x v="0"/>
    <n v="1"/>
    <n v="1"/>
  </r>
  <r>
    <d v="2018-01-24T00:00:00"/>
    <n v="10500"/>
    <s v="WHPOA"/>
    <s v="Porto Alegre"/>
    <s v="RS"/>
    <n v="4027"/>
    <x v="24"/>
    <s v="Novo Hamburgo"/>
    <s v="RS"/>
    <x v="0"/>
    <s v="RS"/>
    <n v="1897.82"/>
    <n v="7"/>
    <n v="5.5860000000000003"/>
    <n v="6500948"/>
    <x v="0"/>
    <s v="Porto Alegre"/>
    <s v="Convencional"/>
    <n v="6"/>
    <d v="2018-01-25T00:00:00"/>
    <x v="14"/>
    <x v="0"/>
    <d v="2018-01-31T00:00:00"/>
    <x v="0"/>
    <x v="0"/>
    <n v="1"/>
    <n v="1"/>
  </r>
  <r>
    <d v="2018-01-25T00:00:00"/>
    <n v="10506"/>
    <s v="WHPOA"/>
    <s v="Porto Alegre"/>
    <s v="RS"/>
    <n v="4027"/>
    <x v="24"/>
    <s v="Novo Hamburgo"/>
    <s v="RS"/>
    <x v="0"/>
    <s v="RS"/>
    <n v="829.29"/>
    <n v="3"/>
    <n v="2.0459999999999998"/>
    <n v="6500948"/>
    <x v="0"/>
    <s v="Porto Alegre"/>
    <s v="Convencional"/>
    <n v="3"/>
    <d v="2018-01-25T00:00:00"/>
    <x v="14"/>
    <x v="0"/>
    <d v="2018-01-28T00:00:00"/>
    <x v="1"/>
    <x v="0"/>
    <n v="0"/>
    <n v="1"/>
  </r>
  <r>
    <d v="2018-02-09T00:00:00"/>
    <n v="10574"/>
    <s v="WHVIT"/>
    <s v="Vitoria"/>
    <s v="ES"/>
    <n v="4027"/>
    <x v="24"/>
    <s v="Novo Hamburgo"/>
    <s v="RS"/>
    <x v="0"/>
    <s v="RS"/>
    <n v="643.09"/>
    <n v="1"/>
    <n v="0.77600000000000002"/>
    <n v="6500948"/>
    <x v="0"/>
    <s v="Porto Alegre"/>
    <s v="Convencional"/>
    <n v="10"/>
    <d v="2018-02-09T00:00:00"/>
    <x v="42"/>
    <x v="0"/>
    <d v="2018-02-19T00:00:00"/>
    <x v="0"/>
    <x v="0"/>
    <n v="1"/>
    <n v="1"/>
  </r>
  <r>
    <d v="2018-02-08T00:00:00"/>
    <n v="10578"/>
    <s v="WHSAO"/>
    <s v="Sao Paulo"/>
    <s v="SP"/>
    <n v="4027"/>
    <x v="24"/>
    <s v="Novo Hamburgo"/>
    <s v="RS"/>
    <x v="0"/>
    <s v="RS"/>
    <n v="919.95"/>
    <n v="1"/>
    <n v="6.7759999999999998"/>
    <n v="6500948"/>
    <x v="0"/>
    <s v="Porto Alegre"/>
    <s v="Convencional"/>
    <n v="4"/>
    <d v="2018-02-09T00:00:00"/>
    <x v="40"/>
    <x v="0"/>
    <d v="2018-02-13T00:00:00"/>
    <x v="0"/>
    <x v="0"/>
    <n v="1"/>
    <n v="1"/>
  </r>
  <r>
    <d v="2018-02-22T00:00:00"/>
    <n v="10616"/>
    <s v="WHCPQ"/>
    <s v="Campinas"/>
    <s v="SP"/>
    <n v="4027"/>
    <x v="24"/>
    <s v="Novo Hamburgo"/>
    <s v="RS"/>
    <x v="0"/>
    <s v="RS"/>
    <n v="91.23"/>
    <n v="1"/>
    <n v="0.66"/>
    <n v="6500948"/>
    <x v="0"/>
    <s v="Porto Alegre"/>
    <s v="Convencional"/>
    <n v="9"/>
    <d v="2018-02-22T00:00:00"/>
    <x v="21"/>
    <x v="1"/>
    <d v="2018-03-03T00:00:00"/>
    <x v="0"/>
    <x v="1"/>
    <n v="0"/>
    <n v="1"/>
  </r>
  <r>
    <d v="2018-02-22T00:00:00"/>
    <n v="10617"/>
    <s v="WHVIT"/>
    <s v="Vitoria"/>
    <s v="ES"/>
    <n v="4027"/>
    <x v="24"/>
    <s v="Novo Hamburgo"/>
    <s v="RS"/>
    <x v="0"/>
    <s v="RS"/>
    <n v="64.900000000000006"/>
    <n v="1"/>
    <n v="1.232"/>
    <n v="6500948"/>
    <x v="0"/>
    <s v="Porto Alegre"/>
    <s v="Convencional"/>
    <n v="7"/>
    <d v="2018-02-22T00:00:00"/>
    <x v="21"/>
    <x v="1"/>
    <d v="2018-03-01T00:00:00"/>
    <x v="0"/>
    <x v="1"/>
    <n v="0"/>
    <n v="1"/>
  </r>
  <r>
    <d v="2018-02-06T00:00:00"/>
    <n v="10562"/>
    <s v="WHSAO"/>
    <s v="Sao Paulo"/>
    <s v="SP"/>
    <n v="4053"/>
    <x v="25"/>
    <s v="Campo Grande"/>
    <s v="MS"/>
    <x v="1"/>
    <s v="MS"/>
    <n v="3163.2"/>
    <n v="6"/>
    <n v="12.8"/>
    <n v="6100231"/>
    <x v="1"/>
    <s v="Goiania"/>
    <s v="Convencional"/>
    <n v="1"/>
    <d v="2018-02-06T00:00:00"/>
    <x v="19"/>
    <x v="0"/>
    <d v="2018-02-07T00:00:00"/>
    <x v="1"/>
    <x v="0"/>
    <n v="0"/>
    <n v="1"/>
  </r>
  <r>
    <d v="2018-01-10T00:00:00"/>
    <n v="10447"/>
    <s v="WHVIT"/>
    <s v="Vitoria"/>
    <s v="ES"/>
    <n v="4028"/>
    <x v="26"/>
    <s v="Sao Jose Dos Pinhais"/>
    <s v="PR"/>
    <x v="0"/>
    <s v="PR"/>
    <n v="1049.8399999999999"/>
    <n v="2"/>
    <n v="11.010999999999999"/>
    <n v="6500948"/>
    <x v="0"/>
    <s v="Porto Alegre"/>
    <s v="Convencional"/>
    <n v="4"/>
    <d v="2018-01-11T00:00:00"/>
    <x v="8"/>
    <x v="0"/>
    <d v="2018-01-15T00:00:00"/>
    <x v="1"/>
    <x v="0"/>
    <n v="0"/>
    <n v="1"/>
  </r>
  <r>
    <d v="2018-01-10T00:00:00"/>
    <n v="10453"/>
    <s v="WHBH"/>
    <s v="Belo Horizonte"/>
    <s v="MG"/>
    <n v="4028"/>
    <x v="26"/>
    <s v="Sao Jose Dos Pinhais"/>
    <s v="PR"/>
    <x v="0"/>
    <s v="PR"/>
    <n v="962.11"/>
    <n v="2"/>
    <n v="8.14"/>
    <n v="6500948"/>
    <x v="0"/>
    <s v="Porto Alegre"/>
    <s v="Convencional"/>
    <n v="12"/>
    <d v="2018-01-11T00:00:00"/>
    <x v="32"/>
    <x v="0"/>
    <d v="2018-01-23T00:00:00"/>
    <x v="0"/>
    <x v="0"/>
    <n v="1"/>
    <n v="1"/>
  </r>
  <r>
    <d v="2018-01-24T00:00:00"/>
    <n v="10502"/>
    <s v="WHPOA"/>
    <s v="Porto Alegre"/>
    <s v="RS"/>
    <n v="4028"/>
    <x v="26"/>
    <s v="Sao Jose Dos Pinhais"/>
    <s v="PR"/>
    <x v="0"/>
    <s v="PR"/>
    <n v="692.9"/>
    <n v="2"/>
    <n v="1.3640000000000001"/>
    <n v="6500948"/>
    <x v="0"/>
    <s v="Porto Alegre"/>
    <s v="Convencional"/>
    <n v="8"/>
    <d v="2018-01-25T00:00:00"/>
    <x v="15"/>
    <x v="2"/>
    <d v="2018-02-02T00:00:00"/>
    <x v="1"/>
    <x v="1"/>
    <n v="0"/>
    <n v="1"/>
  </r>
  <r>
    <d v="2018-01-25T00:00:00"/>
    <n v="10507"/>
    <s v="WHPOA"/>
    <s v="Porto Alegre"/>
    <s v="RS"/>
    <n v="4028"/>
    <x v="26"/>
    <s v="Sao Jose Dos Pinhais"/>
    <s v="PR"/>
    <x v="0"/>
    <s v="PR"/>
    <n v="134.18"/>
    <n v="1"/>
    <n v="1.694"/>
    <n v="6500948"/>
    <x v="0"/>
    <s v="Porto Alegre"/>
    <s v="Convencional"/>
    <n v="10"/>
    <d v="2018-01-25T00:00:00"/>
    <x v="16"/>
    <x v="0"/>
    <d v="2018-02-04T00:00:00"/>
    <x v="0"/>
    <x v="0"/>
    <n v="1"/>
    <n v="1"/>
  </r>
  <r>
    <d v="2018-02-08T00:00:00"/>
    <n v="10577"/>
    <s v="WHVIT"/>
    <s v="Vitoria"/>
    <s v="ES"/>
    <n v="4028"/>
    <x v="26"/>
    <s v="Sao Jose Dos Pinhais"/>
    <s v="PR"/>
    <x v="0"/>
    <s v="PR"/>
    <n v="624.21"/>
    <n v="1"/>
    <n v="1.101"/>
    <n v="6500948"/>
    <x v="0"/>
    <s v="Porto Alegre"/>
    <s v="Convencional"/>
    <n v="12"/>
    <d v="2018-02-09T00:00:00"/>
    <x v="24"/>
    <x v="0"/>
    <d v="2018-02-21T00:00:00"/>
    <x v="0"/>
    <x v="0"/>
    <n v="1"/>
    <n v="1"/>
  </r>
  <r>
    <d v="2018-02-08T00:00:00"/>
    <n v="10581"/>
    <s v="WHBH"/>
    <s v="Belo Horizonte"/>
    <s v="MG"/>
    <n v="4028"/>
    <x v="26"/>
    <s v="Sao Jose Dos Pinhais"/>
    <s v="PR"/>
    <x v="0"/>
    <s v="PR"/>
    <n v="1208.95"/>
    <n v="4"/>
    <n v="4.6840000000000002"/>
    <n v="6500948"/>
    <x v="0"/>
    <s v="Porto Alegre"/>
    <s v="Convencional"/>
    <n v="2"/>
    <d v="2018-02-09T00:00:00"/>
    <x v="41"/>
    <x v="0"/>
    <d v="2018-02-11T00:00:00"/>
    <x v="1"/>
    <x v="0"/>
    <n v="0"/>
    <n v="1"/>
  </r>
  <r>
    <d v="2018-02-21T00:00:00"/>
    <n v="10619"/>
    <s v="WHBH"/>
    <s v="Belo Horizonte"/>
    <s v="MG"/>
    <n v="4028"/>
    <x v="26"/>
    <s v="Sao Jose Dos Pinhais"/>
    <s v="PR"/>
    <x v="0"/>
    <s v="PR"/>
    <n v="258.54000000000002"/>
    <n v="2"/>
    <n v="7.7839999999999998"/>
    <n v="6500948"/>
    <x v="0"/>
    <s v="Porto Alegre"/>
    <s v="Convencional"/>
    <n v="11"/>
    <d v="2018-02-22T00:00:00"/>
    <x v="61"/>
    <x v="0"/>
    <d v="2018-03-05T00:00:00"/>
    <x v="0"/>
    <x v="0"/>
    <n v="1"/>
    <n v="1"/>
  </r>
  <r>
    <d v="2018-02-21T00:00:00"/>
    <n v="10625"/>
    <s v="WHSJC"/>
    <s v="Sao Jose dos Campos"/>
    <s v="SP"/>
    <n v="4028"/>
    <x v="26"/>
    <s v="Sao Jose Dos Pinhais"/>
    <s v="PR"/>
    <x v="0"/>
    <s v="PR"/>
    <n v="169.24"/>
    <n v="1"/>
    <n v="0.219"/>
    <n v="6500948"/>
    <x v="0"/>
    <s v="Porto Alegre"/>
    <s v="Convencional"/>
    <n v="4"/>
    <d v="2018-02-22T00:00:00"/>
    <x v="26"/>
    <x v="1"/>
    <d v="2018-02-26T00:00:00"/>
    <x v="1"/>
    <x v="1"/>
    <n v="0"/>
    <n v="1"/>
  </r>
  <r>
    <d v="2018-03-09T00:00:00"/>
    <n v="10675"/>
    <s v="WHPOA"/>
    <s v="Porto Alegre"/>
    <s v="RS"/>
    <n v="4028"/>
    <x v="26"/>
    <s v="Sao Jose Dos Pinhais"/>
    <s v="PR"/>
    <x v="0"/>
    <s v="PR"/>
    <n v="3731.26"/>
    <n v="4"/>
    <n v="57.255000000000003"/>
    <n v="6500948"/>
    <x v="0"/>
    <s v="Porto Alegre"/>
    <s v="Convencional"/>
    <n v="12"/>
    <d v="2018-03-09T00:00:00"/>
    <x v="29"/>
    <x v="0"/>
    <d v="2018-03-21T00:00:00"/>
    <x v="0"/>
    <x v="0"/>
    <n v="1"/>
    <n v="1"/>
  </r>
  <r>
    <d v="2018-02-21T00:00:00"/>
    <n v="10618"/>
    <s v="WHCPQ"/>
    <s v="Campinas"/>
    <s v="SP"/>
    <n v="4062"/>
    <x v="27"/>
    <s v="Taguatinga"/>
    <s v="DF"/>
    <x v="1"/>
    <s v="DF"/>
    <n v="3639.29"/>
    <n v="11"/>
    <n v="18.436"/>
    <n v="6100231"/>
    <x v="1"/>
    <s v="Goiania"/>
    <s v="Convencional"/>
    <n v="3"/>
    <d v="2018-02-22T00:00:00"/>
    <x v="52"/>
    <x v="0"/>
    <d v="2018-02-25T00:00:00"/>
    <x v="1"/>
    <x v="0"/>
    <n v="0"/>
    <n v="1"/>
  </r>
  <r>
    <d v="2018-02-21T00:00:00"/>
    <n v="10624"/>
    <s v="WHVIT"/>
    <s v="Vitoria"/>
    <s v="ES"/>
    <n v="4062"/>
    <x v="27"/>
    <s v="Taguatinga"/>
    <s v="DF"/>
    <x v="1"/>
    <s v="DF"/>
    <n v="1992.72"/>
    <n v="2"/>
    <n v="18.7"/>
    <n v="6100231"/>
    <x v="1"/>
    <s v="Goiania"/>
    <s v="Convencional"/>
    <n v="9"/>
    <d v="2018-02-22T00:00:00"/>
    <x v="5"/>
    <x v="0"/>
    <d v="2018-03-03T00:00:00"/>
    <x v="0"/>
    <x v="0"/>
    <n v="1"/>
    <n v="1"/>
  </r>
  <r>
    <d v="2018-02-23T00:00:00"/>
    <n v="10629"/>
    <s v="WHSAO"/>
    <s v="Sao Paulo"/>
    <s v="SP"/>
    <n v="4063"/>
    <x v="28"/>
    <s v="Curitiba"/>
    <s v="PR"/>
    <x v="0"/>
    <s v="PR"/>
    <n v="5291.12"/>
    <n v="5"/>
    <n v="25.975000000000001"/>
    <n v="6500948"/>
    <x v="0"/>
    <s v="Porto Alegre"/>
    <s v="Convencional"/>
    <n v="9"/>
    <d v="2018-02-24T00:00:00"/>
    <x v="53"/>
    <x v="0"/>
    <d v="2018-03-05T00:00:00"/>
    <x v="0"/>
    <x v="0"/>
    <n v="1"/>
    <n v="1"/>
  </r>
  <r>
    <d v="2018-01-10T00:00:00"/>
    <n v="10450"/>
    <s v="WHPOA"/>
    <s v="Porto Alegre"/>
    <s v="RS"/>
    <n v="4029"/>
    <x v="29"/>
    <s v="Joinville"/>
    <s v="SC"/>
    <x v="0"/>
    <s v="SC"/>
    <n v="1782.08"/>
    <n v="2"/>
    <n v="4.7060000000000004"/>
    <n v="6500948"/>
    <x v="0"/>
    <s v="Porto Alegre"/>
    <s v="Convencional"/>
    <n v="6"/>
    <d v="2018-01-11T00:00:00"/>
    <x v="6"/>
    <x v="0"/>
    <d v="2018-01-17T00:00:00"/>
    <x v="0"/>
    <x v="0"/>
    <n v="1"/>
    <n v="1"/>
  </r>
  <r>
    <d v="2018-01-10T00:00:00"/>
    <n v="10454"/>
    <s v="WHPOA"/>
    <s v="Porto Alegre"/>
    <s v="RS"/>
    <n v="4029"/>
    <x v="29"/>
    <s v="Joinville"/>
    <s v="SC"/>
    <x v="0"/>
    <s v="SC"/>
    <n v="1129.77"/>
    <n v="3"/>
    <n v="4.8719999999999999"/>
    <n v="6500948"/>
    <x v="0"/>
    <s v="Porto Alegre"/>
    <s v="Convencional"/>
    <n v="10"/>
    <d v="2018-01-11T00:00:00"/>
    <x v="33"/>
    <x v="0"/>
    <d v="2018-01-21T00:00:00"/>
    <x v="0"/>
    <x v="0"/>
    <n v="1"/>
    <n v="1"/>
  </r>
  <r>
    <d v="2018-02-08T00:00:00"/>
    <n v="10576"/>
    <s v="WHVIT"/>
    <s v="Vitoria"/>
    <s v="ES"/>
    <n v="4029"/>
    <x v="29"/>
    <s v="Joinville"/>
    <s v="SC"/>
    <x v="0"/>
    <s v="SC"/>
    <n v="1051.1099999999999"/>
    <n v="1"/>
    <n v="9.35"/>
    <n v="6500948"/>
    <x v="0"/>
    <s v="Porto Alegre"/>
    <s v="Convencional"/>
    <n v="8"/>
    <d v="2018-02-09T00:00:00"/>
    <x v="41"/>
    <x v="0"/>
    <d v="2018-02-17T00:00:00"/>
    <x v="0"/>
    <x v="0"/>
    <n v="1"/>
    <n v="1"/>
  </r>
  <r>
    <d v="2018-02-08T00:00:00"/>
    <n v="10579"/>
    <s v="WHBH"/>
    <s v="Belo Horizonte"/>
    <s v="MG"/>
    <n v="4029"/>
    <x v="29"/>
    <s v="Joinville"/>
    <s v="SC"/>
    <x v="0"/>
    <s v="SC"/>
    <n v="1083.18"/>
    <n v="2"/>
    <n v="1.272"/>
    <n v="6500948"/>
    <x v="0"/>
    <s v="Porto Alegre"/>
    <s v="Convencional"/>
    <n v="12"/>
    <d v="2018-02-09T00:00:00"/>
    <x v="25"/>
    <x v="0"/>
    <d v="2018-02-21T00:00:00"/>
    <x v="0"/>
    <x v="0"/>
    <n v="1"/>
    <n v="1"/>
  </r>
  <r>
    <d v="2018-03-09T00:00:00"/>
    <n v="10673"/>
    <s v="WHSAO"/>
    <s v="Sao Paulo"/>
    <s v="SP"/>
    <n v="4029"/>
    <x v="29"/>
    <s v="Joinville"/>
    <s v="SC"/>
    <x v="0"/>
    <s v="SC"/>
    <n v="1037.6600000000001"/>
    <n v="2"/>
    <n v="8.8559999999999999"/>
    <n v="6500948"/>
    <x v="0"/>
    <s v="Porto Alegre"/>
    <s v="Convencional"/>
    <n v="12"/>
    <d v="2018-03-09T00:00:00"/>
    <x v="62"/>
    <x v="1"/>
    <d v="2018-03-21T00:00:00"/>
    <x v="0"/>
    <x v="1"/>
    <n v="0"/>
    <n v="1"/>
  </r>
  <r>
    <d v="2018-01-10T00:00:00"/>
    <n v="10452"/>
    <s v="WHRJ"/>
    <s v="Rio De Janeiro"/>
    <s v="RJ"/>
    <n v="4030"/>
    <x v="30"/>
    <s v="Belo Horizonte"/>
    <s v="MG"/>
    <x v="2"/>
    <s v="MG"/>
    <n v="1089.96"/>
    <n v="2"/>
    <n v="5.28"/>
    <n v="6600879"/>
    <x v="2"/>
    <s v="Belo Horizonte"/>
    <s v="Convencional"/>
    <n v="4"/>
    <d v="2018-01-11T00:00:00"/>
    <x v="12"/>
    <x v="0"/>
    <d v="2018-01-15T00:00:00"/>
    <x v="1"/>
    <x v="0"/>
    <n v="0"/>
    <n v="1"/>
  </r>
  <r>
    <d v="2018-01-10T00:00:00"/>
    <n v="10455"/>
    <s v="WHCPQ"/>
    <s v="Campinas"/>
    <s v="SP"/>
    <n v="4030"/>
    <x v="30"/>
    <s v="Belo Horizonte"/>
    <s v="MG"/>
    <x v="2"/>
    <s v="MG"/>
    <n v="2967.58"/>
    <n v="2"/>
    <n v="16.399999999999999"/>
    <n v="6600879"/>
    <x v="2"/>
    <s v="Belo Horizonte"/>
    <s v="Convencional"/>
    <n v="7"/>
    <d v="2018-01-11T00:00:00"/>
    <x v="32"/>
    <x v="0"/>
    <d v="2018-01-18T00:00:00"/>
    <x v="1"/>
    <x v="0"/>
    <n v="0"/>
    <n v="1"/>
  </r>
  <r>
    <d v="2018-01-25T00:00:00"/>
    <n v="10504"/>
    <s v="WHPOA"/>
    <s v="Porto Alegre"/>
    <s v="RS"/>
    <n v="4030"/>
    <x v="30"/>
    <s v="Belo Horizonte"/>
    <s v="MG"/>
    <x v="2"/>
    <s v="MG"/>
    <n v="57.42"/>
    <n v="1"/>
    <n v="0.11"/>
    <n v="6600879"/>
    <x v="2"/>
    <s v="Belo Horizonte"/>
    <s v="Convencional"/>
    <n v="12"/>
    <d v="2018-01-25T00:00:00"/>
    <x v="45"/>
    <x v="0"/>
    <d v="2018-02-06T00:00:00"/>
    <x v="0"/>
    <x v="0"/>
    <n v="1"/>
    <n v="1"/>
  </r>
  <r>
    <d v="2018-01-25T00:00:00"/>
    <n v="10508"/>
    <s v="WHCPQ"/>
    <s v="Campinas"/>
    <s v="SP"/>
    <n v="4030"/>
    <x v="30"/>
    <s v="Belo Horizonte"/>
    <s v="MG"/>
    <x v="2"/>
    <s v="MG"/>
    <n v="128.84"/>
    <n v="1"/>
    <n v="0.94699999999999995"/>
    <n v="6600879"/>
    <x v="2"/>
    <s v="Belo Horizonte"/>
    <s v="Convencional"/>
    <n v="8"/>
    <d v="2018-01-25T00:00:00"/>
    <x v="43"/>
    <x v="0"/>
    <d v="2018-02-02T00:00:00"/>
    <x v="0"/>
    <x v="0"/>
    <n v="1"/>
    <n v="1"/>
  </r>
  <r>
    <d v="2018-02-20T00:00:00"/>
    <n v="10612"/>
    <s v="WHSJC"/>
    <s v="Sao Jose dos Campos"/>
    <s v="SP"/>
    <n v="4030"/>
    <x v="30"/>
    <s v="Belo Horizonte"/>
    <s v="MG"/>
    <x v="2"/>
    <s v="MG"/>
    <n v="3140.8"/>
    <n v="4"/>
    <n v="75.900000000000006"/>
    <n v="6600879"/>
    <x v="2"/>
    <s v="Belo Horizonte"/>
    <s v="Convencional"/>
    <n v="9"/>
    <d v="2018-02-20T00:00:00"/>
    <x v="52"/>
    <x v="0"/>
    <d v="2018-03-01T00:00:00"/>
    <x v="0"/>
    <x v="0"/>
    <n v="1"/>
    <n v="1"/>
  </r>
  <r>
    <d v="2018-02-22T00:00:00"/>
    <n v="10613"/>
    <s v="WHRJ"/>
    <s v="Rio De Janeiro"/>
    <s v="RJ"/>
    <n v="4061"/>
    <x v="31"/>
    <s v="Goiania"/>
    <s v="GO"/>
    <x v="1"/>
    <s v="GO"/>
    <n v="1247.8"/>
    <n v="2"/>
    <n v="11.44"/>
    <n v="6100231"/>
    <x v="1"/>
    <s v="Goiania"/>
    <s v="Convencional"/>
    <n v="4"/>
    <d v="2018-02-22T00:00:00"/>
    <x v="26"/>
    <x v="0"/>
    <d v="2018-02-26T00:00:00"/>
    <x v="1"/>
    <x v="0"/>
    <n v="0"/>
    <n v="1"/>
  </r>
  <r>
    <d v="2018-01-11T00:00:00"/>
    <n v="10459"/>
    <s v="WHVIT"/>
    <s v="Vitoria"/>
    <s v="ES"/>
    <n v="4031"/>
    <x v="32"/>
    <s v="Curitiba"/>
    <s v="PR"/>
    <x v="0"/>
    <s v="PR"/>
    <n v="594.32000000000005"/>
    <n v="2"/>
    <n v="3.88"/>
    <n v="6500948"/>
    <x v="0"/>
    <s v="Porto Alegre"/>
    <s v="Convencional"/>
    <n v="7"/>
    <d v="2018-01-12T00:00:00"/>
    <x v="33"/>
    <x v="0"/>
    <d v="2018-01-19T00:00:00"/>
    <x v="0"/>
    <x v="0"/>
    <n v="1"/>
    <n v="1"/>
  </r>
  <r>
    <d v="2018-01-11T00:00:00"/>
    <n v="10460"/>
    <s v="WHPOA"/>
    <s v="Porto Alegre"/>
    <s v="RS"/>
    <n v="4031"/>
    <x v="32"/>
    <s v="Curitiba"/>
    <s v="PR"/>
    <x v="0"/>
    <s v="PR"/>
    <n v="704.02"/>
    <n v="2"/>
    <n v="5.6120000000000001"/>
    <n v="6500948"/>
    <x v="0"/>
    <s v="Porto Alegre"/>
    <s v="Convencional"/>
    <n v="1"/>
    <d v="2018-01-12T00:00:00"/>
    <x v="8"/>
    <x v="0"/>
    <d v="2018-01-13T00:00:00"/>
    <x v="1"/>
    <x v="0"/>
    <n v="0"/>
    <n v="1"/>
  </r>
  <r>
    <d v="2018-02-06T00:00:00"/>
    <n v="10563"/>
    <s v="WHVIT"/>
    <s v="Vitoria"/>
    <s v="ES"/>
    <n v="4054"/>
    <x v="33"/>
    <s v="Varzea Grande"/>
    <s v="MT"/>
    <x v="1"/>
    <s v="MT"/>
    <n v="3815.86"/>
    <n v="7"/>
    <n v="21.582000000000001"/>
    <n v="6100231"/>
    <x v="1"/>
    <s v="Goiania"/>
    <s v="Convencional"/>
    <n v="11"/>
    <d v="2018-02-06T00:00:00"/>
    <x v="42"/>
    <x v="0"/>
    <d v="2018-02-17T00:00:00"/>
    <x v="0"/>
    <x v="0"/>
    <n v="1"/>
    <n v="1"/>
  </r>
  <r>
    <d v="2018-01-11T00:00:00"/>
    <n v="10463"/>
    <s v="WHSJC"/>
    <s v="Sao Jose dos Campos"/>
    <s v="SP"/>
    <n v="4032"/>
    <x v="34"/>
    <s v="Goiania"/>
    <s v="GO"/>
    <x v="1"/>
    <s v="GO"/>
    <n v="118.72"/>
    <n v="1"/>
    <n v="0.99"/>
    <n v="6100231"/>
    <x v="1"/>
    <s v="Goiania"/>
    <s v="Convencional"/>
    <n v="11"/>
    <d v="2018-01-12T00:00:00"/>
    <x v="8"/>
    <x v="0"/>
    <d v="2018-01-23T00:00:00"/>
    <x v="0"/>
    <x v="0"/>
    <n v="1"/>
    <n v="1"/>
  </r>
  <r>
    <d v="2018-01-26T00:00:00"/>
    <n v="10511"/>
    <s v="WHVIT"/>
    <s v="Vitoria"/>
    <s v="ES"/>
    <n v="4032"/>
    <x v="34"/>
    <s v="Goiania"/>
    <s v="GO"/>
    <x v="1"/>
    <s v="GO"/>
    <n v="19964.599999999999"/>
    <n v="47"/>
    <n v="89.658000000000001"/>
    <n v="6100231"/>
    <x v="1"/>
    <s v="Goiania"/>
    <s v="Convencional"/>
    <n v="5"/>
    <d v="2018-01-26T00:00:00"/>
    <x v="18"/>
    <x v="0"/>
    <d v="2018-01-31T00:00:00"/>
    <x v="1"/>
    <x v="0"/>
    <n v="0"/>
    <n v="1"/>
  </r>
  <r>
    <d v="2018-02-16T00:00:00"/>
    <n v="10608"/>
    <s v="WHRJ"/>
    <s v="Rio De Janeiro"/>
    <s v="RJ"/>
    <n v="4032"/>
    <x v="34"/>
    <s v="Goiania"/>
    <s v="GO"/>
    <x v="1"/>
    <s v="GO"/>
    <n v="219.75"/>
    <n v="1"/>
    <n v="4.4039999999999999"/>
    <n v="6100231"/>
    <x v="1"/>
    <s v="Goiania"/>
    <s v="Convencional"/>
    <n v="8"/>
    <d v="2018-02-17T00:00:00"/>
    <x v="27"/>
    <x v="0"/>
    <d v="2018-02-25T00:00:00"/>
    <x v="1"/>
    <x v="0"/>
    <n v="0"/>
    <n v="1"/>
  </r>
  <r>
    <d v="2018-02-27T00:00:00"/>
    <n v="10640"/>
    <s v="WHPOA"/>
    <s v="Porto Alegre"/>
    <s v="RS"/>
    <n v="4032"/>
    <x v="34"/>
    <s v="Goiania"/>
    <s v="GO"/>
    <x v="1"/>
    <s v="GO"/>
    <n v="340.35"/>
    <n v="2"/>
    <n v="0.33"/>
    <n v="6100231"/>
    <x v="1"/>
    <s v="Goiania"/>
    <s v="Convencional"/>
    <n v="6"/>
    <d v="2018-02-28T00:00:00"/>
    <x v="58"/>
    <x v="0"/>
    <d v="2018-03-06T00:00:00"/>
    <x v="0"/>
    <x v="0"/>
    <n v="1"/>
    <n v="1"/>
  </r>
  <r>
    <d v="2018-03-07T00:00:00"/>
    <n v="10658"/>
    <s v="WHSJC"/>
    <s v="Sao Jose dos Campos"/>
    <s v="SP"/>
    <n v="4032"/>
    <x v="34"/>
    <s v="Goiania"/>
    <s v="GO"/>
    <x v="1"/>
    <s v="GO"/>
    <n v="1227.76"/>
    <n v="2"/>
    <n v="9.3520000000000003"/>
    <n v="6100231"/>
    <x v="1"/>
    <s v="Goiania"/>
    <s v="Convencional"/>
    <n v="3"/>
    <d v="2018-03-07T00:00:00"/>
    <x v="63"/>
    <x v="0"/>
    <d v="2018-03-10T00:00:00"/>
    <x v="1"/>
    <x v="0"/>
    <n v="0"/>
    <n v="1"/>
  </r>
  <r>
    <d v="2018-01-13T00:00:00"/>
    <n v="10464"/>
    <s v="WHCPQ"/>
    <s v="Campinas"/>
    <s v="SP"/>
    <n v="4033"/>
    <x v="35"/>
    <s v="Goiania"/>
    <s v="GO"/>
    <x v="1"/>
    <s v="GO"/>
    <n v="680.12"/>
    <n v="1"/>
    <n v="3.9809999999999999"/>
    <n v="6100231"/>
    <x v="1"/>
    <s v="Goiania"/>
    <s v="Convencional"/>
    <n v="1"/>
    <d v="2018-01-13T00:00:00"/>
    <x v="38"/>
    <x v="1"/>
    <d v="2018-01-14T00:00:00"/>
    <x v="1"/>
    <x v="1"/>
    <n v="0"/>
    <n v="1"/>
  </r>
  <r>
    <d v="2018-01-13T00:00:00"/>
    <n v="10465"/>
    <s v="WHBH"/>
    <s v="Belo Horizonte"/>
    <s v="MG"/>
    <n v="4033"/>
    <x v="35"/>
    <s v="Goiania"/>
    <s v="GO"/>
    <x v="1"/>
    <s v="GO"/>
    <n v="12799.57"/>
    <n v="3"/>
    <n v="105.6"/>
    <n v="6100231"/>
    <x v="1"/>
    <s v="Goiania"/>
    <s v="Convencional"/>
    <n v="10"/>
    <d v="2018-01-13T00:00:00"/>
    <x v="8"/>
    <x v="0"/>
    <d v="2018-01-23T00:00:00"/>
    <x v="0"/>
    <x v="0"/>
    <n v="1"/>
    <n v="1"/>
  </r>
  <r>
    <d v="2018-01-18T00:00:00"/>
    <n v="10490"/>
    <s v="WHBH"/>
    <s v="Belo Horizonte"/>
    <s v="MG"/>
    <n v="4033"/>
    <x v="35"/>
    <s v="Goiania"/>
    <s v="GO"/>
    <x v="1"/>
    <s v="GO"/>
    <n v="102.48"/>
    <n v="1"/>
    <n v="4.4000000000000004"/>
    <n v="6100231"/>
    <x v="1"/>
    <s v="Goiania"/>
    <s v="Convencional"/>
    <n v="7"/>
    <d v="2018-01-19T00:00:00"/>
    <x v="64"/>
    <x v="0"/>
    <d v="2018-01-26T00:00:00"/>
    <x v="0"/>
    <x v="0"/>
    <n v="1"/>
    <n v="1"/>
  </r>
  <r>
    <d v="2018-02-09T00:00:00"/>
    <n v="10572"/>
    <s v="WHPOA"/>
    <s v="Porto Alegre"/>
    <s v="RS"/>
    <n v="4033"/>
    <x v="35"/>
    <s v="Goiania"/>
    <s v="GO"/>
    <x v="1"/>
    <s v="GO"/>
    <n v="1447.28"/>
    <n v="1"/>
    <n v="0.66"/>
    <n v="6100231"/>
    <x v="1"/>
    <s v="Goiania"/>
    <s v="Convencional"/>
    <n v="2"/>
    <d v="2018-02-09T00:00:00"/>
    <x v="4"/>
    <x v="0"/>
    <d v="2018-02-11T00:00:00"/>
    <x v="1"/>
    <x v="0"/>
    <n v="0"/>
    <n v="1"/>
  </r>
  <r>
    <d v="2018-03-09T00:00:00"/>
    <n v="10669"/>
    <s v="WHBH"/>
    <s v="Belo Horizonte"/>
    <s v="MG"/>
    <n v="4033"/>
    <x v="35"/>
    <s v="Goiania"/>
    <s v="GO"/>
    <x v="1"/>
    <s v="GO"/>
    <n v="1208.8499999999999"/>
    <n v="2"/>
    <n v="8.36"/>
    <n v="6100231"/>
    <x v="1"/>
    <s v="Goiania"/>
    <s v="Convencional"/>
    <n v="7"/>
    <d v="2018-03-09T00:00:00"/>
    <x v="56"/>
    <x v="0"/>
    <d v="2018-03-16T00:00:00"/>
    <x v="0"/>
    <x v="0"/>
    <n v="1"/>
    <n v="1"/>
  </r>
  <r>
    <d v="2018-01-14T00:00:00"/>
    <n v="10472"/>
    <s v="WHVIT"/>
    <s v="Vitoria"/>
    <s v="ES"/>
    <n v="4034"/>
    <x v="36"/>
    <s v="Goiania"/>
    <s v="GO"/>
    <x v="1"/>
    <s v="GO"/>
    <n v="709.77"/>
    <n v="1"/>
    <n v="1.6539999999999999"/>
    <n v="6100231"/>
    <x v="1"/>
    <s v="Goiania"/>
    <s v="Convencional"/>
    <n v="1"/>
    <d v="2018-01-14T00:00:00"/>
    <x v="65"/>
    <x v="2"/>
    <d v="2018-01-15T00:00:00"/>
    <x v="1"/>
    <x v="1"/>
    <n v="0"/>
    <n v="1"/>
  </r>
  <r>
    <d v="2018-02-14T00:00:00"/>
    <n v="10595"/>
    <s v="WHSJC"/>
    <s v="Sao Jose dos Campos"/>
    <s v="SP"/>
    <n v="4034"/>
    <x v="36"/>
    <s v="Goiania"/>
    <s v="GO"/>
    <x v="1"/>
    <s v="GO"/>
    <n v="212.66"/>
    <n v="1"/>
    <n v="1.32"/>
    <n v="6100231"/>
    <x v="1"/>
    <s v="Goiania"/>
    <s v="Convencional"/>
    <n v="2"/>
    <d v="2018-02-15T00:00:00"/>
    <x v="4"/>
    <x v="0"/>
    <d v="2018-02-17T00:00:00"/>
    <x v="1"/>
    <x v="0"/>
    <n v="0"/>
    <n v="1"/>
  </r>
  <r>
    <d v="2018-01-16T00:00:00"/>
    <n v="10474"/>
    <s v="WHPOA"/>
    <s v="Porto Alegre"/>
    <s v="RS"/>
    <n v="4035"/>
    <x v="37"/>
    <s v="Brasilia"/>
    <s v="DF"/>
    <x v="1"/>
    <s v="DF"/>
    <n v="477.76"/>
    <n v="1"/>
    <n v="1.6539999999999999"/>
    <n v="6100231"/>
    <x v="1"/>
    <s v="Goiania"/>
    <s v="Convencional"/>
    <n v="12"/>
    <d v="2018-01-16T00:00:00"/>
    <x v="38"/>
    <x v="0"/>
    <d v="2018-01-28T00:00:00"/>
    <x v="0"/>
    <x v="0"/>
    <n v="1"/>
    <n v="1"/>
  </r>
  <r>
    <d v="2018-01-16T00:00:00"/>
    <n v="10475"/>
    <s v="WHVIT"/>
    <s v="Vitoria"/>
    <s v="ES"/>
    <n v="4035"/>
    <x v="37"/>
    <s v="Brasilia"/>
    <s v="DF"/>
    <x v="1"/>
    <s v="DF"/>
    <n v="7374.31"/>
    <n v="2"/>
    <n v="41.765000000000001"/>
    <n v="6100231"/>
    <x v="1"/>
    <s v="Goiania"/>
    <s v="Convencional"/>
    <n v="8"/>
    <d v="2018-01-16T00:00:00"/>
    <x v="65"/>
    <x v="0"/>
    <d v="2018-01-24T00:00:00"/>
    <x v="0"/>
    <x v="0"/>
    <n v="1"/>
    <n v="1"/>
  </r>
  <r>
    <d v="2018-01-15T00:00:00"/>
    <n v="10476"/>
    <s v="WHCPQ"/>
    <s v="Campinas"/>
    <s v="SP"/>
    <n v="4035"/>
    <x v="37"/>
    <s v="Brasilia"/>
    <s v="DF"/>
    <x v="1"/>
    <s v="DF"/>
    <n v="1276.98"/>
    <n v="2"/>
    <n v="3.3"/>
    <n v="6100231"/>
    <x v="1"/>
    <s v="Goiania"/>
    <s v="Convencional"/>
    <n v="10"/>
    <d v="2018-01-16T00:00:00"/>
    <x v="8"/>
    <x v="0"/>
    <d v="2018-01-26T00:00:00"/>
    <x v="0"/>
    <x v="0"/>
    <n v="1"/>
    <n v="1"/>
  </r>
  <r>
    <d v="2018-02-27T00:00:00"/>
    <n v="10637"/>
    <s v="WHVIT"/>
    <s v="Vitoria"/>
    <s v="ES"/>
    <n v="4035"/>
    <x v="37"/>
    <s v="Brasilia"/>
    <s v="DF"/>
    <x v="1"/>
    <s v="DF"/>
    <n v="49.17"/>
    <n v="2"/>
    <n v="1.0999999999999999E-2"/>
    <n v="6100231"/>
    <x v="1"/>
    <s v="Goiania"/>
    <s v="Convencional"/>
    <n v="3"/>
    <d v="2018-02-28T00:00:00"/>
    <x v="52"/>
    <x v="0"/>
    <d v="2018-03-03T00:00:00"/>
    <x v="0"/>
    <x v="0"/>
    <n v="1"/>
    <n v="1"/>
  </r>
  <r>
    <d v="2018-02-27T00:00:00"/>
    <n v="10641"/>
    <s v="WHSJC"/>
    <s v="Sao Jose dos Campos"/>
    <s v="SP"/>
    <n v="4035"/>
    <x v="37"/>
    <s v="Brasilia"/>
    <s v="DF"/>
    <x v="1"/>
    <s v="DF"/>
    <n v="184.08"/>
    <n v="1"/>
    <n v="0.83299999999999996"/>
    <n v="6100231"/>
    <x v="1"/>
    <s v="Goiania"/>
    <s v="Convencional"/>
    <n v="7"/>
    <d v="2018-02-28T00:00:00"/>
    <x v="34"/>
    <x v="0"/>
    <d v="2018-03-07T00:00:00"/>
    <x v="1"/>
    <x v="0"/>
    <n v="0"/>
    <n v="1"/>
  </r>
  <r>
    <d v="2018-02-27T00:00:00"/>
    <n v="10644"/>
    <s v="WHBH"/>
    <s v="Belo Horizonte"/>
    <s v="MG"/>
    <n v="4035"/>
    <x v="37"/>
    <s v="Brasilia"/>
    <s v="DF"/>
    <x v="1"/>
    <s v="DF"/>
    <n v="3008.15"/>
    <n v="5"/>
    <n v="8.4570000000000007"/>
    <n v="6100231"/>
    <x v="1"/>
    <s v="Goiania"/>
    <s v="Convencional"/>
    <n v="9"/>
    <d v="2018-02-28T00:00:00"/>
    <x v="35"/>
    <x v="0"/>
    <d v="2018-03-09T00:00:00"/>
    <x v="1"/>
    <x v="0"/>
    <n v="0"/>
    <n v="1"/>
  </r>
  <r>
    <d v="2018-01-30T00:00:00"/>
    <n v="10535"/>
    <s v="WHCPQ"/>
    <s v="Campinas"/>
    <s v="SP"/>
    <n v="4046"/>
    <x v="38"/>
    <s v="Belo Horizonte"/>
    <s v="MG"/>
    <x v="2"/>
    <s v="MG"/>
    <n v="8517.0400000000009"/>
    <n v="4"/>
    <n v="17.05"/>
    <n v="6600879"/>
    <x v="2"/>
    <s v="Belo Horizonte"/>
    <s v="Convencional"/>
    <n v="7"/>
    <d v="2018-01-31T00:00:00"/>
    <x v="46"/>
    <x v="0"/>
    <d v="2018-02-07T00:00:00"/>
    <x v="0"/>
    <x v="0"/>
    <n v="1"/>
    <n v="1"/>
  </r>
  <r>
    <d v="2018-01-30T00:00:00"/>
    <n v="10541"/>
    <s v="WHVIT"/>
    <s v="Vitoria"/>
    <s v="ES"/>
    <n v="4046"/>
    <x v="38"/>
    <s v="Belo Horizonte"/>
    <s v="MG"/>
    <x v="2"/>
    <s v="MG"/>
    <n v="519.88"/>
    <n v="3"/>
    <n v="19.797000000000001"/>
    <n v="6600879"/>
    <x v="2"/>
    <s v="Belo Horizonte"/>
    <s v="Convencional"/>
    <n v="10"/>
    <d v="2018-01-31T00:00:00"/>
    <x v="1"/>
    <x v="0"/>
    <d v="2018-02-10T00:00:00"/>
    <x v="0"/>
    <x v="0"/>
    <n v="1"/>
    <n v="1"/>
  </r>
  <r>
    <d v="2018-01-17T00:00:00"/>
    <n v="10478"/>
    <s v="WHVIT"/>
    <s v="Vitoria"/>
    <s v="ES"/>
    <n v="4037"/>
    <x v="39"/>
    <s v="Brasilia"/>
    <s v="DF"/>
    <x v="1"/>
    <s v="DF"/>
    <n v="354.88"/>
    <n v="1"/>
    <n v="0.82699999999999996"/>
    <n v="6100231"/>
    <x v="1"/>
    <s v="Goiania"/>
    <s v="Convencional"/>
    <n v="1"/>
    <d v="2018-01-18T00:00:00"/>
    <x v="39"/>
    <x v="0"/>
    <d v="2018-01-19T00:00:00"/>
    <x v="1"/>
    <x v="0"/>
    <n v="0"/>
    <n v="1"/>
  </r>
  <r>
    <d v="2018-01-29T00:00:00"/>
    <n v="10523"/>
    <s v="WHRJ"/>
    <s v="Rio De Janeiro"/>
    <s v="RJ"/>
    <n v="4043"/>
    <x v="40"/>
    <s v="Sinop"/>
    <s v="MT"/>
    <x v="1"/>
    <s v="MT"/>
    <n v="642.87"/>
    <n v="1"/>
    <n v="1.1200000000000001"/>
    <n v="6100231"/>
    <x v="1"/>
    <s v="Goiania"/>
    <s v="Convencional"/>
    <n v="1"/>
    <d v="2018-01-30T00:00:00"/>
    <x v="45"/>
    <x v="0"/>
    <d v="2018-01-31T00:00:00"/>
    <x v="0"/>
    <x v="0"/>
    <n v="1"/>
    <n v="1"/>
  </r>
  <r>
    <d v="2018-01-19T00:00:00"/>
    <n v="10493"/>
    <s v="WHPOA"/>
    <s v="Porto Alegre"/>
    <s v="RS"/>
    <n v="4039"/>
    <x v="41"/>
    <s v="Varzea Grande"/>
    <s v="MT"/>
    <x v="1"/>
    <s v="MT"/>
    <n v="3657.43"/>
    <n v="11"/>
    <n v="12.815"/>
    <n v="6100231"/>
    <x v="1"/>
    <s v="Goiania"/>
    <s v="Convencional"/>
    <n v="3"/>
    <d v="2018-01-20T00:00:00"/>
    <x v="11"/>
    <x v="0"/>
    <d v="2018-01-23T00:00:00"/>
    <x v="0"/>
    <x v="0"/>
    <n v="1"/>
    <n v="1"/>
  </r>
  <r>
    <d v="2018-01-19T00:00:00"/>
    <n v="10494"/>
    <s v="WHSAO"/>
    <s v="Sao Paulo"/>
    <s v="SP"/>
    <n v="4039"/>
    <x v="41"/>
    <s v="Varzea Grande"/>
    <s v="MT"/>
    <x v="1"/>
    <s v="MT"/>
    <n v="889.69"/>
    <n v="1"/>
    <n v="3.52"/>
    <n v="6100231"/>
    <x v="1"/>
    <s v="Goiania"/>
    <s v="Convencional"/>
    <n v="3"/>
    <d v="2018-01-20T00:00:00"/>
    <x v="13"/>
    <x v="0"/>
    <d v="2018-01-23T00:00:00"/>
    <x v="1"/>
    <x v="0"/>
    <n v="0"/>
    <n v="1"/>
  </r>
  <r>
    <d v="2018-01-19T00:00:00"/>
    <n v="10495"/>
    <s v="WHPOA"/>
    <s v="Porto Alegre"/>
    <s v="RS"/>
    <n v="4039"/>
    <x v="41"/>
    <s v="Varzea Grande"/>
    <s v="MT"/>
    <x v="1"/>
    <s v="MT"/>
    <n v="9017.7099999999991"/>
    <n v="20"/>
    <n v="347.6"/>
    <n v="6100231"/>
    <x v="1"/>
    <s v="Goiania"/>
    <s v="Convencional"/>
    <n v="11"/>
    <d v="2018-01-20T00:00:00"/>
    <x v="11"/>
    <x v="0"/>
    <d v="2018-01-31T00:00:00"/>
    <x v="0"/>
    <x v="0"/>
    <n v="1"/>
    <n v="1"/>
  </r>
  <r>
    <d v="2018-01-24T00:00:00"/>
    <n v="10499"/>
    <s v="WHRJ"/>
    <s v="Rio De Janeiro"/>
    <s v="RJ"/>
    <n v="4040"/>
    <x v="42"/>
    <s v="Brasilia"/>
    <s v="DF"/>
    <x v="1"/>
    <s v="DF"/>
    <n v="1776.17"/>
    <n v="3"/>
    <n v="1.762"/>
    <n v="6100231"/>
    <x v="1"/>
    <s v="Goiania"/>
    <s v="Convencional"/>
    <n v="8"/>
    <d v="2018-01-25T00:00:00"/>
    <x v="15"/>
    <x v="0"/>
    <d v="2018-02-02T00:00:00"/>
    <x v="1"/>
    <x v="0"/>
    <n v="0"/>
    <n v="1"/>
  </r>
  <r>
    <d v="2018-01-25T00:00:00"/>
    <n v="10505"/>
    <s v="WHBH"/>
    <s v="Belo Horizonte"/>
    <s v="MG"/>
    <n v="4040"/>
    <x v="42"/>
    <s v="Brasilia"/>
    <s v="DF"/>
    <x v="1"/>
    <s v="DF"/>
    <n v="1766.75"/>
    <n v="1"/>
    <n v="3.41"/>
    <n v="6100231"/>
    <x v="1"/>
    <s v="Goiania"/>
    <s v="Convencional"/>
    <n v="4"/>
    <d v="2018-01-25T00:00:00"/>
    <x v="66"/>
    <x v="0"/>
    <d v="2018-01-29T00:00:00"/>
    <x v="1"/>
    <x v="0"/>
    <n v="0"/>
    <n v="1"/>
  </r>
  <r>
    <d v="2018-02-02T00:00:00"/>
    <n v="10550"/>
    <s v="WHRJ"/>
    <s v="Rio De Janeiro"/>
    <s v="RJ"/>
    <n v="4049"/>
    <x v="43"/>
    <s v="Taguatinga"/>
    <s v="DF"/>
    <x v="1"/>
    <s v="DF"/>
    <n v="586.85"/>
    <n v="2"/>
    <n v="3.6469999999999998"/>
    <n v="6100231"/>
    <x v="1"/>
    <s v="Goiania"/>
    <s v="Convencional"/>
    <n v="8"/>
    <d v="2018-02-03T00:00:00"/>
    <x v="51"/>
    <x v="1"/>
    <d v="2018-02-11T00:00:00"/>
    <x v="0"/>
    <x v="1"/>
    <n v="0"/>
    <n v="1"/>
  </r>
  <r>
    <d v="2018-02-02T00:00:00"/>
    <n v="10551"/>
    <s v="WHRJ"/>
    <s v="Rio De Janeiro"/>
    <s v="RJ"/>
    <n v="4049"/>
    <x v="43"/>
    <s v="Taguatinga"/>
    <s v="DF"/>
    <x v="1"/>
    <s v="DF"/>
    <n v="121.88"/>
    <n v="1"/>
    <n v="0.21299999999999999"/>
    <n v="6100231"/>
    <x v="1"/>
    <s v="Goiania"/>
    <s v="Convencional"/>
    <n v="3"/>
    <d v="2018-02-03T00:00:00"/>
    <x v="42"/>
    <x v="0"/>
    <d v="2018-02-06T00:00:00"/>
    <x v="1"/>
    <x v="0"/>
    <n v="0"/>
    <n v="1"/>
  </r>
  <r>
    <d v="2018-02-02T00:00:00"/>
    <n v="10552"/>
    <s v="WHPOA"/>
    <s v="Porto Alegre"/>
    <s v="RS"/>
    <n v="4049"/>
    <x v="43"/>
    <s v="Taguatinga"/>
    <s v="DF"/>
    <x v="1"/>
    <s v="DF"/>
    <n v="1111.33"/>
    <n v="2"/>
    <n v="13.86"/>
    <n v="6100231"/>
    <x v="1"/>
    <s v="Goiania"/>
    <s v="Convencional"/>
    <n v="2"/>
    <d v="2018-02-03T00:00:00"/>
    <x v="2"/>
    <x v="0"/>
    <d v="2018-02-05T00:00:00"/>
    <x v="1"/>
    <x v="0"/>
    <n v="0"/>
    <n v="1"/>
  </r>
  <r>
    <d v="2018-02-02T00:00:00"/>
    <n v="10553"/>
    <s v="WHVIT"/>
    <s v="Vitoria"/>
    <s v="ES"/>
    <n v="4049"/>
    <x v="43"/>
    <s v="Taguatinga"/>
    <s v="DF"/>
    <x v="1"/>
    <s v="DF"/>
    <n v="1139.17"/>
    <n v="1"/>
    <n v="1.1200000000000001"/>
    <n v="6100231"/>
    <x v="1"/>
    <s v="Goiania"/>
    <s v="Convencional"/>
    <n v="5"/>
    <d v="2018-02-03T00:00:00"/>
    <x v="1"/>
    <x v="0"/>
    <d v="2018-02-08T00:00:00"/>
    <x v="0"/>
    <x v="0"/>
    <n v="1"/>
    <n v="1"/>
  </r>
  <r>
    <d v="2018-02-02T00:00:00"/>
    <n v="10554"/>
    <s v="WHPOA"/>
    <s v="Porto Alegre"/>
    <s v="RS"/>
    <n v="4049"/>
    <x v="43"/>
    <s v="Taguatinga"/>
    <s v="DF"/>
    <x v="1"/>
    <s v="DF"/>
    <n v="2060.86"/>
    <n v="3"/>
    <n v="8.8550000000000004"/>
    <n v="6100231"/>
    <x v="1"/>
    <s v="Goiania"/>
    <s v="Convencional"/>
    <n v="7"/>
    <d v="2018-02-03T00:00:00"/>
    <x v="48"/>
    <x v="0"/>
    <d v="2018-02-10T00:00:00"/>
    <x v="1"/>
    <x v="0"/>
    <n v="0"/>
    <n v="1"/>
  </r>
  <r>
    <d v="2018-02-02T00:00:00"/>
    <n v="10555"/>
    <s v="WHCPQ"/>
    <s v="Campinas"/>
    <s v="SP"/>
    <n v="4049"/>
    <x v="43"/>
    <s v="Taguatinga"/>
    <s v="DF"/>
    <x v="1"/>
    <s v="DF"/>
    <n v="1408.71"/>
    <n v="4"/>
    <n v="5.8520000000000003"/>
    <n v="6100231"/>
    <x v="1"/>
    <s v="Goiania"/>
    <s v="Convencional"/>
    <n v="9"/>
    <d v="2018-02-03T00:00:00"/>
    <x v="2"/>
    <x v="0"/>
    <d v="2018-02-12T00:00:00"/>
    <x v="0"/>
    <x v="0"/>
    <n v="1"/>
    <n v="1"/>
  </r>
  <r>
    <d v="2018-02-02T00:00:00"/>
    <n v="10556"/>
    <s v="WHCPQ"/>
    <s v="Campinas"/>
    <s v="SP"/>
    <n v="4049"/>
    <x v="43"/>
    <s v="Taguatinga"/>
    <s v="DF"/>
    <x v="1"/>
    <s v="DF"/>
    <n v="3401.86"/>
    <n v="6"/>
    <n v="30.802"/>
    <n v="6100231"/>
    <x v="1"/>
    <s v="Goiania"/>
    <s v="Convencional"/>
    <n v="8"/>
    <d v="2018-02-03T00:00:00"/>
    <x v="51"/>
    <x v="0"/>
    <d v="2018-02-11T00:00:00"/>
    <x v="0"/>
    <x v="0"/>
    <n v="1"/>
    <n v="1"/>
  </r>
  <r>
    <d v="2018-02-02T00:00:00"/>
    <n v="10557"/>
    <s v="WHBH"/>
    <s v="Belo Horizonte"/>
    <s v="MG"/>
    <n v="4049"/>
    <x v="43"/>
    <s v="Taguatinga"/>
    <s v="DF"/>
    <x v="1"/>
    <s v="DF"/>
    <n v="2558.73"/>
    <n v="4"/>
    <n v="3.1019999999999999"/>
    <n v="6100231"/>
    <x v="1"/>
    <s v="Goiania"/>
    <s v="Convencional"/>
    <n v="7"/>
    <d v="2018-02-03T00:00:00"/>
    <x v="48"/>
    <x v="0"/>
    <d v="2018-02-10T00:00:00"/>
    <x v="1"/>
    <x v="0"/>
    <n v="0"/>
    <n v="1"/>
  </r>
  <r>
    <d v="2018-02-02T00:00:00"/>
    <n v="10558"/>
    <s v="WHSAO"/>
    <s v="Sao Paulo"/>
    <s v="SP"/>
    <n v="4049"/>
    <x v="43"/>
    <s v="Taguatinga"/>
    <s v="DF"/>
    <x v="1"/>
    <s v="DF"/>
    <n v="6799.09"/>
    <n v="15"/>
    <n v="51.631999999999998"/>
    <n v="6100231"/>
    <x v="1"/>
    <s v="Goiania"/>
    <s v="Convencional"/>
    <n v="8"/>
    <d v="2018-02-03T00:00:00"/>
    <x v="1"/>
    <x v="0"/>
    <d v="2018-02-11T00:00:00"/>
    <x v="0"/>
    <x v="0"/>
    <n v="1"/>
    <n v="1"/>
  </r>
  <r>
    <d v="2018-03-08T00:00:00"/>
    <n v="10659"/>
    <s v="WHPOA"/>
    <s v="Porto Alegre"/>
    <s v="RS"/>
    <n v="4049"/>
    <x v="43"/>
    <s v="Taguatinga"/>
    <s v="DF"/>
    <x v="1"/>
    <s v="DF"/>
    <n v="13238.42"/>
    <n v="21"/>
    <n v="105.367"/>
    <n v="6100231"/>
    <x v="1"/>
    <s v="Goiania"/>
    <s v="Convencional"/>
    <n v="2"/>
    <d v="2018-03-08T00:00:00"/>
    <x v="56"/>
    <x v="0"/>
    <d v="2018-03-10T00:00:00"/>
    <x v="1"/>
    <x v="0"/>
    <n v="0"/>
    <n v="1"/>
  </r>
  <r>
    <d v="2018-03-08T00:00:00"/>
    <n v="10661"/>
    <s v="WHRJ"/>
    <s v="Rio De Janeiro"/>
    <s v="RJ"/>
    <n v="4049"/>
    <x v="43"/>
    <s v="Taguatinga"/>
    <s v="DF"/>
    <x v="1"/>
    <s v="DF"/>
    <n v="604.42999999999995"/>
    <n v="1"/>
    <n v="4.6760000000000002"/>
    <n v="6100231"/>
    <x v="1"/>
    <s v="Goiania"/>
    <s v="Convencional"/>
    <n v="10"/>
    <d v="2018-03-08T00:00:00"/>
    <x v="60"/>
    <x v="0"/>
    <d v="2018-03-18T00:00:00"/>
    <x v="0"/>
    <x v="0"/>
    <n v="1"/>
    <n v="1"/>
  </r>
  <r>
    <d v="2018-03-08T00:00:00"/>
    <n v="10662"/>
    <s v="WHRJ"/>
    <s v="Rio De Janeiro"/>
    <s v="RJ"/>
    <n v="4049"/>
    <x v="43"/>
    <s v="Taguatinga"/>
    <s v="DF"/>
    <x v="1"/>
    <s v="DF"/>
    <n v="1550.49"/>
    <n v="3"/>
    <n v="16.516999999999999"/>
    <n v="6100231"/>
    <x v="1"/>
    <s v="Goiania"/>
    <s v="Convencional"/>
    <n v="2"/>
    <d v="2018-03-08T00:00:00"/>
    <x v="67"/>
    <x v="0"/>
    <d v="2018-03-10T00:00:00"/>
    <x v="0"/>
    <x v="0"/>
    <n v="1"/>
    <n v="1"/>
  </r>
  <r>
    <d v="2018-03-08T00:00:00"/>
    <n v="10663"/>
    <s v="WHCPQ"/>
    <s v="Campinas"/>
    <s v="SP"/>
    <n v="4049"/>
    <x v="43"/>
    <s v="Taguatinga"/>
    <s v="DF"/>
    <x v="1"/>
    <s v="DF"/>
    <n v="2057.34"/>
    <n v="1"/>
    <n v="5.2380000000000004"/>
    <n v="6100231"/>
    <x v="1"/>
    <s v="Goiania"/>
    <s v="Convencional"/>
    <n v="6"/>
    <d v="2018-03-08T00:00:00"/>
    <x v="50"/>
    <x v="0"/>
    <d v="2018-03-14T00:00:00"/>
    <x v="0"/>
    <x v="0"/>
    <n v="1"/>
    <n v="1"/>
  </r>
  <r>
    <d v="2018-03-08T00:00:00"/>
    <n v="10664"/>
    <s v="WHCPQ"/>
    <s v="Campinas"/>
    <s v="SP"/>
    <n v="4049"/>
    <x v="43"/>
    <s v="Taguatinga"/>
    <s v="DF"/>
    <x v="1"/>
    <s v="DF"/>
    <n v="3188.19"/>
    <n v="5"/>
    <n v="23.381"/>
    <n v="6100231"/>
    <x v="1"/>
    <s v="Goiania"/>
    <s v="Convencional"/>
    <n v="6"/>
    <d v="2018-03-08T00:00:00"/>
    <x v="50"/>
    <x v="0"/>
    <d v="2018-03-14T00:00:00"/>
    <x v="0"/>
    <x v="0"/>
    <n v="1"/>
    <n v="1"/>
  </r>
  <r>
    <d v="2018-03-08T00:00:00"/>
    <n v="10665"/>
    <s v="WHCPQ"/>
    <s v="Campinas"/>
    <s v="SP"/>
    <n v="4049"/>
    <x v="43"/>
    <s v="Taguatinga"/>
    <s v="DF"/>
    <x v="1"/>
    <s v="DF"/>
    <n v="2067.81"/>
    <n v="4"/>
    <n v="17.826000000000001"/>
    <n v="6100231"/>
    <x v="1"/>
    <s v="Goiania"/>
    <s v="Convencional"/>
    <n v="4"/>
    <d v="2018-03-08T00:00:00"/>
    <x v="60"/>
    <x v="0"/>
    <d v="2018-03-12T00:00:00"/>
    <x v="0"/>
    <x v="0"/>
    <n v="1"/>
    <n v="1"/>
  </r>
  <r>
    <d v="2018-03-08T00:00:00"/>
    <n v="10666"/>
    <s v="WHRJ"/>
    <s v="Rio De Janeiro"/>
    <s v="RJ"/>
    <n v="4049"/>
    <x v="43"/>
    <s v="Taguatinga"/>
    <s v="DF"/>
    <x v="1"/>
    <s v="DF"/>
    <n v="849.91"/>
    <n v="1"/>
    <n v="3.96"/>
    <n v="6100231"/>
    <x v="1"/>
    <s v="Goiania"/>
    <s v="Convencional"/>
    <n v="12"/>
    <d v="2018-03-08T00:00:00"/>
    <x v="29"/>
    <x v="2"/>
    <d v="2018-03-20T00:00:00"/>
    <x v="0"/>
    <x v="1"/>
    <n v="0"/>
    <n v="1"/>
  </r>
  <r>
    <d v="2018-03-08T00:00:00"/>
    <n v="10667"/>
    <s v="WHCPQ"/>
    <s v="Campinas"/>
    <s v="SP"/>
    <n v="4049"/>
    <x v="43"/>
    <s v="Taguatinga"/>
    <s v="DF"/>
    <x v="1"/>
    <s v="DF"/>
    <n v="873.13"/>
    <n v="1"/>
    <n v="5.7759999999999998"/>
    <n v="6100231"/>
    <x v="1"/>
    <s v="Goiania"/>
    <s v="Convencional"/>
    <n v="2"/>
    <d v="2018-03-08T00:00:00"/>
    <x v="50"/>
    <x v="0"/>
    <d v="2018-03-10T00:00:00"/>
    <x v="1"/>
    <x v="0"/>
    <n v="0"/>
    <n v="1"/>
  </r>
  <r>
    <d v="2018-03-08T00:00:00"/>
    <n v="10668"/>
    <s v="WHSJC"/>
    <s v="Sao Jose dos Campos"/>
    <s v="SP"/>
    <n v="4049"/>
    <x v="43"/>
    <s v="Taguatinga"/>
    <s v="DF"/>
    <x v="1"/>
    <s v="DF"/>
    <n v="1282.32"/>
    <n v="2"/>
    <n v="7.4260000000000002"/>
    <n v="6100231"/>
    <x v="1"/>
    <s v="Goiania"/>
    <s v="Convencional"/>
    <n v="1"/>
    <d v="2018-03-08T00:00:00"/>
    <x v="57"/>
    <x v="0"/>
    <d v="2018-03-09T00:00:00"/>
    <x v="1"/>
    <x v="0"/>
    <n v="0"/>
    <n v="1"/>
  </r>
  <r>
    <d v="2018-02-12T00:00:00"/>
    <n v="10588"/>
    <s v="WHCPQ"/>
    <s v="Campinas"/>
    <s v="SP"/>
    <n v="4056"/>
    <x v="44"/>
    <s v="Goiania"/>
    <s v="GO"/>
    <x v="1"/>
    <s v="GO"/>
    <n v="2376.9"/>
    <n v="2"/>
    <n v="22.88"/>
    <n v="6100231"/>
    <x v="1"/>
    <s v="Goiania"/>
    <s v="Convencional"/>
    <n v="12"/>
    <d v="2018-02-13T00:00:00"/>
    <x v="22"/>
    <x v="0"/>
    <d v="2018-02-25T00:00:00"/>
    <x v="0"/>
    <x v="0"/>
    <n v="1"/>
    <n v="1"/>
  </r>
  <r>
    <d v="2018-02-12T00:00:00"/>
    <n v="10589"/>
    <s v="WHBH"/>
    <s v="Belo Horizonte"/>
    <s v="MG"/>
    <n v="4056"/>
    <x v="44"/>
    <s v="Goiania"/>
    <s v="GO"/>
    <x v="1"/>
    <s v="GO"/>
    <n v="7906"/>
    <n v="4"/>
    <n v="31.788"/>
    <n v="6100231"/>
    <x v="1"/>
    <s v="Goiania"/>
    <s v="Convencional"/>
    <n v="12"/>
    <d v="2018-02-13T00:00:00"/>
    <x v="21"/>
    <x v="0"/>
    <d v="2018-02-25T00:00:00"/>
    <x v="0"/>
    <x v="0"/>
    <n v="1"/>
    <n v="1"/>
  </r>
  <r>
    <d v="2018-02-12T00:00:00"/>
    <n v="10590"/>
    <s v="WHCPQ"/>
    <s v="Campinas"/>
    <s v="SP"/>
    <n v="4056"/>
    <x v="44"/>
    <s v="Goiania"/>
    <s v="GO"/>
    <x v="1"/>
    <s v="GO"/>
    <n v="3623.83"/>
    <n v="10"/>
    <n v="134.19999999999999"/>
    <n v="6100231"/>
    <x v="1"/>
    <s v="Goiania"/>
    <s v="Convencional"/>
    <n v="11"/>
    <d v="2018-02-13T00:00:00"/>
    <x v="41"/>
    <x v="0"/>
    <d v="2018-02-24T00:00:00"/>
    <x v="0"/>
    <x v="0"/>
    <n v="1"/>
    <n v="1"/>
  </r>
  <r>
    <d v="2018-02-27T00:00:00"/>
    <n v="10636"/>
    <s v="WHVIT"/>
    <s v="Vitoria"/>
    <s v="ES"/>
    <n v="4056"/>
    <x v="44"/>
    <s v="Goiania"/>
    <s v="GO"/>
    <x v="1"/>
    <s v="GO"/>
    <n v="2320.09"/>
    <n v="3"/>
    <n v="5.2690000000000001"/>
    <n v="6100231"/>
    <x v="1"/>
    <s v="Goiania"/>
    <s v="Convencional"/>
    <n v="9"/>
    <d v="2018-02-28T00:00:00"/>
    <x v="58"/>
    <x v="0"/>
    <d v="2018-03-09T00:00:00"/>
    <x v="0"/>
    <x v="0"/>
    <n v="1"/>
    <n v="1"/>
  </r>
  <r>
    <d v="2018-02-27T00:00:00"/>
    <n v="10639"/>
    <s v="WHBH"/>
    <s v="Belo Horizonte"/>
    <s v="MG"/>
    <n v="4056"/>
    <x v="44"/>
    <s v="Goiania"/>
    <s v="GO"/>
    <x v="1"/>
    <s v="GO"/>
    <n v="35.04"/>
    <n v="2"/>
    <n v="0.13500000000000001"/>
    <n v="6100231"/>
    <x v="1"/>
    <s v="Goiania"/>
    <s v="Convencional"/>
    <n v="7"/>
    <d v="2018-02-28T00:00:00"/>
    <x v="34"/>
    <x v="0"/>
    <d v="2018-03-07T00:00:00"/>
    <x v="1"/>
    <x v="0"/>
    <n v="0"/>
    <n v="1"/>
  </r>
  <r>
    <d v="2018-02-27T00:00:00"/>
    <n v="10643"/>
    <s v="WHRJ"/>
    <s v="Rio De Janeiro"/>
    <s v="RJ"/>
    <n v="4056"/>
    <x v="44"/>
    <s v="Goiania"/>
    <s v="GO"/>
    <x v="1"/>
    <s v="GO"/>
    <n v="1567.18"/>
    <n v="1"/>
    <n v="6.8090000000000002"/>
    <n v="6100231"/>
    <x v="1"/>
    <s v="Goiania"/>
    <s v="Convencional"/>
    <n v="9"/>
    <d v="2018-02-28T00:00:00"/>
    <x v="67"/>
    <x v="0"/>
    <d v="2018-03-09T00:00:00"/>
    <x v="0"/>
    <x v="0"/>
    <n v="1"/>
    <n v="1"/>
  </r>
  <r>
    <d v="2018-02-08T00:00:00"/>
    <n v="10575"/>
    <s v="WHCPQ"/>
    <s v="Campinas"/>
    <s v="SP"/>
    <n v="4055"/>
    <x v="45"/>
    <s v="Brasilia"/>
    <s v="DF"/>
    <x v="1"/>
    <s v="DF"/>
    <n v="425.44"/>
    <n v="1"/>
    <n v="0.27200000000000002"/>
    <n v="6100231"/>
    <x v="1"/>
    <s v="Goiania"/>
    <s v="Convencional"/>
    <n v="6"/>
    <d v="2018-02-09T00:00:00"/>
    <x v="40"/>
    <x v="0"/>
    <d v="2018-02-15T00:00:00"/>
    <x v="0"/>
    <x v="0"/>
    <n v="1"/>
    <n v="1"/>
  </r>
  <r>
    <d v="2018-02-08T00:00:00"/>
    <n v="10580"/>
    <s v="WHVIT"/>
    <s v="Vitoria"/>
    <s v="ES"/>
    <n v="4055"/>
    <x v="45"/>
    <s v="Brasilia"/>
    <s v="DF"/>
    <x v="1"/>
    <s v="DF"/>
    <n v="749.68"/>
    <n v="1"/>
    <n v="1.1439999999999999"/>
    <n v="6100231"/>
    <x v="1"/>
    <s v="Goiania"/>
    <s v="Convencional"/>
    <n v="9"/>
    <d v="2018-02-09T00:00:00"/>
    <x v="48"/>
    <x v="0"/>
    <d v="2018-02-18T00:00:00"/>
    <x v="0"/>
    <x v="0"/>
    <n v="1"/>
    <n v="1"/>
  </r>
  <r>
    <d v="2018-02-09T00:00:00"/>
    <n v="10583"/>
    <s v="WHVIT"/>
    <s v="Vitoria"/>
    <s v="ES"/>
    <n v="4055"/>
    <x v="45"/>
    <s v="Brasilia"/>
    <s v="DF"/>
    <x v="1"/>
    <s v="DF"/>
    <n v="786.27"/>
    <n v="1"/>
    <n v="1.101"/>
    <n v="6100231"/>
    <x v="1"/>
    <s v="Goiania"/>
    <s v="Convencional"/>
    <n v="4"/>
    <d v="2018-02-10T00:00:00"/>
    <x v="55"/>
    <x v="0"/>
    <d v="2018-02-14T00:00:00"/>
    <x v="1"/>
    <x v="0"/>
    <n v="0"/>
    <n v="1"/>
  </r>
  <r>
    <d v="2018-02-09T00:00:00"/>
    <n v="10586"/>
    <s v="WHRJ"/>
    <s v="Rio De Janeiro"/>
    <s v="RJ"/>
    <n v="4055"/>
    <x v="45"/>
    <s v="Brasilia"/>
    <s v="DF"/>
    <x v="1"/>
    <s v="DF"/>
    <n v="1316.4"/>
    <n v="6"/>
    <n v="116.16"/>
    <n v="6100231"/>
    <x v="1"/>
    <s v="Goiania"/>
    <s v="Convencional"/>
    <n v="4"/>
    <d v="2018-02-10T00:00:00"/>
    <x v="25"/>
    <x v="0"/>
    <d v="2018-02-14T00:00:00"/>
    <x v="1"/>
    <x v="0"/>
    <n v="0"/>
    <n v="1"/>
  </r>
  <r>
    <d v="2018-02-21T00:00:00"/>
    <n v="10621"/>
    <s v="WHVIT"/>
    <s v="Vitoria"/>
    <s v="ES"/>
    <n v="4055"/>
    <x v="45"/>
    <s v="Brasilia"/>
    <s v="DF"/>
    <x v="1"/>
    <s v="DF"/>
    <n v="21.49"/>
    <n v="1"/>
    <n v="0.217"/>
    <n v="6100231"/>
    <x v="1"/>
    <s v="Goiania"/>
    <s v="Convencional"/>
    <n v="3"/>
    <d v="2018-02-22T00:00:00"/>
    <x v="27"/>
    <x v="0"/>
    <d v="2018-02-25T00:00:00"/>
    <x v="1"/>
    <x v="0"/>
    <n v="0"/>
    <n v="1"/>
  </r>
  <r>
    <d v="2018-02-21T00:00:00"/>
    <n v="10623"/>
    <s v="WHCPQ"/>
    <s v="Campinas"/>
    <s v="SP"/>
    <n v="4055"/>
    <x v="45"/>
    <s v="Brasilia"/>
    <s v="DF"/>
    <x v="1"/>
    <s v="DF"/>
    <n v="3594.73"/>
    <n v="1"/>
    <n v="1.1200000000000001"/>
    <n v="6100231"/>
    <x v="1"/>
    <s v="Goiania"/>
    <s v="Convencional"/>
    <n v="4"/>
    <d v="2018-02-22T00:00:00"/>
    <x v="26"/>
    <x v="0"/>
    <d v="2018-02-26T00:00:00"/>
    <x v="1"/>
    <x v="0"/>
    <n v="0"/>
    <n v="1"/>
  </r>
  <r>
    <d v="2018-01-27T00:00:00"/>
    <n v="10513"/>
    <s v="WHBH"/>
    <s v="Belo Horizonte"/>
    <s v="MG"/>
    <n v="4042"/>
    <x v="46"/>
    <s v="Campo Grande"/>
    <s v="MS"/>
    <x v="1"/>
    <s v="MS"/>
    <n v="696.61"/>
    <n v="2"/>
    <n v="3.8940000000000001"/>
    <n v="6100231"/>
    <x v="1"/>
    <s v="Goiania"/>
    <s v="Convencional"/>
    <n v="12"/>
    <d v="2018-01-27T00:00:00"/>
    <x v="47"/>
    <x v="0"/>
    <d v="2018-02-08T00:00:00"/>
    <x v="0"/>
    <x v="0"/>
    <n v="1"/>
    <n v="1"/>
  </r>
  <r>
    <d v="2018-01-27T00:00:00"/>
    <n v="10515"/>
    <s v="WHSAO"/>
    <s v="Sao Paulo"/>
    <s v="SP"/>
    <n v="4042"/>
    <x v="46"/>
    <s v="Campo Grande"/>
    <s v="MS"/>
    <x v="1"/>
    <s v="MS"/>
    <n v="66.37"/>
    <n v="1"/>
    <n v="0.84699999999999998"/>
    <n v="6100231"/>
    <x v="1"/>
    <s v="Goiania"/>
    <s v="Convencional"/>
    <n v="7"/>
    <d v="2018-01-27T00:00:00"/>
    <x v="16"/>
    <x v="0"/>
    <d v="2018-02-03T00:00:00"/>
    <x v="0"/>
    <x v="0"/>
    <n v="1"/>
    <n v="1"/>
  </r>
  <r>
    <d v="2018-01-27T00:00:00"/>
    <n v="10516"/>
    <s v="WHSJC"/>
    <s v="Sao Jose dos Campos"/>
    <s v="SP"/>
    <n v="4042"/>
    <x v="46"/>
    <s v="Campo Grande"/>
    <s v="MS"/>
    <x v="1"/>
    <s v="MS"/>
    <n v="969.24"/>
    <n v="2"/>
    <n v="7.0419999999999998"/>
    <n v="6100231"/>
    <x v="1"/>
    <s v="Goiania"/>
    <s v="Convencional"/>
    <n v="4"/>
    <d v="2018-01-27T00:00:00"/>
    <x v="47"/>
    <x v="0"/>
    <d v="2018-01-31T00:00:00"/>
    <x v="0"/>
    <x v="0"/>
    <n v="1"/>
    <n v="1"/>
  </r>
  <r>
    <d v="2018-01-27T00:00:00"/>
    <n v="10519"/>
    <s v="WHRJ"/>
    <s v="Rio De Janeiro"/>
    <s v="RJ"/>
    <n v="4042"/>
    <x v="46"/>
    <s v="Campo Grande"/>
    <s v="MS"/>
    <x v="1"/>
    <s v="MS"/>
    <n v="5662.21"/>
    <n v="12"/>
    <n v="18.719000000000001"/>
    <n v="6100231"/>
    <x v="1"/>
    <s v="Goiania"/>
    <s v="Convencional"/>
    <n v="3"/>
    <d v="2018-01-27T00:00:00"/>
    <x v="45"/>
    <x v="0"/>
    <d v="2018-01-30T00:00:00"/>
    <x v="1"/>
    <x v="0"/>
    <n v="0"/>
    <n v="1"/>
  </r>
  <r>
    <d v="2018-01-26T00:00:00"/>
    <n v="10520"/>
    <s v="WHRJ"/>
    <s v="Rio De Janeiro"/>
    <s v="RJ"/>
    <n v="4042"/>
    <x v="46"/>
    <s v="Campo Grande"/>
    <s v="MS"/>
    <x v="1"/>
    <s v="MS"/>
    <n v="136.66"/>
    <n v="1"/>
    <n v="0.94699999999999995"/>
    <n v="6100231"/>
    <x v="1"/>
    <s v="Goiania"/>
    <s v="Convencional"/>
    <n v="10"/>
    <d v="2018-01-27T00:00:00"/>
    <x v="45"/>
    <x v="0"/>
    <d v="2018-02-06T00:00:00"/>
    <x v="0"/>
    <x v="0"/>
    <n v="1"/>
    <n v="1"/>
  </r>
  <r>
    <d v="2018-01-26T00:00:00"/>
    <n v="10522"/>
    <s v="WHBH"/>
    <s v="Belo Horizonte"/>
    <s v="MG"/>
    <n v="4042"/>
    <x v="46"/>
    <s v="Campo Grande"/>
    <s v="MS"/>
    <x v="1"/>
    <s v="MS"/>
    <n v="897.5"/>
    <n v="2"/>
    <n v="6.3280000000000003"/>
    <n v="6100231"/>
    <x v="1"/>
    <s v="Goiania"/>
    <s v="Convencional"/>
    <n v="8"/>
    <d v="2018-01-27T00:00:00"/>
    <x v="18"/>
    <x v="0"/>
    <d v="2018-02-04T00:00:00"/>
    <x v="1"/>
    <x v="0"/>
    <n v="0"/>
    <n v="1"/>
  </r>
  <r>
    <d v="2018-02-15T00:00:00"/>
    <n v="10596"/>
    <s v="WHRJ"/>
    <s v="Rio De Janeiro"/>
    <s v="RJ"/>
    <n v="4042"/>
    <x v="46"/>
    <s v="Campo Grande"/>
    <s v="MS"/>
    <x v="1"/>
    <s v="MS"/>
    <n v="385.75"/>
    <n v="2"/>
    <n v="4.3179999999999996"/>
    <n v="6100231"/>
    <x v="1"/>
    <s v="Goiania"/>
    <s v="Convencional"/>
    <n v="2"/>
    <d v="2018-02-16T00:00:00"/>
    <x v="68"/>
    <x v="0"/>
    <d v="2018-02-18T00:00:00"/>
    <x v="1"/>
    <x v="0"/>
    <n v="0"/>
    <n v="1"/>
  </r>
  <r>
    <d v="2018-02-15T00:00:00"/>
    <n v="10599"/>
    <s v="WHVIT"/>
    <s v="Vitoria"/>
    <s v="ES"/>
    <n v="4042"/>
    <x v="46"/>
    <s v="Campo Grande"/>
    <s v="MS"/>
    <x v="1"/>
    <s v="MS"/>
    <n v="2415.5100000000002"/>
    <n v="1"/>
    <n v="1.101"/>
    <n v="6100231"/>
    <x v="1"/>
    <s v="Goiania"/>
    <s v="Convencional"/>
    <n v="12"/>
    <d v="2018-02-16T00:00:00"/>
    <x v="4"/>
    <x v="0"/>
    <d v="2018-02-28T00:00:00"/>
    <x v="0"/>
    <x v="0"/>
    <n v="1"/>
    <n v="1"/>
  </r>
  <r>
    <d v="2018-02-15T00:00:00"/>
    <n v="10601"/>
    <s v="WHCPQ"/>
    <s v="Campinas"/>
    <s v="SP"/>
    <n v="4042"/>
    <x v="46"/>
    <s v="Campo Grande"/>
    <s v="MS"/>
    <x v="1"/>
    <s v="MS"/>
    <n v="284.29000000000002"/>
    <n v="1"/>
    <n v="1.4650000000000001"/>
    <n v="6100231"/>
    <x v="1"/>
    <s v="Goiania"/>
    <s v="Convencional"/>
    <n v="10"/>
    <d v="2018-02-16T00:00:00"/>
    <x v="21"/>
    <x v="0"/>
    <d v="2018-02-26T00:00:00"/>
    <x v="0"/>
    <x v="0"/>
    <n v="1"/>
    <n v="1"/>
  </r>
  <r>
    <d v="2018-02-15T00:00:00"/>
    <n v="10602"/>
    <s v="WHRJ"/>
    <s v="Rio De Janeiro"/>
    <s v="RJ"/>
    <n v="4042"/>
    <x v="46"/>
    <s v="Campo Grande"/>
    <s v="MS"/>
    <x v="1"/>
    <s v="MS"/>
    <n v="664.04"/>
    <n v="1"/>
    <n v="1.65"/>
    <n v="6100231"/>
    <x v="1"/>
    <s v="Goiania"/>
    <s v="Convencional"/>
    <n v="9"/>
    <d v="2018-02-16T00:00:00"/>
    <x v="68"/>
    <x v="1"/>
    <d v="2018-02-25T00:00:00"/>
    <x v="0"/>
    <x v="1"/>
    <n v="0"/>
    <n v="1"/>
  </r>
  <r>
    <d v="2018-02-15T00:00:00"/>
    <n v="10603"/>
    <s v="WHPOA"/>
    <s v="Porto Alegre"/>
    <s v="RS"/>
    <n v="4042"/>
    <x v="46"/>
    <s v="Campo Grande"/>
    <s v="MS"/>
    <x v="1"/>
    <s v="MS"/>
    <n v="2030.71"/>
    <n v="3"/>
    <n v="15.266999999999999"/>
    <n v="6100231"/>
    <x v="1"/>
    <s v="Goiania"/>
    <s v="Convencional"/>
    <n v="1"/>
    <d v="2018-02-16T00:00:00"/>
    <x v="22"/>
    <x v="0"/>
    <d v="2018-02-17T00:00:00"/>
    <x v="1"/>
    <x v="0"/>
    <n v="0"/>
    <n v="1"/>
  </r>
  <r>
    <d v="2018-03-03T00:00:00"/>
    <n v="10648"/>
    <s v="WHVIT"/>
    <s v="Vitoria"/>
    <s v="ES"/>
    <n v="4067"/>
    <x v="47"/>
    <s v="Brasilia"/>
    <s v="DF"/>
    <x v="1"/>
    <s v="DF"/>
    <n v="1647.36"/>
    <n v="5"/>
    <n v="67.099999999999994"/>
    <n v="6100231"/>
    <x v="1"/>
    <s v="Goiania"/>
    <s v="Convencional"/>
    <n v="6"/>
    <d v="2018-03-03T00:00:00"/>
    <x v="69"/>
    <x v="0"/>
    <d v="2018-03-09T00:00:00"/>
    <x v="0"/>
    <x v="0"/>
    <n v="1"/>
    <n v="1"/>
  </r>
  <r>
    <d v="2018-03-03T00:00:00"/>
    <n v="10649"/>
    <s v="WHBH"/>
    <s v="Belo Horizonte"/>
    <s v="MG"/>
    <n v="4067"/>
    <x v="47"/>
    <s v="Brasilia"/>
    <s v="DF"/>
    <x v="1"/>
    <s v="DF"/>
    <n v="4530.88"/>
    <n v="3"/>
    <n v="29.07"/>
    <n v="6100231"/>
    <x v="1"/>
    <s v="Goiania"/>
    <s v="Convencional"/>
    <n v="6"/>
    <d v="2018-03-03T00:00:00"/>
    <x v="69"/>
    <x v="0"/>
    <d v="2018-03-09T00:00:00"/>
    <x v="0"/>
    <x v="0"/>
    <n v="1"/>
    <n v="1"/>
  </r>
  <r>
    <d v="2018-03-03T00:00:00"/>
    <n v="10650"/>
    <s v="WHVIT"/>
    <s v="Vitoria"/>
    <s v="ES"/>
    <n v="4067"/>
    <x v="47"/>
    <s v="Brasilia"/>
    <s v="DF"/>
    <x v="1"/>
    <s v="DF"/>
    <n v="274.61"/>
    <n v="1"/>
    <n v="1.1000000000000001"/>
    <n v="6100231"/>
    <x v="1"/>
    <s v="Goiania"/>
    <s v="Convencional"/>
    <n v="2"/>
    <d v="2018-03-03T00:00:00"/>
    <x v="69"/>
    <x v="0"/>
    <d v="2018-03-05T00:00:00"/>
    <x v="1"/>
    <x v="0"/>
    <n v="0"/>
    <n v="1"/>
  </r>
  <r>
    <d v="2018-03-03T00:00:00"/>
    <n v="10651"/>
    <s v="WHVIT"/>
    <s v="Vitoria"/>
    <s v="ES"/>
    <n v="4067"/>
    <x v="47"/>
    <s v="Brasilia"/>
    <s v="DF"/>
    <x v="1"/>
    <s v="DF"/>
    <n v="103.56"/>
    <n v="2"/>
    <n v="0.48"/>
    <n v="6100231"/>
    <x v="1"/>
    <s v="Goiania"/>
    <s v="Convencional"/>
    <n v="5"/>
    <d v="2018-03-03T00:00:00"/>
    <x v="69"/>
    <x v="0"/>
    <d v="2018-03-08T00:00:00"/>
    <x v="0"/>
    <x v="0"/>
    <n v="1"/>
    <n v="1"/>
  </r>
  <r>
    <d v="2018-03-03T00:00:00"/>
    <n v="10652"/>
    <s v="WHSJC"/>
    <s v="Sao Jose dos Campos"/>
    <s v="SP"/>
    <n v="4067"/>
    <x v="47"/>
    <s v="Brasilia"/>
    <s v="DF"/>
    <x v="1"/>
    <s v="DF"/>
    <n v="884.55"/>
    <n v="1"/>
    <n v="11.837999999999999"/>
    <n v="6100231"/>
    <x v="1"/>
    <s v="Goiania"/>
    <s v="Convencional"/>
    <n v="1"/>
    <d v="2018-03-03T00:00:00"/>
    <x v="67"/>
    <x v="0"/>
    <d v="2018-03-04T00:00:00"/>
    <x v="1"/>
    <x v="0"/>
    <n v="0"/>
    <n v="1"/>
  </r>
  <r>
    <d v="2018-01-30T00:00:00"/>
    <n v="10528"/>
    <s v="WHVIT"/>
    <s v="Vitoria"/>
    <s v="ES"/>
    <n v="4044"/>
    <x v="48"/>
    <s v="Belo Horizonte"/>
    <s v="MG"/>
    <x v="2"/>
    <s v="MG"/>
    <n v="284.99"/>
    <n v="3"/>
    <n v="25.677"/>
    <n v="6600879"/>
    <x v="2"/>
    <s v="Belo Horizonte"/>
    <s v="Convencional"/>
    <n v="9"/>
    <d v="2018-01-31T00:00:00"/>
    <x v="15"/>
    <x v="0"/>
    <d v="2018-02-09T00:00:00"/>
    <x v="0"/>
    <x v="0"/>
    <n v="1"/>
    <n v="1"/>
  </r>
  <r>
    <d v="2018-01-30T00:00:00"/>
    <n v="10532"/>
    <s v="WHRJ"/>
    <s v="Rio De Janeiro"/>
    <s v="RJ"/>
    <n v="4044"/>
    <x v="48"/>
    <s v="Belo Horizonte"/>
    <s v="MG"/>
    <x v="2"/>
    <s v="MG"/>
    <n v="515.92999999999995"/>
    <n v="1"/>
    <n v="1.177"/>
    <n v="6600879"/>
    <x v="2"/>
    <s v="Belo Horizonte"/>
    <s v="Convencional"/>
    <n v="4"/>
    <d v="2018-01-31T00:00:00"/>
    <x v="2"/>
    <x v="0"/>
    <d v="2018-02-04T00:00:00"/>
    <x v="1"/>
    <x v="0"/>
    <n v="0"/>
    <n v="1"/>
  </r>
  <r>
    <d v="2018-01-30T00:00:00"/>
    <n v="10536"/>
    <s v="WHPOA"/>
    <s v="Porto Alegre"/>
    <s v="RS"/>
    <n v="4044"/>
    <x v="48"/>
    <s v="Belo Horizonte"/>
    <s v="MG"/>
    <x v="2"/>
    <s v="MG"/>
    <n v="539.03"/>
    <n v="1"/>
    <n v="0.38600000000000001"/>
    <n v="6600879"/>
    <x v="2"/>
    <s v="Belo Horizonte"/>
    <s v="Urgente"/>
    <n v="6"/>
    <d v="2018-01-31T00:00:00"/>
    <x v="66"/>
    <x v="0"/>
    <d v="2018-02-06T00:00:00"/>
    <x v="0"/>
    <x v="0"/>
    <n v="1"/>
    <n v="1"/>
  </r>
  <r>
    <d v="2018-01-30T00:00:00"/>
    <n v="10529"/>
    <s v="WHPOA"/>
    <s v="Porto Alegre"/>
    <s v="RS"/>
    <n v="4045"/>
    <x v="49"/>
    <s v="Belo Horizonte"/>
    <s v="MG"/>
    <x v="2"/>
    <s v="MG"/>
    <n v="1257.97"/>
    <n v="1"/>
    <n v="1.1200000000000001"/>
    <n v="6600879"/>
    <x v="2"/>
    <s v="Belo Horizonte"/>
    <s v="Convencional"/>
    <n v="6"/>
    <d v="2018-01-31T00:00:00"/>
    <x v="66"/>
    <x v="0"/>
    <d v="2018-02-06T00:00:00"/>
    <x v="0"/>
    <x v="0"/>
    <n v="1"/>
    <n v="1"/>
  </r>
  <r>
    <d v="2018-01-30T00:00:00"/>
    <n v="10533"/>
    <s v="WHPOA"/>
    <s v="Porto Alegre"/>
    <s v="RS"/>
    <n v="4045"/>
    <x v="49"/>
    <s v="Belo Horizonte"/>
    <s v="MG"/>
    <x v="2"/>
    <s v="MG"/>
    <n v="67.41"/>
    <n v="1"/>
    <n v="0.84699999999999998"/>
    <n v="6600879"/>
    <x v="2"/>
    <s v="Belo Horizonte"/>
    <s v="Convencional"/>
    <n v="12"/>
    <d v="2018-01-31T00:00:00"/>
    <x v="66"/>
    <x v="0"/>
    <d v="2018-02-12T00:00:00"/>
    <x v="0"/>
    <x v="0"/>
    <n v="1"/>
    <n v="1"/>
  </r>
  <r>
    <d v="2018-01-30T00:00:00"/>
    <n v="10537"/>
    <s v="WHRJ"/>
    <s v="Rio De Janeiro"/>
    <s v="RJ"/>
    <n v="4045"/>
    <x v="49"/>
    <s v="Belo Horizonte"/>
    <s v="MG"/>
    <x v="2"/>
    <s v="MG"/>
    <n v="615.35"/>
    <n v="1"/>
    <n v="3.96"/>
    <n v="6600879"/>
    <x v="2"/>
    <s v="Belo Horizonte"/>
    <s v="Convencional"/>
    <n v="1"/>
    <d v="2018-01-31T00:00:00"/>
    <x v="18"/>
    <x v="0"/>
    <d v="2018-02-01T00:00:00"/>
    <x v="1"/>
    <x v="0"/>
    <n v="0"/>
    <n v="1"/>
  </r>
  <r>
    <d v="2018-02-02T00:00:00"/>
    <n v="10544"/>
    <s v="WHSJC"/>
    <s v="Sao Jose dos Campos"/>
    <s v="SP"/>
    <n v="4047"/>
    <x v="50"/>
    <s v="Belo Horizonte"/>
    <s v="MG"/>
    <x v="2"/>
    <s v="MG"/>
    <n v="4576.79"/>
    <n v="11"/>
    <n v="161.13900000000001"/>
    <n v="6600879"/>
    <x v="2"/>
    <s v="Belo Horizonte"/>
    <s v="Convencional"/>
    <n v="12"/>
    <d v="2018-02-02T00:00:00"/>
    <x v="51"/>
    <x v="1"/>
    <d v="2018-02-14T00:00:00"/>
    <x v="0"/>
    <x v="1"/>
    <n v="0"/>
    <n v="1"/>
  </r>
  <r>
    <d v="2018-02-01T00:00:00"/>
    <n v="10545"/>
    <s v="WHCPQ"/>
    <s v="Campinas"/>
    <s v="SP"/>
    <n v="4047"/>
    <x v="50"/>
    <s v="Belo Horizonte"/>
    <s v="MG"/>
    <x v="2"/>
    <s v="MG"/>
    <n v="2137.04"/>
    <n v="3"/>
    <n v="7.8029999999999999"/>
    <n v="6600879"/>
    <x v="2"/>
    <s v="Belo Horizonte"/>
    <s v="Convencional"/>
    <n v="4"/>
    <d v="2018-02-02T00:00:00"/>
    <x v="66"/>
    <x v="0"/>
    <d v="2018-02-06T00:00:00"/>
    <x v="0"/>
    <x v="0"/>
    <n v="1"/>
    <n v="1"/>
  </r>
  <r>
    <d v="2018-02-02T00:00:00"/>
    <n v="10548"/>
    <s v="WHBH"/>
    <s v="Belo Horizonte"/>
    <s v="MG"/>
    <n v="4048"/>
    <x v="51"/>
    <s v="Brasilia"/>
    <s v="DF"/>
    <x v="1"/>
    <s v="DF"/>
    <n v="68699.87"/>
    <n v="79"/>
    <n v="337.46600000000001"/>
    <n v="6100231"/>
    <x v="1"/>
    <s v="Goiania"/>
    <s v="Convencional"/>
    <n v="3"/>
    <d v="2018-02-03T00:00:00"/>
    <x v="42"/>
    <x v="1"/>
    <d v="2018-02-06T00:00:00"/>
    <x v="1"/>
    <x v="1"/>
    <n v="0"/>
    <n v="1"/>
  </r>
  <r>
    <d v="2018-02-05T00:00:00"/>
    <n v="10559"/>
    <s v="WHSJC"/>
    <s v="Sao Jose dos Campos"/>
    <s v="SP"/>
    <n v="4050"/>
    <x v="52"/>
    <s v="Campo Grande"/>
    <s v="MS"/>
    <x v="1"/>
    <s v="MS"/>
    <n v="3660.35"/>
    <n v="3"/>
    <n v="38.5"/>
    <n v="6100231"/>
    <x v="1"/>
    <s v="Goiania"/>
    <s v="Convencional"/>
    <n v="7"/>
    <d v="2018-02-06T00:00:00"/>
    <x v="42"/>
    <x v="0"/>
    <d v="2018-02-13T00:00:00"/>
    <x v="0"/>
    <x v="0"/>
    <n v="1"/>
    <n v="1"/>
  </r>
  <r>
    <d v="2018-02-27T00:00:00"/>
    <n v="10634"/>
    <s v="WHVIT"/>
    <s v="Vitoria"/>
    <s v="ES"/>
    <n v="4064"/>
    <x v="53"/>
    <s v="Presidente Prudente"/>
    <s v="SP"/>
    <x v="2"/>
    <s v="SP"/>
    <n v="2102.2199999999998"/>
    <n v="2"/>
    <n v="18.7"/>
    <n v="6400835"/>
    <x v="3"/>
    <s v="Guarulhos"/>
    <s v="Convencional"/>
    <n v="8"/>
    <d v="2018-02-28T00:00:00"/>
    <x v="67"/>
    <x v="0"/>
    <d v="2018-03-08T00:00:00"/>
    <x v="1"/>
    <x v="0"/>
    <n v="0"/>
    <n v="1"/>
  </r>
  <r>
    <d v="2018-02-27T00:00:00"/>
    <n v="10635"/>
    <s v="WHCPQ"/>
    <s v="Campinas"/>
    <s v="SP"/>
    <n v="4064"/>
    <x v="53"/>
    <s v="Presidente Prudente"/>
    <s v="SP"/>
    <x v="2"/>
    <s v="SP"/>
    <n v="3153.35"/>
    <n v="3"/>
    <n v="28.05"/>
    <n v="6400835"/>
    <x v="3"/>
    <s v="Guarulhos"/>
    <s v="Convencional"/>
    <n v="9"/>
    <d v="2018-02-28T00:00:00"/>
    <x v="28"/>
    <x v="0"/>
    <d v="2018-03-09T00:00:00"/>
    <x v="0"/>
    <x v="0"/>
    <n v="1"/>
    <n v="1"/>
  </r>
  <r>
    <d v="2018-02-27T00:00:00"/>
    <n v="10638"/>
    <s v="WHCPQ"/>
    <s v="Campinas"/>
    <s v="SP"/>
    <n v="4064"/>
    <x v="53"/>
    <s v="Presidente Prudente"/>
    <s v="SP"/>
    <x v="2"/>
    <s v="SP"/>
    <n v="3790.4"/>
    <n v="5"/>
    <n v="9.7149999999999999"/>
    <n v="6400835"/>
    <x v="3"/>
    <s v="Guarulhos"/>
    <s v="Convencional"/>
    <n v="1"/>
    <d v="2018-02-28T00:00:00"/>
    <x v="35"/>
    <x v="0"/>
    <d v="2018-03-01T00:00:00"/>
    <x v="1"/>
    <x v="0"/>
    <n v="0"/>
    <n v="1"/>
  </r>
  <r>
    <d v="2018-02-27T00:00:00"/>
    <n v="10642"/>
    <s v="WHVIT"/>
    <s v="Vitoria"/>
    <s v="ES"/>
    <n v="4064"/>
    <x v="53"/>
    <s v="Presidente Prudente"/>
    <s v="SP"/>
    <x v="2"/>
    <s v="SP"/>
    <n v="255.38"/>
    <n v="1"/>
    <n v="1.1200000000000001"/>
    <n v="6400835"/>
    <x v="3"/>
    <s v="Guarulhos"/>
    <s v="Convencional"/>
    <n v="6"/>
    <d v="2018-02-28T00:00:00"/>
    <x v="61"/>
    <x v="0"/>
    <d v="2018-03-06T00:00:00"/>
    <x v="0"/>
    <x v="0"/>
    <n v="1"/>
    <n v="1"/>
  </r>
  <r>
    <d v="2018-03-02T00:00:00"/>
    <n v="10647"/>
    <s v="WHSAO"/>
    <s v="Sao Paulo"/>
    <s v="SP"/>
    <n v="4066"/>
    <x v="54"/>
    <s v="Brasilia"/>
    <s v="DF"/>
    <x v="1"/>
    <s v="DF"/>
    <n v="178.8"/>
    <n v="1"/>
    <n v="0.23100000000000001"/>
    <n v="6100231"/>
    <x v="1"/>
    <s v="Goiania"/>
    <s v="Convencional"/>
    <n v="11"/>
    <d v="2018-03-02T00:00:00"/>
    <x v="60"/>
    <x v="0"/>
    <d v="2018-03-13T00:00:00"/>
    <x v="0"/>
    <x v="0"/>
    <n v="1"/>
    <n v="1"/>
  </r>
  <r>
    <d v="2018-02-14T00:00:00"/>
    <n v="10592"/>
    <s v="WHPOA"/>
    <s v="Porto Alegre"/>
    <s v="RS"/>
    <n v="4057"/>
    <x v="55"/>
    <s v="Taguatinga"/>
    <s v="DF"/>
    <x v="1"/>
    <s v="DF"/>
    <n v="219.4"/>
    <n v="1"/>
    <n v="1.1200000000000001"/>
    <n v="6100231"/>
    <x v="1"/>
    <s v="Goiania"/>
    <s v="Convencional"/>
    <n v="11"/>
    <d v="2018-02-15T00:00:00"/>
    <x v="19"/>
    <x v="0"/>
    <d v="2018-02-26T00:00:00"/>
    <x v="0"/>
    <x v="0"/>
    <n v="1"/>
    <n v="1"/>
  </r>
  <r>
    <d v="2018-02-20T00:00:00"/>
    <n v="10611"/>
    <s v="WHSJC"/>
    <s v="Sao Jose dos Campos"/>
    <s v="SP"/>
    <n v="4060"/>
    <x v="56"/>
    <s v="Sinop"/>
    <s v="MT"/>
    <x v="1"/>
    <s v="MT"/>
    <n v="486.65"/>
    <n v="1"/>
    <n v="1.5549999999999999"/>
    <n v="6100231"/>
    <x v="1"/>
    <s v="Goiania"/>
    <s v="Convencional"/>
    <n v="2"/>
    <d v="2018-02-20T00:00:00"/>
    <x v="23"/>
    <x v="2"/>
    <d v="2018-02-22T00:00:00"/>
    <x v="1"/>
    <x v="1"/>
    <n v="0"/>
    <n v="1"/>
  </r>
  <r>
    <d v="2018-03-07T00:00:00"/>
    <n v="10656"/>
    <s v="WHSAO"/>
    <s v="Sao Paulo"/>
    <s v="SP"/>
    <n v="4069"/>
    <x v="57"/>
    <s v="Brasilia"/>
    <s v="DF"/>
    <x v="1"/>
    <s v="DF"/>
    <n v="4971.03"/>
    <n v="4"/>
    <n v="13.64"/>
    <n v="6100231"/>
    <x v="1"/>
    <s v="Goiania"/>
    <s v="Convencional"/>
    <n v="4"/>
    <d v="2018-03-07T00:00:00"/>
    <x v="34"/>
    <x v="0"/>
    <d v="2018-03-11T00:00:00"/>
    <x v="0"/>
    <x v="0"/>
    <n v="1"/>
    <n v="1"/>
  </r>
  <r>
    <d v="2018-03-09T00:00:00"/>
    <n v="10676"/>
    <s v="WHPOA"/>
    <s v="Porto Alegre"/>
    <s v="RS"/>
    <n v="4030"/>
    <x v="30"/>
    <s v="Belo Horizonte"/>
    <s v="MG"/>
    <x v="2"/>
    <s v="MG"/>
    <n v="349.47"/>
    <n v="1"/>
    <n v="0.77"/>
    <n v="6600879"/>
    <x v="2"/>
    <s v="Belo Horizonte"/>
    <s v="Convencional"/>
    <n v="7"/>
    <d v="2018-03-09T00:00:00"/>
    <x v="56"/>
    <x v="0"/>
    <d v="2018-03-16T00:00:00"/>
    <x v="0"/>
    <x v="0"/>
    <n v="1"/>
    <n v="1"/>
  </r>
  <r>
    <d v="2018-03-09T00:00:00"/>
    <n v="10677"/>
    <s v="WHRJ"/>
    <s v="Rio De Janeiro"/>
    <s v="RJ"/>
    <n v="4026"/>
    <x v="23"/>
    <s v="Belo Horizonte"/>
    <s v="MG"/>
    <x v="2"/>
    <s v="MG"/>
    <n v="110.09"/>
    <n v="1"/>
    <n v="4.4000000000000004"/>
    <n v="6600879"/>
    <x v="2"/>
    <s v="Belo Horizonte"/>
    <s v="Convencional"/>
    <n v="9"/>
    <d v="2018-03-09T00:00:00"/>
    <x v="50"/>
    <x v="0"/>
    <d v="2018-03-18T00:00:00"/>
    <x v="0"/>
    <x v="0"/>
    <n v="1"/>
    <n v="1"/>
  </r>
  <r>
    <d v="2018-03-09T00:00:00"/>
    <n v="10678"/>
    <s v="WHSAO"/>
    <s v="Sao Paulo"/>
    <s v="SP"/>
    <n v="4029"/>
    <x v="29"/>
    <s v="Joinville"/>
    <s v="SC"/>
    <x v="0"/>
    <s v="SC"/>
    <n v="5347.08"/>
    <n v="4"/>
    <n v="59.686"/>
    <n v="6500948"/>
    <x v="0"/>
    <s v="Porto Alegre"/>
    <s v="Convencional"/>
    <n v="5"/>
    <d v="2018-03-09T00:00:00"/>
    <x v="63"/>
    <x v="1"/>
    <d v="2018-03-14T00:00:00"/>
    <x v="0"/>
    <x v="1"/>
    <n v="0"/>
    <n v="1"/>
  </r>
  <r>
    <d v="2018-03-09T00:00:00"/>
    <n v="10679"/>
    <s v="WHCPQ"/>
    <s v="Campinas"/>
    <s v="SP"/>
    <n v="4022"/>
    <x v="19"/>
    <s v="Maringa"/>
    <s v="PR"/>
    <x v="0"/>
    <s v="PR"/>
    <n v="6844.65"/>
    <n v="10"/>
    <n v="216.81"/>
    <n v="6500948"/>
    <x v="0"/>
    <s v="Porto Alegre"/>
    <s v="Convencional"/>
    <n v="7"/>
    <d v="2018-03-09T00:00:00"/>
    <x v="60"/>
    <x v="1"/>
    <d v="2018-03-16T00:00:00"/>
    <x v="0"/>
    <x v="1"/>
    <n v="0"/>
    <n v="1"/>
  </r>
  <r>
    <d v="2018-03-09T00:00:00"/>
    <n v="10680"/>
    <s v="WHSAO"/>
    <s v="Sao Paulo"/>
    <s v="SP"/>
    <n v="4025"/>
    <x v="22"/>
    <s v="Novo Hamburgo"/>
    <s v="RS"/>
    <x v="0"/>
    <s v="RS"/>
    <n v="938.6"/>
    <n v="2"/>
    <n v="14.96"/>
    <n v="6500948"/>
    <x v="0"/>
    <s v="Porto Alegre"/>
    <s v="Convencional"/>
    <n v="2"/>
    <d v="2018-03-09T00:00:00"/>
    <x v="50"/>
    <x v="2"/>
    <d v="2018-03-11T00:00:00"/>
    <x v="1"/>
    <x v="1"/>
    <n v="0"/>
    <n v="1"/>
  </r>
  <r>
    <d v="2018-03-09T00:00:00"/>
    <n v="10681"/>
    <s v="WHBH"/>
    <s v="Belo Horizonte"/>
    <s v="MG"/>
    <n v="4028"/>
    <x v="26"/>
    <s v="Sao Jose Dos Pinhais"/>
    <s v="PR"/>
    <x v="0"/>
    <s v="PR"/>
    <n v="107.51"/>
    <n v="1"/>
    <n v="0.17199999999999999"/>
    <n v="6500948"/>
    <x v="0"/>
    <s v="Porto Alegre"/>
    <s v="Convencional"/>
    <n v="1"/>
    <d v="2018-03-09T00:00:00"/>
    <x v="70"/>
    <x v="0"/>
    <d v="2018-03-10T00:00:00"/>
    <x v="1"/>
    <x v="0"/>
    <n v="0"/>
    <n v="1"/>
  </r>
  <r>
    <d v="2018-03-09T00:00:00"/>
    <n v="10682"/>
    <s v="WHPOA"/>
    <s v="Porto Alegre"/>
    <s v="RS"/>
    <n v="4030"/>
    <x v="30"/>
    <s v="Belo Horizonte"/>
    <s v="MG"/>
    <x v="2"/>
    <s v="MG"/>
    <n v="5747.44"/>
    <n v="8"/>
    <n v="35.771999999999998"/>
    <n v="6600879"/>
    <x v="2"/>
    <s v="Belo Horizonte"/>
    <s v="Convencional"/>
    <n v="7"/>
    <d v="2018-03-09T00:00:00"/>
    <x v="62"/>
    <x v="0"/>
    <d v="2018-03-16T00:00:00"/>
    <x v="1"/>
    <x v="0"/>
    <n v="0"/>
    <n v="1"/>
  </r>
  <r>
    <d v="2018-03-10T00:00:00"/>
    <n v="10683"/>
    <s v="WHSJC"/>
    <s v="Sao Jose dos Campos"/>
    <s v="SP"/>
    <n v="4070"/>
    <x v="58"/>
    <s v="Rio De Janeiro"/>
    <s v="RJ"/>
    <x v="2"/>
    <s v="RJ"/>
    <n v="1323.37"/>
    <n v="2"/>
    <n v="4.968"/>
    <n v="6140092"/>
    <x v="4"/>
    <s v="Rio de Janeiro"/>
    <s v="Convencional"/>
    <n v="2"/>
    <d v="2018-03-10T00:00:00"/>
    <x v="70"/>
    <x v="0"/>
    <d v="2018-03-12T00:00:00"/>
    <x v="1"/>
    <x v="0"/>
    <n v="0"/>
    <n v="1"/>
  </r>
  <r>
    <d v="2018-03-10T00:00:00"/>
    <n v="10684"/>
    <s v="WHSJC"/>
    <s v="Sao Jose dos Campos"/>
    <s v="SP"/>
    <n v="4043"/>
    <x v="40"/>
    <s v="Sinop"/>
    <s v="MT"/>
    <x v="1"/>
    <s v="MT"/>
    <n v="2373.0500000000002"/>
    <n v="1"/>
    <n v="6.9989999999999997"/>
    <n v="6100231"/>
    <x v="1"/>
    <s v="Goiania"/>
    <s v="Convencional"/>
    <n v="5"/>
    <d v="2018-03-10T00:00:00"/>
    <x v="71"/>
    <x v="0"/>
    <d v="2018-03-15T00:00:00"/>
    <x v="1"/>
    <x v="0"/>
    <n v="0"/>
    <n v="1"/>
  </r>
  <r>
    <d v="2018-03-10T00:00:00"/>
    <n v="10685"/>
    <s v="WHPOA"/>
    <s v="Porto Alegre"/>
    <s v="RS"/>
    <n v="4071"/>
    <x v="59"/>
    <s v="Rio De Janeiro"/>
    <s v="RJ"/>
    <x v="2"/>
    <s v="RJ"/>
    <n v="578.38"/>
    <n v="1"/>
    <n v="16.962"/>
    <n v="6140092"/>
    <x v="4"/>
    <s v="Rio de Janeiro"/>
    <s v="Convencional"/>
    <n v="6"/>
    <d v="2018-03-10T00:00:00"/>
    <x v="62"/>
    <x v="0"/>
    <d v="2018-03-16T00:00:00"/>
    <x v="1"/>
    <x v="0"/>
    <n v="0"/>
    <n v="1"/>
  </r>
  <r>
    <d v="2018-03-10T00:00:00"/>
    <n v="10686"/>
    <s v="WHSAO"/>
    <s v="Sao Paulo"/>
    <s v="SP"/>
    <n v="4049"/>
    <x v="43"/>
    <s v="Taguatinga"/>
    <s v="DF"/>
    <x v="1"/>
    <s v="DF"/>
    <n v="119.9"/>
    <n v="1"/>
    <n v="4.2409999999999997"/>
    <n v="6100231"/>
    <x v="1"/>
    <s v="Goiania"/>
    <s v="Convencional"/>
    <n v="10"/>
    <d v="2018-03-10T00:00:00"/>
    <x v="63"/>
    <x v="0"/>
    <d v="2018-03-20T00:00:00"/>
    <x v="0"/>
    <x v="0"/>
    <n v="1"/>
    <n v="1"/>
  </r>
  <r>
    <d v="2018-03-10T00:00:00"/>
    <n v="10687"/>
    <s v="WHBH"/>
    <s v="Belo Horizonte"/>
    <s v="MG"/>
    <n v="4049"/>
    <x v="43"/>
    <s v="Taguatinga"/>
    <s v="DF"/>
    <x v="1"/>
    <s v="DF"/>
    <n v="151.74"/>
    <n v="1"/>
    <n v="4.2409999999999997"/>
    <n v="6100231"/>
    <x v="1"/>
    <s v="Goiania"/>
    <s v="Convencional"/>
    <n v="8"/>
    <d v="2018-03-10T00:00:00"/>
    <x v="70"/>
    <x v="0"/>
    <d v="2018-03-18T00:00:00"/>
    <x v="1"/>
    <x v="0"/>
    <n v="0"/>
    <n v="1"/>
  </r>
  <r>
    <d v="2018-03-10T00:00:00"/>
    <n v="10688"/>
    <s v="WHRJ"/>
    <s v="Rio De Janeiro"/>
    <s v="RJ"/>
    <n v="4049"/>
    <x v="43"/>
    <s v="Taguatinga"/>
    <s v="DF"/>
    <x v="1"/>
    <s v="DF"/>
    <n v="912.61"/>
    <n v="3"/>
    <n v="0.66"/>
    <n v="6100231"/>
    <x v="1"/>
    <s v="Goiania"/>
    <s v="Convencional"/>
    <n v="10"/>
    <d v="2018-03-10T00:00:00"/>
    <x v="70"/>
    <x v="0"/>
    <d v="2018-03-20T00:00:00"/>
    <x v="0"/>
    <x v="0"/>
    <n v="1"/>
    <n v="1"/>
  </r>
  <r>
    <d v="2018-03-10T00:00:00"/>
    <n v="10689"/>
    <s v="WHSAO"/>
    <s v="Sao Paulo"/>
    <s v="SP"/>
    <n v="4049"/>
    <x v="43"/>
    <s v="Taguatinga"/>
    <s v="DF"/>
    <x v="1"/>
    <s v="DF"/>
    <n v="521.98"/>
    <n v="1"/>
    <n v="22"/>
    <n v="6100231"/>
    <x v="1"/>
    <s v="Goiania"/>
    <s v="Convencional"/>
    <n v="4"/>
    <d v="2018-03-10T00:00:00"/>
    <x v="57"/>
    <x v="0"/>
    <d v="2018-03-14T00:00:00"/>
    <x v="1"/>
    <x v="0"/>
    <n v="0"/>
    <n v="1"/>
  </r>
  <r>
    <d v="2018-03-10T00:00:00"/>
    <n v="10690"/>
    <s v="WHBH"/>
    <s v="Belo Horizonte"/>
    <s v="MG"/>
    <n v="4049"/>
    <x v="43"/>
    <s v="Taguatinga"/>
    <s v="DF"/>
    <x v="1"/>
    <s v="DF"/>
    <n v="2330.02"/>
    <n v="7"/>
    <n v="115.5"/>
    <n v="6100231"/>
    <x v="1"/>
    <s v="Goiania"/>
    <s v="Convencional"/>
    <n v="4"/>
    <d v="2018-03-10T00:00:00"/>
    <x v="56"/>
    <x v="0"/>
    <d v="2018-03-14T00:00:00"/>
    <x v="1"/>
    <x v="0"/>
    <n v="0"/>
    <n v="1"/>
  </r>
  <r>
    <d v="2018-03-10T00:00:00"/>
    <n v="10691"/>
    <s v="WHRJ"/>
    <s v="Rio De Janeiro"/>
    <s v="RJ"/>
    <n v="4049"/>
    <x v="43"/>
    <s v="Taguatinga"/>
    <s v="DF"/>
    <x v="1"/>
    <s v="DF"/>
    <n v="1941.95"/>
    <n v="8"/>
    <n v="69.516000000000005"/>
    <n v="6100231"/>
    <x v="1"/>
    <s v="Goiania"/>
    <s v="Convencional"/>
    <n v="10"/>
    <d v="2018-03-10T00:00:00"/>
    <x v="63"/>
    <x v="0"/>
    <d v="2018-03-20T00:00:00"/>
    <x v="0"/>
    <x v="0"/>
    <n v="1"/>
    <n v="1"/>
  </r>
  <r>
    <d v="2018-03-10T00:00:00"/>
    <n v="10692"/>
    <s v="WHVIT"/>
    <s v="Vitoria"/>
    <s v="ES"/>
    <n v="4049"/>
    <x v="43"/>
    <s v="Taguatinga"/>
    <s v="DF"/>
    <x v="1"/>
    <s v="DF"/>
    <n v="604.42999999999995"/>
    <n v="1"/>
    <n v="4.6760000000000002"/>
    <n v="6100231"/>
    <x v="1"/>
    <s v="Goiania"/>
    <s v="Convencional"/>
    <n v="5"/>
    <d v="2018-03-10T00:00:00"/>
    <x v="50"/>
    <x v="0"/>
    <d v="2018-03-15T00:00:00"/>
    <x v="0"/>
    <x v="0"/>
    <n v="1"/>
    <n v="1"/>
  </r>
  <r>
    <d v="2018-03-10T00:00:00"/>
    <n v="10693"/>
    <s v="WHCPQ"/>
    <s v="Campinas"/>
    <s v="SP"/>
    <n v="4049"/>
    <x v="43"/>
    <s v="Taguatinga"/>
    <s v="DF"/>
    <x v="1"/>
    <s v="DF"/>
    <n v="251.34"/>
    <n v="1"/>
    <n v="5.5"/>
    <n v="6100231"/>
    <x v="1"/>
    <s v="Goiania"/>
    <s v="Convencional"/>
    <n v="8"/>
    <d v="2018-03-10T00:00:00"/>
    <x v="62"/>
    <x v="0"/>
    <d v="2018-03-18T00:00:00"/>
    <x v="0"/>
    <x v="0"/>
    <n v="1"/>
    <n v="1"/>
  </r>
  <r>
    <d v="2018-03-10T00:00:00"/>
    <n v="10694"/>
    <s v="WHSJC"/>
    <s v="Sao Jose dos Campos"/>
    <s v="SP"/>
    <n v="4049"/>
    <x v="43"/>
    <s v="Taguatinga"/>
    <s v="DF"/>
    <x v="1"/>
    <s v="DF"/>
    <n v="8923.43"/>
    <n v="30"/>
    <n v="92.4"/>
    <n v="6100231"/>
    <x v="1"/>
    <s v="Goiania"/>
    <s v="Convencional"/>
    <n v="7"/>
    <d v="2018-03-10T00:00:00"/>
    <x v="72"/>
    <x v="0"/>
    <d v="2018-03-17T00:00:00"/>
    <x v="1"/>
    <x v="0"/>
    <n v="0"/>
    <n v="1"/>
  </r>
  <r>
    <d v="2018-03-10T00:00:00"/>
    <n v="10695"/>
    <s v="WHVIT"/>
    <s v="Vitoria"/>
    <s v="ES"/>
    <n v="4049"/>
    <x v="43"/>
    <s v="Taguatinga"/>
    <s v="DF"/>
    <x v="1"/>
    <s v="DF"/>
    <n v="1950.48"/>
    <n v="3"/>
    <n v="6.6070000000000002"/>
    <n v="6100231"/>
    <x v="1"/>
    <s v="Goiania"/>
    <s v="Convencional"/>
    <n v="7"/>
    <d v="2018-03-10T00:00:00"/>
    <x v="50"/>
    <x v="0"/>
    <d v="2018-03-17T00:00:00"/>
    <x v="0"/>
    <x v="0"/>
    <n v="1"/>
    <n v="1"/>
  </r>
  <r>
    <d v="2018-03-13T00:00:00"/>
    <n v="10696"/>
    <s v="WHPOA"/>
    <s v="Porto Alegre"/>
    <s v="RS"/>
    <n v="4033"/>
    <x v="35"/>
    <s v="Goiania"/>
    <s v="GO"/>
    <x v="1"/>
    <s v="GO"/>
    <n v="1765.97"/>
    <n v="6"/>
    <n v="18.48"/>
    <n v="6100231"/>
    <x v="1"/>
    <s v="Goiania"/>
    <s v="Convencional"/>
    <n v="9"/>
    <d v="2018-03-13T00:00:00"/>
    <x v="57"/>
    <x v="0"/>
    <d v="2018-03-22T00:00:00"/>
    <x v="0"/>
    <x v="0"/>
    <n v="1"/>
    <n v="1"/>
  </r>
  <r>
    <d v="2018-03-13T00:00:00"/>
    <n v="10697"/>
    <s v="WHSJC"/>
    <s v="Sao Jose dos Campos"/>
    <s v="SP"/>
    <n v="4068"/>
    <x v="4"/>
    <s v="Campo Grande"/>
    <s v="MS"/>
    <x v="1"/>
    <s v="MS"/>
    <n v="901.11"/>
    <n v="1"/>
    <n v="3.52"/>
    <n v="6100231"/>
    <x v="1"/>
    <s v="Goiania"/>
    <s v="Convencional"/>
    <n v="2"/>
    <d v="2018-03-13T00:00:00"/>
    <x v="72"/>
    <x v="0"/>
    <d v="2018-03-15T00:00:00"/>
    <x v="1"/>
    <x v="0"/>
    <n v="0"/>
    <n v="1"/>
  </r>
  <r>
    <d v="2018-03-13T00:00:00"/>
    <n v="10698"/>
    <s v="WHRJ"/>
    <s v="Rio De Janeiro"/>
    <s v="RJ"/>
    <n v="4018"/>
    <x v="12"/>
    <s v="Sao Jose"/>
    <s v="SC"/>
    <x v="0"/>
    <s v="SC"/>
    <n v="43393.08"/>
    <n v="58"/>
    <n v="179.39099999999999"/>
    <n v="6500948"/>
    <x v="0"/>
    <s v="Porto Alegre"/>
    <s v="Convencional"/>
    <n v="5"/>
    <d v="2018-03-13T00:00:00"/>
    <x v="71"/>
    <x v="0"/>
    <d v="2018-03-18T00:00:00"/>
    <x v="1"/>
    <x v="0"/>
    <n v="0"/>
    <n v="1"/>
  </r>
  <r>
    <d v="2018-03-13T00:00:00"/>
    <n v="10699"/>
    <s v="WHSJC"/>
    <s v="Sao Jose dos Campos"/>
    <s v="SP"/>
    <n v="4044"/>
    <x v="48"/>
    <s v="Belo Horizonte"/>
    <s v="MG"/>
    <x v="2"/>
    <s v="MG"/>
    <n v="767.7"/>
    <n v="1"/>
    <n v="6.9119999999999999"/>
    <n v="6600879"/>
    <x v="2"/>
    <s v="Belo Horizonte"/>
    <s v="Convencional"/>
    <n v="8"/>
    <d v="2018-03-13T00:00:00"/>
    <x v="62"/>
    <x v="0"/>
    <d v="2018-03-21T00:00:00"/>
    <x v="0"/>
    <x v="0"/>
    <n v="1"/>
    <n v="1"/>
  </r>
  <r>
    <d v="2018-03-13T00:00:00"/>
    <n v="10700"/>
    <s v="WHSAO"/>
    <s v="Sao Paulo"/>
    <s v="SP"/>
    <n v="4045"/>
    <x v="49"/>
    <s v="Belo Horizonte"/>
    <s v="MG"/>
    <x v="2"/>
    <s v="MG"/>
    <n v="642.76"/>
    <n v="1"/>
    <n v="2.202"/>
    <n v="6600879"/>
    <x v="2"/>
    <s v="Belo Horizonte"/>
    <s v="Convencional"/>
    <n v="6"/>
    <d v="2018-03-13T00:00:00"/>
    <x v="72"/>
    <x v="0"/>
    <d v="2018-03-19T00:00:00"/>
    <x v="0"/>
    <x v="0"/>
    <n v="1"/>
    <n v="1"/>
  </r>
  <r>
    <d v="2018-03-13T00:00:00"/>
    <n v="10701"/>
    <s v="WHRJ"/>
    <s v="Rio De Janeiro"/>
    <s v="RJ"/>
    <n v="4044"/>
    <x v="48"/>
    <s v="Belo Horizonte"/>
    <s v="MG"/>
    <x v="2"/>
    <s v="MG"/>
    <n v="400.6"/>
    <n v="1"/>
    <n v="4.4409999999999998"/>
    <n v="6600879"/>
    <x v="2"/>
    <s v="Belo Horizonte"/>
    <s v="Convencional"/>
    <n v="10"/>
    <d v="2018-03-13T00:00:00"/>
    <x v="71"/>
    <x v="0"/>
    <d v="2018-03-23T00:00:00"/>
    <x v="0"/>
    <x v="0"/>
    <n v="1"/>
    <n v="1"/>
  </r>
  <r>
    <d v="2018-03-13T00:00:00"/>
    <n v="10702"/>
    <s v="WHBH"/>
    <s v="Belo Horizonte"/>
    <s v="MG"/>
    <n v="4045"/>
    <x v="49"/>
    <s v="Belo Horizonte"/>
    <s v="MG"/>
    <x v="2"/>
    <s v="MG"/>
    <n v="2446.8000000000002"/>
    <n v="2"/>
    <n v="2.202"/>
    <n v="6600879"/>
    <x v="2"/>
    <s v="Belo Horizonte"/>
    <s v="Convencional"/>
    <n v="5"/>
    <d v="2018-03-13T00:00:00"/>
    <x v="57"/>
    <x v="0"/>
    <d v="2018-03-18T00:00:00"/>
    <x v="0"/>
    <x v="0"/>
    <n v="1"/>
    <n v="1"/>
  </r>
  <r>
    <d v="2018-03-13T00:00:00"/>
    <n v="10703"/>
    <s v="WHSJC"/>
    <s v="Sao Jose dos Campos"/>
    <s v="SP"/>
    <n v="4044"/>
    <x v="48"/>
    <s v="Belo Horizonte"/>
    <s v="MG"/>
    <x v="2"/>
    <s v="MG"/>
    <n v="579.17999999999995"/>
    <n v="1"/>
    <n v="0.17499999999999999"/>
    <n v="6600879"/>
    <x v="2"/>
    <s v="Belo Horizonte"/>
    <s v="Convencional"/>
    <n v="6"/>
    <d v="2018-03-13T00:00:00"/>
    <x v="56"/>
    <x v="0"/>
    <d v="2018-03-19T00:00:00"/>
    <x v="0"/>
    <x v="0"/>
    <n v="1"/>
    <n v="1"/>
  </r>
  <r>
    <d v="2018-03-13T00:00:00"/>
    <n v="10704"/>
    <s v="WHCPQ"/>
    <s v="Campinas"/>
    <s v="SP"/>
    <n v="4045"/>
    <x v="49"/>
    <s v="Belo Horizonte"/>
    <s v="MG"/>
    <x v="2"/>
    <s v="MG"/>
    <n v="5552.69"/>
    <n v="18"/>
    <n v="55.44"/>
    <n v="6600879"/>
    <x v="2"/>
    <s v="Belo Horizonte"/>
    <s v="Convencional"/>
    <n v="7"/>
    <d v="2018-03-13T00:00:00"/>
    <x v="63"/>
    <x v="2"/>
    <d v="2018-03-20T00:00:00"/>
    <x v="0"/>
    <x v="1"/>
    <n v="0"/>
    <n v="1"/>
  </r>
  <r>
    <d v="2018-03-15T00:00:00"/>
    <n v="10705"/>
    <s v="WHSAO"/>
    <s v="Sao Paulo"/>
    <s v="SP"/>
    <n v="4072"/>
    <x v="60"/>
    <s v="Sao Jose Do Rio Preto"/>
    <s v="SP"/>
    <x v="2"/>
    <s v="SP"/>
    <n v="2762.55"/>
    <n v="9"/>
    <n v="27.72"/>
    <n v="6400835"/>
    <x v="3"/>
    <s v="Guarulhos"/>
    <s v="Convencional"/>
    <n v="10"/>
    <d v="2018-03-15T00:00:00"/>
    <x v="73"/>
    <x v="0"/>
    <d v="2018-03-25T00:00:00"/>
    <x v="0"/>
    <x v="0"/>
    <n v="1"/>
    <n v="1"/>
  </r>
  <r>
    <d v="2018-03-16T00:00:00"/>
    <n v="10706"/>
    <s v="WHBH"/>
    <s v="Belo Horizonte"/>
    <s v="MG"/>
    <n v="4014"/>
    <x v="3"/>
    <s v="Ipatinga"/>
    <s v="MG"/>
    <x v="2"/>
    <s v="MG"/>
    <n v="1231.54"/>
    <n v="1"/>
    <n v="11.837999999999999"/>
    <n v="6600879"/>
    <x v="2"/>
    <s v="Belo Horizonte"/>
    <s v="Convencional"/>
    <n v="7"/>
    <d v="2018-03-16T00:00:00"/>
    <x v="74"/>
    <x v="0"/>
    <d v="2018-03-23T00:00:00"/>
    <x v="0"/>
    <x v="0"/>
    <n v="1"/>
    <n v="1"/>
  </r>
  <r>
    <d v="2018-03-15T00:00:00"/>
    <n v="10707"/>
    <s v="WHSJC"/>
    <s v="Sao Jose dos Campos"/>
    <s v="SP"/>
    <n v="4018"/>
    <x v="12"/>
    <s v="Sao Jose"/>
    <s v="SC"/>
    <x v="0"/>
    <s v="SC"/>
    <n v="5197.09"/>
    <n v="4"/>
    <n v="33.183999999999997"/>
    <n v="6500948"/>
    <x v="0"/>
    <s v="Porto Alegre"/>
    <s v="Convencional"/>
    <n v="3"/>
    <d v="2018-03-16T00:00:00"/>
    <x v="75"/>
    <x v="0"/>
    <d v="2018-03-19T00:00:00"/>
    <x v="1"/>
    <x v="0"/>
    <n v="0"/>
    <n v="1"/>
  </r>
  <r>
    <d v="2018-03-15T00:00:00"/>
    <n v="10708"/>
    <s v="WHCPQ"/>
    <s v="Campinas"/>
    <s v="SP"/>
    <n v="4038"/>
    <x v="9"/>
    <s v="Goiania"/>
    <s v="GO"/>
    <x v="1"/>
    <s v="GO"/>
    <n v="79.62"/>
    <n v="1"/>
    <n v="0.253"/>
    <n v="6100231"/>
    <x v="1"/>
    <s v="Goiania"/>
    <s v="Convencional"/>
    <n v="11"/>
    <d v="2018-03-16T00:00:00"/>
    <x v="62"/>
    <x v="0"/>
    <d v="2018-03-27T00:00:00"/>
    <x v="0"/>
    <x v="0"/>
    <n v="1"/>
    <n v="1"/>
  </r>
  <r>
    <d v="2018-03-15T00:00:00"/>
    <n v="10709"/>
    <s v="WHRJ"/>
    <s v="Rio De Janeiro"/>
    <s v="RJ"/>
    <n v="4014"/>
    <x v="3"/>
    <s v="Ipatinga"/>
    <s v="MG"/>
    <x v="2"/>
    <s v="MG"/>
    <n v="1158.8800000000001"/>
    <n v="5"/>
    <n v="7.5860000000000003"/>
    <n v="6600879"/>
    <x v="2"/>
    <s v="Belo Horizonte"/>
    <s v="Convencional"/>
    <n v="1"/>
    <d v="2018-03-16T00:00:00"/>
    <x v="76"/>
    <x v="0"/>
    <d v="2018-03-17T00:00:00"/>
    <x v="1"/>
    <x v="0"/>
    <n v="0"/>
    <n v="1"/>
  </r>
  <r>
    <d v="2018-03-15T00:00:00"/>
    <n v="10710"/>
    <s v="WHPOA"/>
    <s v="Porto Alegre"/>
    <s v="RS"/>
    <n v="4038"/>
    <x v="9"/>
    <s v="Goiania"/>
    <s v="GO"/>
    <x v="1"/>
    <s v="GO"/>
    <n v="2117.6"/>
    <n v="3"/>
    <n v="6.6070000000000002"/>
    <n v="6100231"/>
    <x v="1"/>
    <s v="Goiania"/>
    <s v="Urgente"/>
    <n v="10"/>
    <d v="2018-03-16T00:00:00"/>
    <x v="70"/>
    <x v="0"/>
    <d v="2018-03-26T00:00:00"/>
    <x v="0"/>
    <x v="0"/>
    <n v="1"/>
    <n v="1"/>
  </r>
  <r>
    <d v="2018-03-15T00:00:00"/>
    <n v="10711"/>
    <s v="WHSJC"/>
    <s v="Sao Jose dos Campos"/>
    <s v="SP"/>
    <n v="4014"/>
    <x v="3"/>
    <s v="Ipatinga"/>
    <s v="MG"/>
    <x v="2"/>
    <s v="MG"/>
    <n v="4595.41"/>
    <n v="3"/>
    <n v="13.53"/>
    <n v="6600879"/>
    <x v="2"/>
    <s v="Belo Horizonte"/>
    <s v="Convencional"/>
    <n v="2"/>
    <d v="2018-03-16T00:00:00"/>
    <x v="76"/>
    <x v="0"/>
    <d v="2018-03-18T00:00:00"/>
    <x v="1"/>
    <x v="0"/>
    <n v="0"/>
    <n v="1"/>
  </r>
  <r>
    <d v="2018-03-15T00:00:00"/>
    <n v="10712"/>
    <s v="WHRJ"/>
    <s v="Rio De Janeiro"/>
    <s v="RJ"/>
    <n v="4038"/>
    <x v="9"/>
    <s v="Goiania"/>
    <s v="GO"/>
    <x v="1"/>
    <s v="GO"/>
    <n v="765.87"/>
    <n v="1"/>
    <n v="2.202"/>
    <n v="6100231"/>
    <x v="1"/>
    <s v="Goiania"/>
    <s v="Convencional"/>
    <n v="2"/>
    <d v="2018-03-16T00:00:00"/>
    <x v="62"/>
    <x v="0"/>
    <d v="2018-03-18T00:00:00"/>
    <x v="0"/>
    <x v="0"/>
    <n v="1"/>
    <n v="1"/>
  </r>
  <r>
    <d v="2018-03-15T00:00:00"/>
    <n v="10713"/>
    <s v="WHRJ"/>
    <s v="Rio De Janeiro"/>
    <s v="RJ"/>
    <n v="4038"/>
    <x v="9"/>
    <s v="Goiania"/>
    <s v="GO"/>
    <x v="1"/>
    <s v="GO"/>
    <n v="897.79"/>
    <n v="1"/>
    <n v="6.2869999999999999"/>
    <n v="6100231"/>
    <x v="1"/>
    <s v="Goiania"/>
    <s v="Convencional"/>
    <n v="5"/>
    <d v="2018-03-16T00:00:00"/>
    <x v="74"/>
    <x v="0"/>
    <d v="2018-03-21T00:00:00"/>
    <x v="1"/>
    <x v="0"/>
    <n v="0"/>
    <n v="1"/>
  </r>
  <r>
    <d v="2018-03-16T00:00:00"/>
    <n v="10714"/>
    <s v="WHSJC"/>
    <s v="Sao Jose dos Campos"/>
    <s v="SP"/>
    <n v="4016"/>
    <x v="6"/>
    <s v="Pocos De Caldas"/>
    <s v="MG"/>
    <x v="2"/>
    <s v="MG"/>
    <n v="677.03"/>
    <n v="1"/>
    <n v="5.7759999999999998"/>
    <n v="6600879"/>
    <x v="2"/>
    <s v="Belo Horizonte"/>
    <s v="Convencional"/>
    <n v="8"/>
    <d v="2018-03-17T00:00:00"/>
    <x v="77"/>
    <x v="0"/>
    <d v="2018-03-25T00:00:00"/>
    <x v="1"/>
    <x v="0"/>
    <n v="0"/>
    <n v="1"/>
  </r>
  <r>
    <d v="2018-03-16T00:00:00"/>
    <n v="10715"/>
    <s v="WHPOA"/>
    <s v="Porto Alegre"/>
    <s v="RS"/>
    <n v="4016"/>
    <x v="6"/>
    <s v="Pocos De Caldas"/>
    <s v="MG"/>
    <x v="2"/>
    <s v="MG"/>
    <n v="3657.06"/>
    <n v="7"/>
    <n v="17.768999999999998"/>
    <n v="6600879"/>
    <x v="2"/>
    <s v="Belo Horizonte"/>
    <s v="Convencional"/>
    <n v="4"/>
    <d v="2018-03-17T00:00:00"/>
    <x v="78"/>
    <x v="0"/>
    <d v="2018-03-21T00:00:00"/>
    <x v="1"/>
    <x v="0"/>
    <n v="0"/>
    <n v="1"/>
  </r>
  <r>
    <d v="2018-03-16T00:00:00"/>
    <n v="10716"/>
    <s v="WHCPQ"/>
    <s v="Campinas"/>
    <s v="SP"/>
    <n v="4016"/>
    <x v="6"/>
    <s v="Pocos De Caldas"/>
    <s v="MG"/>
    <x v="2"/>
    <s v="MG"/>
    <n v="8968.01"/>
    <n v="30"/>
    <n v="92.4"/>
    <n v="6600879"/>
    <x v="2"/>
    <s v="Belo Horizonte"/>
    <s v="Convencional"/>
    <n v="9"/>
    <d v="2018-03-17T00:00:00"/>
    <x v="74"/>
    <x v="0"/>
    <d v="2018-03-26T00:00:00"/>
    <x v="0"/>
    <x v="0"/>
    <n v="1"/>
    <n v="1"/>
  </r>
  <r>
    <d v="2018-03-16T00:00:00"/>
    <n v="10717"/>
    <s v="WHCPQ"/>
    <s v="Campinas"/>
    <s v="SP"/>
    <n v="4016"/>
    <x v="6"/>
    <s v="Pocos De Caldas"/>
    <s v="MG"/>
    <x v="2"/>
    <s v="MG"/>
    <n v="101.96"/>
    <n v="1"/>
    <n v="0.26400000000000001"/>
    <n v="6600879"/>
    <x v="2"/>
    <s v="Belo Horizonte"/>
    <s v="Convencional"/>
    <n v="8"/>
    <d v="2018-03-17T00:00:00"/>
    <x v="72"/>
    <x v="0"/>
    <d v="2018-03-25T00:00:00"/>
    <x v="0"/>
    <x v="0"/>
    <n v="1"/>
    <n v="1"/>
  </r>
  <r>
    <d v="2018-03-16T00:00:00"/>
    <n v="10718"/>
    <s v="WHPOA"/>
    <s v="Porto Alegre"/>
    <s v="RS"/>
    <n v="4016"/>
    <x v="6"/>
    <s v="Pocos De Caldas"/>
    <s v="MG"/>
    <x v="2"/>
    <s v="MG"/>
    <n v="4103.62"/>
    <n v="16"/>
    <n v="48.402000000000001"/>
    <n v="6600879"/>
    <x v="2"/>
    <s v="Belo Horizonte"/>
    <s v="Convencional"/>
    <n v="6"/>
    <d v="2018-03-17T00:00:00"/>
    <x v="75"/>
    <x v="2"/>
    <d v="2018-03-23T00:00:00"/>
    <x v="0"/>
    <x v="1"/>
    <n v="0"/>
    <n v="1"/>
  </r>
  <r>
    <d v="2018-03-19T00:00:00"/>
    <n v="10719"/>
    <s v="WHRJ"/>
    <s v="Rio De Janeiro"/>
    <s v="RJ"/>
    <n v="4024"/>
    <x v="21"/>
    <s v="Porto Alegre"/>
    <s v="RS"/>
    <x v="0"/>
    <s v="RS"/>
    <n v="4280.09"/>
    <n v="14"/>
    <n v="29.204999999999998"/>
    <n v="6500948"/>
    <x v="0"/>
    <s v="Porto Alegre"/>
    <s v="Convencional"/>
    <n v="8"/>
    <d v="2018-03-20T00:00:00"/>
    <x v="79"/>
    <x v="2"/>
    <d v="2018-03-28T00:00:00"/>
    <x v="0"/>
    <x v="1"/>
    <n v="0"/>
    <n v="1"/>
  </r>
  <r>
    <d v="2018-03-19T00:00:00"/>
    <n v="10720"/>
    <s v="WHSAO"/>
    <s v="Sao Paulo"/>
    <s v="SP"/>
    <n v="4068"/>
    <x v="4"/>
    <s v="Campo Grande"/>
    <s v="MS"/>
    <x v="1"/>
    <s v="MS"/>
    <n v="1119.17"/>
    <n v="2"/>
    <n v="18.016999999999999"/>
    <n v="6100231"/>
    <x v="1"/>
    <s v="Goiania"/>
    <s v="Convencional"/>
    <n v="11"/>
    <d v="2018-03-20T00:00:00"/>
    <x v="79"/>
    <x v="0"/>
    <d v="2018-03-31T00:00:00"/>
    <x v="0"/>
    <x v="0"/>
    <n v="1"/>
    <n v="1"/>
  </r>
  <r>
    <d v="2018-03-19T00:00:00"/>
    <n v="10721"/>
    <s v="WHCPQ"/>
    <s v="Campinas"/>
    <s v="SP"/>
    <n v="4023"/>
    <x v="20"/>
    <s v="Sao Jose"/>
    <s v="SC"/>
    <x v="0"/>
    <s v="SC"/>
    <n v="2868.05"/>
    <n v="12"/>
    <n v="36.96"/>
    <n v="6500948"/>
    <x v="0"/>
    <s v="Porto Alegre"/>
    <s v="Convencional"/>
    <n v="5"/>
    <d v="2018-03-20T00:00:00"/>
    <x v="77"/>
    <x v="2"/>
    <d v="2018-03-25T00:00:00"/>
    <x v="1"/>
    <x v="1"/>
    <n v="0"/>
    <n v="1"/>
  </r>
  <r>
    <d v="2018-03-19T00:00:00"/>
    <n v="10722"/>
    <s v="WHRJ"/>
    <s v="Rio De Janeiro"/>
    <s v="RJ"/>
    <n v="4041"/>
    <x v="16"/>
    <s v="Goiania"/>
    <s v="GO"/>
    <x v="1"/>
    <s v="GO"/>
    <n v="260.38"/>
    <n v="2"/>
    <n v="0.69299999999999995"/>
    <n v="6100231"/>
    <x v="1"/>
    <s v="Goiania"/>
    <s v="Convencional"/>
    <n v="3"/>
    <d v="2018-03-20T00:00:00"/>
    <x v="74"/>
    <x v="0"/>
    <d v="2018-03-23T00:00:00"/>
    <x v="0"/>
    <x v="0"/>
    <n v="1"/>
    <n v="1"/>
  </r>
  <r>
    <d v="2018-03-19T00:00:00"/>
    <n v="10723"/>
    <s v="WHSAO"/>
    <s v="Sao Paulo"/>
    <s v="SP"/>
    <n v="4041"/>
    <x v="16"/>
    <s v="Goiania"/>
    <s v="GO"/>
    <x v="1"/>
    <s v="GO"/>
    <n v="1437.67"/>
    <n v="2"/>
    <n v="17.46"/>
    <n v="6100231"/>
    <x v="1"/>
    <s v="Goiania"/>
    <s v="Convencional"/>
    <n v="8"/>
    <d v="2018-03-20T00:00:00"/>
    <x v="79"/>
    <x v="0"/>
    <d v="2018-03-28T00:00:00"/>
    <x v="0"/>
    <x v="0"/>
    <n v="1"/>
    <n v="1"/>
  </r>
  <r>
    <d v="2018-03-19T00:00:00"/>
    <n v="10724"/>
    <s v="WHSJC"/>
    <s v="Sao Jose dos Campos"/>
    <s v="SP"/>
    <n v="4041"/>
    <x v="16"/>
    <s v="Goiania"/>
    <s v="GO"/>
    <x v="1"/>
    <s v="GO"/>
    <n v="5869.51"/>
    <n v="6"/>
    <n v="28.591000000000001"/>
    <n v="6100231"/>
    <x v="1"/>
    <s v="Goiania"/>
    <s v="Convencional"/>
    <n v="6"/>
    <d v="2018-03-20T00:00:00"/>
    <x v="76"/>
    <x v="0"/>
    <d v="2018-03-26T00:00:00"/>
    <x v="0"/>
    <x v="0"/>
    <n v="1"/>
    <n v="1"/>
  </r>
  <r>
    <d v="2018-03-19T00:00:00"/>
    <n v="10725"/>
    <s v="WHVIT"/>
    <s v="Vitoria"/>
    <s v="ES"/>
    <n v="4041"/>
    <x v="16"/>
    <s v="Goiania"/>
    <s v="GO"/>
    <x v="1"/>
    <s v="GO"/>
    <n v="2005.95"/>
    <n v="4"/>
    <n v="15.851000000000001"/>
    <n v="6100231"/>
    <x v="1"/>
    <s v="Goiania"/>
    <s v="Convencional"/>
    <n v="10"/>
    <d v="2018-03-20T00:00:00"/>
    <x v="80"/>
    <x v="2"/>
    <d v="2018-03-30T00:00:00"/>
    <x v="0"/>
    <x v="1"/>
    <n v="0"/>
    <n v="1"/>
  </r>
  <r>
    <d v="2018-03-20T00:00:00"/>
    <n v="10726"/>
    <s v="WHBH"/>
    <s v="Belo Horizonte"/>
    <s v="MG"/>
    <n v="4024"/>
    <x v="21"/>
    <s v="Porto Alegre"/>
    <s v="RS"/>
    <x v="0"/>
    <s v="RS"/>
    <n v="36436.01"/>
    <n v="29"/>
    <n v="250.97800000000001"/>
    <n v="6500948"/>
    <x v="0"/>
    <s v="Porto Alegre"/>
    <s v="Convencional"/>
    <n v="2"/>
    <d v="2018-03-21T00:00:00"/>
    <x v="74"/>
    <x v="0"/>
    <d v="2018-03-23T00:00:00"/>
    <x v="0"/>
    <x v="0"/>
    <n v="1"/>
    <n v="1"/>
  </r>
  <r>
    <d v="2018-03-21T00:00:00"/>
    <n v="10727"/>
    <s v="WHRJ"/>
    <s v="Rio De Janeiro"/>
    <s v="RJ"/>
    <n v="4022"/>
    <x v="19"/>
    <s v="Maringa"/>
    <s v="PR"/>
    <x v="0"/>
    <s v="PR"/>
    <n v="1051.74"/>
    <n v="2"/>
    <n v="18.7"/>
    <n v="6500948"/>
    <x v="0"/>
    <s v="Porto Alegre"/>
    <s v="Convencional"/>
    <n v="6"/>
    <d v="2018-03-22T00:00:00"/>
    <x v="81"/>
    <x v="1"/>
    <d v="2018-03-28T00:00:00"/>
    <x v="1"/>
    <x v="1"/>
    <n v="0"/>
    <n v="1"/>
  </r>
  <r>
    <d v="2018-03-22T00:00:00"/>
    <n v="10728"/>
    <s v="WHSAO"/>
    <s v="Sao Paulo"/>
    <s v="SP"/>
    <n v="4023"/>
    <x v="20"/>
    <s v="Sao Jose"/>
    <s v="SC"/>
    <x v="0"/>
    <s v="SC"/>
    <n v="1045.67"/>
    <n v="1"/>
    <n v="1.1200000000000001"/>
    <n v="6500948"/>
    <x v="0"/>
    <s v="Porto Alegre"/>
    <s v="Convencional"/>
    <n v="6"/>
    <d v="2018-03-23T00:00:00"/>
    <x v="82"/>
    <x v="0"/>
    <d v="2018-03-29T00:00:00"/>
    <x v="0"/>
    <x v="0"/>
    <n v="1"/>
    <n v="1"/>
  </r>
  <r>
    <d v="2018-03-22T00:00:00"/>
    <n v="10729"/>
    <s v="WHVIT"/>
    <s v="Vitoria"/>
    <s v="ES"/>
    <n v="4022"/>
    <x v="19"/>
    <s v="Maringa"/>
    <s v="PR"/>
    <x v="0"/>
    <s v="PR"/>
    <n v="23879.97"/>
    <n v="33"/>
    <n v="199.06800000000001"/>
    <n v="6500948"/>
    <x v="0"/>
    <s v="Porto Alegre"/>
    <s v="Convencional"/>
    <n v="3"/>
    <d v="2018-03-23T00:00:00"/>
    <x v="79"/>
    <x v="0"/>
    <d v="2018-03-26T00:00:00"/>
    <x v="1"/>
    <x v="0"/>
    <n v="0"/>
    <n v="1"/>
  </r>
  <r>
    <d v="2018-03-23T00:00:00"/>
    <n v="10730"/>
    <s v="WHCPQ"/>
    <s v="Campinas"/>
    <s v="SP"/>
    <n v="4027"/>
    <x v="24"/>
    <s v="Novo Hamburgo"/>
    <s v="RS"/>
    <x v="0"/>
    <s v="RS"/>
    <n v="908.64"/>
    <n v="1"/>
    <n v="1.1200000000000001"/>
    <n v="6500948"/>
    <x v="0"/>
    <s v="Porto Alegre"/>
    <s v="Convencional"/>
    <n v="8"/>
    <d v="2018-03-24T00:00:00"/>
    <x v="83"/>
    <x v="1"/>
    <d v="2018-04-01T00:00:00"/>
    <x v="0"/>
    <x v="1"/>
    <n v="0"/>
    <n v="1"/>
  </r>
  <r>
    <d v="2018-03-23T00:00:00"/>
    <n v="10731"/>
    <s v="WHRJ"/>
    <s v="Rio De Janeiro"/>
    <s v="RJ"/>
    <n v="4027"/>
    <x v="24"/>
    <s v="Novo Hamburgo"/>
    <s v="RS"/>
    <x v="0"/>
    <s v="RS"/>
    <n v="35.119999999999997"/>
    <n v="1"/>
    <n v="0.16"/>
    <n v="6500948"/>
    <x v="0"/>
    <s v="Porto Alegre"/>
    <s v="Convencional"/>
    <n v="10"/>
    <d v="2018-03-24T00:00:00"/>
    <x v="78"/>
    <x v="0"/>
    <d v="2018-04-03T00:00:00"/>
    <x v="0"/>
    <x v="0"/>
    <n v="1"/>
    <n v="1"/>
  </r>
  <r>
    <d v="2018-03-23T00:00:00"/>
    <n v="10732"/>
    <s v="WHCPQ"/>
    <s v="Campinas"/>
    <s v="SP"/>
    <n v="4055"/>
    <x v="45"/>
    <s v="Brasilia"/>
    <s v="DF"/>
    <x v="1"/>
    <s v="DF"/>
    <n v="443.13"/>
    <n v="1"/>
    <n v="0.44"/>
    <n v="6100231"/>
    <x v="1"/>
    <s v="Goiania"/>
    <s v="Convencional"/>
    <n v="11"/>
    <d v="2018-03-24T00:00:00"/>
    <x v="84"/>
    <x v="0"/>
    <d v="2018-04-04T00:00:00"/>
    <x v="0"/>
    <x v="0"/>
    <n v="1"/>
    <n v="1"/>
  </r>
  <r>
    <d v="2018-03-23T00:00:00"/>
    <n v="10733"/>
    <s v="WHRJ"/>
    <s v="Rio De Janeiro"/>
    <s v="RJ"/>
    <n v="4028"/>
    <x v="26"/>
    <s v="Sao Jose Dos Pinhais"/>
    <s v="PR"/>
    <x v="0"/>
    <s v="PR"/>
    <n v="71.05"/>
    <n v="1"/>
    <n v="0.73399999999999999"/>
    <n v="6500948"/>
    <x v="0"/>
    <s v="Porto Alegre"/>
    <s v="Convencional"/>
    <n v="8"/>
    <d v="2018-03-24T00:00:00"/>
    <x v="85"/>
    <x v="0"/>
    <d v="2018-04-01T00:00:00"/>
    <x v="1"/>
    <x v="0"/>
    <n v="0"/>
    <n v="1"/>
  </r>
  <r>
    <d v="2018-03-23T00:00:00"/>
    <n v="10734"/>
    <s v="WHRJ"/>
    <s v="Rio De Janeiro"/>
    <s v="RJ"/>
    <n v="4041"/>
    <x v="16"/>
    <s v="Goiania"/>
    <s v="GO"/>
    <x v="1"/>
    <s v="GO"/>
    <n v="85.89"/>
    <n v="1"/>
    <n v="0.14099999999999999"/>
    <n v="6100231"/>
    <x v="1"/>
    <s v="Goiania"/>
    <s v="Convencional"/>
    <n v="8"/>
    <d v="2018-03-24T00:00:00"/>
    <x v="81"/>
    <x v="0"/>
    <d v="2018-04-01T00:00:00"/>
    <x v="0"/>
    <x v="0"/>
    <n v="1"/>
    <n v="1"/>
  </r>
  <r>
    <d v="2018-03-23T00:00:00"/>
    <n v="10735"/>
    <s v="WHSAO"/>
    <s v="Sao Paulo"/>
    <s v="SP"/>
    <n v="4041"/>
    <x v="16"/>
    <s v="Goiania"/>
    <s v="GO"/>
    <x v="1"/>
    <s v="GO"/>
    <n v="319.33"/>
    <n v="1"/>
    <n v="9.24"/>
    <n v="6100231"/>
    <x v="1"/>
    <s v="Goiania"/>
    <s v="Convencional"/>
    <n v="7"/>
    <d v="2018-03-24T00:00:00"/>
    <x v="82"/>
    <x v="0"/>
    <d v="2018-03-31T00:00:00"/>
    <x v="0"/>
    <x v="0"/>
    <n v="1"/>
    <n v="1"/>
  </r>
  <r>
    <d v="2018-03-23T00:00:00"/>
    <n v="10736"/>
    <s v="WHSJC"/>
    <s v="Sao Jose dos Campos"/>
    <s v="SP"/>
    <n v="4041"/>
    <x v="16"/>
    <s v="Goiania"/>
    <s v="GO"/>
    <x v="1"/>
    <s v="GO"/>
    <n v="358.49"/>
    <n v="1"/>
    <n v="1.375"/>
    <n v="6100231"/>
    <x v="1"/>
    <s v="Goiania"/>
    <s v="Convencional"/>
    <n v="6"/>
    <d v="2018-03-24T00:00:00"/>
    <x v="79"/>
    <x v="0"/>
    <d v="2018-03-30T00:00:00"/>
    <x v="0"/>
    <x v="0"/>
    <n v="1"/>
    <n v="1"/>
  </r>
  <r>
    <d v="2018-03-23T00:00:00"/>
    <n v="10737"/>
    <s v="WHVIT"/>
    <s v="Vitoria"/>
    <s v="ES"/>
    <n v="4028"/>
    <x v="26"/>
    <s v="Sao Jose Dos Pinhais"/>
    <s v="PR"/>
    <x v="0"/>
    <s v="PR"/>
    <n v="650.22"/>
    <n v="2"/>
    <n v="26.84"/>
    <n v="6500948"/>
    <x v="0"/>
    <s v="Porto Alegre"/>
    <s v="Urgente"/>
    <n v="11"/>
    <d v="2018-03-24T00:00:00"/>
    <x v="77"/>
    <x v="0"/>
    <d v="2018-04-04T00:00:00"/>
    <x v="0"/>
    <x v="0"/>
    <n v="1"/>
    <n v="1"/>
  </r>
  <r>
    <d v="2018-03-24T00:00:00"/>
    <n v="10738"/>
    <s v="WHVIT"/>
    <s v="Vitoria"/>
    <s v="ES"/>
    <n v="4073"/>
    <x v="61"/>
    <s v="Sao Jose Do Rio Preto"/>
    <s v="SP"/>
    <x v="2"/>
    <s v="SP"/>
    <n v="457.05"/>
    <n v="1"/>
    <n v="1.101"/>
    <n v="6400835"/>
    <x v="3"/>
    <s v="Guarulhos"/>
    <s v="Convencional"/>
    <n v="4"/>
    <d v="2018-03-24T00:00:00"/>
    <x v="86"/>
    <x v="0"/>
    <d v="2018-03-28T00:00:00"/>
    <x v="1"/>
    <x v="0"/>
    <n v="0"/>
    <n v="1"/>
  </r>
  <r>
    <d v="2018-03-24T00:00:00"/>
    <n v="10739"/>
    <s v="WHCPQ"/>
    <s v="Campinas"/>
    <s v="SP"/>
    <n v="4055"/>
    <x v="45"/>
    <s v="Brasilia"/>
    <s v="DF"/>
    <x v="1"/>
    <s v="DF"/>
    <n v="1978.13"/>
    <n v="1"/>
    <n v="22"/>
    <n v="6100231"/>
    <x v="1"/>
    <s v="Goiania"/>
    <s v="Convencional"/>
    <n v="5"/>
    <d v="2018-03-24T00:00:00"/>
    <x v="85"/>
    <x v="0"/>
    <d v="2018-03-29T00:00:00"/>
    <x v="1"/>
    <x v="0"/>
    <n v="0"/>
    <n v="1"/>
  </r>
  <r>
    <d v="2018-03-24T00:00:00"/>
    <n v="10740"/>
    <s v="WHPOA"/>
    <s v="Porto Alegre"/>
    <s v="RS"/>
    <n v="4073"/>
    <x v="61"/>
    <s v="Sao Jose Do Rio Preto"/>
    <s v="SP"/>
    <x v="2"/>
    <s v="SP"/>
    <n v="2215.85"/>
    <n v="2"/>
    <n v="23.675999999999998"/>
    <n v="6400835"/>
    <x v="3"/>
    <s v="Guarulhos"/>
    <s v="Convencional"/>
    <n v="4"/>
    <d v="2018-03-24T00:00:00"/>
    <x v="77"/>
    <x v="0"/>
    <d v="2018-03-28T00:00:00"/>
    <x v="0"/>
    <x v="0"/>
    <n v="1"/>
    <n v="1"/>
  </r>
  <r>
    <d v="2018-03-24T00:00:00"/>
    <n v="10741"/>
    <s v="WHPOA"/>
    <s v="Porto Alegre"/>
    <s v="RS"/>
    <n v="4041"/>
    <x v="16"/>
    <s v="Goiania"/>
    <s v="GO"/>
    <x v="1"/>
    <s v="GO"/>
    <n v="106.33"/>
    <n v="1"/>
    <n v="6.1189999999999998"/>
    <n v="6100231"/>
    <x v="1"/>
    <s v="Goiania"/>
    <s v="Convencional"/>
    <n v="7"/>
    <d v="2018-03-24T00:00:00"/>
    <x v="80"/>
    <x v="0"/>
    <d v="2018-03-31T00:00:00"/>
    <x v="0"/>
    <x v="0"/>
    <n v="1"/>
    <n v="1"/>
  </r>
  <r>
    <d v="2018-03-24T00:00:00"/>
    <n v="10742"/>
    <s v="WHSAO"/>
    <s v="Sao Paulo"/>
    <s v="SP"/>
    <n v="4041"/>
    <x v="16"/>
    <s v="Goiania"/>
    <s v="GO"/>
    <x v="1"/>
    <s v="GO"/>
    <n v="282.8"/>
    <n v="1"/>
    <n v="2.9350000000000001"/>
    <n v="6100231"/>
    <x v="1"/>
    <s v="Goiania"/>
    <s v="Convencional"/>
    <n v="12"/>
    <d v="2018-03-24T00:00:00"/>
    <x v="82"/>
    <x v="0"/>
    <d v="2018-04-05T00:00:00"/>
    <x v="0"/>
    <x v="0"/>
    <n v="1"/>
    <n v="1"/>
  </r>
  <r>
    <d v="2018-03-25T00:00:00"/>
    <n v="10743"/>
    <s v="WHRJ"/>
    <s v="Rio De Janeiro"/>
    <s v="RJ"/>
    <n v="4062"/>
    <x v="27"/>
    <s v="Taguatinga"/>
    <s v="DF"/>
    <x v="1"/>
    <s v="DF"/>
    <n v="663.6"/>
    <n v="1"/>
    <n v="1.65"/>
    <n v="6100231"/>
    <x v="1"/>
    <s v="Goiania"/>
    <s v="Convencional"/>
    <n v="6"/>
    <d v="2018-03-25T00:00:00"/>
    <x v="86"/>
    <x v="0"/>
    <d v="2018-03-31T00:00:00"/>
    <x v="0"/>
    <x v="0"/>
    <n v="1"/>
    <n v="1"/>
  </r>
  <r>
    <d v="2018-03-25T00:00:00"/>
    <n v="10744"/>
    <s v="WHVIT"/>
    <s v="Vitoria"/>
    <s v="ES"/>
    <n v="4062"/>
    <x v="27"/>
    <s v="Taguatinga"/>
    <s v="DF"/>
    <x v="1"/>
    <s v="DF"/>
    <n v="1159.69"/>
    <n v="1"/>
    <n v="2.202"/>
    <n v="6100231"/>
    <x v="1"/>
    <s v="Goiania"/>
    <s v="Convencional"/>
    <n v="4"/>
    <d v="2018-03-25T00:00:00"/>
    <x v="80"/>
    <x v="0"/>
    <d v="2018-03-29T00:00:00"/>
    <x v="0"/>
    <x v="0"/>
    <n v="1"/>
    <n v="1"/>
  </r>
  <r>
    <d v="2018-03-28T00:00:00"/>
    <n v="10745"/>
    <s v="WHCPQ"/>
    <s v="Campinas"/>
    <s v="SP"/>
    <n v="4018"/>
    <x v="12"/>
    <s v="Sao Jose"/>
    <s v="SC"/>
    <x v="0"/>
    <s v="SC"/>
    <n v="218.85"/>
    <n v="1"/>
    <n v="0.14099999999999999"/>
    <n v="6500948"/>
    <x v="0"/>
    <s v="Porto Alegre"/>
    <s v="Convencional"/>
    <n v="11"/>
    <d v="2018-03-28T00:00:00"/>
    <x v="87"/>
    <x v="0"/>
    <d v="2018-04-08T00:00:00"/>
    <x v="0"/>
    <x v="0"/>
    <n v="1"/>
    <n v="1"/>
  </r>
  <r>
    <d v="2018-03-29T00:00:00"/>
    <n v="10746"/>
    <s v="WHSJC"/>
    <s v="Sao Jose dos Campos"/>
    <s v="SP"/>
    <n v="4074"/>
    <x v="62"/>
    <s v="Bauru"/>
    <s v="SP"/>
    <x v="2"/>
    <s v="SP"/>
    <n v="663.6"/>
    <n v="1"/>
    <n v="1.65"/>
    <n v="6400835"/>
    <x v="3"/>
    <s v="Guarulhos"/>
    <s v="Convencional"/>
    <n v="11"/>
    <d v="2018-03-29T00:00:00"/>
    <x v="88"/>
    <x v="0"/>
    <d v="2018-04-09T00:00:00"/>
    <x v="0"/>
    <x v="0"/>
    <n v="1"/>
    <n v="1"/>
  </r>
  <r>
    <d v="2018-03-30T00:00:00"/>
    <n v="10747"/>
    <s v="WHBH"/>
    <s v="Belo Horizonte"/>
    <s v="MG"/>
    <n v="4068"/>
    <x v="4"/>
    <s v="Campo Grande"/>
    <s v="MS"/>
    <x v="1"/>
    <s v="MS"/>
    <n v="851.29"/>
    <n v="1"/>
    <n v="5.28"/>
    <n v="6100231"/>
    <x v="1"/>
    <s v="Goiania"/>
    <s v="Convencional"/>
    <n v="1"/>
    <d v="2018-03-30T00:00:00"/>
    <x v="89"/>
    <x v="0"/>
    <d v="2018-03-31T00:00:00"/>
    <x v="1"/>
    <x v="0"/>
    <n v="0"/>
    <n v="1"/>
  </r>
  <r>
    <d v="2018-03-30T00:00:00"/>
    <n v="10748"/>
    <s v="WHSAO"/>
    <s v="Sao Paulo"/>
    <s v="SP"/>
    <n v="4022"/>
    <x v="19"/>
    <s v="Maringa"/>
    <s v="PR"/>
    <x v="0"/>
    <s v="PR"/>
    <n v="443.13"/>
    <n v="1"/>
    <n v="0.44"/>
    <n v="6500948"/>
    <x v="0"/>
    <s v="Porto Alegre"/>
    <s v="Convencional"/>
    <n v="11"/>
    <d v="2018-03-30T00:00:00"/>
    <x v="90"/>
    <x v="0"/>
    <d v="2018-04-10T00:00:00"/>
    <x v="0"/>
    <x v="0"/>
    <n v="1"/>
    <n v="1"/>
  </r>
  <r>
    <d v="2018-03-31T00:00:00"/>
    <n v="10749"/>
    <s v="WHVIT"/>
    <s v="Vitoria"/>
    <s v="ES"/>
    <n v="4075"/>
    <x v="63"/>
    <s v="Presidente Prudente"/>
    <s v="SP"/>
    <x v="2"/>
    <s v="SP"/>
    <n v="780.13"/>
    <n v="1"/>
    <n v="1.101"/>
    <n v="6400835"/>
    <x v="3"/>
    <s v="Guarulhos"/>
    <s v="Convencional"/>
    <n v="4"/>
    <d v="2018-03-31T00:00:00"/>
    <x v="88"/>
    <x v="0"/>
    <d v="2018-04-04T00:00:00"/>
    <x v="1"/>
    <x v="0"/>
    <n v="0"/>
    <n v="1"/>
  </r>
  <r>
    <d v="2018-03-31T00:00:00"/>
    <n v="10750"/>
    <s v="WHSJC"/>
    <s v="Sao Jose dos Campos"/>
    <s v="SP"/>
    <n v="4076"/>
    <x v="64"/>
    <s v="Sao Jose Do Rio Preto"/>
    <s v="SP"/>
    <x v="2"/>
    <s v="SP"/>
    <n v="329.97"/>
    <n v="1"/>
    <n v="2.2000000000000002"/>
    <n v="6400835"/>
    <x v="3"/>
    <s v="Guarulhos"/>
    <s v="Convencional"/>
    <n v="2"/>
    <d v="2018-03-31T00:00:00"/>
    <x v="89"/>
    <x v="0"/>
    <d v="2018-04-02T00:00:00"/>
    <x v="1"/>
    <x v="0"/>
    <n v="0"/>
    <n v="1"/>
  </r>
  <r>
    <d v="2018-03-31T00:00:00"/>
    <n v="10751"/>
    <s v="WHVIT"/>
    <s v="Vitoria"/>
    <s v="ES"/>
    <n v="4077"/>
    <x v="65"/>
    <s v="Bauru"/>
    <s v="SP"/>
    <x v="2"/>
    <s v="SP"/>
    <n v="2978.16"/>
    <n v="3"/>
    <n v="45.54"/>
    <n v="6400835"/>
    <x v="3"/>
    <s v="Guarulhos"/>
    <s v="Convencional"/>
    <n v="1"/>
    <d v="2018-03-31T00:00:00"/>
    <x v="87"/>
    <x v="0"/>
    <d v="2018-04-01T00:00:00"/>
    <x v="1"/>
    <x v="0"/>
    <n v="0"/>
    <n v="1"/>
  </r>
  <r>
    <d v="2018-03-31T00:00:00"/>
    <n v="10752"/>
    <s v="WHVIT"/>
    <s v="Vitoria"/>
    <s v="ES"/>
    <n v="4078"/>
    <x v="66"/>
    <s v="Aracatuba"/>
    <s v="SP"/>
    <x v="2"/>
    <s v="SP"/>
    <n v="17901.61"/>
    <n v="29"/>
    <n v="104.39700000000001"/>
    <n v="6400835"/>
    <x v="3"/>
    <s v="Guarulhos"/>
    <s v="Convencional"/>
    <n v="8"/>
    <d v="2018-03-31T00:00:00"/>
    <x v="84"/>
    <x v="0"/>
    <d v="2018-04-08T00:00:00"/>
    <x v="0"/>
    <x v="0"/>
    <n v="1"/>
    <n v="1"/>
  </r>
  <r>
    <d v="2018-03-31T00:00:00"/>
    <n v="10753"/>
    <s v="WHCPQ"/>
    <s v="Campinas"/>
    <s v="SP"/>
    <n v="4079"/>
    <x v="67"/>
    <s v="Aracatuba"/>
    <s v="SP"/>
    <x v="2"/>
    <s v="SP"/>
    <n v="170.2"/>
    <n v="1"/>
    <n v="0.34699999999999998"/>
    <n v="6400835"/>
    <x v="3"/>
    <s v="Guarulhos"/>
    <s v="Convencional"/>
    <n v="4"/>
    <d v="2018-03-31T00:00:00"/>
    <x v="81"/>
    <x v="0"/>
    <d v="2018-04-04T00:00:00"/>
    <x v="0"/>
    <x v="0"/>
    <n v="1"/>
    <n v="1"/>
  </r>
  <r>
    <d v="2018-03-31T00:00:00"/>
    <n v="10754"/>
    <s v="WHCPQ"/>
    <s v="Campinas"/>
    <s v="SP"/>
    <n v="4080"/>
    <x v="68"/>
    <s v="Aracatuba"/>
    <s v="SP"/>
    <x v="2"/>
    <s v="SP"/>
    <n v="422.88"/>
    <n v="1"/>
    <n v="4.4409999999999998"/>
    <n v="6400835"/>
    <x v="3"/>
    <s v="Guarulhos"/>
    <s v="Convencional"/>
    <n v="5"/>
    <d v="2018-03-31T00:00:00"/>
    <x v="84"/>
    <x v="0"/>
    <d v="2018-04-05T00:00:00"/>
    <x v="0"/>
    <x v="0"/>
    <n v="1"/>
    <n v="1"/>
  </r>
  <r>
    <d v="2018-03-31T00:00:00"/>
    <n v="10755"/>
    <s v="WHBH"/>
    <s v="Belo Horizonte"/>
    <s v="MG"/>
    <n v="4081"/>
    <x v="69"/>
    <s v="Sao Jose Do Rio Preto"/>
    <s v="SP"/>
    <x v="2"/>
    <s v="SP"/>
    <n v="33.9"/>
    <n v="1"/>
    <n v="1.8220000000000001"/>
    <n v="6400835"/>
    <x v="3"/>
    <s v="Guarulhos"/>
    <s v="Convencional"/>
    <n v="5"/>
    <d v="2018-03-31T00:00:00"/>
    <x v="91"/>
    <x v="0"/>
    <d v="2018-04-05T00:00:00"/>
    <x v="1"/>
    <x v="0"/>
    <n v="0"/>
    <n v="1"/>
  </r>
  <r>
    <d v="2018-03-31T00:00:00"/>
    <n v="10756"/>
    <s v="WHSAO"/>
    <s v="Sao Paulo"/>
    <s v="SP"/>
    <n v="4038"/>
    <x v="9"/>
    <s v="Goiania"/>
    <s v="GO"/>
    <x v="1"/>
    <s v="GO"/>
    <n v="513.1"/>
    <n v="2"/>
    <n v="2.9580000000000002"/>
    <n v="6100231"/>
    <x v="1"/>
    <s v="Goiania"/>
    <s v="Convencional"/>
    <n v="10"/>
    <d v="2018-03-31T00:00:00"/>
    <x v="92"/>
    <x v="0"/>
    <d v="2018-04-10T00:00:00"/>
    <x v="0"/>
    <x v="0"/>
    <n v="1"/>
    <n v="1"/>
  </r>
  <r>
    <d v="2018-03-31T00:00:00"/>
    <n v="10757"/>
    <s v="WHSAO"/>
    <s v="Sao Paulo"/>
    <s v="SP"/>
    <n v="4082"/>
    <x v="70"/>
    <s v="Bauru"/>
    <s v="SP"/>
    <x v="2"/>
    <s v="SP"/>
    <n v="1383.72"/>
    <n v="1"/>
    <n v="2.802"/>
    <n v="6400835"/>
    <x v="3"/>
    <s v="Guarulhos"/>
    <s v="Convencional"/>
    <n v="5"/>
    <d v="2018-03-31T00:00:00"/>
    <x v="88"/>
    <x v="0"/>
    <d v="2018-04-05T00:00:00"/>
    <x v="0"/>
    <x v="0"/>
    <n v="1"/>
    <n v="1"/>
  </r>
  <r>
    <d v="2018-03-31T00:00:00"/>
    <n v="10758"/>
    <s v="WHCPQ"/>
    <s v="Campinas"/>
    <s v="SP"/>
    <n v="4083"/>
    <x v="71"/>
    <s v="Sao Jose Do Rio Preto"/>
    <s v="SP"/>
    <x v="2"/>
    <s v="SP"/>
    <n v="240.5"/>
    <n v="1"/>
    <n v="1.1200000000000001"/>
    <n v="6400835"/>
    <x v="3"/>
    <s v="Guarulhos"/>
    <s v="Convencional"/>
    <n v="12"/>
    <d v="2018-03-31T00:00:00"/>
    <x v="91"/>
    <x v="0"/>
    <d v="2018-04-12T00:00:00"/>
    <x v="0"/>
    <x v="0"/>
    <n v="1"/>
    <n v="1"/>
  </r>
  <r>
    <d v="2018-03-31T00:00:00"/>
    <n v="10759"/>
    <s v="WHSJC"/>
    <s v="Sao Jose dos Campos"/>
    <s v="SP"/>
    <n v="4016"/>
    <x v="6"/>
    <s v="Pocos De Caldas"/>
    <s v="MG"/>
    <x v="2"/>
    <s v="MG"/>
    <n v="142.13"/>
    <n v="1"/>
    <n v="1.4670000000000001"/>
    <n v="6600879"/>
    <x v="2"/>
    <s v="Belo Horizonte"/>
    <s v="Convencional"/>
    <n v="10"/>
    <d v="2018-03-31T00:00:00"/>
    <x v="93"/>
    <x v="0"/>
    <d v="2018-04-10T00:00:00"/>
    <x v="0"/>
    <x v="0"/>
    <n v="1"/>
    <n v="1"/>
  </r>
  <r>
    <d v="2018-03-31T00:00:00"/>
    <n v="10760"/>
    <s v="WHCPQ"/>
    <s v="Campinas"/>
    <s v="SP"/>
    <n v="4083"/>
    <x v="71"/>
    <s v="Sao Jose Do Rio Preto"/>
    <s v="SP"/>
    <x v="2"/>
    <s v="SP"/>
    <n v="359.56"/>
    <n v="1"/>
    <n v="13.42"/>
    <n v="6400835"/>
    <x v="3"/>
    <s v="Guarulhos"/>
    <s v="Convencional"/>
    <n v="9"/>
    <d v="2018-03-31T00:00:00"/>
    <x v="90"/>
    <x v="0"/>
    <d v="2018-04-09T00:00:00"/>
    <x v="0"/>
    <x v="0"/>
    <n v="1"/>
    <n v="1"/>
  </r>
  <r>
    <d v="2018-03-31T00:00:00"/>
    <n v="10761"/>
    <s v="WHBH"/>
    <s v="Belo Horizonte"/>
    <s v="MG"/>
    <n v="4083"/>
    <x v="71"/>
    <s v="Sao Jose Do Rio Preto"/>
    <s v="SP"/>
    <x v="2"/>
    <s v="SP"/>
    <n v="26.21"/>
    <n v="1"/>
    <n v="0.112"/>
    <n v="6400835"/>
    <x v="3"/>
    <s v="Guarulhos"/>
    <s v="Convencional"/>
    <n v="3"/>
    <d v="2018-03-31T00:00:00"/>
    <x v="88"/>
    <x v="0"/>
    <d v="2018-04-03T00:00:00"/>
    <x v="1"/>
    <x v="0"/>
    <n v="0"/>
    <n v="1"/>
  </r>
  <r>
    <d v="2018-03-31T00:00:00"/>
    <n v="10762"/>
    <s v="WHBH"/>
    <s v="Belo Horizonte"/>
    <s v="MG"/>
    <n v="4083"/>
    <x v="71"/>
    <s v="Sao Jose Do Rio Preto"/>
    <s v="SP"/>
    <x v="2"/>
    <s v="SP"/>
    <n v="706.81"/>
    <n v="1"/>
    <n v="2.64"/>
    <n v="6400835"/>
    <x v="3"/>
    <s v="Guarulhos"/>
    <s v="Convencional"/>
    <n v="11"/>
    <d v="2018-03-31T00:00:00"/>
    <x v="89"/>
    <x v="0"/>
    <d v="2018-04-11T00:00:00"/>
    <x v="0"/>
    <x v="0"/>
    <n v="1"/>
    <n v="1"/>
  </r>
  <r>
    <d v="2018-03-31T00:00:00"/>
    <n v="10763"/>
    <s v="WHRJ"/>
    <s v="Rio De Janeiro"/>
    <s v="RJ"/>
    <n v="4083"/>
    <x v="71"/>
    <s v="Sao Jose Do Rio Preto"/>
    <s v="SP"/>
    <x v="2"/>
    <s v="SP"/>
    <n v="1413.65"/>
    <n v="2"/>
    <n v="5.28"/>
    <n v="6400835"/>
    <x v="3"/>
    <s v="Guarulhos"/>
    <s v="Convencional"/>
    <n v="10"/>
    <d v="2018-03-31T00:00:00"/>
    <x v="88"/>
    <x v="0"/>
    <d v="2018-04-10T00:00:00"/>
    <x v="0"/>
    <x v="0"/>
    <n v="1"/>
    <n v="1"/>
  </r>
  <r>
    <d v="2018-03-31T00:00:00"/>
    <n v="10764"/>
    <s v="WHSJC"/>
    <s v="Sao Jose dos Campos"/>
    <s v="SP"/>
    <n v="4016"/>
    <x v="6"/>
    <s v="Pocos De Caldas"/>
    <s v="MG"/>
    <x v="2"/>
    <s v="MG"/>
    <n v="1266.2"/>
    <n v="1"/>
    <n v="16.72"/>
    <n v="6600879"/>
    <x v="2"/>
    <s v="Belo Horizonte"/>
    <s v="Convencional"/>
    <n v="9"/>
    <d v="2018-03-31T00:00:00"/>
    <x v="81"/>
    <x v="0"/>
    <d v="2018-04-09T00:00:00"/>
    <x v="0"/>
    <x v="0"/>
    <n v="1"/>
    <n v="1"/>
  </r>
  <r>
    <d v="2018-03-31T00:00:00"/>
    <n v="10765"/>
    <s v="WHBH"/>
    <s v="Belo Horizonte"/>
    <s v="MG"/>
    <n v="4016"/>
    <x v="6"/>
    <s v="Pocos De Caldas"/>
    <s v="MG"/>
    <x v="2"/>
    <s v="MG"/>
    <n v="507.66"/>
    <n v="3"/>
    <n v="1.04"/>
    <n v="6600879"/>
    <x v="2"/>
    <s v="Belo Horizonte"/>
    <s v="Convencional"/>
    <n v="5"/>
    <d v="2018-03-31T00:00:00"/>
    <x v="87"/>
    <x v="0"/>
    <d v="2018-04-05T00:00:00"/>
    <x v="0"/>
    <x v="0"/>
    <n v="1"/>
    <n v="1"/>
  </r>
  <r>
    <d v="2018-03-31T00:00:00"/>
    <n v="10766"/>
    <s v="WHVIT"/>
    <s v="Vitoria"/>
    <s v="ES"/>
    <n v="4016"/>
    <x v="6"/>
    <s v="Pocos De Caldas"/>
    <s v="MG"/>
    <x v="2"/>
    <s v="MG"/>
    <n v="170.2"/>
    <n v="1"/>
    <n v="0.34699999999999998"/>
    <n v="6600879"/>
    <x v="2"/>
    <s v="Belo Horizonte"/>
    <s v="Convencional"/>
    <n v="1"/>
    <d v="2018-03-31T00:00:00"/>
    <x v="85"/>
    <x v="0"/>
    <d v="2018-04-01T00:00:00"/>
    <x v="1"/>
    <x v="0"/>
    <n v="0"/>
    <n v="1"/>
  </r>
  <r>
    <d v="2018-03-31T00:00:00"/>
    <n v="10767"/>
    <s v="WHBH"/>
    <s v="Belo Horizonte"/>
    <s v="MG"/>
    <n v="4016"/>
    <x v="6"/>
    <s v="Pocos De Caldas"/>
    <s v="MG"/>
    <x v="2"/>
    <s v="MG"/>
    <n v="679.69"/>
    <n v="2"/>
    <n v="4.8620000000000001"/>
    <n v="6600879"/>
    <x v="2"/>
    <s v="Belo Horizonte"/>
    <s v="Convencional"/>
    <n v="8"/>
    <d v="2018-03-31T00:00:00"/>
    <x v="93"/>
    <x v="0"/>
    <d v="2018-04-08T00:00:00"/>
    <x v="1"/>
    <x v="0"/>
    <n v="0"/>
    <n v="1"/>
  </r>
  <r>
    <d v="2018-03-31T00:00:00"/>
    <n v="10768"/>
    <s v="WHSJC"/>
    <s v="Sao Jose dos Campos"/>
    <s v="SP"/>
    <n v="4016"/>
    <x v="6"/>
    <s v="Pocos De Caldas"/>
    <s v="MG"/>
    <x v="2"/>
    <s v="MG"/>
    <n v="442.16"/>
    <n v="1"/>
    <n v="1.1200000000000001"/>
    <n v="6600879"/>
    <x v="2"/>
    <s v="Belo Horizonte"/>
    <s v="Convencional"/>
    <n v="5"/>
    <d v="2018-03-31T00:00:00"/>
    <x v="88"/>
    <x v="0"/>
    <d v="2018-04-05T00:00:00"/>
    <x v="0"/>
    <x v="0"/>
    <n v="1"/>
    <n v="1"/>
  </r>
  <r>
    <d v="2018-03-31T00:00:00"/>
    <n v="10769"/>
    <s v="WHCPQ"/>
    <s v="Campinas"/>
    <s v="SP"/>
    <n v="4016"/>
    <x v="6"/>
    <s v="Pocos De Caldas"/>
    <s v="MG"/>
    <x v="2"/>
    <s v="MG"/>
    <n v="35677.370000000003"/>
    <n v="42"/>
    <n v="225.60599999999999"/>
    <n v="6600879"/>
    <x v="2"/>
    <s v="Belo Horizonte"/>
    <s v="Convencional"/>
    <n v="10"/>
    <d v="2018-03-31T00:00:00"/>
    <x v="90"/>
    <x v="0"/>
    <d v="2018-04-10T00:00:00"/>
    <x v="0"/>
    <x v="0"/>
    <n v="1"/>
    <n v="1"/>
  </r>
  <r>
    <d v="2018-04-04T00:00:00"/>
    <n v="10770"/>
    <s v="WHBH"/>
    <s v="Belo Horizonte"/>
    <s v="MG"/>
    <n v="4084"/>
    <x v="72"/>
    <s v="Aracatuba"/>
    <s v="SP"/>
    <x v="2"/>
    <s v="SP"/>
    <n v="1183.6500000000001"/>
    <n v="1"/>
    <n v="1.101"/>
    <n v="6400835"/>
    <x v="3"/>
    <s v="Guarulhos"/>
    <s v="Convencional"/>
    <n v="11"/>
    <d v="2018-04-04T00:00:00"/>
    <x v="93"/>
    <x v="0"/>
    <d v="2018-04-15T00:00:00"/>
    <x v="0"/>
    <x v="0"/>
    <n v="1"/>
    <n v="1"/>
  </r>
  <r>
    <d v="2018-04-05T00:00:00"/>
    <n v="10771"/>
    <s v="WHCPQ"/>
    <s v="Campinas"/>
    <s v="SP"/>
    <n v="4085"/>
    <x v="73"/>
    <s v="Sao Jose Do Rio Preto"/>
    <s v="SP"/>
    <x v="2"/>
    <s v="SP"/>
    <n v="37798.99"/>
    <n v="38"/>
    <n v="159.42099999999999"/>
    <n v="6400835"/>
    <x v="3"/>
    <s v="Guarulhos"/>
    <s v="Convencional"/>
    <n v="10"/>
    <d v="2018-04-05T00:00:00"/>
    <x v="90"/>
    <x v="0"/>
    <d v="2018-04-15T00:00:00"/>
    <x v="0"/>
    <x v="0"/>
    <n v="1"/>
    <n v="1"/>
  </r>
  <r>
    <d v="2018-04-05T00:00:00"/>
    <n v="10772"/>
    <s v="WHSJC"/>
    <s v="Sao Jose dos Campos"/>
    <s v="SP"/>
    <n v="4022"/>
    <x v="19"/>
    <s v="Maringa"/>
    <s v="PR"/>
    <x v="0"/>
    <s v="PR"/>
    <n v="1258.9000000000001"/>
    <n v="1"/>
    <n v="17.16"/>
    <n v="6500948"/>
    <x v="0"/>
    <s v="Porto Alegre"/>
    <s v="Convencional"/>
    <n v="8"/>
    <d v="2018-04-05T00:00:00"/>
    <x v="93"/>
    <x v="0"/>
    <d v="2018-04-13T00:00:00"/>
    <x v="0"/>
    <x v="0"/>
    <n v="1"/>
    <n v="1"/>
  </r>
  <r>
    <d v="2018-04-05T00:00:00"/>
    <n v="10773"/>
    <s v="WHRJ"/>
    <s v="Rio De Janeiro"/>
    <s v="RJ"/>
    <n v="4022"/>
    <x v="19"/>
    <s v="Maringa"/>
    <s v="PR"/>
    <x v="0"/>
    <s v="PR"/>
    <n v="2635.17"/>
    <n v="13"/>
    <n v="31.9"/>
    <n v="6500948"/>
    <x v="0"/>
    <s v="Porto Alegre"/>
    <s v="Convencional"/>
    <n v="1"/>
    <d v="2018-04-05T00:00:00"/>
    <x v="94"/>
    <x v="1"/>
    <d v="2018-04-06T00:00:00"/>
    <x v="1"/>
    <x v="1"/>
    <n v="0"/>
    <n v="1"/>
  </r>
  <r>
    <d v="2018-04-06T00:00:00"/>
    <n v="10774"/>
    <s v="WHCPQ"/>
    <s v="Campinas"/>
    <s v="SP"/>
    <n v="4086"/>
    <x v="74"/>
    <s v="Aracatuba"/>
    <s v="SP"/>
    <x v="2"/>
    <s v="SP"/>
    <n v="1156.07"/>
    <n v="1"/>
    <n v="16.940000000000001"/>
    <n v="6400835"/>
    <x v="3"/>
    <s v="Guarulhos"/>
    <s v="Convencional"/>
    <n v="11"/>
    <d v="2018-04-06T00:00:00"/>
    <x v="89"/>
    <x v="0"/>
    <d v="2018-04-17T00:00:00"/>
    <x v="0"/>
    <x v="0"/>
    <n v="1"/>
    <n v="1"/>
  </r>
  <r>
    <d v="2018-04-06T00:00:00"/>
    <n v="10775"/>
    <s v="WHVIT"/>
    <s v="Vitoria"/>
    <s v="ES"/>
    <n v="4087"/>
    <x v="75"/>
    <s v="Aracatuba"/>
    <s v="SP"/>
    <x v="2"/>
    <s v="SP"/>
    <n v="306.87"/>
    <n v="1"/>
    <n v="0.44900000000000001"/>
    <n v="6400835"/>
    <x v="3"/>
    <s v="Guarulhos"/>
    <s v="Convencional"/>
    <n v="11"/>
    <d v="2018-04-06T00:00:00"/>
    <x v="94"/>
    <x v="0"/>
    <d v="2018-04-17T00:00:00"/>
    <x v="0"/>
    <x v="0"/>
    <n v="1"/>
    <n v="1"/>
  </r>
  <r>
    <d v="2018-04-06T00:00:00"/>
    <n v="10776"/>
    <s v="WHSAO"/>
    <s v="Sao Paulo"/>
    <s v="SP"/>
    <n v="4088"/>
    <x v="76"/>
    <s v="Atibaia"/>
    <s v="SP"/>
    <x v="2"/>
    <s v="SP"/>
    <n v="606.66999999999996"/>
    <n v="1"/>
    <n v="1.65"/>
    <n v="6400835"/>
    <x v="3"/>
    <s v="Guarulhos"/>
    <s v="Convencional"/>
    <n v="11"/>
    <d v="2018-04-06T00:00:00"/>
    <x v="95"/>
    <x v="0"/>
    <d v="2018-04-17T00:00:00"/>
    <x v="0"/>
    <x v="0"/>
    <n v="1"/>
    <n v="1"/>
  </r>
  <r>
    <d v="2018-04-07T00:00:00"/>
    <n v="10777"/>
    <s v="WHVIT"/>
    <s v="Vitoria"/>
    <s v="ES"/>
    <n v="4018"/>
    <x v="12"/>
    <s v="Sao Jose"/>
    <s v="SC"/>
    <x v="0"/>
    <s v="SC"/>
    <n v="283.39999999999998"/>
    <n v="2"/>
    <n v="4.5730000000000004"/>
    <n v="6500948"/>
    <x v="0"/>
    <s v="Porto Alegre"/>
    <s v="Convencional"/>
    <n v="4"/>
    <d v="2018-04-07T00:00:00"/>
    <x v="96"/>
    <x v="0"/>
    <d v="2018-04-11T00:00:00"/>
    <x v="1"/>
    <x v="0"/>
    <n v="0"/>
    <n v="1"/>
  </r>
  <r>
    <d v="2018-04-07T00:00:00"/>
    <n v="10778"/>
    <s v="WHCPQ"/>
    <s v="Campinas"/>
    <s v="SP"/>
    <n v="4055"/>
    <x v="45"/>
    <s v="Brasilia"/>
    <s v="DF"/>
    <x v="1"/>
    <s v="DF"/>
    <n v="219.86"/>
    <n v="1"/>
    <n v="1.1200000000000001"/>
    <n v="6100231"/>
    <x v="1"/>
    <s v="Goiania"/>
    <s v="Convencional"/>
    <n v="9"/>
    <d v="2018-04-07T00:00:00"/>
    <x v="93"/>
    <x v="0"/>
    <d v="2018-04-16T00:00:00"/>
    <x v="0"/>
    <x v="0"/>
    <n v="1"/>
    <n v="1"/>
  </r>
  <r>
    <d v="2018-04-07T00:00:00"/>
    <n v="10779"/>
    <s v="WHCPQ"/>
    <s v="Campinas"/>
    <s v="SP"/>
    <n v="4021"/>
    <x v="18"/>
    <s v="Itajai"/>
    <s v="SC"/>
    <x v="0"/>
    <s v="SC"/>
    <n v="1114.3599999999999"/>
    <n v="1"/>
    <n v="11.837999999999999"/>
    <n v="6500948"/>
    <x v="0"/>
    <s v="Porto Alegre"/>
    <s v="Convencional"/>
    <n v="8"/>
    <d v="2018-04-07T00:00:00"/>
    <x v="95"/>
    <x v="0"/>
    <d v="2018-04-15T00:00:00"/>
    <x v="0"/>
    <x v="0"/>
    <n v="1"/>
    <n v="1"/>
  </r>
  <r>
    <d v="2018-04-07T00:00:00"/>
    <n v="10780"/>
    <s v="WHSAO"/>
    <s v="Sao Paulo"/>
    <s v="SP"/>
    <n v="4025"/>
    <x v="22"/>
    <s v="Novo Hamburgo"/>
    <s v="RS"/>
    <x v="0"/>
    <s v="RS"/>
    <n v="1740.86"/>
    <n v="2"/>
    <n v="0.73399999999999999"/>
    <n v="6500948"/>
    <x v="0"/>
    <s v="Porto Alegre"/>
    <s v="Convencional"/>
    <n v="9"/>
    <d v="2018-04-07T00:00:00"/>
    <x v="97"/>
    <x v="0"/>
    <d v="2018-04-16T00:00:00"/>
    <x v="1"/>
    <x v="0"/>
    <n v="0"/>
    <n v="1"/>
  </r>
  <r>
    <d v="2018-04-07T00:00:00"/>
    <n v="10781"/>
    <s v="WHRJ"/>
    <s v="Rio De Janeiro"/>
    <s v="RJ"/>
    <n v="4028"/>
    <x v="26"/>
    <s v="Sao Jose Dos Pinhais"/>
    <s v="PR"/>
    <x v="0"/>
    <s v="PR"/>
    <n v="7017.08"/>
    <n v="8"/>
    <n v="38.899000000000001"/>
    <n v="6500948"/>
    <x v="0"/>
    <s v="Porto Alegre"/>
    <s v="Convencional"/>
    <n v="3"/>
    <d v="2018-04-07T00:00:00"/>
    <x v="96"/>
    <x v="0"/>
    <d v="2018-04-10T00:00:00"/>
    <x v="1"/>
    <x v="0"/>
    <n v="0"/>
    <n v="1"/>
  </r>
  <r>
    <d v="2018-04-07T00:00:00"/>
    <n v="10782"/>
    <s v="WHCPQ"/>
    <s v="Campinas"/>
    <s v="SP"/>
    <n v="4029"/>
    <x v="29"/>
    <s v="Joinville"/>
    <s v="SC"/>
    <x v="0"/>
    <s v="SC"/>
    <n v="258.22000000000003"/>
    <n v="1"/>
    <n v="0.16200000000000001"/>
    <n v="6500948"/>
    <x v="0"/>
    <s v="Porto Alegre"/>
    <s v="Convencional"/>
    <n v="4"/>
    <d v="2018-04-07T00:00:00"/>
    <x v="93"/>
    <x v="0"/>
    <d v="2018-04-11T00:00:00"/>
    <x v="0"/>
    <x v="0"/>
    <n v="1"/>
    <n v="1"/>
  </r>
  <r>
    <d v="2018-04-07T00:00:00"/>
    <n v="10783"/>
    <s v="WHRJ"/>
    <s v="Rio De Janeiro"/>
    <s v="RJ"/>
    <n v="4021"/>
    <x v="18"/>
    <s v="Itajai"/>
    <s v="SC"/>
    <x v="0"/>
    <s v="SC"/>
    <n v="24.76"/>
    <n v="1"/>
    <n v="0.217"/>
    <n v="6500948"/>
    <x v="0"/>
    <s v="Porto Alegre"/>
    <s v="Convencional"/>
    <n v="2"/>
    <d v="2018-04-07T00:00:00"/>
    <x v="96"/>
    <x v="0"/>
    <d v="2018-04-09T00:00:00"/>
    <x v="1"/>
    <x v="0"/>
    <n v="0"/>
    <n v="1"/>
  </r>
  <r>
    <d v="2018-04-07T00:00:00"/>
    <n v="10784"/>
    <s v="WHPOA"/>
    <s v="Porto Alegre"/>
    <s v="RS"/>
    <n v="4029"/>
    <x v="29"/>
    <s v="Joinville"/>
    <s v="SC"/>
    <x v="0"/>
    <s v="SC"/>
    <n v="447.01"/>
    <n v="1"/>
    <n v="3.85"/>
    <n v="6500948"/>
    <x v="0"/>
    <s v="Porto Alegre"/>
    <s v="Convencional"/>
    <n v="9"/>
    <d v="2018-04-07T00:00:00"/>
    <x v="94"/>
    <x v="0"/>
    <d v="2018-04-16T00:00:00"/>
    <x v="0"/>
    <x v="0"/>
    <n v="1"/>
    <n v="1"/>
  </r>
  <r>
    <d v="2018-04-07T00:00:00"/>
    <n v="10785"/>
    <s v="WHVIT"/>
    <s v="Vitoria"/>
    <s v="ES"/>
    <n v="4025"/>
    <x v="22"/>
    <s v="Novo Hamburgo"/>
    <s v="RS"/>
    <x v="0"/>
    <s v="RS"/>
    <n v="554.4"/>
    <n v="1"/>
    <n v="12.462999999999999"/>
    <n v="6500948"/>
    <x v="0"/>
    <s v="Porto Alegre"/>
    <s v="Convencional"/>
    <n v="12"/>
    <d v="2018-04-07T00:00:00"/>
    <x v="95"/>
    <x v="0"/>
    <d v="2018-04-19T00:00:00"/>
    <x v="0"/>
    <x v="0"/>
    <n v="1"/>
    <n v="1"/>
  </r>
  <r>
    <d v="2018-04-07T00:00:00"/>
    <n v="10786"/>
    <s v="WHBH"/>
    <s v="Belo Horizonte"/>
    <s v="MG"/>
    <n v="4028"/>
    <x v="26"/>
    <s v="Sao Jose Dos Pinhais"/>
    <s v="PR"/>
    <x v="0"/>
    <s v="PR"/>
    <n v="780.41"/>
    <n v="1"/>
    <n v="1.1200000000000001"/>
    <n v="6500948"/>
    <x v="0"/>
    <s v="Porto Alegre"/>
    <s v="Convencional"/>
    <n v="3"/>
    <d v="2018-04-07T00:00:00"/>
    <x v="98"/>
    <x v="0"/>
    <d v="2018-04-10T00:00:00"/>
    <x v="1"/>
    <x v="0"/>
    <n v="0"/>
    <n v="1"/>
  </r>
  <r>
    <d v="2018-04-07T00:00:00"/>
    <n v="10787"/>
    <s v="WHSAO"/>
    <s v="Sao Paulo"/>
    <s v="SP"/>
    <n v="4030"/>
    <x v="30"/>
    <s v="Belo Horizonte"/>
    <s v="MG"/>
    <x v="2"/>
    <s v="MG"/>
    <n v="380.92"/>
    <n v="3"/>
    <n v="0.60099999999999998"/>
    <n v="6600879"/>
    <x v="2"/>
    <s v="Belo Horizonte"/>
    <s v="Convencional"/>
    <n v="9"/>
    <d v="2018-04-07T00:00:00"/>
    <x v="94"/>
    <x v="0"/>
    <d v="2018-04-16T00:00:00"/>
    <x v="0"/>
    <x v="0"/>
    <n v="1"/>
    <n v="1"/>
  </r>
  <r>
    <d v="2018-04-07T00:00:00"/>
    <n v="10788"/>
    <s v="WHPOA"/>
    <s v="Porto Alegre"/>
    <s v="RS"/>
    <n v="4030"/>
    <x v="30"/>
    <s v="Belo Horizonte"/>
    <s v="MG"/>
    <x v="2"/>
    <s v="MG"/>
    <n v="22.09"/>
    <n v="1"/>
    <n v="1.1200000000000001"/>
    <n v="6600879"/>
    <x v="2"/>
    <s v="Belo Horizonte"/>
    <s v="Urgente"/>
    <n v="9"/>
    <d v="2018-04-07T00:00:00"/>
    <x v="93"/>
    <x v="0"/>
    <d v="2018-04-16T00:00:00"/>
    <x v="0"/>
    <x v="0"/>
    <n v="1"/>
    <n v="1"/>
  </r>
  <r>
    <d v="2018-04-07T00:00:00"/>
    <n v="10789"/>
    <s v="WHSAO"/>
    <s v="Sao Paulo"/>
    <s v="SP"/>
    <n v="4040"/>
    <x v="42"/>
    <s v="Brasilia"/>
    <s v="DF"/>
    <x v="1"/>
    <s v="DF"/>
    <n v="233.79"/>
    <n v="1"/>
    <n v="0.50600000000000001"/>
    <n v="6100231"/>
    <x v="1"/>
    <s v="Goiania"/>
    <s v="Convencional"/>
    <n v="6"/>
    <d v="2018-04-07T00:00:00"/>
    <x v="96"/>
    <x v="0"/>
    <d v="2018-04-13T00:00:00"/>
    <x v="1"/>
    <x v="0"/>
    <n v="0"/>
    <n v="1"/>
  </r>
  <r>
    <d v="2018-04-07T00:00:00"/>
    <n v="10790"/>
    <s v="WHVIT"/>
    <s v="Vitoria"/>
    <s v="ES"/>
    <n v="4055"/>
    <x v="45"/>
    <s v="Brasilia"/>
    <s v="DF"/>
    <x v="1"/>
    <s v="DF"/>
    <n v="174.32"/>
    <n v="1"/>
    <n v="5.28"/>
    <n v="6100231"/>
    <x v="1"/>
    <s v="Goiania"/>
    <s v="Convencional"/>
    <n v="4"/>
    <d v="2018-04-07T00:00:00"/>
    <x v="96"/>
    <x v="0"/>
    <d v="2018-04-11T00:00:00"/>
    <x v="1"/>
    <x v="0"/>
    <n v="0"/>
    <n v="1"/>
  </r>
  <r>
    <d v="2018-04-07T00:00:00"/>
    <n v="10791"/>
    <s v="WHSJC"/>
    <s v="Sao Jose dos Campos"/>
    <s v="SP"/>
    <n v="4040"/>
    <x v="42"/>
    <s v="Brasilia"/>
    <s v="DF"/>
    <x v="1"/>
    <s v="DF"/>
    <n v="213.6"/>
    <n v="1"/>
    <n v="0.53900000000000003"/>
    <n v="6100231"/>
    <x v="1"/>
    <s v="Goiania"/>
    <s v="Convencional"/>
    <n v="5"/>
    <d v="2018-04-07T00:00:00"/>
    <x v="97"/>
    <x v="0"/>
    <d v="2018-04-12T00:00:00"/>
    <x v="1"/>
    <x v="0"/>
    <n v="0"/>
    <n v="1"/>
  </r>
  <r>
    <d v="2018-04-11T00:00:00"/>
    <n v="10792"/>
    <s v="WHPOA"/>
    <s v="Porto Alegre"/>
    <s v="RS"/>
    <n v="4012"/>
    <x v="0"/>
    <s v="Sao Jose Dos Pinhais"/>
    <s v="PR"/>
    <x v="0"/>
    <s v="PR"/>
    <n v="125.92"/>
    <n v="1"/>
    <n v="0.45100000000000001"/>
    <n v="6500948"/>
    <x v="0"/>
    <s v="Porto Alegre"/>
    <s v="Convencional"/>
    <n v="6"/>
    <d v="2018-04-11T00:00:00"/>
    <x v="99"/>
    <x v="0"/>
    <d v="2018-04-17T00:00:00"/>
    <x v="0"/>
    <x v="0"/>
    <n v="1"/>
    <n v="1"/>
  </r>
  <r>
    <d v="2018-04-11T00:00:00"/>
    <n v="10793"/>
    <s v="WHVIT"/>
    <s v="Vitoria"/>
    <s v="ES"/>
    <n v="4034"/>
    <x v="36"/>
    <s v="Goiania"/>
    <s v="GO"/>
    <x v="1"/>
    <s v="GO"/>
    <n v="3957.83"/>
    <n v="1"/>
    <n v="2.3130000000000002"/>
    <n v="6100231"/>
    <x v="1"/>
    <s v="Goiania"/>
    <s v="Convencional"/>
    <n v="7"/>
    <d v="2018-04-11T00:00:00"/>
    <x v="95"/>
    <x v="0"/>
    <d v="2018-04-18T00:00:00"/>
    <x v="0"/>
    <x v="0"/>
    <n v="1"/>
    <n v="1"/>
  </r>
  <r>
    <d v="2018-04-11T00:00:00"/>
    <n v="10794"/>
    <s v="WHRJ"/>
    <s v="Rio De Janeiro"/>
    <s v="RJ"/>
    <n v="4022"/>
    <x v="19"/>
    <s v="Maringa"/>
    <s v="PR"/>
    <x v="0"/>
    <s v="PR"/>
    <n v="523.30999999999995"/>
    <n v="1"/>
    <n v="11.167"/>
    <n v="6500948"/>
    <x v="0"/>
    <s v="Porto Alegre"/>
    <s v="Urgente"/>
    <n v="5"/>
    <d v="2018-04-11T00:00:00"/>
    <x v="94"/>
    <x v="0"/>
    <d v="2018-04-16T00:00:00"/>
    <x v="0"/>
    <x v="0"/>
    <n v="1"/>
    <n v="1"/>
  </r>
  <r>
    <d v="2018-04-12T00:00:00"/>
    <n v="10795"/>
    <s v="WHVIT"/>
    <s v="Vitoria"/>
    <s v="ES"/>
    <n v="4057"/>
    <x v="55"/>
    <s v="Taguatinga"/>
    <s v="DF"/>
    <x v="1"/>
    <s v="DF"/>
    <n v="754.21"/>
    <n v="1"/>
    <n v="22"/>
    <n v="6100231"/>
    <x v="1"/>
    <s v="Goiania"/>
    <s v="Convencional"/>
    <n v="6"/>
    <d v="2018-04-12T00:00:00"/>
    <x v="100"/>
    <x v="0"/>
    <d v="2018-04-18T00:00:00"/>
    <x v="1"/>
    <x v="0"/>
    <n v="0"/>
    <n v="1"/>
  </r>
  <r>
    <d v="2018-04-12T00:00:00"/>
    <n v="10796"/>
    <s v="WHCPQ"/>
    <s v="Campinas"/>
    <s v="SP"/>
    <n v="4012"/>
    <x v="0"/>
    <s v="Sao Jose Dos Pinhais"/>
    <s v="PR"/>
    <x v="0"/>
    <s v="PR"/>
    <n v="5692.77"/>
    <n v="20"/>
    <n v="62.445999999999998"/>
    <n v="6500948"/>
    <x v="0"/>
    <s v="Porto Alegre"/>
    <s v="Convencional"/>
    <n v="3"/>
    <d v="2018-04-12T00:00:00"/>
    <x v="101"/>
    <x v="2"/>
    <d v="2018-04-15T00:00:00"/>
    <x v="1"/>
    <x v="1"/>
    <n v="0"/>
    <n v="1"/>
  </r>
  <r>
    <d v="2018-04-12T00:00:00"/>
    <n v="10797"/>
    <s v="WHPOA"/>
    <s v="Porto Alegre"/>
    <s v="RS"/>
    <n v="4014"/>
    <x v="3"/>
    <s v="Ipatinga"/>
    <s v="MG"/>
    <x v="2"/>
    <s v="MG"/>
    <n v="2829.41"/>
    <n v="16"/>
    <n v="49.518000000000001"/>
    <n v="6600879"/>
    <x v="2"/>
    <s v="Belo Horizonte"/>
    <s v="Convencional"/>
    <n v="11"/>
    <d v="2018-04-12T00:00:00"/>
    <x v="101"/>
    <x v="0"/>
    <d v="2018-04-23T00:00:00"/>
    <x v="0"/>
    <x v="0"/>
    <n v="1"/>
    <n v="1"/>
  </r>
  <r>
    <d v="2018-04-12T00:00:00"/>
    <n v="10798"/>
    <s v="WHVIT"/>
    <s v="Vitoria"/>
    <s v="ES"/>
    <n v="4014"/>
    <x v="3"/>
    <s v="Ipatinga"/>
    <s v="MG"/>
    <x v="2"/>
    <s v="MG"/>
    <n v="1905.34"/>
    <n v="1"/>
    <n v="1.1200000000000001"/>
    <n v="6600879"/>
    <x v="2"/>
    <s v="Belo Horizonte"/>
    <s v="Convencional"/>
    <n v="1"/>
    <d v="2018-04-12T00:00:00"/>
    <x v="102"/>
    <x v="0"/>
    <d v="2018-04-13T00:00:00"/>
    <x v="1"/>
    <x v="0"/>
    <n v="0"/>
    <n v="1"/>
  </r>
  <r>
    <d v="2018-04-12T00:00:00"/>
    <n v="10799"/>
    <s v="WHVIT"/>
    <s v="Vitoria"/>
    <s v="ES"/>
    <n v="4014"/>
    <x v="3"/>
    <s v="Ipatinga"/>
    <s v="MG"/>
    <x v="2"/>
    <s v="MG"/>
    <n v="573.01"/>
    <n v="1"/>
    <n v="1.76"/>
    <n v="6600879"/>
    <x v="2"/>
    <s v="Belo Horizonte"/>
    <s v="Convencional"/>
    <n v="2"/>
    <d v="2018-04-12T00:00:00"/>
    <x v="101"/>
    <x v="0"/>
    <d v="2018-04-14T00:00:00"/>
    <x v="1"/>
    <x v="0"/>
    <n v="0"/>
    <n v="1"/>
  </r>
  <r>
    <d v="2018-04-12T00:00:00"/>
    <n v="10800"/>
    <s v="WHPOA"/>
    <s v="Porto Alegre"/>
    <s v="RS"/>
    <n v="4032"/>
    <x v="34"/>
    <s v="Goiania"/>
    <s v="GO"/>
    <x v="1"/>
    <s v="GO"/>
    <n v="382.36"/>
    <n v="2"/>
    <n v="10.965999999999999"/>
    <n v="6100231"/>
    <x v="1"/>
    <s v="Goiania"/>
    <s v="Convencional"/>
    <n v="8"/>
    <d v="2018-04-12T00:00:00"/>
    <x v="102"/>
    <x v="0"/>
    <d v="2018-04-20T00:00:00"/>
    <x v="0"/>
    <x v="0"/>
    <n v="1"/>
    <n v="1"/>
  </r>
  <r>
    <d v="2018-04-13T00:00:00"/>
    <n v="10801"/>
    <s v="WHPOA"/>
    <s v="Porto Alegre"/>
    <s v="RS"/>
    <n v="4089"/>
    <x v="77"/>
    <s v="Sao Paulo"/>
    <s v="SP"/>
    <x v="2"/>
    <s v="SP"/>
    <n v="498.77"/>
    <n v="1"/>
    <n v="6.6"/>
    <n v="6400835"/>
    <x v="3"/>
    <s v="Guarulhos"/>
    <s v="Convencional"/>
    <n v="7"/>
    <d v="2018-04-13T00:00:00"/>
    <x v="94"/>
    <x v="0"/>
    <d v="2018-04-20T00:00:00"/>
    <x v="0"/>
    <x v="0"/>
    <n v="1"/>
    <n v="1"/>
  </r>
  <r>
    <d v="2018-04-18T00:00:00"/>
    <n v="10802"/>
    <s v="WHBH"/>
    <s v="Belo Horizonte"/>
    <s v="MG"/>
    <n v="4090"/>
    <x v="78"/>
    <s v="Sao Paulo"/>
    <s v="SP"/>
    <x v="2"/>
    <s v="SP"/>
    <n v="2601.77"/>
    <n v="13"/>
    <n v="44.750999999999998"/>
    <n v="6400835"/>
    <x v="3"/>
    <s v="Guarulhos"/>
    <s v="Convencional"/>
    <n v="1"/>
    <d v="2018-04-18T00:00:00"/>
    <x v="103"/>
    <x v="0"/>
    <d v="2018-04-19T00:00:00"/>
    <x v="1"/>
    <x v="0"/>
    <n v="0"/>
    <n v="1"/>
  </r>
  <r>
    <d v="2018-04-18T00:00:00"/>
    <n v="10803"/>
    <s v="WHPOA"/>
    <s v="Porto Alegre"/>
    <s v="RS"/>
    <n v="4091"/>
    <x v="79"/>
    <s v="Sao Paulo"/>
    <s v="SP"/>
    <x v="2"/>
    <s v="SP"/>
    <n v="163.72999999999999"/>
    <n v="1"/>
    <n v="3.3"/>
    <n v="6400835"/>
    <x v="3"/>
    <s v="Guarulhos"/>
    <s v="Convencional"/>
    <n v="7"/>
    <d v="2018-04-18T00:00:00"/>
    <x v="104"/>
    <x v="0"/>
    <d v="2018-04-25T00:00:00"/>
    <x v="0"/>
    <x v="0"/>
    <n v="1"/>
    <n v="1"/>
  </r>
  <r>
    <d v="2018-04-18T00:00:00"/>
    <n v="10804"/>
    <s v="WHPOA"/>
    <s v="Porto Alegre"/>
    <s v="RS"/>
    <n v="4092"/>
    <x v="80"/>
    <s v="Rio Grande do Sul"/>
    <s v="RS"/>
    <x v="0"/>
    <s v="RS"/>
    <n v="726.83"/>
    <n v="4"/>
    <n v="6.556"/>
    <n v="6500948"/>
    <x v="0"/>
    <s v="Porto Alegre"/>
    <s v="Convencional"/>
    <n v="8"/>
    <d v="2018-04-18T00:00:00"/>
    <x v="101"/>
    <x v="0"/>
    <d v="2018-04-26T00:00:00"/>
    <x v="0"/>
    <x v="0"/>
    <n v="1"/>
    <n v="1"/>
  </r>
  <r>
    <d v="2018-04-18T00:00:00"/>
    <n v="10805"/>
    <s v="WHSAO"/>
    <s v="Sao Paulo"/>
    <s v="SP"/>
    <n v="4092"/>
    <x v="80"/>
    <s v="Rio Grande do Sul"/>
    <s v="RS"/>
    <x v="0"/>
    <s v="RS"/>
    <n v="1253.53"/>
    <n v="6"/>
    <n v="3.1349999999999998"/>
    <n v="6500948"/>
    <x v="0"/>
    <s v="Porto Alegre"/>
    <s v="Convencional"/>
    <n v="3"/>
    <d v="2018-04-18T00:00:00"/>
    <x v="105"/>
    <x v="0"/>
    <d v="2018-04-21T00:00:00"/>
    <x v="1"/>
    <x v="0"/>
    <n v="0"/>
    <n v="1"/>
  </r>
  <r>
    <d v="2018-04-19T00:00:00"/>
    <n v="10806"/>
    <s v="WHPOA"/>
    <s v="Porto Alegre"/>
    <s v="RS"/>
    <n v="4093"/>
    <x v="81"/>
    <s v="Recife"/>
    <s v="PE"/>
    <x v="3"/>
    <s v="PE"/>
    <n v="572.44000000000005"/>
    <n v="1"/>
    <n v="1.76"/>
    <n v="6900304"/>
    <x v="5"/>
    <s v="Fortaleza"/>
    <s v="Convencional"/>
    <n v="3"/>
    <d v="2018-04-19T00:00:00"/>
    <x v="106"/>
    <x v="2"/>
    <d v="2018-04-22T00:00:00"/>
    <x v="1"/>
    <x v="1"/>
    <n v="0"/>
    <n v="1"/>
  </r>
  <r>
    <d v="2018-04-19T00:00:00"/>
    <n v="10807"/>
    <s v="WHPOA"/>
    <s v="Porto Alegre"/>
    <s v="RS"/>
    <n v="4089"/>
    <x v="77"/>
    <s v="Sao Paulo"/>
    <s v="SP"/>
    <x v="2"/>
    <s v="SP"/>
    <n v="1034.3599999999999"/>
    <n v="3"/>
    <n v="14.927"/>
    <n v="6400835"/>
    <x v="3"/>
    <s v="Guarulhos"/>
    <s v="Convencional"/>
    <n v="7"/>
    <d v="2018-04-19T00:00:00"/>
    <x v="107"/>
    <x v="0"/>
    <d v="2018-04-26T00:00:00"/>
    <x v="0"/>
    <x v="0"/>
    <n v="1"/>
    <n v="1"/>
  </r>
  <r>
    <d v="2018-04-19T00:00:00"/>
    <n v="10808"/>
    <s v="WHPOA"/>
    <s v="Porto Alegre"/>
    <s v="RS"/>
    <n v="4089"/>
    <x v="77"/>
    <s v="Sao Paulo"/>
    <s v="SP"/>
    <x v="2"/>
    <s v="SP"/>
    <n v="2183.15"/>
    <n v="3"/>
    <n v="35.706000000000003"/>
    <n v="6400835"/>
    <x v="3"/>
    <s v="Guarulhos"/>
    <s v="Convencional"/>
    <n v="11"/>
    <d v="2018-04-19T00:00:00"/>
    <x v="106"/>
    <x v="0"/>
    <d v="2018-04-30T00:00:00"/>
    <x v="0"/>
    <x v="0"/>
    <n v="1"/>
    <n v="1"/>
  </r>
  <r>
    <d v="2018-04-19T00:00:00"/>
    <n v="10809"/>
    <s v="WHCPQ"/>
    <s v="Campinas"/>
    <s v="SP"/>
    <n v="4069"/>
    <x v="57"/>
    <s v="Brasilia"/>
    <s v="DF"/>
    <x v="1"/>
    <s v="DF"/>
    <n v="237.41"/>
    <n v="1"/>
    <n v="1.21"/>
    <n v="6100231"/>
    <x v="1"/>
    <s v="Goiania"/>
    <s v="Convencional"/>
    <n v="6"/>
    <d v="2018-04-19T00:00:00"/>
    <x v="107"/>
    <x v="0"/>
    <d v="2018-04-25T00:00:00"/>
    <x v="0"/>
    <x v="0"/>
    <n v="1"/>
    <n v="1"/>
  </r>
  <r>
    <d v="2018-04-20T00:00:00"/>
    <n v="10810"/>
    <s v="WHSAO"/>
    <s v="Sao Paulo"/>
    <s v="SP"/>
    <n v="4083"/>
    <x v="71"/>
    <s v="Sao Jose Do Rio Preto"/>
    <s v="SP"/>
    <x v="2"/>
    <s v="SP"/>
    <n v="198.17"/>
    <n v="1"/>
    <n v="0.99"/>
    <n v="6400835"/>
    <x v="3"/>
    <s v="Guarulhos"/>
    <s v="Convencional"/>
    <n v="10"/>
    <d v="2018-04-20T00:00:00"/>
    <x v="104"/>
    <x v="0"/>
    <d v="2018-04-30T00:00:00"/>
    <x v="0"/>
    <x v="0"/>
    <n v="1"/>
    <n v="1"/>
  </r>
  <r>
    <d v="2018-04-20T00:00:00"/>
    <n v="10811"/>
    <s v="WHVIT"/>
    <s v="Vitoria"/>
    <s v="ES"/>
    <n v="4083"/>
    <x v="71"/>
    <s v="Sao Jose Do Rio Preto"/>
    <s v="SP"/>
    <x v="2"/>
    <s v="SP"/>
    <n v="952.67"/>
    <n v="1"/>
    <n v="3.52"/>
    <n v="6400835"/>
    <x v="3"/>
    <s v="Guarulhos"/>
    <s v="Convencional"/>
    <n v="2"/>
    <d v="2018-04-20T00:00:00"/>
    <x v="104"/>
    <x v="0"/>
    <d v="2018-04-22T00:00:00"/>
    <x v="1"/>
    <x v="0"/>
    <n v="0"/>
    <n v="1"/>
  </r>
  <r>
    <d v="2018-04-20T00:00:00"/>
    <n v="10812"/>
    <s v="WHVIT"/>
    <s v="Vitoria"/>
    <s v="ES"/>
    <n v="4022"/>
    <x v="19"/>
    <s v="Maringa"/>
    <s v="PR"/>
    <x v="0"/>
    <s v="PR"/>
    <n v="1941.4"/>
    <n v="6"/>
    <n v="47.523000000000003"/>
    <n v="6500948"/>
    <x v="0"/>
    <s v="Porto Alegre"/>
    <s v="Convencional"/>
    <n v="11"/>
    <d v="2018-04-20T00:00:00"/>
    <x v="103"/>
    <x v="0"/>
    <d v="2018-05-01T00:00:00"/>
    <x v="0"/>
    <x v="0"/>
    <n v="1"/>
    <n v="1"/>
  </r>
  <r>
    <d v="2018-04-20T00:00:00"/>
    <n v="10813"/>
    <s v="WHRJ"/>
    <s v="Rio De Janeiro"/>
    <s v="RJ"/>
    <n v="4083"/>
    <x v="71"/>
    <s v="Sao Jose Do Rio Preto"/>
    <s v="SP"/>
    <x v="2"/>
    <s v="SP"/>
    <n v="199.26"/>
    <n v="1"/>
    <n v="0.99"/>
    <n v="6400835"/>
    <x v="3"/>
    <s v="Guarulhos"/>
    <s v="Convencional"/>
    <n v="6"/>
    <d v="2018-04-20T00:00:00"/>
    <x v="105"/>
    <x v="2"/>
    <d v="2018-04-26T00:00:00"/>
    <x v="0"/>
    <x v="1"/>
    <n v="0"/>
    <n v="1"/>
  </r>
  <r>
    <d v="2018-04-20T00:00:00"/>
    <n v="10814"/>
    <s v="WHPOA"/>
    <s v="Porto Alegre"/>
    <s v="RS"/>
    <n v="4083"/>
    <x v="71"/>
    <s v="Sao Jose Do Rio Preto"/>
    <s v="SP"/>
    <x v="2"/>
    <s v="SP"/>
    <n v="718.95"/>
    <n v="1"/>
    <n v="20.239999999999998"/>
    <n v="6400835"/>
    <x v="3"/>
    <s v="Guarulhos"/>
    <s v="Convencional"/>
    <n v="4"/>
    <d v="2018-04-20T00:00:00"/>
    <x v="104"/>
    <x v="2"/>
    <d v="2018-04-24T00:00:00"/>
    <x v="1"/>
    <x v="1"/>
    <n v="0"/>
    <n v="1"/>
  </r>
  <r>
    <d v="2018-04-20T00:00:00"/>
    <n v="10815"/>
    <s v="WHBH"/>
    <s v="Belo Horizonte"/>
    <s v="MG"/>
    <n v="4083"/>
    <x v="71"/>
    <s v="Sao Jose Do Rio Preto"/>
    <s v="SP"/>
    <x v="2"/>
    <s v="SP"/>
    <n v="1073.79"/>
    <n v="2"/>
    <n v="18.645"/>
    <n v="6400835"/>
    <x v="3"/>
    <s v="Guarulhos"/>
    <s v="Convencional"/>
    <n v="2"/>
    <d v="2018-04-20T00:00:00"/>
    <x v="105"/>
    <x v="0"/>
    <d v="2018-04-22T00:00:00"/>
    <x v="1"/>
    <x v="0"/>
    <n v="0"/>
    <n v="1"/>
  </r>
  <r>
    <d v="2018-04-24T00:00:00"/>
    <n v="10816"/>
    <s v="WHVIT"/>
    <s v="Vitoria"/>
    <s v="ES"/>
    <n v="4024"/>
    <x v="21"/>
    <s v="Porto Alegre"/>
    <s v="RS"/>
    <x v="0"/>
    <s v="RS"/>
    <n v="3482.23"/>
    <n v="12"/>
    <n v="4.18"/>
    <n v="6500948"/>
    <x v="0"/>
    <s v="Porto Alegre"/>
    <s v="Convencional"/>
    <n v="11"/>
    <d v="2018-04-24T00:00:00"/>
    <x v="104"/>
    <x v="0"/>
    <d v="2018-05-05T00:00:00"/>
    <x v="0"/>
    <x v="0"/>
    <n v="1"/>
    <n v="1"/>
  </r>
  <r>
    <d v="2018-04-24T00:00:00"/>
    <n v="10817"/>
    <s v="WHPOA"/>
    <s v="Porto Alegre"/>
    <s v="RS"/>
    <n v="4035"/>
    <x v="37"/>
    <s v="Brasilia"/>
    <s v="DF"/>
    <x v="1"/>
    <s v="DF"/>
    <n v="951.49"/>
    <n v="3"/>
    <n v="6.1920000000000002"/>
    <n v="6100231"/>
    <x v="1"/>
    <s v="Goiania"/>
    <s v="Convencional"/>
    <n v="1"/>
    <d v="2018-04-24T00:00:00"/>
    <x v="106"/>
    <x v="0"/>
    <d v="2018-04-25T00:00:00"/>
    <x v="1"/>
    <x v="0"/>
    <n v="0"/>
    <n v="1"/>
  </r>
  <r>
    <d v="2018-04-24T00:00:00"/>
    <n v="10818"/>
    <s v="WHSJC"/>
    <s v="Sao Jose dos Campos"/>
    <s v="SP"/>
    <n v="4035"/>
    <x v="37"/>
    <s v="Brasilia"/>
    <s v="DF"/>
    <x v="1"/>
    <s v="DF"/>
    <n v="426.37"/>
    <n v="1"/>
    <n v="1.595"/>
    <n v="6100231"/>
    <x v="1"/>
    <s v="Goiania"/>
    <s v="Convencional"/>
    <n v="8"/>
    <d v="2018-04-24T00:00:00"/>
    <x v="108"/>
    <x v="0"/>
    <d v="2018-05-02T00:00:00"/>
    <x v="1"/>
    <x v="0"/>
    <n v="0"/>
    <n v="1"/>
  </r>
  <r>
    <d v="2018-04-24T00:00:00"/>
    <n v="10819"/>
    <s v="WHPOA"/>
    <s v="Porto Alegre"/>
    <s v="RS"/>
    <n v="4035"/>
    <x v="37"/>
    <s v="Brasilia"/>
    <s v="DF"/>
    <x v="1"/>
    <s v="DF"/>
    <n v="917.6"/>
    <n v="1"/>
    <n v="8.25"/>
    <n v="6100231"/>
    <x v="1"/>
    <s v="Goiania"/>
    <s v="Convencional"/>
    <n v="8"/>
    <d v="2018-04-24T00:00:00"/>
    <x v="103"/>
    <x v="1"/>
    <d v="2018-05-02T00:00:00"/>
    <x v="0"/>
    <x v="1"/>
    <n v="0"/>
    <n v="1"/>
  </r>
  <r>
    <d v="2018-04-25T00:00:00"/>
    <n v="10820"/>
    <s v="WHCPQ"/>
    <s v="Campinas"/>
    <s v="SP"/>
    <n v="4027"/>
    <x v="24"/>
    <s v="Novo Hamburgo"/>
    <s v="RS"/>
    <x v="0"/>
    <s v="RS"/>
    <n v="1458.96"/>
    <n v="4"/>
    <n v="9.3279999999999994"/>
    <n v="6500948"/>
    <x v="0"/>
    <s v="Porto Alegre"/>
    <s v="Convencional"/>
    <n v="4"/>
    <d v="2018-04-25T00:00:00"/>
    <x v="109"/>
    <x v="0"/>
    <d v="2018-04-29T00:00:00"/>
    <x v="1"/>
    <x v="0"/>
    <n v="0"/>
    <n v="1"/>
  </r>
  <r>
    <d v="2018-04-25T00:00:00"/>
    <n v="10821"/>
    <s v="WHCPQ"/>
    <s v="Campinas"/>
    <s v="SP"/>
    <n v="4026"/>
    <x v="23"/>
    <s v="Belo Horizonte"/>
    <s v="MG"/>
    <x v="2"/>
    <s v="MG"/>
    <n v="1797.75"/>
    <n v="5"/>
    <n v="67.099999999999994"/>
    <n v="6600879"/>
    <x v="2"/>
    <s v="Belo Horizonte"/>
    <s v="Convencional"/>
    <n v="6"/>
    <d v="2018-04-25T00:00:00"/>
    <x v="110"/>
    <x v="0"/>
    <d v="2018-05-01T00:00:00"/>
    <x v="1"/>
    <x v="0"/>
    <n v="0"/>
    <n v="1"/>
  </r>
  <r>
    <d v="2018-04-25T00:00:00"/>
    <n v="10822"/>
    <s v="WHSAO"/>
    <s v="Sao Paulo"/>
    <s v="SP"/>
    <n v="4062"/>
    <x v="27"/>
    <s v="Taguatinga"/>
    <s v="DF"/>
    <x v="1"/>
    <s v="DF"/>
    <n v="3078.05"/>
    <n v="7"/>
    <n v="14.454000000000001"/>
    <n v="6100231"/>
    <x v="1"/>
    <s v="Goiania"/>
    <s v="Convencional"/>
    <n v="8"/>
    <d v="2018-04-25T00:00:00"/>
    <x v="103"/>
    <x v="0"/>
    <d v="2018-05-03T00:00:00"/>
    <x v="0"/>
    <x v="0"/>
    <n v="1"/>
    <n v="1"/>
  </r>
  <r>
    <d v="2018-04-25T00:00:00"/>
    <n v="10823"/>
    <s v="WHSAO"/>
    <s v="Sao Paulo"/>
    <s v="SP"/>
    <n v="4028"/>
    <x v="26"/>
    <s v="Sao Jose Dos Pinhais"/>
    <s v="PR"/>
    <x v="0"/>
    <s v="PR"/>
    <n v="2093.5500000000002"/>
    <n v="1"/>
    <n v="5.2309999999999999"/>
    <n v="6500948"/>
    <x v="0"/>
    <s v="Porto Alegre"/>
    <s v="Convencional"/>
    <n v="1"/>
    <d v="2018-04-25T00:00:00"/>
    <x v="103"/>
    <x v="0"/>
    <d v="2018-04-26T00:00:00"/>
    <x v="1"/>
    <x v="0"/>
    <n v="0"/>
    <n v="1"/>
  </r>
  <r>
    <d v="2018-04-25T00:00:00"/>
    <n v="10824"/>
    <s v="WHSJC"/>
    <s v="Sao Jose dos Campos"/>
    <s v="SP"/>
    <n v="4027"/>
    <x v="24"/>
    <s v="Novo Hamburgo"/>
    <s v="RS"/>
    <x v="0"/>
    <s v="RS"/>
    <n v="308.68"/>
    <n v="1"/>
    <n v="10.78"/>
    <n v="6500948"/>
    <x v="0"/>
    <s v="Porto Alegre"/>
    <s v="Convencional"/>
    <n v="9"/>
    <d v="2018-04-25T00:00:00"/>
    <x v="111"/>
    <x v="1"/>
    <d v="2018-05-04T00:00:00"/>
    <x v="0"/>
    <x v="1"/>
    <n v="0"/>
    <n v="1"/>
  </r>
  <r>
    <d v="2018-04-25T00:00:00"/>
    <n v="10825"/>
    <s v="WHSAO"/>
    <s v="Sao Paulo"/>
    <s v="SP"/>
    <n v="4026"/>
    <x v="23"/>
    <s v="Belo Horizonte"/>
    <s v="MG"/>
    <x v="2"/>
    <s v="MG"/>
    <n v="1072.4000000000001"/>
    <n v="2"/>
    <n v="4.048"/>
    <n v="6600879"/>
    <x v="2"/>
    <s v="Belo Horizonte"/>
    <s v="Convencional"/>
    <n v="10"/>
    <d v="2018-04-25T00:00:00"/>
    <x v="109"/>
    <x v="0"/>
    <d v="2018-05-05T00:00:00"/>
    <x v="0"/>
    <x v="0"/>
    <n v="1"/>
    <n v="1"/>
  </r>
  <r>
    <d v="2018-04-25T00:00:00"/>
    <n v="10826"/>
    <s v="WHBH"/>
    <s v="Belo Horizonte"/>
    <s v="MG"/>
    <n v="4030"/>
    <x v="30"/>
    <s v="Belo Horizonte"/>
    <s v="MG"/>
    <x v="2"/>
    <s v="MG"/>
    <n v="3620.52"/>
    <n v="7"/>
    <n v="11.347"/>
    <n v="6600879"/>
    <x v="2"/>
    <s v="Belo Horizonte"/>
    <s v="Convencional"/>
    <n v="12"/>
    <d v="2018-04-25T00:00:00"/>
    <x v="105"/>
    <x v="0"/>
    <d v="2018-05-07T00:00:00"/>
    <x v="0"/>
    <x v="0"/>
    <n v="1"/>
    <n v="1"/>
  </r>
  <r>
    <d v="2018-04-25T00:00:00"/>
    <n v="10827"/>
    <s v="WHSAO"/>
    <s v="Sao Paulo"/>
    <s v="SP"/>
    <n v="4028"/>
    <x v="26"/>
    <s v="Sao Jose Dos Pinhais"/>
    <s v="PR"/>
    <x v="0"/>
    <s v="PR"/>
    <n v="3778.11"/>
    <n v="7"/>
    <n v="24.687000000000001"/>
    <n v="6500948"/>
    <x v="0"/>
    <s v="Porto Alegre"/>
    <s v="Convencional"/>
    <n v="4"/>
    <d v="2018-04-25T00:00:00"/>
    <x v="112"/>
    <x v="1"/>
    <d v="2018-04-29T00:00:00"/>
    <x v="1"/>
    <x v="1"/>
    <n v="0"/>
    <n v="1"/>
  </r>
  <r>
    <d v="2018-04-25T00:00:00"/>
    <n v="10828"/>
    <s v="WHSJC"/>
    <s v="Sao Jose dos Campos"/>
    <s v="SP"/>
    <n v="4062"/>
    <x v="27"/>
    <s v="Taguatinga"/>
    <s v="DF"/>
    <x v="1"/>
    <s v="DF"/>
    <n v="195.22"/>
    <n v="1"/>
    <n v="0.31900000000000001"/>
    <n v="6100231"/>
    <x v="1"/>
    <s v="Goiania"/>
    <s v="Convencional"/>
    <n v="8"/>
    <d v="2018-04-25T00:00:00"/>
    <x v="110"/>
    <x v="0"/>
    <d v="2018-05-03T00:00:00"/>
    <x v="1"/>
    <x v="0"/>
    <n v="0"/>
    <n v="1"/>
  </r>
  <r>
    <d v="2018-04-25T00:00:00"/>
    <n v="10829"/>
    <s v="WHBH"/>
    <s v="Belo Horizonte"/>
    <s v="MG"/>
    <n v="4030"/>
    <x v="30"/>
    <s v="Belo Horizonte"/>
    <s v="MG"/>
    <x v="2"/>
    <s v="MG"/>
    <n v="917.89"/>
    <n v="1"/>
    <n v="12.98"/>
    <n v="6600879"/>
    <x v="2"/>
    <s v="Belo Horizonte"/>
    <s v="Convencional"/>
    <n v="7"/>
    <d v="2018-04-25T00:00:00"/>
    <x v="111"/>
    <x v="0"/>
    <d v="2018-05-02T00:00:00"/>
    <x v="0"/>
    <x v="0"/>
    <n v="1"/>
    <n v="1"/>
  </r>
  <r>
    <d v="2018-04-25T00:00:00"/>
    <n v="10830"/>
    <s v="WHSJC"/>
    <s v="Sao Jose dos Campos"/>
    <s v="SP"/>
    <n v="4055"/>
    <x v="45"/>
    <s v="Brasilia"/>
    <s v="DF"/>
    <x v="1"/>
    <s v="DF"/>
    <n v="665.43"/>
    <n v="2"/>
    <n v="4.7930000000000001"/>
    <n v="6100231"/>
    <x v="1"/>
    <s v="Goiania"/>
    <s v="Convencional"/>
    <n v="6"/>
    <d v="2018-04-25T00:00:00"/>
    <x v="109"/>
    <x v="0"/>
    <d v="2018-05-01T00:00:00"/>
    <x v="0"/>
    <x v="0"/>
    <n v="1"/>
    <n v="1"/>
  </r>
  <r>
    <d v="2018-04-25T00:00:00"/>
    <n v="10831"/>
    <s v="WHPOA"/>
    <s v="Porto Alegre"/>
    <s v="RS"/>
    <n v="4055"/>
    <x v="45"/>
    <s v="Brasilia"/>
    <s v="DF"/>
    <x v="1"/>
    <s v="DF"/>
    <n v="15279.03"/>
    <n v="16"/>
    <n v="97.622"/>
    <n v="6100231"/>
    <x v="1"/>
    <s v="Goiania"/>
    <s v="Convencional"/>
    <n v="8"/>
    <d v="2018-04-25T00:00:00"/>
    <x v="111"/>
    <x v="0"/>
    <d v="2018-05-03T00:00:00"/>
    <x v="0"/>
    <x v="0"/>
    <n v="1"/>
    <n v="1"/>
  </r>
  <r>
    <d v="2018-04-25T00:00:00"/>
    <n v="10832"/>
    <s v="WHBH"/>
    <s v="Belo Horizonte"/>
    <s v="MG"/>
    <n v="4040"/>
    <x v="42"/>
    <s v="Brasilia"/>
    <s v="DF"/>
    <x v="1"/>
    <s v="DF"/>
    <n v="1828.01"/>
    <n v="1"/>
    <n v="1.1200000000000001"/>
    <n v="6100231"/>
    <x v="1"/>
    <s v="Goiania"/>
    <s v="Convencional"/>
    <n v="11"/>
    <d v="2018-04-25T00:00:00"/>
    <x v="110"/>
    <x v="0"/>
    <d v="2018-05-06T00:00:00"/>
    <x v="0"/>
    <x v="0"/>
    <n v="1"/>
    <n v="1"/>
  </r>
  <r>
    <d v="2018-04-25T00:00:00"/>
    <n v="10833"/>
    <s v="WHBH"/>
    <s v="Belo Horizonte"/>
    <s v="MG"/>
    <n v="4040"/>
    <x v="42"/>
    <s v="Brasilia"/>
    <s v="DF"/>
    <x v="1"/>
    <s v="DF"/>
    <n v="1279.06"/>
    <n v="2"/>
    <n v="7.3259999999999996"/>
    <n v="6100231"/>
    <x v="1"/>
    <s v="Goiania"/>
    <s v="Convencional"/>
    <n v="3"/>
    <d v="2018-04-25T00:00:00"/>
    <x v="113"/>
    <x v="0"/>
    <d v="2018-04-28T00:00:00"/>
    <x v="1"/>
    <x v="0"/>
    <n v="0"/>
    <n v="1"/>
  </r>
  <r>
    <d v="2018-04-26T00:00:00"/>
    <n v="10834"/>
    <s v="WHRJ"/>
    <s v="Rio De Janeiro"/>
    <s v="RJ"/>
    <n v="4043"/>
    <x v="40"/>
    <s v="Sinop"/>
    <s v="MT"/>
    <x v="1"/>
    <s v="MT"/>
    <n v="1878.73"/>
    <n v="1"/>
    <n v="18.260000000000002"/>
    <n v="6100231"/>
    <x v="1"/>
    <s v="Goiania"/>
    <s v="Convencional"/>
    <n v="4"/>
    <d v="2018-04-26T00:00:00"/>
    <x v="106"/>
    <x v="0"/>
    <d v="2018-04-30T00:00:00"/>
    <x v="0"/>
    <x v="0"/>
    <n v="1"/>
    <n v="1"/>
  </r>
  <r>
    <d v="2018-04-26T00:00:00"/>
    <n v="10835"/>
    <s v="WHCPQ"/>
    <s v="Campinas"/>
    <s v="SP"/>
    <n v="4033"/>
    <x v="35"/>
    <s v="Goiania"/>
    <s v="GO"/>
    <x v="1"/>
    <s v="GO"/>
    <n v="3902.89"/>
    <n v="11"/>
    <n v="34.597000000000001"/>
    <n v="6100231"/>
    <x v="1"/>
    <s v="Goiania"/>
    <s v="Convencional"/>
    <n v="7"/>
    <d v="2018-04-26T00:00:00"/>
    <x v="111"/>
    <x v="0"/>
    <d v="2018-05-03T00:00:00"/>
    <x v="0"/>
    <x v="0"/>
    <n v="1"/>
    <n v="1"/>
  </r>
  <r>
    <d v="2018-04-26T00:00:00"/>
    <n v="10836"/>
    <s v="WHVIT"/>
    <s v="Vitoria"/>
    <s v="ES"/>
    <n v="4018"/>
    <x v="12"/>
    <s v="Sao Jose"/>
    <s v="SC"/>
    <x v="0"/>
    <s v="SC"/>
    <n v="152.21"/>
    <n v="1"/>
    <n v="1.1200000000000001"/>
    <n v="6500948"/>
    <x v="0"/>
    <s v="Porto Alegre"/>
    <s v="Convencional"/>
    <n v="2"/>
    <d v="2018-04-26T00:00:00"/>
    <x v="109"/>
    <x v="0"/>
    <d v="2018-04-28T00:00:00"/>
    <x v="1"/>
    <x v="0"/>
    <n v="0"/>
    <n v="1"/>
  </r>
  <r>
    <d v="2018-04-27T00:00:00"/>
    <n v="10837"/>
    <s v="WHCPQ"/>
    <s v="Campinas"/>
    <s v="SP"/>
    <n v="4094"/>
    <x v="82"/>
    <s v="Manaus"/>
    <s v="AM"/>
    <x v="4"/>
    <s v="AM"/>
    <n v="2255.58"/>
    <n v="6"/>
    <n v="77.88"/>
    <n v="6700091"/>
    <x v="6"/>
    <s v="Manaus"/>
    <s v="Convencional"/>
    <n v="5"/>
    <d v="2018-04-27T00:00:00"/>
    <x v="106"/>
    <x v="0"/>
    <d v="2018-05-02T00:00:00"/>
    <x v="0"/>
    <x v="0"/>
    <n v="1"/>
    <n v="1"/>
  </r>
  <r>
    <d v="2018-04-27T00:00:00"/>
    <n v="10838"/>
    <s v="WHPOA"/>
    <s v="Porto Alegre"/>
    <s v="RS"/>
    <n v="4060"/>
    <x v="56"/>
    <s v="Sinop"/>
    <s v="MT"/>
    <x v="1"/>
    <s v="MT"/>
    <n v="4514.3500000000004"/>
    <n v="3"/>
    <n v="47.52"/>
    <n v="6100231"/>
    <x v="1"/>
    <s v="Goiania"/>
    <s v="Convencional"/>
    <n v="8"/>
    <d v="2018-04-27T00:00:00"/>
    <x v="114"/>
    <x v="0"/>
    <d v="2018-05-05T00:00:00"/>
    <x v="1"/>
    <x v="0"/>
    <n v="0"/>
    <n v="1"/>
  </r>
  <r>
    <d v="2018-04-28T00:00:00"/>
    <n v="10839"/>
    <s v="WHCPQ"/>
    <s v="Campinas"/>
    <s v="SP"/>
    <n v="4014"/>
    <x v="3"/>
    <s v="Ipatinga"/>
    <s v="MG"/>
    <x v="2"/>
    <s v="MG"/>
    <n v="5842.25"/>
    <n v="9"/>
    <n v="30.655999999999999"/>
    <n v="6600879"/>
    <x v="2"/>
    <s v="Belo Horizonte"/>
    <s v="Convencional"/>
    <n v="5"/>
    <d v="2018-04-28T00:00:00"/>
    <x v="109"/>
    <x v="0"/>
    <d v="2018-05-03T00:00:00"/>
    <x v="0"/>
    <x v="0"/>
    <n v="1"/>
    <n v="1"/>
  </r>
  <r>
    <d v="2018-04-28T00:00:00"/>
    <n v="10840"/>
    <s v="WHCPQ"/>
    <s v="Campinas"/>
    <s v="SP"/>
    <n v="4056"/>
    <x v="44"/>
    <s v="Goiania"/>
    <s v="GO"/>
    <x v="1"/>
    <s v="GO"/>
    <n v="2027.44"/>
    <n v="1"/>
    <n v="1.1200000000000001"/>
    <n v="6100231"/>
    <x v="1"/>
    <s v="Goiania"/>
    <s v="Convencional"/>
    <n v="4"/>
    <d v="2018-04-28T00:00:00"/>
    <x v="108"/>
    <x v="0"/>
    <d v="2018-05-02T00:00:00"/>
    <x v="1"/>
    <x v="0"/>
    <n v="0"/>
    <n v="1"/>
  </r>
  <r>
    <d v="2018-04-28T00:00:00"/>
    <n v="10841"/>
    <s v="WHSJC"/>
    <s v="Sao Jose dos Campos"/>
    <s v="SP"/>
    <n v="4014"/>
    <x v="3"/>
    <s v="Ipatinga"/>
    <s v="MG"/>
    <x v="2"/>
    <s v="MG"/>
    <n v="2896.55"/>
    <n v="4"/>
    <n v="9.4619999999999997"/>
    <n v="6600879"/>
    <x v="2"/>
    <s v="Belo Horizonte"/>
    <s v="Convencional"/>
    <n v="9"/>
    <d v="2018-04-28T00:00:00"/>
    <x v="106"/>
    <x v="0"/>
    <d v="2018-05-07T00:00:00"/>
    <x v="0"/>
    <x v="0"/>
    <n v="1"/>
    <n v="1"/>
  </r>
  <r>
    <d v="2018-04-28T00:00:00"/>
    <n v="10842"/>
    <s v="WHSJC"/>
    <s v="Sao Jose dos Campos"/>
    <s v="SP"/>
    <n v="4014"/>
    <x v="3"/>
    <s v="Ipatinga"/>
    <s v="MG"/>
    <x v="2"/>
    <s v="MG"/>
    <n v="1110.33"/>
    <n v="2"/>
    <n v="9.3810000000000002"/>
    <n v="6600879"/>
    <x v="2"/>
    <s v="Belo Horizonte"/>
    <s v="Convencional"/>
    <n v="3"/>
    <d v="2018-04-28T00:00:00"/>
    <x v="106"/>
    <x v="0"/>
    <d v="2018-05-01T00:00:00"/>
    <x v="0"/>
    <x v="0"/>
    <n v="1"/>
    <n v="1"/>
  </r>
  <r>
    <d v="2018-04-28T00:00:00"/>
    <n v="10843"/>
    <s v="WHVIT"/>
    <s v="Vitoria"/>
    <s v="ES"/>
    <n v="4056"/>
    <x v="44"/>
    <s v="Goiania"/>
    <s v="GO"/>
    <x v="1"/>
    <s v="GO"/>
    <n v="906.39"/>
    <n v="1"/>
    <n v="5.7759999999999998"/>
    <n v="6100231"/>
    <x v="1"/>
    <s v="Goiania"/>
    <s v="Convencional"/>
    <n v="9"/>
    <d v="2018-04-28T00:00:00"/>
    <x v="113"/>
    <x v="0"/>
    <d v="2018-05-07T00:00:00"/>
    <x v="0"/>
    <x v="0"/>
    <n v="1"/>
    <n v="1"/>
  </r>
  <r>
    <d v="2018-04-28T00:00:00"/>
    <n v="10844"/>
    <s v="WHBH"/>
    <s v="Belo Horizonte"/>
    <s v="MG"/>
    <n v="4056"/>
    <x v="44"/>
    <s v="Goiania"/>
    <s v="GO"/>
    <x v="1"/>
    <s v="GO"/>
    <n v="1016.61"/>
    <n v="1"/>
    <n v="15.18"/>
    <n v="6100231"/>
    <x v="1"/>
    <s v="Goiania"/>
    <s v="Convencional"/>
    <n v="5"/>
    <d v="2018-04-28T00:00:00"/>
    <x v="108"/>
    <x v="0"/>
    <d v="2018-05-03T00:00:00"/>
    <x v="0"/>
    <x v="0"/>
    <n v="1"/>
    <n v="1"/>
  </r>
  <r>
    <d v="2018-04-30T00:00:00"/>
    <n v="10845"/>
    <s v="WHCPQ"/>
    <s v="Campinas"/>
    <s v="SP"/>
    <n v="4022"/>
    <x v="19"/>
    <s v="Maringa"/>
    <s v="PR"/>
    <x v="0"/>
    <s v="PR"/>
    <n v="7595.06"/>
    <n v="10"/>
    <n v="52.103999999999999"/>
    <n v="6500948"/>
    <x v="0"/>
    <s v="Porto Alegre"/>
    <s v="Convencional"/>
    <n v="5"/>
    <d v="2018-04-30T00:00:00"/>
    <x v="112"/>
    <x v="0"/>
    <d v="2018-05-05T00:00:00"/>
    <x v="0"/>
    <x v="0"/>
    <n v="1"/>
    <n v="1"/>
  </r>
  <r>
    <d v="2018-04-30T00:00:00"/>
    <n v="10846"/>
    <s v="WHSJC"/>
    <s v="Sao Jose dos Campos"/>
    <s v="SP"/>
    <n v="4022"/>
    <x v="19"/>
    <s v="Maringa"/>
    <s v="PR"/>
    <x v="0"/>
    <s v="PR"/>
    <n v="3901.99"/>
    <n v="8"/>
    <n v="27.454999999999998"/>
    <n v="6500948"/>
    <x v="0"/>
    <s v="Porto Alegre"/>
    <s v="Convencional"/>
    <n v="6"/>
    <d v="2018-04-30T00:00:00"/>
    <x v="115"/>
    <x v="0"/>
    <d v="2018-05-06T00:00:00"/>
    <x v="1"/>
    <x v="0"/>
    <n v="0"/>
    <n v="1"/>
  </r>
  <r>
    <d v="2018-05-02T00:00:00"/>
    <n v="10847"/>
    <s v="WHSJC"/>
    <s v="Sao Jose dos Campos"/>
    <s v="SP"/>
    <n v="4013"/>
    <x v="1"/>
    <s v="Blumenau"/>
    <s v="SC"/>
    <x v="0"/>
    <s v="SC"/>
    <n v="1137.07"/>
    <n v="1"/>
    <n v="1.1200000000000001"/>
    <n v="6500948"/>
    <x v="0"/>
    <s v="Porto Alegre"/>
    <s v="Convencional"/>
    <n v="10"/>
    <d v="2018-05-02T00:00:00"/>
    <x v="115"/>
    <x v="0"/>
    <d v="2018-05-12T00:00:00"/>
    <x v="0"/>
    <x v="0"/>
    <n v="1"/>
    <n v="1"/>
  </r>
  <r>
    <d v="2018-05-03T00:00:00"/>
    <n v="10848"/>
    <s v="WHCPQ"/>
    <s v="Campinas"/>
    <s v="SP"/>
    <n v="4013"/>
    <x v="1"/>
    <s v="Blumenau"/>
    <s v="SC"/>
    <x v="0"/>
    <s v="SC"/>
    <n v="1317.58"/>
    <n v="1"/>
    <n v="1.1200000000000001"/>
    <n v="6500948"/>
    <x v="0"/>
    <s v="Porto Alegre"/>
    <s v="Convencional"/>
    <n v="11"/>
    <d v="2018-05-03T00:00:00"/>
    <x v="116"/>
    <x v="0"/>
    <d v="2018-05-14T00:00:00"/>
    <x v="0"/>
    <x v="0"/>
    <n v="1"/>
    <n v="1"/>
  </r>
  <r>
    <d v="2018-05-03T00:00:00"/>
    <n v="10849"/>
    <s v="WHBH"/>
    <s v="Belo Horizonte"/>
    <s v="MG"/>
    <n v="4044"/>
    <x v="48"/>
    <s v="Belo Horizonte"/>
    <s v="MG"/>
    <x v="2"/>
    <s v="MG"/>
    <n v="6204.24"/>
    <n v="7"/>
    <n v="37.18"/>
    <n v="6600879"/>
    <x v="2"/>
    <s v="Belo Horizonte"/>
    <s v="Convencional"/>
    <n v="4"/>
    <d v="2018-05-03T00:00:00"/>
    <x v="110"/>
    <x v="0"/>
    <d v="2018-05-07T00:00:00"/>
    <x v="0"/>
    <x v="0"/>
    <n v="1"/>
    <n v="1"/>
  </r>
  <r>
    <d v="2018-05-03T00:00:00"/>
    <n v="10850"/>
    <s v="WHSAO"/>
    <s v="Sao Paulo"/>
    <s v="SP"/>
    <n v="4045"/>
    <x v="49"/>
    <s v="Belo Horizonte"/>
    <s v="MG"/>
    <x v="2"/>
    <s v="MG"/>
    <n v="403.2"/>
    <n v="8"/>
    <n v="17.905999999999999"/>
    <n v="6600879"/>
    <x v="2"/>
    <s v="Belo Horizonte"/>
    <s v="Convencional"/>
    <n v="7"/>
    <d v="2018-05-03T00:00:00"/>
    <x v="117"/>
    <x v="0"/>
    <d v="2018-05-10T00:00:00"/>
    <x v="0"/>
    <x v="0"/>
    <n v="1"/>
    <n v="1"/>
  </r>
  <r>
    <d v="2018-05-03T00:00:00"/>
    <n v="10851"/>
    <s v="WHCPQ"/>
    <s v="Campinas"/>
    <s v="SP"/>
    <n v="4044"/>
    <x v="48"/>
    <s v="Belo Horizonte"/>
    <s v="MG"/>
    <x v="2"/>
    <s v="MG"/>
    <n v="2728.28"/>
    <n v="1"/>
    <n v="1.1200000000000001"/>
    <n v="6600879"/>
    <x v="2"/>
    <s v="Belo Horizonte"/>
    <s v="Convencional"/>
    <n v="4"/>
    <d v="2018-05-03T00:00:00"/>
    <x v="113"/>
    <x v="0"/>
    <d v="2018-05-07T00:00:00"/>
    <x v="0"/>
    <x v="0"/>
    <n v="1"/>
    <n v="1"/>
  </r>
  <r>
    <d v="2018-05-03T00:00:00"/>
    <n v="10852"/>
    <s v="WHSAO"/>
    <s v="Sao Paulo"/>
    <s v="SP"/>
    <n v="4045"/>
    <x v="49"/>
    <s v="Belo Horizonte"/>
    <s v="MG"/>
    <x v="2"/>
    <s v="MG"/>
    <n v="565.65"/>
    <n v="1"/>
    <n v="1.1200000000000001"/>
    <n v="6600879"/>
    <x v="2"/>
    <s v="Belo Horizonte"/>
    <s v="Convencional"/>
    <n v="2"/>
    <d v="2018-05-03T00:00:00"/>
    <x v="118"/>
    <x v="0"/>
    <d v="2018-05-05T00:00:00"/>
    <x v="1"/>
    <x v="0"/>
    <n v="0"/>
    <n v="1"/>
  </r>
  <r>
    <d v="2018-05-03T00:00:00"/>
    <n v="10853"/>
    <s v="WHSJC"/>
    <s v="Sao Jose dos Campos"/>
    <s v="SP"/>
    <n v="4044"/>
    <x v="48"/>
    <s v="Belo Horizonte"/>
    <s v="MG"/>
    <x v="2"/>
    <s v="MG"/>
    <n v="832.06"/>
    <n v="1"/>
    <n v="1.1200000000000001"/>
    <n v="6600879"/>
    <x v="2"/>
    <s v="Belo Horizonte"/>
    <s v="Convencional"/>
    <n v="10"/>
    <d v="2018-05-03T00:00:00"/>
    <x v="115"/>
    <x v="0"/>
    <d v="2018-05-13T00:00:00"/>
    <x v="0"/>
    <x v="0"/>
    <n v="1"/>
    <n v="1"/>
  </r>
  <r>
    <d v="2018-05-03T00:00:00"/>
    <n v="10854"/>
    <s v="WHSJC"/>
    <s v="Sao Jose dos Campos"/>
    <s v="SP"/>
    <n v="4045"/>
    <x v="49"/>
    <s v="Belo Horizonte"/>
    <s v="MG"/>
    <x v="2"/>
    <s v="MG"/>
    <n v="2897.31"/>
    <n v="6"/>
    <n v="22.628"/>
    <n v="6600879"/>
    <x v="2"/>
    <s v="Belo Horizonte"/>
    <s v="Convencional"/>
    <n v="7"/>
    <d v="2018-05-03T00:00:00"/>
    <x v="115"/>
    <x v="0"/>
    <d v="2018-05-10T00:00:00"/>
    <x v="0"/>
    <x v="0"/>
    <n v="1"/>
    <n v="1"/>
  </r>
  <r>
    <d v="2018-05-04T00:00:00"/>
    <n v="10855"/>
    <s v="WHBH"/>
    <s v="Belo Horizonte"/>
    <s v="MG"/>
    <n v="4024"/>
    <x v="21"/>
    <s v="Porto Alegre"/>
    <s v="RS"/>
    <x v="0"/>
    <s v="RS"/>
    <n v="208.52"/>
    <n v="1"/>
    <n v="1.1200000000000001"/>
    <n v="6500948"/>
    <x v="0"/>
    <s v="Porto Alegre"/>
    <s v="Convencional"/>
    <n v="4"/>
    <d v="2018-05-04T00:00:00"/>
    <x v="119"/>
    <x v="0"/>
    <d v="2018-05-08T00:00:00"/>
    <x v="1"/>
    <x v="0"/>
    <n v="0"/>
    <n v="1"/>
  </r>
  <r>
    <d v="2018-05-05T00:00:00"/>
    <n v="10856"/>
    <s v="WHVIT"/>
    <s v="Vitoria"/>
    <s v="ES"/>
    <n v="4023"/>
    <x v="20"/>
    <s v="Sao Jose"/>
    <s v="SC"/>
    <x v="0"/>
    <s v="SC"/>
    <n v="375.09"/>
    <n v="1"/>
    <n v="0.79200000000000004"/>
    <n v="6500948"/>
    <x v="0"/>
    <s v="Porto Alegre"/>
    <s v="Convencional"/>
    <n v="5"/>
    <d v="2018-05-05T00:00:00"/>
    <x v="118"/>
    <x v="0"/>
    <d v="2018-05-10T00:00:00"/>
    <x v="0"/>
    <x v="0"/>
    <n v="1"/>
    <n v="1"/>
  </r>
  <r>
    <d v="2018-05-05T00:00:00"/>
    <n v="10857"/>
    <s v="WHSAO"/>
    <s v="Sao Paulo"/>
    <s v="SP"/>
    <n v="4022"/>
    <x v="19"/>
    <s v="Maringa"/>
    <s v="PR"/>
    <x v="0"/>
    <s v="PR"/>
    <n v="5247.97"/>
    <n v="10"/>
    <n v="36.024999999999999"/>
    <n v="6500948"/>
    <x v="0"/>
    <s v="Porto Alegre"/>
    <s v="Convencional"/>
    <n v="3"/>
    <d v="2018-05-05T00:00:00"/>
    <x v="117"/>
    <x v="0"/>
    <d v="2018-05-08T00:00:00"/>
    <x v="0"/>
    <x v="0"/>
    <n v="1"/>
    <n v="1"/>
  </r>
  <r>
    <d v="2018-05-08T00:00:00"/>
    <n v="10858"/>
    <s v="WHVIT"/>
    <s v="Vitoria"/>
    <s v="ES"/>
    <n v="4027"/>
    <x v="24"/>
    <s v="Novo Hamburgo"/>
    <s v="RS"/>
    <x v="0"/>
    <s v="RS"/>
    <n v="1311.92"/>
    <n v="1"/>
    <n v="1.1200000000000001"/>
    <n v="6500948"/>
    <x v="0"/>
    <s v="Porto Alegre"/>
    <s v="Convencional"/>
    <n v="12"/>
    <d v="2018-05-08T00:00:00"/>
    <x v="120"/>
    <x v="0"/>
    <d v="2018-05-20T00:00:00"/>
    <x v="0"/>
    <x v="0"/>
    <n v="1"/>
    <n v="1"/>
  </r>
  <r>
    <d v="2018-05-08T00:00:00"/>
    <n v="10859"/>
    <s v="WHCPQ"/>
    <s v="Campinas"/>
    <s v="SP"/>
    <n v="4027"/>
    <x v="24"/>
    <s v="Novo Hamburgo"/>
    <s v="RS"/>
    <x v="0"/>
    <s v="RS"/>
    <n v="6119.43"/>
    <n v="10"/>
    <n v="40.018000000000001"/>
    <n v="6500948"/>
    <x v="0"/>
    <s v="Porto Alegre"/>
    <s v="Convencional"/>
    <n v="11"/>
    <d v="2018-05-08T00:00:00"/>
    <x v="121"/>
    <x v="0"/>
    <d v="2018-05-19T00:00:00"/>
    <x v="0"/>
    <x v="0"/>
    <n v="1"/>
    <n v="1"/>
  </r>
  <r>
    <d v="2018-05-08T00:00:00"/>
    <n v="10860"/>
    <s v="WHSJC"/>
    <s v="Sao Jose dos Campos"/>
    <s v="SP"/>
    <n v="4026"/>
    <x v="23"/>
    <s v="Belo Horizonte"/>
    <s v="MG"/>
    <x v="2"/>
    <s v="MG"/>
    <n v="83.44"/>
    <n v="1"/>
    <n v="0.11899999999999999"/>
    <n v="6600879"/>
    <x v="2"/>
    <s v="Belo Horizonte"/>
    <s v="Convencional"/>
    <n v="8"/>
    <d v="2018-05-08T00:00:00"/>
    <x v="122"/>
    <x v="0"/>
    <d v="2018-05-16T00:00:00"/>
    <x v="0"/>
    <x v="0"/>
    <n v="1"/>
    <n v="1"/>
  </r>
  <r>
    <d v="2018-05-08T00:00:00"/>
    <n v="10861"/>
    <s v="WHRJ"/>
    <s v="Rio De Janeiro"/>
    <s v="RJ"/>
    <n v="4029"/>
    <x v="29"/>
    <s v="Joinville"/>
    <s v="SC"/>
    <x v="0"/>
    <s v="SC"/>
    <n v="75.099999999999994"/>
    <n v="6"/>
    <n v="20.38"/>
    <n v="6500948"/>
    <x v="0"/>
    <s v="Porto Alegre"/>
    <s v="Convencional"/>
    <n v="11"/>
    <d v="2018-05-08T00:00:00"/>
    <x v="123"/>
    <x v="0"/>
    <d v="2018-05-19T00:00:00"/>
    <x v="0"/>
    <x v="0"/>
    <n v="1"/>
    <n v="1"/>
  </r>
  <r>
    <d v="2018-05-08T00:00:00"/>
    <n v="10862"/>
    <s v="WHRJ"/>
    <s v="Rio De Janeiro"/>
    <s v="RJ"/>
    <n v="4025"/>
    <x v="22"/>
    <s v="Novo Hamburgo"/>
    <s v="RS"/>
    <x v="0"/>
    <s v="RS"/>
    <n v="4359.78"/>
    <n v="1"/>
    <n v="1.1200000000000001"/>
    <n v="6500948"/>
    <x v="0"/>
    <s v="Porto Alegre"/>
    <s v="Convencional"/>
    <n v="7"/>
    <d v="2018-05-08T00:00:00"/>
    <x v="118"/>
    <x v="0"/>
    <d v="2018-05-15T00:00:00"/>
    <x v="0"/>
    <x v="0"/>
    <n v="1"/>
    <n v="1"/>
  </r>
  <r>
    <d v="2018-05-08T00:00:00"/>
    <n v="10863"/>
    <s v="WHSAO"/>
    <s v="Sao Paulo"/>
    <s v="SP"/>
    <n v="4028"/>
    <x v="26"/>
    <s v="Sao Jose Dos Pinhais"/>
    <s v="PR"/>
    <x v="0"/>
    <s v="PR"/>
    <n v="2056.94"/>
    <n v="3"/>
    <n v="5.8630000000000004"/>
    <n v="6500948"/>
    <x v="0"/>
    <s v="Porto Alegre"/>
    <s v="Convencional"/>
    <n v="3"/>
    <d v="2018-05-08T00:00:00"/>
    <x v="124"/>
    <x v="0"/>
    <d v="2018-05-11T00:00:00"/>
    <x v="0"/>
    <x v="0"/>
    <n v="1"/>
    <n v="1"/>
  </r>
  <r>
    <d v="2018-05-08T00:00:00"/>
    <n v="10864"/>
    <s v="WHBH"/>
    <s v="Belo Horizonte"/>
    <s v="MG"/>
    <n v="4032"/>
    <x v="34"/>
    <s v="Goiania"/>
    <s v="GO"/>
    <x v="1"/>
    <s v="GO"/>
    <n v="2408.7600000000002"/>
    <n v="3"/>
    <n v="7.798"/>
    <n v="6100231"/>
    <x v="1"/>
    <s v="Goiania"/>
    <s v="Convencional"/>
    <n v="5"/>
    <d v="2018-05-08T00:00:00"/>
    <x v="118"/>
    <x v="0"/>
    <d v="2018-05-13T00:00:00"/>
    <x v="0"/>
    <x v="0"/>
    <n v="1"/>
    <n v="1"/>
  </r>
  <r>
    <d v="2018-05-08T00:00:00"/>
    <n v="10865"/>
    <s v="WHBH"/>
    <s v="Belo Horizonte"/>
    <s v="MG"/>
    <n v="4026"/>
    <x v="23"/>
    <s v="Belo Horizonte"/>
    <s v="MG"/>
    <x v="2"/>
    <s v="MG"/>
    <n v="3861.55"/>
    <n v="7"/>
    <n v="21.155999999999999"/>
    <n v="6600879"/>
    <x v="2"/>
    <s v="Belo Horizonte"/>
    <s v="Convencional"/>
    <n v="8"/>
    <d v="2018-05-08T00:00:00"/>
    <x v="123"/>
    <x v="0"/>
    <d v="2018-05-16T00:00:00"/>
    <x v="0"/>
    <x v="0"/>
    <n v="1"/>
    <n v="1"/>
  </r>
  <r>
    <d v="2018-05-08T00:00:00"/>
    <n v="10866"/>
    <s v="WHVIT"/>
    <s v="Vitoria"/>
    <s v="ES"/>
    <n v="4029"/>
    <x v="29"/>
    <s v="Joinville"/>
    <s v="SC"/>
    <x v="0"/>
    <s v="SC"/>
    <n v="40.799999999999997"/>
    <n v="1"/>
    <n v="1.1200000000000001"/>
    <n v="6500948"/>
    <x v="0"/>
    <s v="Porto Alegre"/>
    <s v="Convencional"/>
    <n v="7"/>
    <d v="2018-05-08T00:00:00"/>
    <x v="124"/>
    <x v="0"/>
    <d v="2018-05-15T00:00:00"/>
    <x v="0"/>
    <x v="0"/>
    <n v="1"/>
    <n v="1"/>
  </r>
  <r>
    <d v="2018-05-08T00:00:00"/>
    <n v="10867"/>
    <s v="WHCPQ"/>
    <s v="Campinas"/>
    <s v="SP"/>
    <n v="4025"/>
    <x v="22"/>
    <s v="Novo Hamburgo"/>
    <s v="RS"/>
    <x v="0"/>
    <s v="RS"/>
    <n v="108.49"/>
    <n v="1"/>
    <n v="0.26400000000000001"/>
    <n v="6500948"/>
    <x v="0"/>
    <s v="Porto Alegre"/>
    <s v="Convencional"/>
    <n v="1"/>
    <d v="2018-05-08T00:00:00"/>
    <x v="123"/>
    <x v="0"/>
    <d v="2018-05-09T00:00:00"/>
    <x v="1"/>
    <x v="0"/>
    <n v="0"/>
    <n v="1"/>
  </r>
  <r>
    <d v="2018-05-08T00:00:00"/>
    <n v="10868"/>
    <s v="WHBH"/>
    <s v="Belo Horizonte"/>
    <s v="MG"/>
    <n v="4028"/>
    <x v="26"/>
    <s v="Sao Jose Dos Pinhais"/>
    <s v="PR"/>
    <x v="0"/>
    <s v="PR"/>
    <n v="1410.57"/>
    <n v="4"/>
    <n v="48.4"/>
    <n v="6500948"/>
    <x v="0"/>
    <s v="Porto Alegre"/>
    <s v="Convencional"/>
    <n v="1"/>
    <d v="2018-05-08T00:00:00"/>
    <x v="120"/>
    <x v="0"/>
    <d v="2018-05-09T00:00:00"/>
    <x v="1"/>
    <x v="0"/>
    <n v="0"/>
    <n v="1"/>
  </r>
  <r>
    <d v="2018-05-10T00:00:00"/>
    <n v="10869"/>
    <s v="WHPOA"/>
    <s v="Porto Alegre"/>
    <s v="RS"/>
    <n v="4064"/>
    <x v="53"/>
    <s v="Presidente Prudente"/>
    <s v="SP"/>
    <x v="2"/>
    <s v="SP"/>
    <n v="158.29"/>
    <n v="1"/>
    <n v="0.42799999999999999"/>
    <n v="6400835"/>
    <x v="3"/>
    <s v="Guarulhos"/>
    <s v="Convencional"/>
    <n v="7"/>
    <d v="2018-05-10T00:00:00"/>
    <x v="116"/>
    <x v="0"/>
    <d v="2018-05-17T00:00:00"/>
    <x v="0"/>
    <x v="0"/>
    <n v="1"/>
    <n v="1"/>
  </r>
  <r>
    <d v="2018-05-10T00:00:00"/>
    <n v="10870"/>
    <s v="WHPOA"/>
    <s v="Porto Alegre"/>
    <s v="RS"/>
    <n v="4064"/>
    <x v="53"/>
    <s v="Presidente Prudente"/>
    <s v="SP"/>
    <x v="2"/>
    <s v="SP"/>
    <n v="10034.82"/>
    <n v="13"/>
    <n v="66.475999999999999"/>
    <n v="6400835"/>
    <x v="3"/>
    <s v="Guarulhos"/>
    <s v="Urgente"/>
    <n v="7"/>
    <d v="2018-05-10T00:00:00"/>
    <x v="116"/>
    <x v="0"/>
    <d v="2018-05-17T00:00:00"/>
    <x v="0"/>
    <x v="0"/>
    <n v="1"/>
    <n v="1"/>
  </r>
  <r>
    <d v="2018-05-10T00:00:00"/>
    <n v="10871"/>
    <s v="WHBH"/>
    <s v="Belo Horizonte"/>
    <s v="MG"/>
    <n v="4064"/>
    <x v="53"/>
    <s v="Presidente Prudente"/>
    <s v="SP"/>
    <x v="2"/>
    <s v="SP"/>
    <n v="1316.26"/>
    <n v="1"/>
    <n v="1.1200000000000001"/>
    <n v="6400835"/>
    <x v="3"/>
    <s v="Guarulhos"/>
    <s v="Convencional"/>
    <n v="9"/>
    <d v="2018-05-10T00:00:00"/>
    <x v="119"/>
    <x v="0"/>
    <d v="2018-05-19T00:00:00"/>
    <x v="0"/>
    <x v="0"/>
    <n v="1"/>
    <n v="1"/>
  </r>
  <r>
    <d v="2018-05-10T00:00:00"/>
    <n v="10872"/>
    <s v="WHBH"/>
    <s v="Belo Horizonte"/>
    <s v="MG"/>
    <n v="4064"/>
    <x v="53"/>
    <s v="Presidente Prudente"/>
    <s v="SP"/>
    <x v="2"/>
    <s v="SP"/>
    <n v="10.47"/>
    <n v="1"/>
    <n v="1.1200000000000001"/>
    <n v="6400835"/>
    <x v="3"/>
    <s v="Guarulhos"/>
    <s v="Convencional"/>
    <n v="8"/>
    <d v="2018-05-10T00:00:00"/>
    <x v="122"/>
    <x v="0"/>
    <d v="2018-05-18T00:00:00"/>
    <x v="0"/>
    <x v="0"/>
    <n v="1"/>
    <n v="1"/>
  </r>
  <r>
    <d v="2018-05-11T00:00:00"/>
    <n v="10873"/>
    <s v="WHRJ"/>
    <s v="Rio De Janeiro"/>
    <s v="RJ"/>
    <n v="4049"/>
    <x v="43"/>
    <s v="Taguatinga"/>
    <s v="DF"/>
    <x v="1"/>
    <s v="DF"/>
    <n v="1325.2"/>
    <n v="3"/>
    <n v="8.032"/>
    <n v="6100231"/>
    <x v="1"/>
    <s v="Goiania"/>
    <s v="Convencional"/>
    <n v="12"/>
    <d v="2018-05-11T00:00:00"/>
    <x v="125"/>
    <x v="0"/>
    <d v="2018-05-23T00:00:00"/>
    <x v="0"/>
    <x v="0"/>
    <n v="1"/>
    <n v="1"/>
  </r>
  <r>
    <d v="2018-05-11T00:00:00"/>
    <n v="10874"/>
    <s v="WHVIT"/>
    <s v="Vitoria"/>
    <s v="ES"/>
    <n v="4049"/>
    <x v="43"/>
    <s v="Taguatinga"/>
    <s v="DF"/>
    <x v="1"/>
    <s v="DF"/>
    <n v="721.17"/>
    <n v="2"/>
    <n v="26.84"/>
    <n v="6100231"/>
    <x v="1"/>
    <s v="Goiania"/>
    <s v="Convencional"/>
    <n v="12"/>
    <d v="2018-05-11T00:00:00"/>
    <x v="126"/>
    <x v="0"/>
    <d v="2018-05-23T00:00:00"/>
    <x v="0"/>
    <x v="0"/>
    <n v="1"/>
    <n v="1"/>
  </r>
  <r>
    <d v="2018-05-11T00:00:00"/>
    <n v="10875"/>
    <s v="WHPOA"/>
    <s v="Porto Alegre"/>
    <s v="RS"/>
    <n v="4049"/>
    <x v="43"/>
    <s v="Taguatinga"/>
    <s v="DF"/>
    <x v="1"/>
    <s v="DF"/>
    <n v="1403.6"/>
    <n v="2"/>
    <n v="10.615"/>
    <n v="6100231"/>
    <x v="1"/>
    <s v="Goiania"/>
    <s v="Convencional"/>
    <n v="2"/>
    <d v="2018-05-11T00:00:00"/>
    <x v="127"/>
    <x v="0"/>
    <d v="2018-05-13T00:00:00"/>
    <x v="1"/>
    <x v="0"/>
    <n v="0"/>
    <n v="1"/>
  </r>
  <r>
    <d v="2018-05-11T00:00:00"/>
    <n v="10876"/>
    <s v="WHCPQ"/>
    <s v="Campinas"/>
    <s v="SP"/>
    <n v="4049"/>
    <x v="43"/>
    <s v="Taguatinga"/>
    <s v="DF"/>
    <x v="1"/>
    <s v="DF"/>
    <n v="2422.33"/>
    <n v="2"/>
    <n v="32.340000000000003"/>
    <n v="6100231"/>
    <x v="1"/>
    <s v="Goiania"/>
    <s v="Convencional"/>
    <n v="10"/>
    <d v="2018-05-11T00:00:00"/>
    <x v="128"/>
    <x v="0"/>
    <d v="2018-05-21T00:00:00"/>
    <x v="0"/>
    <x v="0"/>
    <n v="1"/>
    <n v="1"/>
  </r>
  <r>
    <d v="2018-05-11T00:00:00"/>
    <n v="10877"/>
    <s v="WHSJC"/>
    <s v="Sao Jose dos Campos"/>
    <s v="SP"/>
    <n v="4049"/>
    <x v="43"/>
    <s v="Taguatinga"/>
    <s v="DF"/>
    <x v="1"/>
    <s v="DF"/>
    <n v="1381.58"/>
    <n v="4"/>
    <n v="6.82"/>
    <n v="6100231"/>
    <x v="1"/>
    <s v="Goiania"/>
    <s v="Convencional"/>
    <n v="3"/>
    <d v="2018-05-11T00:00:00"/>
    <x v="129"/>
    <x v="0"/>
    <d v="2018-05-14T00:00:00"/>
    <x v="1"/>
    <x v="0"/>
    <n v="0"/>
    <n v="1"/>
  </r>
  <r>
    <d v="2018-05-11T00:00:00"/>
    <n v="10878"/>
    <s v="WHSJC"/>
    <s v="Sao Jose dos Campos"/>
    <s v="SP"/>
    <n v="4049"/>
    <x v="43"/>
    <s v="Taguatinga"/>
    <s v="DF"/>
    <x v="1"/>
    <s v="DF"/>
    <n v="5620.08"/>
    <n v="10"/>
    <n v="66.617000000000004"/>
    <n v="6100231"/>
    <x v="1"/>
    <s v="Goiania"/>
    <s v="Convencional"/>
    <n v="2"/>
    <d v="2018-05-11T00:00:00"/>
    <x v="127"/>
    <x v="0"/>
    <d v="2018-05-13T00:00:00"/>
    <x v="1"/>
    <x v="0"/>
    <n v="0"/>
    <n v="1"/>
  </r>
  <r>
    <d v="2018-05-11T00:00:00"/>
    <n v="10879"/>
    <s v="WHRJ"/>
    <s v="Rio De Janeiro"/>
    <s v="RJ"/>
    <n v="4049"/>
    <x v="43"/>
    <s v="Taguatinga"/>
    <s v="DF"/>
    <x v="1"/>
    <s v="DF"/>
    <n v="405.13"/>
    <n v="1"/>
    <n v="0.749"/>
    <n v="6100231"/>
    <x v="1"/>
    <s v="Goiania"/>
    <s v="Convencional"/>
    <n v="3"/>
    <d v="2018-05-11T00:00:00"/>
    <x v="129"/>
    <x v="0"/>
    <d v="2018-05-14T00:00:00"/>
    <x v="1"/>
    <x v="0"/>
    <n v="0"/>
    <n v="1"/>
  </r>
  <r>
    <d v="2018-05-11T00:00:00"/>
    <n v="10880"/>
    <s v="WHSAO"/>
    <s v="Sao Paulo"/>
    <s v="SP"/>
    <n v="4049"/>
    <x v="43"/>
    <s v="Taguatinga"/>
    <s v="DF"/>
    <x v="1"/>
    <s v="DF"/>
    <n v="908.64"/>
    <n v="29"/>
    <n v="139.43799999999999"/>
    <n v="6100231"/>
    <x v="1"/>
    <s v="Goiania"/>
    <s v="Convencional"/>
    <n v="11"/>
    <d v="2018-05-11T00:00:00"/>
    <x v="116"/>
    <x v="0"/>
    <d v="2018-05-22T00:00:00"/>
    <x v="0"/>
    <x v="0"/>
    <n v="1"/>
    <n v="1"/>
  </r>
  <r>
    <d v="2018-05-11T00:00:00"/>
    <n v="10881"/>
    <s v="WHSJC"/>
    <s v="Sao Jose dos Campos"/>
    <s v="SP"/>
    <n v="4049"/>
    <x v="43"/>
    <s v="Taguatinga"/>
    <s v="DF"/>
    <x v="1"/>
    <s v="DF"/>
    <n v="17608.57"/>
    <n v="1"/>
    <n v="1.1200000000000001"/>
    <n v="6100231"/>
    <x v="1"/>
    <s v="Goiania"/>
    <s v="Convencional"/>
    <n v="7"/>
    <d v="2018-05-11T00:00:00"/>
    <x v="116"/>
    <x v="0"/>
    <d v="2018-05-18T00:00:00"/>
    <x v="0"/>
    <x v="0"/>
    <n v="1"/>
    <n v="1"/>
  </r>
  <r>
    <d v="2018-05-11T00:00:00"/>
    <n v="10882"/>
    <s v="WHVIT"/>
    <s v="Vitoria"/>
    <s v="ES"/>
    <n v="4049"/>
    <x v="43"/>
    <s v="Taguatinga"/>
    <s v="DF"/>
    <x v="1"/>
    <s v="DF"/>
    <n v="20363.14"/>
    <n v="20"/>
    <n v="113.544"/>
    <n v="6100231"/>
    <x v="1"/>
    <s v="Goiania"/>
    <s v="Convencional"/>
    <n v="12"/>
    <d v="2018-05-11T00:00:00"/>
    <x v="128"/>
    <x v="0"/>
    <d v="2018-05-23T00:00:00"/>
    <x v="0"/>
    <x v="0"/>
    <n v="1"/>
    <n v="1"/>
  </r>
  <r>
    <d v="2018-05-12T00:00:00"/>
    <n v="10883"/>
    <s v="WHSJC"/>
    <s v="Sao Jose dos Campos"/>
    <s v="SP"/>
    <n v="4095"/>
    <x v="83"/>
    <s v="Rio De Janeiro"/>
    <s v="RJ"/>
    <x v="2"/>
    <s v="RJ"/>
    <n v="978.93"/>
    <n v="1"/>
    <n v="1.1200000000000001"/>
    <n v="6140092"/>
    <x v="4"/>
    <s v="Rio de Janeiro"/>
    <s v="Convencional"/>
    <n v="4"/>
    <d v="2018-05-12T00:00:00"/>
    <x v="116"/>
    <x v="0"/>
    <d v="2018-05-16T00:00:00"/>
    <x v="0"/>
    <x v="0"/>
    <n v="1"/>
    <n v="1"/>
  </r>
  <r>
    <d v="2018-05-12T00:00:00"/>
    <n v="10884"/>
    <s v="WHVIT"/>
    <s v="Vitoria"/>
    <s v="ES"/>
    <n v="4022"/>
    <x v="19"/>
    <s v="Maringa"/>
    <s v="PR"/>
    <x v="0"/>
    <s v="PR"/>
    <n v="5336.21"/>
    <n v="3"/>
    <n v="7.0369999999999999"/>
    <n v="6500948"/>
    <x v="0"/>
    <s v="Porto Alegre"/>
    <s v="Convencional"/>
    <n v="8"/>
    <d v="2018-05-12T00:00:00"/>
    <x v="130"/>
    <x v="0"/>
    <d v="2018-05-20T00:00:00"/>
    <x v="1"/>
    <x v="0"/>
    <n v="0"/>
    <n v="1"/>
  </r>
  <r>
    <d v="2018-05-12T00:00:00"/>
    <n v="10885"/>
    <s v="WHRJ"/>
    <s v="Rio De Janeiro"/>
    <s v="RJ"/>
    <n v="4016"/>
    <x v="6"/>
    <s v="Pocos De Caldas"/>
    <s v="MG"/>
    <x v="2"/>
    <s v="MG"/>
    <n v="243.53"/>
    <n v="1"/>
    <n v="1.1200000000000001"/>
    <n v="6600879"/>
    <x v="2"/>
    <s v="Belo Horizonte"/>
    <s v="Convencional"/>
    <n v="2"/>
    <d v="2018-05-12T00:00:00"/>
    <x v="130"/>
    <x v="0"/>
    <d v="2018-05-14T00:00:00"/>
    <x v="1"/>
    <x v="0"/>
    <n v="0"/>
    <n v="1"/>
  </r>
  <r>
    <d v="2018-05-12T00:00:00"/>
    <n v="10886"/>
    <s v="WHSJC"/>
    <s v="Sao Jose dos Campos"/>
    <s v="SP"/>
    <n v="4016"/>
    <x v="6"/>
    <s v="Pocos De Caldas"/>
    <s v="MG"/>
    <x v="2"/>
    <s v="MG"/>
    <n v="5526.45"/>
    <n v="16"/>
    <n v="214.72"/>
    <n v="6600879"/>
    <x v="2"/>
    <s v="Belo Horizonte"/>
    <s v="Convencional"/>
    <n v="12"/>
    <d v="2018-05-12T00:00:00"/>
    <x v="122"/>
    <x v="0"/>
    <d v="2018-05-24T00:00:00"/>
    <x v="0"/>
    <x v="0"/>
    <n v="1"/>
    <n v="1"/>
  </r>
  <r>
    <d v="2018-05-12T00:00:00"/>
    <n v="10887"/>
    <s v="WHSAO"/>
    <s v="Sao Paulo"/>
    <s v="SP"/>
    <n v="4016"/>
    <x v="6"/>
    <s v="Pocos De Caldas"/>
    <s v="MG"/>
    <x v="2"/>
    <s v="MG"/>
    <n v="774.57"/>
    <n v="3"/>
    <n v="4.343"/>
    <n v="6600879"/>
    <x v="2"/>
    <s v="Belo Horizonte"/>
    <s v="Convencional"/>
    <n v="12"/>
    <d v="2018-05-12T00:00:00"/>
    <x v="116"/>
    <x v="0"/>
    <d v="2018-05-24T00:00:00"/>
    <x v="0"/>
    <x v="0"/>
    <n v="1"/>
    <n v="1"/>
  </r>
  <r>
    <d v="2018-05-12T00:00:00"/>
    <n v="10888"/>
    <s v="WHRJ"/>
    <s v="Rio De Janeiro"/>
    <s v="RJ"/>
    <n v="4016"/>
    <x v="6"/>
    <s v="Pocos De Caldas"/>
    <s v="MG"/>
    <x v="2"/>
    <s v="MG"/>
    <n v="109.04"/>
    <n v="1"/>
    <n v="1.1200000000000001"/>
    <n v="6600879"/>
    <x v="2"/>
    <s v="Belo Horizonte"/>
    <s v="Convencional"/>
    <n v="1"/>
    <d v="2018-05-12T00:00:00"/>
    <x v="129"/>
    <x v="0"/>
    <d v="2018-05-13T00:00:00"/>
    <x v="1"/>
    <x v="0"/>
    <n v="0"/>
    <n v="1"/>
  </r>
  <r>
    <d v="2018-05-12T00:00:00"/>
    <n v="10889"/>
    <s v="WHVIT"/>
    <s v="Vitoria"/>
    <s v="ES"/>
    <n v="4016"/>
    <x v="6"/>
    <s v="Pocos De Caldas"/>
    <s v="MG"/>
    <x v="2"/>
    <s v="MG"/>
    <n v="6689.08"/>
    <n v="11"/>
    <n v="33.332000000000001"/>
    <n v="6600879"/>
    <x v="2"/>
    <s v="Belo Horizonte"/>
    <s v="Convencional"/>
    <n v="12"/>
    <d v="2018-05-12T00:00:00"/>
    <x v="122"/>
    <x v="0"/>
    <d v="2018-05-24T00:00:00"/>
    <x v="0"/>
    <x v="0"/>
    <n v="1"/>
    <n v="1"/>
  </r>
  <r>
    <d v="2018-05-15T00:00:00"/>
    <n v="10890"/>
    <s v="WHSAO"/>
    <s v="Sao Paulo"/>
    <s v="SP"/>
    <n v="4084"/>
    <x v="72"/>
    <s v="Aracatuba"/>
    <s v="SP"/>
    <x v="2"/>
    <s v="SP"/>
    <n v="2130.5700000000002"/>
    <n v="3"/>
    <n v="2.0470000000000002"/>
    <n v="6400835"/>
    <x v="3"/>
    <s v="Guarulhos"/>
    <s v="Convencional"/>
    <n v="3"/>
    <d v="2018-05-15T00:00:00"/>
    <x v="127"/>
    <x v="0"/>
    <d v="2018-05-18T00:00:00"/>
    <x v="1"/>
    <x v="0"/>
    <n v="0"/>
    <n v="1"/>
  </r>
  <r>
    <d v="2018-05-17T00:00:00"/>
    <n v="10891"/>
    <s v="WHBH"/>
    <s v="Belo Horizonte"/>
    <s v="MG"/>
    <n v="4012"/>
    <x v="0"/>
    <s v="Sao Jose Dos Pinhais"/>
    <s v="PR"/>
    <x v="0"/>
    <s v="PR"/>
    <n v="2255.62"/>
    <n v="5"/>
    <n v="10.271000000000001"/>
    <n v="6500948"/>
    <x v="0"/>
    <s v="Porto Alegre"/>
    <s v="Convencional"/>
    <n v="5"/>
    <d v="2018-05-17T00:00:00"/>
    <x v="131"/>
    <x v="0"/>
    <d v="2018-05-22T00:00:00"/>
    <x v="1"/>
    <x v="0"/>
    <n v="0"/>
    <n v="1"/>
  </r>
  <r>
    <d v="2018-05-17T00:00:00"/>
    <n v="10892"/>
    <s v="WHPOA"/>
    <s v="Porto Alegre"/>
    <s v="RS"/>
    <n v="4018"/>
    <x v="12"/>
    <s v="Sao Jose"/>
    <s v="SC"/>
    <x v="0"/>
    <s v="SC"/>
    <n v="121.02"/>
    <n v="1"/>
    <n v="5.5"/>
    <n v="6500948"/>
    <x v="0"/>
    <s v="Porto Alegre"/>
    <s v="Convencional"/>
    <n v="1"/>
    <d v="2018-05-17T00:00:00"/>
    <x v="131"/>
    <x v="0"/>
    <d v="2018-05-18T00:00:00"/>
    <x v="1"/>
    <x v="0"/>
    <n v="0"/>
    <n v="1"/>
  </r>
  <r>
    <d v="2018-05-17T00:00:00"/>
    <n v="10893"/>
    <s v="WHRJ"/>
    <s v="Rio De Janeiro"/>
    <s v="RJ"/>
    <n v="4083"/>
    <x v="71"/>
    <s v="Sao Jose Do Rio Preto"/>
    <s v="SP"/>
    <x v="2"/>
    <s v="SP"/>
    <n v="3135.17"/>
    <n v="4"/>
    <n v="6.0830000000000002"/>
    <n v="6400835"/>
    <x v="3"/>
    <s v="Guarulhos"/>
    <s v="Convencional"/>
    <n v="1"/>
    <d v="2018-05-17T00:00:00"/>
    <x v="126"/>
    <x v="0"/>
    <d v="2018-05-18T00:00:00"/>
    <x v="1"/>
    <x v="0"/>
    <n v="0"/>
    <n v="1"/>
  </r>
  <r>
    <d v="2018-05-17T00:00:00"/>
    <n v="10894"/>
    <s v="WHRJ"/>
    <s v="Rio De Janeiro"/>
    <s v="RJ"/>
    <n v="4083"/>
    <x v="71"/>
    <s v="Sao Jose Do Rio Preto"/>
    <s v="SP"/>
    <x v="2"/>
    <s v="SP"/>
    <n v="2028.75"/>
    <n v="4"/>
    <n v="8.3070000000000004"/>
    <n v="6400835"/>
    <x v="3"/>
    <s v="Guarulhos"/>
    <s v="Convencional"/>
    <n v="12"/>
    <d v="2018-05-17T00:00:00"/>
    <x v="127"/>
    <x v="0"/>
    <d v="2018-05-29T00:00:00"/>
    <x v="0"/>
    <x v="0"/>
    <n v="1"/>
    <n v="1"/>
  </r>
  <r>
    <d v="2018-05-17T00:00:00"/>
    <n v="10895"/>
    <s v="WHBH"/>
    <s v="Belo Horizonte"/>
    <s v="MG"/>
    <n v="4083"/>
    <x v="71"/>
    <s v="Sao Jose Do Rio Preto"/>
    <s v="SP"/>
    <x v="2"/>
    <s v="SP"/>
    <n v="1007.98"/>
    <n v="1"/>
    <n v="1.1200000000000001"/>
    <n v="6400835"/>
    <x v="3"/>
    <s v="Guarulhos"/>
    <s v="Convencional"/>
    <n v="6"/>
    <d v="2018-05-17T00:00:00"/>
    <x v="132"/>
    <x v="0"/>
    <d v="2018-05-23T00:00:00"/>
    <x v="1"/>
    <x v="0"/>
    <n v="0"/>
    <n v="1"/>
  </r>
  <r>
    <d v="2018-05-17T00:00:00"/>
    <n v="10896"/>
    <s v="WHVIT"/>
    <s v="Vitoria"/>
    <s v="ES"/>
    <n v="4083"/>
    <x v="71"/>
    <s v="Sao Jose Do Rio Preto"/>
    <s v="SP"/>
    <x v="2"/>
    <s v="SP"/>
    <n v="499.49"/>
    <n v="1"/>
    <n v="0.68799999999999994"/>
    <n v="6400835"/>
    <x v="3"/>
    <s v="Guarulhos"/>
    <s v="Convencional"/>
    <n v="2"/>
    <d v="2018-05-17T00:00:00"/>
    <x v="130"/>
    <x v="0"/>
    <d v="2018-05-19T00:00:00"/>
    <x v="1"/>
    <x v="0"/>
    <n v="0"/>
    <n v="1"/>
  </r>
  <r>
    <d v="2018-05-17T00:00:00"/>
    <n v="10897"/>
    <s v="WHRJ"/>
    <s v="Rio De Janeiro"/>
    <s v="RJ"/>
    <n v="4083"/>
    <x v="71"/>
    <s v="Sao Jose Do Rio Preto"/>
    <s v="SP"/>
    <x v="2"/>
    <s v="SP"/>
    <n v="727.46"/>
    <n v="1"/>
    <n v="2.202"/>
    <n v="6400835"/>
    <x v="3"/>
    <s v="Guarulhos"/>
    <s v="Convencional"/>
    <n v="10"/>
    <d v="2018-05-17T00:00:00"/>
    <x v="129"/>
    <x v="0"/>
    <d v="2018-05-27T00:00:00"/>
    <x v="0"/>
    <x v="0"/>
    <n v="1"/>
    <n v="1"/>
  </r>
  <r>
    <d v="2018-05-18T00:00:00"/>
    <n v="10898"/>
    <s v="WHRJ"/>
    <s v="Rio De Janeiro"/>
    <s v="RJ"/>
    <n v="4033"/>
    <x v="35"/>
    <s v="Goiania"/>
    <s v="GO"/>
    <x v="1"/>
    <s v="GO"/>
    <n v="387.36"/>
    <n v="1"/>
    <n v="0.33"/>
    <n v="6100231"/>
    <x v="1"/>
    <s v="Goiania"/>
    <s v="Convencional"/>
    <n v="9"/>
    <d v="2018-05-18T00:00:00"/>
    <x v="133"/>
    <x v="0"/>
    <d v="2018-05-27T00:00:00"/>
    <x v="0"/>
    <x v="0"/>
    <n v="1"/>
    <n v="1"/>
  </r>
  <r>
    <d v="2018-05-18T00:00:00"/>
    <n v="10899"/>
    <s v="WHSJC"/>
    <s v="Sao Jose dos Campos"/>
    <s v="SP"/>
    <n v="4022"/>
    <x v="19"/>
    <s v="Maringa"/>
    <s v="PR"/>
    <x v="0"/>
    <s v="PR"/>
    <n v="2678.17"/>
    <n v="2"/>
    <n v="6.82"/>
    <n v="6500948"/>
    <x v="0"/>
    <s v="Porto Alegre"/>
    <s v="Convencional"/>
    <n v="8"/>
    <d v="2018-05-18T00:00:00"/>
    <x v="127"/>
    <x v="0"/>
    <d v="2018-05-26T00:00:00"/>
    <x v="0"/>
    <x v="0"/>
    <n v="1"/>
    <n v="1"/>
  </r>
  <r>
    <d v="2018-05-19T00:00:00"/>
    <n v="10900"/>
    <s v="WHVIT"/>
    <s v="Vitoria"/>
    <s v="ES"/>
    <n v="4034"/>
    <x v="36"/>
    <s v="Goiania"/>
    <s v="GO"/>
    <x v="1"/>
    <s v="GO"/>
    <n v="360.57"/>
    <n v="1"/>
    <n v="13.42"/>
    <n v="6100231"/>
    <x v="1"/>
    <s v="Goiania"/>
    <s v="Convencional"/>
    <n v="12"/>
    <d v="2018-05-19T00:00:00"/>
    <x v="126"/>
    <x v="0"/>
    <d v="2018-05-31T00:00:00"/>
    <x v="0"/>
    <x v="0"/>
    <n v="1"/>
    <n v="1"/>
  </r>
  <r>
    <d v="2018-05-23T00:00:00"/>
    <n v="10901"/>
    <s v="WHSJC"/>
    <s v="Sao Jose dos Campos"/>
    <s v="SP"/>
    <n v="4027"/>
    <x v="24"/>
    <s v="Novo Hamburgo"/>
    <s v="RS"/>
    <x v="0"/>
    <s v="RS"/>
    <n v="6853.02"/>
    <n v="4"/>
    <n v="20.02"/>
    <n v="6500948"/>
    <x v="0"/>
    <s v="Porto Alegre"/>
    <s v="Convencional"/>
    <n v="6"/>
    <d v="2018-05-23T00:00:00"/>
    <x v="134"/>
    <x v="0"/>
    <d v="2018-05-29T00:00:00"/>
    <x v="0"/>
    <x v="0"/>
    <n v="1"/>
    <n v="1"/>
  </r>
  <r>
    <d v="2018-05-23T00:00:00"/>
    <n v="10902"/>
    <s v="WHVIT"/>
    <s v="Vitoria"/>
    <s v="ES"/>
    <n v="4021"/>
    <x v="18"/>
    <s v="Itajai"/>
    <s v="SC"/>
    <x v="0"/>
    <s v="SC"/>
    <n v="211.84"/>
    <n v="1"/>
    <n v="0.51400000000000001"/>
    <n v="6500948"/>
    <x v="0"/>
    <s v="Porto Alegre"/>
    <s v="Convencional"/>
    <n v="12"/>
    <d v="2018-05-23T00:00:00"/>
    <x v="135"/>
    <x v="0"/>
    <d v="2018-06-04T00:00:00"/>
    <x v="0"/>
    <x v="0"/>
    <n v="1"/>
    <n v="1"/>
  </r>
  <r>
    <d v="2018-05-23T00:00:00"/>
    <n v="10903"/>
    <s v="WHSAO"/>
    <s v="Sao Paulo"/>
    <s v="SP"/>
    <n v="4028"/>
    <x v="26"/>
    <s v="Sao Jose Dos Pinhais"/>
    <s v="PR"/>
    <x v="0"/>
    <s v="PR"/>
    <n v="533.12"/>
    <n v="1"/>
    <n v="2.024"/>
    <n v="6500948"/>
    <x v="0"/>
    <s v="Porto Alegre"/>
    <s v="Convencional"/>
    <n v="8"/>
    <d v="2018-05-23T00:00:00"/>
    <x v="134"/>
    <x v="0"/>
    <d v="2018-05-31T00:00:00"/>
    <x v="0"/>
    <x v="0"/>
    <n v="1"/>
    <n v="1"/>
  </r>
  <r>
    <d v="2018-05-23T00:00:00"/>
    <n v="10904"/>
    <s v="WHSAO"/>
    <s v="Sao Paulo"/>
    <s v="SP"/>
    <n v="4028"/>
    <x v="26"/>
    <s v="Sao Jose Dos Pinhais"/>
    <s v="PR"/>
    <x v="0"/>
    <s v="PR"/>
    <n v="5840.6"/>
    <n v="5"/>
    <n v="25.12"/>
    <n v="6500948"/>
    <x v="0"/>
    <s v="Porto Alegre"/>
    <s v="Urgente"/>
    <n v="9"/>
    <d v="2018-05-23T00:00:00"/>
    <x v="132"/>
    <x v="0"/>
    <d v="2018-06-01T00:00:00"/>
    <x v="0"/>
    <x v="0"/>
    <n v="1"/>
    <n v="1"/>
  </r>
  <r>
    <d v="2018-05-23T00:00:00"/>
    <n v="10905"/>
    <s v="WHVIT"/>
    <s v="Vitoria"/>
    <s v="ES"/>
    <n v="4027"/>
    <x v="24"/>
    <s v="Novo Hamburgo"/>
    <s v="RS"/>
    <x v="0"/>
    <s v="RS"/>
    <n v="985.23"/>
    <n v="4"/>
    <n v="6.6879999999999997"/>
    <n v="6500948"/>
    <x v="0"/>
    <s v="Porto Alegre"/>
    <s v="Convencional"/>
    <n v="10"/>
    <d v="2018-05-23T00:00:00"/>
    <x v="136"/>
    <x v="0"/>
    <d v="2018-06-02T00:00:00"/>
    <x v="0"/>
    <x v="0"/>
    <n v="1"/>
    <n v="1"/>
  </r>
  <r>
    <d v="2018-05-23T00:00:00"/>
    <n v="10906"/>
    <s v="WHSJC"/>
    <s v="Sao Jose dos Campos"/>
    <s v="SP"/>
    <n v="4021"/>
    <x v="18"/>
    <s v="Itajai"/>
    <s v="SC"/>
    <x v="0"/>
    <s v="SC"/>
    <n v="527.39"/>
    <n v="1"/>
    <n v="1.1200000000000001"/>
    <n v="6500948"/>
    <x v="0"/>
    <s v="Porto Alegre"/>
    <s v="Convencional"/>
    <n v="2"/>
    <d v="2018-05-23T00:00:00"/>
    <x v="137"/>
    <x v="0"/>
    <d v="2018-05-25T00:00:00"/>
    <x v="1"/>
    <x v="0"/>
    <n v="0"/>
    <n v="1"/>
  </r>
  <r>
    <d v="2018-05-23T00:00:00"/>
    <n v="10907"/>
    <s v="WHSAO"/>
    <s v="Sao Paulo"/>
    <s v="SP"/>
    <n v="4028"/>
    <x v="26"/>
    <s v="Sao Jose Dos Pinhais"/>
    <s v="PR"/>
    <x v="0"/>
    <s v="PR"/>
    <n v="684.09"/>
    <n v="1"/>
    <n v="0.77600000000000002"/>
    <n v="6500948"/>
    <x v="0"/>
    <s v="Porto Alegre"/>
    <s v="Convencional"/>
    <n v="9"/>
    <d v="2018-05-23T00:00:00"/>
    <x v="131"/>
    <x v="0"/>
    <d v="2018-06-01T00:00:00"/>
    <x v="0"/>
    <x v="0"/>
    <n v="1"/>
    <n v="1"/>
  </r>
  <r>
    <d v="2018-05-23T00:00:00"/>
    <n v="10908"/>
    <s v="WHVIT"/>
    <s v="Vitoria"/>
    <s v="ES"/>
    <n v="4028"/>
    <x v="26"/>
    <s v="Sao Jose Dos Pinhais"/>
    <s v="PR"/>
    <x v="0"/>
    <s v="PR"/>
    <n v="10604.14"/>
    <n v="18"/>
    <n v="65.087999999999994"/>
    <n v="6500948"/>
    <x v="0"/>
    <s v="Porto Alegre"/>
    <s v="Convencional"/>
    <n v="11"/>
    <d v="2018-05-23T00:00:00"/>
    <x v="134"/>
    <x v="0"/>
    <d v="2018-06-03T00:00:00"/>
    <x v="0"/>
    <x v="0"/>
    <n v="1"/>
    <n v="1"/>
  </r>
  <r>
    <d v="2018-05-25T00:00:00"/>
    <n v="10909"/>
    <s v="WHPOA"/>
    <s v="Porto Alegre"/>
    <s v="RS"/>
    <n v="4022"/>
    <x v="19"/>
    <s v="Maringa"/>
    <s v="PR"/>
    <x v="0"/>
    <s v="PR"/>
    <n v="1748.44"/>
    <n v="1"/>
    <n v="1.1200000000000001"/>
    <n v="6500948"/>
    <x v="0"/>
    <s v="Porto Alegre"/>
    <s v="Convencional"/>
    <n v="11"/>
    <d v="2018-05-25T00:00:00"/>
    <x v="138"/>
    <x v="0"/>
    <d v="2018-06-05T00:00:00"/>
    <x v="0"/>
    <x v="0"/>
    <n v="1"/>
    <n v="1"/>
  </r>
  <r>
    <d v="2018-05-26T00:00:00"/>
    <n v="10910"/>
    <s v="WHCPQ"/>
    <s v="Campinas"/>
    <s v="SP"/>
    <n v="4096"/>
    <x v="84"/>
    <s v="Rio De Janeiro"/>
    <s v="RJ"/>
    <x v="2"/>
    <s v="RJ"/>
    <n v="915.89"/>
    <n v="2"/>
    <n v="1.3640000000000001"/>
    <n v="6140092"/>
    <x v="4"/>
    <s v="Rio de Janeiro"/>
    <s v="Convencional"/>
    <n v="7"/>
    <d v="2018-05-26T00:00:00"/>
    <x v="139"/>
    <x v="0"/>
    <d v="2018-06-02T00:00:00"/>
    <x v="1"/>
    <x v="0"/>
    <n v="0"/>
    <n v="1"/>
  </r>
  <r>
    <d v="2018-05-26T00:00:00"/>
    <n v="10911"/>
    <s v="WHSJC"/>
    <s v="Sao Jose dos Campos"/>
    <s v="SP"/>
    <n v="4017"/>
    <x v="10"/>
    <s v="Itajai"/>
    <s v="SC"/>
    <x v="0"/>
    <s v="SC"/>
    <n v="727.46"/>
    <n v="1"/>
    <n v="2.202"/>
    <n v="6500948"/>
    <x v="0"/>
    <s v="Porto Alegre"/>
    <s v="Convencional"/>
    <n v="2"/>
    <d v="2018-05-26T00:00:00"/>
    <x v="140"/>
    <x v="0"/>
    <d v="2018-05-28T00:00:00"/>
    <x v="1"/>
    <x v="0"/>
    <n v="0"/>
    <n v="1"/>
  </r>
  <r>
    <d v="2018-05-29T00:00:00"/>
    <n v="10912"/>
    <s v="WHCPQ"/>
    <s v="Campinas"/>
    <s v="SP"/>
    <n v="4069"/>
    <x v="57"/>
    <s v="Brasilia"/>
    <s v="DF"/>
    <x v="1"/>
    <s v="DF"/>
    <n v="3098.95"/>
    <n v="6"/>
    <n v="30.361999999999998"/>
    <n v="6100231"/>
    <x v="1"/>
    <s v="Goiania"/>
    <s v="Convencional"/>
    <n v="9"/>
    <d v="2018-05-29T00:00:00"/>
    <x v="135"/>
    <x v="0"/>
    <d v="2018-06-07T00:00:00"/>
    <x v="0"/>
    <x v="0"/>
    <n v="1"/>
    <n v="1"/>
  </r>
  <r>
    <d v="2018-05-30T00:00:00"/>
    <n v="10913"/>
    <s v="WHSJC"/>
    <s v="Sao Jose dos Campos"/>
    <s v="SP"/>
    <n v="4033"/>
    <x v="35"/>
    <s v="Goiania"/>
    <s v="GO"/>
    <x v="1"/>
    <s v="GO"/>
    <n v="639.53"/>
    <n v="1"/>
    <n v="3.6629999999999998"/>
    <n v="6100231"/>
    <x v="1"/>
    <s v="Goiania"/>
    <s v="Convencional"/>
    <n v="9"/>
    <d v="2018-05-30T00:00:00"/>
    <x v="141"/>
    <x v="0"/>
    <d v="2018-06-08T00:00:00"/>
    <x v="0"/>
    <x v="0"/>
    <n v="1"/>
    <n v="1"/>
  </r>
  <r>
    <d v="2018-05-30T00:00:00"/>
    <n v="10914"/>
    <s v="WHCPQ"/>
    <s v="Campinas"/>
    <s v="SP"/>
    <n v="4033"/>
    <x v="35"/>
    <s v="Goiania"/>
    <s v="GO"/>
    <x v="1"/>
    <s v="GO"/>
    <n v="413.71"/>
    <n v="1"/>
    <n v="0.79200000000000004"/>
    <n v="6100231"/>
    <x v="1"/>
    <s v="Goiania"/>
    <s v="Convencional"/>
    <n v="5"/>
    <d v="2018-05-30T00:00:00"/>
    <x v="139"/>
    <x v="0"/>
    <d v="2018-06-04T00:00:00"/>
    <x v="0"/>
    <x v="0"/>
    <n v="1"/>
    <n v="1"/>
  </r>
  <r>
    <d v="2018-05-31T00:00:00"/>
    <n v="10915"/>
    <s v="WHBH"/>
    <s v="Belo Horizonte"/>
    <s v="MG"/>
    <n v="4013"/>
    <x v="1"/>
    <s v="Blumenau"/>
    <s v="SC"/>
    <x v="0"/>
    <s v="SC"/>
    <n v="723.17"/>
    <n v="1"/>
    <n v="1.101"/>
    <n v="6500948"/>
    <x v="0"/>
    <s v="Porto Alegre"/>
    <s v="Convencional"/>
    <n v="8"/>
    <d v="2018-05-31T00:00:00"/>
    <x v="141"/>
    <x v="0"/>
    <d v="2018-06-08T00:00:00"/>
    <x v="0"/>
    <x v="0"/>
    <n v="1"/>
    <n v="1"/>
  </r>
  <r>
    <d v="2018-06-01T00:00:00"/>
    <n v="10916"/>
    <s v="WHRJ"/>
    <s v="Rio De Janeiro"/>
    <s v="RJ"/>
    <n v="4097"/>
    <x v="85"/>
    <s v="Rio Grande do Sul"/>
    <s v="RS"/>
    <x v="0"/>
    <s v="RS"/>
    <n v="2247.5100000000002"/>
    <n v="4"/>
    <n v="2.74"/>
    <n v="6500948"/>
    <x v="0"/>
    <s v="Porto Alegre"/>
    <s v="Convencional"/>
    <n v="6"/>
    <d v="2018-06-01T00:00:00"/>
    <x v="141"/>
    <x v="0"/>
    <d v="2018-06-07T00:00:00"/>
    <x v="0"/>
    <x v="0"/>
    <n v="1"/>
    <n v="1"/>
  </r>
  <r>
    <d v="2018-06-01T00:00:00"/>
    <n v="10917"/>
    <s v="WHPOA"/>
    <s v="Porto Alegre"/>
    <s v="RS"/>
    <n v="4098"/>
    <x v="86"/>
    <s v="Recife"/>
    <s v="PE"/>
    <x v="3"/>
    <s v="PE"/>
    <n v="2678.17"/>
    <n v="2"/>
    <n v="6.82"/>
    <n v="6900304"/>
    <x v="5"/>
    <s v="Fortaleza"/>
    <s v="Convencional"/>
    <n v="11"/>
    <d v="2018-06-01T00:00:00"/>
    <x v="142"/>
    <x v="0"/>
    <d v="2018-06-12T00:00:00"/>
    <x v="0"/>
    <x v="0"/>
    <n v="1"/>
    <n v="1"/>
  </r>
  <r>
    <d v="2018-06-01T00:00:00"/>
    <n v="10918"/>
    <s v="WHPOA"/>
    <s v="Porto Alegre"/>
    <s v="RS"/>
    <n v="4099"/>
    <x v="87"/>
    <s v="Rio Grande do Sul"/>
    <s v="RS"/>
    <x v="0"/>
    <s v="RS"/>
    <n v="37515.75"/>
    <n v="54"/>
    <n v="183.702"/>
    <n v="6500948"/>
    <x v="0"/>
    <s v="Porto Alegre"/>
    <s v="Convencional"/>
    <n v="2"/>
    <d v="2018-06-01T00:00:00"/>
    <x v="143"/>
    <x v="0"/>
    <d v="2018-06-03T00:00:00"/>
    <x v="1"/>
    <x v="0"/>
    <n v="0"/>
    <n v="1"/>
  </r>
  <r>
    <d v="2018-06-01T00:00:00"/>
    <n v="10919"/>
    <s v="WHBH"/>
    <s v="Belo Horizonte"/>
    <s v="MG"/>
    <n v="4041"/>
    <x v="16"/>
    <s v="Goiania"/>
    <s v="GO"/>
    <x v="1"/>
    <s v="GO"/>
    <n v="2156.33"/>
    <n v="1"/>
    <n v="1.1200000000000001"/>
    <n v="6100231"/>
    <x v="1"/>
    <s v="Goiania"/>
    <s v="Convencional"/>
    <n v="3"/>
    <d v="2018-06-01T00:00:00"/>
    <x v="144"/>
    <x v="0"/>
    <d v="2018-06-04T00:00:00"/>
    <x v="1"/>
    <x v="0"/>
    <n v="0"/>
    <n v="1"/>
  </r>
  <r>
    <d v="2018-06-01T00:00:00"/>
    <n v="10920"/>
    <s v="WHSAO"/>
    <s v="Sao Paulo"/>
    <s v="SP"/>
    <n v="4100"/>
    <x v="88"/>
    <s v="Santos"/>
    <s v="SP"/>
    <x v="2"/>
    <s v="SP"/>
    <n v="13.59"/>
    <n v="1"/>
    <n v="3.3000000000000002E-2"/>
    <n v="6400835"/>
    <x v="3"/>
    <s v="Guarulhos"/>
    <s v="Convencional"/>
    <n v="8"/>
    <d v="2018-06-01T00:00:00"/>
    <x v="143"/>
    <x v="0"/>
    <d v="2018-06-09T00:00:00"/>
    <x v="0"/>
    <x v="0"/>
    <n v="1"/>
    <n v="1"/>
  </r>
  <r>
    <d v="2018-06-01T00:00:00"/>
    <n v="10921"/>
    <s v="WHPOA"/>
    <s v="Porto Alegre"/>
    <s v="RS"/>
    <n v="4101"/>
    <x v="89"/>
    <s v="Santos"/>
    <s v="SP"/>
    <x v="2"/>
    <s v="SP"/>
    <n v="3248.73"/>
    <n v="6"/>
    <n v="18.068999999999999"/>
    <n v="6400835"/>
    <x v="3"/>
    <s v="Guarulhos"/>
    <s v="Convencional"/>
    <n v="8"/>
    <d v="2018-06-01T00:00:00"/>
    <x v="137"/>
    <x v="0"/>
    <d v="2018-06-09T00:00:00"/>
    <x v="0"/>
    <x v="0"/>
    <n v="1"/>
    <n v="1"/>
  </r>
  <r>
    <d v="2018-06-01T00:00:00"/>
    <n v="10922"/>
    <s v="WHSJC"/>
    <s v="Sao Jose dos Campos"/>
    <s v="SP"/>
    <n v="4102"/>
    <x v="90"/>
    <s v="Manaus"/>
    <s v="AM"/>
    <x v="4"/>
    <s v="AM"/>
    <n v="1758.74"/>
    <n v="1"/>
    <n v="1.76"/>
    <n v="6700091"/>
    <x v="6"/>
    <s v="Manaus"/>
    <s v="Convencional"/>
    <n v="1"/>
    <d v="2018-06-01T00:00:00"/>
    <x v="139"/>
    <x v="0"/>
    <d v="2018-06-02T00:00:00"/>
    <x v="1"/>
    <x v="0"/>
    <n v="0"/>
    <n v="1"/>
  </r>
  <r>
    <d v="2018-06-02T00:00:00"/>
    <n v="10923"/>
    <s v="WHVIT"/>
    <s v="Vitoria"/>
    <s v="ES"/>
    <n v="4022"/>
    <x v="19"/>
    <s v="Maringa"/>
    <s v="PR"/>
    <x v="0"/>
    <s v="PR"/>
    <n v="1577.68"/>
    <n v="2"/>
    <n v="7.04"/>
    <n v="6500948"/>
    <x v="0"/>
    <s v="Porto Alegre"/>
    <s v="Convencional"/>
    <n v="12"/>
    <d v="2018-06-02T00:00:00"/>
    <x v="144"/>
    <x v="0"/>
    <d v="2018-06-14T00:00:00"/>
    <x v="0"/>
    <x v="0"/>
    <n v="1"/>
    <n v="1"/>
  </r>
  <r>
    <d v="2018-06-02T00:00:00"/>
    <n v="10924"/>
    <s v="WHPOA"/>
    <s v="Porto Alegre"/>
    <s v="RS"/>
    <n v="4022"/>
    <x v="19"/>
    <s v="Maringa"/>
    <s v="PR"/>
    <x v="0"/>
    <s v="PR"/>
    <n v="23135.11"/>
    <n v="35"/>
    <n v="93.183000000000007"/>
    <n v="6500948"/>
    <x v="0"/>
    <s v="Porto Alegre"/>
    <s v="Convencional"/>
    <n v="5"/>
    <d v="2018-06-02T00:00:00"/>
    <x v="139"/>
    <x v="0"/>
    <d v="2018-06-07T00:00:00"/>
    <x v="0"/>
    <x v="0"/>
    <n v="1"/>
    <n v="1"/>
  </r>
  <r>
    <d v="2018-06-02T00:00:00"/>
    <n v="10925"/>
    <s v="WHBH"/>
    <s v="Belo Horizonte"/>
    <s v="MG"/>
    <n v="4016"/>
    <x v="6"/>
    <s v="Pocos De Caldas"/>
    <s v="MG"/>
    <x v="2"/>
    <s v="MG"/>
    <n v="1100.6199999999999"/>
    <n v="1"/>
    <n v="1.1200000000000001"/>
    <n v="6600879"/>
    <x v="2"/>
    <s v="Belo Horizonte"/>
    <s v="Convencional"/>
    <n v="7"/>
    <d v="2018-06-02T00:00:00"/>
    <x v="138"/>
    <x v="0"/>
    <d v="2018-06-09T00:00:00"/>
    <x v="0"/>
    <x v="0"/>
    <n v="1"/>
    <n v="1"/>
  </r>
  <r>
    <d v="2018-06-02T00:00:00"/>
    <n v="10926"/>
    <s v="WHSAO"/>
    <s v="Sao Paulo"/>
    <s v="SP"/>
    <n v="4016"/>
    <x v="6"/>
    <s v="Pocos De Caldas"/>
    <s v="MG"/>
    <x v="2"/>
    <s v="MG"/>
    <n v="1022.51"/>
    <n v="1"/>
    <n v="15.18"/>
    <n v="6600879"/>
    <x v="2"/>
    <s v="Belo Horizonte"/>
    <s v="Convencional"/>
    <n v="1"/>
    <d v="2018-06-02T00:00:00"/>
    <x v="142"/>
    <x v="0"/>
    <d v="2018-06-03T00:00:00"/>
    <x v="1"/>
    <x v="0"/>
    <n v="0"/>
    <n v="1"/>
  </r>
  <r>
    <d v="2018-06-02T00:00:00"/>
    <n v="10927"/>
    <s v="WHPOA"/>
    <s v="Porto Alegre"/>
    <s v="RS"/>
    <n v="4016"/>
    <x v="6"/>
    <s v="Pocos De Caldas"/>
    <s v="MG"/>
    <x v="2"/>
    <s v="MG"/>
    <n v="709.1"/>
    <n v="1"/>
    <n v="0.38600000000000001"/>
    <n v="6600879"/>
    <x v="2"/>
    <s v="Belo Horizonte"/>
    <s v="Convencional"/>
    <n v="11"/>
    <d v="2018-06-02T00:00:00"/>
    <x v="139"/>
    <x v="0"/>
    <d v="2018-06-13T00:00:00"/>
    <x v="0"/>
    <x v="0"/>
    <n v="1"/>
    <n v="1"/>
  </r>
  <r>
    <d v="2018-06-02T00:00:00"/>
    <n v="10928"/>
    <s v="WHPOA"/>
    <s v="Porto Alegre"/>
    <s v="RS"/>
    <n v="4016"/>
    <x v="6"/>
    <s v="Pocos De Caldas"/>
    <s v="MG"/>
    <x v="2"/>
    <s v="MG"/>
    <n v="793.17"/>
    <n v="2"/>
    <n v="26.84"/>
    <n v="6600879"/>
    <x v="2"/>
    <s v="Belo Horizonte"/>
    <s v="Convencional"/>
    <n v="7"/>
    <d v="2018-06-02T00:00:00"/>
    <x v="141"/>
    <x v="0"/>
    <d v="2018-06-09T00:00:00"/>
    <x v="0"/>
    <x v="0"/>
    <n v="1"/>
    <n v="1"/>
  </r>
  <r>
    <d v="2018-06-02T00:00:00"/>
    <n v="10929"/>
    <s v="WHPOA"/>
    <s v="Porto Alegre"/>
    <s v="RS"/>
    <n v="4016"/>
    <x v="6"/>
    <s v="Pocos De Caldas"/>
    <s v="MG"/>
    <x v="2"/>
    <s v="MG"/>
    <n v="3206.18"/>
    <n v="3"/>
    <n v="7.4820000000000002"/>
    <n v="6600879"/>
    <x v="2"/>
    <s v="Belo Horizonte"/>
    <s v="Convencional"/>
    <n v="12"/>
    <d v="2018-06-02T00:00:00"/>
    <x v="142"/>
    <x v="0"/>
    <d v="2018-06-14T00:00:00"/>
    <x v="0"/>
    <x v="0"/>
    <n v="1"/>
    <n v="1"/>
  </r>
  <r>
    <d v="2018-06-05T00:00:00"/>
    <n v="10930"/>
    <s v="WHSAO"/>
    <s v="Sao Paulo"/>
    <s v="SP"/>
    <n v="4064"/>
    <x v="53"/>
    <s v="Presidente Prudente"/>
    <s v="SP"/>
    <x v="2"/>
    <s v="SP"/>
    <n v="4700.34"/>
    <n v="1"/>
    <n v="17.82"/>
    <n v="6400835"/>
    <x v="3"/>
    <s v="Guarulhos"/>
    <s v="Convencional"/>
    <n v="3"/>
    <d v="2018-06-05T00:00:00"/>
    <x v="145"/>
    <x v="0"/>
    <d v="2018-06-08T00:00:00"/>
    <x v="1"/>
    <x v="0"/>
    <n v="0"/>
    <n v="1"/>
  </r>
  <r>
    <d v="2018-06-05T00:00:00"/>
    <n v="10931"/>
    <s v="WHSJC"/>
    <s v="Sao Jose dos Campos"/>
    <s v="SP"/>
    <n v="4064"/>
    <x v="53"/>
    <s v="Presidente Prudente"/>
    <s v="SP"/>
    <x v="2"/>
    <s v="SP"/>
    <n v="1016.61"/>
    <n v="1"/>
    <n v="15.18"/>
    <n v="6400835"/>
    <x v="3"/>
    <s v="Guarulhos"/>
    <s v="Convencional"/>
    <n v="9"/>
    <d v="2018-06-05T00:00:00"/>
    <x v="146"/>
    <x v="0"/>
    <d v="2018-06-14T00:00:00"/>
    <x v="0"/>
    <x v="0"/>
    <n v="1"/>
    <n v="1"/>
  </r>
  <r>
    <d v="2018-06-05T00:00:00"/>
    <n v="10932"/>
    <s v="WHVIT"/>
    <s v="Vitoria"/>
    <s v="ES"/>
    <n v="4064"/>
    <x v="53"/>
    <s v="Presidente Prudente"/>
    <s v="SP"/>
    <x v="2"/>
    <s v="SP"/>
    <n v="680.15"/>
    <n v="1"/>
    <n v="0.77600000000000002"/>
    <n v="6400835"/>
    <x v="3"/>
    <s v="Guarulhos"/>
    <s v="Convencional"/>
    <n v="6"/>
    <d v="2018-06-05T00:00:00"/>
    <x v="147"/>
    <x v="0"/>
    <d v="2018-06-11T00:00:00"/>
    <x v="1"/>
    <x v="0"/>
    <n v="0"/>
    <n v="1"/>
  </r>
  <r>
    <d v="2018-06-05T00:00:00"/>
    <n v="10933"/>
    <s v="WHBH"/>
    <s v="Belo Horizonte"/>
    <s v="MG"/>
    <n v="4064"/>
    <x v="53"/>
    <s v="Presidente Prudente"/>
    <s v="SP"/>
    <x v="2"/>
    <s v="SP"/>
    <n v="2803.28"/>
    <n v="6"/>
    <n v="29.245999999999999"/>
    <n v="6400835"/>
    <x v="3"/>
    <s v="Guarulhos"/>
    <s v="Convencional"/>
    <n v="10"/>
    <d v="2018-06-05T00:00:00"/>
    <x v="145"/>
    <x v="0"/>
    <d v="2018-06-15T00:00:00"/>
    <x v="0"/>
    <x v="0"/>
    <n v="1"/>
    <n v="1"/>
  </r>
  <r>
    <d v="2018-06-08T00:00:00"/>
    <n v="10934"/>
    <s v="WHRJ"/>
    <s v="Rio De Janeiro"/>
    <s v="RJ"/>
    <n v="4014"/>
    <x v="3"/>
    <s v="Ipatinga"/>
    <s v="MG"/>
    <x v="2"/>
    <s v="MG"/>
    <n v="873.36"/>
    <n v="1"/>
    <n v="14.177"/>
    <n v="6600879"/>
    <x v="2"/>
    <s v="Belo Horizonte"/>
    <s v="Convencional"/>
    <n v="9"/>
    <d v="2018-06-08T00:00:00"/>
    <x v="142"/>
    <x v="0"/>
    <d v="2018-06-17T00:00:00"/>
    <x v="0"/>
    <x v="0"/>
    <n v="1"/>
    <n v="1"/>
  </r>
  <r>
    <d v="2018-06-08T00:00:00"/>
    <n v="10935"/>
    <s v="WHSAO"/>
    <s v="Sao Paulo"/>
    <s v="SP"/>
    <n v="4014"/>
    <x v="3"/>
    <s v="Ipatinga"/>
    <s v="MG"/>
    <x v="2"/>
    <s v="MG"/>
    <n v="1375.79"/>
    <n v="3"/>
    <n v="8.14"/>
    <n v="6600879"/>
    <x v="2"/>
    <s v="Belo Horizonte"/>
    <s v="Convencional"/>
    <n v="8"/>
    <d v="2018-06-08T00:00:00"/>
    <x v="148"/>
    <x v="0"/>
    <d v="2018-06-16T00:00:00"/>
    <x v="0"/>
    <x v="0"/>
    <n v="1"/>
    <n v="1"/>
  </r>
  <r>
    <d v="2018-06-08T00:00:00"/>
    <n v="10936"/>
    <s v="WHRJ"/>
    <s v="Rio De Janeiro"/>
    <s v="RJ"/>
    <n v="4014"/>
    <x v="3"/>
    <s v="Ipatinga"/>
    <s v="MG"/>
    <x v="2"/>
    <s v="MG"/>
    <n v="267.52"/>
    <n v="3"/>
    <n v="2.532"/>
    <n v="6600879"/>
    <x v="2"/>
    <s v="Belo Horizonte"/>
    <s v="Convencional"/>
    <n v="9"/>
    <d v="2018-06-08T00:00:00"/>
    <x v="147"/>
    <x v="1"/>
    <d v="2018-06-17T00:00:00"/>
    <x v="0"/>
    <x v="1"/>
    <n v="0"/>
    <n v="1"/>
  </r>
  <r>
    <d v="2018-06-09T00:00:00"/>
    <n v="10937"/>
    <s v="WHSJC"/>
    <s v="Sao Jose dos Campos"/>
    <s v="SP"/>
    <n v="4013"/>
    <x v="1"/>
    <s v="Blumenau"/>
    <s v="SC"/>
    <x v="0"/>
    <s v="SC"/>
    <n v="928.46"/>
    <n v="1"/>
    <n v="1.1200000000000001"/>
    <n v="6500948"/>
    <x v="0"/>
    <s v="Porto Alegre"/>
    <s v="Convencional"/>
    <n v="6"/>
    <d v="2018-06-09T00:00:00"/>
    <x v="147"/>
    <x v="0"/>
    <d v="2018-06-15T00:00:00"/>
    <x v="0"/>
    <x v="0"/>
    <n v="1"/>
    <n v="1"/>
  </r>
  <r>
    <d v="2018-06-09T00:00:00"/>
    <n v="10938"/>
    <s v="WHPOA"/>
    <s v="Porto Alegre"/>
    <s v="RS"/>
    <n v="4027"/>
    <x v="24"/>
    <s v="Novo Hamburgo"/>
    <s v="RS"/>
    <x v="0"/>
    <s v="RS"/>
    <n v="1217.21"/>
    <n v="2"/>
    <n v="7.9169999999999998"/>
    <n v="6500948"/>
    <x v="0"/>
    <s v="Porto Alegre"/>
    <s v="Convencional"/>
    <n v="4"/>
    <d v="2018-06-09T00:00:00"/>
    <x v="149"/>
    <x v="1"/>
    <d v="2018-06-13T00:00:00"/>
    <x v="1"/>
    <x v="1"/>
    <n v="0"/>
    <n v="1"/>
  </r>
  <r>
    <d v="2018-06-09T00:00:00"/>
    <n v="10939"/>
    <s v="WHSJC"/>
    <s v="Sao Jose dos Campos"/>
    <s v="SP"/>
    <n v="4027"/>
    <x v="24"/>
    <s v="Novo Hamburgo"/>
    <s v="RS"/>
    <x v="0"/>
    <s v="RS"/>
    <n v="69.25"/>
    <n v="1"/>
    <n v="1.1200000000000001"/>
    <n v="6500948"/>
    <x v="0"/>
    <s v="Porto Alegre"/>
    <s v="Convencional"/>
    <n v="3"/>
    <d v="2018-06-09T00:00:00"/>
    <x v="147"/>
    <x v="0"/>
    <d v="2018-06-12T00:00:00"/>
    <x v="1"/>
    <x v="0"/>
    <n v="0"/>
    <n v="1"/>
  </r>
  <r>
    <d v="2018-06-09T00:00:00"/>
    <n v="10940"/>
    <s v="WHSJC"/>
    <s v="Sao Jose dos Campos"/>
    <s v="SP"/>
    <n v="4062"/>
    <x v="27"/>
    <s v="Taguatinga"/>
    <s v="DF"/>
    <x v="1"/>
    <s v="DF"/>
    <n v="91.4"/>
    <n v="1"/>
    <n v="0.24"/>
    <n v="6100231"/>
    <x v="1"/>
    <s v="Goiania"/>
    <s v="Convencional"/>
    <n v="9"/>
    <d v="2018-06-09T00:00:00"/>
    <x v="150"/>
    <x v="0"/>
    <d v="2018-06-18T00:00:00"/>
    <x v="1"/>
    <x v="0"/>
    <n v="0"/>
    <n v="1"/>
  </r>
  <r>
    <d v="2018-06-09T00:00:00"/>
    <n v="10941"/>
    <s v="WHCPQ"/>
    <s v="Campinas"/>
    <s v="SP"/>
    <n v="4032"/>
    <x v="34"/>
    <s v="Goiania"/>
    <s v="GO"/>
    <x v="1"/>
    <s v="GO"/>
    <n v="253.02"/>
    <n v="4"/>
    <n v="8.7840000000000007"/>
    <n v="6100231"/>
    <x v="1"/>
    <s v="Goiania"/>
    <s v="Convencional"/>
    <n v="1"/>
    <d v="2018-06-09T00:00:00"/>
    <x v="151"/>
    <x v="0"/>
    <d v="2018-06-10T00:00:00"/>
    <x v="1"/>
    <x v="0"/>
    <n v="0"/>
    <n v="1"/>
  </r>
  <r>
    <d v="2018-06-09T00:00:00"/>
    <n v="10942"/>
    <s v="WHPOA"/>
    <s v="Porto Alegre"/>
    <s v="RS"/>
    <n v="4055"/>
    <x v="45"/>
    <s v="Brasilia"/>
    <s v="DF"/>
    <x v="1"/>
    <s v="DF"/>
    <n v="1230.1500000000001"/>
    <n v="1"/>
    <n v="1.1200000000000001"/>
    <n v="6100231"/>
    <x v="1"/>
    <s v="Goiania"/>
    <s v="Convencional"/>
    <n v="3"/>
    <d v="2018-06-09T00:00:00"/>
    <x v="147"/>
    <x v="0"/>
    <d v="2018-06-12T00:00:00"/>
    <x v="1"/>
    <x v="0"/>
    <n v="0"/>
    <n v="1"/>
  </r>
  <r>
    <d v="2018-06-09T00:00:00"/>
    <n v="10943"/>
    <s v="WHCPQ"/>
    <s v="Campinas"/>
    <s v="SP"/>
    <n v="4030"/>
    <x v="30"/>
    <s v="Belo Horizonte"/>
    <s v="MG"/>
    <x v="2"/>
    <s v="MG"/>
    <n v="1636.3"/>
    <n v="1"/>
    <n v="11"/>
    <n v="6600879"/>
    <x v="2"/>
    <s v="Belo Horizonte"/>
    <s v="Convencional"/>
    <n v="6"/>
    <d v="2018-06-09T00:00:00"/>
    <x v="148"/>
    <x v="1"/>
    <d v="2018-06-15T00:00:00"/>
    <x v="1"/>
    <x v="1"/>
    <n v="0"/>
    <n v="1"/>
  </r>
  <r>
    <d v="2018-06-09T00:00:00"/>
    <n v="10944"/>
    <s v="WHRJ"/>
    <s v="Rio De Janeiro"/>
    <s v="RJ"/>
    <n v="4030"/>
    <x v="30"/>
    <s v="Belo Horizonte"/>
    <s v="MG"/>
    <x v="2"/>
    <s v="MG"/>
    <n v="1638.39"/>
    <n v="2"/>
    <n v="0.61599999999999999"/>
    <n v="6600879"/>
    <x v="2"/>
    <s v="Belo Horizonte"/>
    <s v="Convencional"/>
    <n v="2"/>
    <d v="2018-06-09T00:00:00"/>
    <x v="149"/>
    <x v="0"/>
    <d v="2018-06-11T00:00:00"/>
    <x v="1"/>
    <x v="0"/>
    <n v="0"/>
    <n v="1"/>
  </r>
  <r>
    <d v="2018-06-09T00:00:00"/>
    <n v="10945"/>
    <s v="WHBH"/>
    <s v="Belo Horizonte"/>
    <s v="MG"/>
    <n v="4040"/>
    <x v="42"/>
    <s v="Brasilia"/>
    <s v="DF"/>
    <x v="1"/>
    <s v="DF"/>
    <n v="651.69000000000005"/>
    <n v="2"/>
    <n v="11.304"/>
    <n v="6100231"/>
    <x v="1"/>
    <s v="Goiania"/>
    <s v="Urgente"/>
    <n v="6"/>
    <d v="2018-06-09T00:00:00"/>
    <x v="146"/>
    <x v="1"/>
    <d v="2018-06-15T00:00:00"/>
    <x v="0"/>
    <x v="1"/>
    <n v="0"/>
    <n v="1"/>
  </r>
  <r>
    <d v="2018-06-09T00:00:00"/>
    <n v="10946"/>
    <s v="WHRJ"/>
    <s v="Rio De Janeiro"/>
    <s v="RJ"/>
    <n v="4062"/>
    <x v="27"/>
    <s v="Taguatinga"/>
    <s v="DF"/>
    <x v="1"/>
    <s v="DF"/>
    <n v="1072.4000000000001"/>
    <n v="2"/>
    <n v="4.048"/>
    <n v="6100231"/>
    <x v="1"/>
    <s v="Goiania"/>
    <s v="Convencional"/>
    <n v="11"/>
    <d v="2018-06-09T00:00:00"/>
    <x v="152"/>
    <x v="0"/>
    <d v="2018-06-20T00:00:00"/>
    <x v="0"/>
    <x v="0"/>
    <n v="1"/>
    <n v="1"/>
  </r>
  <r>
    <d v="2018-06-09T00:00:00"/>
    <n v="10947"/>
    <s v="WHSJC"/>
    <s v="Sao Jose dos Campos"/>
    <s v="SP"/>
    <n v="4055"/>
    <x v="45"/>
    <s v="Brasilia"/>
    <s v="DF"/>
    <x v="1"/>
    <s v="DF"/>
    <n v="1972.74"/>
    <n v="2"/>
    <n v="6.9969999999999999"/>
    <n v="6100231"/>
    <x v="1"/>
    <s v="Goiania"/>
    <s v="Convencional"/>
    <n v="4"/>
    <d v="2018-06-09T00:00:00"/>
    <x v="153"/>
    <x v="0"/>
    <d v="2018-06-13T00:00:00"/>
    <x v="0"/>
    <x v="0"/>
    <n v="1"/>
    <n v="1"/>
  </r>
  <r>
    <d v="2018-06-09T00:00:00"/>
    <n v="10948"/>
    <s v="WHPOA"/>
    <s v="Porto Alegre"/>
    <s v="RS"/>
    <n v="4040"/>
    <x v="42"/>
    <s v="Brasilia"/>
    <s v="DF"/>
    <x v="1"/>
    <s v="DF"/>
    <n v="1268.7"/>
    <n v="2"/>
    <n v="9.3520000000000003"/>
    <n v="6100231"/>
    <x v="1"/>
    <s v="Goiania"/>
    <s v="Convencional"/>
    <n v="7"/>
    <d v="2018-06-09T00:00:00"/>
    <x v="153"/>
    <x v="0"/>
    <d v="2018-06-16T00:00:00"/>
    <x v="0"/>
    <x v="0"/>
    <n v="1"/>
    <n v="1"/>
  </r>
  <r>
    <d v="2018-06-13T00:00:00"/>
    <n v="10949"/>
    <s v="WHPOA"/>
    <s v="Porto Alegre"/>
    <s v="RS"/>
    <n v="4103"/>
    <x v="91"/>
    <s v="Rio Grande do Sul"/>
    <s v="RS"/>
    <x v="0"/>
    <s v="RS"/>
    <n v="100.23"/>
    <n v="2"/>
    <n v="9.3209999999999997"/>
    <n v="6500948"/>
    <x v="0"/>
    <s v="Porto Alegre"/>
    <s v="Convencional"/>
    <n v="5"/>
    <d v="2018-06-13T00:00:00"/>
    <x v="148"/>
    <x v="0"/>
    <d v="2018-06-18T00:00:00"/>
    <x v="0"/>
    <x v="0"/>
    <n v="1"/>
    <n v="1"/>
  </r>
  <r>
    <d v="2018-06-13T00:00:00"/>
    <n v="10950"/>
    <s v="WHRJ"/>
    <s v="Rio De Janeiro"/>
    <s v="RJ"/>
    <n v="4056"/>
    <x v="44"/>
    <s v="Goiania"/>
    <s v="GO"/>
    <x v="1"/>
    <s v="GO"/>
    <n v="955.24"/>
    <n v="1"/>
    <n v="1.1200000000000001"/>
    <n v="6100231"/>
    <x v="1"/>
    <s v="Goiania"/>
    <s v="Convencional"/>
    <n v="4"/>
    <d v="2018-06-13T00:00:00"/>
    <x v="154"/>
    <x v="0"/>
    <d v="2018-06-17T00:00:00"/>
    <x v="1"/>
    <x v="0"/>
    <n v="0"/>
    <n v="1"/>
  </r>
  <r>
    <d v="2018-06-13T00:00:00"/>
    <n v="10951"/>
    <s v="WHCPQ"/>
    <s v="Campinas"/>
    <s v="SP"/>
    <n v="4013"/>
    <x v="1"/>
    <s v="Blumenau"/>
    <s v="SC"/>
    <x v="0"/>
    <s v="SC"/>
    <n v="13.69"/>
    <n v="1"/>
    <n v="1.1200000000000001"/>
    <n v="6500948"/>
    <x v="0"/>
    <s v="Porto Alegre"/>
    <s v="Convencional"/>
    <n v="7"/>
    <d v="2018-06-13T00:00:00"/>
    <x v="149"/>
    <x v="0"/>
    <d v="2018-06-20T00:00:00"/>
    <x v="0"/>
    <x v="0"/>
    <n v="1"/>
    <n v="1"/>
  </r>
  <r>
    <d v="2018-06-13T00:00:00"/>
    <n v="10952"/>
    <s v="WHRJ"/>
    <s v="Rio De Janeiro"/>
    <s v="RJ"/>
    <n v="4013"/>
    <x v="1"/>
    <s v="Blumenau"/>
    <s v="SC"/>
    <x v="0"/>
    <s v="SC"/>
    <n v="6309.71"/>
    <n v="10"/>
    <n v="35.621000000000002"/>
    <n v="6500948"/>
    <x v="0"/>
    <s v="Porto Alegre"/>
    <s v="Convencional"/>
    <n v="6"/>
    <d v="2018-06-13T00:00:00"/>
    <x v="151"/>
    <x v="0"/>
    <d v="2018-06-19T00:00:00"/>
    <x v="0"/>
    <x v="0"/>
    <n v="1"/>
    <n v="1"/>
  </r>
  <r>
    <d v="2018-06-13T00:00:00"/>
    <n v="10953"/>
    <s v="WHBH"/>
    <s v="Belo Horizonte"/>
    <s v="MG"/>
    <n v="4013"/>
    <x v="1"/>
    <s v="Blumenau"/>
    <s v="SC"/>
    <x v="0"/>
    <s v="SC"/>
    <n v="765.22"/>
    <n v="1"/>
    <n v="1.1200000000000001"/>
    <n v="6500948"/>
    <x v="0"/>
    <s v="Porto Alegre"/>
    <s v="Convencional"/>
    <n v="9"/>
    <d v="2018-06-13T00:00:00"/>
    <x v="151"/>
    <x v="0"/>
    <d v="2018-06-22T00:00:00"/>
    <x v="0"/>
    <x v="0"/>
    <n v="1"/>
    <n v="1"/>
  </r>
  <r>
    <d v="2018-06-13T00:00:00"/>
    <n v="10954"/>
    <s v="WHPOA"/>
    <s v="Porto Alegre"/>
    <s v="RS"/>
    <n v="4013"/>
    <x v="1"/>
    <s v="Blumenau"/>
    <s v="SC"/>
    <x v="0"/>
    <s v="SC"/>
    <n v="221.01"/>
    <n v="1"/>
    <n v="0.16800000000000001"/>
    <n v="6500948"/>
    <x v="0"/>
    <s v="Porto Alegre"/>
    <s v="Convencional"/>
    <n v="2"/>
    <d v="2018-06-13T00:00:00"/>
    <x v="152"/>
    <x v="0"/>
    <d v="2018-06-15T00:00:00"/>
    <x v="1"/>
    <x v="0"/>
    <n v="0"/>
    <n v="1"/>
  </r>
  <r>
    <d v="2018-06-13T00:00:00"/>
    <n v="10955"/>
    <s v="WHRJ"/>
    <s v="Rio De Janeiro"/>
    <s v="RJ"/>
    <n v="4056"/>
    <x v="44"/>
    <s v="Goiania"/>
    <s v="GO"/>
    <x v="1"/>
    <s v="GO"/>
    <n v="2864.71"/>
    <n v="3"/>
    <n v="14.444000000000001"/>
    <n v="6100231"/>
    <x v="1"/>
    <s v="Goiania"/>
    <s v="Convencional"/>
    <n v="9"/>
    <d v="2018-06-13T00:00:00"/>
    <x v="155"/>
    <x v="0"/>
    <d v="2018-06-22T00:00:00"/>
    <x v="0"/>
    <x v="0"/>
    <n v="1"/>
    <n v="1"/>
  </r>
  <r>
    <d v="2018-06-13T00:00:00"/>
    <n v="10956"/>
    <s v="WHPOA"/>
    <s v="Porto Alegre"/>
    <s v="RS"/>
    <n v="4056"/>
    <x v="44"/>
    <s v="Goiania"/>
    <s v="GO"/>
    <x v="1"/>
    <s v="GO"/>
    <n v="58.86"/>
    <n v="1"/>
    <n v="1.1200000000000001"/>
    <n v="6100231"/>
    <x v="1"/>
    <s v="Goiania"/>
    <s v="Convencional"/>
    <n v="2"/>
    <d v="2018-06-13T00:00:00"/>
    <x v="156"/>
    <x v="0"/>
    <d v="2018-06-15T00:00:00"/>
    <x v="1"/>
    <x v="0"/>
    <n v="0"/>
    <n v="1"/>
  </r>
  <r>
    <d v="2018-06-13T00:00:00"/>
    <n v="10957"/>
    <s v="WHRJ"/>
    <s v="Rio De Janeiro"/>
    <s v="RJ"/>
    <n v="4013"/>
    <x v="1"/>
    <s v="Blumenau"/>
    <s v="SC"/>
    <x v="0"/>
    <s v="SC"/>
    <n v="1186.99"/>
    <n v="1"/>
    <n v="3.19"/>
    <n v="6500948"/>
    <x v="0"/>
    <s v="Porto Alegre"/>
    <s v="Convencional"/>
    <n v="1"/>
    <d v="2018-06-13T00:00:00"/>
    <x v="156"/>
    <x v="0"/>
    <d v="2018-06-14T00:00:00"/>
    <x v="1"/>
    <x v="0"/>
    <n v="0"/>
    <n v="1"/>
  </r>
  <r>
    <d v="2018-06-13T00:00:00"/>
    <n v="10958"/>
    <s v="WHVIT"/>
    <s v="Vitoria"/>
    <s v="ES"/>
    <n v="4013"/>
    <x v="1"/>
    <s v="Blumenau"/>
    <s v="SC"/>
    <x v="0"/>
    <s v="SC"/>
    <n v="3598.73"/>
    <n v="7"/>
    <n v="27.385999999999999"/>
    <n v="6500948"/>
    <x v="0"/>
    <s v="Porto Alegre"/>
    <s v="Convencional"/>
    <n v="4"/>
    <d v="2018-06-13T00:00:00"/>
    <x v="148"/>
    <x v="0"/>
    <d v="2018-06-17T00:00:00"/>
    <x v="0"/>
    <x v="0"/>
    <n v="1"/>
    <n v="1"/>
  </r>
  <r>
    <d v="2018-06-13T00:00:00"/>
    <n v="10959"/>
    <s v="WHBH"/>
    <s v="Belo Horizonte"/>
    <s v="MG"/>
    <n v="4013"/>
    <x v="1"/>
    <s v="Blumenau"/>
    <s v="SC"/>
    <x v="0"/>
    <s v="SC"/>
    <n v="2962.3"/>
    <n v="9"/>
    <n v="115.5"/>
    <n v="6500948"/>
    <x v="0"/>
    <s v="Porto Alegre"/>
    <s v="Convencional"/>
    <n v="3"/>
    <d v="2018-06-13T00:00:00"/>
    <x v="151"/>
    <x v="0"/>
    <d v="2018-06-16T00:00:00"/>
    <x v="1"/>
    <x v="0"/>
    <n v="0"/>
    <n v="1"/>
  </r>
  <r>
    <d v="2018-06-13T00:00:00"/>
    <n v="10960"/>
    <s v="WHSJC"/>
    <s v="Sao Jose dos Campos"/>
    <s v="SP"/>
    <n v="4013"/>
    <x v="1"/>
    <s v="Blumenau"/>
    <s v="SC"/>
    <x v="0"/>
    <s v="SC"/>
    <n v="3967.27"/>
    <n v="5"/>
    <n v="26.045000000000002"/>
    <n v="6500948"/>
    <x v="0"/>
    <s v="Porto Alegre"/>
    <s v="Convencional"/>
    <n v="2"/>
    <d v="2018-06-13T00:00:00"/>
    <x v="154"/>
    <x v="0"/>
    <d v="2018-06-15T00:00:00"/>
    <x v="1"/>
    <x v="0"/>
    <n v="0"/>
    <n v="1"/>
  </r>
  <r>
    <d v="2018-06-13T00:00:00"/>
    <n v="10961"/>
    <s v="WHSAO"/>
    <s v="Sao Paulo"/>
    <s v="SP"/>
    <n v="4013"/>
    <x v="1"/>
    <s v="Blumenau"/>
    <s v="SC"/>
    <x v="0"/>
    <s v="SC"/>
    <n v="509.09"/>
    <n v="1"/>
    <n v="1.544"/>
    <n v="6500948"/>
    <x v="0"/>
    <s v="Porto Alegre"/>
    <s v="Convencional"/>
    <n v="9"/>
    <d v="2018-06-13T00:00:00"/>
    <x v="154"/>
    <x v="0"/>
    <d v="2018-06-22T00:00:00"/>
    <x v="0"/>
    <x v="0"/>
    <n v="1"/>
    <n v="1"/>
  </r>
  <r>
    <d v="2018-06-13T00:00:00"/>
    <n v="10962"/>
    <s v="WHPOA"/>
    <s v="Porto Alegre"/>
    <s v="RS"/>
    <n v="4013"/>
    <x v="1"/>
    <s v="Blumenau"/>
    <s v="SC"/>
    <x v="0"/>
    <s v="SC"/>
    <n v="1698.96"/>
    <n v="4"/>
    <n v="8.0120000000000005"/>
    <n v="6500948"/>
    <x v="0"/>
    <s v="Porto Alegre"/>
    <s v="Convencional"/>
    <n v="12"/>
    <d v="2018-06-13T00:00:00"/>
    <x v="145"/>
    <x v="0"/>
    <d v="2018-06-25T00:00:00"/>
    <x v="0"/>
    <x v="0"/>
    <n v="1"/>
    <n v="1"/>
  </r>
  <r>
    <d v="2018-06-13T00:00:00"/>
    <n v="10963"/>
    <s v="WHRJ"/>
    <s v="Rio De Janeiro"/>
    <s v="RJ"/>
    <n v="4013"/>
    <x v="1"/>
    <s v="Blumenau"/>
    <s v="SC"/>
    <x v="0"/>
    <s v="SC"/>
    <n v="15077.5"/>
    <n v="10"/>
    <n v="93.155000000000001"/>
    <n v="6500948"/>
    <x v="0"/>
    <s v="Porto Alegre"/>
    <s v="Convencional"/>
    <n v="10"/>
    <d v="2018-06-13T00:00:00"/>
    <x v="145"/>
    <x v="0"/>
    <d v="2018-06-23T00:00:00"/>
    <x v="0"/>
    <x v="0"/>
    <n v="1"/>
    <n v="1"/>
  </r>
  <r>
    <d v="2018-06-13T00:00:00"/>
    <n v="10964"/>
    <s v="WHCPQ"/>
    <s v="Campinas"/>
    <s v="SP"/>
    <n v="4013"/>
    <x v="1"/>
    <s v="Blumenau"/>
    <s v="SC"/>
    <x v="0"/>
    <s v="SC"/>
    <n v="761.28"/>
    <n v="1"/>
    <n v="1.1200000000000001"/>
    <n v="6500948"/>
    <x v="0"/>
    <s v="Porto Alegre"/>
    <s v="Convencional"/>
    <n v="1"/>
    <d v="2018-06-13T00:00:00"/>
    <x v="145"/>
    <x v="0"/>
    <d v="2018-06-14T00:00:00"/>
    <x v="0"/>
    <x v="0"/>
    <n v="1"/>
    <n v="1"/>
  </r>
  <r>
    <d v="2018-06-13T00:00:00"/>
    <n v="10965"/>
    <s v="WHRJ"/>
    <s v="Rio De Janeiro"/>
    <s v="RJ"/>
    <n v="4013"/>
    <x v="1"/>
    <s v="Blumenau"/>
    <s v="SC"/>
    <x v="0"/>
    <s v="SC"/>
    <n v="2747.94"/>
    <n v="4"/>
    <n v="45.1"/>
    <n v="6500948"/>
    <x v="0"/>
    <s v="Porto Alegre"/>
    <s v="Convencional"/>
    <n v="4"/>
    <d v="2018-06-13T00:00:00"/>
    <x v="156"/>
    <x v="0"/>
    <d v="2018-06-17T00:00:00"/>
    <x v="1"/>
    <x v="0"/>
    <n v="0"/>
    <n v="1"/>
  </r>
  <r>
    <d v="2018-06-13T00:00:00"/>
    <n v="10966"/>
    <s v="WHVIT"/>
    <s v="Vitoria"/>
    <s v="ES"/>
    <n v="4013"/>
    <x v="1"/>
    <s v="Blumenau"/>
    <s v="SC"/>
    <x v="0"/>
    <s v="SC"/>
    <n v="351.85"/>
    <n v="1"/>
    <n v="10.119999999999999"/>
    <n v="6500948"/>
    <x v="0"/>
    <s v="Porto Alegre"/>
    <s v="Convencional"/>
    <n v="6"/>
    <d v="2018-06-13T00:00:00"/>
    <x v="150"/>
    <x v="0"/>
    <d v="2018-06-19T00:00:00"/>
    <x v="0"/>
    <x v="0"/>
    <n v="1"/>
    <n v="1"/>
  </r>
  <r>
    <d v="2018-06-13T00:00:00"/>
    <n v="10967"/>
    <s v="WHCPQ"/>
    <s v="Campinas"/>
    <s v="SP"/>
    <n v="4013"/>
    <x v="1"/>
    <s v="Blumenau"/>
    <s v="SC"/>
    <x v="0"/>
    <s v="SC"/>
    <n v="293.37"/>
    <n v="1"/>
    <n v="0.22"/>
    <n v="6500948"/>
    <x v="0"/>
    <s v="Porto Alegre"/>
    <s v="Convencional"/>
    <n v="5"/>
    <d v="2018-06-13T00:00:00"/>
    <x v="145"/>
    <x v="0"/>
    <d v="2018-06-18T00:00:00"/>
    <x v="0"/>
    <x v="0"/>
    <n v="1"/>
    <n v="1"/>
  </r>
  <r>
    <d v="2018-06-14T00:00:00"/>
    <n v="10968"/>
    <s v="WHRJ"/>
    <s v="Rio De Janeiro"/>
    <s v="RJ"/>
    <n v="4060"/>
    <x v="56"/>
    <s v="Sinop"/>
    <s v="MT"/>
    <x v="1"/>
    <s v="MT"/>
    <n v="880.09"/>
    <n v="3"/>
    <n v="0.66"/>
    <n v="6100231"/>
    <x v="1"/>
    <s v="Goiania"/>
    <s v="Convencional"/>
    <n v="4"/>
    <d v="2018-06-14T00:00:00"/>
    <x v="157"/>
    <x v="2"/>
    <d v="2018-06-18T00:00:00"/>
    <x v="1"/>
    <x v="1"/>
    <n v="0"/>
    <n v="1"/>
  </r>
  <r>
    <d v="2018-06-14T00:00:00"/>
    <n v="10969"/>
    <s v="WHSAO"/>
    <s v="Sao Paulo"/>
    <s v="SP"/>
    <n v="4069"/>
    <x v="57"/>
    <s v="Brasilia"/>
    <s v="DF"/>
    <x v="1"/>
    <s v="DF"/>
    <n v="4854.3"/>
    <n v="7"/>
    <n v="136.84"/>
    <n v="6100231"/>
    <x v="1"/>
    <s v="Goiania"/>
    <s v="Convencional"/>
    <n v="3"/>
    <d v="2018-06-14T00:00:00"/>
    <x v="150"/>
    <x v="0"/>
    <d v="2018-06-17T00:00:00"/>
    <x v="1"/>
    <x v="0"/>
    <n v="0"/>
    <n v="1"/>
  </r>
  <r>
    <d v="2018-06-14T00:00:00"/>
    <n v="10970"/>
    <s v="WHVIT"/>
    <s v="Vitoria"/>
    <s v="ES"/>
    <n v="4013"/>
    <x v="1"/>
    <s v="Blumenau"/>
    <s v="SC"/>
    <x v="0"/>
    <s v="SC"/>
    <n v="692.48"/>
    <n v="1"/>
    <n v="1.155"/>
    <n v="6500948"/>
    <x v="0"/>
    <s v="Porto Alegre"/>
    <s v="Convencional"/>
    <n v="10"/>
    <d v="2018-06-14T00:00:00"/>
    <x v="158"/>
    <x v="0"/>
    <d v="2018-06-24T00:00:00"/>
    <x v="0"/>
    <x v="0"/>
    <n v="1"/>
    <n v="1"/>
  </r>
  <r>
    <d v="2018-06-14T00:00:00"/>
    <n v="10971"/>
    <s v="WHSJC"/>
    <s v="Sao Jose dos Campos"/>
    <s v="SP"/>
    <n v="4083"/>
    <x v="71"/>
    <s v="Sao Jose Do Rio Preto"/>
    <s v="SP"/>
    <x v="2"/>
    <s v="SP"/>
    <n v="1576.67"/>
    <n v="3"/>
    <n v="3.5259999999999998"/>
    <n v="6400835"/>
    <x v="3"/>
    <s v="Guarulhos"/>
    <s v="Convencional"/>
    <n v="8"/>
    <d v="2018-06-14T00:00:00"/>
    <x v="148"/>
    <x v="0"/>
    <d v="2018-06-22T00:00:00"/>
    <x v="0"/>
    <x v="0"/>
    <n v="1"/>
    <n v="1"/>
  </r>
  <r>
    <d v="2018-06-14T00:00:00"/>
    <n v="10972"/>
    <s v="WHBH"/>
    <s v="Belo Horizonte"/>
    <s v="MG"/>
    <n v="4083"/>
    <x v="71"/>
    <s v="Sao Jose Do Rio Preto"/>
    <s v="SP"/>
    <x v="2"/>
    <s v="SP"/>
    <n v="9423.14"/>
    <n v="3"/>
    <n v="23.635999999999999"/>
    <n v="6400835"/>
    <x v="3"/>
    <s v="Guarulhos"/>
    <s v="Convencional"/>
    <n v="4"/>
    <d v="2018-06-14T00:00:00"/>
    <x v="151"/>
    <x v="0"/>
    <d v="2018-06-18T00:00:00"/>
    <x v="0"/>
    <x v="0"/>
    <n v="1"/>
    <n v="1"/>
  </r>
  <r>
    <d v="2018-06-14T00:00:00"/>
    <n v="10973"/>
    <s v="WHPOA"/>
    <s v="Porto Alegre"/>
    <s v="RS"/>
    <n v="4083"/>
    <x v="71"/>
    <s v="Sao Jose Do Rio Preto"/>
    <s v="SP"/>
    <x v="2"/>
    <s v="SP"/>
    <n v="1911.35"/>
    <n v="6"/>
    <n v="66.120999999999995"/>
    <n v="6400835"/>
    <x v="3"/>
    <s v="Guarulhos"/>
    <s v="Convencional"/>
    <n v="8"/>
    <d v="2018-06-14T00:00:00"/>
    <x v="154"/>
    <x v="2"/>
    <d v="2018-06-22T00:00:00"/>
    <x v="0"/>
    <x v="1"/>
    <n v="0"/>
    <n v="1"/>
  </r>
  <r>
    <d v="2018-06-14T00:00:00"/>
    <n v="10974"/>
    <s v="WHSAO"/>
    <s v="Sao Paulo"/>
    <s v="SP"/>
    <n v="4032"/>
    <x v="34"/>
    <s v="Goiania"/>
    <s v="GO"/>
    <x v="1"/>
    <s v="GO"/>
    <n v="1466.82"/>
    <n v="5"/>
    <n v="1.1000000000000001"/>
    <n v="6100231"/>
    <x v="1"/>
    <s v="Goiania"/>
    <s v="Convencional"/>
    <n v="12"/>
    <d v="2018-06-14T00:00:00"/>
    <x v="154"/>
    <x v="0"/>
    <d v="2018-06-26T00:00:00"/>
    <x v="0"/>
    <x v="0"/>
    <n v="1"/>
    <n v="1"/>
  </r>
  <r>
    <d v="2018-06-14T00:00:00"/>
    <n v="10975"/>
    <s v="WHVIT"/>
    <s v="Vitoria"/>
    <s v="ES"/>
    <n v="4083"/>
    <x v="71"/>
    <s v="Sao Jose Do Rio Preto"/>
    <s v="SP"/>
    <x v="2"/>
    <s v="SP"/>
    <n v="120.14"/>
    <n v="1"/>
    <n v="4.4000000000000004"/>
    <n v="6400835"/>
    <x v="3"/>
    <s v="Guarulhos"/>
    <s v="Convencional"/>
    <n v="10"/>
    <d v="2018-06-14T00:00:00"/>
    <x v="155"/>
    <x v="0"/>
    <d v="2018-06-24T00:00:00"/>
    <x v="0"/>
    <x v="0"/>
    <n v="1"/>
    <n v="1"/>
  </r>
  <r>
    <d v="2018-06-14T00:00:00"/>
    <n v="10976"/>
    <s v="WHPOA"/>
    <s v="Porto Alegre"/>
    <s v="RS"/>
    <n v="4083"/>
    <x v="71"/>
    <s v="Sao Jose Do Rio Preto"/>
    <s v="SP"/>
    <x v="2"/>
    <s v="SP"/>
    <n v="880.09"/>
    <n v="3"/>
    <n v="0.66"/>
    <n v="6400835"/>
    <x v="3"/>
    <s v="Guarulhos"/>
    <s v="Convencional"/>
    <n v="4"/>
    <d v="2018-06-14T00:00:00"/>
    <x v="157"/>
    <x v="0"/>
    <d v="2018-06-18T00:00:00"/>
    <x v="1"/>
    <x v="0"/>
    <n v="0"/>
    <n v="1"/>
  </r>
  <r>
    <d v="2018-06-16T00:00:00"/>
    <n v="10977"/>
    <s v="WHSJC"/>
    <s v="Sao Jose dos Campos"/>
    <s v="SP"/>
    <n v="4104"/>
    <x v="92"/>
    <s v="Belo Horizonte"/>
    <s v="MG"/>
    <x v="2"/>
    <s v="MG"/>
    <n v="105.48"/>
    <n v="1"/>
    <n v="4.4000000000000004"/>
    <n v="6600879"/>
    <x v="2"/>
    <s v="Belo Horizonte"/>
    <s v="Convencional"/>
    <n v="8"/>
    <d v="2018-06-16T00:00:00"/>
    <x v="150"/>
    <x v="2"/>
    <d v="2018-06-24T00:00:00"/>
    <x v="0"/>
    <x v="1"/>
    <n v="0"/>
    <n v="1"/>
  </r>
  <r>
    <d v="2018-06-16T00:00:00"/>
    <n v="10978"/>
    <s v="WHSJC"/>
    <s v="Sao Jose dos Campos"/>
    <s v="SP"/>
    <n v="4044"/>
    <x v="48"/>
    <s v="Belo Horizonte"/>
    <s v="MG"/>
    <x v="2"/>
    <s v="MG"/>
    <n v="1174.5899999999999"/>
    <n v="8"/>
    <n v="5.7309999999999999"/>
    <n v="6600879"/>
    <x v="2"/>
    <s v="Belo Horizonte"/>
    <s v="Convencional"/>
    <n v="8"/>
    <d v="2018-06-16T00:00:00"/>
    <x v="156"/>
    <x v="2"/>
    <d v="2018-06-24T00:00:00"/>
    <x v="0"/>
    <x v="1"/>
    <n v="0"/>
    <n v="1"/>
  </r>
  <r>
    <d v="2018-06-16T00:00:00"/>
    <n v="10979"/>
    <s v="WHRJ"/>
    <s v="Rio De Janeiro"/>
    <s v="RJ"/>
    <n v="4045"/>
    <x v="49"/>
    <s v="Belo Horizonte"/>
    <s v="MG"/>
    <x v="2"/>
    <s v="MG"/>
    <n v="290.23"/>
    <n v="1"/>
    <n v="0.22"/>
    <n v="6600879"/>
    <x v="2"/>
    <s v="Belo Horizonte"/>
    <s v="Convencional"/>
    <n v="12"/>
    <d v="2018-06-16T00:00:00"/>
    <x v="150"/>
    <x v="0"/>
    <d v="2018-06-28T00:00:00"/>
    <x v="0"/>
    <x v="0"/>
    <n v="1"/>
    <n v="1"/>
  </r>
  <r>
    <d v="2018-06-16T00:00:00"/>
    <n v="10980"/>
    <s v="WHSAO"/>
    <s v="Sao Paulo"/>
    <s v="SP"/>
    <n v="4022"/>
    <x v="19"/>
    <s v="Maringa"/>
    <s v="PR"/>
    <x v="0"/>
    <s v="PR"/>
    <n v="353.95"/>
    <n v="1"/>
    <n v="8.734"/>
    <n v="6500948"/>
    <x v="0"/>
    <s v="Porto Alegre"/>
    <s v="Convencional"/>
    <n v="9"/>
    <d v="2018-06-16T00:00:00"/>
    <x v="150"/>
    <x v="0"/>
    <d v="2018-06-25T00:00:00"/>
    <x v="0"/>
    <x v="0"/>
    <n v="1"/>
    <n v="1"/>
  </r>
  <r>
    <d v="2018-06-16T00:00:00"/>
    <n v="10981"/>
    <s v="WHSJC"/>
    <s v="Sao Jose dos Campos"/>
    <s v="SP"/>
    <n v="4044"/>
    <x v="48"/>
    <s v="Belo Horizonte"/>
    <s v="MG"/>
    <x v="2"/>
    <s v="MG"/>
    <n v="1027.25"/>
    <n v="3"/>
    <n v="2.145"/>
    <n v="6600879"/>
    <x v="2"/>
    <s v="Belo Horizonte"/>
    <s v="Convencional"/>
    <n v="9"/>
    <d v="2018-06-16T00:00:00"/>
    <x v="156"/>
    <x v="0"/>
    <d v="2018-06-25T00:00:00"/>
    <x v="0"/>
    <x v="0"/>
    <n v="1"/>
    <n v="1"/>
  </r>
  <r>
    <d v="2018-06-16T00:00:00"/>
    <n v="10982"/>
    <s v="WHBH"/>
    <s v="Belo Horizonte"/>
    <s v="MG"/>
    <n v="4045"/>
    <x v="49"/>
    <s v="Belo Horizonte"/>
    <s v="MG"/>
    <x v="2"/>
    <s v="MG"/>
    <n v="358.26"/>
    <n v="1"/>
    <n v="13.2"/>
    <n v="6600879"/>
    <x v="2"/>
    <s v="Belo Horizonte"/>
    <s v="Convencional"/>
    <n v="2"/>
    <d v="2018-06-16T00:00:00"/>
    <x v="152"/>
    <x v="2"/>
    <d v="2018-06-18T00:00:00"/>
    <x v="0"/>
    <x v="1"/>
    <n v="0"/>
    <n v="1"/>
  </r>
  <r>
    <d v="2018-06-16T00:00:00"/>
    <n v="10983"/>
    <s v="WHVIT"/>
    <s v="Vitoria"/>
    <s v="ES"/>
    <n v="4044"/>
    <x v="48"/>
    <s v="Belo Horizonte"/>
    <s v="MG"/>
    <x v="2"/>
    <s v="MG"/>
    <n v="293.37"/>
    <n v="1"/>
    <n v="0.22"/>
    <n v="6600879"/>
    <x v="2"/>
    <s v="Belo Horizonte"/>
    <s v="Convencional"/>
    <n v="8"/>
    <d v="2018-06-16T00:00:00"/>
    <x v="159"/>
    <x v="0"/>
    <d v="2018-06-24T00:00:00"/>
    <x v="1"/>
    <x v="0"/>
    <n v="0"/>
    <n v="1"/>
  </r>
  <r>
    <d v="2018-06-16T00:00:00"/>
    <n v="10984"/>
    <s v="WHSJC"/>
    <s v="Sao Jose dos Campos"/>
    <s v="SP"/>
    <n v="4045"/>
    <x v="49"/>
    <s v="Belo Horizonte"/>
    <s v="MG"/>
    <x v="2"/>
    <s v="MG"/>
    <n v="2279.38"/>
    <n v="7"/>
    <n v="7.1539999999999999"/>
    <n v="6600879"/>
    <x v="2"/>
    <s v="Belo Horizonte"/>
    <s v="Convencional"/>
    <n v="8"/>
    <d v="2018-06-16T00:00:00"/>
    <x v="150"/>
    <x v="0"/>
    <d v="2018-06-24T00:00:00"/>
    <x v="0"/>
    <x v="0"/>
    <n v="1"/>
    <n v="1"/>
  </r>
  <r>
    <d v="2018-06-21T00:00:00"/>
    <n v="10985"/>
    <s v="WHBH"/>
    <s v="Belo Horizonte"/>
    <s v="MG"/>
    <n v="4069"/>
    <x v="57"/>
    <s v="Brasilia"/>
    <s v="DF"/>
    <x v="1"/>
    <s v="DF"/>
    <n v="1611.08"/>
    <n v="2"/>
    <n v="46.503"/>
    <n v="6100231"/>
    <x v="1"/>
    <s v="Goiania"/>
    <s v="Convencional"/>
    <n v="10"/>
    <d v="2018-06-21T00:00:00"/>
    <x v="159"/>
    <x v="0"/>
    <d v="2018-07-01T00:00:00"/>
    <x v="0"/>
    <x v="0"/>
    <n v="1"/>
    <n v="1"/>
  </r>
  <r>
    <d v="2018-06-21T00:00:00"/>
    <n v="10986"/>
    <s v="WHPOA"/>
    <s v="Porto Alegre"/>
    <s v="RS"/>
    <n v="4035"/>
    <x v="37"/>
    <s v="Brasilia"/>
    <s v="DF"/>
    <x v="1"/>
    <s v="DF"/>
    <n v="560.69000000000005"/>
    <n v="2"/>
    <n v="1.837"/>
    <n v="6100231"/>
    <x v="1"/>
    <s v="Goiania"/>
    <s v="Convencional"/>
    <n v="12"/>
    <d v="2018-06-21T00:00:00"/>
    <x v="160"/>
    <x v="0"/>
    <d v="2018-07-03T00:00:00"/>
    <x v="0"/>
    <x v="0"/>
    <n v="1"/>
    <n v="1"/>
  </r>
  <r>
    <d v="2018-06-21T00:00:00"/>
    <n v="10987"/>
    <s v="WHPOA"/>
    <s v="Porto Alegre"/>
    <s v="RS"/>
    <n v="4035"/>
    <x v="37"/>
    <s v="Brasilia"/>
    <s v="DF"/>
    <x v="1"/>
    <s v="DF"/>
    <n v="589.57000000000005"/>
    <n v="2"/>
    <n v="0.44"/>
    <n v="6100231"/>
    <x v="1"/>
    <s v="Goiania"/>
    <s v="Convencional"/>
    <n v="3"/>
    <d v="2018-06-21T00:00:00"/>
    <x v="161"/>
    <x v="0"/>
    <d v="2018-06-24T00:00:00"/>
    <x v="1"/>
    <x v="0"/>
    <n v="0"/>
    <n v="1"/>
  </r>
  <r>
    <d v="2018-06-21T00:00:00"/>
    <n v="10988"/>
    <s v="WHCPQ"/>
    <s v="Campinas"/>
    <s v="SP"/>
    <n v="4035"/>
    <x v="37"/>
    <s v="Brasilia"/>
    <s v="DF"/>
    <x v="1"/>
    <s v="DF"/>
    <n v="345.5"/>
    <n v="1"/>
    <n v="8.734"/>
    <n v="6100231"/>
    <x v="1"/>
    <s v="Goiania"/>
    <s v="Convencional"/>
    <n v="10"/>
    <d v="2018-06-21T00:00:00"/>
    <x v="162"/>
    <x v="0"/>
    <d v="2018-07-01T00:00:00"/>
    <x v="0"/>
    <x v="0"/>
    <n v="1"/>
    <n v="1"/>
  </r>
  <r>
    <d v="2018-06-23T00:00:00"/>
    <n v="10989"/>
    <s v="WHSJC"/>
    <s v="Sao Jose dos Campos"/>
    <s v="SP"/>
    <n v="4017"/>
    <x v="10"/>
    <s v="Itajai"/>
    <s v="SC"/>
    <x v="0"/>
    <s v="SC"/>
    <n v="195.94"/>
    <n v="2"/>
    <n v="101.145"/>
    <n v="6500948"/>
    <x v="0"/>
    <s v="Porto Alegre"/>
    <s v="Convencional"/>
    <n v="3"/>
    <d v="2018-06-23T00:00:00"/>
    <x v="161"/>
    <x v="0"/>
    <d v="2018-06-26T00:00:00"/>
    <x v="0"/>
    <x v="0"/>
    <n v="1"/>
    <n v="1"/>
  </r>
  <r>
    <d v="2018-06-23T00:00:00"/>
    <n v="10990"/>
    <s v="WHPOA"/>
    <s v="Porto Alegre"/>
    <s v="RS"/>
    <n v="4027"/>
    <x v="24"/>
    <s v="Novo Hamburgo"/>
    <s v="RS"/>
    <x v="0"/>
    <s v="RS"/>
    <n v="713.99"/>
    <n v="2"/>
    <n v="2.0990000000000002"/>
    <n v="6500948"/>
    <x v="0"/>
    <s v="Porto Alegre"/>
    <s v="Convencional"/>
    <n v="4"/>
    <d v="2018-06-23T00:00:00"/>
    <x v="163"/>
    <x v="0"/>
    <d v="2018-06-27T00:00:00"/>
    <x v="1"/>
    <x v="0"/>
    <n v="0"/>
    <n v="1"/>
  </r>
  <r>
    <d v="2018-06-23T00:00:00"/>
    <n v="10991"/>
    <s v="WHSJC"/>
    <s v="Sao Jose dos Campos"/>
    <s v="SP"/>
    <n v="4027"/>
    <x v="24"/>
    <s v="Novo Hamburgo"/>
    <s v="RS"/>
    <x v="0"/>
    <s v="RS"/>
    <n v="1590.91"/>
    <n v="2"/>
    <n v="21.876000000000001"/>
    <n v="6500948"/>
    <x v="0"/>
    <s v="Porto Alegre"/>
    <s v="Convencional"/>
    <n v="3"/>
    <d v="2018-06-23T00:00:00"/>
    <x v="160"/>
    <x v="0"/>
    <d v="2018-06-26T00:00:00"/>
    <x v="1"/>
    <x v="0"/>
    <n v="0"/>
    <n v="1"/>
  </r>
  <r>
    <d v="2018-06-23T00:00:00"/>
    <n v="10992"/>
    <s v="WHSJC"/>
    <s v="Sao Jose dos Campos"/>
    <s v="SP"/>
    <n v="4028"/>
    <x v="26"/>
    <s v="Sao Jose Dos Pinhais"/>
    <s v="PR"/>
    <x v="0"/>
    <s v="PR"/>
    <n v="5463.62"/>
    <n v="2"/>
    <n v="22.474"/>
    <n v="6500948"/>
    <x v="0"/>
    <s v="Porto Alegre"/>
    <s v="Convencional"/>
    <n v="8"/>
    <d v="2018-06-23T00:00:00"/>
    <x v="164"/>
    <x v="0"/>
    <d v="2018-07-01T00:00:00"/>
    <x v="1"/>
    <x v="0"/>
    <n v="0"/>
    <n v="1"/>
  </r>
  <r>
    <d v="2018-06-23T00:00:00"/>
    <n v="10993"/>
    <s v="WHVIT"/>
    <s v="Vitoria"/>
    <s v="ES"/>
    <n v="4028"/>
    <x v="26"/>
    <s v="Sao Jose Dos Pinhais"/>
    <s v="PR"/>
    <x v="0"/>
    <s v="PR"/>
    <n v="1428.65"/>
    <n v="1"/>
    <n v="0.69299999999999995"/>
    <n v="6500948"/>
    <x v="0"/>
    <s v="Porto Alegre"/>
    <s v="Convencional"/>
    <n v="7"/>
    <d v="2018-06-23T00:00:00"/>
    <x v="165"/>
    <x v="0"/>
    <d v="2018-06-30T00:00:00"/>
    <x v="0"/>
    <x v="0"/>
    <n v="1"/>
    <n v="1"/>
  </r>
  <r>
    <d v="2018-06-23T00:00:00"/>
    <n v="10994"/>
    <s v="WHPOA"/>
    <s v="Porto Alegre"/>
    <s v="RS"/>
    <n v="4055"/>
    <x v="45"/>
    <s v="Brasilia"/>
    <s v="DF"/>
    <x v="1"/>
    <s v="DF"/>
    <n v="3347.52"/>
    <n v="6"/>
    <n v="6.82"/>
    <n v="6100231"/>
    <x v="1"/>
    <s v="Goiania"/>
    <s v="Convencional"/>
    <n v="11"/>
    <d v="2018-06-23T00:00:00"/>
    <x v="166"/>
    <x v="2"/>
    <d v="2018-07-04T00:00:00"/>
    <x v="0"/>
    <x v="1"/>
    <n v="0"/>
    <n v="1"/>
  </r>
  <r>
    <d v="2018-06-23T00:00:00"/>
    <n v="10995"/>
    <s v="WHVIT"/>
    <s v="Vitoria"/>
    <s v="ES"/>
    <n v="4055"/>
    <x v="45"/>
    <s v="Brasilia"/>
    <s v="DF"/>
    <x v="1"/>
    <s v="DF"/>
    <n v="657.05"/>
    <n v="1"/>
    <n v="5.7640000000000002"/>
    <n v="6100231"/>
    <x v="1"/>
    <s v="Goiania"/>
    <s v="Convencional"/>
    <n v="2"/>
    <d v="2018-06-23T00:00:00"/>
    <x v="166"/>
    <x v="0"/>
    <d v="2018-06-25T00:00:00"/>
    <x v="1"/>
    <x v="0"/>
    <n v="0"/>
    <n v="1"/>
  </r>
  <r>
    <d v="2018-06-26T00:00:00"/>
    <n v="10996"/>
    <s v="WHRJ"/>
    <s v="Rio De Janeiro"/>
    <s v="RJ"/>
    <n v="4018"/>
    <x v="12"/>
    <s v="Sao Jose"/>
    <s v="SC"/>
    <x v="0"/>
    <s v="SC"/>
    <n v="1285.4000000000001"/>
    <n v="2"/>
    <n v="3.3"/>
    <n v="6500948"/>
    <x v="0"/>
    <s v="Porto Alegre"/>
    <s v="Convencional"/>
    <n v="1"/>
    <d v="2018-06-26T00:00:00"/>
    <x v="166"/>
    <x v="0"/>
    <d v="2018-06-27T00:00:00"/>
    <x v="1"/>
    <x v="0"/>
    <n v="0"/>
    <n v="1"/>
  </r>
  <r>
    <d v="2018-06-27T00:00:00"/>
    <n v="10997"/>
    <s v="WHSJC"/>
    <s v="Sao Jose dos Campos"/>
    <s v="SP"/>
    <n v="4104"/>
    <x v="92"/>
    <s v="Belo Horizonte"/>
    <s v="MG"/>
    <x v="2"/>
    <s v="MG"/>
    <n v="527.5"/>
    <n v="1"/>
    <n v="1.1970000000000001"/>
    <n v="6600879"/>
    <x v="2"/>
    <s v="Belo Horizonte"/>
    <s v="Convencional"/>
    <n v="6"/>
    <d v="2018-06-27T00:00:00"/>
    <x v="167"/>
    <x v="0"/>
    <d v="2018-07-03T00:00:00"/>
    <x v="1"/>
    <x v="0"/>
    <n v="0"/>
    <n v="1"/>
  </r>
  <r>
    <d v="2018-06-27T00:00:00"/>
    <n v="10998"/>
    <s v="WHBH"/>
    <s v="Belo Horizonte"/>
    <s v="MG"/>
    <n v="4105"/>
    <x v="93"/>
    <s v="Rio De Janeiro"/>
    <s v="RJ"/>
    <x v="2"/>
    <s v="RJ"/>
    <n v="1576.65"/>
    <n v="2"/>
    <n v="11.551"/>
    <n v="6140092"/>
    <x v="4"/>
    <s v="Rio de Janeiro"/>
    <s v="Convencional"/>
    <n v="10"/>
    <d v="2018-06-27T00:00:00"/>
    <x v="165"/>
    <x v="2"/>
    <d v="2018-07-07T00:00:00"/>
    <x v="0"/>
    <x v="1"/>
    <n v="0"/>
    <n v="1"/>
  </r>
  <r>
    <d v="2018-06-27T00:00:00"/>
    <n v="10999"/>
    <s v="WHCPQ"/>
    <s v="Campinas"/>
    <s v="SP"/>
    <n v="4022"/>
    <x v="19"/>
    <s v="Maringa"/>
    <s v="PR"/>
    <x v="0"/>
    <s v="PR"/>
    <n v="15.55"/>
    <n v="1"/>
    <n v="0.05"/>
    <n v="6500948"/>
    <x v="0"/>
    <s v="Porto Alegre"/>
    <s v="Convencional"/>
    <n v="5"/>
    <d v="2018-06-27T00:00:00"/>
    <x v="164"/>
    <x v="0"/>
    <d v="2018-07-02T00:00:00"/>
    <x v="0"/>
    <x v="0"/>
    <n v="1"/>
    <n v="1"/>
  </r>
  <r>
    <d v="2018-06-28T00:00:00"/>
    <n v="11000"/>
    <s v="WHBH"/>
    <s v="Belo Horizonte"/>
    <s v="MG"/>
    <n v="4048"/>
    <x v="51"/>
    <s v="Brasilia"/>
    <s v="DF"/>
    <x v="1"/>
    <s v="DF"/>
    <n v="1712.16"/>
    <n v="1"/>
    <n v="3.41"/>
    <n v="6100231"/>
    <x v="1"/>
    <s v="Goiania"/>
    <s v="Convencional"/>
    <n v="4"/>
    <d v="2018-06-28T00:00:00"/>
    <x v="165"/>
    <x v="0"/>
    <d v="2018-07-02T00:00:00"/>
    <x v="0"/>
    <x v="0"/>
    <n v="1"/>
    <n v="1"/>
  </r>
  <r>
    <d v="2018-06-28T00:00:00"/>
    <n v="11001"/>
    <s v="WHSAO"/>
    <s v="Sao Paulo"/>
    <s v="SP"/>
    <n v="4106"/>
    <x v="94"/>
    <s v="Rio De Janeiro"/>
    <s v="RJ"/>
    <x v="2"/>
    <s v="RJ"/>
    <n v="7519.42"/>
    <n v="11"/>
    <n v="35.904000000000003"/>
    <n v="6140092"/>
    <x v="4"/>
    <s v="Rio de Janeiro"/>
    <s v="Convencional"/>
    <n v="9"/>
    <d v="2018-06-28T00:00:00"/>
    <x v="164"/>
    <x v="0"/>
    <d v="2018-07-07T00:00:00"/>
    <x v="0"/>
    <x v="0"/>
    <n v="1"/>
    <n v="1"/>
  </r>
  <r>
    <d v="2018-06-28T00:00:00"/>
    <n v="11002"/>
    <s v="WHPOA"/>
    <s v="Porto Alegre"/>
    <s v="RS"/>
    <n v="4107"/>
    <x v="95"/>
    <s v="Manaus"/>
    <s v="AM"/>
    <x v="4"/>
    <s v="AM"/>
    <n v="635.28"/>
    <n v="2"/>
    <n v="26.84"/>
    <n v="6700091"/>
    <x v="6"/>
    <s v="Manaus"/>
    <s v="Convencional"/>
    <n v="10"/>
    <d v="2018-06-28T00:00:00"/>
    <x v="165"/>
    <x v="0"/>
    <d v="2018-07-08T00:00:00"/>
    <x v="0"/>
    <x v="0"/>
    <n v="1"/>
    <n v="1"/>
  </r>
  <r>
    <d v="2018-06-28T00:00:00"/>
    <n v="11003"/>
    <s v="WHCPQ"/>
    <s v="Campinas"/>
    <s v="SP"/>
    <n v="4108"/>
    <x v="96"/>
    <s v="Rio De Janeiro"/>
    <s v="RJ"/>
    <x v="2"/>
    <s v="RJ"/>
    <n v="8824.73"/>
    <n v="7"/>
    <n v="16.643000000000001"/>
    <n v="6140092"/>
    <x v="4"/>
    <s v="Rio de Janeiro"/>
    <s v="Convencional"/>
    <n v="7"/>
    <d v="2018-06-28T00:00:00"/>
    <x v="165"/>
    <x v="0"/>
    <d v="2018-07-05T00:00:00"/>
    <x v="0"/>
    <x v="0"/>
    <n v="1"/>
    <n v="1"/>
  </r>
  <r>
    <d v="2018-06-28T00:00:00"/>
    <n v="11004"/>
    <s v="WHSAO"/>
    <s v="Sao Paulo"/>
    <s v="SP"/>
    <n v="4109"/>
    <x v="97"/>
    <s v="Recife"/>
    <s v="PE"/>
    <x v="3"/>
    <s v="PE"/>
    <n v="636.20000000000005"/>
    <n v="1"/>
    <n v="1.65"/>
    <n v="6900304"/>
    <x v="5"/>
    <s v="Fortaleza"/>
    <s v="Convencional"/>
    <n v="2"/>
    <d v="2018-06-28T00:00:00"/>
    <x v="160"/>
    <x v="0"/>
    <d v="2018-06-30T00:00:00"/>
    <x v="0"/>
    <x v="0"/>
    <n v="1"/>
    <n v="1"/>
  </r>
  <r>
    <d v="2018-06-28T00:00:00"/>
    <n v="11005"/>
    <s v="WHVIT"/>
    <s v="Vitoria"/>
    <s v="ES"/>
    <n v="4110"/>
    <x v="98"/>
    <s v="Recife"/>
    <s v="PE"/>
    <x v="3"/>
    <s v="PE"/>
    <n v="1924.04"/>
    <n v="3"/>
    <n v="7.48"/>
    <n v="6900304"/>
    <x v="5"/>
    <s v="Fortaleza"/>
    <s v="Convencional"/>
    <n v="10"/>
    <d v="2018-06-28T00:00:00"/>
    <x v="160"/>
    <x v="0"/>
    <d v="2018-07-08T00:00:00"/>
    <x v="0"/>
    <x v="0"/>
    <n v="1"/>
    <n v="1"/>
  </r>
  <r>
    <d v="2018-06-29T00:00:00"/>
    <n v="11006"/>
    <s v="WHRJ"/>
    <s v="Rio De Janeiro"/>
    <s v="RJ"/>
    <n v="4024"/>
    <x v="21"/>
    <s v="Porto Alegre"/>
    <s v="RS"/>
    <x v="0"/>
    <s v="RS"/>
    <n v="483.74"/>
    <n v="1"/>
    <n v="0.748"/>
    <n v="6500948"/>
    <x v="0"/>
    <s v="Porto Alegre"/>
    <s v="Convencional"/>
    <n v="4"/>
    <d v="2018-06-29T00:00:00"/>
    <x v="168"/>
    <x v="0"/>
    <d v="2018-07-03T00:00:00"/>
    <x v="0"/>
    <x v="0"/>
    <n v="1"/>
    <n v="1"/>
  </r>
  <r>
    <d v="2018-06-29T00:00:00"/>
    <n v="11007"/>
    <s v="WHPOA"/>
    <s v="Porto Alegre"/>
    <s v="RS"/>
    <n v="4023"/>
    <x v="20"/>
    <s v="Sao Jose"/>
    <s v="SC"/>
    <x v="0"/>
    <s v="SC"/>
    <n v="4216.6099999999997"/>
    <n v="3"/>
    <n v="12.718"/>
    <n v="6500948"/>
    <x v="0"/>
    <s v="Porto Alegre"/>
    <s v="Convencional"/>
    <n v="10"/>
    <d v="2018-06-29T00:00:00"/>
    <x v="169"/>
    <x v="0"/>
    <d v="2018-07-09T00:00:00"/>
    <x v="0"/>
    <x v="0"/>
    <n v="1"/>
    <n v="1"/>
  </r>
  <r>
    <d v="2018-06-30T00:00:00"/>
    <n v="11008"/>
    <s v="WHSAO"/>
    <s v="Sao Paulo"/>
    <s v="SP"/>
    <n v="4014"/>
    <x v="3"/>
    <s v="Ipatinga"/>
    <s v="MG"/>
    <x v="2"/>
    <s v="MG"/>
    <n v="44.21"/>
    <n v="1"/>
    <n v="0.252"/>
    <n v="6600879"/>
    <x v="2"/>
    <s v="Belo Horizonte"/>
    <s v="Convencional"/>
    <n v="4"/>
    <d v="2018-06-30T00:00:00"/>
    <x v="163"/>
    <x v="0"/>
    <d v="2018-07-04T00:00:00"/>
    <x v="0"/>
    <x v="0"/>
    <n v="1"/>
    <n v="1"/>
  </r>
  <r>
    <d v="2018-06-30T00:00:00"/>
    <n v="11009"/>
    <s v="WHSJC"/>
    <s v="Sao Jose dos Campos"/>
    <s v="SP"/>
    <n v="4014"/>
    <x v="3"/>
    <s v="Ipatinga"/>
    <s v="MG"/>
    <x v="2"/>
    <s v="MG"/>
    <n v="329.09"/>
    <n v="1"/>
    <n v="0.68200000000000005"/>
    <n v="6600879"/>
    <x v="2"/>
    <s v="Belo Horizonte"/>
    <s v="Convencional"/>
    <n v="9"/>
    <d v="2018-06-30T00:00:00"/>
    <x v="170"/>
    <x v="1"/>
    <d v="2018-07-09T00:00:00"/>
    <x v="0"/>
    <x v="1"/>
    <n v="0"/>
    <n v="1"/>
  </r>
  <r>
    <d v="2018-06-30T00:00:00"/>
    <n v="11010"/>
    <s v="WHVIT"/>
    <s v="Vitoria"/>
    <s v="ES"/>
    <n v="4014"/>
    <x v="3"/>
    <s v="Ipatinga"/>
    <s v="MG"/>
    <x v="2"/>
    <s v="MG"/>
    <n v="1292.26"/>
    <n v="2"/>
    <n v="3.3"/>
    <n v="6600879"/>
    <x v="2"/>
    <s v="Belo Horizonte"/>
    <s v="Convencional"/>
    <n v="7"/>
    <d v="2018-06-30T00:00:00"/>
    <x v="167"/>
    <x v="0"/>
    <d v="2018-07-07T00:00:00"/>
    <x v="0"/>
    <x v="0"/>
    <n v="1"/>
    <n v="1"/>
  </r>
  <r>
    <d v="2018-06-30T00:00:00"/>
    <n v="11011"/>
    <s v="WHCPQ"/>
    <s v="Campinas"/>
    <s v="SP"/>
    <n v="4022"/>
    <x v="19"/>
    <s v="Maringa"/>
    <s v="PR"/>
    <x v="0"/>
    <s v="PR"/>
    <n v="2378.1999999999998"/>
    <n v="1"/>
    <n v="6.8479999999999999"/>
    <n v="6500948"/>
    <x v="0"/>
    <s v="Porto Alegre"/>
    <s v="Convencional"/>
    <n v="3"/>
    <d v="2018-06-30T00:00:00"/>
    <x v="171"/>
    <x v="0"/>
    <d v="2018-07-03T00:00:00"/>
    <x v="1"/>
    <x v="0"/>
    <n v="0"/>
    <n v="1"/>
  </r>
  <r>
    <d v="2018-07-05T00:00:00"/>
    <n v="11012"/>
    <s v="WHVIT"/>
    <s v="Vitoria"/>
    <s v="ES"/>
    <n v="4111"/>
    <x v="99"/>
    <s v="Sao Paulo"/>
    <s v="SP"/>
    <x v="2"/>
    <s v="SP"/>
    <n v="2447.9699999999998"/>
    <n v="2"/>
    <n v="17.861999999999998"/>
    <n v="6400835"/>
    <x v="3"/>
    <s v="Guarulhos"/>
    <s v="Urgente"/>
    <n v="9"/>
    <d v="2018-07-05T00:00:00"/>
    <x v="170"/>
    <x v="0"/>
    <d v="2018-07-14T00:00:00"/>
    <x v="0"/>
    <x v="0"/>
    <n v="1"/>
    <n v="1"/>
  </r>
  <r>
    <d v="2018-07-05T00:00:00"/>
    <n v="11013"/>
    <s v="WHPOA"/>
    <s v="Porto Alegre"/>
    <s v="RS"/>
    <n v="4064"/>
    <x v="53"/>
    <s v="Presidente Prudente"/>
    <s v="SP"/>
    <x v="2"/>
    <s v="SP"/>
    <n v="675.4"/>
    <n v="1"/>
    <n v="5.5"/>
    <n v="6400835"/>
    <x v="3"/>
    <s v="Guarulhos"/>
    <s v="Convencional"/>
    <n v="5"/>
    <d v="2018-07-05T00:00:00"/>
    <x v="172"/>
    <x v="0"/>
    <d v="2018-07-10T00:00:00"/>
    <x v="1"/>
    <x v="0"/>
    <n v="0"/>
    <n v="1"/>
  </r>
  <r>
    <d v="2018-07-05T00:00:00"/>
    <n v="11014"/>
    <s v="WHSJC"/>
    <s v="Sao Jose dos Campos"/>
    <s v="SP"/>
    <n v="4064"/>
    <x v="53"/>
    <s v="Presidente Prudente"/>
    <s v="SP"/>
    <x v="2"/>
    <s v="SP"/>
    <n v="1712.17"/>
    <n v="2"/>
    <n v="11.978"/>
    <n v="6400835"/>
    <x v="3"/>
    <s v="Guarulhos"/>
    <s v="Convencional"/>
    <n v="4"/>
    <d v="2018-07-05T00:00:00"/>
    <x v="169"/>
    <x v="0"/>
    <d v="2018-07-09T00:00:00"/>
    <x v="0"/>
    <x v="0"/>
    <n v="1"/>
    <n v="1"/>
  </r>
  <r>
    <d v="2018-07-05T00:00:00"/>
    <n v="11015"/>
    <s v="WHVIT"/>
    <s v="Vitoria"/>
    <s v="ES"/>
    <n v="4064"/>
    <x v="53"/>
    <s v="Presidente Prudente"/>
    <s v="SP"/>
    <x v="2"/>
    <s v="SP"/>
    <n v="6848.58"/>
    <n v="4"/>
    <n v="11.833"/>
    <n v="6400835"/>
    <x v="3"/>
    <s v="Guarulhos"/>
    <s v="Convencional"/>
    <n v="11"/>
    <d v="2018-07-05T00:00:00"/>
    <x v="173"/>
    <x v="0"/>
    <d v="2018-07-16T00:00:00"/>
    <x v="0"/>
    <x v="0"/>
    <n v="1"/>
    <n v="1"/>
  </r>
  <r>
    <d v="2018-07-05T00:00:00"/>
    <n v="11016"/>
    <s v="WHVIT"/>
    <s v="Vitoria"/>
    <s v="ES"/>
    <n v="4032"/>
    <x v="34"/>
    <s v="Goiania"/>
    <s v="GO"/>
    <x v="1"/>
    <s v="GO"/>
    <n v="499.59"/>
    <n v="1"/>
    <n v="269.5"/>
    <n v="6100231"/>
    <x v="1"/>
    <s v="Goiania"/>
    <s v="Convencional"/>
    <n v="1"/>
    <d v="2018-07-05T00:00:00"/>
    <x v="171"/>
    <x v="1"/>
    <d v="2018-07-06T00:00:00"/>
    <x v="1"/>
    <x v="1"/>
    <n v="0"/>
    <n v="1"/>
  </r>
  <r>
    <d v="2018-07-05T00:00:00"/>
    <n v="11017"/>
    <s v="WHVIT"/>
    <s v="Vitoria"/>
    <s v="ES"/>
    <n v="4064"/>
    <x v="53"/>
    <s v="Presidente Prudente"/>
    <s v="SP"/>
    <x v="2"/>
    <s v="SP"/>
    <n v="3415.74"/>
    <n v="2"/>
    <n v="1.9379999999999999"/>
    <n v="6400835"/>
    <x v="3"/>
    <s v="Guarulhos"/>
    <s v="Convencional"/>
    <n v="8"/>
    <d v="2018-07-05T00:00:00"/>
    <x v="174"/>
    <x v="0"/>
    <d v="2018-07-13T00:00:00"/>
    <x v="0"/>
    <x v="0"/>
    <n v="1"/>
    <n v="1"/>
  </r>
  <r>
    <d v="2018-07-07T00:00:00"/>
    <n v="11018"/>
    <s v="WHSAO"/>
    <s v="Sao Paulo"/>
    <s v="SP"/>
    <n v="4055"/>
    <x v="45"/>
    <s v="Brasilia"/>
    <s v="DF"/>
    <x v="1"/>
    <s v="DF"/>
    <n v="727.3"/>
    <n v="1"/>
    <n v="7.72"/>
    <n v="6100231"/>
    <x v="1"/>
    <s v="Goiania"/>
    <s v="Convencional"/>
    <n v="6"/>
    <d v="2018-07-07T00:00:00"/>
    <x v="175"/>
    <x v="0"/>
    <d v="2018-07-13T00:00:00"/>
    <x v="0"/>
    <x v="0"/>
    <n v="1"/>
    <n v="1"/>
  </r>
  <r>
    <d v="2018-07-07T00:00:00"/>
    <n v="11019"/>
    <s v="WHSAO"/>
    <s v="Sao Paulo"/>
    <s v="SP"/>
    <n v="4027"/>
    <x v="24"/>
    <s v="Novo Hamburgo"/>
    <s v="RS"/>
    <x v="0"/>
    <s v="RS"/>
    <n v="1894.85"/>
    <n v="10"/>
    <n v="34.298999999999999"/>
    <n v="6500948"/>
    <x v="0"/>
    <s v="Porto Alegre"/>
    <s v="Convencional"/>
    <n v="4"/>
    <d v="2018-07-07T00:00:00"/>
    <x v="170"/>
    <x v="0"/>
    <d v="2018-07-11T00:00:00"/>
    <x v="0"/>
    <x v="0"/>
    <n v="1"/>
    <n v="1"/>
  </r>
  <r>
    <d v="2018-07-07T00:00:00"/>
    <n v="11020"/>
    <s v="WHRJ"/>
    <s v="Rio De Janeiro"/>
    <s v="RJ"/>
    <n v="4028"/>
    <x v="26"/>
    <s v="Sao Jose Dos Pinhais"/>
    <s v="PR"/>
    <x v="0"/>
    <s v="PR"/>
    <n v="3286.77"/>
    <n v="1"/>
    <n v="1.1200000000000001"/>
    <n v="6500948"/>
    <x v="0"/>
    <s v="Porto Alegre"/>
    <s v="Convencional"/>
    <n v="4"/>
    <d v="2018-07-07T00:00:00"/>
    <x v="176"/>
    <x v="1"/>
    <d v="2018-07-11T00:00:00"/>
    <x v="1"/>
    <x v="1"/>
    <n v="0"/>
    <n v="1"/>
  </r>
  <r>
    <d v="2018-07-07T00:00:00"/>
    <n v="11021"/>
    <s v="WHSJC"/>
    <s v="Sao Jose dos Campos"/>
    <s v="SP"/>
    <n v="4027"/>
    <x v="24"/>
    <s v="Novo Hamburgo"/>
    <s v="RS"/>
    <x v="0"/>
    <s v="RS"/>
    <n v="606.07000000000005"/>
    <n v="2"/>
    <n v="6.383"/>
    <n v="6500948"/>
    <x v="0"/>
    <s v="Porto Alegre"/>
    <s v="Convencional"/>
    <n v="11"/>
    <d v="2018-07-07T00:00:00"/>
    <x v="177"/>
    <x v="0"/>
    <d v="2018-07-18T00:00:00"/>
    <x v="0"/>
    <x v="0"/>
    <n v="1"/>
    <n v="1"/>
  </r>
  <r>
    <d v="2018-07-07T00:00:00"/>
    <n v="11022"/>
    <s v="WHVIT"/>
    <s v="Vitoria"/>
    <s v="ES"/>
    <n v="4022"/>
    <x v="19"/>
    <s v="Maringa"/>
    <s v="PR"/>
    <x v="0"/>
    <s v="PR"/>
    <n v="169.46"/>
    <n v="1"/>
    <n v="1.1200000000000001"/>
    <n v="6500948"/>
    <x v="0"/>
    <s v="Porto Alegre"/>
    <s v="Convencional"/>
    <n v="2"/>
    <d v="2018-07-07T00:00:00"/>
    <x v="172"/>
    <x v="0"/>
    <d v="2018-07-09T00:00:00"/>
    <x v="1"/>
    <x v="0"/>
    <n v="0"/>
    <n v="1"/>
  </r>
  <r>
    <d v="2018-07-07T00:00:00"/>
    <n v="11023"/>
    <s v="WHCPQ"/>
    <s v="Campinas"/>
    <s v="SP"/>
    <n v="4022"/>
    <x v="19"/>
    <s v="Maringa"/>
    <s v="PR"/>
    <x v="0"/>
    <s v="PR"/>
    <n v="7672.09"/>
    <n v="1"/>
    <n v="1.1200000000000001"/>
    <n v="6500948"/>
    <x v="0"/>
    <s v="Porto Alegre"/>
    <s v="Urgente"/>
    <n v="10"/>
    <d v="2018-07-07T00:00:00"/>
    <x v="170"/>
    <x v="0"/>
    <d v="2018-07-17T00:00:00"/>
    <x v="0"/>
    <x v="0"/>
    <n v="1"/>
    <n v="1"/>
  </r>
  <r>
    <d v="2018-07-07T00:00:00"/>
    <n v="11024"/>
    <s v="WHBH"/>
    <s v="Belo Horizonte"/>
    <s v="MG"/>
    <n v="4055"/>
    <x v="45"/>
    <s v="Brasilia"/>
    <s v="DF"/>
    <x v="1"/>
    <s v="DF"/>
    <n v="761.28"/>
    <n v="4"/>
    <n v="35.829000000000001"/>
    <n v="6100231"/>
    <x v="1"/>
    <s v="Goiania"/>
    <s v="Convencional"/>
    <n v="6"/>
    <d v="2018-07-07T00:00:00"/>
    <x v="169"/>
    <x v="0"/>
    <d v="2018-07-13T00:00:00"/>
    <x v="0"/>
    <x v="0"/>
    <n v="1"/>
    <n v="1"/>
  </r>
  <r>
    <d v="2018-07-07T00:00:00"/>
    <n v="11025"/>
    <s v="WHPOA"/>
    <s v="Porto Alegre"/>
    <s v="RS"/>
    <n v="4028"/>
    <x v="26"/>
    <s v="Sao Jose Dos Pinhais"/>
    <s v="PR"/>
    <x v="0"/>
    <s v="PR"/>
    <n v="2621.99"/>
    <n v="1"/>
    <n v="1.1200000000000001"/>
    <n v="6500948"/>
    <x v="0"/>
    <s v="Porto Alegre"/>
    <s v="Convencional"/>
    <n v="3"/>
    <d v="2018-07-07T00:00:00"/>
    <x v="178"/>
    <x v="0"/>
    <d v="2018-07-10T00:00:00"/>
    <x v="1"/>
    <x v="0"/>
    <n v="0"/>
    <n v="1"/>
  </r>
  <r>
    <d v="2018-07-07T00:00:00"/>
    <n v="11026"/>
    <s v="WHBH"/>
    <s v="Belo Horizonte"/>
    <s v="MG"/>
    <n v="4030"/>
    <x v="30"/>
    <s v="Belo Horizonte"/>
    <s v="MG"/>
    <x v="2"/>
    <s v="MG"/>
    <n v="1659.11"/>
    <n v="1"/>
    <n v="13.275"/>
    <n v="6600879"/>
    <x v="2"/>
    <s v="Belo Horizonte"/>
    <s v="Convencional"/>
    <n v="12"/>
    <d v="2018-07-07T00:00:00"/>
    <x v="178"/>
    <x v="0"/>
    <d v="2018-07-19T00:00:00"/>
    <x v="0"/>
    <x v="0"/>
    <n v="1"/>
    <n v="1"/>
  </r>
  <r>
    <d v="2018-07-07T00:00:00"/>
    <n v="11027"/>
    <s v="WHBH"/>
    <s v="Belo Horizonte"/>
    <s v="MG"/>
    <n v="4030"/>
    <x v="30"/>
    <s v="Belo Horizonte"/>
    <s v="MG"/>
    <x v="2"/>
    <s v="MG"/>
    <n v="1826.88"/>
    <n v="5"/>
    <n v="16.326000000000001"/>
    <n v="6600879"/>
    <x v="2"/>
    <s v="Belo Horizonte"/>
    <s v="Convencional"/>
    <n v="7"/>
    <d v="2018-07-07T00:00:00"/>
    <x v="170"/>
    <x v="0"/>
    <d v="2018-07-14T00:00:00"/>
    <x v="0"/>
    <x v="0"/>
    <n v="1"/>
    <n v="1"/>
  </r>
  <r>
    <d v="2018-07-10T00:00:00"/>
    <n v="11028"/>
    <s v="WHPOA"/>
    <s v="Porto Alegre"/>
    <s v="RS"/>
    <n v="4060"/>
    <x v="56"/>
    <s v="Sinop"/>
    <s v="MT"/>
    <x v="1"/>
    <s v="MT"/>
    <n v="944.92"/>
    <n v="1"/>
    <n v="1.1200000000000001"/>
    <n v="6100231"/>
    <x v="1"/>
    <s v="Goiania"/>
    <s v="Convencional"/>
    <n v="3"/>
    <d v="2018-07-10T00:00:00"/>
    <x v="177"/>
    <x v="0"/>
    <d v="2018-07-13T00:00:00"/>
    <x v="1"/>
    <x v="0"/>
    <n v="0"/>
    <n v="1"/>
  </r>
  <r>
    <d v="2018-07-11T00:00:00"/>
    <n v="11029"/>
    <s v="WHPOA"/>
    <s v="Porto Alegre"/>
    <s v="RS"/>
    <n v="4024"/>
    <x v="21"/>
    <s v="Porto Alegre"/>
    <s v="RS"/>
    <x v="0"/>
    <s v="RS"/>
    <n v="1584.64"/>
    <n v="3"/>
    <n v="5.1230000000000002"/>
    <n v="6500948"/>
    <x v="0"/>
    <s v="Porto Alegre"/>
    <s v="Convencional"/>
    <n v="8"/>
    <d v="2018-07-11T00:00:00"/>
    <x v="179"/>
    <x v="0"/>
    <d v="2018-07-19T00:00:00"/>
    <x v="0"/>
    <x v="0"/>
    <n v="1"/>
    <n v="1"/>
  </r>
  <r>
    <d v="2018-07-14T00:00:00"/>
    <n v="11030"/>
    <s v="WHVIT"/>
    <s v="Vitoria"/>
    <s v="ES"/>
    <n v="4044"/>
    <x v="48"/>
    <s v="Belo Horizonte"/>
    <s v="MG"/>
    <x v="2"/>
    <s v="MG"/>
    <n v="2002.6"/>
    <n v="3"/>
    <n v="16.850999999999999"/>
    <n v="6600879"/>
    <x v="2"/>
    <s v="Belo Horizonte"/>
    <s v="Convencional"/>
    <n v="6"/>
    <d v="2018-07-14T00:00:00"/>
    <x v="177"/>
    <x v="0"/>
    <d v="2018-07-20T00:00:00"/>
    <x v="0"/>
    <x v="0"/>
    <n v="1"/>
    <n v="1"/>
  </r>
  <r>
    <d v="2018-07-14T00:00:00"/>
    <n v="11031"/>
    <s v="WHVIT"/>
    <s v="Vitoria"/>
    <s v="ES"/>
    <n v="4045"/>
    <x v="49"/>
    <s v="Belo Horizonte"/>
    <s v="MG"/>
    <x v="2"/>
    <s v="MG"/>
    <n v="17938.04"/>
    <n v="5"/>
    <n v="89.700999999999993"/>
    <n v="6600879"/>
    <x v="2"/>
    <s v="Belo Horizonte"/>
    <s v="Convencional"/>
    <n v="12"/>
    <d v="2018-07-14T00:00:00"/>
    <x v="177"/>
    <x v="0"/>
    <d v="2018-07-26T00:00:00"/>
    <x v="0"/>
    <x v="0"/>
    <n v="1"/>
    <n v="1"/>
  </r>
  <r>
    <d v="2018-07-14T00:00:00"/>
    <n v="11032"/>
    <s v="WHCPQ"/>
    <s v="Campinas"/>
    <s v="SP"/>
    <n v="4019"/>
    <x v="13"/>
    <s v="Florianopolis"/>
    <s v="SC"/>
    <x v="0"/>
    <s v="SC"/>
    <n v="378.96"/>
    <n v="1"/>
    <n v="1.1200000000000001"/>
    <n v="6500948"/>
    <x v="0"/>
    <s v="Porto Alegre"/>
    <s v="Convencional"/>
    <n v="2"/>
    <d v="2018-07-14T00:00:00"/>
    <x v="180"/>
    <x v="0"/>
    <d v="2018-07-16T00:00:00"/>
    <x v="1"/>
    <x v="0"/>
    <n v="0"/>
    <n v="1"/>
  </r>
  <r>
    <d v="2018-07-14T00:00:00"/>
    <n v="11033"/>
    <s v="WHPOA"/>
    <s v="Porto Alegre"/>
    <s v="RS"/>
    <n v="4022"/>
    <x v="19"/>
    <s v="Maringa"/>
    <s v="PR"/>
    <x v="0"/>
    <s v="PR"/>
    <n v="2447.0100000000002"/>
    <n v="7"/>
    <n v="5.9829999999999997"/>
    <n v="6500948"/>
    <x v="0"/>
    <s v="Porto Alegre"/>
    <s v="Convencional"/>
    <n v="4"/>
    <d v="2018-07-14T00:00:00"/>
    <x v="179"/>
    <x v="0"/>
    <d v="2018-07-18T00:00:00"/>
    <x v="1"/>
    <x v="0"/>
    <n v="0"/>
    <n v="1"/>
  </r>
  <r>
    <d v="2018-07-14T00:00:00"/>
    <n v="11034"/>
    <s v="WHBH"/>
    <s v="Belo Horizonte"/>
    <s v="MG"/>
    <n v="4032"/>
    <x v="34"/>
    <s v="Goiania"/>
    <s v="GO"/>
    <x v="1"/>
    <s v="GO"/>
    <n v="658.19"/>
    <n v="2"/>
    <n v="1.3640000000000001"/>
    <n v="6100231"/>
    <x v="1"/>
    <s v="Goiania"/>
    <s v="Convencional"/>
    <n v="3"/>
    <d v="2018-07-14T00:00:00"/>
    <x v="177"/>
    <x v="0"/>
    <d v="2018-07-17T00:00:00"/>
    <x v="0"/>
    <x v="0"/>
    <n v="1"/>
    <n v="1"/>
  </r>
  <r>
    <d v="2018-07-14T00:00:00"/>
    <n v="11035"/>
    <s v="WHVIT"/>
    <s v="Vitoria"/>
    <s v="ES"/>
    <n v="4044"/>
    <x v="48"/>
    <s v="Belo Horizonte"/>
    <s v="MG"/>
    <x v="2"/>
    <s v="MG"/>
    <n v="720.9"/>
    <n v="2"/>
    <n v="5.7539999999999996"/>
    <n v="6600879"/>
    <x v="2"/>
    <s v="Belo Horizonte"/>
    <s v="Convencional"/>
    <n v="12"/>
    <d v="2018-07-14T00:00:00"/>
    <x v="181"/>
    <x v="0"/>
    <d v="2018-07-26T00:00:00"/>
    <x v="0"/>
    <x v="0"/>
    <n v="1"/>
    <n v="1"/>
  </r>
  <r>
    <d v="2018-07-14T00:00:00"/>
    <n v="11036"/>
    <s v="WHBH"/>
    <s v="Belo Horizonte"/>
    <s v="MG"/>
    <n v="4045"/>
    <x v="49"/>
    <s v="Belo Horizonte"/>
    <s v="MG"/>
    <x v="2"/>
    <s v="MG"/>
    <n v="400.55"/>
    <n v="1"/>
    <n v="1.1200000000000001"/>
    <n v="6600879"/>
    <x v="2"/>
    <s v="Belo Horizonte"/>
    <s v="Convencional"/>
    <n v="12"/>
    <d v="2018-07-14T00:00:00"/>
    <x v="182"/>
    <x v="0"/>
    <d v="2018-07-26T00:00:00"/>
    <x v="0"/>
    <x v="0"/>
    <n v="1"/>
    <n v="1"/>
  </r>
  <r>
    <d v="2018-07-13T00:00:00"/>
    <n v="11037"/>
    <s v="WHSAO"/>
    <s v="Sao Paulo"/>
    <s v="SP"/>
    <n v="4019"/>
    <x v="13"/>
    <s v="Florianopolis"/>
    <s v="SC"/>
    <x v="0"/>
    <s v="SC"/>
    <n v="2264.69"/>
    <n v="3"/>
    <n v="10.208"/>
    <n v="6500948"/>
    <x v="0"/>
    <s v="Porto Alegre"/>
    <s v="Convencional"/>
    <n v="5"/>
    <d v="2018-07-14T00:00:00"/>
    <x v="183"/>
    <x v="0"/>
    <d v="2018-07-19T00:00:00"/>
    <x v="0"/>
    <x v="0"/>
    <n v="1"/>
    <n v="1"/>
  </r>
  <r>
    <d v="2018-07-13T00:00:00"/>
    <n v="11038"/>
    <s v="WHPOA"/>
    <s v="Porto Alegre"/>
    <s v="RS"/>
    <n v="4044"/>
    <x v="48"/>
    <s v="Belo Horizonte"/>
    <s v="MG"/>
    <x v="2"/>
    <s v="MG"/>
    <n v="1931.53"/>
    <n v="2"/>
    <n v="7.835"/>
    <n v="6600879"/>
    <x v="2"/>
    <s v="Belo Horizonte"/>
    <s v="Convencional"/>
    <n v="5"/>
    <d v="2018-07-14T00:00:00"/>
    <x v="179"/>
    <x v="0"/>
    <d v="2018-07-19T00:00:00"/>
    <x v="0"/>
    <x v="0"/>
    <n v="1"/>
    <n v="1"/>
  </r>
  <r>
    <d v="2018-07-13T00:00:00"/>
    <n v="11039"/>
    <s v="WHSJC"/>
    <s v="Sao Jose dos Campos"/>
    <s v="SP"/>
    <n v="4045"/>
    <x v="49"/>
    <s v="Belo Horizonte"/>
    <s v="MG"/>
    <x v="2"/>
    <s v="MG"/>
    <n v="1768.53"/>
    <n v="1"/>
    <n v="6.7009999999999996"/>
    <n v="6600879"/>
    <x v="2"/>
    <s v="Belo Horizonte"/>
    <s v="Convencional"/>
    <n v="11"/>
    <d v="2018-07-14T00:00:00"/>
    <x v="182"/>
    <x v="0"/>
    <d v="2018-07-25T00:00:00"/>
    <x v="0"/>
    <x v="0"/>
    <n v="1"/>
    <n v="1"/>
  </r>
  <r>
    <d v="2018-07-13T00:00:00"/>
    <n v="11040"/>
    <s v="WHBH"/>
    <s v="Belo Horizonte"/>
    <s v="MG"/>
    <n v="4019"/>
    <x v="13"/>
    <s v="Florianopolis"/>
    <s v="SC"/>
    <x v="0"/>
    <s v="SC"/>
    <n v="957.73"/>
    <n v="3"/>
    <n v="40.26"/>
    <n v="6500948"/>
    <x v="0"/>
    <s v="Porto Alegre"/>
    <s v="Convencional"/>
    <n v="1"/>
    <d v="2018-07-14T00:00:00"/>
    <x v="183"/>
    <x v="0"/>
    <d v="2018-07-15T00:00:00"/>
    <x v="1"/>
    <x v="0"/>
    <n v="0"/>
    <n v="1"/>
  </r>
  <r>
    <d v="2018-07-13T00:00:00"/>
    <n v="11041"/>
    <s v="WHBH"/>
    <s v="Belo Horizonte"/>
    <s v="MG"/>
    <n v="4019"/>
    <x v="13"/>
    <s v="Florianopolis"/>
    <s v="SC"/>
    <x v="0"/>
    <s v="SC"/>
    <n v="888.76"/>
    <n v="1"/>
    <n v="2.871"/>
    <n v="6500948"/>
    <x v="0"/>
    <s v="Porto Alegre"/>
    <s v="Convencional"/>
    <n v="5"/>
    <d v="2018-07-14T00:00:00"/>
    <x v="184"/>
    <x v="0"/>
    <d v="2018-07-19T00:00:00"/>
    <x v="1"/>
    <x v="0"/>
    <n v="0"/>
    <n v="1"/>
  </r>
  <r>
    <d v="2018-07-13T00:00:00"/>
    <n v="11042"/>
    <s v="WHRJ"/>
    <s v="Rio De Janeiro"/>
    <s v="RJ"/>
    <n v="4019"/>
    <x v="13"/>
    <s v="Florianopolis"/>
    <s v="SC"/>
    <x v="0"/>
    <s v="SC"/>
    <n v="3161.78"/>
    <n v="4"/>
    <n v="16.326000000000001"/>
    <n v="6500948"/>
    <x v="0"/>
    <s v="Porto Alegre"/>
    <s v="Convencional"/>
    <n v="1"/>
    <d v="2018-07-14T00:00:00"/>
    <x v="182"/>
    <x v="0"/>
    <d v="2018-07-15T00:00:00"/>
    <x v="0"/>
    <x v="0"/>
    <n v="1"/>
    <n v="1"/>
  </r>
  <r>
    <d v="2018-07-17T00:00:00"/>
    <n v="11043"/>
    <s v="WHPOA"/>
    <s v="Porto Alegre"/>
    <s v="RS"/>
    <n v="4023"/>
    <x v="20"/>
    <s v="Sao Jose"/>
    <s v="SC"/>
    <x v="0"/>
    <s v="SC"/>
    <n v="658.19"/>
    <n v="2"/>
    <n v="1.3640000000000001"/>
    <n v="6500948"/>
    <x v="0"/>
    <s v="Porto Alegre"/>
    <s v="Convencional"/>
    <n v="12"/>
    <d v="2018-07-18T00:00:00"/>
    <x v="185"/>
    <x v="0"/>
    <d v="2018-07-30T00:00:00"/>
    <x v="0"/>
    <x v="0"/>
    <n v="1"/>
    <n v="1"/>
  </r>
  <r>
    <d v="2018-07-19T00:00:00"/>
    <n v="11044"/>
    <s v="WHVIT"/>
    <s v="Vitoria"/>
    <s v="ES"/>
    <n v="4112"/>
    <x v="100"/>
    <s v="Belo Horizonte"/>
    <s v="MG"/>
    <x v="2"/>
    <s v="MG"/>
    <n v="626.66999999999996"/>
    <n v="1"/>
    <n v="3.6629999999999998"/>
    <n v="6600879"/>
    <x v="2"/>
    <s v="Belo Horizonte"/>
    <s v="Convencional"/>
    <n v="7"/>
    <d v="2018-07-20T00:00:00"/>
    <x v="186"/>
    <x v="0"/>
    <d v="2018-07-27T00:00:00"/>
    <x v="1"/>
    <x v="0"/>
    <n v="0"/>
    <n v="1"/>
  </r>
  <r>
    <d v="2018-07-19T00:00:00"/>
    <n v="11045"/>
    <s v="WHPOA"/>
    <s v="Porto Alegre"/>
    <s v="RS"/>
    <n v="4047"/>
    <x v="50"/>
    <s v="Belo Horizonte"/>
    <s v="MG"/>
    <x v="2"/>
    <s v="MG"/>
    <n v="3005.85"/>
    <n v="2"/>
    <n v="17.317"/>
    <n v="6600879"/>
    <x v="2"/>
    <s v="Belo Horizonte"/>
    <s v="Convencional"/>
    <n v="11"/>
    <d v="2018-07-20T00:00:00"/>
    <x v="187"/>
    <x v="0"/>
    <d v="2018-07-31T00:00:00"/>
    <x v="0"/>
    <x v="0"/>
    <n v="1"/>
    <n v="1"/>
  </r>
  <r>
    <d v="2018-07-19T00:00:00"/>
    <n v="11046"/>
    <s v="WHVIT"/>
    <s v="Vitoria"/>
    <s v="ES"/>
    <n v="4023"/>
    <x v="20"/>
    <s v="Sao Jose"/>
    <s v="SC"/>
    <x v="0"/>
    <s v="SC"/>
    <n v="394.1"/>
    <n v="2"/>
    <n v="1.5289999999999999"/>
    <n v="6500948"/>
    <x v="0"/>
    <s v="Porto Alegre"/>
    <s v="Convencional"/>
    <n v="6"/>
    <d v="2018-07-20T00:00:00"/>
    <x v="187"/>
    <x v="0"/>
    <d v="2018-07-26T00:00:00"/>
    <x v="0"/>
    <x v="0"/>
    <n v="1"/>
    <n v="1"/>
  </r>
  <r>
    <d v="2018-07-19T00:00:00"/>
    <n v="11047"/>
    <s v="WHRJ"/>
    <s v="Rio De Janeiro"/>
    <s v="RJ"/>
    <n v="4018"/>
    <x v="12"/>
    <s v="Sao Jose"/>
    <s v="SC"/>
    <x v="0"/>
    <s v="SC"/>
    <n v="342.43"/>
    <n v="1"/>
    <n v="0.68200000000000005"/>
    <n v="6500948"/>
    <x v="0"/>
    <s v="Porto Alegre"/>
    <s v="Convencional"/>
    <n v="4"/>
    <d v="2018-07-20T00:00:00"/>
    <x v="188"/>
    <x v="0"/>
    <d v="2018-07-24T00:00:00"/>
    <x v="1"/>
    <x v="0"/>
    <n v="0"/>
    <n v="1"/>
  </r>
  <r>
    <d v="2018-07-19T00:00:00"/>
    <n v="11048"/>
    <s v="WHPOA"/>
    <s v="Porto Alegre"/>
    <s v="RS"/>
    <n v="4083"/>
    <x v="71"/>
    <s v="Sao Jose Do Rio Preto"/>
    <s v="SP"/>
    <x v="2"/>
    <s v="SP"/>
    <n v="638.51"/>
    <n v="2"/>
    <n v="26.84"/>
    <n v="6400835"/>
    <x v="3"/>
    <s v="Guarulhos"/>
    <s v="Convencional"/>
    <n v="7"/>
    <d v="2018-07-20T00:00:00"/>
    <x v="189"/>
    <x v="0"/>
    <d v="2018-07-27T00:00:00"/>
    <x v="1"/>
    <x v="0"/>
    <n v="0"/>
    <n v="1"/>
  </r>
  <r>
    <d v="2018-07-19T00:00:00"/>
    <n v="11049"/>
    <s v="WHRJ"/>
    <s v="Rio De Janeiro"/>
    <s v="RJ"/>
    <n v="4083"/>
    <x v="71"/>
    <s v="Sao Jose Do Rio Preto"/>
    <s v="SP"/>
    <x v="2"/>
    <s v="SP"/>
    <n v="674.2"/>
    <n v="2"/>
    <n v="1.3640000000000001"/>
    <n v="6400835"/>
    <x v="3"/>
    <s v="Guarulhos"/>
    <s v="Convencional"/>
    <n v="11"/>
    <d v="2018-07-20T00:00:00"/>
    <x v="180"/>
    <x v="0"/>
    <d v="2018-07-31T00:00:00"/>
    <x v="0"/>
    <x v="0"/>
    <n v="1"/>
    <n v="1"/>
  </r>
  <r>
    <d v="2018-07-19T00:00:00"/>
    <n v="11050"/>
    <s v="WHPOA"/>
    <s v="Porto Alegre"/>
    <s v="RS"/>
    <n v="4083"/>
    <x v="71"/>
    <s v="Sao Jose Do Rio Preto"/>
    <s v="SP"/>
    <x v="2"/>
    <s v="SP"/>
    <n v="1084.0999999999999"/>
    <n v="2"/>
    <n v="2.802"/>
    <n v="6400835"/>
    <x v="3"/>
    <s v="Guarulhos"/>
    <s v="Convencional"/>
    <n v="4"/>
    <d v="2018-07-20T00:00:00"/>
    <x v="190"/>
    <x v="0"/>
    <d v="2018-07-24T00:00:00"/>
    <x v="1"/>
    <x v="0"/>
    <n v="0"/>
    <n v="1"/>
  </r>
  <r>
    <d v="2018-07-19T00:00:00"/>
    <n v="11051"/>
    <s v="WHPOA"/>
    <s v="Porto Alegre"/>
    <s v="RS"/>
    <n v="4083"/>
    <x v="71"/>
    <s v="Sao Jose Do Rio Preto"/>
    <s v="SP"/>
    <x v="2"/>
    <s v="SP"/>
    <n v="3587.6"/>
    <n v="2"/>
    <n v="26.18"/>
    <n v="6400835"/>
    <x v="3"/>
    <s v="Guarulhos"/>
    <s v="Convencional"/>
    <n v="3"/>
    <d v="2018-07-20T00:00:00"/>
    <x v="184"/>
    <x v="0"/>
    <d v="2018-07-23T00:00:00"/>
    <x v="0"/>
    <x v="0"/>
    <n v="1"/>
    <n v="1"/>
  </r>
  <r>
    <d v="2018-07-19T00:00:00"/>
    <n v="11052"/>
    <s v="WHSJC"/>
    <s v="Sao Jose dos Campos"/>
    <s v="SP"/>
    <n v="4083"/>
    <x v="71"/>
    <s v="Sao Jose Do Rio Preto"/>
    <s v="SP"/>
    <x v="2"/>
    <s v="SP"/>
    <n v="698.59"/>
    <n v="3"/>
    <n v="3.528"/>
    <n v="6400835"/>
    <x v="3"/>
    <s v="Guarulhos"/>
    <s v="Convencional"/>
    <n v="2"/>
    <d v="2018-07-20T00:00:00"/>
    <x v="187"/>
    <x v="0"/>
    <d v="2018-07-22T00:00:00"/>
    <x v="1"/>
    <x v="0"/>
    <n v="0"/>
    <n v="1"/>
  </r>
  <r>
    <d v="2018-07-19T00:00:00"/>
    <n v="11053"/>
    <s v="WHVIT"/>
    <s v="Vitoria"/>
    <s v="ES"/>
    <n v="4083"/>
    <x v="71"/>
    <s v="Sao Jose Do Rio Preto"/>
    <s v="SP"/>
    <x v="2"/>
    <s v="SP"/>
    <n v="329.09"/>
    <n v="1"/>
    <n v="0.68200000000000005"/>
    <n v="6400835"/>
    <x v="3"/>
    <s v="Guarulhos"/>
    <s v="Convencional"/>
    <n v="8"/>
    <d v="2018-07-20T00:00:00"/>
    <x v="191"/>
    <x v="0"/>
    <d v="2018-07-28T00:00:00"/>
    <x v="0"/>
    <x v="0"/>
    <n v="1"/>
    <n v="1"/>
  </r>
  <r>
    <d v="2018-07-20T00:00:00"/>
    <n v="11054"/>
    <s v="WHRJ"/>
    <s v="Rio De Janeiro"/>
    <s v="RJ"/>
    <n v="4049"/>
    <x v="43"/>
    <s v="Taguatinga"/>
    <s v="DF"/>
    <x v="1"/>
    <s v="DF"/>
    <n v="319.25"/>
    <n v="1"/>
    <n v="13.42"/>
    <n v="6100231"/>
    <x v="1"/>
    <s v="Goiania"/>
    <s v="Convencional"/>
    <n v="11"/>
    <d v="2018-07-21T00:00:00"/>
    <x v="189"/>
    <x v="0"/>
    <d v="2018-08-01T00:00:00"/>
    <x v="0"/>
    <x v="0"/>
    <n v="1"/>
    <n v="1"/>
  </r>
  <r>
    <d v="2018-07-20T00:00:00"/>
    <n v="11055"/>
    <s v="WHSAO"/>
    <s v="Sao Paulo"/>
    <s v="SP"/>
    <n v="4049"/>
    <x v="43"/>
    <s v="Taguatinga"/>
    <s v="DF"/>
    <x v="1"/>
    <s v="DF"/>
    <n v="1718.52"/>
    <n v="5"/>
    <n v="8.1289999999999996"/>
    <n v="6100231"/>
    <x v="1"/>
    <s v="Goiania"/>
    <s v="Convencional"/>
    <n v="10"/>
    <d v="2018-07-21T00:00:00"/>
    <x v="184"/>
    <x v="0"/>
    <d v="2018-07-31T00:00:00"/>
    <x v="0"/>
    <x v="0"/>
    <n v="1"/>
    <n v="1"/>
  </r>
  <r>
    <d v="2018-07-20T00:00:00"/>
    <n v="11056"/>
    <s v="WHBH"/>
    <s v="Belo Horizonte"/>
    <s v="MG"/>
    <n v="4022"/>
    <x v="19"/>
    <s v="Maringa"/>
    <s v="PR"/>
    <x v="0"/>
    <s v="PR"/>
    <n v="646.12"/>
    <n v="1"/>
    <n v="1.65"/>
    <n v="6500948"/>
    <x v="0"/>
    <s v="Porto Alegre"/>
    <s v="Convencional"/>
    <n v="1"/>
    <d v="2018-07-21T00:00:00"/>
    <x v="190"/>
    <x v="0"/>
    <d v="2018-07-22T00:00:00"/>
    <x v="1"/>
    <x v="0"/>
    <n v="0"/>
    <n v="1"/>
  </r>
  <r>
    <d v="2018-07-20T00:00:00"/>
    <n v="11057"/>
    <s v="WHRJ"/>
    <s v="Rio De Janeiro"/>
    <s v="RJ"/>
    <n v="4049"/>
    <x v="43"/>
    <s v="Taguatinga"/>
    <s v="DF"/>
    <x v="1"/>
    <s v="DF"/>
    <n v="95.16"/>
    <n v="4"/>
    <n v="26.114999999999998"/>
    <n v="6100231"/>
    <x v="1"/>
    <s v="Goiania"/>
    <s v="Convencional"/>
    <n v="8"/>
    <d v="2018-07-21T00:00:00"/>
    <x v="185"/>
    <x v="0"/>
    <d v="2018-07-29T00:00:00"/>
    <x v="0"/>
    <x v="0"/>
    <n v="1"/>
    <n v="1"/>
  </r>
  <r>
    <d v="2018-07-20T00:00:00"/>
    <n v="11058"/>
    <s v="WHSAO"/>
    <s v="Sao Paulo"/>
    <s v="SP"/>
    <n v="4030"/>
    <x v="30"/>
    <s v="Belo Horizonte"/>
    <s v="MG"/>
    <x v="2"/>
    <s v="MG"/>
    <n v="7227.51"/>
    <n v="1"/>
    <n v="1.1200000000000001"/>
    <n v="6600879"/>
    <x v="2"/>
    <s v="Belo Horizonte"/>
    <s v="Convencional"/>
    <n v="12"/>
    <d v="2018-07-21T00:00:00"/>
    <x v="189"/>
    <x v="0"/>
    <d v="2018-08-02T00:00:00"/>
    <x v="0"/>
    <x v="0"/>
    <n v="1"/>
    <n v="1"/>
  </r>
  <r>
    <d v="2018-07-20T00:00:00"/>
    <n v="11059"/>
    <s v="WHSAO"/>
    <s v="Sao Paulo"/>
    <s v="SP"/>
    <n v="4049"/>
    <x v="43"/>
    <s v="Taguatinga"/>
    <s v="DF"/>
    <x v="1"/>
    <s v="DF"/>
    <n v="1744.28"/>
    <n v="1"/>
    <n v="14.3"/>
    <n v="6100231"/>
    <x v="1"/>
    <s v="Goiania"/>
    <s v="Convencional"/>
    <n v="2"/>
    <d v="2018-07-21T00:00:00"/>
    <x v="184"/>
    <x v="0"/>
    <d v="2018-07-23T00:00:00"/>
    <x v="0"/>
    <x v="0"/>
    <n v="1"/>
    <n v="1"/>
  </r>
  <r>
    <d v="2018-07-20T00:00:00"/>
    <n v="11060"/>
    <s v="WHCPQ"/>
    <s v="Campinas"/>
    <s v="SP"/>
    <n v="4030"/>
    <x v="30"/>
    <s v="Belo Horizonte"/>
    <s v="MG"/>
    <x v="2"/>
    <s v="MG"/>
    <n v="409.57"/>
    <n v="1"/>
    <n v="4.4409999999999998"/>
    <n v="6600879"/>
    <x v="2"/>
    <s v="Belo Horizonte"/>
    <s v="Convencional"/>
    <n v="8"/>
    <d v="2018-07-21T00:00:00"/>
    <x v="184"/>
    <x v="0"/>
    <d v="2018-07-29T00:00:00"/>
    <x v="0"/>
    <x v="0"/>
    <n v="1"/>
    <n v="1"/>
  </r>
  <r>
    <d v="2018-07-20T00:00:00"/>
    <n v="11061"/>
    <s v="WHPOA"/>
    <s v="Porto Alegre"/>
    <s v="RS"/>
    <n v="4049"/>
    <x v="43"/>
    <s v="Taguatinga"/>
    <s v="DF"/>
    <x v="1"/>
    <s v="DF"/>
    <n v="1134.6099999999999"/>
    <n v="1"/>
    <n v="3.347"/>
    <n v="6100231"/>
    <x v="1"/>
    <s v="Goiania"/>
    <s v="Convencional"/>
    <n v="5"/>
    <d v="2018-07-21T00:00:00"/>
    <x v="190"/>
    <x v="2"/>
    <d v="2018-07-26T00:00:00"/>
    <x v="0"/>
    <x v="1"/>
    <n v="0"/>
    <n v="1"/>
  </r>
  <r>
    <d v="2018-07-20T00:00:00"/>
    <n v="11062"/>
    <s v="WHVIT"/>
    <s v="Vitoria"/>
    <s v="ES"/>
    <n v="4049"/>
    <x v="43"/>
    <s v="Taguatinga"/>
    <s v="DF"/>
    <x v="1"/>
    <s v="DF"/>
    <n v="2620.39"/>
    <n v="3"/>
    <n v="8.0510000000000002"/>
    <n v="6100231"/>
    <x v="1"/>
    <s v="Goiania"/>
    <s v="Convencional"/>
    <n v="4"/>
    <d v="2018-07-21T00:00:00"/>
    <x v="188"/>
    <x v="0"/>
    <d v="2018-07-25T00:00:00"/>
    <x v="1"/>
    <x v="0"/>
    <n v="0"/>
    <n v="1"/>
  </r>
  <r>
    <d v="2018-07-20T00:00:00"/>
    <n v="11063"/>
    <s v="WHSJC"/>
    <s v="Sao Jose dos Campos"/>
    <s v="SP"/>
    <n v="4049"/>
    <x v="43"/>
    <s v="Taguatinga"/>
    <s v="DF"/>
    <x v="1"/>
    <s v="DF"/>
    <n v="380.2"/>
    <n v="1"/>
    <n v="2.419"/>
    <n v="6100231"/>
    <x v="1"/>
    <s v="Goiania"/>
    <s v="Convencional"/>
    <n v="11"/>
    <d v="2018-07-21T00:00:00"/>
    <x v="187"/>
    <x v="0"/>
    <d v="2018-08-01T00:00:00"/>
    <x v="0"/>
    <x v="0"/>
    <n v="1"/>
    <n v="1"/>
  </r>
  <r>
    <d v="2018-07-20T00:00:00"/>
    <n v="11064"/>
    <s v="WHBH"/>
    <s v="Belo Horizonte"/>
    <s v="MG"/>
    <n v="4049"/>
    <x v="43"/>
    <s v="Taguatinga"/>
    <s v="DF"/>
    <x v="1"/>
    <s v="DF"/>
    <n v="137.66"/>
    <n v="1"/>
    <n v="1.65"/>
    <n v="6100231"/>
    <x v="1"/>
    <s v="Goiania"/>
    <s v="Convencional"/>
    <n v="6"/>
    <d v="2018-07-21T00:00:00"/>
    <x v="189"/>
    <x v="0"/>
    <d v="2018-07-27T00:00:00"/>
    <x v="1"/>
    <x v="0"/>
    <n v="0"/>
    <n v="1"/>
  </r>
  <r>
    <d v="2018-07-20T00:00:00"/>
    <n v="11065"/>
    <s v="WHSAO"/>
    <s v="Sao Paulo"/>
    <s v="SP"/>
    <n v="4049"/>
    <x v="43"/>
    <s v="Taguatinga"/>
    <s v="DF"/>
    <x v="1"/>
    <s v="DF"/>
    <n v="1184.42"/>
    <n v="1"/>
    <n v="14.907"/>
    <n v="6100231"/>
    <x v="1"/>
    <s v="Goiania"/>
    <s v="Convencional"/>
    <n v="12"/>
    <d v="2018-07-21T00:00:00"/>
    <x v="189"/>
    <x v="0"/>
    <d v="2018-08-02T00:00:00"/>
    <x v="0"/>
    <x v="0"/>
    <n v="1"/>
    <n v="1"/>
  </r>
  <r>
    <d v="2018-07-20T00:00:00"/>
    <n v="11066"/>
    <s v="WHSJC"/>
    <s v="Sao Jose dos Campos"/>
    <s v="SP"/>
    <n v="4049"/>
    <x v="43"/>
    <s v="Taguatinga"/>
    <s v="DF"/>
    <x v="1"/>
    <s v="DF"/>
    <n v="636.20000000000005"/>
    <n v="1"/>
    <n v="1.65"/>
    <n v="6100231"/>
    <x v="1"/>
    <s v="Goiania"/>
    <s v="Convencional"/>
    <n v="8"/>
    <d v="2018-07-21T00:00:00"/>
    <x v="190"/>
    <x v="2"/>
    <d v="2018-07-29T00:00:00"/>
    <x v="0"/>
    <x v="1"/>
    <n v="0"/>
    <n v="1"/>
  </r>
  <r>
    <d v="2018-07-24T00:00:00"/>
    <n v="11067"/>
    <s v="WHSAO"/>
    <s v="Sao Paulo"/>
    <s v="SP"/>
    <n v="4113"/>
    <x v="101"/>
    <s v="Rio De Janeiro"/>
    <s v="RJ"/>
    <x v="2"/>
    <s v="RJ"/>
    <n v="306.94"/>
    <n v="1"/>
    <n v="0.98599999999999999"/>
    <n v="6140092"/>
    <x v="4"/>
    <s v="Rio de Janeiro"/>
    <s v="Convencional"/>
    <n v="5"/>
    <d v="2018-07-25T00:00:00"/>
    <x v="192"/>
    <x v="0"/>
    <d v="2018-07-30T00:00:00"/>
    <x v="0"/>
    <x v="0"/>
    <n v="1"/>
    <n v="1"/>
  </r>
  <r>
    <d v="2018-07-25T00:00:00"/>
    <n v="11068"/>
    <s v="WHRJ"/>
    <s v="Rio De Janeiro"/>
    <s v="RJ"/>
    <n v="4023"/>
    <x v="20"/>
    <s v="Sao Jose"/>
    <s v="SC"/>
    <x v="0"/>
    <s v="SC"/>
    <n v="702.69"/>
    <n v="2"/>
    <n v="2.3380000000000001"/>
    <n v="6500948"/>
    <x v="0"/>
    <s v="Porto Alegre"/>
    <s v="Convencional"/>
    <n v="12"/>
    <d v="2018-07-26T00:00:00"/>
    <x v="193"/>
    <x v="0"/>
    <d v="2018-08-07T00:00:00"/>
    <x v="0"/>
    <x v="0"/>
    <n v="1"/>
    <n v="1"/>
  </r>
  <r>
    <d v="2018-07-26T00:00:00"/>
    <n v="11069"/>
    <s v="WHBH"/>
    <s v="Belo Horizonte"/>
    <s v="MG"/>
    <n v="4016"/>
    <x v="6"/>
    <s v="Pocos De Caldas"/>
    <s v="MG"/>
    <x v="2"/>
    <s v="MG"/>
    <n v="638.51"/>
    <n v="2"/>
    <n v="26.84"/>
    <n v="6600879"/>
    <x v="2"/>
    <s v="Belo Horizonte"/>
    <s v="Convencional"/>
    <n v="4"/>
    <d v="2018-07-26T00:00:00"/>
    <x v="194"/>
    <x v="2"/>
    <d v="2018-07-30T00:00:00"/>
    <x v="1"/>
    <x v="1"/>
    <n v="0"/>
    <n v="1"/>
  </r>
  <r>
    <d v="2018-07-25T00:00:00"/>
    <n v="11070"/>
    <s v="WHPOA"/>
    <s v="Porto Alegre"/>
    <s v="RS"/>
    <n v="4016"/>
    <x v="6"/>
    <s v="Pocos De Caldas"/>
    <s v="MG"/>
    <x v="2"/>
    <s v="MG"/>
    <n v="1509.53"/>
    <n v="1"/>
    <n v="13.2"/>
    <n v="6600879"/>
    <x v="2"/>
    <s v="Belo Horizonte"/>
    <s v="Convencional"/>
    <n v="4"/>
    <d v="2018-07-26T00:00:00"/>
    <x v="193"/>
    <x v="0"/>
    <d v="2018-07-30T00:00:00"/>
    <x v="1"/>
    <x v="0"/>
    <n v="0"/>
    <n v="1"/>
  </r>
  <r>
    <d v="2018-07-25T00:00:00"/>
    <n v="11071"/>
    <s v="WHVIT"/>
    <s v="Vitoria"/>
    <s v="ES"/>
    <n v="4016"/>
    <x v="6"/>
    <s v="Pocos De Caldas"/>
    <s v="MG"/>
    <x v="2"/>
    <s v="MG"/>
    <n v="1358.73"/>
    <n v="1"/>
    <n v="3.1749999999999998"/>
    <n v="6600879"/>
    <x v="2"/>
    <s v="Belo Horizonte"/>
    <s v="Convencional"/>
    <n v="10"/>
    <d v="2018-07-26T00:00:00"/>
    <x v="185"/>
    <x v="2"/>
    <d v="2018-08-05T00:00:00"/>
    <x v="0"/>
    <x v="1"/>
    <n v="0"/>
    <n v="1"/>
  </r>
  <r>
    <d v="2018-07-27T00:00:00"/>
    <n v="11072"/>
    <s v="WHVIT"/>
    <s v="Vitoria"/>
    <s v="ES"/>
    <n v="4017"/>
    <x v="10"/>
    <s v="Itajai"/>
    <s v="SC"/>
    <x v="0"/>
    <s v="SC"/>
    <n v="687.57"/>
    <n v="1"/>
    <n v="3.8719999999999999"/>
    <n v="6500948"/>
    <x v="0"/>
    <s v="Porto Alegre"/>
    <s v="Convencional"/>
    <n v="9"/>
    <d v="2018-07-28T00:00:00"/>
    <x v="195"/>
    <x v="0"/>
    <d v="2018-08-06T00:00:00"/>
    <x v="0"/>
    <x v="0"/>
    <n v="1"/>
    <n v="1"/>
  </r>
  <r>
    <d v="2018-07-27T00:00:00"/>
    <n v="11073"/>
    <s v="WHVIT"/>
    <s v="Vitoria"/>
    <s v="ES"/>
    <n v="4114"/>
    <x v="102"/>
    <s v="Rio De Janeiro"/>
    <s v="RJ"/>
    <x v="2"/>
    <s v="RJ"/>
    <n v="145.01"/>
    <n v="1"/>
    <n v="0.99"/>
    <n v="6140092"/>
    <x v="4"/>
    <s v="Rio de Janeiro"/>
    <s v="Convencional"/>
    <n v="2"/>
    <d v="2018-07-28T00:00:00"/>
    <x v="189"/>
    <x v="0"/>
    <d v="2018-07-30T00:00:00"/>
    <x v="0"/>
    <x v="0"/>
    <n v="1"/>
    <n v="1"/>
  </r>
  <r>
    <d v="2018-07-27T00:00:00"/>
    <n v="11074"/>
    <s v="WHCPQ"/>
    <s v="Campinas"/>
    <s v="SP"/>
    <n v="4115"/>
    <x v="103"/>
    <s v="Rio De Janeiro"/>
    <s v="RJ"/>
    <x v="2"/>
    <s v="RJ"/>
    <n v="409.49"/>
    <n v="1"/>
    <n v="1.163"/>
    <n v="6140092"/>
    <x v="4"/>
    <s v="Rio de Janeiro"/>
    <s v="Convencional"/>
    <n v="7"/>
    <d v="2018-07-28T00:00:00"/>
    <x v="196"/>
    <x v="0"/>
    <d v="2018-08-04T00:00:00"/>
    <x v="0"/>
    <x v="0"/>
    <n v="1"/>
    <n v="1"/>
  </r>
  <r>
    <d v="2018-07-27T00:00:00"/>
    <n v="11075"/>
    <s v="WHSJC"/>
    <s v="Sao Jose dos Campos"/>
    <s v="SP"/>
    <n v="4116"/>
    <x v="104"/>
    <s v="Rio De Janeiro"/>
    <s v="RJ"/>
    <x v="2"/>
    <s v="RJ"/>
    <n v="425.76"/>
    <n v="1"/>
    <n v="1.1200000000000001"/>
    <n v="6140092"/>
    <x v="4"/>
    <s v="Rio de Janeiro"/>
    <s v="Convencional"/>
    <n v="8"/>
    <d v="2018-07-28T00:00:00"/>
    <x v="197"/>
    <x v="0"/>
    <d v="2018-08-05T00:00:00"/>
    <x v="1"/>
    <x v="0"/>
    <n v="0"/>
    <n v="1"/>
  </r>
  <r>
    <d v="2018-07-27T00:00:00"/>
    <n v="11076"/>
    <s v="WHPOA"/>
    <s v="Porto Alegre"/>
    <s v="RS"/>
    <n v="4117"/>
    <x v="105"/>
    <s v="Sao Paulo"/>
    <s v="SP"/>
    <x v="2"/>
    <s v="SP"/>
    <n v="195.8"/>
    <n v="1"/>
    <n v="0.35"/>
    <n v="6400835"/>
    <x v="3"/>
    <s v="Guarulhos"/>
    <s v="Convencional"/>
    <n v="1"/>
    <d v="2018-07-28T00:00:00"/>
    <x v="195"/>
    <x v="0"/>
    <d v="2018-07-29T00:00:00"/>
    <x v="1"/>
    <x v="0"/>
    <n v="0"/>
    <n v="1"/>
  </r>
  <r>
    <d v="2018-07-27T00:00:00"/>
    <n v="11077"/>
    <s v="WHRJ"/>
    <s v="Rio De Janeiro"/>
    <s v="RJ"/>
    <n v="4094"/>
    <x v="82"/>
    <s v="Manaus"/>
    <s v="AM"/>
    <x v="4"/>
    <s v="AM"/>
    <n v="5777.71"/>
    <n v="4"/>
    <n v="20.815999999999999"/>
    <n v="6700091"/>
    <x v="6"/>
    <s v="Manaus"/>
    <s v="Convencional"/>
    <n v="4"/>
    <d v="2018-07-28T00:00:00"/>
    <x v="198"/>
    <x v="0"/>
    <d v="2018-08-01T00:00:00"/>
    <x v="1"/>
    <x v="0"/>
    <n v="0"/>
    <n v="1"/>
  </r>
  <r>
    <d v="2018-07-30T00:00:00"/>
    <n v="11078"/>
    <s v="WHPOA"/>
    <s v="Porto Alegre"/>
    <s v="RS"/>
    <n v="4018"/>
    <x v="12"/>
    <s v="Sao Jose"/>
    <s v="SC"/>
    <x v="0"/>
    <s v="SC"/>
    <n v="3036.56"/>
    <n v="1"/>
    <n v="6.1379999999999999"/>
    <n v="6500948"/>
    <x v="0"/>
    <s v="Porto Alegre"/>
    <s v="Convencional"/>
    <n v="4"/>
    <d v="2018-07-31T00:00:00"/>
    <x v="199"/>
    <x v="0"/>
    <d v="2018-08-04T00:00:00"/>
    <x v="1"/>
    <x v="0"/>
    <n v="0"/>
    <n v="1"/>
  </r>
  <r>
    <d v="2018-07-30T00:00:00"/>
    <n v="11079"/>
    <s v="WHSJC"/>
    <s v="Sao Jose dos Campos"/>
    <s v="SP"/>
    <n v="4056"/>
    <x v="44"/>
    <s v="Goiania"/>
    <s v="GO"/>
    <x v="1"/>
    <s v="GO"/>
    <n v="1686.97"/>
    <n v="1"/>
    <n v="3.41"/>
    <n v="6100231"/>
    <x v="1"/>
    <s v="Goiania"/>
    <s v="Convencional"/>
    <n v="3"/>
    <d v="2018-07-31T00:00:00"/>
    <x v="200"/>
    <x v="0"/>
    <d v="2018-08-03T00:00:00"/>
    <x v="0"/>
    <x v="0"/>
    <n v="1"/>
    <n v="1"/>
  </r>
  <r>
    <d v="2018-07-30T00:00:00"/>
    <n v="11080"/>
    <s v="WHCPQ"/>
    <s v="Campinas"/>
    <s v="SP"/>
    <n v="4044"/>
    <x v="48"/>
    <s v="Belo Horizonte"/>
    <s v="MG"/>
    <x v="2"/>
    <s v="MG"/>
    <n v="592.5"/>
    <n v="1"/>
    <n v="1.9139999999999999"/>
    <n v="6600879"/>
    <x v="2"/>
    <s v="Belo Horizonte"/>
    <s v="Convencional"/>
    <n v="6"/>
    <d v="2018-07-31T00:00:00"/>
    <x v="196"/>
    <x v="0"/>
    <d v="2018-08-06T00:00:00"/>
    <x v="0"/>
    <x v="0"/>
    <n v="1"/>
    <n v="1"/>
  </r>
  <r>
    <d v="2018-07-30T00:00:00"/>
    <n v="11081"/>
    <s v="WHRJ"/>
    <s v="Rio De Janeiro"/>
    <s v="RJ"/>
    <n v="4045"/>
    <x v="49"/>
    <s v="Belo Horizonte"/>
    <s v="MG"/>
    <x v="2"/>
    <s v="MG"/>
    <n v="2038.24"/>
    <n v="1"/>
    <n v="9.91"/>
    <n v="6600879"/>
    <x v="2"/>
    <s v="Belo Horizonte"/>
    <s v="Convencional"/>
    <n v="6"/>
    <d v="2018-07-31T00:00:00"/>
    <x v="200"/>
    <x v="0"/>
    <d v="2018-08-06T00:00:00"/>
    <x v="0"/>
    <x v="0"/>
    <n v="1"/>
    <n v="1"/>
  </r>
  <r>
    <d v="2018-07-30T00:00:00"/>
    <n v="11082"/>
    <s v="WHPOA"/>
    <s v="Porto Alegre"/>
    <s v="RS"/>
    <n v="4056"/>
    <x v="44"/>
    <s v="Goiania"/>
    <s v="GO"/>
    <x v="1"/>
    <s v="GO"/>
    <n v="763.31"/>
    <n v="1"/>
    <n v="1.2030000000000001"/>
    <n v="6100231"/>
    <x v="1"/>
    <s v="Goiania"/>
    <s v="Convencional"/>
    <n v="8"/>
    <d v="2018-07-31T00:00:00"/>
    <x v="201"/>
    <x v="0"/>
    <d v="2018-08-08T00:00:00"/>
    <x v="1"/>
    <x v="0"/>
    <n v="0"/>
    <n v="1"/>
  </r>
  <r>
    <d v="2018-07-30T00:00:00"/>
    <n v="11083"/>
    <s v="WHSJC"/>
    <s v="Sao Jose dos Campos"/>
    <s v="SP"/>
    <n v="4044"/>
    <x v="48"/>
    <s v="Belo Horizonte"/>
    <s v="MG"/>
    <x v="2"/>
    <s v="MG"/>
    <n v="3624.21"/>
    <n v="2"/>
    <n v="7.5019999999999998"/>
    <n v="6600879"/>
    <x v="2"/>
    <s v="Belo Horizonte"/>
    <s v="Convencional"/>
    <n v="3"/>
    <d v="2018-07-31T00:00:00"/>
    <x v="196"/>
    <x v="0"/>
    <d v="2018-08-03T00:00:00"/>
    <x v="1"/>
    <x v="0"/>
    <n v="0"/>
    <n v="1"/>
  </r>
  <r>
    <d v="2018-07-30T00:00:00"/>
    <n v="11084"/>
    <s v="WHRJ"/>
    <s v="Rio De Janeiro"/>
    <s v="RJ"/>
    <n v="4045"/>
    <x v="49"/>
    <s v="Belo Horizonte"/>
    <s v="MG"/>
    <x v="2"/>
    <s v="MG"/>
    <n v="3436.72"/>
    <n v="9"/>
    <n v="6.0049999999999999"/>
    <n v="6600879"/>
    <x v="2"/>
    <s v="Belo Horizonte"/>
    <s v="Convencional"/>
    <n v="6"/>
    <d v="2018-07-31T00:00:00"/>
    <x v="198"/>
    <x v="0"/>
    <d v="2018-08-06T00:00:00"/>
    <x v="0"/>
    <x v="0"/>
    <n v="1"/>
    <n v="1"/>
  </r>
  <r>
    <d v="2018-07-30T00:00:00"/>
    <n v="11085"/>
    <s v="WHVIT"/>
    <s v="Vitoria"/>
    <s v="ES"/>
    <n v="4056"/>
    <x v="44"/>
    <s v="Goiania"/>
    <s v="GO"/>
    <x v="1"/>
    <s v="GO"/>
    <n v="158.6"/>
    <n v="1"/>
    <n v="1.1200000000000001"/>
    <n v="6100231"/>
    <x v="1"/>
    <s v="Goiania"/>
    <s v="Convencional"/>
    <n v="5"/>
    <d v="2018-07-31T00:00:00"/>
    <x v="195"/>
    <x v="0"/>
    <d v="2018-08-05T00:00:00"/>
    <x v="0"/>
    <x v="0"/>
    <n v="1"/>
    <n v="1"/>
  </r>
  <r>
    <d v="2018-07-30T00:00:00"/>
    <n v="11086"/>
    <s v="WHSAO"/>
    <s v="Sao Paulo"/>
    <s v="SP"/>
    <n v="4044"/>
    <x v="48"/>
    <s v="Belo Horizonte"/>
    <s v="MG"/>
    <x v="2"/>
    <s v="MG"/>
    <n v="1572.57"/>
    <n v="4"/>
    <n v="1.8149999999999999"/>
    <n v="6600879"/>
    <x v="2"/>
    <s v="Belo Horizonte"/>
    <s v="Convencional"/>
    <n v="2"/>
    <d v="2018-07-31T00:00:00"/>
    <x v="196"/>
    <x v="0"/>
    <d v="2018-08-02T00:00:00"/>
    <x v="1"/>
    <x v="0"/>
    <n v="0"/>
    <n v="1"/>
  </r>
  <r>
    <d v="2018-07-30T00:00:00"/>
    <n v="11087"/>
    <s v="WHSAO"/>
    <s v="Sao Paulo"/>
    <s v="SP"/>
    <n v="4045"/>
    <x v="49"/>
    <s v="Belo Horizonte"/>
    <s v="MG"/>
    <x v="2"/>
    <s v="MG"/>
    <n v="292.57"/>
    <n v="1"/>
    <n v="8.4809999999999999"/>
    <n v="6600879"/>
    <x v="2"/>
    <s v="Belo Horizonte"/>
    <s v="Convencional"/>
    <n v="1"/>
    <d v="2018-07-31T00:00:00"/>
    <x v="196"/>
    <x v="0"/>
    <d v="2018-08-01T00:00:00"/>
    <x v="1"/>
    <x v="0"/>
    <n v="0"/>
    <n v="1"/>
  </r>
  <r>
    <d v="2018-07-30T00:00:00"/>
    <n v="11088"/>
    <s v="WHPOA"/>
    <s v="Porto Alegre"/>
    <s v="RS"/>
    <n v="4046"/>
    <x v="38"/>
    <s v="Belo Horizonte"/>
    <s v="MG"/>
    <x v="2"/>
    <s v="MG"/>
    <n v="297.11"/>
    <n v="1"/>
    <n v="4.4000000000000004"/>
    <n v="6600879"/>
    <x v="2"/>
    <s v="Belo Horizonte"/>
    <s v="Convencional"/>
    <n v="7"/>
    <d v="2018-07-31T00:00:00"/>
    <x v="199"/>
    <x v="0"/>
    <d v="2018-08-07T00:00:00"/>
    <x v="1"/>
    <x v="0"/>
    <n v="0"/>
    <n v="1"/>
  </r>
  <r>
    <d v="2018-07-30T00:00:00"/>
    <n v="11089"/>
    <s v="WHRJ"/>
    <s v="Rio De Janeiro"/>
    <s v="RJ"/>
    <n v="4046"/>
    <x v="38"/>
    <s v="Belo Horizonte"/>
    <s v="MG"/>
    <x v="2"/>
    <s v="MG"/>
    <n v="1266.7"/>
    <n v="2"/>
    <n v="7.0919999999999996"/>
    <n v="6600879"/>
    <x v="2"/>
    <s v="Belo Horizonte"/>
    <s v="Convencional"/>
    <n v="7"/>
    <d v="2018-07-31T00:00:00"/>
    <x v="202"/>
    <x v="0"/>
    <d v="2018-08-07T00:00:00"/>
    <x v="0"/>
    <x v="0"/>
    <n v="1"/>
    <n v="1"/>
  </r>
  <r>
    <d v="2018-07-30T00:00:00"/>
    <n v="11090"/>
    <s v="WHSJC"/>
    <s v="Sao Jose dos Campos"/>
    <s v="SP"/>
    <n v="4046"/>
    <x v="38"/>
    <s v="Belo Horizonte"/>
    <s v="MG"/>
    <x v="2"/>
    <s v="MG"/>
    <n v="149.35"/>
    <n v="1"/>
    <n v="2.2000000000000002"/>
    <n v="6600879"/>
    <x v="2"/>
    <s v="Belo Horizonte"/>
    <s v="Convencional"/>
    <n v="9"/>
    <d v="2018-07-31T00:00:00"/>
    <x v="201"/>
    <x v="0"/>
    <d v="2018-08-09T00:00:00"/>
    <x v="1"/>
    <x v="0"/>
    <n v="0"/>
    <n v="1"/>
  </r>
  <r>
    <d v="2018-07-31T00:00:00"/>
    <n v="11091"/>
    <s v="WHRJ"/>
    <s v="Rio De Janeiro"/>
    <s v="RJ"/>
    <n v="4108"/>
    <x v="96"/>
    <s v="Rio De Janeiro"/>
    <s v="RJ"/>
    <x v="2"/>
    <s v="RJ"/>
    <n v="754.06"/>
    <n v="3"/>
    <n v="1.43"/>
    <n v="6140092"/>
    <x v="4"/>
    <s v="Rio de Janeiro"/>
    <s v="Convencional"/>
    <n v="7"/>
    <d v="2018-08-01T00:00:00"/>
    <x v="197"/>
    <x v="0"/>
    <d v="2018-08-08T00:00:00"/>
    <x v="0"/>
    <x v="0"/>
    <n v="1"/>
    <n v="1"/>
  </r>
  <r>
    <d v="2018-07-31T00:00:00"/>
    <n v="11092"/>
    <s v="WHPOA"/>
    <s v="Porto Alegre"/>
    <s v="RS"/>
    <n v="4108"/>
    <x v="96"/>
    <s v="Rio De Janeiro"/>
    <s v="RJ"/>
    <x v="2"/>
    <s v="RJ"/>
    <n v="2187.88"/>
    <n v="3"/>
    <n v="33"/>
    <n v="6140092"/>
    <x v="4"/>
    <s v="Rio de Janeiro"/>
    <s v="Convencional"/>
    <n v="4"/>
    <d v="2018-08-01T00:00:00"/>
    <x v="203"/>
    <x v="0"/>
    <d v="2018-08-05T00:00:00"/>
    <x v="1"/>
    <x v="0"/>
    <n v="0"/>
    <n v="1"/>
  </r>
  <r>
    <d v="2018-07-31T00:00:00"/>
    <n v="11093"/>
    <s v="WHSAO"/>
    <s v="Sao Paulo"/>
    <s v="SP"/>
    <n v="4108"/>
    <x v="96"/>
    <s v="Rio De Janeiro"/>
    <s v="RJ"/>
    <x v="2"/>
    <s v="RJ"/>
    <n v="756.51"/>
    <n v="2"/>
    <n v="2.2370000000000001"/>
    <n v="6140092"/>
    <x v="4"/>
    <s v="Rio de Janeiro"/>
    <s v="Convencional"/>
    <n v="8"/>
    <d v="2018-08-01T00:00:00"/>
    <x v="201"/>
    <x v="0"/>
    <d v="2018-08-09T00:00:00"/>
    <x v="1"/>
    <x v="0"/>
    <n v="0"/>
    <n v="1"/>
  </r>
  <r>
    <d v="2018-07-31T00:00:00"/>
    <n v="11094"/>
    <s v="WHVIT"/>
    <s v="Vitoria"/>
    <s v="ES"/>
    <n v="4108"/>
    <x v="96"/>
    <s v="Rio De Janeiro"/>
    <s v="RJ"/>
    <x v="2"/>
    <s v="RJ"/>
    <n v="1259.8"/>
    <n v="3"/>
    <n v="3.3919999999999999"/>
    <n v="6140092"/>
    <x v="4"/>
    <s v="Rio de Janeiro"/>
    <s v="Convencional"/>
    <n v="4"/>
    <d v="2018-08-01T00:00:00"/>
    <x v="198"/>
    <x v="0"/>
    <d v="2018-08-05T00:00:00"/>
    <x v="1"/>
    <x v="0"/>
    <n v="0"/>
    <n v="1"/>
  </r>
  <r>
    <d v="2018-07-31T00:00:00"/>
    <n v="11095"/>
    <s v="WHRJ"/>
    <s v="Rio De Janeiro"/>
    <s v="RJ"/>
    <n v="4108"/>
    <x v="96"/>
    <s v="Rio De Janeiro"/>
    <s v="RJ"/>
    <x v="2"/>
    <s v="RJ"/>
    <n v="13321.6"/>
    <n v="13"/>
    <n v="64.733000000000004"/>
    <n v="6140092"/>
    <x v="4"/>
    <s v="Rio de Janeiro"/>
    <s v="Convencional"/>
    <n v="1"/>
    <d v="2018-08-01T00:00:00"/>
    <x v="197"/>
    <x v="0"/>
    <d v="2018-08-02T00:00:00"/>
    <x v="1"/>
    <x v="0"/>
    <n v="0"/>
    <n v="1"/>
  </r>
  <r>
    <d v="2018-07-31T00:00:00"/>
    <n v="11096"/>
    <s v="WHSAO"/>
    <s v="Sao Paulo"/>
    <s v="SP"/>
    <n v="4108"/>
    <x v="96"/>
    <s v="Rio De Janeiro"/>
    <s v="RJ"/>
    <x v="2"/>
    <s v="RJ"/>
    <n v="738.58"/>
    <n v="1"/>
    <n v="2.202"/>
    <n v="6140092"/>
    <x v="4"/>
    <s v="Rio de Janeiro"/>
    <s v="Convencional"/>
    <n v="9"/>
    <d v="2018-08-01T00:00:00"/>
    <x v="196"/>
    <x v="0"/>
    <d v="2018-08-10T00:00:00"/>
    <x v="0"/>
    <x v="0"/>
    <n v="1"/>
    <n v="1"/>
  </r>
  <r>
    <d v="2018-07-31T00:00:00"/>
    <n v="11097"/>
    <s v="WHVIT"/>
    <s v="Vitoria"/>
    <s v="ES"/>
    <n v="4108"/>
    <x v="96"/>
    <s v="Rio De Janeiro"/>
    <s v="RJ"/>
    <x v="2"/>
    <s v="RJ"/>
    <n v="69.25"/>
    <n v="1"/>
    <n v="0.95699999999999996"/>
    <n v="6140092"/>
    <x v="4"/>
    <s v="Rio de Janeiro"/>
    <s v="Convencional"/>
    <n v="12"/>
    <d v="2018-08-01T00:00:00"/>
    <x v="200"/>
    <x v="0"/>
    <d v="2018-08-13T00:00:00"/>
    <x v="0"/>
    <x v="0"/>
    <n v="1"/>
    <n v="1"/>
  </r>
  <r>
    <d v="2018-07-31T00:00:00"/>
    <n v="11098"/>
    <s v="WHPOA"/>
    <s v="Porto Alegre"/>
    <s v="RS"/>
    <n v="4034"/>
    <x v="36"/>
    <s v="Goiania"/>
    <s v="GO"/>
    <x v="1"/>
    <s v="GO"/>
    <n v="12528.34"/>
    <n v="18"/>
    <n v="59.003999999999998"/>
    <n v="6100231"/>
    <x v="1"/>
    <s v="Goiania"/>
    <s v="Convencional"/>
    <n v="5"/>
    <d v="2018-08-01T00:00:00"/>
    <x v="202"/>
    <x v="0"/>
    <d v="2018-08-06T00:00:00"/>
    <x v="0"/>
    <x v="0"/>
    <n v="1"/>
    <n v="1"/>
  </r>
  <r>
    <d v="2018-08-01T00:00:00"/>
    <n v="11099"/>
    <s v="WHRJ"/>
    <s v="Rio De Janeiro"/>
    <s v="RJ"/>
    <n v="4084"/>
    <x v="72"/>
    <s v="Aracatuba"/>
    <s v="SP"/>
    <x v="2"/>
    <s v="SP"/>
    <n v="518.34"/>
    <n v="1"/>
    <n v="3.96"/>
    <n v="6400835"/>
    <x v="3"/>
    <s v="Guarulhos"/>
    <s v="Convencional"/>
    <n v="11"/>
    <d v="2018-08-02T00:00:00"/>
    <x v="204"/>
    <x v="0"/>
    <d v="2018-08-13T00:00:00"/>
    <x v="0"/>
    <x v="0"/>
    <n v="1"/>
    <n v="1"/>
  </r>
  <r>
    <d v="2018-08-01T00:00:00"/>
    <n v="11100"/>
    <s v="WHSAO"/>
    <s v="Sao Paulo"/>
    <s v="SP"/>
    <n v="4024"/>
    <x v="21"/>
    <s v="Porto Alegre"/>
    <s v="RS"/>
    <x v="0"/>
    <s v="RS"/>
    <n v="1239.32"/>
    <n v="1"/>
    <n v="14.3"/>
    <n v="6500948"/>
    <x v="0"/>
    <s v="Porto Alegre"/>
    <s v="Convencional"/>
    <n v="5"/>
    <d v="2018-08-02T00:00:00"/>
    <x v="201"/>
    <x v="0"/>
    <d v="2018-08-07T00:00:00"/>
    <x v="1"/>
    <x v="0"/>
    <n v="0"/>
    <n v="1"/>
  </r>
  <r>
    <d v="2018-08-02T00:00:00"/>
    <n v="11101"/>
    <s v="WHCPQ"/>
    <s v="Campinas"/>
    <s v="SP"/>
    <n v="4014"/>
    <x v="3"/>
    <s v="Ipatinga"/>
    <s v="MG"/>
    <x v="2"/>
    <s v="MG"/>
    <n v="3137.47"/>
    <n v="4"/>
    <n v="28.914999999999999"/>
    <n v="6600879"/>
    <x v="2"/>
    <s v="Belo Horizonte"/>
    <s v="Convencional"/>
    <n v="3"/>
    <d v="2018-08-02T00:00:00"/>
    <x v="204"/>
    <x v="0"/>
    <d v="2018-08-05T00:00:00"/>
    <x v="1"/>
    <x v="0"/>
    <n v="0"/>
    <n v="1"/>
  </r>
  <r>
    <d v="2018-08-01T00:00:00"/>
    <n v="11102"/>
    <s v="WHBH"/>
    <s v="Belo Horizonte"/>
    <s v="MG"/>
    <n v="4014"/>
    <x v="3"/>
    <s v="Ipatinga"/>
    <s v="MG"/>
    <x v="2"/>
    <s v="MG"/>
    <n v="7003.51"/>
    <n v="11"/>
    <n v="66.061999999999998"/>
    <n v="6600879"/>
    <x v="2"/>
    <s v="Belo Horizonte"/>
    <s v="Convencional"/>
    <n v="11"/>
    <d v="2018-08-02T00:00:00"/>
    <x v="203"/>
    <x v="0"/>
    <d v="2018-08-13T00:00:00"/>
    <x v="0"/>
    <x v="0"/>
    <n v="1"/>
    <n v="1"/>
  </r>
  <r>
    <d v="2018-08-01T00:00:00"/>
    <n v="11103"/>
    <s v="WHRJ"/>
    <s v="Rio De Janeiro"/>
    <s v="RJ"/>
    <n v="4014"/>
    <x v="3"/>
    <s v="Ipatinga"/>
    <s v="MG"/>
    <x v="2"/>
    <s v="MG"/>
    <n v="3922.29"/>
    <n v="2"/>
    <n v="6.8869999999999996"/>
    <n v="6600879"/>
    <x v="2"/>
    <s v="Belo Horizonte"/>
    <s v="Convencional"/>
    <n v="7"/>
    <d v="2018-08-02T00:00:00"/>
    <x v="195"/>
    <x v="0"/>
    <d v="2018-08-09T00:00:00"/>
    <x v="0"/>
    <x v="0"/>
    <n v="1"/>
    <n v="1"/>
  </r>
  <r>
    <d v="2018-08-01T00:00:00"/>
    <n v="11104"/>
    <s v="WHVIT"/>
    <s v="Vitoria"/>
    <s v="ES"/>
    <n v="4014"/>
    <x v="3"/>
    <s v="Ipatinga"/>
    <s v="MG"/>
    <x v="2"/>
    <s v="MG"/>
    <n v="2105.3200000000002"/>
    <n v="3"/>
    <n v="17.82"/>
    <n v="6600879"/>
    <x v="2"/>
    <s v="Belo Horizonte"/>
    <s v="Convencional"/>
    <n v="11"/>
    <d v="2018-08-02T00:00:00"/>
    <x v="203"/>
    <x v="0"/>
    <d v="2018-08-13T00:00:00"/>
    <x v="0"/>
    <x v="0"/>
    <n v="1"/>
    <n v="1"/>
  </r>
  <r>
    <d v="2018-08-03T00:00:00"/>
    <n v="11105"/>
    <s v="WHPOA"/>
    <s v="Porto Alegre"/>
    <s v="RS"/>
    <n v="4022"/>
    <x v="19"/>
    <s v="Maringa"/>
    <s v="PR"/>
    <x v="0"/>
    <s v="PR"/>
    <n v="398.43"/>
    <n v="1"/>
    <n v="5.5060000000000002"/>
    <n v="6500948"/>
    <x v="0"/>
    <s v="Porto Alegre"/>
    <s v="Convencional"/>
    <n v="5"/>
    <d v="2018-08-04T00:00:00"/>
    <x v="205"/>
    <x v="0"/>
    <d v="2018-08-09T00:00:00"/>
    <x v="1"/>
    <x v="0"/>
    <n v="0"/>
    <n v="1"/>
  </r>
  <r>
    <d v="2018-08-06T00:00:00"/>
    <n v="11106"/>
    <s v="WHRJ"/>
    <s v="Rio De Janeiro"/>
    <s v="RJ"/>
    <n v="4035"/>
    <x v="37"/>
    <s v="Brasilia"/>
    <s v="DF"/>
    <x v="1"/>
    <s v="DF"/>
    <n v="6010.08"/>
    <n v="7"/>
    <n v="40.076999999999998"/>
    <n v="6100231"/>
    <x v="1"/>
    <s v="Goiania"/>
    <s v="Convencional"/>
    <n v="5"/>
    <d v="2018-08-07T00:00:00"/>
    <x v="206"/>
    <x v="0"/>
    <d v="2018-08-12T00:00:00"/>
    <x v="1"/>
    <x v="0"/>
    <n v="0"/>
    <n v="1"/>
  </r>
  <r>
    <d v="2018-08-07T00:00:00"/>
    <n v="11107"/>
    <s v="WHPOA"/>
    <s v="Porto Alegre"/>
    <s v="RS"/>
    <n v="4049"/>
    <x v="43"/>
    <s v="Taguatinga"/>
    <s v="DF"/>
    <x v="1"/>
    <s v="DF"/>
    <n v="1175.17"/>
    <n v="1"/>
    <n v="11.837999999999999"/>
    <n v="6100231"/>
    <x v="1"/>
    <s v="Goiania"/>
    <s v="Convencional"/>
    <n v="8"/>
    <d v="2018-08-07T00:00:00"/>
    <x v="207"/>
    <x v="0"/>
    <d v="2018-08-15T00:00:00"/>
    <x v="0"/>
    <x v="0"/>
    <n v="1"/>
    <n v="1"/>
  </r>
  <r>
    <d v="2018-08-07T00:00:00"/>
    <n v="11108"/>
    <s v="WHSAO"/>
    <s v="Sao Paulo"/>
    <s v="SP"/>
    <n v="4035"/>
    <x v="37"/>
    <s v="Brasilia"/>
    <s v="DF"/>
    <x v="1"/>
    <s v="DF"/>
    <n v="4713.1000000000004"/>
    <n v="5"/>
    <n v="28.068000000000001"/>
    <n v="6100231"/>
    <x v="1"/>
    <s v="Goiania"/>
    <s v="Convencional"/>
    <n v="1"/>
    <d v="2018-08-07T00:00:00"/>
    <x v="207"/>
    <x v="0"/>
    <d v="2018-08-08T00:00:00"/>
    <x v="1"/>
    <x v="0"/>
    <n v="0"/>
    <n v="1"/>
  </r>
  <r>
    <d v="2018-08-07T00:00:00"/>
    <n v="11109"/>
    <s v="WHVIT"/>
    <s v="Vitoria"/>
    <s v="ES"/>
    <n v="4035"/>
    <x v="37"/>
    <s v="Brasilia"/>
    <s v="DF"/>
    <x v="1"/>
    <s v="DF"/>
    <n v="3106.1"/>
    <n v="5"/>
    <n v="23.381"/>
    <n v="6100231"/>
    <x v="1"/>
    <s v="Goiania"/>
    <s v="Convencional"/>
    <n v="4"/>
    <d v="2018-08-07T00:00:00"/>
    <x v="208"/>
    <x v="0"/>
    <d v="2018-08-11T00:00:00"/>
    <x v="1"/>
    <x v="0"/>
    <n v="0"/>
    <n v="1"/>
  </r>
  <r>
    <d v="2018-08-07T00:00:00"/>
    <n v="11110"/>
    <s v="WHSJC"/>
    <s v="Sao Jose dos Campos"/>
    <s v="SP"/>
    <n v="4049"/>
    <x v="43"/>
    <s v="Taguatinga"/>
    <s v="DF"/>
    <x v="1"/>
    <s v="DF"/>
    <n v="1383.37"/>
    <n v="3"/>
    <n v="15.786"/>
    <n v="6100231"/>
    <x v="1"/>
    <s v="Goiania"/>
    <s v="Convencional"/>
    <n v="6"/>
    <d v="2018-08-07T00:00:00"/>
    <x v="203"/>
    <x v="0"/>
    <d v="2018-08-13T00:00:00"/>
    <x v="0"/>
    <x v="0"/>
    <n v="1"/>
    <n v="1"/>
  </r>
  <r>
    <d v="2018-08-07T00:00:00"/>
    <n v="11111"/>
    <s v="WHPOA"/>
    <s v="Porto Alegre"/>
    <s v="RS"/>
    <n v="4049"/>
    <x v="43"/>
    <s v="Taguatinga"/>
    <s v="DF"/>
    <x v="1"/>
    <s v="DF"/>
    <n v="571.1"/>
    <n v="1"/>
    <n v="1.1200000000000001"/>
    <n v="6100231"/>
    <x v="1"/>
    <s v="Goiania"/>
    <s v="Convencional"/>
    <n v="4"/>
    <d v="2018-08-07T00:00:00"/>
    <x v="203"/>
    <x v="0"/>
    <d v="2018-08-11T00:00:00"/>
    <x v="0"/>
    <x v="0"/>
    <n v="1"/>
    <n v="1"/>
  </r>
  <r>
    <d v="2018-08-07T00:00:00"/>
    <n v="11112"/>
    <s v="WHRJ"/>
    <s v="Rio De Janeiro"/>
    <s v="RJ"/>
    <n v="4049"/>
    <x v="43"/>
    <s v="Taguatinga"/>
    <s v="DF"/>
    <x v="1"/>
    <s v="DF"/>
    <n v="946.68"/>
    <n v="2"/>
    <n v="4.048"/>
    <n v="6100231"/>
    <x v="1"/>
    <s v="Goiania"/>
    <s v="Convencional"/>
    <n v="4"/>
    <d v="2018-08-07T00:00:00"/>
    <x v="205"/>
    <x v="0"/>
    <d v="2018-08-11T00:00:00"/>
    <x v="1"/>
    <x v="0"/>
    <n v="0"/>
    <n v="1"/>
  </r>
  <r>
    <d v="2018-08-07T00:00:00"/>
    <n v="11113"/>
    <s v="WHSAO"/>
    <s v="Sao Paulo"/>
    <s v="SP"/>
    <n v="4049"/>
    <x v="43"/>
    <s v="Taguatinga"/>
    <s v="DF"/>
    <x v="1"/>
    <s v="DF"/>
    <n v="1008.33"/>
    <n v="1"/>
    <n v="9.35"/>
    <n v="6100231"/>
    <x v="1"/>
    <s v="Goiania"/>
    <s v="Convencional"/>
    <n v="4"/>
    <d v="2018-08-07T00:00:00"/>
    <x v="209"/>
    <x v="0"/>
    <d v="2018-08-11T00:00:00"/>
    <x v="1"/>
    <x v="0"/>
    <n v="0"/>
    <n v="1"/>
  </r>
  <r>
    <d v="2018-08-07T00:00:00"/>
    <n v="11114"/>
    <s v="WHPOA"/>
    <s v="Porto Alegre"/>
    <s v="RS"/>
    <n v="4049"/>
    <x v="43"/>
    <s v="Taguatinga"/>
    <s v="DF"/>
    <x v="1"/>
    <s v="DF"/>
    <n v="1232.95"/>
    <n v="1"/>
    <n v="8.6059999999999999"/>
    <n v="6100231"/>
    <x v="1"/>
    <s v="Goiania"/>
    <s v="Convencional"/>
    <n v="9"/>
    <d v="2018-08-07T00:00:00"/>
    <x v="210"/>
    <x v="0"/>
    <d v="2018-08-16T00:00:00"/>
    <x v="1"/>
    <x v="0"/>
    <n v="0"/>
    <n v="1"/>
  </r>
  <r>
    <d v="2018-08-07T00:00:00"/>
    <n v="11115"/>
    <s v="WHPOA"/>
    <s v="Porto Alegre"/>
    <s v="RS"/>
    <n v="4049"/>
    <x v="43"/>
    <s v="Taguatinga"/>
    <s v="DF"/>
    <x v="1"/>
    <s v="DF"/>
    <n v="14582.89"/>
    <n v="17"/>
    <n v="132.86699999999999"/>
    <n v="6100231"/>
    <x v="1"/>
    <s v="Goiania"/>
    <s v="Convencional"/>
    <n v="6"/>
    <d v="2018-08-07T00:00:00"/>
    <x v="203"/>
    <x v="0"/>
    <d v="2018-08-13T00:00:00"/>
    <x v="0"/>
    <x v="0"/>
    <n v="1"/>
    <n v="1"/>
  </r>
  <r>
    <d v="2018-08-07T00:00:00"/>
    <n v="11116"/>
    <s v="WHVIT"/>
    <s v="Vitoria"/>
    <s v="ES"/>
    <n v="4049"/>
    <x v="43"/>
    <s v="Taguatinga"/>
    <s v="DF"/>
    <x v="1"/>
    <s v="DF"/>
    <n v="1123.8"/>
    <n v="6"/>
    <n v="17.224"/>
    <n v="6100231"/>
    <x v="1"/>
    <s v="Goiania"/>
    <s v="Convencional"/>
    <n v="2"/>
    <d v="2018-08-07T00:00:00"/>
    <x v="207"/>
    <x v="0"/>
    <d v="2018-08-09T00:00:00"/>
    <x v="1"/>
    <x v="0"/>
    <n v="0"/>
    <n v="1"/>
  </r>
  <r>
    <d v="2018-08-07T00:00:00"/>
    <n v="11117"/>
    <s v="WHSJC"/>
    <s v="Sao Jose dos Campos"/>
    <s v="SP"/>
    <n v="4049"/>
    <x v="43"/>
    <s v="Taguatinga"/>
    <s v="DF"/>
    <x v="1"/>
    <s v="DF"/>
    <n v="1269.1600000000001"/>
    <n v="1"/>
    <n v="1.1200000000000001"/>
    <n v="6100231"/>
    <x v="1"/>
    <s v="Goiania"/>
    <s v="Convencional"/>
    <n v="12"/>
    <d v="2018-08-07T00:00:00"/>
    <x v="204"/>
    <x v="0"/>
    <d v="2018-08-19T00:00:00"/>
    <x v="0"/>
    <x v="0"/>
    <n v="1"/>
    <n v="1"/>
  </r>
  <r>
    <d v="2018-08-07T00:00:00"/>
    <n v="11118"/>
    <s v="WHSAO"/>
    <s v="Sao Paulo"/>
    <s v="SP"/>
    <n v="4049"/>
    <x v="43"/>
    <s v="Taguatinga"/>
    <s v="DF"/>
    <x v="1"/>
    <s v="DF"/>
    <n v="1239.32"/>
    <n v="1"/>
    <n v="14.3"/>
    <n v="6100231"/>
    <x v="1"/>
    <s v="Goiania"/>
    <s v="Convencional"/>
    <n v="9"/>
    <d v="2018-08-07T00:00:00"/>
    <x v="203"/>
    <x v="0"/>
    <d v="2018-08-16T00:00:00"/>
    <x v="0"/>
    <x v="0"/>
    <n v="1"/>
    <n v="1"/>
  </r>
  <r>
    <d v="2018-08-09T00:00:00"/>
    <n v="11119"/>
    <s v="WHSAO"/>
    <s v="Sao Paulo"/>
    <s v="SP"/>
    <n v="4060"/>
    <x v="56"/>
    <s v="Sinop"/>
    <s v="MT"/>
    <x v="1"/>
    <s v="MT"/>
    <n v="269.87"/>
    <n v="1"/>
    <n v="5.5"/>
    <n v="6100231"/>
    <x v="1"/>
    <s v="Goiania"/>
    <s v="Convencional"/>
    <n v="9"/>
    <d v="2018-08-09T00:00:00"/>
    <x v="203"/>
    <x v="0"/>
    <d v="2018-08-18T00:00:00"/>
    <x v="0"/>
    <x v="0"/>
    <n v="1"/>
    <n v="1"/>
  </r>
  <r>
    <d v="2018-08-09T00:00:00"/>
    <n v="11120"/>
    <s v="WHSAO"/>
    <s v="Sao Paulo"/>
    <s v="SP"/>
    <n v="4012"/>
    <x v="0"/>
    <s v="Sao Jose Dos Pinhais"/>
    <s v="PR"/>
    <x v="0"/>
    <s v="PR"/>
    <n v="1584.68"/>
    <n v="3"/>
    <n v="14.904999999999999"/>
    <n v="6500948"/>
    <x v="0"/>
    <s v="Porto Alegre"/>
    <s v="Convencional"/>
    <n v="10"/>
    <d v="2018-08-09T00:00:00"/>
    <x v="208"/>
    <x v="0"/>
    <d v="2018-08-19T00:00:00"/>
    <x v="0"/>
    <x v="0"/>
    <n v="1"/>
    <n v="1"/>
  </r>
  <r>
    <d v="2018-08-09T00:00:00"/>
    <n v="11121"/>
    <s v="WHBH"/>
    <s v="Belo Horizonte"/>
    <s v="MG"/>
    <n v="4028"/>
    <x v="26"/>
    <s v="Sao Jose Dos Pinhais"/>
    <s v="PR"/>
    <x v="0"/>
    <s v="PR"/>
    <n v="3296.12"/>
    <n v="2"/>
    <n v="5.5919999999999996"/>
    <n v="6500948"/>
    <x v="0"/>
    <s v="Porto Alegre"/>
    <s v="Convencional"/>
    <n v="2"/>
    <d v="2018-08-09T00:00:00"/>
    <x v="208"/>
    <x v="0"/>
    <d v="2018-08-11T00:00:00"/>
    <x v="1"/>
    <x v="0"/>
    <n v="0"/>
    <n v="1"/>
  </r>
  <r>
    <d v="2018-08-09T00:00:00"/>
    <n v="11122"/>
    <s v="WHRJ"/>
    <s v="Rio De Janeiro"/>
    <s v="RJ"/>
    <n v="4027"/>
    <x v="24"/>
    <s v="Novo Hamburgo"/>
    <s v="RS"/>
    <x v="0"/>
    <s v="RS"/>
    <n v="1854.19"/>
    <n v="4"/>
    <n v="16.762"/>
    <n v="6500948"/>
    <x v="0"/>
    <s v="Porto Alegre"/>
    <s v="Convencional"/>
    <n v="10"/>
    <d v="2018-08-09T00:00:00"/>
    <x v="209"/>
    <x v="0"/>
    <d v="2018-08-19T00:00:00"/>
    <x v="0"/>
    <x v="0"/>
    <n v="1"/>
    <n v="1"/>
  </r>
  <r>
    <d v="2018-08-09T00:00:00"/>
    <n v="11123"/>
    <s v="WHPOA"/>
    <s v="Porto Alegre"/>
    <s v="RS"/>
    <n v="4027"/>
    <x v="24"/>
    <s v="Novo Hamburgo"/>
    <s v="RS"/>
    <x v="0"/>
    <s v="RS"/>
    <n v="1477.17"/>
    <n v="2"/>
    <n v="4.4039999999999999"/>
    <n v="6500948"/>
    <x v="0"/>
    <s v="Porto Alegre"/>
    <s v="Convencional"/>
    <n v="11"/>
    <d v="2018-08-09T00:00:00"/>
    <x v="209"/>
    <x v="0"/>
    <d v="2018-08-20T00:00:00"/>
    <x v="0"/>
    <x v="0"/>
    <n v="1"/>
    <n v="1"/>
  </r>
  <r>
    <d v="2018-08-09T00:00:00"/>
    <n v="11124"/>
    <s v="WHBH"/>
    <s v="Belo Horizonte"/>
    <s v="MG"/>
    <n v="4040"/>
    <x v="42"/>
    <s v="Brasilia"/>
    <s v="DF"/>
    <x v="1"/>
    <s v="DF"/>
    <n v="1239.5"/>
    <n v="1"/>
    <n v="8.6059999999999999"/>
    <n v="6100231"/>
    <x v="1"/>
    <s v="Goiania"/>
    <s v="Convencional"/>
    <n v="8"/>
    <d v="2018-08-09T00:00:00"/>
    <x v="210"/>
    <x v="0"/>
    <d v="2018-08-17T00:00:00"/>
    <x v="0"/>
    <x v="0"/>
    <n v="1"/>
    <n v="1"/>
  </r>
  <r>
    <d v="2018-08-09T00:00:00"/>
    <n v="11125"/>
    <s v="WHSAO"/>
    <s v="Sao Paulo"/>
    <s v="SP"/>
    <n v="4055"/>
    <x v="45"/>
    <s v="Brasilia"/>
    <s v="DF"/>
    <x v="1"/>
    <s v="DF"/>
    <n v="1148.76"/>
    <n v="1"/>
    <n v="11.837999999999999"/>
    <n v="6100231"/>
    <x v="1"/>
    <s v="Goiania"/>
    <s v="Convencional"/>
    <n v="4"/>
    <d v="2018-08-09T00:00:00"/>
    <x v="210"/>
    <x v="0"/>
    <d v="2018-08-13T00:00:00"/>
    <x v="1"/>
    <x v="0"/>
    <n v="0"/>
    <n v="1"/>
  </r>
  <r>
    <d v="2018-08-09T00:00:00"/>
    <n v="11126"/>
    <s v="WHPOA"/>
    <s v="Porto Alegre"/>
    <s v="RS"/>
    <n v="4062"/>
    <x v="27"/>
    <s v="Taguatinga"/>
    <s v="DF"/>
    <x v="1"/>
    <s v="DF"/>
    <n v="661.03"/>
    <n v="1"/>
    <n v="0.63600000000000001"/>
    <n v="6100231"/>
    <x v="1"/>
    <s v="Goiania"/>
    <s v="Convencional"/>
    <n v="6"/>
    <d v="2018-08-09T00:00:00"/>
    <x v="211"/>
    <x v="0"/>
    <d v="2018-08-15T00:00:00"/>
    <x v="1"/>
    <x v="0"/>
    <n v="0"/>
    <n v="1"/>
  </r>
  <r>
    <d v="2018-08-09T00:00:00"/>
    <n v="11127"/>
    <s v="WHSAO"/>
    <s v="Sao Paulo"/>
    <s v="SP"/>
    <n v="4028"/>
    <x v="26"/>
    <s v="Sao Jose Dos Pinhais"/>
    <s v="PR"/>
    <x v="0"/>
    <s v="PR"/>
    <n v="5004.83"/>
    <n v="8"/>
    <n v="22.023"/>
    <n v="6500948"/>
    <x v="0"/>
    <s v="Porto Alegre"/>
    <s v="Convencional"/>
    <n v="11"/>
    <d v="2018-08-09T00:00:00"/>
    <x v="205"/>
    <x v="0"/>
    <d v="2018-08-20T00:00:00"/>
    <x v="0"/>
    <x v="0"/>
    <n v="1"/>
    <n v="1"/>
  </r>
  <r>
    <d v="2018-08-09T00:00:00"/>
    <n v="11128"/>
    <s v="WHBH"/>
    <s v="Belo Horizonte"/>
    <s v="MG"/>
    <n v="4032"/>
    <x v="34"/>
    <s v="Goiania"/>
    <s v="GO"/>
    <x v="1"/>
    <s v="GO"/>
    <n v="1239.5"/>
    <n v="1"/>
    <n v="8.6059999999999999"/>
    <n v="6100231"/>
    <x v="1"/>
    <s v="Goiania"/>
    <s v="Convencional"/>
    <n v="8"/>
    <d v="2018-08-09T00:00:00"/>
    <x v="212"/>
    <x v="0"/>
    <d v="2018-08-17T00:00:00"/>
    <x v="1"/>
    <x v="0"/>
    <n v="0"/>
    <n v="1"/>
  </r>
  <r>
    <d v="2018-08-09T00:00:00"/>
    <n v="11129"/>
    <s v="WHCPQ"/>
    <s v="Campinas"/>
    <s v="SP"/>
    <n v="4040"/>
    <x v="42"/>
    <s v="Brasilia"/>
    <s v="DF"/>
    <x v="1"/>
    <s v="DF"/>
    <n v="518.34"/>
    <n v="1"/>
    <n v="3.96"/>
    <n v="6100231"/>
    <x v="1"/>
    <s v="Goiania"/>
    <s v="Convencional"/>
    <n v="9"/>
    <d v="2018-08-09T00:00:00"/>
    <x v="208"/>
    <x v="0"/>
    <d v="2018-08-18T00:00:00"/>
    <x v="0"/>
    <x v="0"/>
    <n v="1"/>
    <n v="1"/>
  </r>
  <r>
    <d v="2018-08-09T00:00:00"/>
    <n v="11130"/>
    <s v="WHVIT"/>
    <s v="Vitoria"/>
    <s v="ES"/>
    <n v="4055"/>
    <x v="45"/>
    <s v="Brasilia"/>
    <s v="DF"/>
    <x v="1"/>
    <s v="DF"/>
    <n v="778.28"/>
    <n v="2"/>
    <n v="10.808999999999999"/>
    <n v="6100231"/>
    <x v="1"/>
    <s v="Goiania"/>
    <s v="Convencional"/>
    <n v="3"/>
    <d v="2018-08-09T00:00:00"/>
    <x v="212"/>
    <x v="0"/>
    <d v="2018-08-12T00:00:00"/>
    <x v="1"/>
    <x v="0"/>
    <n v="0"/>
    <n v="1"/>
  </r>
  <r>
    <d v="2018-08-09T00:00:00"/>
    <n v="11131"/>
    <s v="WHSAO"/>
    <s v="Sao Paulo"/>
    <s v="SP"/>
    <n v="4062"/>
    <x v="27"/>
    <s v="Taguatinga"/>
    <s v="DF"/>
    <x v="1"/>
    <s v="DF"/>
    <n v="1052.21"/>
    <n v="1"/>
    <n v="9.9"/>
    <n v="6100231"/>
    <x v="1"/>
    <s v="Goiania"/>
    <s v="Convencional"/>
    <n v="7"/>
    <d v="2018-08-09T00:00:00"/>
    <x v="212"/>
    <x v="1"/>
    <d v="2018-08-16T00:00:00"/>
    <x v="1"/>
    <x v="1"/>
    <n v="0"/>
    <n v="1"/>
  </r>
  <r>
    <d v="2018-08-09T00:00:00"/>
    <n v="11132"/>
    <s v="WHRJ"/>
    <s v="Rio De Janeiro"/>
    <s v="RJ"/>
    <n v="4030"/>
    <x v="30"/>
    <s v="Belo Horizonte"/>
    <s v="MG"/>
    <x v="2"/>
    <s v="MG"/>
    <n v="1933.69"/>
    <n v="1"/>
    <n v="5.0049999999999999"/>
    <n v="6600879"/>
    <x v="2"/>
    <s v="Belo Horizonte"/>
    <s v="Convencional"/>
    <n v="4"/>
    <d v="2018-08-09T00:00:00"/>
    <x v="201"/>
    <x v="0"/>
    <d v="2018-08-13T00:00:00"/>
    <x v="0"/>
    <x v="0"/>
    <n v="1"/>
    <n v="1"/>
  </r>
  <r>
    <d v="2018-08-09T00:00:00"/>
    <n v="11133"/>
    <s v="WHRJ"/>
    <s v="Rio De Janeiro"/>
    <s v="RJ"/>
    <n v="4030"/>
    <x v="30"/>
    <s v="Belo Horizonte"/>
    <s v="MG"/>
    <x v="2"/>
    <s v="MG"/>
    <n v="624.47"/>
    <n v="2"/>
    <n v="3.1970000000000001"/>
    <n v="6600879"/>
    <x v="2"/>
    <s v="Belo Horizonte"/>
    <s v="Convencional"/>
    <n v="7"/>
    <d v="2018-08-09T00:00:00"/>
    <x v="210"/>
    <x v="0"/>
    <d v="2018-08-16T00:00:00"/>
    <x v="1"/>
    <x v="0"/>
    <n v="0"/>
    <n v="1"/>
  </r>
  <r>
    <d v="2018-08-10T00:00:00"/>
    <n v="11134"/>
    <s v="WHSAO"/>
    <s v="Sao Paulo"/>
    <s v="SP"/>
    <n v="4068"/>
    <x v="4"/>
    <s v="Campo Grande"/>
    <s v="MS"/>
    <x v="1"/>
    <s v="MS"/>
    <n v="523.15"/>
    <n v="1"/>
    <n v="2.024"/>
    <n v="6100231"/>
    <x v="1"/>
    <s v="Goiania"/>
    <s v="Convencional"/>
    <n v="6"/>
    <d v="2018-08-10T00:00:00"/>
    <x v="206"/>
    <x v="0"/>
    <d v="2018-08-16T00:00:00"/>
    <x v="0"/>
    <x v="0"/>
    <n v="1"/>
    <n v="1"/>
  </r>
  <r>
    <d v="2018-08-10T00:00:00"/>
    <n v="11135"/>
    <s v="WHSAO"/>
    <s v="Sao Paulo"/>
    <s v="SP"/>
    <n v="4064"/>
    <x v="53"/>
    <s v="Presidente Prudente"/>
    <s v="SP"/>
    <x v="2"/>
    <s v="SP"/>
    <n v="232.87"/>
    <n v="1"/>
    <n v="0.93799999999999994"/>
    <n v="6400835"/>
    <x v="3"/>
    <s v="Guarulhos"/>
    <s v="Convencional"/>
    <n v="2"/>
    <d v="2018-08-10T00:00:00"/>
    <x v="213"/>
    <x v="0"/>
    <d v="2018-08-12T00:00:00"/>
    <x v="1"/>
    <x v="0"/>
    <n v="0"/>
    <n v="1"/>
  </r>
  <r>
    <d v="2018-08-10T00:00:00"/>
    <n v="11136"/>
    <s v="WHSJC"/>
    <s v="Sao Jose dos Campos"/>
    <s v="SP"/>
    <n v="4064"/>
    <x v="53"/>
    <s v="Presidente Prudente"/>
    <s v="SP"/>
    <x v="2"/>
    <s v="SP"/>
    <n v="254.4"/>
    <n v="2"/>
    <n v="17.213000000000001"/>
    <n v="6400835"/>
    <x v="3"/>
    <s v="Guarulhos"/>
    <s v="Urgente"/>
    <n v="9"/>
    <d v="2018-08-10T00:00:00"/>
    <x v="203"/>
    <x v="0"/>
    <d v="2018-08-19T00:00:00"/>
    <x v="0"/>
    <x v="0"/>
    <n v="1"/>
    <n v="1"/>
  </r>
  <r>
    <d v="2018-08-10T00:00:00"/>
    <n v="11137"/>
    <s v="WHVIT"/>
    <s v="Vitoria"/>
    <s v="ES"/>
    <n v="4064"/>
    <x v="53"/>
    <s v="Presidente Prudente"/>
    <s v="SP"/>
    <x v="2"/>
    <s v="SP"/>
    <n v="33.17"/>
    <n v="1"/>
    <n v="5.5E-2"/>
    <n v="6400835"/>
    <x v="3"/>
    <s v="Guarulhos"/>
    <s v="Convencional"/>
    <n v="2"/>
    <d v="2018-08-10T00:00:00"/>
    <x v="209"/>
    <x v="0"/>
    <d v="2018-08-12T00:00:00"/>
    <x v="1"/>
    <x v="0"/>
    <n v="0"/>
    <n v="1"/>
  </r>
  <r>
    <d v="2018-08-10T00:00:00"/>
    <n v="11138"/>
    <s v="WHCPQ"/>
    <s v="Campinas"/>
    <s v="SP"/>
    <n v="4064"/>
    <x v="53"/>
    <s v="Presidente Prudente"/>
    <s v="SP"/>
    <x v="2"/>
    <s v="SP"/>
    <n v="1432.76"/>
    <n v="2"/>
    <n v="2.3769999999999998"/>
    <n v="6400835"/>
    <x v="3"/>
    <s v="Guarulhos"/>
    <s v="Convencional"/>
    <n v="10"/>
    <d v="2018-08-10T00:00:00"/>
    <x v="212"/>
    <x v="1"/>
    <d v="2018-08-20T00:00:00"/>
    <x v="0"/>
    <x v="1"/>
    <n v="0"/>
    <n v="1"/>
  </r>
  <r>
    <d v="2018-08-11T00:00:00"/>
    <n v="11139"/>
    <s v="WHVIT"/>
    <s v="Vitoria"/>
    <s v="ES"/>
    <n v="4069"/>
    <x v="57"/>
    <s v="Brasilia"/>
    <s v="DF"/>
    <x v="1"/>
    <s v="DF"/>
    <n v="5620.34"/>
    <n v="5"/>
    <n v="17.937000000000001"/>
    <n v="6100231"/>
    <x v="1"/>
    <s v="Goiania"/>
    <s v="Convencional"/>
    <n v="10"/>
    <d v="2018-08-11T00:00:00"/>
    <x v="214"/>
    <x v="0"/>
    <d v="2018-08-21T00:00:00"/>
    <x v="0"/>
    <x v="0"/>
    <n v="1"/>
    <n v="1"/>
  </r>
  <r>
    <d v="2018-08-11T00:00:00"/>
    <n v="11140"/>
    <s v="WHSJC"/>
    <s v="Sao Jose dos Campos"/>
    <s v="SP"/>
    <n v="4022"/>
    <x v="19"/>
    <s v="Maringa"/>
    <s v="PR"/>
    <x v="0"/>
    <s v="PR"/>
    <n v="777.23"/>
    <n v="1"/>
    <n v="4.95"/>
    <n v="6500948"/>
    <x v="0"/>
    <s v="Porto Alegre"/>
    <s v="Convencional"/>
    <n v="4"/>
    <d v="2018-08-11T00:00:00"/>
    <x v="211"/>
    <x v="0"/>
    <d v="2018-08-15T00:00:00"/>
    <x v="1"/>
    <x v="0"/>
    <n v="0"/>
    <n v="1"/>
  </r>
  <r>
    <d v="2018-08-11T00:00:00"/>
    <n v="11141"/>
    <s v="WHSJC"/>
    <s v="Sao Jose dos Campos"/>
    <s v="SP"/>
    <n v="4016"/>
    <x v="6"/>
    <s v="Pocos De Caldas"/>
    <s v="MG"/>
    <x v="2"/>
    <s v="MG"/>
    <n v="1846.41"/>
    <n v="3"/>
    <n v="35.97"/>
    <n v="6600879"/>
    <x v="2"/>
    <s v="Belo Horizonte"/>
    <s v="Convencional"/>
    <n v="5"/>
    <d v="2018-08-11T00:00:00"/>
    <x v="211"/>
    <x v="0"/>
    <d v="2018-08-16T00:00:00"/>
    <x v="1"/>
    <x v="0"/>
    <n v="0"/>
    <n v="1"/>
  </r>
  <r>
    <d v="2018-08-14T00:00:00"/>
    <n v="11142"/>
    <s v="WHSAO"/>
    <s v="Sao Paulo"/>
    <s v="SP"/>
    <n v="4041"/>
    <x v="16"/>
    <s v="Goiania"/>
    <s v="GO"/>
    <x v="1"/>
    <s v="GO"/>
    <n v="640.21"/>
    <n v="2"/>
    <n v="8.8089999999999993"/>
    <n v="6100231"/>
    <x v="1"/>
    <s v="Goiania"/>
    <s v="Convencional"/>
    <n v="1"/>
    <d v="2018-08-14T00:00:00"/>
    <x v="206"/>
    <x v="1"/>
    <d v="2018-08-15T00:00:00"/>
    <x v="0"/>
    <x v="1"/>
    <n v="0"/>
    <n v="1"/>
  </r>
  <r>
    <d v="2018-08-14T00:00:00"/>
    <n v="11143"/>
    <s v="WHRJ"/>
    <s v="Rio De Janeiro"/>
    <s v="RJ"/>
    <n v="4041"/>
    <x v="16"/>
    <s v="Goiania"/>
    <s v="GO"/>
    <x v="1"/>
    <s v="GO"/>
    <n v="2713.89"/>
    <n v="3"/>
    <n v="22.173999999999999"/>
    <n v="6100231"/>
    <x v="1"/>
    <s v="Goiania"/>
    <s v="Urgente"/>
    <n v="1"/>
    <d v="2018-08-14T00:00:00"/>
    <x v="206"/>
    <x v="0"/>
    <d v="2018-08-15T00:00:00"/>
    <x v="0"/>
    <x v="0"/>
    <n v="1"/>
    <n v="1"/>
  </r>
  <r>
    <d v="2018-08-14T00:00:00"/>
    <n v="11144"/>
    <s v="WHSJC"/>
    <s v="Sao Jose dos Campos"/>
    <s v="SP"/>
    <n v="4041"/>
    <x v="16"/>
    <s v="Goiania"/>
    <s v="GO"/>
    <x v="1"/>
    <s v="GO"/>
    <n v="1232.8699999999999"/>
    <n v="1"/>
    <n v="16.72"/>
    <n v="6100231"/>
    <x v="1"/>
    <s v="Goiania"/>
    <s v="Convencional"/>
    <n v="2"/>
    <d v="2018-08-14T00:00:00"/>
    <x v="212"/>
    <x v="0"/>
    <d v="2018-08-16T00:00:00"/>
    <x v="1"/>
    <x v="0"/>
    <n v="0"/>
    <n v="1"/>
  </r>
  <r>
    <d v="2018-08-14T00:00:00"/>
    <n v="11145"/>
    <s v="WHSJC"/>
    <s v="Sao Jose dos Campos"/>
    <s v="SP"/>
    <n v="4041"/>
    <x v="16"/>
    <s v="Goiania"/>
    <s v="GO"/>
    <x v="1"/>
    <s v="GO"/>
    <n v="3259.94"/>
    <n v="3"/>
    <n v="20.405000000000001"/>
    <n v="6100231"/>
    <x v="1"/>
    <s v="Goiania"/>
    <s v="Convencional"/>
    <n v="6"/>
    <d v="2018-08-14T00:00:00"/>
    <x v="208"/>
    <x v="0"/>
    <d v="2018-08-20T00:00:00"/>
    <x v="0"/>
    <x v="0"/>
    <n v="1"/>
    <n v="1"/>
  </r>
  <r>
    <d v="2018-08-14T00:00:00"/>
    <n v="11146"/>
    <s v="WHCPQ"/>
    <s v="Campinas"/>
    <s v="SP"/>
    <n v="4041"/>
    <x v="16"/>
    <s v="Goiania"/>
    <s v="GO"/>
    <x v="1"/>
    <s v="GO"/>
    <n v="1856.89"/>
    <n v="2"/>
    <n v="7.48"/>
    <n v="6100231"/>
    <x v="1"/>
    <s v="Goiania"/>
    <s v="Convencional"/>
    <n v="12"/>
    <d v="2018-08-14T00:00:00"/>
    <x v="211"/>
    <x v="0"/>
    <d v="2018-08-26T00:00:00"/>
    <x v="0"/>
    <x v="0"/>
    <n v="1"/>
    <n v="1"/>
  </r>
  <r>
    <d v="2018-08-15T00:00:00"/>
    <n v="11147"/>
    <s v="WHVIT"/>
    <s v="Vitoria"/>
    <s v="ES"/>
    <n v="4033"/>
    <x v="35"/>
    <s v="Goiania"/>
    <s v="GO"/>
    <x v="1"/>
    <s v="GO"/>
    <n v="454.7"/>
    <n v="2"/>
    <n v="1.837"/>
    <n v="6100231"/>
    <x v="1"/>
    <s v="Goiania"/>
    <s v="Convencional"/>
    <n v="2"/>
    <d v="2018-08-15T00:00:00"/>
    <x v="211"/>
    <x v="0"/>
    <d v="2018-08-17T00:00:00"/>
    <x v="1"/>
    <x v="0"/>
    <n v="0"/>
    <n v="1"/>
  </r>
  <r>
    <d v="2018-08-15T00:00:00"/>
    <n v="11148"/>
    <s v="WHSAO"/>
    <s v="Sao Paulo"/>
    <s v="SP"/>
    <n v="4023"/>
    <x v="20"/>
    <s v="Sao Jose"/>
    <s v="SC"/>
    <x v="0"/>
    <s v="SC"/>
    <n v="94.38"/>
    <n v="3"/>
    <n v="38.994999999999997"/>
    <n v="6500948"/>
    <x v="0"/>
    <s v="Porto Alegre"/>
    <s v="Convencional"/>
    <n v="5"/>
    <d v="2018-08-15T00:00:00"/>
    <x v="215"/>
    <x v="0"/>
    <d v="2018-08-20T00:00:00"/>
    <x v="1"/>
    <x v="0"/>
    <n v="0"/>
    <n v="1"/>
  </r>
  <r>
    <d v="2018-08-16T00:00:00"/>
    <n v="11149"/>
    <s v="WHPOA"/>
    <s v="Porto Alegre"/>
    <s v="RS"/>
    <n v="4068"/>
    <x v="4"/>
    <s v="Campo Grande"/>
    <s v="MS"/>
    <x v="1"/>
    <s v="MS"/>
    <n v="438.8"/>
    <n v="1"/>
    <n v="1.1200000000000001"/>
    <n v="6100231"/>
    <x v="1"/>
    <s v="Goiania"/>
    <s v="Convencional"/>
    <n v="9"/>
    <d v="2018-08-16T00:00:00"/>
    <x v="215"/>
    <x v="0"/>
    <d v="2018-08-25T00:00:00"/>
    <x v="0"/>
    <x v="0"/>
    <n v="1"/>
    <n v="1"/>
  </r>
  <r>
    <d v="2018-08-17T00:00:00"/>
    <n v="11150"/>
    <s v="WHSJC"/>
    <s v="Sao Jose dos Campos"/>
    <s v="SP"/>
    <n v="4033"/>
    <x v="35"/>
    <s v="Goiania"/>
    <s v="GO"/>
    <x v="1"/>
    <s v="GO"/>
    <n v="2300.35"/>
    <n v="3"/>
    <n v="69.135000000000005"/>
    <n v="6100231"/>
    <x v="1"/>
    <s v="Goiania"/>
    <s v="Convencional"/>
    <n v="12"/>
    <d v="2018-08-17T00:00:00"/>
    <x v="216"/>
    <x v="0"/>
    <d v="2018-08-29T00:00:00"/>
    <x v="0"/>
    <x v="0"/>
    <n v="1"/>
    <n v="1"/>
  </r>
  <r>
    <d v="2018-08-18T00:00:00"/>
    <n v="11151"/>
    <s v="WHSAO"/>
    <s v="Sao Paulo"/>
    <s v="SP"/>
    <n v="4018"/>
    <x v="12"/>
    <s v="Sao Jose"/>
    <s v="SC"/>
    <x v="0"/>
    <s v="SC"/>
    <n v="720.2"/>
    <n v="1"/>
    <n v="21.202999999999999"/>
    <n v="6500948"/>
    <x v="0"/>
    <s v="Porto Alegre"/>
    <s v="Convencional"/>
    <n v="11"/>
    <d v="2018-08-18T00:00:00"/>
    <x v="211"/>
    <x v="2"/>
    <d v="2018-08-29T00:00:00"/>
    <x v="0"/>
    <x v="1"/>
    <n v="0"/>
    <n v="1"/>
  </r>
  <r>
    <d v="2018-08-18T00:00:00"/>
    <n v="11152"/>
    <s v="WHPOA"/>
    <s v="Porto Alegre"/>
    <s v="RS"/>
    <n v="4022"/>
    <x v="19"/>
    <s v="Maringa"/>
    <s v="PR"/>
    <x v="0"/>
    <s v="PR"/>
    <n v="421.94"/>
    <n v="1"/>
    <n v="17.600000000000001"/>
    <n v="6500948"/>
    <x v="0"/>
    <s v="Porto Alegre"/>
    <s v="Convencional"/>
    <n v="12"/>
    <d v="2018-08-18T00:00:00"/>
    <x v="217"/>
    <x v="0"/>
    <d v="2018-08-30T00:00:00"/>
    <x v="0"/>
    <x v="0"/>
    <n v="1"/>
    <n v="1"/>
  </r>
  <r>
    <d v="2018-08-21T00:00:00"/>
    <n v="11153"/>
    <s v="WHPOA"/>
    <s v="Porto Alegre"/>
    <s v="RS"/>
    <n v="4068"/>
    <x v="4"/>
    <s v="Campo Grande"/>
    <s v="MS"/>
    <x v="1"/>
    <s v="MS"/>
    <n v="105.48"/>
    <n v="1"/>
    <n v="4.4000000000000004"/>
    <n v="6100231"/>
    <x v="1"/>
    <s v="Goiania"/>
    <s v="Convencional"/>
    <n v="1"/>
    <d v="2018-08-21T00:00:00"/>
    <x v="218"/>
    <x v="0"/>
    <d v="2018-08-22T00:00:00"/>
    <x v="1"/>
    <x v="0"/>
    <n v="0"/>
    <n v="1"/>
  </r>
  <r>
    <d v="2018-08-21T00:00:00"/>
    <n v="11154"/>
    <s v="WHVIT"/>
    <s v="Vitoria"/>
    <s v="ES"/>
    <n v="4068"/>
    <x v="4"/>
    <s v="Campo Grande"/>
    <s v="MS"/>
    <x v="1"/>
    <s v="MS"/>
    <n v="527.79"/>
    <n v="1"/>
    <n v="15.18"/>
    <n v="6100231"/>
    <x v="1"/>
    <s v="Goiania"/>
    <s v="Convencional"/>
    <n v="12"/>
    <d v="2018-08-21T00:00:00"/>
    <x v="217"/>
    <x v="0"/>
    <d v="2018-09-02T00:00:00"/>
    <x v="0"/>
    <x v="0"/>
    <n v="1"/>
    <n v="1"/>
  </r>
  <r>
    <d v="2018-08-21T00:00:00"/>
    <n v="11155"/>
    <s v="WHSAO"/>
    <s v="Sao Paulo"/>
    <s v="SP"/>
    <n v="4068"/>
    <x v="4"/>
    <s v="Campo Grande"/>
    <s v="MS"/>
    <x v="1"/>
    <s v="MS"/>
    <n v="3371.88"/>
    <n v="5"/>
    <n v="61.93"/>
    <n v="6100231"/>
    <x v="1"/>
    <s v="Goiania"/>
    <s v="Convencional"/>
    <n v="12"/>
    <d v="2018-08-21T00:00:00"/>
    <x v="219"/>
    <x v="0"/>
    <d v="2018-09-02T00:00:00"/>
    <x v="0"/>
    <x v="0"/>
    <n v="1"/>
    <n v="1"/>
  </r>
  <r>
    <d v="2018-08-22T00:00:00"/>
    <n v="11156"/>
    <s v="WHVIT"/>
    <s v="Vitoria"/>
    <s v="ES"/>
    <n v="4069"/>
    <x v="57"/>
    <s v="Brasilia"/>
    <s v="DF"/>
    <x v="1"/>
    <s v="DF"/>
    <n v="6296.23"/>
    <n v="15"/>
    <n v="60.97"/>
    <n v="6100231"/>
    <x v="1"/>
    <s v="Goiania"/>
    <s v="Convencional"/>
    <n v="9"/>
    <d v="2018-08-22T00:00:00"/>
    <x v="220"/>
    <x v="0"/>
    <d v="2018-08-31T00:00:00"/>
    <x v="0"/>
    <x v="0"/>
    <n v="1"/>
    <n v="1"/>
  </r>
  <r>
    <d v="2018-08-22T00:00:00"/>
    <n v="11157"/>
    <s v="WHBH"/>
    <s v="Belo Horizonte"/>
    <s v="MG"/>
    <n v="4023"/>
    <x v="20"/>
    <s v="Sao Jose"/>
    <s v="SC"/>
    <x v="0"/>
    <s v="SC"/>
    <n v="219.4"/>
    <n v="1"/>
    <n v="1.1200000000000001"/>
    <n v="6500948"/>
    <x v="0"/>
    <s v="Porto Alegre"/>
    <s v="Convencional"/>
    <n v="11"/>
    <d v="2018-08-22T00:00:00"/>
    <x v="218"/>
    <x v="0"/>
    <d v="2018-09-02T00:00:00"/>
    <x v="0"/>
    <x v="0"/>
    <n v="1"/>
    <n v="1"/>
  </r>
  <r>
    <d v="2018-08-24T00:00:00"/>
    <n v="11158"/>
    <s v="WHSAO"/>
    <s v="Sao Paulo"/>
    <s v="SP"/>
    <n v="4033"/>
    <x v="35"/>
    <s v="Goiania"/>
    <s v="GO"/>
    <x v="1"/>
    <s v="GO"/>
    <n v="1232.8699999999999"/>
    <n v="1"/>
    <n v="16.72"/>
    <n v="6100231"/>
    <x v="1"/>
    <s v="Goiania"/>
    <s v="Convencional"/>
    <n v="12"/>
    <d v="2018-08-24T00:00:00"/>
    <x v="219"/>
    <x v="0"/>
    <d v="2018-09-05T00:00:00"/>
    <x v="0"/>
    <x v="0"/>
    <n v="1"/>
    <n v="1"/>
  </r>
  <r>
    <d v="2018-08-24T00:00:00"/>
    <n v="11159"/>
    <s v="WHPOA"/>
    <s v="Porto Alegre"/>
    <s v="RS"/>
    <n v="4037"/>
    <x v="39"/>
    <s v="Brasilia"/>
    <s v="DF"/>
    <x v="1"/>
    <s v="DF"/>
    <n v="8331.33"/>
    <n v="10"/>
    <n v="47.488999999999997"/>
    <n v="6100231"/>
    <x v="1"/>
    <s v="Goiania"/>
    <s v="Convencional"/>
    <n v="10"/>
    <d v="2018-08-24T00:00:00"/>
    <x v="221"/>
    <x v="2"/>
    <d v="2018-09-03T00:00:00"/>
    <x v="0"/>
    <x v="1"/>
    <n v="0"/>
    <n v="1"/>
  </r>
  <r>
    <d v="2018-08-24T00:00:00"/>
    <n v="11160"/>
    <s v="WHSJC"/>
    <s v="Sao Jose dos Campos"/>
    <s v="SP"/>
    <n v="4027"/>
    <x v="24"/>
    <s v="Novo Hamburgo"/>
    <s v="RS"/>
    <x v="0"/>
    <s v="RS"/>
    <n v="1305.99"/>
    <n v="2"/>
    <n v="4.6210000000000004"/>
    <n v="6500948"/>
    <x v="0"/>
    <s v="Porto Alegre"/>
    <s v="Convencional"/>
    <n v="6"/>
    <d v="2018-08-24T00:00:00"/>
    <x v="217"/>
    <x v="0"/>
    <d v="2018-08-30T00:00:00"/>
    <x v="0"/>
    <x v="0"/>
    <n v="1"/>
    <n v="1"/>
  </r>
  <r>
    <d v="2018-08-24T00:00:00"/>
    <n v="11161"/>
    <s v="WHRJ"/>
    <s v="Rio De Janeiro"/>
    <s v="RJ"/>
    <n v="4027"/>
    <x v="24"/>
    <s v="Novo Hamburgo"/>
    <s v="RS"/>
    <x v="0"/>
    <s v="RS"/>
    <n v="1148.1099999999999"/>
    <n v="1"/>
    <n v="8.58"/>
    <n v="6500948"/>
    <x v="0"/>
    <s v="Porto Alegre"/>
    <s v="Convencional"/>
    <n v="5"/>
    <d v="2018-08-24T00:00:00"/>
    <x v="218"/>
    <x v="0"/>
    <d v="2018-08-29T00:00:00"/>
    <x v="0"/>
    <x v="0"/>
    <n v="1"/>
    <n v="1"/>
  </r>
  <r>
    <d v="2018-08-24T00:00:00"/>
    <n v="11162"/>
    <s v="WHVIT"/>
    <s v="Vitoria"/>
    <s v="ES"/>
    <n v="4040"/>
    <x v="42"/>
    <s v="Brasilia"/>
    <s v="DF"/>
    <x v="1"/>
    <s v="DF"/>
    <n v="4620.92"/>
    <n v="6"/>
    <n v="47.186"/>
    <n v="6100231"/>
    <x v="1"/>
    <s v="Goiania"/>
    <s v="Convencional"/>
    <n v="3"/>
    <d v="2018-08-24T00:00:00"/>
    <x v="222"/>
    <x v="0"/>
    <d v="2018-08-27T00:00:00"/>
    <x v="1"/>
    <x v="0"/>
    <n v="0"/>
    <n v="1"/>
  </r>
  <r>
    <d v="2018-08-24T00:00:00"/>
    <n v="11163"/>
    <s v="WHSJC"/>
    <s v="Sao Jose dos Campos"/>
    <s v="SP"/>
    <n v="4028"/>
    <x v="26"/>
    <s v="Sao Jose Dos Pinhais"/>
    <s v="PR"/>
    <x v="0"/>
    <s v="PR"/>
    <n v="3386.19"/>
    <n v="3"/>
    <n v="9.7789999999999999"/>
    <n v="6500948"/>
    <x v="0"/>
    <s v="Porto Alegre"/>
    <s v="Convencional"/>
    <n v="6"/>
    <d v="2018-08-24T00:00:00"/>
    <x v="221"/>
    <x v="0"/>
    <d v="2018-08-30T00:00:00"/>
    <x v="1"/>
    <x v="0"/>
    <n v="0"/>
    <n v="1"/>
  </r>
  <r>
    <d v="2018-08-24T00:00:00"/>
    <n v="11164"/>
    <s v="WHSJC"/>
    <s v="Sao Jose dos Campos"/>
    <s v="SP"/>
    <n v="4028"/>
    <x v="26"/>
    <s v="Sao Jose Dos Pinhais"/>
    <s v="PR"/>
    <x v="0"/>
    <s v="PR"/>
    <n v="984.16"/>
    <n v="1"/>
    <n v="1.65"/>
    <n v="6500948"/>
    <x v="0"/>
    <s v="Porto Alegre"/>
    <s v="Convencional"/>
    <n v="4"/>
    <d v="2018-08-24T00:00:00"/>
    <x v="222"/>
    <x v="0"/>
    <d v="2018-08-28T00:00:00"/>
    <x v="1"/>
    <x v="0"/>
    <n v="0"/>
    <n v="1"/>
  </r>
  <r>
    <d v="2018-08-24T00:00:00"/>
    <n v="11165"/>
    <s v="WHBH"/>
    <s v="Belo Horizonte"/>
    <s v="MG"/>
    <n v="4030"/>
    <x v="30"/>
    <s v="Belo Horizonte"/>
    <s v="MG"/>
    <x v="2"/>
    <s v="MG"/>
    <n v="6320.06"/>
    <n v="8"/>
    <n v="22.47"/>
    <n v="6600879"/>
    <x v="2"/>
    <s v="Belo Horizonte"/>
    <s v="Convencional"/>
    <n v="3"/>
    <d v="2018-08-24T00:00:00"/>
    <x v="222"/>
    <x v="0"/>
    <d v="2018-08-27T00:00:00"/>
    <x v="1"/>
    <x v="0"/>
    <n v="0"/>
    <n v="1"/>
  </r>
  <r>
    <d v="2018-08-24T00:00:00"/>
    <n v="11166"/>
    <s v="WHPOA"/>
    <s v="Porto Alegre"/>
    <s v="RS"/>
    <n v="4040"/>
    <x v="42"/>
    <s v="Brasilia"/>
    <s v="DF"/>
    <x v="1"/>
    <s v="DF"/>
    <n v="2505.15"/>
    <n v="2"/>
    <n v="6.0540000000000003"/>
    <n v="6100231"/>
    <x v="1"/>
    <s v="Goiania"/>
    <s v="Convencional"/>
    <n v="10"/>
    <d v="2018-08-24T00:00:00"/>
    <x v="221"/>
    <x v="0"/>
    <d v="2018-09-03T00:00:00"/>
    <x v="0"/>
    <x v="0"/>
    <n v="1"/>
    <n v="1"/>
  </r>
  <r>
    <d v="2018-08-24T00:00:00"/>
    <n v="11167"/>
    <s v="WHRJ"/>
    <s v="Rio De Janeiro"/>
    <s v="RJ"/>
    <n v="4030"/>
    <x v="30"/>
    <s v="Belo Horizonte"/>
    <s v="MG"/>
    <x v="2"/>
    <s v="MG"/>
    <n v="4664.08"/>
    <n v="4"/>
    <n v="34.32"/>
    <n v="6600879"/>
    <x v="2"/>
    <s v="Belo Horizonte"/>
    <s v="Convencional"/>
    <n v="2"/>
    <d v="2018-08-24T00:00:00"/>
    <x v="220"/>
    <x v="0"/>
    <d v="2018-08-26T00:00:00"/>
    <x v="1"/>
    <x v="0"/>
    <n v="0"/>
    <n v="1"/>
  </r>
  <r>
    <d v="2018-08-28T00:00:00"/>
    <n v="11168"/>
    <s v="WHSAO"/>
    <s v="Sao Paulo"/>
    <s v="SP"/>
    <n v="4068"/>
    <x v="4"/>
    <s v="Campo Grande"/>
    <s v="MS"/>
    <x v="1"/>
    <s v="MS"/>
    <n v="2739.13"/>
    <n v="2"/>
    <n v="14.081"/>
    <n v="6100231"/>
    <x v="1"/>
    <s v="Goiania"/>
    <s v="Convencional"/>
    <n v="9"/>
    <d v="2018-08-28T00:00:00"/>
    <x v="223"/>
    <x v="0"/>
    <d v="2018-09-06T00:00:00"/>
    <x v="0"/>
    <x v="0"/>
    <n v="1"/>
    <n v="1"/>
  </r>
  <r>
    <d v="2018-08-28T00:00:00"/>
    <n v="11169"/>
    <s v="WHRJ"/>
    <s v="Rio De Janeiro"/>
    <s v="RJ"/>
    <n v="4068"/>
    <x v="4"/>
    <s v="Campo Grande"/>
    <s v="MS"/>
    <x v="1"/>
    <s v="MS"/>
    <n v="4299.16"/>
    <n v="1"/>
    <n v="1.1200000000000001"/>
    <n v="6100231"/>
    <x v="1"/>
    <s v="Goiania"/>
    <s v="Convencional"/>
    <n v="6"/>
    <d v="2018-08-28T00:00:00"/>
    <x v="224"/>
    <x v="0"/>
    <d v="2018-09-03T00:00:00"/>
    <x v="0"/>
    <x v="0"/>
    <n v="1"/>
    <n v="1"/>
  </r>
  <r>
    <d v="2018-08-28T00:00:00"/>
    <n v="11170"/>
    <s v="WHPOA"/>
    <s v="Porto Alegre"/>
    <s v="RS"/>
    <n v="4016"/>
    <x v="6"/>
    <s v="Pocos De Caldas"/>
    <s v="MG"/>
    <x v="2"/>
    <s v="MG"/>
    <n v="4414.51"/>
    <n v="3"/>
    <n v="15.326000000000001"/>
    <n v="6600879"/>
    <x v="2"/>
    <s v="Belo Horizonte"/>
    <s v="Convencional"/>
    <n v="3"/>
    <d v="2018-08-28T00:00:00"/>
    <x v="221"/>
    <x v="0"/>
    <d v="2018-08-31T00:00:00"/>
    <x v="1"/>
    <x v="0"/>
    <n v="0"/>
    <n v="1"/>
  </r>
  <r>
    <d v="2018-08-29T00:00:00"/>
    <n v="11171"/>
    <s v="WHCPQ"/>
    <s v="Campinas"/>
    <s v="SP"/>
    <n v="4024"/>
    <x v="21"/>
    <s v="Porto Alegre"/>
    <s v="RS"/>
    <x v="0"/>
    <s v="RS"/>
    <n v="276.05"/>
    <n v="1"/>
    <n v="1.1000000000000001"/>
    <n v="6500948"/>
    <x v="0"/>
    <s v="Porto Alegre"/>
    <s v="Convencional"/>
    <n v="7"/>
    <d v="2018-08-29T00:00:00"/>
    <x v="221"/>
    <x v="0"/>
    <d v="2018-09-05T00:00:00"/>
    <x v="0"/>
    <x v="0"/>
    <n v="1"/>
    <n v="1"/>
  </r>
  <r>
    <d v="2018-08-29T00:00:00"/>
    <n v="11172"/>
    <s v="WHSJC"/>
    <s v="Sao Jose dos Campos"/>
    <s v="SP"/>
    <n v="4044"/>
    <x v="48"/>
    <s v="Belo Horizonte"/>
    <s v="MG"/>
    <x v="2"/>
    <s v="MG"/>
    <n v="11044.37"/>
    <n v="16"/>
    <n v="103.039"/>
    <n v="6600879"/>
    <x v="2"/>
    <s v="Belo Horizonte"/>
    <s v="Convencional"/>
    <n v="1"/>
    <d v="2018-08-29T00:00:00"/>
    <x v="222"/>
    <x v="0"/>
    <d v="2018-08-30T00:00:00"/>
    <x v="1"/>
    <x v="0"/>
    <n v="0"/>
    <n v="1"/>
  </r>
  <r>
    <d v="2018-08-29T00:00:00"/>
    <n v="11173"/>
    <s v="WHCPQ"/>
    <s v="Campinas"/>
    <s v="SP"/>
    <n v="4032"/>
    <x v="34"/>
    <s v="Goiania"/>
    <s v="GO"/>
    <x v="1"/>
    <s v="GO"/>
    <n v="436.72"/>
    <n v="1"/>
    <n v="1.1200000000000001"/>
    <n v="6100231"/>
    <x v="1"/>
    <s v="Goiania"/>
    <s v="Convencional"/>
    <n v="12"/>
    <d v="2018-08-29T00:00:00"/>
    <x v="221"/>
    <x v="0"/>
    <d v="2018-09-10T00:00:00"/>
    <x v="0"/>
    <x v="0"/>
    <n v="1"/>
    <n v="1"/>
  </r>
  <r>
    <d v="2018-08-29T00:00:00"/>
    <n v="11174"/>
    <s v="WHPOA"/>
    <s v="Porto Alegre"/>
    <s v="RS"/>
    <n v="4044"/>
    <x v="48"/>
    <s v="Belo Horizonte"/>
    <s v="MG"/>
    <x v="2"/>
    <s v="MG"/>
    <n v="191.98"/>
    <n v="3"/>
    <n v="4.62"/>
    <n v="6600879"/>
    <x v="2"/>
    <s v="Belo Horizonte"/>
    <s v="Convencional"/>
    <n v="9"/>
    <d v="2018-08-29T00:00:00"/>
    <x v="225"/>
    <x v="0"/>
    <d v="2018-09-07T00:00:00"/>
    <x v="1"/>
    <x v="0"/>
    <n v="0"/>
    <n v="1"/>
  </r>
  <r>
    <d v="2018-08-29T00:00:00"/>
    <n v="11175"/>
    <s v="WHPOA"/>
    <s v="Porto Alegre"/>
    <s v="RS"/>
    <n v="4044"/>
    <x v="48"/>
    <s v="Belo Horizonte"/>
    <s v="MG"/>
    <x v="2"/>
    <s v="MG"/>
    <n v="993.43"/>
    <n v="1"/>
    <n v="1.1200000000000001"/>
    <n v="6600879"/>
    <x v="2"/>
    <s v="Belo Horizonte"/>
    <s v="Convencional"/>
    <n v="7"/>
    <d v="2018-08-29T00:00:00"/>
    <x v="224"/>
    <x v="0"/>
    <d v="2018-09-05T00:00:00"/>
    <x v="0"/>
    <x v="0"/>
    <n v="1"/>
    <n v="1"/>
  </r>
  <r>
    <d v="2018-08-29T00:00:00"/>
    <n v="11176"/>
    <s v="WHRJ"/>
    <s v="Rio De Janeiro"/>
    <s v="RJ"/>
    <n v="4045"/>
    <x v="49"/>
    <s v="Belo Horizonte"/>
    <s v="MG"/>
    <x v="2"/>
    <s v="MG"/>
    <n v="7344.83"/>
    <n v="8"/>
    <n v="35.83"/>
    <n v="6600879"/>
    <x v="2"/>
    <s v="Belo Horizonte"/>
    <s v="Convencional"/>
    <n v="3"/>
    <d v="2018-08-29T00:00:00"/>
    <x v="226"/>
    <x v="0"/>
    <d v="2018-09-01T00:00:00"/>
    <x v="1"/>
    <x v="0"/>
    <n v="0"/>
    <n v="1"/>
  </r>
  <r>
    <d v="2018-08-29T00:00:00"/>
    <n v="11177"/>
    <s v="WHBH"/>
    <s v="Belo Horizonte"/>
    <s v="MG"/>
    <n v="4045"/>
    <x v="49"/>
    <s v="Belo Horizonte"/>
    <s v="MG"/>
    <x v="2"/>
    <s v="MG"/>
    <n v="229.68"/>
    <n v="1"/>
    <n v="0.91900000000000004"/>
    <n v="6600879"/>
    <x v="2"/>
    <s v="Belo Horizonte"/>
    <s v="Convencional"/>
    <n v="6"/>
    <d v="2018-08-29T00:00:00"/>
    <x v="221"/>
    <x v="0"/>
    <d v="2018-09-04T00:00:00"/>
    <x v="0"/>
    <x v="0"/>
    <n v="1"/>
    <n v="1"/>
  </r>
  <r>
    <d v="2018-08-30T00:00:00"/>
    <n v="11178"/>
    <s v="WHVIT"/>
    <s v="Vitoria"/>
    <s v="ES"/>
    <n v="4118"/>
    <x v="106"/>
    <s v="Santos"/>
    <s v="SP"/>
    <x v="2"/>
    <s v="SP"/>
    <n v="3351.03"/>
    <n v="6"/>
    <n v="25.721"/>
    <n v="6400835"/>
    <x v="3"/>
    <s v="Guarulhos"/>
    <s v="Convencional"/>
    <n v="4"/>
    <d v="2018-08-30T00:00:00"/>
    <x v="227"/>
    <x v="0"/>
    <d v="2018-09-03T00:00:00"/>
    <x v="1"/>
    <x v="0"/>
    <n v="0"/>
    <n v="1"/>
  </r>
  <r>
    <d v="2018-08-30T00:00:00"/>
    <n v="11179"/>
    <s v="WHSAO"/>
    <s v="Sao Paulo"/>
    <s v="SP"/>
    <n v="4052"/>
    <x v="14"/>
    <s v="Goiania"/>
    <s v="GO"/>
    <x v="1"/>
    <s v="GO"/>
    <n v="1232.8699999999999"/>
    <n v="1"/>
    <n v="16.72"/>
    <n v="6100231"/>
    <x v="1"/>
    <s v="Goiania"/>
    <s v="Convencional"/>
    <n v="1"/>
    <d v="2018-08-30T00:00:00"/>
    <x v="223"/>
    <x v="0"/>
    <d v="2018-08-31T00:00:00"/>
    <x v="1"/>
    <x v="0"/>
    <n v="0"/>
    <n v="1"/>
  </r>
  <r>
    <d v="2018-08-30T00:00:00"/>
    <n v="11180"/>
    <s v="WHVIT"/>
    <s v="Vitoria"/>
    <s v="ES"/>
    <n v="4119"/>
    <x v="107"/>
    <s v="Recife"/>
    <s v="PE"/>
    <x v="3"/>
    <s v="PE"/>
    <n v="1371.85"/>
    <n v="1"/>
    <n v="14.3"/>
    <n v="6900304"/>
    <x v="5"/>
    <s v="Fortaleza"/>
    <s v="Convencional"/>
    <n v="4"/>
    <d v="2018-08-30T00:00:00"/>
    <x v="227"/>
    <x v="0"/>
    <d v="2018-09-03T00:00:00"/>
    <x v="1"/>
    <x v="0"/>
    <n v="0"/>
    <n v="1"/>
  </r>
  <r>
    <d v="2018-08-30T00:00:00"/>
    <n v="11181"/>
    <s v="WHBH"/>
    <s v="Belo Horizonte"/>
    <s v="MG"/>
    <n v="4120"/>
    <x v="108"/>
    <s v="Santos"/>
    <s v="SP"/>
    <x v="2"/>
    <s v="SP"/>
    <n v="4239.67"/>
    <n v="7"/>
    <n v="53.776000000000003"/>
    <n v="6400835"/>
    <x v="3"/>
    <s v="Guarulhos"/>
    <s v="Convencional"/>
    <n v="3"/>
    <d v="2018-08-30T00:00:00"/>
    <x v="223"/>
    <x v="0"/>
    <d v="2018-09-02T00:00:00"/>
    <x v="0"/>
    <x v="0"/>
    <n v="1"/>
    <n v="1"/>
  </r>
  <r>
    <d v="2018-08-30T00:00:00"/>
    <n v="11182"/>
    <s v="WHVIT"/>
    <s v="Vitoria"/>
    <s v="ES"/>
    <n v="4023"/>
    <x v="20"/>
    <s v="Sao Jose"/>
    <s v="SC"/>
    <x v="0"/>
    <s v="SC"/>
    <n v="219.4"/>
    <n v="1"/>
    <n v="1.1200000000000001"/>
    <n v="6500948"/>
    <x v="0"/>
    <s v="Porto Alegre"/>
    <s v="Convencional"/>
    <n v="10"/>
    <d v="2018-08-30T00:00:00"/>
    <x v="228"/>
    <x v="0"/>
    <d v="2018-09-09T00:00:00"/>
    <x v="0"/>
    <x v="0"/>
    <n v="1"/>
    <n v="1"/>
  </r>
  <r>
    <d v="2018-08-30T00:00:00"/>
    <n v="11183"/>
    <s v="WHSJC"/>
    <s v="Sao Jose dos Campos"/>
    <s v="SP"/>
    <n v="4058"/>
    <x v="2"/>
    <s v="Brasilia"/>
    <s v="DF"/>
    <x v="1"/>
    <s v="DF"/>
    <n v="692.69"/>
    <n v="3"/>
    <n v="2.7559999999999998"/>
    <n v="6100231"/>
    <x v="1"/>
    <s v="Goiania"/>
    <s v="Convencional"/>
    <n v="7"/>
    <d v="2018-08-30T00:00:00"/>
    <x v="225"/>
    <x v="0"/>
    <d v="2018-09-06T00:00:00"/>
    <x v="1"/>
    <x v="0"/>
    <n v="0"/>
    <n v="1"/>
  </r>
  <r>
    <d v="2018-08-30T00:00:00"/>
    <n v="11184"/>
    <s v="WHPOA"/>
    <s v="Porto Alegre"/>
    <s v="RS"/>
    <n v="4058"/>
    <x v="2"/>
    <s v="Brasilia"/>
    <s v="DF"/>
    <x v="1"/>
    <s v="DF"/>
    <n v="1039.1300000000001"/>
    <n v="4"/>
    <n v="7.7670000000000003"/>
    <n v="6100231"/>
    <x v="1"/>
    <s v="Goiania"/>
    <s v="Convencional"/>
    <n v="12"/>
    <d v="2018-08-30T00:00:00"/>
    <x v="226"/>
    <x v="0"/>
    <d v="2018-09-11T00:00:00"/>
    <x v="0"/>
    <x v="0"/>
    <n v="1"/>
    <n v="1"/>
  </r>
  <r>
    <d v="2018-08-30T00:00:00"/>
    <n v="11185"/>
    <s v="WHVIT"/>
    <s v="Vitoria"/>
    <s v="ES"/>
    <n v="4058"/>
    <x v="2"/>
    <s v="Brasilia"/>
    <s v="DF"/>
    <x v="1"/>
    <s v="DF"/>
    <n v="1920.94"/>
    <n v="3"/>
    <n v="6.45"/>
    <n v="6100231"/>
    <x v="1"/>
    <s v="Goiania"/>
    <s v="Convencional"/>
    <n v="8"/>
    <d v="2018-08-30T00:00:00"/>
    <x v="224"/>
    <x v="0"/>
    <d v="2018-09-07T00:00:00"/>
    <x v="0"/>
    <x v="0"/>
    <n v="1"/>
    <n v="1"/>
  </r>
  <r>
    <d v="2018-08-31T00:00:00"/>
    <n v="11186"/>
    <s v="WHCPQ"/>
    <s v="Campinas"/>
    <s v="SP"/>
    <n v="4034"/>
    <x v="36"/>
    <s v="Goiania"/>
    <s v="GO"/>
    <x v="1"/>
    <s v="GO"/>
    <n v="1008.33"/>
    <n v="1"/>
    <n v="9.35"/>
    <n v="6100231"/>
    <x v="1"/>
    <s v="Goiania"/>
    <s v="Convencional"/>
    <n v="7"/>
    <d v="2018-08-31T00:00:00"/>
    <x v="221"/>
    <x v="0"/>
    <d v="2018-09-07T00:00:00"/>
    <x v="0"/>
    <x v="0"/>
    <n v="1"/>
    <n v="1"/>
  </r>
  <r>
    <d v="2018-08-31T00:00:00"/>
    <n v="11187"/>
    <s v="WHBH"/>
    <s v="Belo Horizonte"/>
    <s v="MG"/>
    <n v="4018"/>
    <x v="12"/>
    <s v="Sao Jose"/>
    <s v="SC"/>
    <x v="0"/>
    <s v="SC"/>
    <n v="1859.03"/>
    <n v="1"/>
    <n v="4.4039999999999999"/>
    <n v="6500948"/>
    <x v="0"/>
    <s v="Porto Alegre"/>
    <s v="Convencional"/>
    <n v="12"/>
    <d v="2018-08-31T00:00:00"/>
    <x v="229"/>
    <x v="0"/>
    <d v="2018-09-12T00:00:00"/>
    <x v="0"/>
    <x v="0"/>
    <n v="1"/>
    <n v="1"/>
  </r>
  <r>
    <d v="2018-08-31T00:00:00"/>
    <n v="11188"/>
    <s v="WHVIT"/>
    <s v="Vitoria"/>
    <s v="ES"/>
    <n v="4056"/>
    <x v="44"/>
    <s v="Goiania"/>
    <s v="GO"/>
    <x v="1"/>
    <s v="GO"/>
    <n v="1827.99"/>
    <n v="2"/>
    <n v="17.600000000000001"/>
    <n v="6100231"/>
    <x v="1"/>
    <s v="Goiania"/>
    <s v="Convencional"/>
    <n v="9"/>
    <d v="2018-08-31T00:00:00"/>
    <x v="225"/>
    <x v="0"/>
    <d v="2018-09-09T00:00:00"/>
    <x v="0"/>
    <x v="0"/>
    <n v="1"/>
    <n v="1"/>
  </r>
  <r>
    <d v="2018-08-31T00:00:00"/>
    <n v="11189"/>
    <s v="WHSJC"/>
    <s v="Sao Jose dos Campos"/>
    <s v="SP"/>
    <n v="4044"/>
    <x v="48"/>
    <s v="Belo Horizonte"/>
    <s v="MG"/>
    <x v="2"/>
    <s v="MG"/>
    <n v="360.57"/>
    <n v="1"/>
    <n v="0.84699999999999998"/>
    <n v="6600879"/>
    <x v="2"/>
    <s v="Belo Horizonte"/>
    <s v="Convencional"/>
    <n v="6"/>
    <d v="2018-08-31T00:00:00"/>
    <x v="228"/>
    <x v="1"/>
    <d v="2018-09-06T00:00:00"/>
    <x v="0"/>
    <x v="1"/>
    <n v="0"/>
    <n v="1"/>
  </r>
  <r>
    <d v="2018-08-31T00:00:00"/>
    <n v="11190"/>
    <s v="WHRJ"/>
    <s v="Rio De Janeiro"/>
    <s v="RJ"/>
    <n v="4064"/>
    <x v="53"/>
    <s v="Presidente Prudente"/>
    <s v="SP"/>
    <x v="2"/>
    <s v="SP"/>
    <n v="646.12"/>
    <n v="1"/>
    <n v="1.65"/>
    <n v="6400835"/>
    <x v="3"/>
    <s v="Guarulhos"/>
    <s v="Convencional"/>
    <n v="4"/>
    <d v="2018-08-31T00:00:00"/>
    <x v="221"/>
    <x v="0"/>
    <d v="2018-09-04T00:00:00"/>
    <x v="0"/>
    <x v="0"/>
    <n v="1"/>
    <n v="1"/>
  </r>
  <r>
    <d v="2018-08-31T00:00:00"/>
    <n v="11191"/>
    <s v="WHVIT"/>
    <s v="Vitoria"/>
    <s v="ES"/>
    <n v="4056"/>
    <x v="44"/>
    <s v="Goiania"/>
    <s v="GO"/>
    <x v="1"/>
    <s v="GO"/>
    <n v="3289.98"/>
    <n v="4"/>
    <n v="6.3840000000000003"/>
    <n v="6100231"/>
    <x v="1"/>
    <s v="Goiania"/>
    <s v="Convencional"/>
    <n v="10"/>
    <d v="2018-08-31T00:00:00"/>
    <x v="230"/>
    <x v="0"/>
    <d v="2018-09-10T00:00:00"/>
    <x v="0"/>
    <x v="0"/>
    <n v="1"/>
    <n v="1"/>
  </r>
  <r>
    <d v="2018-08-31T00:00:00"/>
    <n v="11192"/>
    <s v="WHSJC"/>
    <s v="Sao Jose dos Campos"/>
    <s v="SP"/>
    <n v="4022"/>
    <x v="19"/>
    <s v="Maringa"/>
    <s v="PR"/>
    <x v="0"/>
    <s v="PR"/>
    <n v="1064.79"/>
    <n v="2"/>
    <n v="3.1110000000000002"/>
    <n v="6500948"/>
    <x v="0"/>
    <s v="Porto Alegre"/>
    <s v="Convencional"/>
    <n v="8"/>
    <d v="2018-08-31T00:00:00"/>
    <x v="230"/>
    <x v="0"/>
    <d v="2018-09-08T00:00:00"/>
    <x v="1"/>
    <x v="0"/>
    <n v="0"/>
    <n v="1"/>
  </r>
  <r>
    <d v="2018-08-31T00:00:00"/>
    <n v="11193"/>
    <s v="WHBH"/>
    <s v="Belo Horizonte"/>
    <s v="MG"/>
    <n v="4044"/>
    <x v="48"/>
    <s v="Belo Horizonte"/>
    <s v="MG"/>
    <x v="2"/>
    <s v="MG"/>
    <n v="2374.83"/>
    <n v="2"/>
    <n v="14.85"/>
    <n v="6600879"/>
    <x v="2"/>
    <s v="Belo Horizonte"/>
    <s v="Convencional"/>
    <n v="5"/>
    <d v="2018-08-31T00:00:00"/>
    <x v="231"/>
    <x v="0"/>
    <d v="2018-09-05T00:00:00"/>
    <x v="1"/>
    <x v="0"/>
    <n v="0"/>
    <n v="1"/>
  </r>
  <r>
    <d v="2018-08-31T00:00:00"/>
    <n v="11194"/>
    <s v="WHSJC"/>
    <s v="Sao Jose dos Campos"/>
    <s v="SP"/>
    <n v="4045"/>
    <x v="49"/>
    <s v="Belo Horizonte"/>
    <s v="MG"/>
    <x v="2"/>
    <s v="MG"/>
    <n v="644.36"/>
    <n v="2"/>
    <n v="23.32"/>
    <n v="6600879"/>
    <x v="2"/>
    <s v="Belo Horizonte"/>
    <s v="Convencional"/>
    <n v="1"/>
    <d v="2018-08-31T00:00:00"/>
    <x v="223"/>
    <x v="0"/>
    <d v="2018-09-01T00:00:00"/>
    <x v="1"/>
    <x v="0"/>
    <n v="0"/>
    <n v="1"/>
  </r>
  <r>
    <d v="2018-08-31T00:00:00"/>
    <n v="11195"/>
    <s v="WHBH"/>
    <s v="Belo Horizonte"/>
    <s v="MG"/>
    <n v="4045"/>
    <x v="49"/>
    <s v="Belo Horizonte"/>
    <s v="MG"/>
    <x v="2"/>
    <s v="MG"/>
    <n v="855.39"/>
    <n v="3"/>
    <n v="26.015000000000001"/>
    <n v="6600879"/>
    <x v="2"/>
    <s v="Belo Horizonte"/>
    <s v="Convencional"/>
    <n v="5"/>
    <d v="2018-08-31T00:00:00"/>
    <x v="230"/>
    <x v="0"/>
    <d v="2018-09-05T00:00:00"/>
    <x v="1"/>
    <x v="0"/>
    <n v="0"/>
    <n v="1"/>
  </r>
  <r>
    <d v="2018-08-31T00:00:00"/>
    <n v="11196"/>
    <s v="WHBH"/>
    <s v="Belo Horizonte"/>
    <s v="MG"/>
    <n v="4064"/>
    <x v="53"/>
    <s v="Presidente Prudente"/>
    <s v="SP"/>
    <x v="2"/>
    <s v="SP"/>
    <n v="1172.6500000000001"/>
    <n v="2"/>
    <n v="44"/>
    <n v="6400835"/>
    <x v="3"/>
    <s v="Guarulhos"/>
    <s v="Convencional"/>
    <n v="3"/>
    <d v="2018-08-31T00:00:00"/>
    <x v="227"/>
    <x v="0"/>
    <d v="2018-09-03T00:00:00"/>
    <x v="1"/>
    <x v="0"/>
    <n v="0"/>
    <n v="1"/>
  </r>
  <r>
    <d v="2018-08-31T00:00:00"/>
    <n v="11197"/>
    <s v="WHVIT"/>
    <s v="Vitoria"/>
    <s v="ES"/>
    <n v="4056"/>
    <x v="44"/>
    <s v="Goiania"/>
    <s v="GO"/>
    <x v="1"/>
    <s v="GO"/>
    <n v="4527.6400000000003"/>
    <n v="15"/>
    <n v="157.10300000000001"/>
    <n v="6100231"/>
    <x v="1"/>
    <s v="Goiania"/>
    <s v="Convencional"/>
    <n v="6"/>
    <d v="2018-08-31T00:00:00"/>
    <x v="228"/>
    <x v="0"/>
    <d v="2018-09-06T00:00:00"/>
    <x v="0"/>
    <x v="0"/>
    <n v="1"/>
    <n v="1"/>
  </r>
  <r>
    <d v="2018-08-31T00:00:00"/>
    <n v="11198"/>
    <s v="WHCPQ"/>
    <s v="Campinas"/>
    <s v="SP"/>
    <n v="4044"/>
    <x v="48"/>
    <s v="Belo Horizonte"/>
    <s v="MG"/>
    <x v="2"/>
    <s v="MG"/>
    <n v="358.26"/>
    <n v="1"/>
    <n v="13.2"/>
    <n v="6600879"/>
    <x v="2"/>
    <s v="Belo Horizonte"/>
    <s v="Convencional"/>
    <n v="12"/>
    <d v="2018-08-31T00:00:00"/>
    <x v="226"/>
    <x v="0"/>
    <d v="2018-09-12T00:00:00"/>
    <x v="0"/>
    <x v="0"/>
    <n v="1"/>
    <n v="1"/>
  </r>
  <r>
    <d v="2018-08-31T00:00:00"/>
    <n v="11199"/>
    <s v="WHSAO"/>
    <s v="Sao Paulo"/>
    <s v="SP"/>
    <n v="4045"/>
    <x v="49"/>
    <s v="Belo Horizonte"/>
    <s v="MG"/>
    <x v="2"/>
    <s v="MG"/>
    <n v="332.21"/>
    <n v="2"/>
    <n v="13.198"/>
    <n v="6600879"/>
    <x v="2"/>
    <s v="Belo Horizonte"/>
    <s v="Convencional"/>
    <n v="7"/>
    <d v="2018-08-31T00:00:00"/>
    <x v="228"/>
    <x v="0"/>
    <d v="2018-09-07T00:00:00"/>
    <x v="0"/>
    <x v="0"/>
    <n v="1"/>
    <n v="1"/>
  </r>
  <r>
    <d v="2018-08-31T00:00:00"/>
    <n v="11200"/>
    <s v="WHSJC"/>
    <s v="Sao Jose dos Campos"/>
    <s v="SP"/>
    <n v="4064"/>
    <x v="53"/>
    <s v="Presidente Prudente"/>
    <s v="SP"/>
    <x v="2"/>
    <s v="SP"/>
    <n v="281.42"/>
    <n v="2"/>
    <n v="8.7669999999999995"/>
    <n v="6400835"/>
    <x v="3"/>
    <s v="Guarulhos"/>
    <s v="Convencional"/>
    <n v="11"/>
    <d v="2018-08-31T00:00:00"/>
    <x v="221"/>
    <x v="0"/>
    <d v="2018-09-11T00:00:00"/>
    <x v="0"/>
    <x v="0"/>
    <n v="1"/>
    <n v="1"/>
  </r>
  <r>
    <d v="2018-08-31T00:00:00"/>
    <n v="11201"/>
    <s v="WHRJ"/>
    <s v="Rio De Janeiro"/>
    <s v="RJ"/>
    <n v="4064"/>
    <x v="53"/>
    <s v="Presidente Prudente"/>
    <s v="SP"/>
    <x v="2"/>
    <s v="SP"/>
    <n v="294.11"/>
    <n v="1"/>
    <n v="8.4809999999999999"/>
    <n v="6400835"/>
    <x v="3"/>
    <s v="Guarulhos"/>
    <s v="Convencional"/>
    <n v="3"/>
    <d v="2018-08-31T00:00:00"/>
    <x v="225"/>
    <x v="0"/>
    <d v="2018-09-03T00:00:00"/>
    <x v="1"/>
    <x v="0"/>
    <n v="0"/>
    <n v="1"/>
  </r>
  <r>
    <d v="2018-09-01T00:00:00"/>
    <n v="11202"/>
    <s v="WHCPQ"/>
    <s v="Campinas"/>
    <s v="SP"/>
    <n v="4017"/>
    <x v="10"/>
    <s v="Itajai"/>
    <s v="SC"/>
    <x v="0"/>
    <s v="SC"/>
    <n v="379.17"/>
    <n v="2"/>
    <n v="15.398999999999999"/>
    <n v="6500948"/>
    <x v="0"/>
    <s v="Porto Alegre"/>
    <s v="Convencional"/>
    <n v="4"/>
    <d v="2018-09-01T00:00:00"/>
    <x v="227"/>
    <x v="0"/>
    <d v="2018-09-05T00:00:00"/>
    <x v="1"/>
    <x v="0"/>
    <n v="0"/>
    <n v="1"/>
  </r>
  <r>
    <d v="2018-09-01T00:00:00"/>
    <n v="11203"/>
    <s v="WHCPQ"/>
    <s v="Campinas"/>
    <s v="SP"/>
    <n v="4121"/>
    <x v="109"/>
    <s v="Rio Grande do Sul"/>
    <s v="RS"/>
    <x v="0"/>
    <s v="RS"/>
    <n v="917.29"/>
    <n v="4"/>
    <n v="34.878999999999998"/>
    <n v="6500948"/>
    <x v="0"/>
    <s v="Porto Alegre"/>
    <s v="Convencional"/>
    <n v="12"/>
    <d v="2018-09-01T00:00:00"/>
    <x v="228"/>
    <x v="0"/>
    <d v="2018-09-13T00:00:00"/>
    <x v="0"/>
    <x v="0"/>
    <n v="1"/>
    <n v="1"/>
  </r>
  <r>
    <d v="2018-09-01T00:00:00"/>
    <n v="11204"/>
    <s v="WHCPQ"/>
    <s v="Campinas"/>
    <s v="SP"/>
    <n v="4013"/>
    <x v="1"/>
    <s v="Blumenau"/>
    <s v="SC"/>
    <x v="0"/>
    <s v="SC"/>
    <n v="294.11"/>
    <n v="1"/>
    <n v="8.4809999999999999"/>
    <n v="6500948"/>
    <x v="0"/>
    <s v="Porto Alegre"/>
    <s v="Convencional"/>
    <n v="6"/>
    <d v="2018-09-01T00:00:00"/>
    <x v="230"/>
    <x v="0"/>
    <d v="2018-09-07T00:00:00"/>
    <x v="1"/>
    <x v="0"/>
    <n v="0"/>
    <n v="1"/>
  </r>
  <r>
    <d v="2018-09-04T00:00:00"/>
    <n v="11205"/>
    <s v="WHCPQ"/>
    <s v="Campinas"/>
    <s v="SP"/>
    <n v="4060"/>
    <x v="56"/>
    <s v="Sinop"/>
    <s v="MT"/>
    <x v="1"/>
    <s v="MT"/>
    <n v="713.46"/>
    <n v="1"/>
    <n v="2.3540000000000001"/>
    <n v="6100231"/>
    <x v="1"/>
    <s v="Goiania"/>
    <s v="Convencional"/>
    <n v="11"/>
    <d v="2018-09-04T00:00:00"/>
    <x v="225"/>
    <x v="0"/>
    <d v="2018-09-15T00:00:00"/>
    <x v="0"/>
    <x v="0"/>
    <n v="1"/>
    <n v="1"/>
  </r>
  <r>
    <d v="2018-09-04T00:00:00"/>
    <n v="11206"/>
    <s v="WHCPQ"/>
    <s v="Campinas"/>
    <s v="SP"/>
    <n v="4068"/>
    <x v="4"/>
    <s v="Campo Grande"/>
    <s v="MS"/>
    <x v="1"/>
    <s v="MS"/>
    <n v="15.9"/>
    <n v="1"/>
    <n v="2.3E-2"/>
    <n v="6100231"/>
    <x v="1"/>
    <s v="Goiania"/>
    <s v="Convencional"/>
    <n v="8"/>
    <d v="2018-09-04T00:00:00"/>
    <x v="228"/>
    <x v="0"/>
    <d v="2018-09-12T00:00:00"/>
    <x v="0"/>
    <x v="0"/>
    <n v="1"/>
    <n v="1"/>
  </r>
  <r>
    <d v="2018-09-04T00:00:00"/>
    <n v="11207"/>
    <s v="WHPOA"/>
    <s v="Porto Alegre"/>
    <s v="RS"/>
    <n v="4068"/>
    <x v="4"/>
    <s v="Campo Grande"/>
    <s v="MS"/>
    <x v="1"/>
    <s v="MS"/>
    <n v="819.93"/>
    <n v="3"/>
    <n v="32.340000000000003"/>
    <n v="6100231"/>
    <x v="1"/>
    <s v="Goiania"/>
    <s v="Convencional"/>
    <n v="11"/>
    <d v="2018-09-04T00:00:00"/>
    <x v="231"/>
    <x v="0"/>
    <d v="2018-09-15T00:00:00"/>
    <x v="0"/>
    <x v="0"/>
    <n v="1"/>
    <n v="1"/>
  </r>
  <r>
    <d v="2018-09-04T00:00:00"/>
    <n v="11208"/>
    <s v="WHBH"/>
    <s v="Belo Horizonte"/>
    <s v="MG"/>
    <n v="4068"/>
    <x v="4"/>
    <s v="Campo Grande"/>
    <s v="MS"/>
    <x v="1"/>
    <s v="MS"/>
    <n v="1926.88"/>
    <n v="3"/>
    <n v="9.6950000000000003"/>
    <n v="6100231"/>
    <x v="1"/>
    <s v="Goiania"/>
    <s v="Convencional"/>
    <n v="6"/>
    <d v="2018-09-04T00:00:00"/>
    <x v="231"/>
    <x v="0"/>
    <d v="2018-09-10T00:00:00"/>
    <x v="0"/>
    <x v="0"/>
    <n v="1"/>
    <n v="1"/>
  </r>
  <r>
    <d v="2018-09-05T00:00:00"/>
    <n v="11209"/>
    <s v="WHRJ"/>
    <s v="Rio De Janeiro"/>
    <s v="RJ"/>
    <n v="4020"/>
    <x v="15"/>
    <s v="Londrina"/>
    <s v="PR"/>
    <x v="0"/>
    <s v="PR"/>
    <n v="6620.35"/>
    <n v="17"/>
    <n v="41.454000000000001"/>
    <n v="6500948"/>
    <x v="0"/>
    <s v="Porto Alegre"/>
    <s v="Convencional"/>
    <n v="11"/>
    <d v="2018-09-05T00:00:00"/>
    <x v="232"/>
    <x v="0"/>
    <d v="2018-09-16T00:00:00"/>
    <x v="0"/>
    <x v="0"/>
    <n v="1"/>
    <n v="1"/>
  </r>
  <r>
    <d v="2018-09-06T00:00:00"/>
    <n v="11210"/>
    <s v="WHSAO"/>
    <s v="Sao Paulo"/>
    <s v="SP"/>
    <n v="4068"/>
    <x v="4"/>
    <s v="Campo Grande"/>
    <s v="MS"/>
    <x v="1"/>
    <s v="MS"/>
    <n v="1018.64"/>
    <n v="1"/>
    <n v="9.35"/>
    <n v="6100231"/>
    <x v="1"/>
    <s v="Goiania"/>
    <s v="Convencional"/>
    <n v="4"/>
    <d v="2018-09-06T00:00:00"/>
    <x v="233"/>
    <x v="0"/>
    <d v="2018-09-10T00:00:00"/>
    <x v="1"/>
    <x v="0"/>
    <n v="0"/>
    <n v="1"/>
  </r>
  <r>
    <d v="2018-09-06T00:00:00"/>
    <n v="11211"/>
    <s v="WHSJC"/>
    <s v="Sao Jose dos Campos"/>
    <s v="SP"/>
    <n v="4068"/>
    <x v="4"/>
    <s v="Campo Grande"/>
    <s v="MS"/>
    <x v="1"/>
    <s v="MS"/>
    <n v="105.67"/>
    <n v="1"/>
    <n v="0.121"/>
    <n v="6100231"/>
    <x v="1"/>
    <s v="Goiania"/>
    <s v="Convencional"/>
    <n v="8"/>
    <d v="2018-09-06T00:00:00"/>
    <x v="226"/>
    <x v="0"/>
    <d v="2018-09-14T00:00:00"/>
    <x v="0"/>
    <x v="0"/>
    <n v="1"/>
    <n v="1"/>
  </r>
  <r>
    <d v="2018-09-06T00:00:00"/>
    <n v="11212"/>
    <s v="WHSJC"/>
    <s v="Sao Jose dos Campos"/>
    <s v="SP"/>
    <n v="4068"/>
    <x v="4"/>
    <s v="Campo Grande"/>
    <s v="MS"/>
    <x v="1"/>
    <s v="MS"/>
    <n v="1347.04"/>
    <n v="3"/>
    <n v="12.045999999999999"/>
    <n v="6100231"/>
    <x v="1"/>
    <s v="Goiania"/>
    <s v="Convencional"/>
    <n v="7"/>
    <d v="2018-09-06T00:00:00"/>
    <x v="234"/>
    <x v="0"/>
    <d v="2018-09-13T00:00:00"/>
    <x v="0"/>
    <x v="0"/>
    <n v="1"/>
    <n v="1"/>
  </r>
  <r>
    <d v="2018-09-05T00:00:00"/>
    <n v="11213"/>
    <s v="WHBH"/>
    <s v="Belo Horizonte"/>
    <s v="MG"/>
    <n v="4032"/>
    <x v="34"/>
    <s v="Goiania"/>
    <s v="GO"/>
    <x v="1"/>
    <s v="GO"/>
    <n v="3609.26"/>
    <n v="5"/>
    <n v="22.05"/>
    <n v="6100231"/>
    <x v="1"/>
    <s v="Goiania"/>
    <s v="Convencional"/>
    <n v="11"/>
    <d v="2018-09-06T00:00:00"/>
    <x v="226"/>
    <x v="0"/>
    <d v="2018-09-17T00:00:00"/>
    <x v="0"/>
    <x v="0"/>
    <n v="1"/>
    <n v="1"/>
  </r>
  <r>
    <d v="2018-09-07T00:00:00"/>
    <n v="11214"/>
    <s v="WHRJ"/>
    <s v="Rio De Janeiro"/>
    <s v="RJ"/>
    <n v="4028"/>
    <x v="26"/>
    <s v="Sao Jose Dos Pinhais"/>
    <s v="PR"/>
    <x v="0"/>
    <s v="PR"/>
    <n v="8071.21"/>
    <n v="27"/>
    <n v="83.16"/>
    <n v="6500948"/>
    <x v="0"/>
    <s v="Porto Alegre"/>
    <s v="Convencional"/>
    <n v="3"/>
    <d v="2018-09-08T00:00:00"/>
    <x v="233"/>
    <x v="0"/>
    <d v="2018-09-11T00:00:00"/>
    <x v="1"/>
    <x v="0"/>
    <n v="0"/>
    <n v="1"/>
  </r>
  <r>
    <d v="2018-09-07T00:00:00"/>
    <n v="11215"/>
    <s v="WHSJC"/>
    <s v="Sao Jose dos Campos"/>
    <s v="SP"/>
    <n v="4055"/>
    <x v="45"/>
    <s v="Brasilia"/>
    <s v="DF"/>
    <x v="1"/>
    <s v="DF"/>
    <n v="66.06"/>
    <n v="2"/>
    <n v="0.28599999999999998"/>
    <n v="6100231"/>
    <x v="1"/>
    <s v="Goiania"/>
    <s v="Convencional"/>
    <n v="6"/>
    <d v="2018-09-08T00:00:00"/>
    <x v="233"/>
    <x v="0"/>
    <d v="2018-09-14T00:00:00"/>
    <x v="0"/>
    <x v="0"/>
    <n v="1"/>
    <n v="1"/>
  </r>
  <r>
    <d v="2018-09-07T00:00:00"/>
    <n v="11216"/>
    <s v="WHBH"/>
    <s v="Belo Horizonte"/>
    <s v="MG"/>
    <n v="4062"/>
    <x v="27"/>
    <s v="Taguatinga"/>
    <s v="DF"/>
    <x v="1"/>
    <s v="DF"/>
    <n v="7466.08"/>
    <n v="1"/>
    <n v="1.101"/>
    <n v="6100231"/>
    <x v="1"/>
    <s v="Goiania"/>
    <s v="Convencional"/>
    <n v="6"/>
    <d v="2018-09-08T00:00:00"/>
    <x v="227"/>
    <x v="0"/>
    <d v="2018-09-14T00:00:00"/>
    <x v="0"/>
    <x v="0"/>
    <n v="1"/>
    <n v="1"/>
  </r>
  <r>
    <d v="2018-09-07T00:00:00"/>
    <n v="11217"/>
    <s v="WHCPQ"/>
    <s v="Campinas"/>
    <s v="SP"/>
    <n v="4028"/>
    <x v="26"/>
    <s v="Sao Jose Dos Pinhais"/>
    <s v="PR"/>
    <x v="0"/>
    <s v="PR"/>
    <n v="527.22"/>
    <n v="1"/>
    <n v="0.154"/>
    <n v="6500948"/>
    <x v="0"/>
    <s v="Porto Alegre"/>
    <s v="Convencional"/>
    <n v="1"/>
    <d v="2018-09-08T00:00:00"/>
    <x v="235"/>
    <x v="0"/>
    <d v="2018-09-09T00:00:00"/>
    <x v="1"/>
    <x v="0"/>
    <n v="0"/>
    <n v="1"/>
  </r>
  <r>
    <d v="2018-09-07T00:00:00"/>
    <n v="11218"/>
    <s v="WHSAO"/>
    <s v="Sao Paulo"/>
    <s v="SP"/>
    <n v="4055"/>
    <x v="45"/>
    <s v="Brasilia"/>
    <s v="DF"/>
    <x v="1"/>
    <s v="DF"/>
    <n v="14531.17"/>
    <n v="48"/>
    <n v="145.114"/>
    <n v="6100231"/>
    <x v="1"/>
    <s v="Goiania"/>
    <s v="Convencional"/>
    <n v="9"/>
    <d v="2018-09-08T00:00:00"/>
    <x v="236"/>
    <x v="0"/>
    <d v="2018-09-17T00:00:00"/>
    <x v="0"/>
    <x v="0"/>
    <n v="1"/>
    <n v="1"/>
  </r>
  <r>
    <d v="2018-09-07T00:00:00"/>
    <n v="11219"/>
    <s v="WHCPQ"/>
    <s v="Campinas"/>
    <s v="SP"/>
    <n v="4030"/>
    <x v="30"/>
    <s v="Belo Horizonte"/>
    <s v="MG"/>
    <x v="2"/>
    <s v="MG"/>
    <n v="2076.6999999999998"/>
    <n v="2"/>
    <n v="21.187999999999999"/>
    <n v="6600879"/>
    <x v="2"/>
    <s v="Belo Horizonte"/>
    <s v="Convencional"/>
    <n v="9"/>
    <d v="2018-09-08T00:00:00"/>
    <x v="227"/>
    <x v="0"/>
    <d v="2018-09-17T00:00:00"/>
    <x v="0"/>
    <x v="0"/>
    <n v="1"/>
    <n v="1"/>
  </r>
  <r>
    <d v="2018-09-07T00:00:00"/>
    <n v="11220"/>
    <s v="WHPOA"/>
    <s v="Porto Alegre"/>
    <s v="RS"/>
    <n v="4062"/>
    <x v="27"/>
    <s v="Taguatinga"/>
    <s v="DF"/>
    <x v="1"/>
    <s v="DF"/>
    <n v="1286.4100000000001"/>
    <n v="1"/>
    <n v="3.96"/>
    <n v="6100231"/>
    <x v="1"/>
    <s v="Goiania"/>
    <s v="Convencional"/>
    <n v="6"/>
    <d v="2018-09-08T00:00:00"/>
    <x v="232"/>
    <x v="0"/>
    <d v="2018-09-14T00:00:00"/>
    <x v="1"/>
    <x v="0"/>
    <n v="0"/>
    <n v="1"/>
  </r>
  <r>
    <d v="2018-09-07T00:00:00"/>
    <n v="11221"/>
    <s v="WHSJC"/>
    <s v="Sao Jose dos Campos"/>
    <s v="SP"/>
    <n v="4030"/>
    <x v="30"/>
    <s v="Belo Horizonte"/>
    <s v="MG"/>
    <x v="2"/>
    <s v="MG"/>
    <n v="345.73"/>
    <n v="1"/>
    <n v="13.42"/>
    <n v="6600879"/>
    <x v="2"/>
    <s v="Belo Horizonte"/>
    <s v="Urgente"/>
    <n v="1"/>
    <d v="2018-09-08T00:00:00"/>
    <x v="227"/>
    <x v="0"/>
    <d v="2018-09-09T00:00:00"/>
    <x v="0"/>
    <x v="0"/>
    <n v="1"/>
    <n v="1"/>
  </r>
  <r>
    <d v="2018-09-08T00:00:00"/>
    <n v="11222"/>
    <s v="WHSAO"/>
    <s v="Sao Paulo"/>
    <s v="SP"/>
    <n v="4022"/>
    <x v="19"/>
    <s v="Maringa"/>
    <s v="PR"/>
    <x v="0"/>
    <s v="PR"/>
    <n v="502.56"/>
    <n v="1"/>
    <n v="3.96"/>
    <n v="6500948"/>
    <x v="0"/>
    <s v="Porto Alegre"/>
    <s v="Convencional"/>
    <n v="5"/>
    <d v="2018-09-09T00:00:00"/>
    <x v="237"/>
    <x v="0"/>
    <d v="2018-09-14T00:00:00"/>
    <x v="1"/>
    <x v="0"/>
    <n v="0"/>
    <n v="1"/>
  </r>
  <r>
    <d v="2018-09-10T00:00:00"/>
    <n v="11223"/>
    <s v="WHSAO"/>
    <s v="Sao Paulo"/>
    <s v="SP"/>
    <n v="4068"/>
    <x v="4"/>
    <s v="Campo Grande"/>
    <s v="MS"/>
    <x v="1"/>
    <s v="MS"/>
    <n v="2486.5"/>
    <n v="5"/>
    <n v="20.736000000000001"/>
    <n v="6100231"/>
    <x v="1"/>
    <s v="Goiania"/>
    <s v="Convencional"/>
    <n v="10"/>
    <d v="2018-09-11T00:00:00"/>
    <x v="238"/>
    <x v="0"/>
    <d v="2018-09-21T00:00:00"/>
    <x v="0"/>
    <x v="0"/>
    <n v="1"/>
    <n v="1"/>
  </r>
  <r>
    <d v="2018-09-10T00:00:00"/>
    <n v="11224"/>
    <s v="WHPOA"/>
    <s v="Porto Alegre"/>
    <s v="RS"/>
    <n v="4068"/>
    <x v="4"/>
    <s v="Campo Grande"/>
    <s v="MS"/>
    <x v="1"/>
    <s v="MS"/>
    <n v="690.61"/>
    <n v="3"/>
    <n v="2.8159999999999998"/>
    <n v="6100231"/>
    <x v="1"/>
    <s v="Goiania"/>
    <s v="Convencional"/>
    <n v="1"/>
    <d v="2018-09-11T00:00:00"/>
    <x v="236"/>
    <x v="0"/>
    <d v="2018-09-12T00:00:00"/>
    <x v="1"/>
    <x v="0"/>
    <n v="0"/>
    <n v="1"/>
  </r>
  <r>
    <d v="2018-09-10T00:00:00"/>
    <n v="11225"/>
    <s v="WHPOA"/>
    <s v="Porto Alegre"/>
    <s v="RS"/>
    <n v="4012"/>
    <x v="0"/>
    <s v="Sao Jose Dos Pinhais"/>
    <s v="PR"/>
    <x v="0"/>
    <s v="PR"/>
    <n v="22420.01"/>
    <n v="75"/>
    <n v="231"/>
    <n v="6500948"/>
    <x v="0"/>
    <s v="Porto Alegre"/>
    <s v="Convencional"/>
    <n v="1"/>
    <d v="2018-09-11T00:00:00"/>
    <x v="237"/>
    <x v="0"/>
    <d v="2018-09-12T00:00:00"/>
    <x v="1"/>
    <x v="0"/>
    <n v="0"/>
    <n v="1"/>
  </r>
  <r>
    <d v="2018-09-14T00:00:00"/>
    <n v="11226"/>
    <s v="WHSAO"/>
    <s v="Sao Paulo"/>
    <s v="SP"/>
    <n v="4012"/>
    <x v="0"/>
    <s v="Sao Jose Dos Pinhais"/>
    <s v="PR"/>
    <x v="0"/>
    <s v="PR"/>
    <n v="156.84"/>
    <n v="2"/>
    <n v="3.74"/>
    <n v="6500948"/>
    <x v="0"/>
    <s v="Porto Alegre"/>
    <s v="Convencional"/>
    <n v="10"/>
    <d v="2018-09-15T00:00:00"/>
    <x v="239"/>
    <x v="0"/>
    <d v="2018-09-25T00:00:00"/>
    <x v="0"/>
    <x v="0"/>
    <n v="1"/>
    <n v="1"/>
  </r>
  <r>
    <d v="2018-09-15T00:00:00"/>
    <n v="11227"/>
    <s v="WHCPQ"/>
    <s v="Campinas"/>
    <s v="SP"/>
    <n v="4019"/>
    <x v="13"/>
    <s v="Florianopolis"/>
    <s v="SC"/>
    <x v="0"/>
    <s v="SC"/>
    <n v="1830.5"/>
    <n v="3"/>
    <n v="16.829999999999998"/>
    <n v="6500948"/>
    <x v="0"/>
    <s v="Porto Alegre"/>
    <s v="Convencional"/>
    <n v="6"/>
    <d v="2018-09-16T00:00:00"/>
    <x v="240"/>
    <x v="0"/>
    <d v="2018-09-22T00:00:00"/>
    <x v="0"/>
    <x v="0"/>
    <n v="1"/>
    <n v="1"/>
  </r>
  <r>
    <d v="2018-09-15T00:00:00"/>
    <n v="11228"/>
    <s v="WHCPQ"/>
    <s v="Campinas"/>
    <s v="SP"/>
    <n v="4022"/>
    <x v="19"/>
    <s v="Maringa"/>
    <s v="PR"/>
    <x v="0"/>
    <s v="PR"/>
    <n v="546.61"/>
    <n v="2"/>
    <n v="21.56"/>
    <n v="6500948"/>
    <x v="0"/>
    <s v="Porto Alegre"/>
    <s v="Convencional"/>
    <n v="1"/>
    <d v="2018-09-16T00:00:00"/>
    <x v="239"/>
    <x v="0"/>
    <d v="2018-09-17T00:00:00"/>
    <x v="1"/>
    <x v="0"/>
    <n v="0"/>
    <n v="1"/>
  </r>
  <r>
    <d v="2018-09-15T00:00:00"/>
    <n v="11229"/>
    <s v="WHBH"/>
    <s v="Belo Horizonte"/>
    <s v="MG"/>
    <n v="4019"/>
    <x v="13"/>
    <s v="Florianopolis"/>
    <s v="SC"/>
    <x v="0"/>
    <s v="SC"/>
    <n v="846.08"/>
    <n v="1"/>
    <n v="3.08"/>
    <n v="6500948"/>
    <x v="0"/>
    <s v="Porto Alegre"/>
    <s v="Convencional"/>
    <n v="1"/>
    <d v="2018-09-16T00:00:00"/>
    <x v="240"/>
    <x v="0"/>
    <d v="2018-09-17T00:00:00"/>
    <x v="1"/>
    <x v="0"/>
    <n v="0"/>
    <n v="1"/>
  </r>
  <r>
    <d v="2018-09-15T00:00:00"/>
    <n v="11230"/>
    <s v="WHRJ"/>
    <s v="Rio De Janeiro"/>
    <s v="RJ"/>
    <n v="4019"/>
    <x v="13"/>
    <s v="Florianopolis"/>
    <s v="SC"/>
    <x v="0"/>
    <s v="SC"/>
    <n v="598.55999999999995"/>
    <n v="2"/>
    <n v="1.623"/>
    <n v="6500948"/>
    <x v="0"/>
    <s v="Porto Alegre"/>
    <s v="Convencional"/>
    <n v="1"/>
    <d v="2018-09-16T00:00:00"/>
    <x v="241"/>
    <x v="0"/>
    <d v="2018-09-17T00:00:00"/>
    <x v="1"/>
    <x v="0"/>
    <n v="0"/>
    <n v="1"/>
  </r>
  <r>
    <d v="2018-09-15T00:00:00"/>
    <n v="11231"/>
    <s v="WHBH"/>
    <s v="Belo Horizonte"/>
    <s v="MG"/>
    <n v="4019"/>
    <x v="13"/>
    <s v="Florianopolis"/>
    <s v="SC"/>
    <x v="0"/>
    <s v="SC"/>
    <n v="2037.28"/>
    <n v="2"/>
    <n v="18.7"/>
    <n v="6500948"/>
    <x v="0"/>
    <s v="Porto Alegre"/>
    <s v="Convencional"/>
    <n v="8"/>
    <d v="2018-09-16T00:00:00"/>
    <x v="242"/>
    <x v="0"/>
    <d v="2018-09-24T00:00:00"/>
    <x v="1"/>
    <x v="0"/>
    <n v="0"/>
    <n v="1"/>
  </r>
  <r>
    <d v="2018-09-15T00:00:00"/>
    <n v="11232"/>
    <s v="WHSAO"/>
    <s v="Sao Paulo"/>
    <s v="SP"/>
    <n v="4019"/>
    <x v="13"/>
    <s v="Florianopolis"/>
    <s v="SC"/>
    <x v="0"/>
    <s v="SC"/>
    <n v="1876.82"/>
    <n v="3"/>
    <n v="24.2"/>
    <n v="6500948"/>
    <x v="0"/>
    <s v="Porto Alegre"/>
    <s v="Convencional"/>
    <n v="7"/>
    <d v="2018-09-16T00:00:00"/>
    <x v="243"/>
    <x v="2"/>
    <d v="2018-09-23T00:00:00"/>
    <x v="1"/>
    <x v="1"/>
    <n v="0"/>
    <n v="1"/>
  </r>
  <r>
    <d v="2018-09-17T00:00:00"/>
    <n v="11233"/>
    <s v="WHSJC"/>
    <s v="Sao Jose dos Campos"/>
    <s v="SP"/>
    <n v="4121"/>
    <x v="109"/>
    <s v="Rio Grande do Sul"/>
    <s v="RS"/>
    <x v="0"/>
    <s v="RS"/>
    <n v="218.36"/>
    <n v="1"/>
    <n v="1.1200000000000001"/>
    <n v="6500948"/>
    <x v="0"/>
    <s v="Porto Alegre"/>
    <s v="Convencional"/>
    <n v="9"/>
    <d v="2018-09-18T00:00:00"/>
    <x v="243"/>
    <x v="0"/>
    <d v="2018-09-27T00:00:00"/>
    <x v="0"/>
    <x v="0"/>
    <n v="1"/>
    <n v="1"/>
  </r>
  <r>
    <d v="2018-09-17T00:00:00"/>
    <n v="11234"/>
    <s v="WHBH"/>
    <s v="Belo Horizonte"/>
    <s v="MG"/>
    <n v="4068"/>
    <x v="4"/>
    <s v="Campo Grande"/>
    <s v="MS"/>
    <x v="1"/>
    <s v="MS"/>
    <n v="349.38"/>
    <n v="1"/>
    <n v="13.42"/>
    <n v="6100231"/>
    <x v="1"/>
    <s v="Goiania"/>
    <s v="Convencional"/>
    <n v="11"/>
    <d v="2018-09-18T00:00:00"/>
    <x v="241"/>
    <x v="0"/>
    <d v="2018-09-29T00:00:00"/>
    <x v="0"/>
    <x v="0"/>
    <n v="1"/>
    <n v="1"/>
  </r>
  <r>
    <d v="2018-09-18T00:00:00"/>
    <n v="11235"/>
    <s v="WHCPQ"/>
    <s v="Campinas"/>
    <s v="SP"/>
    <n v="4033"/>
    <x v="35"/>
    <s v="Goiania"/>
    <s v="GO"/>
    <x v="1"/>
    <s v="GO"/>
    <n v="1118.95"/>
    <n v="1"/>
    <n v="4.18"/>
    <n v="6100231"/>
    <x v="1"/>
    <s v="Goiania"/>
    <s v="Convencional"/>
    <n v="12"/>
    <d v="2018-09-19T00:00:00"/>
    <x v="244"/>
    <x v="0"/>
    <d v="2018-10-01T00:00:00"/>
    <x v="0"/>
    <x v="0"/>
    <n v="1"/>
    <n v="1"/>
  </r>
  <r>
    <d v="2018-09-18T00:00:00"/>
    <n v="11236"/>
    <s v="WHVIT"/>
    <s v="Vitoria"/>
    <s v="ES"/>
    <n v="4064"/>
    <x v="53"/>
    <s v="Presidente Prudente"/>
    <s v="SP"/>
    <x v="2"/>
    <s v="SP"/>
    <n v="1587.64"/>
    <n v="2"/>
    <n v="9.4600000000000009"/>
    <n v="6400835"/>
    <x v="3"/>
    <s v="Guarulhos"/>
    <s v="Convencional"/>
    <n v="8"/>
    <d v="2018-09-19T00:00:00"/>
    <x v="243"/>
    <x v="0"/>
    <d v="2018-09-27T00:00:00"/>
    <x v="0"/>
    <x v="0"/>
    <n v="1"/>
    <n v="1"/>
  </r>
  <r>
    <d v="2018-09-18T00:00:00"/>
    <n v="11237"/>
    <s v="WHCPQ"/>
    <s v="Campinas"/>
    <s v="SP"/>
    <n v="4064"/>
    <x v="53"/>
    <s v="Presidente Prudente"/>
    <s v="SP"/>
    <x v="2"/>
    <s v="SP"/>
    <n v="880.99"/>
    <n v="1"/>
    <n v="5.5060000000000002"/>
    <n v="6400835"/>
    <x v="3"/>
    <s v="Guarulhos"/>
    <s v="Convencional"/>
    <n v="2"/>
    <d v="2018-09-19T00:00:00"/>
    <x v="238"/>
    <x v="0"/>
    <d v="2018-09-21T00:00:00"/>
    <x v="0"/>
    <x v="0"/>
    <n v="1"/>
    <n v="1"/>
  </r>
  <r>
    <d v="2018-09-18T00:00:00"/>
    <n v="11238"/>
    <s v="WHSAO"/>
    <s v="Sao Paulo"/>
    <s v="SP"/>
    <n v="4064"/>
    <x v="53"/>
    <s v="Presidente Prudente"/>
    <s v="SP"/>
    <x v="2"/>
    <s v="SP"/>
    <n v="967.87"/>
    <n v="2"/>
    <n v="6.1580000000000004"/>
    <n v="6400835"/>
    <x v="3"/>
    <s v="Guarulhos"/>
    <s v="Convencional"/>
    <n v="4"/>
    <d v="2018-09-19T00:00:00"/>
    <x v="245"/>
    <x v="0"/>
    <d v="2018-09-23T00:00:00"/>
    <x v="0"/>
    <x v="0"/>
    <n v="1"/>
    <n v="1"/>
  </r>
  <r>
    <d v="2018-09-18T00:00:00"/>
    <n v="11239"/>
    <s v="WHVIT"/>
    <s v="Vitoria"/>
    <s v="ES"/>
    <n v="4064"/>
    <x v="53"/>
    <s v="Presidente Prudente"/>
    <s v="SP"/>
    <x v="2"/>
    <s v="SP"/>
    <n v="171.84"/>
    <n v="1"/>
    <n v="0.16500000000000001"/>
    <n v="6400835"/>
    <x v="3"/>
    <s v="Guarulhos"/>
    <s v="Convencional"/>
    <n v="3"/>
    <d v="2018-09-19T00:00:00"/>
    <x v="246"/>
    <x v="0"/>
    <d v="2018-09-22T00:00:00"/>
    <x v="0"/>
    <x v="0"/>
    <n v="1"/>
    <n v="1"/>
  </r>
  <r>
    <d v="2018-09-18T00:00:00"/>
    <n v="11240"/>
    <s v="WHRJ"/>
    <s v="Rio De Janeiro"/>
    <s v="RJ"/>
    <n v="4064"/>
    <x v="53"/>
    <s v="Presidente Prudente"/>
    <s v="SP"/>
    <x v="2"/>
    <s v="SP"/>
    <n v="606.07000000000005"/>
    <n v="1"/>
    <n v="3.1E-2"/>
    <n v="6400835"/>
    <x v="3"/>
    <s v="Guarulhos"/>
    <s v="Convencional"/>
    <n v="5"/>
    <d v="2018-09-19T00:00:00"/>
    <x v="238"/>
    <x v="0"/>
    <d v="2018-09-24T00:00:00"/>
    <x v="0"/>
    <x v="0"/>
    <n v="1"/>
    <n v="1"/>
  </r>
  <r>
    <d v="2018-09-18T00:00:00"/>
    <n v="11241"/>
    <s v="WHRJ"/>
    <s v="Rio De Janeiro"/>
    <s v="RJ"/>
    <n v="4064"/>
    <x v="53"/>
    <s v="Presidente Prudente"/>
    <s v="SP"/>
    <x v="2"/>
    <s v="SP"/>
    <n v="1263.32"/>
    <n v="2"/>
    <n v="7.117"/>
    <n v="6400835"/>
    <x v="3"/>
    <s v="Guarulhos"/>
    <s v="Convencional"/>
    <n v="6"/>
    <d v="2018-09-19T00:00:00"/>
    <x v="246"/>
    <x v="0"/>
    <d v="2018-09-25T00:00:00"/>
    <x v="0"/>
    <x v="0"/>
    <n v="1"/>
    <n v="1"/>
  </r>
  <r>
    <d v="2018-09-18T00:00:00"/>
    <n v="11242"/>
    <s v="WHSAO"/>
    <s v="Sao Paulo"/>
    <s v="SP"/>
    <n v="4064"/>
    <x v="53"/>
    <s v="Presidente Prudente"/>
    <s v="SP"/>
    <x v="2"/>
    <s v="SP"/>
    <n v="726.85"/>
    <n v="1"/>
    <n v="5.28"/>
    <n v="6400835"/>
    <x v="3"/>
    <s v="Guarulhos"/>
    <s v="Convencional"/>
    <n v="11"/>
    <d v="2018-09-19T00:00:00"/>
    <x v="244"/>
    <x v="1"/>
    <d v="2018-09-30T00:00:00"/>
    <x v="0"/>
    <x v="1"/>
    <n v="0"/>
    <n v="1"/>
  </r>
  <r>
    <d v="2018-09-18T00:00:00"/>
    <n v="11243"/>
    <s v="WHSJC"/>
    <s v="Sao Jose dos Campos"/>
    <s v="SP"/>
    <n v="4064"/>
    <x v="53"/>
    <s v="Presidente Prudente"/>
    <s v="SP"/>
    <x v="2"/>
    <s v="SP"/>
    <n v="226.92"/>
    <n v="1"/>
    <n v="0.998"/>
    <n v="6400835"/>
    <x v="3"/>
    <s v="Guarulhos"/>
    <s v="Convencional"/>
    <n v="3"/>
    <d v="2018-09-19T00:00:00"/>
    <x v="239"/>
    <x v="0"/>
    <d v="2018-09-22T00:00:00"/>
    <x v="1"/>
    <x v="0"/>
    <n v="0"/>
    <n v="1"/>
  </r>
  <r>
    <d v="2018-09-19T00:00:00"/>
    <n v="11244"/>
    <s v="WHBH"/>
    <s v="Belo Horizonte"/>
    <s v="MG"/>
    <n v="4024"/>
    <x v="21"/>
    <s v="Porto Alegre"/>
    <s v="RS"/>
    <x v="0"/>
    <s v="RS"/>
    <n v="702.26"/>
    <n v="2"/>
    <n v="26.84"/>
    <n v="6500948"/>
    <x v="0"/>
    <s v="Porto Alegre"/>
    <s v="Convencional"/>
    <n v="9"/>
    <d v="2018-09-20T00:00:00"/>
    <x v="245"/>
    <x v="0"/>
    <d v="2018-09-29T00:00:00"/>
    <x v="0"/>
    <x v="0"/>
    <n v="1"/>
    <n v="1"/>
  </r>
  <r>
    <d v="2018-09-19T00:00:00"/>
    <n v="11245"/>
    <s v="WHVIT"/>
    <s v="Vitoria"/>
    <s v="ES"/>
    <n v="4122"/>
    <x v="110"/>
    <s v="Manaus"/>
    <s v="AM"/>
    <x v="4"/>
    <s v="AM"/>
    <n v="2029.89"/>
    <n v="8"/>
    <n v="38.06"/>
    <n v="6700091"/>
    <x v="6"/>
    <s v="Manaus"/>
    <s v="Convencional"/>
    <n v="11"/>
    <d v="2018-09-20T00:00:00"/>
    <x v="243"/>
    <x v="0"/>
    <d v="2018-10-01T00:00:00"/>
    <x v="0"/>
    <x v="0"/>
    <n v="1"/>
    <n v="1"/>
  </r>
  <r>
    <d v="2018-09-19T00:00:00"/>
    <n v="11246"/>
    <s v="WHSAO"/>
    <s v="Sao Paulo"/>
    <s v="SP"/>
    <n v="4012"/>
    <x v="0"/>
    <s v="Sao Jose Dos Pinhais"/>
    <s v="PR"/>
    <x v="0"/>
    <s v="PR"/>
    <n v="726.85"/>
    <n v="1"/>
    <n v="5.28"/>
    <n v="6500948"/>
    <x v="0"/>
    <s v="Porto Alegre"/>
    <s v="Convencional"/>
    <n v="1"/>
    <d v="2018-09-20T00:00:00"/>
    <x v="244"/>
    <x v="0"/>
    <d v="2018-09-21T00:00:00"/>
    <x v="1"/>
    <x v="0"/>
    <n v="0"/>
    <n v="1"/>
  </r>
  <r>
    <d v="2018-09-20T00:00:00"/>
    <n v="11247"/>
    <s v="WHPOA"/>
    <s v="Porto Alegre"/>
    <s v="RS"/>
    <n v="4041"/>
    <x v="16"/>
    <s v="Goiania"/>
    <s v="GO"/>
    <x v="1"/>
    <s v="GO"/>
    <n v="6564.33"/>
    <n v="39"/>
    <n v="145.268"/>
    <n v="6100231"/>
    <x v="1"/>
    <s v="Goiania"/>
    <s v="Convencional"/>
    <n v="3"/>
    <d v="2018-09-21T00:00:00"/>
    <x v="246"/>
    <x v="1"/>
    <d v="2018-09-24T00:00:00"/>
    <x v="0"/>
    <x v="1"/>
    <n v="0"/>
    <n v="1"/>
  </r>
  <r>
    <d v="2018-09-20T00:00:00"/>
    <n v="11248"/>
    <s v="WHPOA"/>
    <s v="Porto Alegre"/>
    <s v="RS"/>
    <n v="4041"/>
    <x v="16"/>
    <s v="Goiania"/>
    <s v="GO"/>
    <x v="1"/>
    <s v="GO"/>
    <n v="8923.43"/>
    <n v="1"/>
    <n v="1.1200000000000001"/>
    <n v="6100231"/>
    <x v="1"/>
    <s v="Goiania"/>
    <s v="Convencional"/>
    <n v="6"/>
    <d v="2018-09-21T00:00:00"/>
    <x v="245"/>
    <x v="0"/>
    <d v="2018-09-27T00:00:00"/>
    <x v="0"/>
    <x v="0"/>
    <n v="1"/>
    <n v="1"/>
  </r>
  <r>
    <d v="2018-09-20T00:00:00"/>
    <n v="11249"/>
    <s v="WHPOA"/>
    <s v="Porto Alegre"/>
    <s v="RS"/>
    <n v="4041"/>
    <x v="16"/>
    <s v="Goiania"/>
    <s v="GO"/>
    <x v="1"/>
    <s v="GO"/>
    <n v="53.34"/>
    <n v="1"/>
    <n v="0.433"/>
    <n v="6100231"/>
    <x v="1"/>
    <s v="Goiania"/>
    <s v="Convencional"/>
    <n v="6"/>
    <d v="2018-09-21T00:00:00"/>
    <x v="247"/>
    <x v="1"/>
    <d v="2018-09-27T00:00:00"/>
    <x v="1"/>
    <x v="1"/>
    <n v="0"/>
    <n v="1"/>
  </r>
  <r>
    <d v="2018-09-20T00:00:00"/>
    <n v="11250"/>
    <s v="WHVIT"/>
    <s v="Vitoria"/>
    <s v="ES"/>
    <n v="4041"/>
    <x v="16"/>
    <s v="Goiania"/>
    <s v="GO"/>
    <x v="1"/>
    <s v="GO"/>
    <n v="132.36000000000001"/>
    <n v="3"/>
    <n v="4.9790000000000001"/>
    <n v="6100231"/>
    <x v="1"/>
    <s v="Goiania"/>
    <s v="Convencional"/>
    <n v="2"/>
    <d v="2018-09-21T00:00:00"/>
    <x v="244"/>
    <x v="0"/>
    <d v="2018-09-23T00:00:00"/>
    <x v="1"/>
    <x v="0"/>
    <n v="0"/>
    <n v="1"/>
  </r>
  <r>
    <d v="2018-09-20T00:00:00"/>
    <n v="11251"/>
    <s v="WHVIT"/>
    <s v="Vitoria"/>
    <s v="ES"/>
    <n v="4041"/>
    <x v="16"/>
    <s v="Goiania"/>
    <s v="GO"/>
    <x v="1"/>
    <s v="GO"/>
    <n v="280.2"/>
    <n v="1"/>
    <n v="0.16200000000000001"/>
    <n v="6100231"/>
    <x v="1"/>
    <s v="Goiania"/>
    <s v="Convencional"/>
    <n v="5"/>
    <d v="2018-09-21T00:00:00"/>
    <x v="248"/>
    <x v="0"/>
    <d v="2018-09-26T00:00:00"/>
    <x v="1"/>
    <x v="0"/>
    <n v="0"/>
    <n v="1"/>
  </r>
  <r>
    <d v="2018-09-20T00:00:00"/>
    <n v="11252"/>
    <s v="WHSJC"/>
    <s v="Sao Jose dos Campos"/>
    <s v="SP"/>
    <n v="4041"/>
    <x v="16"/>
    <s v="Goiania"/>
    <s v="GO"/>
    <x v="1"/>
    <s v="GO"/>
    <n v="5376.22"/>
    <n v="11"/>
    <n v="34.83"/>
    <n v="6100231"/>
    <x v="1"/>
    <s v="Goiania"/>
    <s v="Convencional"/>
    <n v="3"/>
    <d v="2018-09-21T00:00:00"/>
    <x v="239"/>
    <x v="0"/>
    <d v="2018-09-24T00:00:00"/>
    <x v="1"/>
    <x v="0"/>
    <n v="0"/>
    <n v="1"/>
  </r>
  <r>
    <d v="2018-09-20T00:00:00"/>
    <n v="11253"/>
    <s v="WHBH"/>
    <s v="Belo Horizonte"/>
    <s v="MG"/>
    <n v="4041"/>
    <x v="16"/>
    <s v="Goiania"/>
    <s v="GO"/>
    <x v="1"/>
    <s v="GO"/>
    <n v="1053.3900000000001"/>
    <n v="3"/>
    <n v="40.26"/>
    <n v="6100231"/>
    <x v="1"/>
    <s v="Goiania"/>
    <s v="Convencional"/>
    <n v="3"/>
    <d v="2018-09-21T00:00:00"/>
    <x v="249"/>
    <x v="0"/>
    <d v="2018-09-24T00:00:00"/>
    <x v="1"/>
    <x v="0"/>
    <n v="0"/>
    <n v="1"/>
  </r>
  <r>
    <d v="2018-09-20T00:00:00"/>
    <n v="11254"/>
    <s v="WHCPQ"/>
    <s v="Campinas"/>
    <s v="SP"/>
    <n v="4041"/>
    <x v="16"/>
    <s v="Goiania"/>
    <s v="GO"/>
    <x v="1"/>
    <s v="GO"/>
    <n v="683.35"/>
    <n v="1"/>
    <n v="5.7640000000000002"/>
    <n v="6100231"/>
    <x v="1"/>
    <s v="Goiania"/>
    <s v="Convencional"/>
    <n v="2"/>
    <d v="2018-09-21T00:00:00"/>
    <x v="242"/>
    <x v="0"/>
    <d v="2018-09-23T00:00:00"/>
    <x v="1"/>
    <x v="0"/>
    <n v="0"/>
    <n v="1"/>
  </r>
  <r>
    <d v="2018-09-20T00:00:00"/>
    <n v="11255"/>
    <s v="WHRJ"/>
    <s v="Rio De Janeiro"/>
    <s v="RJ"/>
    <n v="4041"/>
    <x v="16"/>
    <s v="Goiania"/>
    <s v="GO"/>
    <x v="1"/>
    <s v="GO"/>
    <n v="2016.66"/>
    <n v="2"/>
    <n v="18.7"/>
    <n v="6100231"/>
    <x v="1"/>
    <s v="Goiania"/>
    <s v="Convencional"/>
    <n v="6"/>
    <d v="2018-09-21T00:00:00"/>
    <x v="239"/>
    <x v="0"/>
    <d v="2018-09-27T00:00:00"/>
    <x v="0"/>
    <x v="0"/>
    <n v="1"/>
    <n v="1"/>
  </r>
  <r>
    <d v="2018-09-21T00:00:00"/>
    <n v="11256"/>
    <s v="WHVIT"/>
    <s v="Vitoria"/>
    <s v="ES"/>
    <n v="4012"/>
    <x v="0"/>
    <s v="Sao Jose Dos Pinhais"/>
    <s v="PR"/>
    <x v="0"/>
    <s v="PR"/>
    <n v="345.39"/>
    <n v="1"/>
    <n v="2.1080000000000001"/>
    <n v="6500948"/>
    <x v="0"/>
    <s v="Porto Alegre"/>
    <s v="Convencional"/>
    <n v="6"/>
    <d v="2018-09-22T00:00:00"/>
    <x v="250"/>
    <x v="0"/>
    <d v="2018-09-28T00:00:00"/>
    <x v="1"/>
    <x v="0"/>
    <n v="0"/>
    <n v="1"/>
  </r>
  <r>
    <d v="2018-09-21T00:00:00"/>
    <n v="11257"/>
    <s v="WHSJC"/>
    <s v="Sao Jose dos Campos"/>
    <s v="SP"/>
    <n v="4013"/>
    <x v="1"/>
    <s v="Blumenau"/>
    <s v="SC"/>
    <x v="0"/>
    <s v="SC"/>
    <n v="578.6"/>
    <n v="1"/>
    <n v="4.6760000000000002"/>
    <n v="6500948"/>
    <x v="0"/>
    <s v="Porto Alegre"/>
    <s v="Convencional"/>
    <n v="12"/>
    <d v="2018-09-22T00:00:00"/>
    <x v="247"/>
    <x v="0"/>
    <d v="2018-10-04T00:00:00"/>
    <x v="0"/>
    <x v="0"/>
    <n v="1"/>
    <n v="1"/>
  </r>
  <r>
    <d v="2018-09-22T00:00:00"/>
    <n v="11258"/>
    <s v="WHPOA"/>
    <s v="Porto Alegre"/>
    <s v="RS"/>
    <n v="4027"/>
    <x v="24"/>
    <s v="Novo Hamburgo"/>
    <s v="RS"/>
    <x v="0"/>
    <s v="RS"/>
    <n v="2127.84"/>
    <n v="2"/>
    <n v="12.125999999999999"/>
    <n v="6500948"/>
    <x v="0"/>
    <s v="Porto Alegre"/>
    <s v="Convencional"/>
    <n v="12"/>
    <d v="2018-09-23T00:00:00"/>
    <x v="251"/>
    <x v="0"/>
    <d v="2018-10-05T00:00:00"/>
    <x v="0"/>
    <x v="0"/>
    <n v="1"/>
    <n v="1"/>
  </r>
  <r>
    <d v="2018-09-22T00:00:00"/>
    <n v="11259"/>
    <s v="WHSJC"/>
    <s v="Sao Jose dos Campos"/>
    <s v="SP"/>
    <n v="4027"/>
    <x v="24"/>
    <s v="Novo Hamburgo"/>
    <s v="RS"/>
    <x v="0"/>
    <s v="RS"/>
    <n v="3405.8"/>
    <n v="11"/>
    <n v="36.795000000000002"/>
    <n v="6500948"/>
    <x v="0"/>
    <s v="Porto Alegre"/>
    <s v="Convencional"/>
    <n v="2"/>
    <d v="2018-09-23T00:00:00"/>
    <x v="250"/>
    <x v="0"/>
    <d v="2018-09-25T00:00:00"/>
    <x v="1"/>
    <x v="0"/>
    <n v="0"/>
    <n v="1"/>
  </r>
  <r>
    <d v="2018-09-22T00:00:00"/>
    <n v="11260"/>
    <s v="WHCPQ"/>
    <s v="Campinas"/>
    <s v="SP"/>
    <n v="4040"/>
    <x v="42"/>
    <s v="Brasilia"/>
    <s v="DF"/>
    <x v="1"/>
    <s v="DF"/>
    <n v="658.3"/>
    <n v="1"/>
    <n v="4.18"/>
    <n v="6100231"/>
    <x v="1"/>
    <s v="Goiania"/>
    <s v="Convencional"/>
    <n v="1"/>
    <d v="2018-09-23T00:00:00"/>
    <x v="247"/>
    <x v="0"/>
    <d v="2018-09-24T00:00:00"/>
    <x v="1"/>
    <x v="0"/>
    <n v="0"/>
    <n v="1"/>
  </r>
  <r>
    <d v="2018-09-22T00:00:00"/>
    <n v="11261"/>
    <s v="WHCPQ"/>
    <s v="Campinas"/>
    <s v="SP"/>
    <n v="4055"/>
    <x v="45"/>
    <s v="Brasilia"/>
    <s v="DF"/>
    <x v="1"/>
    <s v="DF"/>
    <n v="2037.28"/>
    <n v="2"/>
    <n v="18.7"/>
    <n v="6100231"/>
    <x v="1"/>
    <s v="Goiania"/>
    <s v="Convencional"/>
    <n v="9"/>
    <d v="2018-09-23T00:00:00"/>
    <x v="252"/>
    <x v="0"/>
    <d v="2018-10-02T00:00:00"/>
    <x v="1"/>
    <x v="0"/>
    <n v="0"/>
    <n v="1"/>
  </r>
  <r>
    <d v="2018-09-22T00:00:00"/>
    <n v="11262"/>
    <s v="WHSAO"/>
    <s v="Sao Paulo"/>
    <s v="SP"/>
    <n v="4062"/>
    <x v="27"/>
    <s v="Taguatinga"/>
    <s v="DF"/>
    <x v="1"/>
    <s v="DF"/>
    <n v="4950.83"/>
    <n v="10"/>
    <n v="19.324000000000002"/>
    <n v="6100231"/>
    <x v="1"/>
    <s v="Goiania"/>
    <s v="Convencional"/>
    <n v="3"/>
    <d v="2018-09-23T00:00:00"/>
    <x v="244"/>
    <x v="0"/>
    <d v="2018-09-26T00:00:00"/>
    <x v="1"/>
    <x v="0"/>
    <n v="0"/>
    <n v="1"/>
  </r>
  <r>
    <d v="2018-09-22T00:00:00"/>
    <n v="11263"/>
    <s v="WHPOA"/>
    <s v="Porto Alegre"/>
    <s v="RS"/>
    <n v="4028"/>
    <x v="26"/>
    <s v="Sao Jose Dos Pinhais"/>
    <s v="PR"/>
    <x v="0"/>
    <s v="PR"/>
    <n v="1024.05"/>
    <n v="1"/>
    <n v="9.35"/>
    <n v="6500948"/>
    <x v="0"/>
    <s v="Porto Alegre"/>
    <s v="Convencional"/>
    <n v="10"/>
    <d v="2018-09-23T00:00:00"/>
    <x v="251"/>
    <x v="0"/>
    <d v="2018-10-03T00:00:00"/>
    <x v="0"/>
    <x v="0"/>
    <n v="1"/>
    <n v="1"/>
  </r>
  <r>
    <d v="2018-09-22T00:00:00"/>
    <n v="11264"/>
    <s v="WHCPQ"/>
    <s v="Campinas"/>
    <s v="SP"/>
    <n v="4028"/>
    <x v="26"/>
    <s v="Sao Jose Dos Pinhais"/>
    <s v="PR"/>
    <x v="0"/>
    <s v="PR"/>
    <n v="1750.9"/>
    <n v="2"/>
    <n v="14.63"/>
    <n v="6500948"/>
    <x v="0"/>
    <s v="Porto Alegre"/>
    <s v="Convencional"/>
    <n v="12"/>
    <d v="2018-09-23T00:00:00"/>
    <x v="252"/>
    <x v="0"/>
    <d v="2018-10-05T00:00:00"/>
    <x v="0"/>
    <x v="0"/>
    <n v="1"/>
    <n v="1"/>
  </r>
  <r>
    <d v="2018-09-22T00:00:00"/>
    <n v="11265"/>
    <s v="WHPOA"/>
    <s v="Porto Alegre"/>
    <s v="RS"/>
    <n v="4022"/>
    <x v="19"/>
    <s v="Maringa"/>
    <s v="PR"/>
    <x v="0"/>
    <s v="PR"/>
    <n v="1926.64"/>
    <n v="2"/>
    <n v="9.7829999999999995"/>
    <n v="6500948"/>
    <x v="0"/>
    <s v="Porto Alegre"/>
    <s v="Convencional"/>
    <n v="4"/>
    <d v="2018-09-23T00:00:00"/>
    <x v="247"/>
    <x v="0"/>
    <d v="2018-09-27T00:00:00"/>
    <x v="1"/>
    <x v="0"/>
    <n v="0"/>
    <n v="1"/>
  </r>
  <r>
    <d v="2018-09-22T00:00:00"/>
    <n v="11266"/>
    <s v="WHCPQ"/>
    <s v="Campinas"/>
    <s v="SP"/>
    <n v="4040"/>
    <x v="42"/>
    <s v="Brasilia"/>
    <s v="DF"/>
    <x v="1"/>
    <s v="DF"/>
    <n v="400.56"/>
    <n v="1"/>
    <n v="0.749"/>
    <n v="6100231"/>
    <x v="1"/>
    <s v="Goiania"/>
    <s v="Convencional"/>
    <n v="10"/>
    <d v="2018-09-23T00:00:00"/>
    <x v="252"/>
    <x v="0"/>
    <d v="2018-10-03T00:00:00"/>
    <x v="0"/>
    <x v="0"/>
    <n v="1"/>
    <n v="1"/>
  </r>
  <r>
    <d v="2018-09-22T00:00:00"/>
    <n v="11267"/>
    <s v="WHSJC"/>
    <s v="Sao Jose dos Campos"/>
    <s v="SP"/>
    <n v="4055"/>
    <x v="45"/>
    <s v="Brasilia"/>
    <s v="DF"/>
    <x v="1"/>
    <s v="DF"/>
    <n v="3131.03"/>
    <n v="3"/>
    <n v="23.364000000000001"/>
    <n v="6100231"/>
    <x v="1"/>
    <s v="Goiania"/>
    <s v="Convencional"/>
    <n v="12"/>
    <d v="2018-09-23T00:00:00"/>
    <x v="244"/>
    <x v="0"/>
    <d v="2018-10-05T00:00:00"/>
    <x v="0"/>
    <x v="0"/>
    <n v="1"/>
    <n v="1"/>
  </r>
  <r>
    <d v="2018-09-22T00:00:00"/>
    <n v="11268"/>
    <s v="WHBH"/>
    <s v="Belo Horizonte"/>
    <s v="MG"/>
    <n v="4062"/>
    <x v="27"/>
    <s v="Taguatinga"/>
    <s v="DF"/>
    <x v="1"/>
    <s v="DF"/>
    <n v="641.69000000000005"/>
    <n v="4"/>
    <n v="19.71"/>
    <n v="6100231"/>
    <x v="1"/>
    <s v="Goiania"/>
    <s v="Convencional"/>
    <n v="8"/>
    <d v="2018-09-23T00:00:00"/>
    <x v="247"/>
    <x v="0"/>
    <d v="2018-10-01T00:00:00"/>
    <x v="0"/>
    <x v="0"/>
    <n v="1"/>
    <n v="1"/>
  </r>
  <r>
    <d v="2018-09-22T00:00:00"/>
    <n v="11269"/>
    <s v="WHCPQ"/>
    <s v="Campinas"/>
    <s v="SP"/>
    <n v="4030"/>
    <x v="30"/>
    <s v="Belo Horizonte"/>
    <s v="MG"/>
    <x v="2"/>
    <s v="MG"/>
    <n v="219.4"/>
    <n v="1"/>
    <n v="1.1200000000000001"/>
    <n v="6600879"/>
    <x v="2"/>
    <s v="Belo Horizonte"/>
    <s v="Convencional"/>
    <n v="5"/>
    <d v="2018-09-23T00:00:00"/>
    <x v="252"/>
    <x v="0"/>
    <d v="2018-09-28T00:00:00"/>
    <x v="1"/>
    <x v="0"/>
    <n v="0"/>
    <n v="1"/>
  </r>
  <r>
    <d v="2018-09-22T00:00:00"/>
    <n v="11270"/>
    <s v="WHVIT"/>
    <s v="Vitoria"/>
    <s v="ES"/>
    <n v="4030"/>
    <x v="30"/>
    <s v="Belo Horizonte"/>
    <s v="MG"/>
    <x v="2"/>
    <s v="MG"/>
    <n v="53.3"/>
    <n v="1"/>
    <n v="3.3000000000000002E-2"/>
    <n v="6600879"/>
    <x v="2"/>
    <s v="Belo Horizonte"/>
    <s v="Convencional"/>
    <n v="7"/>
    <d v="2018-09-23T00:00:00"/>
    <x v="242"/>
    <x v="0"/>
    <d v="2018-09-30T00:00:00"/>
    <x v="0"/>
    <x v="0"/>
    <n v="1"/>
    <n v="1"/>
  </r>
  <r>
    <d v="2018-09-24T00:00:00"/>
    <n v="11271"/>
    <s v="WHVIT"/>
    <s v="Vitoria"/>
    <s v="ES"/>
    <n v="4084"/>
    <x v="72"/>
    <s v="Aracatuba"/>
    <s v="SP"/>
    <x v="2"/>
    <s v="SP"/>
    <n v="1793.6"/>
    <n v="6"/>
    <n v="18.48"/>
    <n v="6400835"/>
    <x v="3"/>
    <s v="Guarulhos"/>
    <s v="Convencional"/>
    <n v="12"/>
    <d v="2018-09-25T00:00:00"/>
    <x v="253"/>
    <x v="0"/>
    <d v="2018-10-07T00:00:00"/>
    <x v="0"/>
    <x v="0"/>
    <n v="1"/>
    <n v="1"/>
  </r>
  <r>
    <d v="2018-09-24T00:00:00"/>
    <n v="11272"/>
    <s v="WHCPQ"/>
    <s v="Campinas"/>
    <s v="SP"/>
    <n v="4068"/>
    <x v="4"/>
    <s v="Campo Grande"/>
    <s v="MS"/>
    <x v="1"/>
    <s v="MS"/>
    <n v="1887.38"/>
    <n v="6"/>
    <n v="75.239999999999995"/>
    <n v="6100231"/>
    <x v="1"/>
    <s v="Goiania"/>
    <s v="Convencional"/>
    <n v="12"/>
    <d v="2018-09-25T00:00:00"/>
    <x v="242"/>
    <x v="0"/>
    <d v="2018-10-07T00:00:00"/>
    <x v="0"/>
    <x v="0"/>
    <n v="1"/>
    <n v="1"/>
  </r>
  <r>
    <d v="2018-09-24T00:00:00"/>
    <n v="11273"/>
    <s v="WHVIT"/>
    <s v="Vitoria"/>
    <s v="ES"/>
    <n v="4023"/>
    <x v="20"/>
    <s v="Sao Jose"/>
    <s v="SC"/>
    <x v="0"/>
    <s v="SC"/>
    <n v="351.14"/>
    <n v="1"/>
    <n v="13.42"/>
    <n v="6500948"/>
    <x v="0"/>
    <s v="Porto Alegre"/>
    <s v="Urgente"/>
    <n v="9"/>
    <d v="2018-09-25T00:00:00"/>
    <x v="242"/>
    <x v="0"/>
    <d v="2018-10-04T00:00:00"/>
    <x v="0"/>
    <x v="0"/>
    <n v="1"/>
    <n v="1"/>
  </r>
  <r>
    <d v="2018-09-24T00:00:00"/>
    <n v="11274"/>
    <s v="WHCPQ"/>
    <s v="Campinas"/>
    <s v="SP"/>
    <n v="4068"/>
    <x v="4"/>
    <s v="Campo Grande"/>
    <s v="MS"/>
    <x v="1"/>
    <s v="MS"/>
    <n v="164.57"/>
    <n v="1"/>
    <n v="14.52"/>
    <n v="6100231"/>
    <x v="1"/>
    <s v="Goiania"/>
    <s v="Convencional"/>
    <n v="5"/>
    <d v="2018-09-25T00:00:00"/>
    <x v="253"/>
    <x v="0"/>
    <d v="2018-09-30T00:00:00"/>
    <x v="1"/>
    <x v="0"/>
    <n v="0"/>
    <n v="1"/>
  </r>
  <r>
    <d v="2018-09-25T00:00:00"/>
    <n v="11275"/>
    <s v="WHCPQ"/>
    <s v="Campinas"/>
    <s v="SP"/>
    <n v="4069"/>
    <x v="57"/>
    <s v="Brasilia"/>
    <s v="DF"/>
    <x v="1"/>
    <s v="DF"/>
    <n v="23.65"/>
    <n v="1"/>
    <n v="2.1999999999999999E-2"/>
    <n v="6100231"/>
    <x v="1"/>
    <s v="Goiania"/>
    <s v="Convencional"/>
    <n v="3"/>
    <d v="2018-09-26T00:00:00"/>
    <x v="244"/>
    <x v="0"/>
    <d v="2018-09-29T00:00:00"/>
    <x v="0"/>
    <x v="0"/>
    <n v="1"/>
    <n v="1"/>
  </r>
  <r>
    <d v="2018-09-25T00:00:00"/>
    <n v="11276"/>
    <s v="WHBH"/>
    <s v="Belo Horizonte"/>
    <s v="MG"/>
    <n v="4069"/>
    <x v="57"/>
    <s v="Brasilia"/>
    <s v="DF"/>
    <x v="1"/>
    <s v="DF"/>
    <n v="3587.21"/>
    <n v="12"/>
    <n v="36.96"/>
    <n v="6100231"/>
    <x v="1"/>
    <s v="Goiania"/>
    <s v="Convencional"/>
    <n v="2"/>
    <d v="2018-09-26T00:00:00"/>
    <x v="252"/>
    <x v="0"/>
    <d v="2018-09-28T00:00:00"/>
    <x v="1"/>
    <x v="0"/>
    <n v="0"/>
    <n v="1"/>
  </r>
  <r>
    <d v="2018-09-25T00:00:00"/>
    <n v="11277"/>
    <s v="WHCPQ"/>
    <s v="Campinas"/>
    <s v="SP"/>
    <n v="4035"/>
    <x v="37"/>
    <s v="Brasilia"/>
    <s v="DF"/>
    <x v="1"/>
    <s v="DF"/>
    <n v="274.57"/>
    <n v="2"/>
    <n v="1.085"/>
    <n v="6100231"/>
    <x v="1"/>
    <s v="Goiania"/>
    <s v="Convencional"/>
    <n v="1"/>
    <d v="2018-09-26T00:00:00"/>
    <x v="247"/>
    <x v="2"/>
    <d v="2018-09-27T00:00:00"/>
    <x v="1"/>
    <x v="1"/>
    <n v="0"/>
    <n v="1"/>
  </r>
  <r>
    <d v="2018-09-25T00:00:00"/>
    <n v="11278"/>
    <s v="WHVIT"/>
    <s v="Vitoria"/>
    <s v="ES"/>
    <n v="4035"/>
    <x v="37"/>
    <s v="Brasilia"/>
    <s v="DF"/>
    <x v="1"/>
    <s v="DF"/>
    <n v="623.79999999999995"/>
    <n v="1"/>
    <n v="0.38600000000000001"/>
    <n v="6100231"/>
    <x v="1"/>
    <s v="Goiania"/>
    <s v="Convencional"/>
    <n v="10"/>
    <d v="2018-09-26T00:00:00"/>
    <x v="248"/>
    <x v="0"/>
    <d v="2018-10-06T00:00:00"/>
    <x v="0"/>
    <x v="0"/>
    <n v="1"/>
    <n v="1"/>
  </r>
  <r>
    <d v="2018-09-25T00:00:00"/>
    <n v="11279"/>
    <s v="WHCPQ"/>
    <s v="Campinas"/>
    <s v="SP"/>
    <n v="4035"/>
    <x v="37"/>
    <s v="Brasilia"/>
    <s v="DF"/>
    <x v="1"/>
    <s v="DF"/>
    <n v="1980.09"/>
    <n v="6"/>
    <n v="80.52"/>
    <n v="6100231"/>
    <x v="1"/>
    <s v="Goiania"/>
    <s v="Convencional"/>
    <n v="6"/>
    <d v="2018-09-26T00:00:00"/>
    <x v="244"/>
    <x v="0"/>
    <d v="2018-10-02T00:00:00"/>
    <x v="0"/>
    <x v="0"/>
    <n v="1"/>
    <n v="1"/>
  </r>
  <r>
    <d v="2018-09-26T00:00:00"/>
    <n v="11280"/>
    <s v="WHBH"/>
    <s v="Belo Horizonte"/>
    <s v="MG"/>
    <n v="4123"/>
    <x v="111"/>
    <s v="Rio De Janeiro"/>
    <s v="RJ"/>
    <x v="2"/>
    <s v="RJ"/>
    <n v="1321.25"/>
    <n v="2"/>
    <n v="4.4039999999999999"/>
    <n v="6140092"/>
    <x v="4"/>
    <s v="Rio de Janeiro"/>
    <s v="Convencional"/>
    <n v="9"/>
    <d v="2018-09-27T00:00:00"/>
    <x v="248"/>
    <x v="0"/>
    <d v="2018-10-06T00:00:00"/>
    <x v="0"/>
    <x v="0"/>
    <n v="1"/>
    <n v="1"/>
  </r>
  <r>
    <d v="2018-09-26T00:00:00"/>
    <n v="11281"/>
    <s v="WHSAO"/>
    <s v="Sao Paulo"/>
    <s v="SP"/>
    <n v="4066"/>
    <x v="54"/>
    <s v="Brasilia"/>
    <s v="DF"/>
    <x v="1"/>
    <s v="DF"/>
    <n v="597.30999999999995"/>
    <n v="1"/>
    <n v="4.6760000000000002"/>
    <n v="6100231"/>
    <x v="1"/>
    <s v="Goiania"/>
    <s v="Convencional"/>
    <n v="10"/>
    <d v="2018-09-27T00:00:00"/>
    <x v="249"/>
    <x v="0"/>
    <d v="2018-10-07T00:00:00"/>
    <x v="0"/>
    <x v="0"/>
    <n v="1"/>
    <n v="1"/>
  </r>
  <r>
    <d v="2018-09-27T00:00:00"/>
    <n v="11282"/>
    <s v="WHPOA"/>
    <s v="Porto Alegre"/>
    <s v="RS"/>
    <n v="4016"/>
    <x v="6"/>
    <s v="Pocos De Caldas"/>
    <s v="MG"/>
    <x v="2"/>
    <s v="MG"/>
    <n v="1024.05"/>
    <n v="1"/>
    <n v="9.35"/>
    <n v="6600879"/>
    <x v="2"/>
    <s v="Belo Horizonte"/>
    <s v="Convencional"/>
    <n v="4"/>
    <d v="2018-09-28T00:00:00"/>
    <x v="248"/>
    <x v="0"/>
    <d v="2018-10-02T00:00:00"/>
    <x v="0"/>
    <x v="0"/>
    <n v="1"/>
    <n v="1"/>
  </r>
  <r>
    <d v="2018-09-27T00:00:00"/>
    <n v="11283"/>
    <s v="WHRJ"/>
    <s v="Rio De Janeiro"/>
    <s v="RJ"/>
    <n v="4016"/>
    <x v="6"/>
    <s v="Pocos De Caldas"/>
    <s v="MG"/>
    <x v="2"/>
    <s v="MG"/>
    <n v="319.25"/>
    <n v="1"/>
    <n v="13.42"/>
    <n v="6600879"/>
    <x v="2"/>
    <s v="Belo Horizonte"/>
    <s v="Convencional"/>
    <n v="6"/>
    <d v="2018-09-28T00:00:00"/>
    <x v="248"/>
    <x v="2"/>
    <d v="2018-10-04T00:00:00"/>
    <x v="0"/>
    <x v="1"/>
    <n v="0"/>
    <n v="1"/>
  </r>
  <r>
    <d v="2018-09-27T00:00:00"/>
    <n v="11284"/>
    <s v="WHCPQ"/>
    <s v="Campinas"/>
    <s v="SP"/>
    <n v="4016"/>
    <x v="6"/>
    <s v="Pocos De Caldas"/>
    <s v="MG"/>
    <x v="2"/>
    <s v="MG"/>
    <n v="1795.33"/>
    <n v="5"/>
    <n v="15.84"/>
    <n v="6600879"/>
    <x v="2"/>
    <s v="Belo Horizonte"/>
    <s v="Convencional"/>
    <n v="3"/>
    <d v="2018-09-28T00:00:00"/>
    <x v="250"/>
    <x v="0"/>
    <d v="2018-10-01T00:00:00"/>
    <x v="1"/>
    <x v="0"/>
    <n v="0"/>
    <n v="1"/>
  </r>
  <r>
    <d v="2018-09-27T00:00:00"/>
    <n v="11285"/>
    <s v="WHBH"/>
    <s v="Belo Horizonte"/>
    <s v="MG"/>
    <n v="4016"/>
    <x v="6"/>
    <s v="Pocos De Caldas"/>
    <s v="MG"/>
    <x v="2"/>
    <s v="MG"/>
    <n v="3473.3"/>
    <n v="10"/>
    <n v="30.690999999999999"/>
    <n v="6600879"/>
    <x v="2"/>
    <s v="Belo Horizonte"/>
    <s v="Convencional"/>
    <n v="5"/>
    <d v="2018-09-28T00:00:00"/>
    <x v="250"/>
    <x v="0"/>
    <d v="2018-10-03T00:00:00"/>
    <x v="0"/>
    <x v="0"/>
    <n v="1"/>
    <n v="1"/>
  </r>
  <r>
    <d v="2018-09-27T00:00:00"/>
    <n v="11286"/>
    <s v="WHBH"/>
    <s v="Belo Horizonte"/>
    <s v="MG"/>
    <n v="4016"/>
    <x v="6"/>
    <s v="Pocos De Caldas"/>
    <s v="MG"/>
    <x v="2"/>
    <s v="MG"/>
    <n v="5577.07"/>
    <n v="13"/>
    <n v="39.435000000000002"/>
    <n v="6600879"/>
    <x v="2"/>
    <s v="Belo Horizonte"/>
    <s v="Convencional"/>
    <n v="3"/>
    <d v="2018-09-28T00:00:00"/>
    <x v="247"/>
    <x v="0"/>
    <d v="2018-10-01T00:00:00"/>
    <x v="0"/>
    <x v="0"/>
    <n v="1"/>
    <n v="1"/>
  </r>
  <r>
    <d v="2018-09-27T00:00:00"/>
    <n v="11287"/>
    <s v="WHBH"/>
    <s v="Belo Horizonte"/>
    <s v="MG"/>
    <n v="4016"/>
    <x v="6"/>
    <s v="Pocos De Caldas"/>
    <s v="MG"/>
    <x v="2"/>
    <s v="MG"/>
    <n v="5.16"/>
    <n v="1"/>
    <n v="6.0000000000000001E-3"/>
    <n v="6600879"/>
    <x v="2"/>
    <s v="Belo Horizonte"/>
    <s v="Convencional"/>
    <n v="12"/>
    <d v="2018-09-28T00:00:00"/>
    <x v="250"/>
    <x v="0"/>
    <d v="2018-10-10T00:00:00"/>
    <x v="0"/>
    <x v="0"/>
    <n v="1"/>
    <n v="1"/>
  </r>
  <r>
    <d v="2018-09-27T00:00:00"/>
    <n v="11288"/>
    <s v="WHRJ"/>
    <s v="Rio De Janeiro"/>
    <s v="RJ"/>
    <n v="4016"/>
    <x v="6"/>
    <s v="Pocos De Caldas"/>
    <s v="MG"/>
    <x v="2"/>
    <s v="MG"/>
    <n v="380.64"/>
    <n v="1"/>
    <n v="10.56"/>
    <n v="6600879"/>
    <x v="2"/>
    <s v="Belo Horizonte"/>
    <s v="Convencional"/>
    <n v="8"/>
    <d v="2018-09-28T00:00:00"/>
    <x v="247"/>
    <x v="0"/>
    <d v="2018-10-06T00:00:00"/>
    <x v="0"/>
    <x v="0"/>
    <n v="1"/>
    <n v="1"/>
  </r>
  <r>
    <d v="2018-09-27T00:00:00"/>
    <n v="11289"/>
    <s v="WHSJC"/>
    <s v="Sao Jose dos Campos"/>
    <s v="SP"/>
    <n v="4016"/>
    <x v="6"/>
    <s v="Pocos De Caldas"/>
    <s v="MG"/>
    <x v="2"/>
    <s v="MG"/>
    <n v="597.87"/>
    <n v="2"/>
    <n v="6.16"/>
    <n v="6600879"/>
    <x v="2"/>
    <s v="Belo Horizonte"/>
    <s v="Convencional"/>
    <n v="4"/>
    <d v="2018-09-28T00:00:00"/>
    <x v="249"/>
    <x v="0"/>
    <d v="2018-10-02T00:00:00"/>
    <x v="0"/>
    <x v="0"/>
    <n v="1"/>
    <n v="1"/>
  </r>
  <r>
    <d v="2018-09-27T00:00:00"/>
    <n v="11290"/>
    <s v="WHRJ"/>
    <s v="Rio De Janeiro"/>
    <s v="RJ"/>
    <n v="4016"/>
    <x v="6"/>
    <s v="Pocos De Caldas"/>
    <s v="MG"/>
    <x v="2"/>
    <s v="MG"/>
    <n v="3400.04"/>
    <n v="10"/>
    <n v="33"/>
    <n v="6600879"/>
    <x v="2"/>
    <s v="Belo Horizonte"/>
    <s v="Convencional"/>
    <n v="7"/>
    <d v="2018-09-28T00:00:00"/>
    <x v="254"/>
    <x v="0"/>
    <d v="2018-10-05T00:00:00"/>
    <x v="1"/>
    <x v="0"/>
    <n v="0"/>
    <n v="1"/>
  </r>
  <r>
    <d v="2018-09-27T00:00:00"/>
    <n v="11291"/>
    <s v="WHSJC"/>
    <s v="Sao Jose dos Campos"/>
    <s v="SP"/>
    <n v="4016"/>
    <x v="6"/>
    <s v="Pocos De Caldas"/>
    <s v="MG"/>
    <x v="2"/>
    <s v="MG"/>
    <n v="1316.62"/>
    <n v="2"/>
    <n v="8.36"/>
    <n v="6600879"/>
    <x v="2"/>
    <s v="Belo Horizonte"/>
    <s v="Convencional"/>
    <n v="4"/>
    <d v="2018-09-28T00:00:00"/>
    <x v="253"/>
    <x v="0"/>
    <d v="2018-10-02T00:00:00"/>
    <x v="1"/>
    <x v="0"/>
    <n v="0"/>
    <n v="1"/>
  </r>
  <r>
    <d v="2018-09-27T00:00:00"/>
    <n v="11292"/>
    <s v="WHBH"/>
    <s v="Belo Horizonte"/>
    <s v="MG"/>
    <n v="4016"/>
    <x v="6"/>
    <s v="Pocos De Caldas"/>
    <s v="MG"/>
    <x v="2"/>
    <s v="MG"/>
    <n v="683.56"/>
    <n v="3"/>
    <n v="3.04"/>
    <n v="6600879"/>
    <x v="2"/>
    <s v="Belo Horizonte"/>
    <s v="Convencional"/>
    <n v="10"/>
    <d v="2018-09-28T00:00:00"/>
    <x v="248"/>
    <x v="0"/>
    <d v="2018-10-08T00:00:00"/>
    <x v="0"/>
    <x v="0"/>
    <n v="1"/>
    <n v="1"/>
  </r>
  <r>
    <d v="2018-09-28T00:00:00"/>
    <n v="11293"/>
    <s v="WHBH"/>
    <s v="Belo Horizonte"/>
    <s v="MG"/>
    <n v="4056"/>
    <x v="44"/>
    <s v="Goiania"/>
    <s v="GO"/>
    <x v="1"/>
    <s v="GO"/>
    <n v="1646.93"/>
    <n v="1"/>
    <n v="1.1200000000000001"/>
    <n v="6100231"/>
    <x v="1"/>
    <s v="Goiania"/>
    <s v="Convencional"/>
    <n v="6"/>
    <d v="2018-09-29T00:00:00"/>
    <x v="253"/>
    <x v="1"/>
    <d v="2018-10-05T00:00:00"/>
    <x v="0"/>
    <x v="1"/>
    <n v="0"/>
    <n v="1"/>
  </r>
  <r>
    <d v="2018-09-28T00:00:00"/>
    <n v="11294"/>
    <s v="WHSJC"/>
    <s v="Sao Jose dos Campos"/>
    <s v="SP"/>
    <n v="4056"/>
    <x v="44"/>
    <s v="Goiania"/>
    <s v="GO"/>
    <x v="1"/>
    <s v="GO"/>
    <n v="293.44"/>
    <n v="2"/>
    <n v="0.16500000000000001"/>
    <n v="6100231"/>
    <x v="1"/>
    <s v="Goiania"/>
    <s v="Convencional"/>
    <n v="9"/>
    <d v="2018-09-29T00:00:00"/>
    <x v="254"/>
    <x v="0"/>
    <d v="2018-10-08T00:00:00"/>
    <x v="0"/>
    <x v="0"/>
    <n v="1"/>
    <n v="1"/>
  </r>
  <r>
    <d v="2018-09-28T00:00:00"/>
    <n v="11295"/>
    <s v="WHBH"/>
    <s v="Belo Horizonte"/>
    <s v="MG"/>
    <n v="4022"/>
    <x v="19"/>
    <s v="Maringa"/>
    <s v="PR"/>
    <x v="0"/>
    <s v="PR"/>
    <n v="280.2"/>
    <n v="1"/>
    <n v="0.16200000000000001"/>
    <n v="6500948"/>
    <x v="0"/>
    <s v="Porto Alegre"/>
    <s v="Convencional"/>
    <n v="7"/>
    <d v="2018-09-29T00:00:00"/>
    <x v="255"/>
    <x v="0"/>
    <d v="2018-10-06T00:00:00"/>
    <x v="0"/>
    <x v="0"/>
    <n v="1"/>
    <n v="1"/>
  </r>
  <r>
    <d v="2018-09-28T00:00:00"/>
    <n v="11296"/>
    <s v="WHSJC"/>
    <s v="Sao Jose dos Campos"/>
    <s v="SP"/>
    <n v="4056"/>
    <x v="44"/>
    <s v="Goiania"/>
    <s v="GO"/>
    <x v="1"/>
    <s v="GO"/>
    <n v="248.29"/>
    <n v="2"/>
    <n v="8.7680000000000007"/>
    <n v="6100231"/>
    <x v="1"/>
    <s v="Goiania"/>
    <s v="Convencional"/>
    <n v="8"/>
    <d v="2018-09-29T00:00:00"/>
    <x v="248"/>
    <x v="0"/>
    <d v="2018-10-07T00:00:00"/>
    <x v="0"/>
    <x v="0"/>
    <n v="1"/>
    <n v="1"/>
  </r>
  <r>
    <d v="2018-09-29T00:00:00"/>
    <n v="11297"/>
    <s v="WHVIT"/>
    <s v="Vitoria"/>
    <s v="ES"/>
    <n v="4058"/>
    <x v="2"/>
    <s v="Brasilia"/>
    <s v="DF"/>
    <x v="1"/>
    <s v="DF"/>
    <n v="1220.47"/>
    <n v="1"/>
    <n v="1.1200000000000001"/>
    <n v="6100231"/>
    <x v="1"/>
    <s v="Goiania"/>
    <s v="Convencional"/>
    <n v="2"/>
    <d v="2018-09-30T00:00:00"/>
    <x v="252"/>
    <x v="1"/>
    <d v="2018-10-02T00:00:00"/>
    <x v="1"/>
    <x v="1"/>
    <n v="0"/>
    <n v="1"/>
  </r>
  <r>
    <d v="2018-09-29T00:00:00"/>
    <n v="11298"/>
    <s v="WHCPQ"/>
    <s v="Campinas"/>
    <s v="SP"/>
    <n v="4014"/>
    <x v="3"/>
    <s v="Ipatinga"/>
    <s v="MG"/>
    <x v="2"/>
    <s v="MG"/>
    <n v="594.69000000000005"/>
    <n v="1"/>
    <n v="5.7640000000000002"/>
    <n v="6600879"/>
    <x v="2"/>
    <s v="Belo Horizonte"/>
    <s v="Convencional"/>
    <n v="9"/>
    <d v="2018-09-30T00:00:00"/>
    <x v="256"/>
    <x v="0"/>
    <d v="2018-10-09T00:00:00"/>
    <x v="0"/>
    <x v="0"/>
    <n v="1"/>
    <n v="1"/>
  </r>
  <r>
    <d v="2018-09-29T00:00:00"/>
    <n v="11299"/>
    <s v="WHBH"/>
    <s v="Belo Horizonte"/>
    <s v="MG"/>
    <n v="4064"/>
    <x v="53"/>
    <s v="Presidente Prudente"/>
    <s v="SP"/>
    <x v="2"/>
    <s v="SP"/>
    <n v="1029.67"/>
    <n v="9"/>
    <n v="0.79200000000000004"/>
    <n v="6400835"/>
    <x v="3"/>
    <s v="Guarulhos"/>
    <s v="Convencional"/>
    <n v="3"/>
    <d v="2018-09-30T00:00:00"/>
    <x v="252"/>
    <x v="0"/>
    <d v="2018-10-03T00:00:00"/>
    <x v="0"/>
    <x v="0"/>
    <n v="1"/>
    <n v="1"/>
  </r>
  <r>
    <d v="2018-09-29T00:00:00"/>
    <n v="11300"/>
    <s v="WHBH"/>
    <s v="Belo Horizonte"/>
    <s v="MG"/>
    <n v="4064"/>
    <x v="53"/>
    <s v="Presidente Prudente"/>
    <s v="SP"/>
    <x v="2"/>
    <s v="SP"/>
    <n v="1464.81"/>
    <n v="3"/>
    <n v="11.704000000000001"/>
    <n v="6400835"/>
    <x v="3"/>
    <s v="Guarulhos"/>
    <s v="Convencional"/>
    <n v="4"/>
    <d v="2018-09-30T00:00:00"/>
    <x v="257"/>
    <x v="0"/>
    <d v="2018-10-04T00:00:00"/>
    <x v="1"/>
    <x v="0"/>
    <n v="0"/>
    <n v="1"/>
  </r>
  <r>
    <d v="2018-09-29T00:00:00"/>
    <n v="11301"/>
    <s v="WHCPQ"/>
    <s v="Campinas"/>
    <s v="SP"/>
    <n v="4018"/>
    <x v="12"/>
    <s v="Sao Jose"/>
    <s v="SC"/>
    <x v="0"/>
    <s v="SC"/>
    <n v="145.72999999999999"/>
    <n v="1"/>
    <n v="0.16500000000000001"/>
    <n v="6500948"/>
    <x v="0"/>
    <s v="Porto Alegre"/>
    <s v="Convencional"/>
    <n v="11"/>
    <d v="2018-09-30T00:00:00"/>
    <x v="248"/>
    <x v="0"/>
    <d v="2018-10-11T00:00:00"/>
    <x v="0"/>
    <x v="0"/>
    <n v="1"/>
    <n v="1"/>
  </r>
  <r>
    <d v="2018-09-29T00:00:00"/>
    <n v="11302"/>
    <s v="WHBH"/>
    <s v="Belo Horizonte"/>
    <s v="MG"/>
    <n v="4014"/>
    <x v="3"/>
    <s v="Ipatinga"/>
    <s v="MG"/>
    <x v="2"/>
    <s v="MG"/>
    <n v="2684.99"/>
    <n v="1"/>
    <n v="13.904"/>
    <n v="6600879"/>
    <x v="2"/>
    <s v="Belo Horizonte"/>
    <s v="Convencional"/>
    <n v="12"/>
    <d v="2018-09-30T00:00:00"/>
    <x v="250"/>
    <x v="2"/>
    <d v="2018-10-12T00:00:00"/>
    <x v="0"/>
    <x v="1"/>
    <n v="0"/>
    <n v="1"/>
  </r>
  <r>
    <d v="2018-09-29T00:00:00"/>
    <n v="11303"/>
    <s v="WHBH"/>
    <s v="Belo Horizonte"/>
    <s v="MG"/>
    <n v="4064"/>
    <x v="53"/>
    <s v="Presidente Prudente"/>
    <s v="SP"/>
    <x v="2"/>
    <s v="SP"/>
    <n v="846.08"/>
    <n v="1"/>
    <n v="5.7759999999999998"/>
    <n v="6400835"/>
    <x v="3"/>
    <s v="Guarulhos"/>
    <s v="Urgente"/>
    <n v="10"/>
    <d v="2018-09-30T00:00:00"/>
    <x v="248"/>
    <x v="0"/>
    <d v="2018-10-10T00:00:00"/>
    <x v="0"/>
    <x v="0"/>
    <n v="1"/>
    <n v="1"/>
  </r>
  <r>
    <d v="2018-09-29T00:00:00"/>
    <n v="11304"/>
    <s v="WHSJC"/>
    <s v="Sao Jose dos Campos"/>
    <s v="SP"/>
    <n v="4064"/>
    <x v="53"/>
    <s v="Presidente Prudente"/>
    <s v="SP"/>
    <x v="2"/>
    <s v="SP"/>
    <n v="728.8"/>
    <n v="2"/>
    <n v="4.62"/>
    <n v="6400835"/>
    <x v="3"/>
    <s v="Guarulhos"/>
    <s v="Convencional"/>
    <n v="10"/>
    <d v="2018-09-30T00:00:00"/>
    <x v="257"/>
    <x v="0"/>
    <d v="2018-10-10T00:00:00"/>
    <x v="0"/>
    <x v="0"/>
    <n v="1"/>
    <n v="1"/>
  </r>
  <r>
    <d v="2018-09-29T00:00:00"/>
    <n v="11305"/>
    <s v="WHPOA"/>
    <s v="Porto Alegre"/>
    <s v="RS"/>
    <n v="4058"/>
    <x v="2"/>
    <s v="Brasilia"/>
    <s v="DF"/>
    <x v="1"/>
    <s v="DF"/>
    <n v="989.88"/>
    <n v="2"/>
    <n v="3.992"/>
    <n v="6100231"/>
    <x v="1"/>
    <s v="Goiania"/>
    <s v="Convencional"/>
    <n v="8"/>
    <d v="2018-09-30T00:00:00"/>
    <x v="258"/>
    <x v="0"/>
    <d v="2018-10-08T00:00:00"/>
    <x v="0"/>
    <x v="0"/>
    <n v="1"/>
    <n v="1"/>
  </r>
  <r>
    <d v="2018-09-29T00:00:00"/>
    <n v="11306"/>
    <s v="WHSAO"/>
    <s v="Sao Paulo"/>
    <s v="SP"/>
    <n v="4049"/>
    <x v="43"/>
    <s v="Taguatinga"/>
    <s v="DF"/>
    <x v="1"/>
    <s v="DF"/>
    <n v="464.38"/>
    <n v="1"/>
    <n v="2.5299999999999998"/>
    <n v="6100231"/>
    <x v="1"/>
    <s v="Goiania"/>
    <s v="Convencional"/>
    <n v="5"/>
    <d v="2018-09-30T00:00:00"/>
    <x v="252"/>
    <x v="0"/>
    <d v="2018-10-05T00:00:00"/>
    <x v="0"/>
    <x v="0"/>
    <n v="1"/>
    <n v="1"/>
  </r>
  <r>
    <d v="2018-09-29T00:00:00"/>
    <n v="11307"/>
    <s v="WHCPQ"/>
    <s v="Campinas"/>
    <s v="SP"/>
    <n v="4014"/>
    <x v="3"/>
    <s v="Ipatinga"/>
    <s v="MG"/>
    <x v="2"/>
    <s v="MG"/>
    <n v="426.04"/>
    <n v="1"/>
    <n v="0.51700000000000002"/>
    <n v="6600879"/>
    <x v="2"/>
    <s v="Belo Horizonte"/>
    <s v="Convencional"/>
    <n v="1"/>
    <d v="2018-09-30T00:00:00"/>
    <x v="248"/>
    <x v="2"/>
    <d v="2018-10-01T00:00:00"/>
    <x v="0"/>
    <x v="1"/>
    <n v="0"/>
    <n v="1"/>
  </r>
  <r>
    <d v="2018-09-30T00:00:00"/>
    <n v="11308"/>
    <s v="WHSAO"/>
    <s v="Sao Paulo"/>
    <s v="SP"/>
    <n v="4064"/>
    <x v="53"/>
    <s v="Presidente Prudente"/>
    <s v="SP"/>
    <x v="2"/>
    <s v="SP"/>
    <n v="219.4"/>
    <n v="1"/>
    <n v="1.1200000000000001"/>
    <n v="6400835"/>
    <x v="3"/>
    <s v="Guarulhos"/>
    <s v="Convencional"/>
    <n v="3"/>
    <d v="2018-09-30T00:00:00"/>
    <x v="254"/>
    <x v="0"/>
    <d v="2018-10-03T00:00:00"/>
    <x v="1"/>
    <x v="0"/>
    <n v="0"/>
    <n v="1"/>
  </r>
  <r>
    <d v="2018-09-30T00:00:00"/>
    <n v="11309"/>
    <s v="WHSAO"/>
    <s v="Sao Paulo"/>
    <s v="SP"/>
    <n v="4064"/>
    <x v="53"/>
    <s v="Presidente Prudente"/>
    <s v="SP"/>
    <x v="2"/>
    <s v="SP"/>
    <n v="562.01"/>
    <n v="1"/>
    <n v="1.1200000000000001"/>
    <n v="6400835"/>
    <x v="3"/>
    <s v="Guarulhos"/>
    <s v="Convencional"/>
    <n v="2"/>
    <d v="2018-09-30T00:00:00"/>
    <x v="248"/>
    <x v="0"/>
    <d v="2018-10-02T00:00:00"/>
    <x v="0"/>
    <x v="0"/>
    <n v="1"/>
    <n v="1"/>
  </r>
  <r>
    <d v="2018-09-30T00:00:00"/>
    <n v="11310"/>
    <s v="WHVIT"/>
    <s v="Vitoria"/>
    <s v="ES"/>
    <n v="4058"/>
    <x v="2"/>
    <s v="Brasilia"/>
    <s v="DF"/>
    <x v="1"/>
    <s v="DF"/>
    <n v="2037.29"/>
    <n v="3"/>
    <n v="9.6839999999999993"/>
    <n v="6100231"/>
    <x v="1"/>
    <s v="Goiania"/>
    <s v="Convencional"/>
    <n v="8"/>
    <d v="2018-09-30T00:00:00"/>
    <x v="259"/>
    <x v="0"/>
    <d v="2018-10-08T00:00:00"/>
    <x v="1"/>
    <x v="0"/>
    <n v="0"/>
    <n v="1"/>
  </r>
  <r>
    <d v="2018-09-30T00:00:00"/>
    <n v="11311"/>
    <s v="WHBH"/>
    <s v="Belo Horizonte"/>
    <s v="MG"/>
    <n v="4056"/>
    <x v="44"/>
    <s v="Goiania"/>
    <s v="GO"/>
    <x v="1"/>
    <s v="GO"/>
    <n v="519.36"/>
    <n v="1"/>
    <n v="15.18"/>
    <n v="6100231"/>
    <x v="1"/>
    <s v="Goiania"/>
    <s v="Convencional"/>
    <n v="3"/>
    <d v="2018-09-30T00:00:00"/>
    <x v="254"/>
    <x v="0"/>
    <d v="2018-10-03T00:00:00"/>
    <x v="1"/>
    <x v="0"/>
    <n v="0"/>
    <n v="1"/>
  </r>
  <r>
    <d v="2018-09-30T00:00:00"/>
    <n v="11312"/>
    <s v="WHCPQ"/>
    <s v="Campinas"/>
    <s v="SP"/>
    <n v="4032"/>
    <x v="34"/>
    <s v="Goiania"/>
    <s v="GO"/>
    <x v="1"/>
    <s v="GO"/>
    <n v="232.05"/>
    <n v="1"/>
    <n v="8.8000000000000007"/>
    <n v="6100231"/>
    <x v="1"/>
    <s v="Goiania"/>
    <s v="Convencional"/>
    <n v="6"/>
    <d v="2018-09-30T00:00:00"/>
    <x v="254"/>
    <x v="0"/>
    <d v="2018-10-06T00:00:00"/>
    <x v="1"/>
    <x v="0"/>
    <n v="0"/>
    <n v="1"/>
  </r>
  <r>
    <d v="2018-09-30T00:00:00"/>
    <n v="11313"/>
    <s v="WHVIT"/>
    <s v="Vitoria"/>
    <s v="ES"/>
    <n v="4083"/>
    <x v="71"/>
    <s v="Sao Jose Do Rio Preto"/>
    <s v="SP"/>
    <x v="2"/>
    <s v="SP"/>
    <n v="1314.54"/>
    <n v="1"/>
    <n v="4.18"/>
    <n v="6400835"/>
    <x v="3"/>
    <s v="Guarulhos"/>
    <s v="Convencional"/>
    <n v="4"/>
    <d v="2018-09-30T00:00:00"/>
    <x v="259"/>
    <x v="0"/>
    <d v="2018-10-04T00:00:00"/>
    <x v="1"/>
    <x v="0"/>
    <n v="0"/>
    <n v="1"/>
  </r>
  <r>
    <d v="2018-09-30T00:00:00"/>
    <n v="11314"/>
    <s v="WHPOA"/>
    <s v="Porto Alegre"/>
    <s v="RS"/>
    <n v="4049"/>
    <x v="43"/>
    <s v="Taguatinga"/>
    <s v="DF"/>
    <x v="1"/>
    <s v="DF"/>
    <n v="183.61"/>
    <n v="1"/>
    <n v="5.0599999999999996"/>
    <n v="6100231"/>
    <x v="1"/>
    <s v="Goiania"/>
    <s v="Convencional"/>
    <n v="8"/>
    <d v="2018-09-30T00:00:00"/>
    <x v="248"/>
    <x v="0"/>
    <d v="2018-10-08T00:00:00"/>
    <x v="0"/>
    <x v="0"/>
    <n v="1"/>
    <n v="1"/>
  </r>
  <r>
    <d v="2018-09-30T00:00:00"/>
    <n v="11315"/>
    <s v="WHSAO"/>
    <s v="Sao Paulo"/>
    <s v="SP"/>
    <n v="4014"/>
    <x v="3"/>
    <s v="Ipatinga"/>
    <s v="MG"/>
    <x v="2"/>
    <s v="MG"/>
    <n v="471.4"/>
    <n v="1"/>
    <n v="11.167"/>
    <n v="6600879"/>
    <x v="2"/>
    <s v="Belo Horizonte"/>
    <s v="Convencional"/>
    <n v="7"/>
    <d v="2018-09-30T00:00:00"/>
    <x v="256"/>
    <x v="0"/>
    <d v="2018-10-07T00:00:00"/>
    <x v="0"/>
    <x v="0"/>
    <n v="1"/>
    <n v="1"/>
  </r>
  <r>
    <d v="2018-09-30T00:00:00"/>
    <n v="11316"/>
    <s v="WHRJ"/>
    <s v="Rio De Janeiro"/>
    <s v="RJ"/>
    <n v="4049"/>
    <x v="43"/>
    <s v="Taguatinga"/>
    <s v="DF"/>
    <x v="1"/>
    <s v="DF"/>
    <n v="624.21"/>
    <n v="1"/>
    <n v="24.423999999999999"/>
    <n v="6100231"/>
    <x v="1"/>
    <s v="Goiania"/>
    <s v="Convencional"/>
    <n v="4"/>
    <d v="2018-09-30T00:00:00"/>
    <x v="250"/>
    <x v="0"/>
    <d v="2018-10-04T00:00:00"/>
    <x v="0"/>
    <x v="0"/>
    <n v="1"/>
    <n v="1"/>
  </r>
  <r>
    <d v="2018-09-30T00:00:00"/>
    <n v="11317"/>
    <s v="WHCPQ"/>
    <s v="Campinas"/>
    <s v="SP"/>
    <n v="4083"/>
    <x v="71"/>
    <s v="Sao Jose Do Rio Preto"/>
    <s v="SP"/>
    <x v="2"/>
    <s v="SP"/>
    <n v="1580.32"/>
    <n v="3"/>
    <n v="69.3"/>
    <n v="6400835"/>
    <x v="3"/>
    <s v="Guarulhos"/>
    <s v="Convencional"/>
    <n v="3"/>
    <d v="2018-09-30T00:00:00"/>
    <x v="255"/>
    <x v="0"/>
    <d v="2018-10-03T00:00:00"/>
    <x v="1"/>
    <x v="0"/>
    <n v="0"/>
    <n v="1"/>
  </r>
  <r>
    <d v="2018-09-30T00:00:00"/>
    <n v="11318"/>
    <s v="WHRJ"/>
    <s v="Rio De Janeiro"/>
    <s v="RJ"/>
    <n v="4064"/>
    <x v="53"/>
    <s v="Presidente Prudente"/>
    <s v="SP"/>
    <x v="2"/>
    <s v="SP"/>
    <n v="284.33999999999997"/>
    <n v="1"/>
    <n v="7.7"/>
    <n v="6400835"/>
    <x v="3"/>
    <s v="Guarulhos"/>
    <s v="Convencional"/>
    <n v="6"/>
    <d v="2018-09-30T00:00:00"/>
    <x v="250"/>
    <x v="0"/>
    <d v="2018-10-06T00:00:00"/>
    <x v="0"/>
    <x v="0"/>
    <n v="1"/>
    <n v="1"/>
  </r>
  <r>
    <d v="2018-09-30T00:00:00"/>
    <n v="11319"/>
    <s v="WHSJC"/>
    <s v="Sao Jose dos Campos"/>
    <s v="SP"/>
    <n v="4064"/>
    <x v="53"/>
    <s v="Presidente Prudente"/>
    <s v="SP"/>
    <x v="2"/>
    <s v="SP"/>
    <n v="369.41"/>
    <n v="1"/>
    <n v="5.0599999999999996"/>
    <n v="6400835"/>
    <x v="3"/>
    <s v="Guarulhos"/>
    <s v="Convencional"/>
    <n v="8"/>
    <d v="2018-09-30T00:00:00"/>
    <x v="254"/>
    <x v="0"/>
    <d v="2018-10-08T00:00:00"/>
    <x v="0"/>
    <x v="0"/>
    <n v="1"/>
    <n v="1"/>
  </r>
  <r>
    <d v="2018-09-30T00:00:00"/>
    <n v="11320"/>
    <s v="WHSJC"/>
    <s v="Sao Jose dos Campos"/>
    <s v="SP"/>
    <n v="4056"/>
    <x v="44"/>
    <s v="Goiania"/>
    <s v="GO"/>
    <x v="1"/>
    <s v="GO"/>
    <n v="6655.47"/>
    <n v="11"/>
    <n v="81.62"/>
    <n v="6100231"/>
    <x v="1"/>
    <s v="Goiania"/>
    <s v="Convencional"/>
    <n v="3"/>
    <d v="2018-09-30T00:00:00"/>
    <x v="250"/>
    <x v="0"/>
    <d v="2018-10-03T00:00:00"/>
    <x v="0"/>
    <x v="0"/>
    <n v="1"/>
    <n v="1"/>
  </r>
  <r>
    <d v="2018-09-30T00:00:00"/>
    <n v="11321"/>
    <s v="WHCPQ"/>
    <s v="Campinas"/>
    <s v="SP"/>
    <n v="4022"/>
    <x v="19"/>
    <s v="Maringa"/>
    <s v="PR"/>
    <x v="0"/>
    <s v="PR"/>
    <n v="23.6"/>
    <n v="1"/>
    <n v="5.5E-2"/>
    <n v="6500948"/>
    <x v="0"/>
    <s v="Porto Alegre"/>
    <s v="Convencional"/>
    <n v="11"/>
    <d v="2018-09-30T00:00:00"/>
    <x v="259"/>
    <x v="0"/>
    <d v="2018-10-11T00:00:00"/>
    <x v="0"/>
    <x v="0"/>
    <n v="1"/>
    <n v="1"/>
  </r>
  <r>
    <d v="2018-09-30T00:00:00"/>
    <n v="11322"/>
    <s v="WHRJ"/>
    <s v="Rio De Janeiro"/>
    <s v="RJ"/>
    <n v="4049"/>
    <x v="43"/>
    <s v="Taguatinga"/>
    <s v="DF"/>
    <x v="1"/>
    <s v="DF"/>
    <n v="673.94"/>
    <n v="3"/>
    <n v="2.7559999999999998"/>
    <n v="6100231"/>
    <x v="1"/>
    <s v="Goiania"/>
    <s v="Convencional"/>
    <n v="7"/>
    <d v="2018-09-30T00:00:00"/>
    <x v="252"/>
    <x v="0"/>
    <d v="2018-10-07T00:00:00"/>
    <x v="0"/>
    <x v="0"/>
    <n v="1"/>
    <n v="1"/>
  </r>
  <r>
    <d v="2018-09-30T00:00:00"/>
    <n v="11323"/>
    <s v="WHSJC"/>
    <s v="Sao Jose dos Campos"/>
    <s v="SP"/>
    <n v="4083"/>
    <x v="71"/>
    <s v="Sao Jose Do Rio Preto"/>
    <s v="SP"/>
    <x v="2"/>
    <s v="SP"/>
    <n v="4869.83"/>
    <n v="5"/>
    <n v="9.548"/>
    <n v="6400835"/>
    <x v="3"/>
    <s v="Guarulhos"/>
    <s v="Convencional"/>
    <n v="10"/>
    <d v="2018-09-30T00:00:00"/>
    <x v="258"/>
    <x v="0"/>
    <d v="2018-10-10T00:00:00"/>
    <x v="0"/>
    <x v="0"/>
    <n v="1"/>
    <n v="1"/>
  </r>
  <r>
    <d v="2018-09-30T00:00:00"/>
    <n v="11324"/>
    <s v="WHSJC"/>
    <s v="Sao Jose dos Campos"/>
    <s v="SP"/>
    <n v="4056"/>
    <x v="44"/>
    <s v="Goiania"/>
    <s v="GO"/>
    <x v="1"/>
    <s v="GO"/>
    <n v="551.1"/>
    <n v="1"/>
    <n v="1.54"/>
    <n v="6100231"/>
    <x v="1"/>
    <s v="Goiania"/>
    <s v="Convencional"/>
    <n v="7"/>
    <d v="2018-09-30T00:00:00"/>
    <x v="254"/>
    <x v="0"/>
    <d v="2018-10-07T00:00:00"/>
    <x v="1"/>
    <x v="0"/>
    <n v="0"/>
    <n v="1"/>
  </r>
  <r>
    <d v="2018-09-30T00:00:00"/>
    <n v="11325"/>
    <s v="WHRJ"/>
    <s v="Rio De Janeiro"/>
    <s v="RJ"/>
    <n v="4064"/>
    <x v="53"/>
    <s v="Presidente Prudente"/>
    <s v="SP"/>
    <x v="2"/>
    <s v="SP"/>
    <n v="237"/>
    <n v="1"/>
    <n v="0.91900000000000004"/>
    <n v="6400835"/>
    <x v="3"/>
    <s v="Guarulhos"/>
    <s v="Convencional"/>
    <n v="1"/>
    <d v="2018-09-30T00:00:00"/>
    <x v="248"/>
    <x v="0"/>
    <d v="2018-10-01T00:00:00"/>
    <x v="0"/>
    <x v="0"/>
    <n v="1"/>
    <n v="1"/>
  </r>
  <r>
    <d v="2018-09-30T00:00:00"/>
    <n v="11326"/>
    <s v="WHVIT"/>
    <s v="Vitoria"/>
    <s v="ES"/>
    <n v="4064"/>
    <x v="53"/>
    <s v="Presidente Prudente"/>
    <s v="SP"/>
    <x v="2"/>
    <s v="SP"/>
    <n v="360.29"/>
    <n v="1"/>
    <n v="0.68200000000000005"/>
    <n v="6400835"/>
    <x v="3"/>
    <s v="Guarulhos"/>
    <s v="Convencional"/>
    <n v="6"/>
    <d v="2018-09-30T00:00:00"/>
    <x v="257"/>
    <x v="0"/>
    <d v="2018-10-06T00:00:00"/>
    <x v="1"/>
    <x v="0"/>
    <n v="0"/>
    <n v="1"/>
  </r>
  <r>
    <d v="2018-09-30T00:00:00"/>
    <n v="11327"/>
    <s v="WHCPQ"/>
    <s v="Campinas"/>
    <s v="SP"/>
    <n v="4083"/>
    <x v="71"/>
    <s v="Sao Jose Do Rio Preto"/>
    <s v="SP"/>
    <x v="2"/>
    <s v="SP"/>
    <n v="345.99"/>
    <n v="1"/>
    <n v="0.68200000000000005"/>
    <n v="6400835"/>
    <x v="3"/>
    <s v="Guarulhos"/>
    <s v="Convencional"/>
    <n v="2"/>
    <d v="2018-09-30T00:00:00"/>
    <x v="257"/>
    <x v="0"/>
    <d v="2018-10-02T00:00:00"/>
    <x v="1"/>
    <x v="0"/>
    <n v="0"/>
    <n v="1"/>
  </r>
  <r>
    <d v="2018-09-30T00:00:00"/>
    <n v="11328"/>
    <s v="WHCPQ"/>
    <s v="Campinas"/>
    <s v="SP"/>
    <n v="4083"/>
    <x v="71"/>
    <s v="Sao Jose Do Rio Preto"/>
    <s v="SP"/>
    <x v="2"/>
    <s v="SP"/>
    <n v="592.55999999999995"/>
    <n v="1"/>
    <n v="5.28"/>
    <n v="6400835"/>
    <x v="3"/>
    <s v="Guarulhos"/>
    <s v="Convencional"/>
    <n v="3"/>
    <d v="2018-09-30T00:00:00"/>
    <x v="250"/>
    <x v="0"/>
    <d v="2018-10-03T00:00:00"/>
    <x v="0"/>
    <x v="0"/>
    <n v="1"/>
    <n v="1"/>
  </r>
  <r>
    <d v="2018-09-30T00:00:00"/>
    <n v="11329"/>
    <s v="WHPOA"/>
    <s v="Porto Alegre"/>
    <s v="RS"/>
    <n v="4083"/>
    <x v="71"/>
    <s v="Sao Jose Do Rio Preto"/>
    <s v="SP"/>
    <x v="2"/>
    <s v="SP"/>
    <n v="3327.27"/>
    <n v="2"/>
    <n v="10.45"/>
    <n v="6400835"/>
    <x v="3"/>
    <s v="Guarulhos"/>
    <s v="Convencional"/>
    <n v="4"/>
    <d v="2018-09-30T00:00:00"/>
    <x v="257"/>
    <x v="0"/>
    <d v="2018-10-04T00:00:00"/>
    <x v="1"/>
    <x v="0"/>
    <n v="0"/>
    <n v="1"/>
  </r>
  <r>
    <d v="2018-09-30T00:00:00"/>
    <n v="11330"/>
    <s v="WHSJC"/>
    <s v="Sao Jose dos Campos"/>
    <s v="SP"/>
    <n v="4049"/>
    <x v="43"/>
    <s v="Taguatinga"/>
    <s v="DF"/>
    <x v="1"/>
    <s v="DF"/>
    <n v="2369.9299999999998"/>
    <n v="7"/>
    <n v="20.869"/>
    <n v="6100231"/>
    <x v="1"/>
    <s v="Goiania"/>
    <s v="Convencional"/>
    <n v="6"/>
    <d v="2018-09-30T00:00:00"/>
    <x v="256"/>
    <x v="0"/>
    <d v="2018-10-06T00:00:00"/>
    <x v="0"/>
    <x v="0"/>
    <n v="1"/>
    <n v="1"/>
  </r>
  <r>
    <d v="2018-09-30T00:00:00"/>
    <n v="11331"/>
    <s v="WHCPQ"/>
    <s v="Campinas"/>
    <s v="SP"/>
    <n v="4049"/>
    <x v="43"/>
    <s v="Taguatinga"/>
    <s v="DF"/>
    <x v="1"/>
    <s v="DF"/>
    <n v="2855.63"/>
    <n v="4"/>
    <n v="4.6159999999999997"/>
    <n v="6100231"/>
    <x v="1"/>
    <s v="Goiania"/>
    <s v="Convencional"/>
    <n v="9"/>
    <d v="2018-09-30T00:00:00"/>
    <x v="250"/>
    <x v="0"/>
    <d v="2018-10-09T00:00:00"/>
    <x v="0"/>
    <x v="0"/>
    <n v="1"/>
    <n v="1"/>
  </r>
  <r>
    <d v="2018-09-30T00:00:00"/>
    <n v="11332"/>
    <s v="WHVIT"/>
    <s v="Vitoria"/>
    <s v="ES"/>
    <n v="4124"/>
    <x v="112"/>
    <s v="Manaus"/>
    <s v="AM"/>
    <x v="4"/>
    <s v="AM"/>
    <n v="4562.05"/>
    <n v="6"/>
    <n v="8.9540000000000006"/>
    <n v="6700091"/>
    <x v="6"/>
    <s v="Manaus"/>
    <s v="Convencional"/>
    <n v="6"/>
    <d v="2018-09-30T00:00:00"/>
    <x v="257"/>
    <x v="0"/>
    <d v="2018-10-06T00:00:00"/>
    <x v="1"/>
    <x v="0"/>
    <n v="0"/>
    <n v="1"/>
  </r>
  <r>
    <d v="2018-10-02T00:00:00"/>
    <n v="11333"/>
    <s v="WHSJC"/>
    <s v="Sao Jose dos Campos"/>
    <s v="SP"/>
    <n v="4068"/>
    <x v="4"/>
    <s v="Campo Grande"/>
    <s v="MS"/>
    <x v="1"/>
    <s v="MS"/>
    <n v="658.2"/>
    <n v="3"/>
    <n v="58.08"/>
    <n v="6100231"/>
    <x v="1"/>
    <s v="Goiania"/>
    <s v="Convencional"/>
    <n v="7"/>
    <d v="2018-10-02T00:00:00"/>
    <x v="259"/>
    <x v="0"/>
    <d v="2018-10-09T00:00:00"/>
    <x v="1"/>
    <x v="0"/>
    <n v="0"/>
    <n v="1"/>
  </r>
  <r>
    <d v="2018-10-02T00:00:00"/>
    <n v="11334"/>
    <s v="WHRJ"/>
    <s v="Rio De Janeiro"/>
    <s v="RJ"/>
    <n v="4068"/>
    <x v="4"/>
    <s v="Campo Grande"/>
    <s v="MS"/>
    <x v="1"/>
    <s v="MS"/>
    <n v="1.48"/>
    <n v="1"/>
    <n v="0.11799999999999999"/>
    <n v="6100231"/>
    <x v="1"/>
    <s v="Goiania"/>
    <s v="Convencional"/>
    <n v="4"/>
    <d v="2018-10-02T00:00:00"/>
    <x v="252"/>
    <x v="0"/>
    <d v="2018-10-06T00:00:00"/>
    <x v="0"/>
    <x v="0"/>
    <n v="1"/>
    <n v="1"/>
  </r>
  <r>
    <d v="2018-10-02T00:00:00"/>
    <n v="11335"/>
    <s v="WHCPQ"/>
    <s v="Campinas"/>
    <s v="SP"/>
    <n v="4068"/>
    <x v="4"/>
    <s v="Campo Grande"/>
    <s v="MS"/>
    <x v="1"/>
    <s v="MS"/>
    <n v="222.58"/>
    <n v="1"/>
    <n v="1.375"/>
    <n v="6100231"/>
    <x v="1"/>
    <s v="Goiania"/>
    <s v="Convencional"/>
    <n v="1"/>
    <d v="2018-10-02T00:00:00"/>
    <x v="253"/>
    <x v="0"/>
    <d v="2018-10-03T00:00:00"/>
    <x v="1"/>
    <x v="0"/>
    <n v="0"/>
    <n v="1"/>
  </r>
  <r>
    <d v="2018-10-03T00:00:00"/>
    <n v="11336"/>
    <s v="WHCPQ"/>
    <s v="Campinas"/>
    <s v="SP"/>
    <n v="4076"/>
    <x v="64"/>
    <s v="Sao Jose Do Rio Preto"/>
    <s v="SP"/>
    <x v="2"/>
    <s v="SP"/>
    <n v="438.32"/>
    <n v="1"/>
    <n v="2.4940000000000002"/>
    <n v="6400835"/>
    <x v="3"/>
    <s v="Guarulhos"/>
    <s v="Convencional"/>
    <n v="8"/>
    <d v="2018-10-03T00:00:00"/>
    <x v="260"/>
    <x v="0"/>
    <d v="2018-10-11T00:00:00"/>
    <x v="1"/>
    <x v="0"/>
    <n v="0"/>
    <n v="1"/>
  </r>
  <r>
    <d v="2018-10-03T00:00:00"/>
    <n v="11337"/>
    <s v="WHRJ"/>
    <s v="Rio De Janeiro"/>
    <s v="RJ"/>
    <n v="4076"/>
    <x v="64"/>
    <s v="Sao Jose Do Rio Preto"/>
    <s v="SP"/>
    <x v="2"/>
    <s v="SP"/>
    <n v="646.42999999999995"/>
    <n v="2"/>
    <n v="0.20799999999999999"/>
    <n v="6400835"/>
    <x v="3"/>
    <s v="Guarulhos"/>
    <s v="Convencional"/>
    <n v="4"/>
    <d v="2018-10-03T00:00:00"/>
    <x v="259"/>
    <x v="0"/>
    <d v="2018-10-07T00:00:00"/>
    <x v="1"/>
    <x v="0"/>
    <n v="0"/>
    <n v="1"/>
  </r>
  <r>
    <d v="2018-10-03T00:00:00"/>
    <n v="11338"/>
    <s v="WHSJC"/>
    <s v="Sao Jose dos Campos"/>
    <s v="SP"/>
    <n v="4022"/>
    <x v="19"/>
    <s v="Maringa"/>
    <s v="PR"/>
    <x v="0"/>
    <s v="PR"/>
    <n v="722.8"/>
    <n v="1"/>
    <n v="2.202"/>
    <n v="6500948"/>
    <x v="0"/>
    <s v="Porto Alegre"/>
    <s v="Convencional"/>
    <n v="11"/>
    <d v="2018-10-03T00:00:00"/>
    <x v="261"/>
    <x v="1"/>
    <d v="2018-10-14T00:00:00"/>
    <x v="0"/>
    <x v="1"/>
    <n v="0"/>
    <n v="1"/>
  </r>
  <r>
    <d v="2018-10-05T00:00:00"/>
    <n v="11339"/>
    <s v="WHCPQ"/>
    <s v="Campinas"/>
    <s v="SP"/>
    <n v="4084"/>
    <x v="72"/>
    <s v="Aracatuba"/>
    <s v="SP"/>
    <x v="2"/>
    <s v="SP"/>
    <n v="78.27"/>
    <n v="1"/>
    <n v="0.38500000000000001"/>
    <n v="6400835"/>
    <x v="3"/>
    <s v="Guarulhos"/>
    <s v="Convencional"/>
    <n v="11"/>
    <d v="2018-10-05T00:00:00"/>
    <x v="262"/>
    <x v="0"/>
    <d v="2018-10-16T00:00:00"/>
    <x v="0"/>
    <x v="0"/>
    <n v="1"/>
    <n v="1"/>
  </r>
  <r>
    <d v="2018-10-06T00:00:00"/>
    <n v="11340"/>
    <s v="WHVIT"/>
    <s v="Vitoria"/>
    <s v="ES"/>
    <n v="4019"/>
    <x v="13"/>
    <s v="Florianopolis"/>
    <s v="SC"/>
    <x v="0"/>
    <s v="SC"/>
    <n v="1583.31"/>
    <n v="1"/>
    <n v="1.6850000000000001"/>
    <n v="6500948"/>
    <x v="0"/>
    <s v="Porto Alegre"/>
    <s v="Convencional"/>
    <n v="10"/>
    <d v="2018-10-06T00:00:00"/>
    <x v="263"/>
    <x v="1"/>
    <d v="2018-10-16T00:00:00"/>
    <x v="0"/>
    <x v="1"/>
    <n v="0"/>
    <n v="1"/>
  </r>
  <r>
    <d v="2018-10-06T00:00:00"/>
    <n v="11341"/>
    <s v="WHSJC"/>
    <s v="Sao Jose dos Campos"/>
    <s v="SP"/>
    <n v="4125"/>
    <x v="113"/>
    <s v="Sao Paulo"/>
    <s v="SP"/>
    <x v="2"/>
    <s v="SP"/>
    <n v="18.03"/>
    <n v="1"/>
    <n v="0.88400000000000001"/>
    <n v="6400835"/>
    <x v="3"/>
    <s v="Guarulhos"/>
    <s v="Convencional"/>
    <n v="6"/>
    <d v="2018-10-06T00:00:00"/>
    <x v="257"/>
    <x v="0"/>
    <d v="2018-10-12T00:00:00"/>
    <x v="0"/>
    <x v="0"/>
    <n v="1"/>
    <n v="1"/>
  </r>
  <r>
    <d v="2018-10-06T00:00:00"/>
    <n v="11342"/>
    <s v="WHSJC"/>
    <s v="Sao Jose dos Campos"/>
    <s v="SP"/>
    <n v="4068"/>
    <x v="4"/>
    <s v="Campo Grande"/>
    <s v="MS"/>
    <x v="1"/>
    <s v="MS"/>
    <n v="97.31"/>
    <n v="1"/>
    <n v="1.1200000000000001"/>
    <n v="6100231"/>
    <x v="1"/>
    <s v="Goiania"/>
    <s v="Convencional"/>
    <n v="6"/>
    <d v="2018-10-06T00:00:00"/>
    <x v="259"/>
    <x v="0"/>
    <d v="2018-10-12T00:00:00"/>
    <x v="0"/>
    <x v="0"/>
    <n v="1"/>
    <n v="1"/>
  </r>
  <r>
    <d v="2018-10-06T00:00:00"/>
    <n v="11343"/>
    <s v="WHPOA"/>
    <s v="Porto Alegre"/>
    <s v="RS"/>
    <n v="4113"/>
    <x v="101"/>
    <s v="Rio De Janeiro"/>
    <s v="RJ"/>
    <x v="2"/>
    <s v="RJ"/>
    <n v="708.48"/>
    <n v="1"/>
    <n v="1.87"/>
    <n v="6140092"/>
    <x v="4"/>
    <s v="Rio de Janeiro"/>
    <s v="Convencional"/>
    <n v="7"/>
    <d v="2018-10-06T00:00:00"/>
    <x v="258"/>
    <x v="1"/>
    <d v="2018-10-13T00:00:00"/>
    <x v="0"/>
    <x v="1"/>
    <n v="0"/>
    <n v="1"/>
  </r>
  <r>
    <d v="2018-10-06T00:00:00"/>
    <n v="11344"/>
    <s v="WHSJC"/>
    <s v="Sao Jose dos Campos"/>
    <s v="SP"/>
    <n v="4069"/>
    <x v="57"/>
    <s v="Brasilia"/>
    <s v="DF"/>
    <x v="1"/>
    <s v="DF"/>
    <n v="11.71"/>
    <n v="1"/>
    <n v="1.2999999999999999E-2"/>
    <n v="6100231"/>
    <x v="1"/>
    <s v="Goiania"/>
    <s v="Convencional"/>
    <n v="9"/>
    <d v="2018-10-06T00:00:00"/>
    <x v="263"/>
    <x v="0"/>
    <d v="2018-10-15T00:00:00"/>
    <x v="1"/>
    <x v="0"/>
    <n v="0"/>
    <n v="1"/>
  </r>
  <r>
    <d v="2018-10-06T00:00:00"/>
    <n v="11345"/>
    <s v="WHPOA"/>
    <s v="Porto Alegre"/>
    <s v="RS"/>
    <n v="4113"/>
    <x v="101"/>
    <s v="Rio De Janeiro"/>
    <s v="RJ"/>
    <x v="2"/>
    <s v="RJ"/>
    <n v="67.209999999999994"/>
    <n v="1"/>
    <n v="0.11"/>
    <n v="6140092"/>
    <x v="4"/>
    <s v="Rio de Janeiro"/>
    <s v="Convencional"/>
    <n v="2"/>
    <d v="2018-10-06T00:00:00"/>
    <x v="260"/>
    <x v="0"/>
    <d v="2018-10-08T00:00:00"/>
    <x v="1"/>
    <x v="0"/>
    <n v="0"/>
    <n v="1"/>
  </r>
  <r>
    <d v="2018-10-09T00:00:00"/>
    <n v="11346"/>
    <s v="WHBH"/>
    <s v="Belo Horizonte"/>
    <s v="MG"/>
    <n v="4068"/>
    <x v="4"/>
    <s v="Campo Grande"/>
    <s v="MS"/>
    <x v="1"/>
    <s v="MS"/>
    <n v="1849.5"/>
    <n v="1"/>
    <n v="4.51"/>
    <n v="6100231"/>
    <x v="1"/>
    <s v="Goiania"/>
    <s v="Convencional"/>
    <n v="9"/>
    <d v="2018-10-09T00:00:00"/>
    <x v="264"/>
    <x v="1"/>
    <d v="2018-10-18T00:00:00"/>
    <x v="0"/>
    <x v="1"/>
    <n v="0"/>
    <n v="1"/>
  </r>
  <r>
    <d v="2018-10-09T00:00:00"/>
    <n v="11347"/>
    <s v="WHPOA"/>
    <s v="Porto Alegre"/>
    <s v="RS"/>
    <n v="4068"/>
    <x v="4"/>
    <s v="Campo Grande"/>
    <s v="MS"/>
    <x v="1"/>
    <s v="MS"/>
    <n v="506.6"/>
    <n v="1"/>
    <n v="3.4390000000000001"/>
    <n v="6100231"/>
    <x v="1"/>
    <s v="Goiania"/>
    <s v="Convencional"/>
    <n v="5"/>
    <d v="2018-10-09T00:00:00"/>
    <x v="262"/>
    <x v="0"/>
    <d v="2018-10-14T00:00:00"/>
    <x v="1"/>
    <x v="0"/>
    <n v="0"/>
    <n v="1"/>
  </r>
  <r>
    <d v="2018-10-10T00:00:00"/>
    <n v="11348"/>
    <s v="WHPOA"/>
    <s v="Porto Alegre"/>
    <s v="RS"/>
    <n v="4037"/>
    <x v="39"/>
    <s v="Brasilia"/>
    <s v="DF"/>
    <x v="1"/>
    <s v="DF"/>
    <n v="11.03"/>
    <n v="1"/>
    <n v="0.16"/>
    <n v="6100231"/>
    <x v="1"/>
    <s v="Goiania"/>
    <s v="Convencional"/>
    <n v="3"/>
    <d v="2018-10-10T00:00:00"/>
    <x v="260"/>
    <x v="0"/>
    <d v="2018-10-13T00:00:00"/>
    <x v="0"/>
    <x v="0"/>
    <n v="1"/>
    <n v="1"/>
  </r>
  <r>
    <d v="2018-10-12T00:00:00"/>
    <n v="11349"/>
    <s v="WHRJ"/>
    <s v="Rio De Janeiro"/>
    <s v="RJ"/>
    <n v="4126"/>
    <x v="114"/>
    <s v="Belo Horizonte"/>
    <s v="MG"/>
    <x v="2"/>
    <s v="MG"/>
    <n v="607.47"/>
    <n v="1"/>
    <n v="2.2000000000000002"/>
    <n v="6600879"/>
    <x v="2"/>
    <s v="Belo Horizonte"/>
    <s v="Convencional"/>
    <n v="5"/>
    <d v="2018-10-12T00:00:00"/>
    <x v="265"/>
    <x v="0"/>
    <d v="2018-10-17T00:00:00"/>
    <x v="1"/>
    <x v="0"/>
    <n v="0"/>
    <n v="1"/>
  </r>
  <r>
    <d v="2018-10-13T00:00:00"/>
    <n v="11350"/>
    <s v="WHSAO"/>
    <s v="Sao Paulo"/>
    <s v="SP"/>
    <n v="4028"/>
    <x v="26"/>
    <s v="Sao Jose Dos Pinhais"/>
    <s v="PR"/>
    <x v="0"/>
    <s v="PR"/>
    <n v="72.069999999999993"/>
    <n v="1"/>
    <n v="0.187"/>
    <n v="6500948"/>
    <x v="0"/>
    <s v="Porto Alegre"/>
    <s v="Convencional"/>
    <n v="11"/>
    <d v="2018-10-13T00:00:00"/>
    <x v="264"/>
    <x v="0"/>
    <d v="2018-10-24T00:00:00"/>
    <x v="0"/>
    <x v="0"/>
    <n v="1"/>
    <n v="1"/>
  </r>
  <r>
    <d v="2018-10-13T00:00:00"/>
    <n v="11351"/>
    <s v="WHSAO"/>
    <s v="Sao Paulo"/>
    <s v="SP"/>
    <n v="4028"/>
    <x v="26"/>
    <s v="Sao Jose Dos Pinhais"/>
    <s v="PR"/>
    <x v="0"/>
    <s v="PR"/>
    <n v="126.11"/>
    <n v="1"/>
    <n v="0.748"/>
    <n v="6500948"/>
    <x v="0"/>
    <s v="Porto Alegre"/>
    <s v="Convencional"/>
    <n v="8"/>
    <d v="2018-10-13T00:00:00"/>
    <x v="266"/>
    <x v="0"/>
    <d v="2018-10-21T00:00:00"/>
    <x v="0"/>
    <x v="0"/>
    <n v="1"/>
    <n v="1"/>
  </r>
  <r>
    <d v="2018-10-13T00:00:00"/>
    <n v="11352"/>
    <s v="WHCPQ"/>
    <s v="Campinas"/>
    <s v="SP"/>
    <n v="4022"/>
    <x v="19"/>
    <s v="Maringa"/>
    <s v="PR"/>
    <x v="0"/>
    <s v="PR"/>
    <n v="57.97"/>
    <n v="1"/>
    <n v="0.55000000000000004"/>
    <n v="6500948"/>
    <x v="0"/>
    <s v="Porto Alegre"/>
    <s v="Convencional"/>
    <n v="7"/>
    <d v="2018-10-13T00:00:00"/>
    <x v="267"/>
    <x v="0"/>
    <d v="2018-10-20T00:00:00"/>
    <x v="0"/>
    <x v="0"/>
    <n v="1"/>
    <n v="1"/>
  </r>
  <r>
    <d v="2018-10-16T00:00:00"/>
    <n v="11353"/>
    <s v="WHSAO"/>
    <s v="Sao Paulo"/>
    <s v="SP"/>
    <n v="4068"/>
    <x v="4"/>
    <s v="Campo Grande"/>
    <s v="MS"/>
    <x v="1"/>
    <s v="MS"/>
    <n v="578.44000000000005"/>
    <n v="1"/>
    <n v="1.98"/>
    <n v="6100231"/>
    <x v="1"/>
    <s v="Goiania"/>
    <s v="Convencional"/>
    <n v="8"/>
    <d v="2018-10-16T00:00:00"/>
    <x v="268"/>
    <x v="1"/>
    <d v="2018-10-24T00:00:00"/>
    <x v="1"/>
    <x v="1"/>
    <n v="0"/>
    <n v="1"/>
  </r>
  <r>
    <d v="2018-10-16T00:00:00"/>
    <n v="11354"/>
    <s v="WHVIT"/>
    <s v="Vitoria"/>
    <s v="ES"/>
    <n v="4022"/>
    <x v="19"/>
    <s v="Maringa"/>
    <s v="PR"/>
    <x v="0"/>
    <s v="PR"/>
    <n v="2356.88"/>
    <n v="4"/>
    <n v="7.92"/>
    <n v="6500948"/>
    <x v="0"/>
    <s v="Porto Alegre"/>
    <s v="Convencional"/>
    <n v="2"/>
    <d v="2018-10-16T00:00:00"/>
    <x v="267"/>
    <x v="0"/>
    <d v="2018-10-18T00:00:00"/>
    <x v="1"/>
    <x v="0"/>
    <n v="0"/>
    <n v="1"/>
  </r>
  <r>
    <d v="2018-10-17T00:00:00"/>
    <n v="11355"/>
    <s v="WHVIT"/>
    <s v="Vitoria"/>
    <s v="ES"/>
    <n v="4013"/>
    <x v="1"/>
    <s v="Blumenau"/>
    <s v="SC"/>
    <x v="0"/>
    <s v="SC"/>
    <n v="297.24"/>
    <n v="1"/>
    <n v="12.461"/>
    <n v="6500948"/>
    <x v="0"/>
    <s v="Porto Alegre"/>
    <s v="Convencional"/>
    <n v="7"/>
    <d v="2018-10-17T00:00:00"/>
    <x v="269"/>
    <x v="0"/>
    <d v="2018-10-24T00:00:00"/>
    <x v="1"/>
    <x v="0"/>
    <n v="0"/>
    <n v="1"/>
  </r>
  <r>
    <d v="2018-10-17T00:00:00"/>
    <n v="11356"/>
    <s v="WHBH"/>
    <s v="Belo Horizonte"/>
    <s v="MG"/>
    <n v="4034"/>
    <x v="36"/>
    <s v="Goiania"/>
    <s v="GO"/>
    <x v="1"/>
    <s v="GO"/>
    <n v="589.22"/>
    <n v="1"/>
    <n v="1.98"/>
    <n v="6100231"/>
    <x v="1"/>
    <s v="Goiania"/>
    <s v="Convencional"/>
    <n v="11"/>
    <d v="2018-10-17T00:00:00"/>
    <x v="268"/>
    <x v="0"/>
    <d v="2018-10-28T00:00:00"/>
    <x v="0"/>
    <x v="0"/>
    <n v="1"/>
    <n v="1"/>
  </r>
  <r>
    <d v="2018-10-18T00:00:00"/>
    <n v="11357"/>
    <s v="WHPOA"/>
    <s v="Porto Alegre"/>
    <s v="RS"/>
    <n v="4017"/>
    <x v="10"/>
    <s v="Itajai"/>
    <s v="SC"/>
    <x v="0"/>
    <s v="SC"/>
    <n v="555.29999999999995"/>
    <n v="1"/>
    <n v="0.17499999999999999"/>
    <n v="6500948"/>
    <x v="0"/>
    <s v="Porto Alegre"/>
    <s v="Convencional"/>
    <n v="4"/>
    <d v="2018-10-18T00:00:00"/>
    <x v="266"/>
    <x v="0"/>
    <d v="2018-10-22T00:00:00"/>
    <x v="0"/>
    <x v="0"/>
    <n v="1"/>
    <n v="1"/>
  </r>
  <r>
    <d v="2018-10-18T00:00:00"/>
    <n v="11358"/>
    <s v="WHPOA"/>
    <s v="Porto Alegre"/>
    <s v="RS"/>
    <n v="4033"/>
    <x v="35"/>
    <s v="Goiania"/>
    <s v="GO"/>
    <x v="1"/>
    <s v="GO"/>
    <n v="237.59"/>
    <n v="1"/>
    <n v="0.35899999999999999"/>
    <n v="6100231"/>
    <x v="1"/>
    <s v="Goiania"/>
    <s v="Convencional"/>
    <n v="9"/>
    <d v="2018-10-18T00:00:00"/>
    <x v="268"/>
    <x v="0"/>
    <d v="2018-10-27T00:00:00"/>
    <x v="0"/>
    <x v="0"/>
    <n v="1"/>
    <n v="1"/>
  </r>
  <r>
    <d v="2018-10-18T00:00:00"/>
    <n v="11359"/>
    <s v="WHSJC"/>
    <s v="Sao Jose dos Campos"/>
    <s v="SP"/>
    <n v="4127"/>
    <x v="115"/>
    <s v="Rio De Janeiro"/>
    <s v="RJ"/>
    <x v="2"/>
    <s v="RJ"/>
    <n v="3069.36"/>
    <n v="5"/>
    <n v="23.381"/>
    <n v="6140092"/>
    <x v="4"/>
    <s v="Rio de Janeiro"/>
    <s v="Convencional"/>
    <n v="9"/>
    <d v="2018-10-18T00:00:00"/>
    <x v="270"/>
    <x v="0"/>
    <d v="2018-10-27T00:00:00"/>
    <x v="0"/>
    <x v="0"/>
    <n v="1"/>
    <n v="1"/>
  </r>
  <r>
    <d v="2018-10-18T00:00:00"/>
    <n v="11360"/>
    <s v="WHRJ"/>
    <s v="Rio De Janeiro"/>
    <s v="RJ"/>
    <n v="4127"/>
    <x v="115"/>
    <s v="Rio De Janeiro"/>
    <s v="RJ"/>
    <x v="2"/>
    <s v="RJ"/>
    <n v="2165.7199999999998"/>
    <n v="2"/>
    <n v="2.9329999999999998"/>
    <n v="6140092"/>
    <x v="4"/>
    <s v="Rio de Janeiro"/>
    <s v="Convencional"/>
    <n v="3"/>
    <d v="2018-10-18T00:00:00"/>
    <x v="268"/>
    <x v="0"/>
    <d v="2018-10-21T00:00:00"/>
    <x v="1"/>
    <x v="0"/>
    <n v="0"/>
    <n v="1"/>
  </r>
  <r>
    <d v="2018-10-18T00:00:00"/>
    <n v="11361"/>
    <s v="WHRJ"/>
    <s v="Rio De Janeiro"/>
    <s v="RJ"/>
    <n v="4018"/>
    <x v="12"/>
    <s v="Sao Jose"/>
    <s v="SC"/>
    <x v="0"/>
    <s v="SC"/>
    <n v="1205.81"/>
    <n v="1"/>
    <n v="14.3"/>
    <n v="6500948"/>
    <x v="0"/>
    <s v="Porto Alegre"/>
    <s v="Urgente"/>
    <n v="11"/>
    <d v="2018-10-18T00:00:00"/>
    <x v="266"/>
    <x v="0"/>
    <d v="2018-10-29T00:00:00"/>
    <x v="0"/>
    <x v="0"/>
    <n v="1"/>
    <n v="1"/>
  </r>
  <r>
    <d v="2018-10-18T00:00:00"/>
    <n v="11362"/>
    <s v="WHRJ"/>
    <s v="Rio De Janeiro"/>
    <s v="RJ"/>
    <n v="4040"/>
    <x v="42"/>
    <s v="Brasilia"/>
    <s v="DF"/>
    <x v="1"/>
    <s v="DF"/>
    <n v="514.02"/>
    <n v="1"/>
    <n v="0.51200000000000001"/>
    <n v="6100231"/>
    <x v="1"/>
    <s v="Goiania"/>
    <s v="Convencional"/>
    <n v="4"/>
    <d v="2018-10-18T00:00:00"/>
    <x v="269"/>
    <x v="0"/>
    <d v="2018-10-22T00:00:00"/>
    <x v="1"/>
    <x v="0"/>
    <n v="0"/>
    <n v="1"/>
  </r>
  <r>
    <d v="2018-10-18T00:00:00"/>
    <n v="11363"/>
    <s v="WHPOA"/>
    <s v="Porto Alegre"/>
    <s v="RS"/>
    <n v="4027"/>
    <x v="24"/>
    <s v="Novo Hamburgo"/>
    <s v="RS"/>
    <x v="0"/>
    <s v="RS"/>
    <n v="357.54"/>
    <n v="1"/>
    <n v="4.093"/>
    <n v="6500948"/>
    <x v="0"/>
    <s v="Porto Alegre"/>
    <s v="Convencional"/>
    <n v="8"/>
    <d v="2018-10-18T00:00:00"/>
    <x v="266"/>
    <x v="0"/>
    <d v="2018-10-26T00:00:00"/>
    <x v="0"/>
    <x v="0"/>
    <n v="1"/>
    <n v="1"/>
  </r>
  <r>
    <d v="2018-10-18T00:00:00"/>
    <n v="11364"/>
    <s v="WHSAO"/>
    <s v="Sao Paulo"/>
    <s v="SP"/>
    <n v="4040"/>
    <x v="42"/>
    <s v="Brasilia"/>
    <s v="DF"/>
    <x v="1"/>
    <s v="DF"/>
    <n v="782.33"/>
    <n v="1"/>
    <n v="1.65"/>
    <n v="6100231"/>
    <x v="1"/>
    <s v="Goiania"/>
    <s v="Convencional"/>
    <n v="12"/>
    <d v="2018-10-18T00:00:00"/>
    <x v="266"/>
    <x v="0"/>
    <d v="2018-10-30T00:00:00"/>
    <x v="0"/>
    <x v="0"/>
    <n v="1"/>
    <n v="1"/>
  </r>
  <r>
    <d v="2018-10-18T00:00:00"/>
    <n v="11365"/>
    <s v="WHSJC"/>
    <s v="Sao Jose dos Campos"/>
    <s v="SP"/>
    <n v="4027"/>
    <x v="24"/>
    <s v="Novo Hamburgo"/>
    <s v="RS"/>
    <x v="0"/>
    <s v="RS"/>
    <n v="620.62"/>
    <n v="1"/>
    <n v="5.72"/>
    <n v="6500948"/>
    <x v="0"/>
    <s v="Porto Alegre"/>
    <s v="Convencional"/>
    <n v="12"/>
    <d v="2018-10-18T00:00:00"/>
    <x v="265"/>
    <x v="0"/>
    <d v="2018-10-30T00:00:00"/>
    <x v="0"/>
    <x v="0"/>
    <n v="1"/>
    <n v="1"/>
  </r>
  <r>
    <d v="2018-10-18T00:00:00"/>
    <n v="11366"/>
    <s v="WHBH"/>
    <s v="Belo Horizonte"/>
    <s v="MG"/>
    <n v="4030"/>
    <x v="30"/>
    <s v="Belo Horizonte"/>
    <s v="MG"/>
    <x v="2"/>
    <s v="MG"/>
    <n v="1697"/>
    <n v="1"/>
    <n v="7.2949999999999999"/>
    <n v="6600879"/>
    <x v="2"/>
    <s v="Belo Horizonte"/>
    <s v="Convencional"/>
    <n v="10"/>
    <d v="2018-10-18T00:00:00"/>
    <x v="271"/>
    <x v="0"/>
    <d v="2018-10-28T00:00:00"/>
    <x v="0"/>
    <x v="0"/>
    <n v="1"/>
    <n v="1"/>
  </r>
  <r>
    <d v="2018-10-18T00:00:00"/>
    <n v="11367"/>
    <s v="WHVIT"/>
    <s v="Vitoria"/>
    <s v="ES"/>
    <n v="4126"/>
    <x v="114"/>
    <s v="Belo Horizonte"/>
    <s v="MG"/>
    <x v="2"/>
    <s v="MG"/>
    <n v="297.63"/>
    <n v="3"/>
    <n v="0.48499999999999999"/>
    <n v="6600879"/>
    <x v="2"/>
    <s v="Belo Horizonte"/>
    <s v="Convencional"/>
    <n v="10"/>
    <d v="2018-10-18T00:00:00"/>
    <x v="266"/>
    <x v="0"/>
    <d v="2018-10-28T00:00:00"/>
    <x v="0"/>
    <x v="0"/>
    <n v="1"/>
    <n v="1"/>
  </r>
  <r>
    <d v="2018-10-18T00:00:00"/>
    <n v="11368"/>
    <s v="WHBH"/>
    <s v="Belo Horizonte"/>
    <s v="MG"/>
    <n v="4126"/>
    <x v="114"/>
    <s v="Belo Horizonte"/>
    <s v="MG"/>
    <x v="2"/>
    <s v="MG"/>
    <n v="8691.2199999999993"/>
    <n v="25"/>
    <n v="258.52199999999999"/>
    <n v="6600879"/>
    <x v="2"/>
    <s v="Belo Horizonte"/>
    <s v="Convencional"/>
    <n v="8"/>
    <d v="2018-10-18T00:00:00"/>
    <x v="271"/>
    <x v="0"/>
    <d v="2018-10-26T00:00:00"/>
    <x v="0"/>
    <x v="0"/>
    <n v="1"/>
    <n v="1"/>
  </r>
  <r>
    <d v="2018-10-18T00:00:00"/>
    <n v="11369"/>
    <s v="WHVIT"/>
    <s v="Vitoria"/>
    <s v="ES"/>
    <n v="4030"/>
    <x v="30"/>
    <s v="Belo Horizonte"/>
    <s v="MG"/>
    <x v="2"/>
    <s v="MG"/>
    <n v="621.6"/>
    <n v="1"/>
    <n v="7.9749999999999996"/>
    <n v="6600879"/>
    <x v="2"/>
    <s v="Belo Horizonte"/>
    <s v="Convencional"/>
    <n v="11"/>
    <d v="2018-10-18T00:00:00"/>
    <x v="268"/>
    <x v="0"/>
    <d v="2018-10-29T00:00:00"/>
    <x v="0"/>
    <x v="0"/>
    <n v="1"/>
    <n v="1"/>
  </r>
  <r>
    <d v="2018-10-19T00:00:00"/>
    <n v="11370"/>
    <s v="WHCPQ"/>
    <s v="Campinas"/>
    <s v="SP"/>
    <n v="4013"/>
    <x v="1"/>
    <s v="Blumenau"/>
    <s v="SC"/>
    <x v="0"/>
    <s v="SC"/>
    <n v="755.34"/>
    <n v="4"/>
    <n v="3.96"/>
    <n v="6500948"/>
    <x v="0"/>
    <s v="Porto Alegre"/>
    <s v="Convencional"/>
    <n v="8"/>
    <d v="2018-10-19T00:00:00"/>
    <x v="272"/>
    <x v="0"/>
    <d v="2018-10-27T00:00:00"/>
    <x v="0"/>
    <x v="0"/>
    <n v="1"/>
    <n v="1"/>
  </r>
  <r>
    <d v="2018-10-20T00:00:00"/>
    <n v="11371"/>
    <s v="WHCPQ"/>
    <s v="Campinas"/>
    <s v="SP"/>
    <n v="4024"/>
    <x v="21"/>
    <s v="Porto Alegre"/>
    <s v="RS"/>
    <x v="0"/>
    <s v="RS"/>
    <n v="12886.6"/>
    <n v="31"/>
    <n v="308.16300000000001"/>
    <n v="6500948"/>
    <x v="0"/>
    <s v="Porto Alegre"/>
    <s v="Convencional"/>
    <n v="5"/>
    <d v="2018-10-20T00:00:00"/>
    <x v="273"/>
    <x v="0"/>
    <d v="2018-10-25T00:00:00"/>
    <x v="1"/>
    <x v="0"/>
    <n v="0"/>
    <n v="1"/>
  </r>
  <r>
    <d v="2018-10-20T00:00:00"/>
    <n v="11372"/>
    <s v="WHPOA"/>
    <s v="Porto Alegre"/>
    <s v="RS"/>
    <n v="4024"/>
    <x v="21"/>
    <s v="Porto Alegre"/>
    <s v="RS"/>
    <x v="0"/>
    <s v="RS"/>
    <n v="3118.2"/>
    <n v="12"/>
    <n v="100.074"/>
    <n v="6500948"/>
    <x v="0"/>
    <s v="Porto Alegre"/>
    <s v="Convencional"/>
    <n v="10"/>
    <d v="2018-10-20T00:00:00"/>
    <x v="271"/>
    <x v="0"/>
    <d v="2018-10-30T00:00:00"/>
    <x v="0"/>
    <x v="0"/>
    <n v="1"/>
    <n v="1"/>
  </r>
  <r>
    <d v="2018-10-20T00:00:00"/>
    <n v="11373"/>
    <s v="WHBH"/>
    <s v="Belo Horizonte"/>
    <s v="MG"/>
    <n v="4024"/>
    <x v="21"/>
    <s v="Porto Alegre"/>
    <s v="RS"/>
    <x v="0"/>
    <s v="RS"/>
    <n v="2567.56"/>
    <n v="10"/>
    <n v="75.382999999999996"/>
    <n v="6500948"/>
    <x v="0"/>
    <s v="Porto Alegre"/>
    <s v="Convencional"/>
    <n v="6"/>
    <d v="2018-10-20T00:00:00"/>
    <x v="274"/>
    <x v="0"/>
    <d v="2018-10-26T00:00:00"/>
    <x v="0"/>
    <x v="0"/>
    <n v="1"/>
    <n v="1"/>
  </r>
  <r>
    <d v="2018-10-20T00:00:00"/>
    <n v="11374"/>
    <s v="WHCPQ"/>
    <s v="Campinas"/>
    <s v="SP"/>
    <n v="4013"/>
    <x v="1"/>
    <s v="Blumenau"/>
    <s v="SC"/>
    <x v="0"/>
    <s v="SC"/>
    <n v="704.25"/>
    <n v="3"/>
    <n v="0.66"/>
    <n v="6500948"/>
    <x v="0"/>
    <s v="Porto Alegre"/>
    <s v="Convencional"/>
    <n v="6"/>
    <d v="2018-10-20T00:00:00"/>
    <x v="269"/>
    <x v="0"/>
    <d v="2018-10-26T00:00:00"/>
    <x v="1"/>
    <x v="0"/>
    <n v="0"/>
    <n v="1"/>
  </r>
  <r>
    <d v="2018-10-20T00:00:00"/>
    <n v="11375"/>
    <s v="WHVIT"/>
    <s v="Vitoria"/>
    <s v="ES"/>
    <n v="4013"/>
    <x v="1"/>
    <s v="Blumenau"/>
    <s v="SC"/>
    <x v="0"/>
    <s v="SC"/>
    <n v="1501.93"/>
    <n v="2"/>
    <n v="2.202"/>
    <n v="6500948"/>
    <x v="0"/>
    <s v="Porto Alegre"/>
    <s v="Convencional"/>
    <n v="3"/>
    <d v="2018-10-20T00:00:00"/>
    <x v="275"/>
    <x v="0"/>
    <d v="2018-10-23T00:00:00"/>
    <x v="1"/>
    <x v="0"/>
    <n v="0"/>
    <n v="1"/>
  </r>
  <r>
    <d v="2018-10-20T00:00:00"/>
    <n v="11376"/>
    <s v="WHSAO"/>
    <s v="Sao Paulo"/>
    <s v="SP"/>
    <n v="4022"/>
    <x v="19"/>
    <s v="Maringa"/>
    <s v="PR"/>
    <x v="0"/>
    <s v="PR"/>
    <n v="185.73"/>
    <n v="1"/>
    <n v="0.44"/>
    <n v="6500948"/>
    <x v="0"/>
    <s v="Porto Alegre"/>
    <s v="Convencional"/>
    <n v="10"/>
    <d v="2018-10-20T00:00:00"/>
    <x v="272"/>
    <x v="0"/>
    <d v="2018-10-30T00:00:00"/>
    <x v="0"/>
    <x v="0"/>
    <n v="1"/>
    <n v="1"/>
  </r>
  <r>
    <d v="2018-10-21T00:00:00"/>
    <n v="11377"/>
    <s v="WHPOA"/>
    <s v="Porto Alegre"/>
    <s v="RS"/>
    <n v="4032"/>
    <x v="34"/>
    <s v="Goiania"/>
    <s v="GO"/>
    <x v="1"/>
    <s v="GO"/>
    <n v="1254.03"/>
    <n v="1"/>
    <n v="9.9"/>
    <n v="6100231"/>
    <x v="1"/>
    <s v="Goiania"/>
    <s v="Convencional"/>
    <n v="6"/>
    <d v="2018-10-21T00:00:00"/>
    <x v="272"/>
    <x v="0"/>
    <d v="2018-10-27T00:00:00"/>
    <x v="0"/>
    <x v="0"/>
    <n v="1"/>
    <n v="1"/>
  </r>
  <r>
    <d v="2018-10-23T00:00:00"/>
    <n v="11378"/>
    <s v="WHBH"/>
    <s v="Belo Horizonte"/>
    <s v="MG"/>
    <n v="4060"/>
    <x v="56"/>
    <s v="Sinop"/>
    <s v="MT"/>
    <x v="1"/>
    <s v="MT"/>
    <n v="5670.59"/>
    <n v="9"/>
    <n v="25.795000000000002"/>
    <n v="6100231"/>
    <x v="1"/>
    <s v="Goiania"/>
    <s v="Convencional"/>
    <n v="2"/>
    <d v="2018-10-23T00:00:00"/>
    <x v="268"/>
    <x v="0"/>
    <d v="2018-10-25T00:00:00"/>
    <x v="0"/>
    <x v="0"/>
    <n v="1"/>
    <n v="1"/>
  </r>
  <r>
    <d v="2018-10-24T00:00:00"/>
    <n v="11379"/>
    <s v="WHBH"/>
    <s v="Belo Horizonte"/>
    <s v="MG"/>
    <n v="4062"/>
    <x v="27"/>
    <s v="Taguatinga"/>
    <s v="DF"/>
    <x v="1"/>
    <s v="DF"/>
    <n v="11515.11"/>
    <n v="25"/>
    <n v="228.86699999999999"/>
    <n v="6100231"/>
    <x v="1"/>
    <s v="Goiania"/>
    <s v="Convencional"/>
    <n v="7"/>
    <d v="2018-10-24T00:00:00"/>
    <x v="269"/>
    <x v="0"/>
    <d v="2018-10-31T00:00:00"/>
    <x v="0"/>
    <x v="0"/>
    <n v="1"/>
    <n v="1"/>
  </r>
  <r>
    <d v="2018-10-24T00:00:00"/>
    <n v="11380"/>
    <s v="WHCPQ"/>
    <s v="Campinas"/>
    <s v="SP"/>
    <n v="4028"/>
    <x v="26"/>
    <s v="Sao Jose Dos Pinhais"/>
    <s v="PR"/>
    <x v="0"/>
    <s v="PR"/>
    <n v="1763.52"/>
    <n v="1"/>
    <n v="1.1200000000000001"/>
    <n v="6500948"/>
    <x v="0"/>
    <s v="Porto Alegre"/>
    <s v="Convencional"/>
    <n v="4"/>
    <d v="2018-10-24T00:00:00"/>
    <x v="276"/>
    <x v="0"/>
    <d v="2018-10-28T00:00:00"/>
    <x v="0"/>
    <x v="0"/>
    <n v="1"/>
    <n v="1"/>
  </r>
  <r>
    <d v="2018-10-24T00:00:00"/>
    <n v="11381"/>
    <s v="WHBH"/>
    <s v="Belo Horizonte"/>
    <s v="MG"/>
    <n v="4040"/>
    <x v="42"/>
    <s v="Brasilia"/>
    <s v="DF"/>
    <x v="1"/>
    <s v="DF"/>
    <n v="1446.11"/>
    <n v="1"/>
    <n v="0.66"/>
    <n v="6100231"/>
    <x v="1"/>
    <s v="Goiania"/>
    <s v="Convencional"/>
    <n v="4"/>
    <d v="2018-10-24T00:00:00"/>
    <x v="268"/>
    <x v="0"/>
    <d v="2018-10-28T00:00:00"/>
    <x v="0"/>
    <x v="0"/>
    <n v="1"/>
    <n v="1"/>
  </r>
  <r>
    <d v="2018-10-24T00:00:00"/>
    <n v="11382"/>
    <s v="WHSJC"/>
    <s v="Sao Jose dos Campos"/>
    <s v="SP"/>
    <n v="4055"/>
    <x v="45"/>
    <s v="Brasilia"/>
    <s v="DF"/>
    <x v="1"/>
    <s v="DF"/>
    <n v="576.11"/>
    <n v="1"/>
    <n v="0.63600000000000001"/>
    <n v="6100231"/>
    <x v="1"/>
    <s v="Goiania"/>
    <s v="Convencional"/>
    <n v="6"/>
    <d v="2018-10-24T00:00:00"/>
    <x v="273"/>
    <x v="0"/>
    <d v="2018-10-30T00:00:00"/>
    <x v="0"/>
    <x v="0"/>
    <n v="1"/>
    <n v="1"/>
  </r>
  <r>
    <d v="2018-10-24T00:00:00"/>
    <n v="11383"/>
    <s v="WHVIT"/>
    <s v="Vitoria"/>
    <s v="ES"/>
    <n v="4027"/>
    <x v="24"/>
    <s v="Novo Hamburgo"/>
    <s v="RS"/>
    <x v="0"/>
    <s v="RS"/>
    <n v="15145.93"/>
    <n v="32"/>
    <n v="171.23699999999999"/>
    <n v="6500948"/>
    <x v="0"/>
    <s v="Porto Alegre"/>
    <s v="Convencional"/>
    <n v="6"/>
    <d v="2018-10-24T00:00:00"/>
    <x v="273"/>
    <x v="0"/>
    <d v="2018-10-30T00:00:00"/>
    <x v="0"/>
    <x v="0"/>
    <n v="1"/>
    <n v="1"/>
  </r>
  <r>
    <d v="2018-10-24T00:00:00"/>
    <n v="11384"/>
    <s v="WHPOA"/>
    <s v="Porto Alegre"/>
    <s v="RS"/>
    <n v="4027"/>
    <x v="24"/>
    <s v="Novo Hamburgo"/>
    <s v="RS"/>
    <x v="0"/>
    <s v="RS"/>
    <n v="13415.79"/>
    <n v="30"/>
    <n v="154.04599999999999"/>
    <n v="6500948"/>
    <x v="0"/>
    <s v="Porto Alegre"/>
    <s v="Convencional"/>
    <n v="7"/>
    <d v="2018-10-24T00:00:00"/>
    <x v="277"/>
    <x v="0"/>
    <d v="2018-10-31T00:00:00"/>
    <x v="1"/>
    <x v="0"/>
    <n v="0"/>
    <n v="1"/>
  </r>
  <r>
    <d v="2018-10-24T00:00:00"/>
    <n v="11385"/>
    <s v="WHSAO"/>
    <s v="Sao Paulo"/>
    <s v="SP"/>
    <n v="4028"/>
    <x v="26"/>
    <s v="Sao Jose Dos Pinhais"/>
    <s v="PR"/>
    <x v="0"/>
    <s v="PR"/>
    <n v="436.72"/>
    <n v="7"/>
    <n v="51.356999999999999"/>
    <n v="6500948"/>
    <x v="0"/>
    <s v="Porto Alegre"/>
    <s v="Convencional"/>
    <n v="4"/>
    <d v="2018-10-24T00:00:00"/>
    <x v="271"/>
    <x v="0"/>
    <d v="2018-10-28T00:00:00"/>
    <x v="0"/>
    <x v="0"/>
    <n v="1"/>
    <n v="1"/>
  </r>
  <r>
    <d v="2018-10-24T00:00:00"/>
    <n v="11386"/>
    <s v="WHSAO"/>
    <s v="Sao Paulo"/>
    <s v="SP"/>
    <n v="4022"/>
    <x v="19"/>
    <s v="Maringa"/>
    <s v="PR"/>
    <x v="0"/>
    <s v="PR"/>
    <n v="1643.35"/>
    <n v="1"/>
    <n v="1.1200000000000001"/>
    <n v="6500948"/>
    <x v="0"/>
    <s v="Porto Alegre"/>
    <s v="Convencional"/>
    <n v="7"/>
    <d v="2018-10-24T00:00:00"/>
    <x v="268"/>
    <x v="0"/>
    <d v="2018-10-31T00:00:00"/>
    <x v="0"/>
    <x v="0"/>
    <n v="1"/>
    <n v="1"/>
  </r>
  <r>
    <d v="2018-10-24T00:00:00"/>
    <n v="11387"/>
    <s v="WHBH"/>
    <s v="Belo Horizonte"/>
    <s v="MG"/>
    <n v="4040"/>
    <x v="42"/>
    <s v="Brasilia"/>
    <s v="DF"/>
    <x v="1"/>
    <s v="DF"/>
    <n v="141.84"/>
    <n v="1"/>
    <n v="3.3"/>
    <n v="6100231"/>
    <x v="1"/>
    <s v="Goiania"/>
    <s v="Convencional"/>
    <n v="4"/>
    <d v="2018-10-24T00:00:00"/>
    <x v="277"/>
    <x v="0"/>
    <d v="2018-10-28T00:00:00"/>
    <x v="1"/>
    <x v="0"/>
    <n v="0"/>
    <n v="1"/>
  </r>
  <r>
    <d v="2018-10-24T00:00:00"/>
    <n v="11388"/>
    <s v="WHCPQ"/>
    <s v="Campinas"/>
    <s v="SP"/>
    <n v="4055"/>
    <x v="45"/>
    <s v="Brasilia"/>
    <s v="DF"/>
    <x v="1"/>
    <s v="DF"/>
    <n v="814.39"/>
    <n v="1"/>
    <n v="8.25"/>
    <n v="6100231"/>
    <x v="1"/>
    <s v="Goiania"/>
    <s v="Convencional"/>
    <n v="5"/>
    <d v="2018-10-24T00:00:00"/>
    <x v="273"/>
    <x v="0"/>
    <d v="2018-10-29T00:00:00"/>
    <x v="1"/>
    <x v="0"/>
    <n v="0"/>
    <n v="1"/>
  </r>
  <r>
    <d v="2018-10-24T00:00:00"/>
    <n v="11389"/>
    <s v="WHSAO"/>
    <s v="Sao Paulo"/>
    <s v="SP"/>
    <n v="4062"/>
    <x v="27"/>
    <s v="Taguatinga"/>
    <s v="DF"/>
    <x v="1"/>
    <s v="DF"/>
    <n v="9778.27"/>
    <n v="21"/>
    <n v="23.471"/>
    <n v="6100231"/>
    <x v="1"/>
    <s v="Goiania"/>
    <s v="Convencional"/>
    <n v="12"/>
    <d v="2018-10-24T00:00:00"/>
    <x v="278"/>
    <x v="0"/>
    <d v="2018-11-05T00:00:00"/>
    <x v="0"/>
    <x v="0"/>
    <n v="1"/>
    <n v="1"/>
  </r>
  <r>
    <d v="2018-10-24T00:00:00"/>
    <n v="11390"/>
    <s v="WHBH"/>
    <s v="Belo Horizonte"/>
    <s v="MG"/>
    <n v="4030"/>
    <x v="30"/>
    <s v="Belo Horizonte"/>
    <s v="MG"/>
    <x v="2"/>
    <s v="MG"/>
    <n v="310.41000000000003"/>
    <n v="1"/>
    <n v="3.5419999999999998"/>
    <n v="6600879"/>
    <x v="2"/>
    <s v="Belo Horizonte"/>
    <s v="Convencional"/>
    <n v="8"/>
    <d v="2018-10-24T00:00:00"/>
    <x v="279"/>
    <x v="0"/>
    <d v="2018-11-01T00:00:00"/>
    <x v="0"/>
    <x v="0"/>
    <n v="1"/>
    <n v="1"/>
  </r>
  <r>
    <d v="2018-10-24T00:00:00"/>
    <n v="11391"/>
    <s v="WHSAO"/>
    <s v="Sao Paulo"/>
    <s v="SP"/>
    <n v="4030"/>
    <x v="30"/>
    <s v="Belo Horizonte"/>
    <s v="MG"/>
    <x v="2"/>
    <s v="MG"/>
    <n v="3217.61"/>
    <n v="4"/>
    <n v="28.440999999999999"/>
    <n v="6600879"/>
    <x v="2"/>
    <s v="Belo Horizonte"/>
    <s v="Convencional"/>
    <n v="4"/>
    <d v="2018-10-24T00:00:00"/>
    <x v="276"/>
    <x v="0"/>
    <d v="2018-10-28T00:00:00"/>
    <x v="0"/>
    <x v="0"/>
    <n v="1"/>
    <n v="1"/>
  </r>
  <r>
    <d v="2018-10-25T00:00:00"/>
    <n v="11392"/>
    <s v="WHPOA"/>
    <s v="Porto Alegre"/>
    <s v="RS"/>
    <n v="4023"/>
    <x v="20"/>
    <s v="Sao Jose"/>
    <s v="SC"/>
    <x v="0"/>
    <s v="SC"/>
    <n v="4071.22"/>
    <n v="7"/>
    <n v="38.646999999999998"/>
    <n v="6500948"/>
    <x v="0"/>
    <s v="Porto Alegre"/>
    <s v="Convencional"/>
    <n v="9"/>
    <d v="2018-10-25T00:00:00"/>
    <x v="280"/>
    <x v="0"/>
    <d v="2018-11-03T00:00:00"/>
    <x v="1"/>
    <x v="0"/>
    <n v="0"/>
    <n v="1"/>
  </r>
  <r>
    <d v="2018-10-26T00:00:00"/>
    <n v="11393"/>
    <s v="WHSAO"/>
    <s v="Sao Paulo"/>
    <s v="SP"/>
    <n v="4128"/>
    <x v="116"/>
    <s v="Recife"/>
    <s v="PE"/>
    <x v="3"/>
    <s v="PE"/>
    <n v="386.49"/>
    <n v="1"/>
    <n v="0.27500000000000002"/>
    <n v="6900304"/>
    <x v="5"/>
    <s v="Fortaleza"/>
    <s v="Convencional"/>
    <n v="2"/>
    <d v="2018-10-26T00:00:00"/>
    <x v="279"/>
    <x v="0"/>
    <d v="2018-10-28T00:00:00"/>
    <x v="1"/>
    <x v="0"/>
    <n v="0"/>
    <n v="1"/>
  </r>
  <r>
    <d v="2018-10-27T00:00:00"/>
    <n v="11394"/>
    <s v="WHBH"/>
    <s v="Belo Horizonte"/>
    <s v="MG"/>
    <n v="4129"/>
    <x v="117"/>
    <s v="Belo Horizonte"/>
    <s v="MG"/>
    <x v="2"/>
    <s v="MG"/>
    <n v="6824.54"/>
    <n v="20"/>
    <n v="103.568"/>
    <n v="6600879"/>
    <x v="2"/>
    <s v="Belo Horizonte"/>
    <s v="Convencional"/>
    <n v="7"/>
    <d v="2018-10-27T00:00:00"/>
    <x v="273"/>
    <x v="0"/>
    <d v="2018-11-03T00:00:00"/>
    <x v="0"/>
    <x v="0"/>
    <n v="1"/>
    <n v="1"/>
  </r>
  <r>
    <d v="2018-10-27T00:00:00"/>
    <n v="11395"/>
    <s v="WHRJ"/>
    <s v="Rio De Janeiro"/>
    <s v="RJ"/>
    <n v="4024"/>
    <x v="21"/>
    <s v="Porto Alegre"/>
    <s v="RS"/>
    <x v="0"/>
    <s v="RS"/>
    <n v="841.3"/>
    <n v="1"/>
    <n v="5.72"/>
    <n v="6500948"/>
    <x v="0"/>
    <s v="Porto Alegre"/>
    <s v="Convencional"/>
    <n v="6"/>
    <d v="2018-10-27T00:00:00"/>
    <x v="275"/>
    <x v="0"/>
    <d v="2018-11-02T00:00:00"/>
    <x v="0"/>
    <x v="0"/>
    <n v="1"/>
    <n v="1"/>
  </r>
  <r>
    <d v="2018-10-28T00:00:00"/>
    <n v="11396"/>
    <s v="WHVIT"/>
    <s v="Vitoria"/>
    <s v="ES"/>
    <n v="4049"/>
    <x v="43"/>
    <s v="Taguatinga"/>
    <s v="DF"/>
    <x v="1"/>
    <s v="DF"/>
    <n v="3453.31"/>
    <n v="2"/>
    <n v="16.347999999999999"/>
    <n v="6100231"/>
    <x v="1"/>
    <s v="Goiania"/>
    <s v="Convencional"/>
    <n v="1"/>
    <d v="2018-10-28T00:00:00"/>
    <x v="280"/>
    <x v="0"/>
    <d v="2018-10-29T00:00:00"/>
    <x v="1"/>
    <x v="0"/>
    <n v="0"/>
    <n v="1"/>
  </r>
  <r>
    <d v="2018-10-28T00:00:00"/>
    <n v="11397"/>
    <s v="WHRJ"/>
    <s v="Rio De Janeiro"/>
    <s v="RJ"/>
    <n v="4049"/>
    <x v="43"/>
    <s v="Taguatinga"/>
    <s v="DF"/>
    <x v="1"/>
    <s v="DF"/>
    <n v="1146.25"/>
    <n v="3"/>
    <n v="4.125"/>
    <n v="6100231"/>
    <x v="1"/>
    <s v="Goiania"/>
    <s v="Convencional"/>
    <n v="7"/>
    <d v="2018-10-28T00:00:00"/>
    <x v="281"/>
    <x v="0"/>
    <d v="2018-11-04T00:00:00"/>
    <x v="0"/>
    <x v="0"/>
    <n v="1"/>
    <n v="1"/>
  </r>
  <r>
    <d v="2018-10-28T00:00:00"/>
    <n v="11398"/>
    <s v="WHSJC"/>
    <s v="Sao Jose dos Campos"/>
    <s v="SP"/>
    <n v="4049"/>
    <x v="43"/>
    <s v="Taguatinga"/>
    <s v="DF"/>
    <x v="1"/>
    <s v="DF"/>
    <n v="471.18"/>
    <n v="2"/>
    <n v="2.593"/>
    <n v="6100231"/>
    <x v="1"/>
    <s v="Goiania"/>
    <s v="Convencional"/>
    <n v="7"/>
    <d v="2018-10-28T00:00:00"/>
    <x v="277"/>
    <x v="0"/>
    <d v="2018-11-04T00:00:00"/>
    <x v="0"/>
    <x v="0"/>
    <n v="1"/>
    <n v="1"/>
  </r>
  <r>
    <d v="2018-10-28T00:00:00"/>
    <n v="11399"/>
    <s v="WHCPQ"/>
    <s v="Campinas"/>
    <s v="SP"/>
    <n v="4049"/>
    <x v="43"/>
    <s v="Taguatinga"/>
    <s v="DF"/>
    <x v="1"/>
    <s v="DF"/>
    <n v="683.09"/>
    <n v="1"/>
    <n v="1.1200000000000001"/>
    <n v="6100231"/>
    <x v="1"/>
    <s v="Goiania"/>
    <s v="Convencional"/>
    <n v="11"/>
    <d v="2018-10-28T00:00:00"/>
    <x v="280"/>
    <x v="0"/>
    <d v="2018-11-08T00:00:00"/>
    <x v="0"/>
    <x v="0"/>
    <n v="1"/>
    <n v="1"/>
  </r>
  <r>
    <d v="2018-10-28T00:00:00"/>
    <n v="11400"/>
    <s v="WHVIT"/>
    <s v="Vitoria"/>
    <s v="ES"/>
    <n v="4022"/>
    <x v="19"/>
    <s v="Maringa"/>
    <s v="PR"/>
    <x v="0"/>
    <s v="PR"/>
    <n v="1842.3"/>
    <n v="2"/>
    <n v="8.7999999999999995E-2"/>
    <n v="6500948"/>
    <x v="0"/>
    <s v="Porto Alegre"/>
    <s v="Convencional"/>
    <n v="8"/>
    <d v="2018-10-28T00:00:00"/>
    <x v="281"/>
    <x v="0"/>
    <d v="2018-11-05T00:00:00"/>
    <x v="0"/>
    <x v="0"/>
    <n v="1"/>
    <n v="1"/>
  </r>
  <r>
    <d v="2018-10-28T00:00:00"/>
    <n v="11401"/>
    <s v="WHPOA"/>
    <s v="Porto Alegre"/>
    <s v="RS"/>
    <n v="4049"/>
    <x v="43"/>
    <s v="Taguatinga"/>
    <s v="DF"/>
    <x v="1"/>
    <s v="DF"/>
    <n v="3448.11"/>
    <n v="5"/>
    <n v="14.093999999999999"/>
    <n v="6100231"/>
    <x v="1"/>
    <s v="Goiania"/>
    <s v="Convencional"/>
    <n v="6"/>
    <d v="2018-10-28T00:00:00"/>
    <x v="282"/>
    <x v="0"/>
    <d v="2018-11-03T00:00:00"/>
    <x v="1"/>
    <x v="0"/>
    <n v="0"/>
    <n v="1"/>
  </r>
  <r>
    <d v="2018-10-28T00:00:00"/>
    <n v="11402"/>
    <s v="WHBH"/>
    <s v="Belo Horizonte"/>
    <s v="MG"/>
    <n v="4049"/>
    <x v="43"/>
    <s v="Taguatinga"/>
    <s v="DF"/>
    <x v="1"/>
    <s v="DF"/>
    <n v="1103.8699999999999"/>
    <n v="2"/>
    <n v="6.5119999999999996"/>
    <n v="6100231"/>
    <x v="1"/>
    <s v="Goiania"/>
    <s v="Convencional"/>
    <n v="1"/>
    <d v="2018-10-28T00:00:00"/>
    <x v="280"/>
    <x v="0"/>
    <d v="2018-10-29T00:00:00"/>
    <x v="1"/>
    <x v="0"/>
    <n v="0"/>
    <n v="1"/>
  </r>
  <r>
    <d v="2018-10-28T00:00:00"/>
    <n v="11403"/>
    <s v="WHVIT"/>
    <s v="Vitoria"/>
    <s v="ES"/>
    <n v="4049"/>
    <x v="43"/>
    <s v="Taguatinga"/>
    <s v="DF"/>
    <x v="1"/>
    <s v="DF"/>
    <n v="419.24"/>
    <n v="1"/>
    <n v="1.76"/>
    <n v="6100231"/>
    <x v="1"/>
    <s v="Goiania"/>
    <s v="Convencional"/>
    <n v="10"/>
    <d v="2018-10-28T00:00:00"/>
    <x v="278"/>
    <x v="0"/>
    <d v="2018-11-07T00:00:00"/>
    <x v="0"/>
    <x v="0"/>
    <n v="1"/>
    <n v="1"/>
  </r>
  <r>
    <d v="2018-10-28T00:00:00"/>
    <n v="11404"/>
    <s v="WHSAO"/>
    <s v="Sao Paulo"/>
    <s v="SP"/>
    <n v="4049"/>
    <x v="43"/>
    <s v="Taguatinga"/>
    <s v="DF"/>
    <x v="1"/>
    <s v="DF"/>
    <n v="2851.94"/>
    <n v="3"/>
    <n v="6.258"/>
    <n v="6100231"/>
    <x v="1"/>
    <s v="Goiania"/>
    <s v="Convencional"/>
    <n v="9"/>
    <d v="2018-10-28T00:00:00"/>
    <x v="281"/>
    <x v="0"/>
    <d v="2018-11-06T00:00:00"/>
    <x v="0"/>
    <x v="0"/>
    <n v="1"/>
    <n v="1"/>
  </r>
  <r>
    <d v="2018-10-28T00:00:00"/>
    <n v="11405"/>
    <s v="WHPOA"/>
    <s v="Porto Alegre"/>
    <s v="RS"/>
    <n v="4049"/>
    <x v="43"/>
    <s v="Taguatinga"/>
    <s v="DF"/>
    <x v="1"/>
    <s v="DF"/>
    <n v="1512.17"/>
    <n v="3"/>
    <n v="15.843999999999999"/>
    <n v="6100231"/>
    <x v="1"/>
    <s v="Goiania"/>
    <s v="Convencional"/>
    <n v="3"/>
    <d v="2018-10-28T00:00:00"/>
    <x v="279"/>
    <x v="0"/>
    <d v="2018-10-31T00:00:00"/>
    <x v="1"/>
    <x v="0"/>
    <n v="0"/>
    <n v="1"/>
  </r>
  <r>
    <d v="2018-10-28T00:00:00"/>
    <n v="11406"/>
    <s v="WHVIT"/>
    <s v="Vitoria"/>
    <s v="ES"/>
    <n v="4049"/>
    <x v="43"/>
    <s v="Taguatinga"/>
    <s v="DF"/>
    <x v="1"/>
    <s v="DF"/>
    <n v="1253.3800000000001"/>
    <n v="5"/>
    <n v="60.83"/>
    <n v="6100231"/>
    <x v="1"/>
    <s v="Goiania"/>
    <s v="Convencional"/>
    <n v="4"/>
    <d v="2018-10-28T00:00:00"/>
    <x v="283"/>
    <x v="0"/>
    <d v="2018-11-01T00:00:00"/>
    <x v="1"/>
    <x v="0"/>
    <n v="0"/>
    <n v="1"/>
  </r>
  <r>
    <d v="2018-10-30T00:00:00"/>
    <n v="11407"/>
    <s v="WHSJC"/>
    <s v="Sao Jose dos Campos"/>
    <s v="SP"/>
    <n v="4023"/>
    <x v="20"/>
    <s v="Sao Jose"/>
    <s v="SC"/>
    <x v="0"/>
    <s v="SC"/>
    <n v="233.4"/>
    <n v="6"/>
    <n v="53.811999999999998"/>
    <n v="6500948"/>
    <x v="0"/>
    <s v="Porto Alegre"/>
    <s v="Convencional"/>
    <n v="7"/>
    <d v="2018-10-30T00:00:00"/>
    <x v="279"/>
    <x v="0"/>
    <d v="2018-11-06T00:00:00"/>
    <x v="0"/>
    <x v="0"/>
    <n v="1"/>
    <n v="1"/>
  </r>
  <r>
    <d v="2018-10-30T00:00:00"/>
    <n v="11408"/>
    <s v="WHPOA"/>
    <s v="Porto Alegre"/>
    <s v="RS"/>
    <n v="4068"/>
    <x v="4"/>
    <s v="Campo Grande"/>
    <s v="MS"/>
    <x v="1"/>
    <s v="MS"/>
    <n v="4051.63"/>
    <n v="1"/>
    <n v="1.1200000000000001"/>
    <n v="6100231"/>
    <x v="1"/>
    <s v="Goiania"/>
    <s v="Convencional"/>
    <n v="8"/>
    <d v="2018-10-30T00:00:00"/>
    <x v="284"/>
    <x v="0"/>
    <d v="2018-11-07T00:00:00"/>
    <x v="0"/>
    <x v="0"/>
    <n v="1"/>
    <n v="1"/>
  </r>
  <r>
    <d v="2018-10-30T00:00:00"/>
    <n v="11409"/>
    <s v="WHCPQ"/>
    <s v="Campinas"/>
    <s v="SP"/>
    <n v="4068"/>
    <x v="4"/>
    <s v="Campo Grande"/>
    <s v="MS"/>
    <x v="1"/>
    <s v="MS"/>
    <n v="440.29"/>
    <n v="1"/>
    <n v="5.7640000000000002"/>
    <n v="6100231"/>
    <x v="1"/>
    <s v="Goiania"/>
    <s v="Convencional"/>
    <n v="4"/>
    <d v="2018-10-30T00:00:00"/>
    <x v="283"/>
    <x v="0"/>
    <d v="2018-11-03T00:00:00"/>
    <x v="1"/>
    <x v="0"/>
    <n v="0"/>
    <n v="1"/>
  </r>
  <r>
    <d v="2018-10-30T00:00:00"/>
    <n v="11410"/>
    <s v="WHPOA"/>
    <s v="Porto Alegre"/>
    <s v="RS"/>
    <n v="4068"/>
    <x v="4"/>
    <s v="Campo Grande"/>
    <s v="MS"/>
    <x v="1"/>
    <s v="MS"/>
    <n v="1261.6600000000001"/>
    <n v="2"/>
    <n v="11.000999999999999"/>
    <n v="6100231"/>
    <x v="1"/>
    <s v="Goiania"/>
    <s v="Convencional"/>
    <n v="6"/>
    <d v="2018-10-30T00:00:00"/>
    <x v="284"/>
    <x v="0"/>
    <d v="2018-11-05T00:00:00"/>
    <x v="1"/>
    <x v="0"/>
    <n v="0"/>
    <n v="1"/>
  </r>
  <r>
    <d v="2018-10-30T00:00:00"/>
    <n v="11411"/>
    <s v="WHPOA"/>
    <s v="Porto Alegre"/>
    <s v="RS"/>
    <n v="4018"/>
    <x v="12"/>
    <s v="Sao Jose"/>
    <s v="SC"/>
    <x v="0"/>
    <s v="SC"/>
    <n v="2040.38"/>
    <n v="4"/>
    <n v="10.183999999999999"/>
    <n v="6500948"/>
    <x v="0"/>
    <s v="Porto Alegre"/>
    <s v="Convencional"/>
    <n v="5"/>
    <d v="2018-10-30T00:00:00"/>
    <x v="279"/>
    <x v="0"/>
    <d v="2018-11-04T00:00:00"/>
    <x v="0"/>
    <x v="0"/>
    <n v="1"/>
    <n v="1"/>
  </r>
  <r>
    <d v="2018-10-30T00:00:00"/>
    <n v="11412"/>
    <s v="WHSJC"/>
    <s v="Sao Jose dos Campos"/>
    <s v="SP"/>
    <n v="4045"/>
    <x v="49"/>
    <s v="Belo Horizonte"/>
    <s v="MG"/>
    <x v="2"/>
    <s v="MG"/>
    <n v="9026.23"/>
    <n v="15"/>
    <n v="64.629000000000005"/>
    <n v="6600879"/>
    <x v="2"/>
    <s v="Belo Horizonte"/>
    <s v="Convencional"/>
    <n v="3"/>
    <d v="2018-10-30T00:00:00"/>
    <x v="277"/>
    <x v="0"/>
    <d v="2018-11-02T00:00:00"/>
    <x v="0"/>
    <x v="0"/>
    <n v="1"/>
    <n v="1"/>
  </r>
  <r>
    <d v="2018-10-30T00:00:00"/>
    <n v="11413"/>
    <s v="WHSAO"/>
    <s v="Sao Paulo"/>
    <s v="SP"/>
    <n v="4035"/>
    <x v="37"/>
    <s v="Brasilia"/>
    <s v="DF"/>
    <x v="1"/>
    <s v="DF"/>
    <n v="423.03"/>
    <n v="1"/>
    <n v="0.749"/>
    <n v="6100231"/>
    <x v="1"/>
    <s v="Goiania"/>
    <s v="Convencional"/>
    <n v="1"/>
    <d v="2018-10-30T00:00:00"/>
    <x v="278"/>
    <x v="0"/>
    <d v="2018-10-31T00:00:00"/>
    <x v="0"/>
    <x v="0"/>
    <n v="1"/>
    <n v="1"/>
  </r>
  <r>
    <d v="2018-10-30T00:00:00"/>
    <n v="11414"/>
    <s v="WHCPQ"/>
    <s v="Campinas"/>
    <s v="SP"/>
    <n v="4032"/>
    <x v="34"/>
    <s v="Goiania"/>
    <s v="GO"/>
    <x v="1"/>
    <s v="GO"/>
    <n v="2183.73"/>
    <n v="3"/>
    <n v="9.9039999999999999"/>
    <n v="6100231"/>
    <x v="1"/>
    <s v="Goiania"/>
    <s v="Convencional"/>
    <n v="3"/>
    <d v="2018-10-30T00:00:00"/>
    <x v="283"/>
    <x v="0"/>
    <d v="2018-11-02T00:00:00"/>
    <x v="1"/>
    <x v="0"/>
    <n v="0"/>
    <n v="1"/>
  </r>
  <r>
    <d v="2018-10-30T00:00:00"/>
    <n v="11415"/>
    <s v="WHCPQ"/>
    <s v="Campinas"/>
    <s v="SP"/>
    <n v="4045"/>
    <x v="49"/>
    <s v="Belo Horizonte"/>
    <s v="MG"/>
    <x v="2"/>
    <s v="MG"/>
    <n v="322.8"/>
    <n v="1"/>
    <n v="4.4039999999999999"/>
    <n v="6600879"/>
    <x v="2"/>
    <s v="Belo Horizonte"/>
    <s v="Convencional"/>
    <n v="11"/>
    <d v="2018-10-30T00:00:00"/>
    <x v="285"/>
    <x v="0"/>
    <d v="2018-11-10T00:00:00"/>
    <x v="0"/>
    <x v="0"/>
    <n v="1"/>
    <n v="1"/>
  </r>
  <r>
    <d v="2018-10-30T00:00:00"/>
    <n v="11416"/>
    <s v="WHBH"/>
    <s v="Belo Horizonte"/>
    <s v="MG"/>
    <n v="4035"/>
    <x v="37"/>
    <s v="Brasilia"/>
    <s v="DF"/>
    <x v="1"/>
    <s v="DF"/>
    <n v="1628.88"/>
    <n v="3"/>
    <n v="15.417999999999999"/>
    <n v="6100231"/>
    <x v="1"/>
    <s v="Goiania"/>
    <s v="Convencional"/>
    <n v="1"/>
    <d v="2018-10-30T00:00:00"/>
    <x v="277"/>
    <x v="0"/>
    <d v="2018-10-31T00:00:00"/>
    <x v="1"/>
    <x v="0"/>
    <n v="0"/>
    <n v="1"/>
  </r>
  <r>
    <d v="2018-10-30T00:00:00"/>
    <n v="11417"/>
    <s v="WHCPQ"/>
    <s v="Campinas"/>
    <s v="SP"/>
    <n v="4035"/>
    <x v="37"/>
    <s v="Brasilia"/>
    <s v="DF"/>
    <x v="1"/>
    <s v="DF"/>
    <n v="3103.66"/>
    <n v="2"/>
    <n v="11.978999999999999"/>
    <n v="6100231"/>
    <x v="1"/>
    <s v="Goiania"/>
    <s v="Convencional"/>
    <n v="5"/>
    <d v="2018-10-30T00:00:00"/>
    <x v="279"/>
    <x v="2"/>
    <d v="2018-11-04T00:00:00"/>
    <x v="0"/>
    <x v="1"/>
    <n v="0"/>
    <n v="1"/>
  </r>
  <r>
    <d v="2018-10-30T00:00:00"/>
    <n v="11418"/>
    <s v="WHCPQ"/>
    <s v="Campinas"/>
    <s v="SP"/>
    <n v="4045"/>
    <x v="49"/>
    <s v="Belo Horizonte"/>
    <s v="MG"/>
    <x v="2"/>
    <s v="MG"/>
    <n v="631.79999999999995"/>
    <n v="2"/>
    <n v="4.4039999999999999"/>
    <n v="6600879"/>
    <x v="2"/>
    <s v="Belo Horizonte"/>
    <s v="Convencional"/>
    <n v="1"/>
    <d v="2018-10-30T00:00:00"/>
    <x v="285"/>
    <x v="0"/>
    <d v="2018-10-31T00:00:00"/>
    <x v="1"/>
    <x v="0"/>
    <n v="0"/>
    <n v="1"/>
  </r>
  <r>
    <d v="2018-10-31T00:00:00"/>
    <n v="11419"/>
    <s v="WHSAO"/>
    <s v="Sao Paulo"/>
    <s v="SP"/>
    <n v="4069"/>
    <x v="57"/>
    <s v="Brasilia"/>
    <s v="DF"/>
    <x v="1"/>
    <s v="DF"/>
    <n v="3333.48"/>
    <n v="5"/>
    <n v="16.196000000000002"/>
    <n v="6100231"/>
    <x v="1"/>
    <s v="Goiania"/>
    <s v="Convencional"/>
    <n v="9"/>
    <d v="2018-10-31T00:00:00"/>
    <x v="281"/>
    <x v="0"/>
    <d v="2018-11-09T00:00:00"/>
    <x v="0"/>
    <x v="0"/>
    <n v="1"/>
    <n v="1"/>
  </r>
  <r>
    <d v="2018-10-31T00:00:00"/>
    <n v="11420"/>
    <s v="WHSAO"/>
    <s v="Sao Paulo"/>
    <s v="SP"/>
    <n v="4013"/>
    <x v="1"/>
    <s v="Blumenau"/>
    <s v="SC"/>
    <x v="0"/>
    <s v="SC"/>
    <n v="9097.99"/>
    <n v="9"/>
    <n v="51.81"/>
    <n v="6500948"/>
    <x v="0"/>
    <s v="Porto Alegre"/>
    <s v="Convencional"/>
    <n v="8"/>
    <d v="2018-10-31T00:00:00"/>
    <x v="284"/>
    <x v="0"/>
    <d v="2018-11-08T00:00:00"/>
    <x v="0"/>
    <x v="0"/>
    <n v="1"/>
    <n v="1"/>
  </r>
  <r>
    <d v="2018-10-31T00:00:00"/>
    <n v="11421"/>
    <s v="WHBH"/>
    <s v="Belo Horizonte"/>
    <s v="MG"/>
    <n v="4056"/>
    <x v="44"/>
    <s v="Goiania"/>
    <s v="GO"/>
    <x v="1"/>
    <s v="GO"/>
    <n v="1044.3900000000001"/>
    <n v="5"/>
    <n v="70.884"/>
    <n v="6100231"/>
    <x v="1"/>
    <s v="Goiania"/>
    <s v="Convencional"/>
    <n v="4"/>
    <d v="2018-10-31T00:00:00"/>
    <x v="282"/>
    <x v="0"/>
    <d v="2018-11-04T00:00:00"/>
    <x v="1"/>
    <x v="0"/>
    <n v="0"/>
    <n v="1"/>
  </r>
  <r>
    <d v="2018-10-31T00:00:00"/>
    <n v="11422"/>
    <s v="WHPOA"/>
    <s v="Porto Alegre"/>
    <s v="RS"/>
    <n v="4056"/>
    <x v="44"/>
    <s v="Goiania"/>
    <s v="GO"/>
    <x v="1"/>
    <s v="GO"/>
    <n v="1594.28"/>
    <n v="1"/>
    <n v="1.1200000000000001"/>
    <n v="6100231"/>
    <x v="1"/>
    <s v="Goiania"/>
    <s v="Convencional"/>
    <n v="1"/>
    <d v="2018-10-31T00:00:00"/>
    <x v="282"/>
    <x v="0"/>
    <d v="2018-11-01T00:00:00"/>
    <x v="1"/>
    <x v="0"/>
    <n v="0"/>
    <n v="1"/>
  </r>
  <r>
    <d v="2018-10-31T00:00:00"/>
    <n v="11423"/>
    <s v="WHSJC"/>
    <s v="Sao Jose dos Campos"/>
    <s v="SP"/>
    <n v="4056"/>
    <x v="44"/>
    <s v="Goiania"/>
    <s v="GO"/>
    <x v="1"/>
    <s v="GO"/>
    <n v="8954.74"/>
    <n v="28"/>
    <n v="82.433999999999997"/>
    <n v="6100231"/>
    <x v="1"/>
    <s v="Goiania"/>
    <s v="Convencional"/>
    <n v="8"/>
    <d v="2018-10-31T00:00:00"/>
    <x v="282"/>
    <x v="0"/>
    <d v="2018-11-08T00:00:00"/>
    <x v="0"/>
    <x v="0"/>
    <n v="1"/>
    <n v="1"/>
  </r>
  <r>
    <d v="2018-10-31T00:00:00"/>
    <n v="11424"/>
    <s v="WHPOA"/>
    <s v="Porto Alegre"/>
    <s v="RS"/>
    <n v="4056"/>
    <x v="44"/>
    <s v="Goiania"/>
    <s v="GO"/>
    <x v="1"/>
    <s v="GO"/>
    <n v="429.24"/>
    <n v="1"/>
    <n v="1.0449999999999999"/>
    <n v="6100231"/>
    <x v="1"/>
    <s v="Goiania"/>
    <s v="Convencional"/>
    <n v="7"/>
    <d v="2018-10-31T00:00:00"/>
    <x v="280"/>
    <x v="2"/>
    <d v="2018-11-07T00:00:00"/>
    <x v="0"/>
    <x v="1"/>
    <n v="0"/>
    <n v="1"/>
  </r>
  <r>
    <d v="2018-10-31T00:00:00"/>
    <n v="11425"/>
    <s v="WHRJ"/>
    <s v="Rio De Janeiro"/>
    <s v="RJ"/>
    <n v="4022"/>
    <x v="19"/>
    <s v="Maringa"/>
    <s v="PR"/>
    <x v="0"/>
    <s v="PR"/>
    <n v="9921.43"/>
    <n v="17"/>
    <n v="134.54900000000001"/>
    <n v="6500948"/>
    <x v="0"/>
    <s v="Porto Alegre"/>
    <s v="Convencional"/>
    <n v="12"/>
    <d v="2018-10-31T00:00:00"/>
    <x v="279"/>
    <x v="0"/>
    <d v="2018-11-12T00:00:00"/>
    <x v="0"/>
    <x v="0"/>
    <n v="1"/>
    <n v="1"/>
  </r>
  <r>
    <d v="2018-10-31T00:00:00"/>
    <n v="11426"/>
    <s v="WHCPQ"/>
    <s v="Campinas"/>
    <s v="SP"/>
    <n v="4056"/>
    <x v="44"/>
    <s v="Goiania"/>
    <s v="GO"/>
    <x v="1"/>
    <s v="GO"/>
    <n v="719.59"/>
    <n v="3"/>
    <n v="3.96"/>
    <n v="6100231"/>
    <x v="1"/>
    <s v="Goiania"/>
    <s v="Convencional"/>
    <n v="12"/>
    <d v="2018-10-31T00:00:00"/>
    <x v="277"/>
    <x v="0"/>
    <d v="2018-11-12T00:00:00"/>
    <x v="0"/>
    <x v="0"/>
    <n v="1"/>
    <n v="1"/>
  </r>
  <r>
    <d v="2018-10-31T00:00:00"/>
    <n v="11427"/>
    <s v="WHPOA"/>
    <s v="Porto Alegre"/>
    <s v="RS"/>
    <n v="4056"/>
    <x v="44"/>
    <s v="Goiania"/>
    <s v="GO"/>
    <x v="1"/>
    <s v="GO"/>
    <n v="809.4"/>
    <n v="3"/>
    <n v="8.6389999999999993"/>
    <n v="6100231"/>
    <x v="1"/>
    <s v="Goiania"/>
    <s v="Convencional"/>
    <n v="2"/>
    <d v="2018-10-31T00:00:00"/>
    <x v="280"/>
    <x v="0"/>
    <d v="2018-11-02T00:00:00"/>
    <x v="1"/>
    <x v="0"/>
    <n v="0"/>
    <n v="1"/>
  </r>
  <r>
    <d v="2018-11-06T00:00:00"/>
    <n v="11428"/>
    <s v="WHCPQ"/>
    <s v="Campinas"/>
    <s v="SP"/>
    <n v="4068"/>
    <x v="4"/>
    <s v="Campo Grande"/>
    <s v="MS"/>
    <x v="1"/>
    <s v="MS"/>
    <n v="2319.39"/>
    <n v="4"/>
    <n v="18.396000000000001"/>
    <n v="6100231"/>
    <x v="1"/>
    <s v="Goiania"/>
    <s v="Convencional"/>
    <n v="8"/>
    <d v="2018-11-06T00:00:00"/>
    <x v="286"/>
    <x v="0"/>
    <d v="2018-11-14T00:00:00"/>
    <x v="1"/>
    <x v="0"/>
    <n v="0"/>
    <n v="1"/>
  </r>
  <r>
    <d v="2018-11-07T00:00:00"/>
    <n v="11429"/>
    <s v="WHCPQ"/>
    <s v="Campinas"/>
    <s v="SP"/>
    <n v="4068"/>
    <x v="4"/>
    <s v="Campo Grande"/>
    <s v="MS"/>
    <x v="1"/>
    <s v="MS"/>
    <n v="3927.91"/>
    <n v="2"/>
    <n v="16.544"/>
    <n v="6100231"/>
    <x v="1"/>
    <s v="Goiania"/>
    <s v="Convencional"/>
    <n v="1"/>
    <d v="2018-11-07T00:00:00"/>
    <x v="287"/>
    <x v="0"/>
    <d v="2018-11-08T00:00:00"/>
    <x v="1"/>
    <x v="0"/>
    <n v="0"/>
    <n v="1"/>
  </r>
  <r>
    <d v="2018-11-08T00:00:00"/>
    <n v="11430"/>
    <s v="WHPOA"/>
    <s v="Porto Alegre"/>
    <s v="RS"/>
    <n v="4017"/>
    <x v="10"/>
    <s v="Itajai"/>
    <s v="SC"/>
    <x v="0"/>
    <s v="SC"/>
    <n v="772.16"/>
    <n v="1"/>
    <n v="1.1200000000000001"/>
    <n v="6500948"/>
    <x v="0"/>
    <s v="Porto Alegre"/>
    <s v="Convencional"/>
    <n v="11"/>
    <d v="2018-11-08T00:00:00"/>
    <x v="288"/>
    <x v="0"/>
    <d v="2018-11-19T00:00:00"/>
    <x v="0"/>
    <x v="0"/>
    <n v="1"/>
    <n v="1"/>
  </r>
  <r>
    <d v="2018-11-08T00:00:00"/>
    <n v="11431"/>
    <s v="WHCPQ"/>
    <s v="Campinas"/>
    <s v="SP"/>
    <n v="4084"/>
    <x v="72"/>
    <s v="Aracatuba"/>
    <s v="SP"/>
    <x v="2"/>
    <s v="SP"/>
    <n v="221.39"/>
    <n v="1"/>
    <n v="0.93799999999999994"/>
    <n v="6400835"/>
    <x v="3"/>
    <s v="Guarulhos"/>
    <s v="Convencional"/>
    <n v="10"/>
    <d v="2018-11-08T00:00:00"/>
    <x v="289"/>
    <x v="0"/>
    <d v="2018-11-18T00:00:00"/>
    <x v="0"/>
    <x v="0"/>
    <n v="1"/>
    <n v="1"/>
  </r>
  <r>
    <d v="2018-11-09T00:00:00"/>
    <n v="11432"/>
    <s v="WHSAO"/>
    <s v="Sao Paulo"/>
    <s v="SP"/>
    <n v="4130"/>
    <x v="118"/>
    <s v="Rio Grande do Sul"/>
    <s v="RS"/>
    <x v="0"/>
    <s v="RS"/>
    <n v="1398.5"/>
    <n v="9"/>
    <n v="10.287000000000001"/>
    <n v="6500948"/>
    <x v="0"/>
    <s v="Porto Alegre"/>
    <s v="Convencional"/>
    <n v="5"/>
    <d v="2018-11-09T00:00:00"/>
    <x v="290"/>
    <x v="0"/>
    <d v="2018-11-14T00:00:00"/>
    <x v="1"/>
    <x v="0"/>
    <n v="0"/>
    <n v="1"/>
  </r>
  <r>
    <d v="2018-11-09T00:00:00"/>
    <n v="11433"/>
    <s v="WHSAO"/>
    <s v="Sao Paulo"/>
    <s v="SP"/>
    <n v="4027"/>
    <x v="24"/>
    <s v="Novo Hamburgo"/>
    <s v="RS"/>
    <x v="0"/>
    <s v="RS"/>
    <n v="15408.1"/>
    <n v="18"/>
    <n v="61.35"/>
    <n v="6500948"/>
    <x v="0"/>
    <s v="Porto Alegre"/>
    <s v="Convencional"/>
    <n v="2"/>
    <d v="2018-11-09T00:00:00"/>
    <x v="287"/>
    <x v="0"/>
    <d v="2018-11-11T00:00:00"/>
    <x v="1"/>
    <x v="0"/>
    <n v="0"/>
    <n v="1"/>
  </r>
  <r>
    <d v="2018-11-09T00:00:00"/>
    <n v="11434"/>
    <s v="WHRJ"/>
    <s v="Rio De Janeiro"/>
    <s v="RJ"/>
    <n v="4062"/>
    <x v="27"/>
    <s v="Taguatinga"/>
    <s v="DF"/>
    <x v="1"/>
    <s v="DF"/>
    <n v="1421.44"/>
    <n v="2"/>
    <n v="16.532"/>
    <n v="6100231"/>
    <x v="1"/>
    <s v="Goiania"/>
    <s v="Convencional"/>
    <n v="5"/>
    <d v="2018-11-09T00:00:00"/>
    <x v="291"/>
    <x v="0"/>
    <d v="2018-11-14T00:00:00"/>
    <x v="0"/>
    <x v="0"/>
    <n v="1"/>
    <n v="1"/>
  </r>
  <r>
    <d v="2018-11-09T00:00:00"/>
    <n v="11435"/>
    <s v="WHCPQ"/>
    <s v="Campinas"/>
    <s v="SP"/>
    <n v="4027"/>
    <x v="24"/>
    <s v="Novo Hamburgo"/>
    <s v="RS"/>
    <x v="0"/>
    <s v="RS"/>
    <n v="562.37"/>
    <n v="1"/>
    <n v="1.65"/>
    <n v="6500948"/>
    <x v="0"/>
    <s v="Porto Alegre"/>
    <s v="Convencional"/>
    <n v="6"/>
    <d v="2018-11-09T00:00:00"/>
    <x v="287"/>
    <x v="0"/>
    <d v="2018-11-15T00:00:00"/>
    <x v="1"/>
    <x v="0"/>
    <n v="0"/>
    <n v="1"/>
  </r>
  <r>
    <d v="2018-11-09T00:00:00"/>
    <n v="11436"/>
    <s v="WHPOA"/>
    <s v="Porto Alegre"/>
    <s v="RS"/>
    <n v="4062"/>
    <x v="27"/>
    <s v="Taguatinga"/>
    <s v="DF"/>
    <x v="1"/>
    <s v="DF"/>
    <n v="508.07"/>
    <n v="1"/>
    <n v="0.77600000000000002"/>
    <n v="6100231"/>
    <x v="1"/>
    <s v="Goiania"/>
    <s v="Convencional"/>
    <n v="3"/>
    <d v="2018-11-09T00:00:00"/>
    <x v="288"/>
    <x v="0"/>
    <d v="2018-11-12T00:00:00"/>
    <x v="1"/>
    <x v="0"/>
    <n v="0"/>
    <n v="1"/>
  </r>
  <r>
    <d v="2018-11-10T00:00:00"/>
    <n v="11437"/>
    <s v="WHCPQ"/>
    <s v="Campinas"/>
    <s v="SP"/>
    <n v="4069"/>
    <x v="57"/>
    <s v="Brasilia"/>
    <s v="DF"/>
    <x v="1"/>
    <s v="DF"/>
    <n v="485.28"/>
    <n v="3"/>
    <n v="42.53"/>
    <n v="6100231"/>
    <x v="1"/>
    <s v="Goiania"/>
    <s v="Convencional"/>
    <n v="9"/>
    <d v="2018-11-10T00:00:00"/>
    <x v="287"/>
    <x v="1"/>
    <d v="2018-11-19T00:00:00"/>
    <x v="0"/>
    <x v="1"/>
    <n v="0"/>
    <n v="1"/>
  </r>
  <r>
    <d v="2018-11-10T00:00:00"/>
    <n v="11438"/>
    <s v="WHRJ"/>
    <s v="Rio De Janeiro"/>
    <s v="RJ"/>
    <n v="4013"/>
    <x v="1"/>
    <s v="Blumenau"/>
    <s v="SC"/>
    <x v="0"/>
    <s v="SC"/>
    <n v="1709.7"/>
    <n v="1"/>
    <n v="1.1200000000000001"/>
    <n v="6500948"/>
    <x v="0"/>
    <s v="Porto Alegre"/>
    <s v="Convencional"/>
    <n v="11"/>
    <d v="2018-11-10T00:00:00"/>
    <x v="288"/>
    <x v="0"/>
    <d v="2018-11-21T00:00:00"/>
    <x v="0"/>
    <x v="0"/>
    <n v="1"/>
    <n v="1"/>
  </r>
  <r>
    <d v="2018-11-10T00:00:00"/>
    <n v="11439"/>
    <s v="WHPOA"/>
    <s v="Porto Alegre"/>
    <s v="RS"/>
    <n v="4028"/>
    <x v="26"/>
    <s v="Sao Jose Dos Pinhais"/>
    <s v="PR"/>
    <x v="0"/>
    <s v="PR"/>
    <n v="881.25"/>
    <n v="1"/>
    <n v="1.1200000000000001"/>
    <n v="6500948"/>
    <x v="0"/>
    <s v="Porto Alegre"/>
    <s v="Convencional"/>
    <n v="9"/>
    <d v="2018-11-10T00:00:00"/>
    <x v="292"/>
    <x v="0"/>
    <d v="2018-11-19T00:00:00"/>
    <x v="0"/>
    <x v="0"/>
    <n v="1"/>
    <n v="1"/>
  </r>
  <r>
    <d v="2018-11-10T00:00:00"/>
    <n v="11440"/>
    <s v="WHCPQ"/>
    <s v="Campinas"/>
    <s v="SP"/>
    <n v="4019"/>
    <x v="13"/>
    <s v="Florianopolis"/>
    <s v="SC"/>
    <x v="0"/>
    <s v="SC"/>
    <n v="7557.25"/>
    <n v="18"/>
    <n v="58.442999999999998"/>
    <n v="6500948"/>
    <x v="0"/>
    <s v="Porto Alegre"/>
    <s v="Convencional"/>
    <n v="2"/>
    <d v="2018-11-10T00:00:00"/>
    <x v="293"/>
    <x v="0"/>
    <d v="2018-11-12T00:00:00"/>
    <x v="0"/>
    <x v="0"/>
    <n v="1"/>
    <n v="1"/>
  </r>
  <r>
    <d v="2018-11-10T00:00:00"/>
    <n v="11441"/>
    <s v="WHPOA"/>
    <s v="Porto Alegre"/>
    <s v="RS"/>
    <n v="4040"/>
    <x v="42"/>
    <s v="Brasilia"/>
    <s v="DF"/>
    <x v="1"/>
    <s v="DF"/>
    <n v="1973.01"/>
    <n v="4"/>
    <n v="12.497999999999999"/>
    <n v="6100231"/>
    <x v="1"/>
    <s v="Goiania"/>
    <s v="Convencional"/>
    <n v="9"/>
    <d v="2018-11-10T00:00:00"/>
    <x v="287"/>
    <x v="0"/>
    <d v="2018-11-19T00:00:00"/>
    <x v="0"/>
    <x v="0"/>
    <n v="1"/>
    <n v="1"/>
  </r>
  <r>
    <d v="2018-11-10T00:00:00"/>
    <n v="11442"/>
    <s v="WHBH"/>
    <s v="Belo Horizonte"/>
    <s v="MG"/>
    <n v="4055"/>
    <x v="45"/>
    <s v="Brasilia"/>
    <s v="DF"/>
    <x v="1"/>
    <s v="DF"/>
    <n v="1623.92"/>
    <n v="2"/>
    <n v="15.055"/>
    <n v="6100231"/>
    <x v="1"/>
    <s v="Goiania"/>
    <s v="Convencional"/>
    <n v="7"/>
    <d v="2018-11-10T00:00:00"/>
    <x v="294"/>
    <x v="0"/>
    <d v="2018-11-17T00:00:00"/>
    <x v="1"/>
    <x v="0"/>
    <n v="0"/>
    <n v="1"/>
  </r>
  <r>
    <d v="2018-11-10T00:00:00"/>
    <n v="11443"/>
    <s v="WHRJ"/>
    <s v="Rio De Janeiro"/>
    <s v="RJ"/>
    <n v="4028"/>
    <x v="26"/>
    <s v="Sao Jose Dos Pinhais"/>
    <s v="PR"/>
    <x v="0"/>
    <s v="PR"/>
    <n v="1829.53"/>
    <n v="3"/>
    <n v="4.95"/>
    <n v="6500948"/>
    <x v="0"/>
    <s v="Porto Alegre"/>
    <s v="Convencional"/>
    <n v="6"/>
    <d v="2018-11-10T00:00:00"/>
    <x v="295"/>
    <x v="0"/>
    <d v="2018-11-16T00:00:00"/>
    <x v="0"/>
    <x v="0"/>
    <n v="1"/>
    <n v="1"/>
  </r>
  <r>
    <d v="2018-11-10T00:00:00"/>
    <n v="11444"/>
    <s v="WHSJC"/>
    <s v="Sao Jose dos Campos"/>
    <s v="SP"/>
    <n v="4019"/>
    <x v="13"/>
    <s v="Florianopolis"/>
    <s v="SC"/>
    <x v="0"/>
    <s v="SC"/>
    <n v="515.92999999999995"/>
    <n v="1"/>
    <n v="1.177"/>
    <n v="6500948"/>
    <x v="0"/>
    <s v="Porto Alegre"/>
    <s v="Convencional"/>
    <n v="9"/>
    <d v="2018-11-10T00:00:00"/>
    <x v="289"/>
    <x v="1"/>
    <d v="2018-11-19T00:00:00"/>
    <x v="0"/>
    <x v="1"/>
    <n v="0"/>
    <n v="1"/>
  </r>
  <r>
    <d v="2018-11-10T00:00:00"/>
    <n v="11445"/>
    <s v="WHRJ"/>
    <s v="Rio De Janeiro"/>
    <s v="RJ"/>
    <n v="4040"/>
    <x v="42"/>
    <s v="Brasilia"/>
    <s v="DF"/>
    <x v="1"/>
    <s v="DF"/>
    <n v="1184.24"/>
    <n v="1"/>
    <n v="6.2380000000000004"/>
    <n v="6100231"/>
    <x v="1"/>
    <s v="Goiania"/>
    <s v="Convencional"/>
    <n v="3"/>
    <d v="2018-11-10T00:00:00"/>
    <x v="286"/>
    <x v="0"/>
    <d v="2018-11-13T00:00:00"/>
    <x v="1"/>
    <x v="0"/>
    <n v="0"/>
    <n v="1"/>
  </r>
  <r>
    <d v="2018-11-10T00:00:00"/>
    <n v="11446"/>
    <s v="WHPOA"/>
    <s v="Porto Alegre"/>
    <s v="RS"/>
    <n v="4055"/>
    <x v="45"/>
    <s v="Brasilia"/>
    <s v="DF"/>
    <x v="1"/>
    <s v="DF"/>
    <n v="280.8"/>
    <n v="1"/>
    <n v="2.2000000000000002"/>
    <n v="6100231"/>
    <x v="1"/>
    <s v="Goiania"/>
    <s v="Convencional"/>
    <n v="10"/>
    <d v="2018-11-10T00:00:00"/>
    <x v="292"/>
    <x v="1"/>
    <d v="2018-11-20T00:00:00"/>
    <x v="0"/>
    <x v="1"/>
    <n v="0"/>
    <n v="1"/>
  </r>
  <r>
    <d v="2018-11-10T00:00:00"/>
    <n v="11447"/>
    <s v="WHVIT"/>
    <s v="Vitoria"/>
    <s v="ES"/>
    <n v="4030"/>
    <x v="30"/>
    <s v="Belo Horizonte"/>
    <s v="MG"/>
    <x v="2"/>
    <s v="MG"/>
    <n v="380.64"/>
    <n v="6"/>
    <n v="26.536000000000001"/>
    <n v="6600879"/>
    <x v="2"/>
    <s v="Belo Horizonte"/>
    <s v="Convencional"/>
    <n v="6"/>
    <d v="2018-11-10T00:00:00"/>
    <x v="286"/>
    <x v="0"/>
    <d v="2018-11-16T00:00:00"/>
    <x v="0"/>
    <x v="0"/>
    <n v="1"/>
    <n v="1"/>
  </r>
  <r>
    <d v="2018-11-10T00:00:00"/>
    <n v="11448"/>
    <s v="WHSAO"/>
    <s v="Sao Paulo"/>
    <s v="SP"/>
    <n v="4030"/>
    <x v="30"/>
    <s v="Belo Horizonte"/>
    <s v="MG"/>
    <x v="2"/>
    <s v="MG"/>
    <n v="1879.98"/>
    <n v="1"/>
    <n v="1.1200000000000001"/>
    <n v="6600879"/>
    <x v="2"/>
    <s v="Belo Horizonte"/>
    <s v="Convencional"/>
    <n v="6"/>
    <d v="2018-11-10T00:00:00"/>
    <x v="288"/>
    <x v="0"/>
    <d v="2018-11-16T00:00:00"/>
    <x v="0"/>
    <x v="0"/>
    <n v="1"/>
    <n v="1"/>
  </r>
  <r>
    <d v="2018-11-10T00:00:00"/>
    <n v="11449"/>
    <s v="WHSAO"/>
    <s v="Sao Paulo"/>
    <s v="SP"/>
    <n v="4019"/>
    <x v="13"/>
    <s v="Florianopolis"/>
    <s v="SC"/>
    <x v="0"/>
    <s v="SC"/>
    <n v="1286.69"/>
    <n v="1"/>
    <n v="6.2590000000000003"/>
    <n v="6500948"/>
    <x v="0"/>
    <s v="Porto Alegre"/>
    <s v="Convencional"/>
    <n v="4"/>
    <d v="2018-11-10T00:00:00"/>
    <x v="292"/>
    <x v="0"/>
    <d v="2018-11-14T00:00:00"/>
    <x v="0"/>
    <x v="0"/>
    <n v="1"/>
    <n v="1"/>
  </r>
  <r>
    <d v="2018-11-10T00:00:00"/>
    <n v="11450"/>
    <s v="WHRJ"/>
    <s v="Rio De Janeiro"/>
    <s v="RJ"/>
    <n v="4013"/>
    <x v="1"/>
    <s v="Blumenau"/>
    <s v="SC"/>
    <x v="0"/>
    <s v="SC"/>
    <n v="3162.63"/>
    <n v="3"/>
    <n v="22.071999999999999"/>
    <n v="6500948"/>
    <x v="0"/>
    <s v="Porto Alegre"/>
    <s v="Convencional"/>
    <n v="12"/>
    <d v="2018-11-10T00:00:00"/>
    <x v="295"/>
    <x v="0"/>
    <d v="2018-11-22T00:00:00"/>
    <x v="0"/>
    <x v="0"/>
    <n v="1"/>
    <n v="1"/>
  </r>
  <r>
    <d v="2018-11-10T00:00:00"/>
    <n v="11451"/>
    <s v="WHCPQ"/>
    <s v="Campinas"/>
    <s v="SP"/>
    <n v="4013"/>
    <x v="1"/>
    <s v="Blumenau"/>
    <s v="SC"/>
    <x v="0"/>
    <s v="SC"/>
    <n v="659.31"/>
    <n v="2"/>
    <n v="28.353999999999999"/>
    <n v="6500948"/>
    <x v="0"/>
    <s v="Porto Alegre"/>
    <s v="Convencional"/>
    <n v="6"/>
    <d v="2018-11-10T00:00:00"/>
    <x v="286"/>
    <x v="0"/>
    <d v="2018-11-16T00:00:00"/>
    <x v="0"/>
    <x v="0"/>
    <n v="1"/>
    <n v="1"/>
  </r>
  <r>
    <d v="2018-11-09T00:00:00"/>
    <n v="11452"/>
    <s v="WHBH"/>
    <s v="Belo Horizonte"/>
    <s v="MG"/>
    <n v="4019"/>
    <x v="13"/>
    <s v="Florianopolis"/>
    <s v="SC"/>
    <x v="0"/>
    <s v="SC"/>
    <n v="1299.6600000000001"/>
    <n v="1"/>
    <n v="1.1200000000000001"/>
    <n v="6500948"/>
    <x v="0"/>
    <s v="Porto Alegre"/>
    <s v="Convencional"/>
    <n v="8"/>
    <d v="2018-11-10T00:00:00"/>
    <x v="295"/>
    <x v="0"/>
    <d v="2018-11-18T00:00:00"/>
    <x v="0"/>
    <x v="0"/>
    <n v="1"/>
    <n v="1"/>
  </r>
  <r>
    <d v="2018-11-09T00:00:00"/>
    <n v="11453"/>
    <s v="WHVIT"/>
    <s v="Vitoria"/>
    <s v="ES"/>
    <n v="4019"/>
    <x v="13"/>
    <s v="Florianopolis"/>
    <s v="SC"/>
    <x v="0"/>
    <s v="SC"/>
    <n v="431.76"/>
    <n v="1"/>
    <n v="1.1200000000000001"/>
    <n v="6500948"/>
    <x v="0"/>
    <s v="Porto Alegre"/>
    <s v="Convencional"/>
    <n v="2"/>
    <d v="2018-11-10T00:00:00"/>
    <x v="287"/>
    <x v="0"/>
    <d v="2018-11-12T00:00:00"/>
    <x v="1"/>
    <x v="0"/>
    <n v="0"/>
    <n v="1"/>
  </r>
  <r>
    <d v="2018-11-10T00:00:00"/>
    <n v="11454"/>
    <s v="WHSAO"/>
    <s v="Sao Paulo"/>
    <s v="SP"/>
    <n v="4068"/>
    <x v="4"/>
    <s v="Campo Grande"/>
    <s v="MS"/>
    <x v="1"/>
    <s v="MS"/>
    <n v="892.76"/>
    <n v="3"/>
    <n v="8.6389999999999993"/>
    <n v="6100231"/>
    <x v="1"/>
    <s v="Goiania"/>
    <s v="Convencional"/>
    <n v="5"/>
    <d v="2018-11-11T00:00:00"/>
    <x v="287"/>
    <x v="0"/>
    <d v="2018-11-16T00:00:00"/>
    <x v="1"/>
    <x v="0"/>
    <n v="0"/>
    <n v="1"/>
  </r>
  <r>
    <d v="2018-11-12T00:00:00"/>
    <n v="11455"/>
    <s v="WHPOA"/>
    <s v="Porto Alegre"/>
    <s v="RS"/>
    <n v="4128"/>
    <x v="116"/>
    <s v="Recife"/>
    <s v="PE"/>
    <x v="3"/>
    <s v="PE"/>
    <n v="533.78"/>
    <n v="3"/>
    <n v="2.5209999999999999"/>
    <n v="6900304"/>
    <x v="5"/>
    <s v="Fortaleza"/>
    <s v="Convencional"/>
    <n v="11"/>
    <d v="2018-11-13T00:00:00"/>
    <x v="296"/>
    <x v="0"/>
    <d v="2018-11-24T00:00:00"/>
    <x v="0"/>
    <x v="0"/>
    <n v="1"/>
    <n v="1"/>
  </r>
  <r>
    <d v="2018-11-12T00:00:00"/>
    <n v="11456"/>
    <s v="WHPOA"/>
    <s v="Porto Alegre"/>
    <s v="RS"/>
    <n v="4128"/>
    <x v="116"/>
    <s v="Recife"/>
    <s v="PE"/>
    <x v="3"/>
    <s v="PE"/>
    <n v="1842.69"/>
    <n v="2"/>
    <n v="3.6909999999999998"/>
    <n v="6900304"/>
    <x v="5"/>
    <s v="Fortaleza"/>
    <s v="Convencional"/>
    <n v="9"/>
    <d v="2018-11-13T00:00:00"/>
    <x v="288"/>
    <x v="0"/>
    <d v="2018-11-22T00:00:00"/>
    <x v="0"/>
    <x v="0"/>
    <n v="1"/>
    <n v="1"/>
  </r>
  <r>
    <d v="2018-11-12T00:00:00"/>
    <n v="11457"/>
    <s v="WHSJC"/>
    <s v="Sao Jose dos Campos"/>
    <s v="SP"/>
    <n v="4128"/>
    <x v="116"/>
    <s v="Recife"/>
    <s v="PE"/>
    <x v="3"/>
    <s v="PE"/>
    <n v="847.77"/>
    <n v="3"/>
    <n v="8.6389999999999993"/>
    <n v="6900304"/>
    <x v="5"/>
    <s v="Fortaleza"/>
    <s v="Convencional"/>
    <n v="10"/>
    <d v="2018-11-13T00:00:00"/>
    <x v="290"/>
    <x v="0"/>
    <d v="2018-11-23T00:00:00"/>
    <x v="0"/>
    <x v="0"/>
    <n v="1"/>
    <n v="1"/>
  </r>
  <r>
    <d v="2018-11-12T00:00:00"/>
    <n v="11458"/>
    <s v="WHSAO"/>
    <s v="Sao Paulo"/>
    <s v="SP"/>
    <n v="4068"/>
    <x v="4"/>
    <s v="Campo Grande"/>
    <s v="MS"/>
    <x v="1"/>
    <s v="MS"/>
    <n v="1088.42"/>
    <n v="1"/>
    <n v="9.35"/>
    <n v="6100231"/>
    <x v="1"/>
    <s v="Goiania"/>
    <s v="Convencional"/>
    <n v="9"/>
    <d v="2018-11-13T00:00:00"/>
    <x v="286"/>
    <x v="0"/>
    <d v="2018-11-22T00:00:00"/>
    <x v="0"/>
    <x v="0"/>
    <n v="1"/>
    <n v="1"/>
  </r>
  <r>
    <d v="2018-11-12T00:00:00"/>
    <n v="11459"/>
    <s v="WHSAO"/>
    <s v="Sao Paulo"/>
    <s v="SP"/>
    <n v="4022"/>
    <x v="19"/>
    <s v="Maringa"/>
    <s v="PR"/>
    <x v="0"/>
    <s v="PR"/>
    <n v="531.42999999999995"/>
    <n v="1"/>
    <n v="1.177"/>
    <n v="6500948"/>
    <x v="0"/>
    <s v="Porto Alegre"/>
    <s v="Convencional"/>
    <n v="7"/>
    <d v="2018-11-13T00:00:00"/>
    <x v="297"/>
    <x v="0"/>
    <d v="2018-11-20T00:00:00"/>
    <x v="1"/>
    <x v="0"/>
    <n v="0"/>
    <n v="1"/>
  </r>
  <r>
    <d v="2018-11-13T00:00:00"/>
    <n v="11460"/>
    <s v="WHSJC"/>
    <s v="Sao Jose dos Campos"/>
    <s v="SP"/>
    <n v="4105"/>
    <x v="93"/>
    <s v="Rio De Janeiro"/>
    <s v="RJ"/>
    <x v="2"/>
    <s v="RJ"/>
    <n v="1583.53"/>
    <n v="1"/>
    <n v="11"/>
    <n v="6140092"/>
    <x v="4"/>
    <s v="Rio de Janeiro"/>
    <s v="Convencional"/>
    <n v="8"/>
    <d v="2018-11-14T00:00:00"/>
    <x v="297"/>
    <x v="0"/>
    <d v="2018-11-22T00:00:00"/>
    <x v="1"/>
    <x v="0"/>
    <n v="0"/>
    <n v="1"/>
  </r>
  <r>
    <d v="2018-11-14T00:00:00"/>
    <n v="11461"/>
    <s v="WHCPQ"/>
    <s v="Campinas"/>
    <s v="SP"/>
    <n v="4032"/>
    <x v="34"/>
    <s v="Goiania"/>
    <s v="GO"/>
    <x v="1"/>
    <s v="GO"/>
    <n v="4566.1099999999997"/>
    <n v="11"/>
    <n v="61.886000000000003"/>
    <n v="6100231"/>
    <x v="1"/>
    <s v="Goiania"/>
    <s v="Convencional"/>
    <n v="3"/>
    <d v="2018-11-14T00:00:00"/>
    <x v="298"/>
    <x v="0"/>
    <d v="2018-11-17T00:00:00"/>
    <x v="1"/>
    <x v="0"/>
    <n v="0"/>
    <n v="1"/>
  </r>
  <r>
    <d v="2018-11-16T00:00:00"/>
    <n v="11462"/>
    <s v="WHBH"/>
    <s v="Belo Horizonte"/>
    <s v="MG"/>
    <n v="4131"/>
    <x v="119"/>
    <s v="Recife"/>
    <s v="PE"/>
    <x v="3"/>
    <s v="PE"/>
    <n v="1522.56"/>
    <n v="1"/>
    <n v="1.1200000000000001"/>
    <n v="6900304"/>
    <x v="5"/>
    <s v="Fortaleza"/>
    <s v="Convencional"/>
    <n v="2"/>
    <d v="2018-11-16T00:00:00"/>
    <x v="299"/>
    <x v="0"/>
    <d v="2018-11-18T00:00:00"/>
    <x v="1"/>
    <x v="0"/>
    <n v="0"/>
    <n v="1"/>
  </r>
  <r>
    <d v="2018-11-17T00:00:00"/>
    <n v="11463"/>
    <s v="WHBH"/>
    <s v="Belo Horizonte"/>
    <s v="MG"/>
    <n v="4024"/>
    <x v="21"/>
    <s v="Porto Alegre"/>
    <s v="RS"/>
    <x v="0"/>
    <s v="RS"/>
    <n v="571.71"/>
    <n v="2"/>
    <n v="4.4000000000000004"/>
    <n v="6500948"/>
    <x v="0"/>
    <s v="Porto Alegre"/>
    <s v="Convencional"/>
    <n v="6"/>
    <d v="2018-11-17T00:00:00"/>
    <x v="299"/>
    <x v="0"/>
    <d v="2018-11-23T00:00:00"/>
    <x v="1"/>
    <x v="0"/>
    <n v="0"/>
    <n v="1"/>
  </r>
  <r>
    <d v="2018-11-17T00:00:00"/>
    <n v="11464"/>
    <s v="WHSJC"/>
    <s v="Sao Jose dos Campos"/>
    <s v="SP"/>
    <n v="4033"/>
    <x v="35"/>
    <s v="Goiania"/>
    <s v="GO"/>
    <x v="1"/>
    <s v="GO"/>
    <n v="428.29"/>
    <n v="1"/>
    <n v="0.749"/>
    <n v="6100231"/>
    <x v="1"/>
    <s v="Goiania"/>
    <s v="Convencional"/>
    <n v="4"/>
    <d v="2018-11-17T00:00:00"/>
    <x v="297"/>
    <x v="0"/>
    <d v="2018-11-21T00:00:00"/>
    <x v="1"/>
    <x v="0"/>
    <n v="0"/>
    <n v="1"/>
  </r>
  <r>
    <d v="2018-11-17T00:00:00"/>
    <n v="11465"/>
    <s v="WHSJC"/>
    <s v="Sao Jose dos Campos"/>
    <s v="SP"/>
    <n v="4013"/>
    <x v="1"/>
    <s v="Blumenau"/>
    <s v="SC"/>
    <x v="0"/>
    <s v="SC"/>
    <n v="268.10000000000002"/>
    <n v="1"/>
    <n v="0.504"/>
    <n v="6500948"/>
    <x v="0"/>
    <s v="Porto Alegre"/>
    <s v="Convencional"/>
    <n v="6"/>
    <d v="2018-11-17T00:00:00"/>
    <x v="297"/>
    <x v="0"/>
    <d v="2018-11-23T00:00:00"/>
    <x v="0"/>
    <x v="0"/>
    <n v="1"/>
    <n v="1"/>
  </r>
  <r>
    <d v="2018-11-17T00:00:00"/>
    <n v="11466"/>
    <s v="WHRJ"/>
    <s v="Rio De Janeiro"/>
    <s v="RJ"/>
    <n v="4034"/>
    <x v="36"/>
    <s v="Goiania"/>
    <s v="GO"/>
    <x v="1"/>
    <s v="GO"/>
    <n v="897.3"/>
    <n v="3"/>
    <n v="8.6389999999999993"/>
    <n v="6100231"/>
    <x v="1"/>
    <s v="Goiania"/>
    <s v="Convencional"/>
    <n v="3"/>
    <d v="2018-11-17T00:00:00"/>
    <x v="290"/>
    <x v="0"/>
    <d v="2018-11-20T00:00:00"/>
    <x v="0"/>
    <x v="0"/>
    <n v="1"/>
    <n v="1"/>
  </r>
  <r>
    <d v="2018-11-18T00:00:00"/>
    <n v="11467"/>
    <s v="WHSAO"/>
    <s v="Sao Paulo"/>
    <s v="SP"/>
    <n v="4064"/>
    <x v="53"/>
    <s v="Presidente Prudente"/>
    <s v="SP"/>
    <x v="2"/>
    <s v="SP"/>
    <n v="911.7"/>
    <n v="4"/>
    <n v="24.091000000000001"/>
    <n v="6400835"/>
    <x v="3"/>
    <s v="Guarulhos"/>
    <s v="Convencional"/>
    <n v="5"/>
    <d v="2018-11-18T00:00:00"/>
    <x v="300"/>
    <x v="0"/>
    <d v="2018-11-23T00:00:00"/>
    <x v="0"/>
    <x v="0"/>
    <n v="1"/>
    <n v="1"/>
  </r>
  <r>
    <d v="2018-11-18T00:00:00"/>
    <n v="11468"/>
    <s v="WHVIT"/>
    <s v="Vitoria"/>
    <s v="ES"/>
    <n v="4064"/>
    <x v="53"/>
    <s v="Presidente Prudente"/>
    <s v="SP"/>
    <x v="2"/>
    <s v="SP"/>
    <n v="814.08"/>
    <n v="1"/>
    <n v="1.1200000000000001"/>
    <n v="6400835"/>
    <x v="3"/>
    <s v="Guarulhos"/>
    <s v="Convencional"/>
    <n v="12"/>
    <d v="2018-11-18T00:00:00"/>
    <x v="301"/>
    <x v="0"/>
    <d v="2018-11-30T00:00:00"/>
    <x v="0"/>
    <x v="0"/>
    <n v="1"/>
    <n v="1"/>
  </r>
  <r>
    <d v="2018-11-17T00:00:00"/>
    <n v="11469"/>
    <s v="WHSJC"/>
    <s v="Sao Jose dos Campos"/>
    <s v="SP"/>
    <n v="4064"/>
    <x v="53"/>
    <s v="Presidente Prudente"/>
    <s v="SP"/>
    <x v="2"/>
    <s v="SP"/>
    <n v="613.08000000000004"/>
    <n v="1"/>
    <n v="1.65"/>
    <n v="6400835"/>
    <x v="3"/>
    <s v="Guarulhos"/>
    <s v="Convencional"/>
    <n v="2"/>
    <d v="2018-11-18T00:00:00"/>
    <x v="302"/>
    <x v="0"/>
    <d v="2018-11-20T00:00:00"/>
    <x v="1"/>
    <x v="0"/>
    <n v="0"/>
    <n v="1"/>
  </r>
  <r>
    <d v="2018-11-17T00:00:00"/>
    <n v="11470"/>
    <s v="WHBH"/>
    <s v="Belo Horizonte"/>
    <s v="MG"/>
    <n v="4064"/>
    <x v="53"/>
    <s v="Presidente Prudente"/>
    <s v="SP"/>
    <x v="2"/>
    <s v="SP"/>
    <n v="484.37"/>
    <n v="1"/>
    <n v="1.65"/>
    <n v="6400835"/>
    <x v="3"/>
    <s v="Guarulhos"/>
    <s v="Convencional"/>
    <n v="2"/>
    <d v="2018-11-18T00:00:00"/>
    <x v="298"/>
    <x v="0"/>
    <d v="2018-11-20T00:00:00"/>
    <x v="1"/>
    <x v="0"/>
    <n v="0"/>
    <n v="1"/>
  </r>
  <r>
    <d v="2018-11-17T00:00:00"/>
    <n v="11471"/>
    <s v="WHPOA"/>
    <s v="Porto Alegre"/>
    <s v="RS"/>
    <n v="4064"/>
    <x v="53"/>
    <s v="Presidente Prudente"/>
    <s v="SP"/>
    <x v="2"/>
    <s v="SP"/>
    <n v="939.78"/>
    <n v="1"/>
    <n v="3.2429999999999999"/>
    <n v="6400835"/>
    <x v="3"/>
    <s v="Guarulhos"/>
    <s v="Convencional"/>
    <n v="5"/>
    <d v="2018-11-18T00:00:00"/>
    <x v="299"/>
    <x v="0"/>
    <d v="2018-11-23T00:00:00"/>
    <x v="1"/>
    <x v="0"/>
    <n v="0"/>
    <n v="1"/>
  </r>
  <r>
    <d v="2018-11-17T00:00:00"/>
    <n v="11472"/>
    <s v="WHVIT"/>
    <s v="Vitoria"/>
    <s v="ES"/>
    <n v="4064"/>
    <x v="53"/>
    <s v="Presidente Prudente"/>
    <s v="SP"/>
    <x v="2"/>
    <s v="SP"/>
    <n v="1387.38"/>
    <n v="1"/>
    <n v="3.9380000000000002"/>
    <n v="6400835"/>
    <x v="3"/>
    <s v="Guarulhos"/>
    <s v="Convencional"/>
    <n v="10"/>
    <d v="2018-11-18T00:00:00"/>
    <x v="303"/>
    <x v="0"/>
    <d v="2018-11-28T00:00:00"/>
    <x v="0"/>
    <x v="0"/>
    <n v="1"/>
    <n v="1"/>
  </r>
  <r>
    <d v="2018-11-17T00:00:00"/>
    <n v="11473"/>
    <s v="WHPOA"/>
    <s v="Porto Alegre"/>
    <s v="RS"/>
    <n v="4022"/>
    <x v="19"/>
    <s v="Maringa"/>
    <s v="PR"/>
    <x v="0"/>
    <s v="PR"/>
    <n v="2118.88"/>
    <n v="1"/>
    <n v="5.0049999999999999"/>
    <n v="6500948"/>
    <x v="0"/>
    <s v="Porto Alegre"/>
    <s v="Convencional"/>
    <n v="7"/>
    <d v="2018-11-18T00:00:00"/>
    <x v="290"/>
    <x v="0"/>
    <d v="2018-11-25T00:00:00"/>
    <x v="0"/>
    <x v="0"/>
    <n v="1"/>
    <n v="1"/>
  </r>
  <r>
    <d v="2018-11-17T00:00:00"/>
    <n v="11474"/>
    <s v="WHSAO"/>
    <s v="Sao Paulo"/>
    <s v="SP"/>
    <n v="4064"/>
    <x v="53"/>
    <s v="Presidente Prudente"/>
    <s v="SP"/>
    <x v="2"/>
    <s v="SP"/>
    <n v="2802.57"/>
    <n v="3"/>
    <n v="20.968"/>
    <n v="6400835"/>
    <x v="3"/>
    <s v="Guarulhos"/>
    <s v="Convencional"/>
    <n v="4"/>
    <d v="2018-11-18T00:00:00"/>
    <x v="297"/>
    <x v="0"/>
    <d v="2018-11-22T00:00:00"/>
    <x v="1"/>
    <x v="0"/>
    <n v="0"/>
    <n v="1"/>
  </r>
  <r>
    <d v="2018-11-17T00:00:00"/>
    <n v="11475"/>
    <s v="WHSJC"/>
    <s v="Sao Jose dos Campos"/>
    <s v="SP"/>
    <n v="4064"/>
    <x v="53"/>
    <s v="Presidente Prudente"/>
    <s v="SP"/>
    <x v="2"/>
    <s v="SP"/>
    <n v="447.39"/>
    <n v="1"/>
    <n v="3.6629999999999998"/>
    <n v="6400835"/>
    <x v="3"/>
    <s v="Guarulhos"/>
    <s v="Convencional"/>
    <n v="8"/>
    <d v="2018-11-18T00:00:00"/>
    <x v="290"/>
    <x v="0"/>
    <d v="2018-11-26T00:00:00"/>
    <x v="0"/>
    <x v="0"/>
    <n v="1"/>
    <n v="1"/>
  </r>
  <r>
    <d v="2018-11-17T00:00:00"/>
    <n v="11476"/>
    <s v="WHSJC"/>
    <s v="Sao Jose dos Campos"/>
    <s v="SP"/>
    <n v="4064"/>
    <x v="53"/>
    <s v="Presidente Prudente"/>
    <s v="SP"/>
    <x v="2"/>
    <s v="SP"/>
    <n v="971.38"/>
    <n v="4"/>
    <n v="18.718"/>
    <n v="6400835"/>
    <x v="3"/>
    <s v="Guarulhos"/>
    <s v="Convencional"/>
    <n v="2"/>
    <d v="2018-11-18T00:00:00"/>
    <x v="301"/>
    <x v="2"/>
    <d v="2018-11-20T00:00:00"/>
    <x v="1"/>
    <x v="1"/>
    <n v="0"/>
    <n v="1"/>
  </r>
  <r>
    <d v="2018-11-17T00:00:00"/>
    <n v="11477"/>
    <s v="WHPOA"/>
    <s v="Porto Alegre"/>
    <s v="RS"/>
    <n v="4064"/>
    <x v="53"/>
    <s v="Presidente Prudente"/>
    <s v="SP"/>
    <x v="2"/>
    <s v="SP"/>
    <n v="93.51"/>
    <n v="1"/>
    <n v="0.38500000000000001"/>
    <n v="6400835"/>
    <x v="3"/>
    <s v="Guarulhos"/>
    <s v="Convencional"/>
    <n v="6"/>
    <d v="2018-11-18T00:00:00"/>
    <x v="298"/>
    <x v="0"/>
    <d v="2018-11-24T00:00:00"/>
    <x v="0"/>
    <x v="0"/>
    <n v="1"/>
    <n v="1"/>
  </r>
  <r>
    <d v="2018-11-19T00:00:00"/>
    <n v="11478"/>
    <s v="WHVIT"/>
    <s v="Vitoria"/>
    <s v="ES"/>
    <n v="4024"/>
    <x v="21"/>
    <s v="Porto Alegre"/>
    <s v="RS"/>
    <x v="0"/>
    <s v="RS"/>
    <n v="2967.98"/>
    <n v="2"/>
    <n v="5.7439999999999998"/>
    <n v="6500948"/>
    <x v="0"/>
    <s v="Porto Alegre"/>
    <s v="Convencional"/>
    <n v="5"/>
    <d v="2018-11-20T00:00:00"/>
    <x v="301"/>
    <x v="2"/>
    <d v="2018-11-25T00:00:00"/>
    <x v="1"/>
    <x v="1"/>
    <n v="0"/>
    <n v="1"/>
  </r>
  <r>
    <d v="2018-11-19T00:00:00"/>
    <n v="11479"/>
    <s v="WHCPQ"/>
    <s v="Campinas"/>
    <s v="SP"/>
    <n v="4046"/>
    <x v="38"/>
    <s v="Belo Horizonte"/>
    <s v="MG"/>
    <x v="2"/>
    <s v="MG"/>
    <n v="338.53"/>
    <n v="1"/>
    <n v="1.3520000000000001"/>
    <n v="6600879"/>
    <x v="2"/>
    <s v="Belo Horizonte"/>
    <s v="Convencional"/>
    <n v="4"/>
    <d v="2018-11-20T00:00:00"/>
    <x v="299"/>
    <x v="1"/>
    <d v="2018-11-24T00:00:00"/>
    <x v="1"/>
    <x v="1"/>
    <n v="0"/>
    <n v="1"/>
  </r>
  <r>
    <d v="2018-11-19T00:00:00"/>
    <n v="11480"/>
    <s v="WHBH"/>
    <s v="Belo Horizonte"/>
    <s v="MG"/>
    <n v="4068"/>
    <x v="4"/>
    <s v="Campo Grande"/>
    <s v="MS"/>
    <x v="1"/>
    <s v="MS"/>
    <n v="5721.29"/>
    <n v="6"/>
    <n v="15.217000000000001"/>
    <n v="6100231"/>
    <x v="1"/>
    <s v="Goiania"/>
    <s v="Convencional"/>
    <n v="9"/>
    <d v="2018-11-20T00:00:00"/>
    <x v="300"/>
    <x v="1"/>
    <d v="2018-11-29T00:00:00"/>
    <x v="0"/>
    <x v="1"/>
    <n v="0"/>
    <n v="1"/>
  </r>
  <r>
    <d v="2018-11-19T00:00:00"/>
    <n v="11481"/>
    <s v="WHSJC"/>
    <s v="Sao Jose dos Campos"/>
    <s v="SP"/>
    <n v="4068"/>
    <x v="4"/>
    <s v="Campo Grande"/>
    <s v="MS"/>
    <x v="1"/>
    <s v="MS"/>
    <n v="1000.57"/>
    <n v="1"/>
    <n v="4.3380000000000001"/>
    <n v="6100231"/>
    <x v="1"/>
    <s v="Goiania"/>
    <s v="Convencional"/>
    <n v="9"/>
    <d v="2018-11-20T00:00:00"/>
    <x v="299"/>
    <x v="0"/>
    <d v="2018-11-29T00:00:00"/>
    <x v="0"/>
    <x v="0"/>
    <n v="1"/>
    <n v="1"/>
  </r>
  <r>
    <d v="2018-11-19T00:00:00"/>
    <n v="11482"/>
    <s v="WHRJ"/>
    <s v="Rio De Janeiro"/>
    <s v="RJ"/>
    <n v="4049"/>
    <x v="43"/>
    <s v="Taguatinga"/>
    <s v="DF"/>
    <x v="1"/>
    <s v="DF"/>
    <n v="1464.83"/>
    <n v="1"/>
    <n v="9.91"/>
    <n v="6100231"/>
    <x v="1"/>
    <s v="Goiania"/>
    <s v="Convencional"/>
    <n v="7"/>
    <d v="2018-11-20T00:00:00"/>
    <x v="300"/>
    <x v="0"/>
    <d v="2018-11-27T00:00:00"/>
    <x v="0"/>
    <x v="0"/>
    <n v="1"/>
    <n v="1"/>
  </r>
  <r>
    <d v="2018-11-19T00:00:00"/>
    <n v="11483"/>
    <s v="WHSJC"/>
    <s v="Sao Jose dos Campos"/>
    <s v="SP"/>
    <n v="4049"/>
    <x v="43"/>
    <s v="Taguatinga"/>
    <s v="DF"/>
    <x v="1"/>
    <s v="DF"/>
    <n v="1927.2"/>
    <n v="4"/>
    <n v="31.161999999999999"/>
    <n v="6100231"/>
    <x v="1"/>
    <s v="Goiania"/>
    <s v="Convencional"/>
    <n v="5"/>
    <d v="2018-11-20T00:00:00"/>
    <x v="298"/>
    <x v="0"/>
    <d v="2018-11-25T00:00:00"/>
    <x v="0"/>
    <x v="0"/>
    <n v="1"/>
    <n v="1"/>
  </r>
  <r>
    <d v="2018-11-19T00:00:00"/>
    <n v="11484"/>
    <s v="WHCPQ"/>
    <s v="Campinas"/>
    <s v="SP"/>
    <n v="4049"/>
    <x v="43"/>
    <s v="Taguatinga"/>
    <s v="DF"/>
    <x v="1"/>
    <s v="DF"/>
    <n v="262.25"/>
    <n v="2"/>
    <n v="3.3029999999999999"/>
    <n v="6100231"/>
    <x v="1"/>
    <s v="Goiania"/>
    <s v="Convencional"/>
    <n v="1"/>
    <d v="2018-11-20T00:00:00"/>
    <x v="304"/>
    <x v="1"/>
    <d v="2018-11-21T00:00:00"/>
    <x v="1"/>
    <x v="1"/>
    <n v="0"/>
    <n v="1"/>
  </r>
  <r>
    <d v="2018-11-19T00:00:00"/>
    <n v="11485"/>
    <s v="WHRJ"/>
    <s v="Rio De Janeiro"/>
    <s v="RJ"/>
    <n v="4049"/>
    <x v="43"/>
    <s v="Taguatinga"/>
    <s v="DF"/>
    <x v="1"/>
    <s v="DF"/>
    <n v="3886.6"/>
    <n v="1"/>
    <n v="1.1200000000000001"/>
    <n v="6100231"/>
    <x v="1"/>
    <s v="Goiania"/>
    <s v="Urgente"/>
    <n v="11"/>
    <d v="2018-11-20T00:00:00"/>
    <x v="297"/>
    <x v="1"/>
    <d v="2018-12-01T00:00:00"/>
    <x v="0"/>
    <x v="1"/>
    <n v="0"/>
    <n v="1"/>
  </r>
  <r>
    <d v="2018-11-19T00:00:00"/>
    <n v="11486"/>
    <s v="WHPOA"/>
    <s v="Porto Alegre"/>
    <s v="RS"/>
    <n v="4049"/>
    <x v="43"/>
    <s v="Taguatinga"/>
    <s v="DF"/>
    <x v="1"/>
    <s v="DF"/>
    <n v="1164.42"/>
    <n v="1"/>
    <n v="6.7759999999999998"/>
    <n v="6100231"/>
    <x v="1"/>
    <s v="Goiania"/>
    <s v="Convencional"/>
    <n v="9"/>
    <d v="2018-11-20T00:00:00"/>
    <x v="298"/>
    <x v="1"/>
    <d v="2018-11-29T00:00:00"/>
    <x v="0"/>
    <x v="1"/>
    <n v="0"/>
    <n v="1"/>
  </r>
  <r>
    <d v="2018-11-19T00:00:00"/>
    <n v="11487"/>
    <s v="WHVIT"/>
    <s v="Vitoria"/>
    <s v="ES"/>
    <n v="4049"/>
    <x v="43"/>
    <s v="Taguatinga"/>
    <s v="DF"/>
    <x v="1"/>
    <s v="DF"/>
    <n v="2593.2199999999998"/>
    <n v="4"/>
    <n v="37.267000000000003"/>
    <n v="6100231"/>
    <x v="1"/>
    <s v="Goiania"/>
    <s v="Convencional"/>
    <n v="4"/>
    <d v="2018-11-20T00:00:00"/>
    <x v="305"/>
    <x v="0"/>
    <d v="2018-11-24T00:00:00"/>
    <x v="1"/>
    <x v="0"/>
    <n v="0"/>
    <n v="1"/>
  </r>
  <r>
    <d v="2018-11-19T00:00:00"/>
    <n v="11488"/>
    <s v="WHCPQ"/>
    <s v="Campinas"/>
    <s v="SP"/>
    <n v="4049"/>
    <x v="43"/>
    <s v="Taguatinga"/>
    <s v="DF"/>
    <x v="1"/>
    <s v="DF"/>
    <n v="3218.59"/>
    <n v="1"/>
    <n v="1.1200000000000001"/>
    <n v="6100231"/>
    <x v="1"/>
    <s v="Goiania"/>
    <s v="Convencional"/>
    <n v="3"/>
    <d v="2018-11-20T00:00:00"/>
    <x v="301"/>
    <x v="1"/>
    <d v="2018-11-23T00:00:00"/>
    <x v="1"/>
    <x v="1"/>
    <n v="0"/>
    <n v="1"/>
  </r>
  <r>
    <d v="2018-11-19T00:00:00"/>
    <n v="11489"/>
    <s v="WHSAO"/>
    <s v="Sao Paulo"/>
    <s v="SP"/>
    <n v="4049"/>
    <x v="43"/>
    <s v="Taguatinga"/>
    <s v="DF"/>
    <x v="1"/>
    <s v="DF"/>
    <n v="36.61"/>
    <n v="1"/>
    <n v="0.28199999999999997"/>
    <n v="6100231"/>
    <x v="1"/>
    <s v="Goiania"/>
    <s v="Convencional"/>
    <n v="9"/>
    <d v="2018-11-20T00:00:00"/>
    <x v="304"/>
    <x v="1"/>
    <d v="2018-11-29T00:00:00"/>
    <x v="1"/>
    <x v="1"/>
    <n v="0"/>
    <n v="1"/>
  </r>
  <r>
    <d v="2018-11-20T00:00:00"/>
    <n v="11490"/>
    <s v="WHCPQ"/>
    <s v="Campinas"/>
    <s v="SP"/>
    <n v="4060"/>
    <x v="56"/>
    <s v="Sinop"/>
    <s v="MT"/>
    <x v="1"/>
    <s v="MT"/>
    <n v="461.19"/>
    <n v="1"/>
    <n v="4.3650000000000002"/>
    <n v="6100231"/>
    <x v="1"/>
    <s v="Goiania"/>
    <s v="Convencional"/>
    <n v="1"/>
    <d v="2018-11-21T00:00:00"/>
    <x v="301"/>
    <x v="0"/>
    <d v="2018-11-22T00:00:00"/>
    <x v="1"/>
    <x v="0"/>
    <n v="0"/>
    <n v="1"/>
  </r>
  <r>
    <d v="2018-11-20T00:00:00"/>
    <n v="11491"/>
    <s v="WHCPQ"/>
    <s v="Campinas"/>
    <s v="SP"/>
    <n v="4018"/>
    <x v="12"/>
    <s v="Sao Jose"/>
    <s v="SC"/>
    <x v="0"/>
    <s v="SC"/>
    <n v="31.32"/>
    <n v="1"/>
    <n v="0.36599999999999999"/>
    <n v="6500948"/>
    <x v="0"/>
    <s v="Porto Alegre"/>
    <s v="Convencional"/>
    <n v="11"/>
    <d v="2018-11-21T00:00:00"/>
    <x v="302"/>
    <x v="1"/>
    <d v="2018-12-02T00:00:00"/>
    <x v="0"/>
    <x v="1"/>
    <n v="0"/>
    <n v="1"/>
  </r>
  <r>
    <d v="2018-11-22T00:00:00"/>
    <n v="11492"/>
    <s v="WHCPQ"/>
    <s v="Campinas"/>
    <s v="SP"/>
    <n v="4013"/>
    <x v="1"/>
    <s v="Blumenau"/>
    <s v="SC"/>
    <x v="0"/>
    <s v="SC"/>
    <n v="3022.54"/>
    <n v="4"/>
    <n v="17.294"/>
    <n v="6500948"/>
    <x v="0"/>
    <s v="Porto Alegre"/>
    <s v="Convencional"/>
    <n v="6"/>
    <d v="2018-11-23T00:00:00"/>
    <x v="304"/>
    <x v="0"/>
    <d v="2018-11-29T00:00:00"/>
    <x v="1"/>
    <x v="0"/>
    <n v="0"/>
    <n v="1"/>
  </r>
  <r>
    <d v="2018-11-22T00:00:00"/>
    <n v="11493"/>
    <s v="WHBH"/>
    <s v="Belo Horizonte"/>
    <s v="MG"/>
    <n v="4013"/>
    <x v="1"/>
    <s v="Blumenau"/>
    <s v="SC"/>
    <x v="0"/>
    <s v="SC"/>
    <n v="4571.7700000000004"/>
    <n v="2"/>
    <n v="3.52"/>
    <n v="6500948"/>
    <x v="0"/>
    <s v="Porto Alegre"/>
    <s v="Convencional"/>
    <n v="3"/>
    <d v="2018-11-23T00:00:00"/>
    <x v="306"/>
    <x v="1"/>
    <d v="2018-11-26T00:00:00"/>
    <x v="1"/>
    <x v="1"/>
    <n v="0"/>
    <n v="1"/>
  </r>
  <r>
    <d v="2018-11-22T00:00:00"/>
    <n v="11494"/>
    <s v="WHRJ"/>
    <s v="Rio De Janeiro"/>
    <s v="RJ"/>
    <n v="4028"/>
    <x v="26"/>
    <s v="Sao Jose Dos Pinhais"/>
    <s v="PR"/>
    <x v="0"/>
    <s v="PR"/>
    <n v="3094.83"/>
    <n v="1"/>
    <n v="1.1200000000000001"/>
    <n v="6500948"/>
    <x v="0"/>
    <s v="Porto Alegre"/>
    <s v="Convencional"/>
    <n v="11"/>
    <d v="2018-11-23T00:00:00"/>
    <x v="306"/>
    <x v="1"/>
    <d v="2018-12-04T00:00:00"/>
    <x v="0"/>
    <x v="1"/>
    <n v="0"/>
    <n v="1"/>
  </r>
  <r>
    <d v="2018-11-22T00:00:00"/>
    <n v="11495"/>
    <s v="WHSAO"/>
    <s v="Sao Paulo"/>
    <s v="SP"/>
    <n v="4055"/>
    <x v="45"/>
    <s v="Brasilia"/>
    <s v="DF"/>
    <x v="1"/>
    <s v="DF"/>
    <n v="226.95"/>
    <n v="1"/>
    <n v="1.1200000000000001"/>
    <n v="6100231"/>
    <x v="1"/>
    <s v="Goiania"/>
    <s v="Convencional"/>
    <n v="12"/>
    <d v="2018-11-23T00:00:00"/>
    <x v="301"/>
    <x v="0"/>
    <d v="2018-12-05T00:00:00"/>
    <x v="0"/>
    <x v="0"/>
    <n v="1"/>
    <n v="1"/>
  </r>
  <r>
    <d v="2018-11-22T00:00:00"/>
    <n v="11496"/>
    <s v="WHBH"/>
    <s v="Belo Horizonte"/>
    <s v="MG"/>
    <n v="4027"/>
    <x v="24"/>
    <s v="Novo Hamburgo"/>
    <s v="RS"/>
    <x v="0"/>
    <s v="RS"/>
    <n v="2447.37"/>
    <n v="4"/>
    <n v="14.625999999999999"/>
    <n v="6500948"/>
    <x v="0"/>
    <s v="Porto Alegre"/>
    <s v="Convencional"/>
    <n v="4"/>
    <d v="2018-11-23T00:00:00"/>
    <x v="305"/>
    <x v="1"/>
    <d v="2018-11-27T00:00:00"/>
    <x v="1"/>
    <x v="1"/>
    <n v="0"/>
    <n v="1"/>
  </r>
  <r>
    <d v="2018-11-22T00:00:00"/>
    <n v="11497"/>
    <s v="WHRJ"/>
    <s v="Rio De Janeiro"/>
    <s v="RJ"/>
    <n v="4027"/>
    <x v="24"/>
    <s v="Novo Hamburgo"/>
    <s v="RS"/>
    <x v="0"/>
    <s v="RS"/>
    <n v="2785.28"/>
    <n v="2"/>
    <n v="20.913"/>
    <n v="6500948"/>
    <x v="0"/>
    <s v="Porto Alegre"/>
    <s v="Convencional"/>
    <n v="1"/>
    <d v="2018-11-23T00:00:00"/>
    <x v="307"/>
    <x v="1"/>
    <d v="2018-11-24T00:00:00"/>
    <x v="1"/>
    <x v="1"/>
    <n v="0"/>
    <n v="1"/>
  </r>
  <r>
    <d v="2018-11-22T00:00:00"/>
    <n v="11498"/>
    <s v="WHSAO"/>
    <s v="Sao Paulo"/>
    <s v="SP"/>
    <n v="4030"/>
    <x v="30"/>
    <s v="Belo Horizonte"/>
    <s v="MG"/>
    <x v="2"/>
    <s v="MG"/>
    <n v="355.32"/>
    <n v="1"/>
    <n v="0.94299999999999995"/>
    <n v="6600879"/>
    <x v="2"/>
    <s v="Belo Horizonte"/>
    <s v="Convencional"/>
    <n v="10"/>
    <d v="2018-11-23T00:00:00"/>
    <x v="298"/>
    <x v="0"/>
    <d v="2018-12-03T00:00:00"/>
    <x v="0"/>
    <x v="0"/>
    <n v="1"/>
    <n v="1"/>
  </r>
  <r>
    <d v="2018-11-22T00:00:00"/>
    <n v="11499"/>
    <s v="WHSJC"/>
    <s v="Sao Jose dos Campos"/>
    <s v="SP"/>
    <n v="4028"/>
    <x v="26"/>
    <s v="Sao Jose Dos Pinhais"/>
    <s v="PR"/>
    <x v="0"/>
    <s v="PR"/>
    <n v="2020.6"/>
    <n v="8"/>
    <n v="86.24"/>
    <n v="6500948"/>
    <x v="0"/>
    <s v="Porto Alegre"/>
    <s v="Convencional"/>
    <n v="11"/>
    <d v="2018-11-23T00:00:00"/>
    <x v="301"/>
    <x v="1"/>
    <d v="2018-12-04T00:00:00"/>
    <x v="0"/>
    <x v="1"/>
    <n v="0"/>
    <n v="1"/>
  </r>
  <r>
    <d v="2018-11-22T00:00:00"/>
    <n v="11500"/>
    <s v="WHSAO"/>
    <s v="Sao Paulo"/>
    <s v="SP"/>
    <n v="4055"/>
    <x v="45"/>
    <s v="Brasilia"/>
    <s v="DF"/>
    <x v="1"/>
    <s v="DF"/>
    <n v="1494.75"/>
    <n v="1"/>
    <n v="2.3849999999999998"/>
    <n v="6100231"/>
    <x v="1"/>
    <s v="Goiania"/>
    <s v="Convencional"/>
    <n v="11"/>
    <d v="2018-11-23T00:00:00"/>
    <x v="304"/>
    <x v="0"/>
    <d v="2018-12-04T00:00:00"/>
    <x v="0"/>
    <x v="0"/>
    <n v="1"/>
    <n v="1"/>
  </r>
  <r>
    <d v="2018-11-22T00:00:00"/>
    <n v="11501"/>
    <s v="WHCPQ"/>
    <s v="Campinas"/>
    <s v="SP"/>
    <n v="4030"/>
    <x v="30"/>
    <s v="Belo Horizonte"/>
    <s v="MG"/>
    <x v="2"/>
    <s v="MG"/>
    <n v="1200.32"/>
    <n v="1"/>
    <n v="14.000999999999999"/>
    <n v="6600879"/>
    <x v="2"/>
    <s v="Belo Horizonte"/>
    <s v="Convencional"/>
    <n v="11"/>
    <d v="2018-11-23T00:00:00"/>
    <x v="307"/>
    <x v="0"/>
    <d v="2018-12-04T00:00:00"/>
    <x v="0"/>
    <x v="0"/>
    <n v="1"/>
    <n v="1"/>
  </r>
  <r>
    <d v="2018-11-23T00:00:00"/>
    <n v="11502"/>
    <s v="WHBH"/>
    <s v="Belo Horizonte"/>
    <s v="MG"/>
    <n v="4046"/>
    <x v="38"/>
    <s v="Belo Horizonte"/>
    <s v="MG"/>
    <x v="2"/>
    <s v="MG"/>
    <n v="558.62"/>
    <n v="2"/>
    <n v="2.1619999999999999"/>
    <n v="6600879"/>
    <x v="2"/>
    <s v="Belo Horizonte"/>
    <s v="Convencional"/>
    <n v="6"/>
    <d v="2018-11-24T00:00:00"/>
    <x v="308"/>
    <x v="2"/>
    <d v="2018-11-30T00:00:00"/>
    <x v="1"/>
    <x v="1"/>
    <n v="0"/>
    <n v="1"/>
  </r>
  <r>
    <d v="2018-11-23T00:00:00"/>
    <n v="11503"/>
    <s v="WHBH"/>
    <s v="Belo Horizonte"/>
    <s v="MG"/>
    <n v="4022"/>
    <x v="19"/>
    <s v="Maringa"/>
    <s v="PR"/>
    <x v="0"/>
    <s v="PR"/>
    <n v="3907.82"/>
    <n v="3"/>
    <n v="7.8289999999999997"/>
    <n v="6500948"/>
    <x v="0"/>
    <s v="Porto Alegre"/>
    <s v="Convencional"/>
    <n v="10"/>
    <d v="2018-11-24T00:00:00"/>
    <x v="307"/>
    <x v="0"/>
    <d v="2018-12-04T00:00:00"/>
    <x v="0"/>
    <x v="0"/>
    <n v="1"/>
    <n v="1"/>
  </r>
  <r>
    <d v="2018-11-26T00:00:00"/>
    <n v="11504"/>
    <s v="WHSAO"/>
    <s v="Sao Paulo"/>
    <s v="SP"/>
    <n v="4068"/>
    <x v="4"/>
    <s v="Campo Grande"/>
    <s v="MS"/>
    <x v="1"/>
    <s v="MS"/>
    <n v="3835.72"/>
    <n v="10"/>
    <n v="134.19999999999999"/>
    <n v="6100231"/>
    <x v="1"/>
    <s v="Goiania"/>
    <s v="Convencional"/>
    <n v="12"/>
    <d v="2018-11-27T00:00:00"/>
    <x v="309"/>
    <x v="0"/>
    <d v="2018-12-09T00:00:00"/>
    <x v="0"/>
    <x v="0"/>
    <n v="1"/>
    <n v="1"/>
  </r>
  <r>
    <d v="2018-11-26T00:00:00"/>
    <n v="11505"/>
    <s v="WHSJC"/>
    <s v="Sao Jose dos Campos"/>
    <s v="SP"/>
    <n v="4068"/>
    <x v="4"/>
    <s v="Campo Grande"/>
    <s v="MS"/>
    <x v="1"/>
    <s v="MS"/>
    <n v="6229.45"/>
    <n v="4"/>
    <n v="50.16"/>
    <n v="6100231"/>
    <x v="1"/>
    <s v="Goiania"/>
    <s v="Convencional"/>
    <n v="6"/>
    <d v="2018-11-27T00:00:00"/>
    <x v="310"/>
    <x v="0"/>
    <d v="2018-12-03T00:00:00"/>
    <x v="1"/>
    <x v="0"/>
    <n v="0"/>
    <n v="1"/>
  </r>
  <r>
    <d v="2018-11-26T00:00:00"/>
    <n v="11506"/>
    <s v="WHSJC"/>
    <s v="Sao Jose dos Campos"/>
    <s v="SP"/>
    <n v="4022"/>
    <x v="19"/>
    <s v="Maringa"/>
    <s v="PR"/>
    <x v="0"/>
    <s v="PR"/>
    <n v="2385.4299999999998"/>
    <n v="10"/>
    <n v="107.8"/>
    <n v="6500948"/>
    <x v="0"/>
    <s v="Porto Alegre"/>
    <s v="Convencional"/>
    <n v="3"/>
    <d v="2018-11-27T00:00:00"/>
    <x v="311"/>
    <x v="2"/>
    <d v="2018-11-30T00:00:00"/>
    <x v="1"/>
    <x v="1"/>
    <n v="0"/>
    <n v="1"/>
  </r>
  <r>
    <d v="2018-11-27T00:00:00"/>
    <n v="11507"/>
    <s v="WHSJC"/>
    <s v="Sao Jose dos Campos"/>
    <s v="SP"/>
    <n v="4033"/>
    <x v="35"/>
    <s v="Goiania"/>
    <s v="GO"/>
    <x v="1"/>
    <s v="GO"/>
    <n v="7736.37"/>
    <n v="2"/>
    <n v="26.716999999999999"/>
    <n v="6100231"/>
    <x v="1"/>
    <s v="Goiania"/>
    <s v="Convencional"/>
    <n v="10"/>
    <d v="2018-11-28T00:00:00"/>
    <x v="306"/>
    <x v="0"/>
    <d v="2018-12-08T00:00:00"/>
    <x v="0"/>
    <x v="0"/>
    <n v="1"/>
    <n v="1"/>
  </r>
  <r>
    <d v="2018-11-29T00:00:00"/>
    <n v="11508"/>
    <s v="WHBH"/>
    <s v="Belo Horizonte"/>
    <s v="MG"/>
    <n v="4012"/>
    <x v="0"/>
    <s v="Sao Jose Dos Pinhais"/>
    <s v="PR"/>
    <x v="0"/>
    <s v="PR"/>
    <n v="3.17"/>
    <n v="1"/>
    <n v="3.5000000000000003E-2"/>
    <n v="6500948"/>
    <x v="0"/>
    <s v="Porto Alegre"/>
    <s v="Convencional"/>
    <n v="2"/>
    <d v="2018-11-29T00:00:00"/>
    <x v="312"/>
    <x v="0"/>
    <d v="2018-12-01T00:00:00"/>
    <x v="1"/>
    <x v="0"/>
    <n v="0"/>
    <n v="1"/>
  </r>
  <r>
    <d v="2018-11-29T00:00:00"/>
    <n v="11509"/>
    <s v="WHSJC"/>
    <s v="Sao Jose dos Campos"/>
    <s v="SP"/>
    <n v="4022"/>
    <x v="19"/>
    <s v="Maringa"/>
    <s v="PR"/>
    <x v="0"/>
    <s v="PR"/>
    <n v="35.89"/>
    <n v="1"/>
    <n v="1.1200000000000001"/>
    <n v="6500948"/>
    <x v="0"/>
    <s v="Porto Alegre"/>
    <s v="Convencional"/>
    <n v="2"/>
    <d v="2018-11-29T00:00:00"/>
    <x v="311"/>
    <x v="0"/>
    <d v="2018-12-01T00:00:00"/>
    <x v="1"/>
    <x v="0"/>
    <n v="0"/>
    <n v="1"/>
  </r>
  <r>
    <d v="2018-11-30T00:00:00"/>
    <n v="11510"/>
    <s v="WHSJC"/>
    <s v="Sao Jose dos Campos"/>
    <s v="SP"/>
    <n v="4018"/>
    <x v="12"/>
    <s v="Sao Jose"/>
    <s v="SC"/>
    <x v="0"/>
    <s v="SC"/>
    <n v="22155.18"/>
    <n v="12"/>
    <n v="119.30200000000001"/>
    <n v="6500948"/>
    <x v="0"/>
    <s v="Porto Alegre"/>
    <s v="Convencional"/>
    <n v="2"/>
    <d v="2018-11-30T00:00:00"/>
    <x v="312"/>
    <x v="0"/>
    <d v="2018-12-02T00:00:00"/>
    <x v="1"/>
    <x v="0"/>
    <n v="0"/>
    <n v="1"/>
  </r>
  <r>
    <d v="2018-11-30T00:00:00"/>
    <n v="11511"/>
    <s v="WHBH"/>
    <s v="Belo Horizonte"/>
    <s v="MG"/>
    <n v="4034"/>
    <x v="36"/>
    <s v="Goiania"/>
    <s v="GO"/>
    <x v="1"/>
    <s v="GO"/>
    <n v="108.35"/>
    <n v="1"/>
    <n v="0.121"/>
    <n v="6100231"/>
    <x v="1"/>
    <s v="Goiania"/>
    <s v="Convencional"/>
    <n v="9"/>
    <d v="2018-11-30T00:00:00"/>
    <x v="308"/>
    <x v="0"/>
    <d v="2018-12-09T00:00:00"/>
    <x v="0"/>
    <x v="0"/>
    <n v="1"/>
    <n v="1"/>
  </r>
  <r>
    <d v="2018-11-30T00:00:00"/>
    <n v="11512"/>
    <s v="WHSAO"/>
    <s v="Sao Paulo"/>
    <s v="SP"/>
    <n v="4013"/>
    <x v="1"/>
    <s v="Blumenau"/>
    <s v="SC"/>
    <x v="0"/>
    <s v="SC"/>
    <n v="1380.65"/>
    <n v="1"/>
    <n v="14.3"/>
    <n v="6500948"/>
    <x v="0"/>
    <s v="Porto Alegre"/>
    <s v="Convencional"/>
    <n v="6"/>
    <d v="2018-11-30T00:00:00"/>
    <x v="309"/>
    <x v="0"/>
    <d v="2018-12-06T00:00:00"/>
    <x v="0"/>
    <x v="0"/>
    <n v="1"/>
    <n v="1"/>
  </r>
  <r>
    <d v="2018-11-30T00:00:00"/>
    <n v="11513"/>
    <s v="WHSJC"/>
    <s v="Sao Jose dos Campos"/>
    <s v="SP"/>
    <n v="4056"/>
    <x v="44"/>
    <s v="Goiania"/>
    <s v="GO"/>
    <x v="1"/>
    <s v="GO"/>
    <n v="110.11"/>
    <n v="2"/>
    <n v="1.1279999999999999"/>
    <n v="6100231"/>
    <x v="1"/>
    <s v="Goiania"/>
    <s v="Convencional"/>
    <n v="8"/>
    <d v="2018-11-30T00:00:00"/>
    <x v="308"/>
    <x v="0"/>
    <d v="2018-12-08T00:00:00"/>
    <x v="0"/>
    <x v="0"/>
    <n v="1"/>
    <n v="1"/>
  </r>
  <r>
    <d v="2018-11-30T00:00:00"/>
    <n v="11514"/>
    <s v="WHBH"/>
    <s v="Belo Horizonte"/>
    <s v="MG"/>
    <n v="4032"/>
    <x v="34"/>
    <s v="Goiania"/>
    <s v="GO"/>
    <x v="1"/>
    <s v="GO"/>
    <n v="366.7"/>
    <n v="1"/>
    <n v="1.1200000000000001"/>
    <n v="6100231"/>
    <x v="1"/>
    <s v="Goiania"/>
    <s v="Convencional"/>
    <n v="10"/>
    <d v="2018-11-30T00:00:00"/>
    <x v="312"/>
    <x v="0"/>
    <d v="2018-12-10T00:00:00"/>
    <x v="0"/>
    <x v="0"/>
    <n v="1"/>
    <n v="1"/>
  </r>
  <r>
    <d v="2018-11-30T00:00:00"/>
    <n v="11515"/>
    <s v="WHSAO"/>
    <s v="Sao Paulo"/>
    <s v="SP"/>
    <n v="4049"/>
    <x v="43"/>
    <s v="Taguatinga"/>
    <s v="DF"/>
    <x v="1"/>
    <s v="DF"/>
    <n v="1411.93"/>
    <n v="1"/>
    <n v="3.6829999999999998"/>
    <n v="6100231"/>
    <x v="1"/>
    <s v="Goiania"/>
    <s v="Convencional"/>
    <n v="6"/>
    <d v="2018-11-30T00:00:00"/>
    <x v="310"/>
    <x v="0"/>
    <d v="2018-12-06T00:00:00"/>
    <x v="0"/>
    <x v="0"/>
    <n v="1"/>
    <n v="1"/>
  </r>
  <r>
    <d v="2018-11-30T00:00:00"/>
    <n v="11516"/>
    <s v="WHSJC"/>
    <s v="Sao Jose dos Campos"/>
    <s v="SP"/>
    <n v="4045"/>
    <x v="49"/>
    <s v="Belo Horizonte"/>
    <s v="MG"/>
    <x v="2"/>
    <s v="MG"/>
    <n v="269.51"/>
    <n v="2"/>
    <n v="2.0579999999999998"/>
    <n v="6600879"/>
    <x v="2"/>
    <s v="Belo Horizonte"/>
    <s v="Convencional"/>
    <n v="10"/>
    <d v="2018-11-30T00:00:00"/>
    <x v="313"/>
    <x v="0"/>
    <d v="2018-12-10T00:00:00"/>
    <x v="0"/>
    <x v="0"/>
    <n v="1"/>
    <n v="1"/>
  </r>
  <r>
    <d v="2018-11-30T00:00:00"/>
    <n v="11517"/>
    <s v="WHVIT"/>
    <s v="Vitoria"/>
    <s v="ES"/>
    <n v="4049"/>
    <x v="43"/>
    <s v="Taguatinga"/>
    <s v="DF"/>
    <x v="1"/>
    <s v="DF"/>
    <n v="324.14"/>
    <n v="1"/>
    <n v="0.51500000000000001"/>
    <n v="6100231"/>
    <x v="1"/>
    <s v="Goiania"/>
    <s v="Convencional"/>
    <n v="9"/>
    <d v="2018-11-30T00:00:00"/>
    <x v="312"/>
    <x v="0"/>
    <d v="2018-12-09T00:00:00"/>
    <x v="0"/>
    <x v="0"/>
    <n v="1"/>
    <n v="1"/>
  </r>
  <r>
    <d v="2018-11-30T00:00:00"/>
    <n v="11518"/>
    <s v="WHPOA"/>
    <s v="Porto Alegre"/>
    <s v="RS"/>
    <n v="4056"/>
    <x v="44"/>
    <s v="Goiania"/>
    <s v="GO"/>
    <x v="1"/>
    <s v="GO"/>
    <n v="1075.03"/>
    <n v="1"/>
    <n v="1.716"/>
    <n v="6100231"/>
    <x v="1"/>
    <s v="Goiania"/>
    <s v="Convencional"/>
    <n v="4"/>
    <d v="2018-11-30T00:00:00"/>
    <x v="314"/>
    <x v="0"/>
    <d v="2018-12-04T00:00:00"/>
    <x v="1"/>
    <x v="0"/>
    <n v="0"/>
    <n v="1"/>
  </r>
  <r>
    <d v="2018-11-30T00:00:00"/>
    <n v="11519"/>
    <s v="WHPOA"/>
    <s v="Porto Alegre"/>
    <s v="RS"/>
    <n v="4049"/>
    <x v="43"/>
    <s v="Taguatinga"/>
    <s v="DF"/>
    <x v="1"/>
    <s v="DF"/>
    <n v="387.24"/>
    <n v="1"/>
    <n v="1.32"/>
    <n v="6100231"/>
    <x v="1"/>
    <s v="Goiania"/>
    <s v="Convencional"/>
    <n v="4"/>
    <d v="2018-11-30T00:00:00"/>
    <x v="314"/>
    <x v="0"/>
    <d v="2018-12-04T00:00:00"/>
    <x v="1"/>
    <x v="0"/>
    <n v="0"/>
    <n v="1"/>
  </r>
  <r>
    <d v="2018-11-30T00:00:00"/>
    <n v="11520"/>
    <s v="WHCPQ"/>
    <s v="Campinas"/>
    <s v="SP"/>
    <n v="4056"/>
    <x v="44"/>
    <s v="Goiania"/>
    <s v="GO"/>
    <x v="1"/>
    <s v="GO"/>
    <n v="398.55"/>
    <n v="1"/>
    <n v="1.1200000000000001"/>
    <n v="6100231"/>
    <x v="1"/>
    <s v="Goiania"/>
    <s v="Convencional"/>
    <n v="4"/>
    <d v="2018-11-30T00:00:00"/>
    <x v="314"/>
    <x v="0"/>
    <d v="2018-12-04T00:00:00"/>
    <x v="1"/>
    <x v="0"/>
    <n v="0"/>
    <n v="1"/>
  </r>
  <r>
    <d v="2018-11-30T00:00:00"/>
    <n v="11521"/>
    <s v="WHSAO"/>
    <s v="Sao Paulo"/>
    <s v="SP"/>
    <n v="4045"/>
    <x v="49"/>
    <s v="Belo Horizonte"/>
    <s v="MG"/>
    <x v="2"/>
    <s v="MG"/>
    <n v="60"/>
    <n v="1"/>
    <n v="100.595"/>
    <n v="6600879"/>
    <x v="2"/>
    <s v="Belo Horizonte"/>
    <s v="Convencional"/>
    <n v="10"/>
    <d v="2018-11-30T00:00:00"/>
    <x v="314"/>
    <x v="2"/>
    <d v="2018-12-10T00:00:00"/>
    <x v="0"/>
    <x v="1"/>
    <n v="0"/>
    <n v="1"/>
  </r>
  <r>
    <d v="2018-11-30T00:00:00"/>
    <n v="11522"/>
    <s v="WHVIT"/>
    <s v="Vitoria"/>
    <s v="ES"/>
    <n v="4049"/>
    <x v="43"/>
    <s v="Taguatinga"/>
    <s v="DF"/>
    <x v="1"/>
    <s v="DF"/>
    <n v="239.76"/>
    <n v="1"/>
    <n v="0.29299999999999998"/>
    <n v="6100231"/>
    <x v="1"/>
    <s v="Goiania"/>
    <s v="Convencional"/>
    <n v="10"/>
    <d v="2018-11-30T00:00:00"/>
    <x v="315"/>
    <x v="0"/>
    <d v="2018-12-10T00:00:00"/>
    <x v="0"/>
    <x v="0"/>
    <n v="1"/>
    <n v="1"/>
  </r>
  <r>
    <d v="2018-11-30T00:00:00"/>
    <n v="11523"/>
    <s v="WHCPQ"/>
    <s v="Campinas"/>
    <s v="SP"/>
    <n v="4049"/>
    <x v="43"/>
    <s v="Taguatinga"/>
    <s v="DF"/>
    <x v="1"/>
    <s v="DF"/>
    <n v="55.48"/>
    <n v="1"/>
    <n v="1.1200000000000001"/>
    <n v="6100231"/>
    <x v="1"/>
    <s v="Goiania"/>
    <s v="Convencional"/>
    <n v="7"/>
    <d v="2018-11-30T00:00:00"/>
    <x v="314"/>
    <x v="0"/>
    <d v="2018-12-07T00:00:00"/>
    <x v="1"/>
    <x v="0"/>
    <n v="0"/>
    <n v="1"/>
  </r>
  <r>
    <d v="2018-11-30T00:00:00"/>
    <n v="11524"/>
    <s v="WHSJC"/>
    <s v="Sao Jose dos Campos"/>
    <s v="SP"/>
    <n v="4049"/>
    <x v="43"/>
    <s v="Taguatinga"/>
    <s v="DF"/>
    <x v="1"/>
    <s v="DF"/>
    <n v="87.01"/>
    <n v="1"/>
    <n v="0.121"/>
    <n v="6100231"/>
    <x v="1"/>
    <s v="Goiania"/>
    <s v="Convencional"/>
    <n v="3"/>
    <d v="2018-11-30T00:00:00"/>
    <x v="314"/>
    <x v="2"/>
    <d v="2018-12-03T00:00:00"/>
    <x v="1"/>
    <x v="1"/>
    <n v="0"/>
    <n v="1"/>
  </r>
  <r>
    <d v="2018-11-30T00:00:00"/>
    <n v="11525"/>
    <s v="WHPOA"/>
    <s v="Porto Alegre"/>
    <s v="RS"/>
    <n v="4049"/>
    <x v="43"/>
    <s v="Taguatinga"/>
    <s v="DF"/>
    <x v="1"/>
    <s v="DF"/>
    <n v="174.02"/>
    <n v="2"/>
    <n v="0.24199999999999999"/>
    <n v="6100231"/>
    <x v="1"/>
    <s v="Goiania"/>
    <s v="Convencional"/>
    <n v="8"/>
    <d v="2018-11-30T00:00:00"/>
    <x v="316"/>
    <x v="0"/>
    <d v="2018-12-08T00:00:00"/>
    <x v="0"/>
    <x v="0"/>
    <n v="1"/>
    <n v="1"/>
  </r>
  <r>
    <d v="2018-11-30T00:00:00"/>
    <n v="11526"/>
    <s v="WHVIT"/>
    <s v="Vitoria"/>
    <s v="ES"/>
    <n v="4049"/>
    <x v="43"/>
    <s v="Taguatinga"/>
    <s v="DF"/>
    <x v="1"/>
    <s v="DF"/>
    <n v="34.299999999999997"/>
    <n v="1"/>
    <n v="1.1200000000000001"/>
    <n v="6100231"/>
    <x v="1"/>
    <s v="Goiania"/>
    <s v="Convencional"/>
    <n v="1"/>
    <d v="2018-11-30T00:00:00"/>
    <x v="310"/>
    <x v="2"/>
    <d v="2018-12-01T00:00:00"/>
    <x v="1"/>
    <x v="1"/>
    <n v="0"/>
    <n v="1"/>
  </r>
  <r>
    <d v="2018-11-30T00:00:00"/>
    <n v="11527"/>
    <s v="WHPOA"/>
    <s v="Porto Alegre"/>
    <s v="RS"/>
    <n v="4049"/>
    <x v="43"/>
    <s v="Taguatinga"/>
    <s v="DF"/>
    <x v="1"/>
    <s v="DF"/>
    <n v="8076.29"/>
    <n v="7"/>
    <n v="44.11"/>
    <n v="6100231"/>
    <x v="1"/>
    <s v="Goiania"/>
    <s v="Convencional"/>
    <n v="1"/>
    <d v="2018-11-30T00:00:00"/>
    <x v="311"/>
    <x v="0"/>
    <d v="2018-12-01T00:00:00"/>
    <x v="1"/>
    <x v="0"/>
    <n v="0"/>
    <n v="1"/>
  </r>
  <r>
    <d v="2018-11-30T00:00:00"/>
    <n v="11528"/>
    <s v="WHBH"/>
    <s v="Belo Horizonte"/>
    <s v="MG"/>
    <n v="4049"/>
    <x v="43"/>
    <s v="Taguatinga"/>
    <s v="DF"/>
    <x v="1"/>
    <s v="DF"/>
    <n v="2876.9"/>
    <n v="10"/>
    <n v="134.19999999999999"/>
    <n v="6100231"/>
    <x v="1"/>
    <s v="Goiania"/>
    <s v="Convencional"/>
    <n v="1"/>
    <d v="2018-11-30T00:00:00"/>
    <x v="307"/>
    <x v="0"/>
    <d v="2018-12-01T00:00:00"/>
    <x v="0"/>
    <x v="0"/>
    <n v="1"/>
    <n v="1"/>
  </r>
  <r>
    <d v="2018-12-01T00:00:00"/>
    <n v="11529"/>
    <s v="WHVIT"/>
    <s v="Vitoria"/>
    <s v="ES"/>
    <n v="4084"/>
    <x v="72"/>
    <s v="Aracatuba"/>
    <s v="SP"/>
    <x v="2"/>
    <s v="SP"/>
    <n v="346.37"/>
    <n v="2"/>
    <n v="1.167"/>
    <n v="6400835"/>
    <x v="3"/>
    <s v="Guarulhos"/>
    <s v="Convencional"/>
    <n v="11"/>
    <d v="2018-12-01T00:00:00"/>
    <x v="312"/>
    <x v="0"/>
    <d v="2018-12-12T00:00:00"/>
    <x v="0"/>
    <x v="0"/>
    <n v="1"/>
    <n v="1"/>
  </r>
  <r>
    <d v="2018-12-01T00:00:00"/>
    <n v="11530"/>
    <s v="WHPOA"/>
    <s v="Porto Alegre"/>
    <s v="RS"/>
    <n v="4013"/>
    <x v="1"/>
    <s v="Blumenau"/>
    <s v="SC"/>
    <x v="0"/>
    <s v="SC"/>
    <n v="330.3"/>
    <n v="1"/>
    <n v="0.36299999999999999"/>
    <n v="6500948"/>
    <x v="0"/>
    <s v="Porto Alegre"/>
    <s v="Convencional"/>
    <n v="10"/>
    <d v="2018-12-01T00:00:00"/>
    <x v="308"/>
    <x v="2"/>
    <d v="2018-12-11T00:00:00"/>
    <x v="0"/>
    <x v="1"/>
    <n v="0"/>
    <n v="1"/>
  </r>
  <r>
    <d v="2018-12-05T00:00:00"/>
    <n v="11531"/>
    <s v="WHRJ"/>
    <s v="Rio De Janeiro"/>
    <s v="RJ"/>
    <n v="4022"/>
    <x v="19"/>
    <s v="Maringa"/>
    <s v="PR"/>
    <x v="0"/>
    <s v="PR"/>
    <n v="97.69"/>
    <n v="1"/>
    <n v="0.77100000000000002"/>
    <n v="6500948"/>
    <x v="0"/>
    <s v="Porto Alegre"/>
    <s v="Convencional"/>
    <n v="6"/>
    <d v="2018-12-05T00:00:00"/>
    <x v="317"/>
    <x v="0"/>
    <d v="2018-12-11T00:00:00"/>
    <x v="0"/>
    <x v="0"/>
    <n v="1"/>
    <n v="1"/>
  </r>
  <r>
    <d v="2018-12-06T00:00:00"/>
    <n v="11532"/>
    <s v="WHBH"/>
    <s v="Belo Horizonte"/>
    <s v="MG"/>
    <n v="4033"/>
    <x v="35"/>
    <s v="Goiania"/>
    <s v="GO"/>
    <x v="1"/>
    <s v="GO"/>
    <n v="39.11"/>
    <n v="1"/>
    <n v="1.1200000000000001"/>
    <n v="6100231"/>
    <x v="1"/>
    <s v="Goiania"/>
    <s v="Convencional"/>
    <n v="1"/>
    <d v="2018-12-06T00:00:00"/>
    <x v="318"/>
    <x v="0"/>
    <d v="2018-12-07T00:00:00"/>
    <x v="1"/>
    <x v="0"/>
    <n v="0"/>
    <n v="1"/>
  </r>
  <r>
    <d v="2018-12-06T00:00:00"/>
    <n v="11533"/>
    <s v="WHSJC"/>
    <s v="Sao Jose dos Campos"/>
    <s v="SP"/>
    <n v="4068"/>
    <x v="4"/>
    <s v="Campo Grande"/>
    <s v="MS"/>
    <x v="1"/>
    <s v="MS"/>
    <n v="240.91"/>
    <n v="2"/>
    <n v="3.9820000000000002"/>
    <n v="6100231"/>
    <x v="1"/>
    <s v="Goiania"/>
    <s v="Convencional"/>
    <n v="4"/>
    <d v="2018-12-06T00:00:00"/>
    <x v="319"/>
    <x v="0"/>
    <d v="2018-12-10T00:00:00"/>
    <x v="1"/>
    <x v="0"/>
    <n v="0"/>
    <n v="1"/>
  </r>
  <r>
    <d v="2018-12-07T00:00:00"/>
    <n v="11534"/>
    <s v="WHVIT"/>
    <s v="Vitoria"/>
    <s v="ES"/>
    <n v="4127"/>
    <x v="115"/>
    <s v="Rio De Janeiro"/>
    <s v="RJ"/>
    <x v="2"/>
    <s v="RJ"/>
    <n v="719.89"/>
    <n v="1"/>
    <n v="1.1200000000000001"/>
    <n v="6140092"/>
    <x v="4"/>
    <s v="Rio de Janeiro"/>
    <s v="Convencional"/>
    <n v="2"/>
    <d v="2018-12-07T00:00:00"/>
    <x v="320"/>
    <x v="0"/>
    <d v="2018-12-09T00:00:00"/>
    <x v="1"/>
    <x v="0"/>
    <n v="0"/>
    <n v="1"/>
  </r>
  <r>
    <d v="2018-12-07T00:00:00"/>
    <n v="11535"/>
    <s v="WHCPQ"/>
    <s v="Campinas"/>
    <s v="SP"/>
    <n v="4127"/>
    <x v="115"/>
    <s v="Rio De Janeiro"/>
    <s v="RJ"/>
    <x v="2"/>
    <s v="RJ"/>
    <n v="717.3"/>
    <n v="1"/>
    <n v="1.2470000000000001"/>
    <n v="6140092"/>
    <x v="4"/>
    <s v="Rio de Janeiro"/>
    <s v="Convencional"/>
    <n v="9"/>
    <d v="2018-12-07T00:00:00"/>
    <x v="317"/>
    <x v="0"/>
    <d v="2018-12-16T00:00:00"/>
    <x v="0"/>
    <x v="0"/>
    <n v="1"/>
    <n v="1"/>
  </r>
  <r>
    <d v="2018-12-07T00:00:00"/>
    <n v="11536"/>
    <s v="WHSAO"/>
    <s v="Sao Paulo"/>
    <s v="SP"/>
    <n v="4127"/>
    <x v="115"/>
    <s v="Rio De Janeiro"/>
    <s v="RJ"/>
    <x v="2"/>
    <s v="RJ"/>
    <n v="260.05"/>
    <n v="1"/>
    <n v="0.501"/>
    <n v="6140092"/>
    <x v="4"/>
    <s v="Rio de Janeiro"/>
    <s v="Convencional"/>
    <n v="10"/>
    <d v="2018-12-07T00:00:00"/>
    <x v="320"/>
    <x v="2"/>
    <d v="2018-12-17T00:00:00"/>
    <x v="0"/>
    <x v="1"/>
    <n v="0"/>
    <n v="1"/>
  </r>
  <r>
    <d v="2018-12-08T00:00:00"/>
    <n v="11537"/>
    <s v="WHCPQ"/>
    <s v="Campinas"/>
    <s v="SP"/>
    <n v="4013"/>
    <x v="1"/>
    <s v="Blumenau"/>
    <s v="SC"/>
    <x v="0"/>
    <s v="SC"/>
    <n v="3105.08"/>
    <n v="2"/>
    <n v="11.824999999999999"/>
    <n v="6500948"/>
    <x v="0"/>
    <s v="Porto Alegre"/>
    <s v="Convencional"/>
    <n v="2"/>
    <d v="2018-12-08T00:00:00"/>
    <x v="321"/>
    <x v="0"/>
    <d v="2018-12-10T00:00:00"/>
    <x v="1"/>
    <x v="0"/>
    <n v="0"/>
    <n v="1"/>
  </r>
  <r>
    <d v="2018-12-09T00:00:00"/>
    <n v="11538"/>
    <s v="WHSAO"/>
    <s v="Sao Paulo"/>
    <s v="SP"/>
    <n v="4022"/>
    <x v="19"/>
    <s v="Maringa"/>
    <s v="PR"/>
    <x v="0"/>
    <s v="PR"/>
    <n v="300.37"/>
    <n v="1"/>
    <n v="0.70399999999999996"/>
    <n v="6500948"/>
    <x v="0"/>
    <s v="Porto Alegre"/>
    <s v="Convencional"/>
    <n v="7"/>
    <d v="2018-12-09T00:00:00"/>
    <x v="318"/>
    <x v="0"/>
    <d v="2018-12-16T00:00:00"/>
    <x v="0"/>
    <x v="0"/>
    <n v="1"/>
    <n v="1"/>
  </r>
  <r>
    <d v="2018-12-11T00:00:00"/>
    <n v="11539"/>
    <s v="WHCPQ"/>
    <s v="Campinas"/>
    <s v="SP"/>
    <n v="4068"/>
    <x v="4"/>
    <s v="Campo Grande"/>
    <s v="MS"/>
    <x v="1"/>
    <s v="MS"/>
    <n v="1711.93"/>
    <n v="5"/>
    <n v="67.099999999999994"/>
    <n v="6100231"/>
    <x v="1"/>
    <s v="Goiania"/>
    <s v="Convencional"/>
    <n v="1"/>
    <d v="2018-12-11T00:00:00"/>
    <x v="322"/>
    <x v="0"/>
    <d v="2018-12-12T00:00:00"/>
    <x v="1"/>
    <x v="0"/>
    <n v="0"/>
    <n v="1"/>
  </r>
  <r>
    <d v="2018-12-11T00:00:00"/>
    <n v="11540"/>
    <s v="WHPOA"/>
    <s v="Porto Alegre"/>
    <s v="RS"/>
    <n v="4068"/>
    <x v="4"/>
    <s v="Campo Grande"/>
    <s v="MS"/>
    <x v="1"/>
    <s v="MS"/>
    <n v="949.43"/>
    <n v="1"/>
    <n v="7.92"/>
    <n v="6100231"/>
    <x v="1"/>
    <s v="Goiania"/>
    <s v="Convencional"/>
    <n v="11"/>
    <d v="2018-12-11T00:00:00"/>
    <x v="320"/>
    <x v="0"/>
    <d v="2018-12-22T00:00:00"/>
    <x v="0"/>
    <x v="0"/>
    <n v="1"/>
    <n v="1"/>
  </r>
  <r>
    <d v="2018-12-11T00:00:00"/>
    <n v="11541"/>
    <s v="WHPOA"/>
    <s v="Porto Alegre"/>
    <s v="RS"/>
    <n v="4032"/>
    <x v="34"/>
    <s v="Goiania"/>
    <s v="GO"/>
    <x v="1"/>
    <s v="GO"/>
    <n v="606.46"/>
    <n v="2"/>
    <n v="6.2229999999999999"/>
    <n v="6100231"/>
    <x v="1"/>
    <s v="Goiania"/>
    <s v="Convencional"/>
    <n v="12"/>
    <d v="2018-12-11T00:00:00"/>
    <x v="319"/>
    <x v="1"/>
    <d v="2018-12-23T00:00:00"/>
    <x v="0"/>
    <x v="1"/>
    <n v="0"/>
    <n v="1"/>
  </r>
  <r>
    <d v="2018-12-12T00:00:00"/>
    <n v="11542"/>
    <s v="WHSJC"/>
    <s v="Sao Jose dos Campos"/>
    <s v="SP"/>
    <n v="4084"/>
    <x v="72"/>
    <s v="Aracatuba"/>
    <s v="SP"/>
    <x v="2"/>
    <s v="SP"/>
    <n v="304.99"/>
    <n v="1"/>
    <n v="1.1200000000000001"/>
    <n v="6400835"/>
    <x v="3"/>
    <s v="Guarulhos"/>
    <s v="Convencional"/>
    <n v="12"/>
    <d v="2018-12-12T00:00:00"/>
    <x v="321"/>
    <x v="0"/>
    <d v="2018-12-24T00:00:00"/>
    <x v="0"/>
    <x v="0"/>
    <n v="1"/>
    <n v="1"/>
  </r>
  <r>
    <d v="2018-12-12T00:00:00"/>
    <n v="11543"/>
    <s v="WHVIT"/>
    <s v="Vitoria"/>
    <s v="ES"/>
    <n v="4024"/>
    <x v="21"/>
    <s v="Porto Alegre"/>
    <s v="RS"/>
    <x v="0"/>
    <s v="RS"/>
    <n v="4081.48"/>
    <n v="4"/>
    <n v="22.606999999999999"/>
    <n v="6500948"/>
    <x v="0"/>
    <s v="Porto Alegre"/>
    <s v="Convencional"/>
    <n v="9"/>
    <d v="2018-12-12T00:00:00"/>
    <x v="323"/>
    <x v="0"/>
    <d v="2018-12-21T00:00:00"/>
    <x v="0"/>
    <x v="0"/>
    <n v="1"/>
    <n v="1"/>
  </r>
  <r>
    <d v="2018-12-12T00:00:00"/>
    <n v="11544"/>
    <s v="WHPOA"/>
    <s v="Porto Alegre"/>
    <s v="RS"/>
    <n v="4017"/>
    <x v="10"/>
    <s v="Itajai"/>
    <s v="SC"/>
    <x v="0"/>
    <s v="SC"/>
    <n v="10783.93"/>
    <n v="6"/>
    <n v="66.66"/>
    <n v="6500948"/>
    <x v="0"/>
    <s v="Porto Alegre"/>
    <s v="Convencional"/>
    <n v="2"/>
    <d v="2018-12-12T00:00:00"/>
    <x v="324"/>
    <x v="1"/>
    <d v="2018-12-14T00:00:00"/>
    <x v="1"/>
    <x v="1"/>
    <n v="0"/>
    <n v="1"/>
  </r>
  <r>
    <d v="2018-12-14T00:00:00"/>
    <n v="11545"/>
    <s v="WHSAO"/>
    <s v="Sao Paulo"/>
    <s v="SP"/>
    <n v="4013"/>
    <x v="1"/>
    <s v="Blumenau"/>
    <s v="SC"/>
    <x v="0"/>
    <s v="SC"/>
    <n v="397.69"/>
    <n v="1"/>
    <n v="13.42"/>
    <n v="6500948"/>
    <x v="0"/>
    <s v="Porto Alegre"/>
    <s v="Convencional"/>
    <n v="10"/>
    <d v="2018-12-14T00:00:00"/>
    <x v="325"/>
    <x v="0"/>
    <d v="2018-12-24T00:00:00"/>
    <x v="0"/>
    <x v="0"/>
    <n v="1"/>
    <n v="1"/>
  </r>
  <r>
    <d v="2018-12-15T00:00:00"/>
    <n v="11546"/>
    <s v="WHVIT"/>
    <s v="Vitoria"/>
    <s v="ES"/>
    <n v="4128"/>
    <x v="116"/>
    <s v="Recife"/>
    <s v="PE"/>
    <x v="3"/>
    <s v="PE"/>
    <n v="136.13999999999999"/>
    <n v="1"/>
    <n v="0.30399999999999999"/>
    <n v="6900304"/>
    <x v="5"/>
    <s v="Fortaleza"/>
    <s v="Convencional"/>
    <n v="8"/>
    <d v="2018-12-15T00:00:00"/>
    <x v="326"/>
    <x v="0"/>
    <d v="2018-12-23T00:00:00"/>
    <x v="1"/>
    <x v="0"/>
    <n v="0"/>
    <n v="1"/>
  </r>
  <r>
    <d v="2018-12-15T00:00:00"/>
    <n v="11547"/>
    <s v="WHBH"/>
    <s v="Belo Horizonte"/>
    <s v="MG"/>
    <n v="4067"/>
    <x v="47"/>
    <s v="Brasilia"/>
    <s v="DF"/>
    <x v="1"/>
    <s v="DF"/>
    <n v="2068.65"/>
    <n v="3"/>
    <n v="4.9390000000000001"/>
    <n v="6100231"/>
    <x v="1"/>
    <s v="Goiania"/>
    <s v="Convencional"/>
    <n v="7"/>
    <d v="2018-12-15T00:00:00"/>
    <x v="324"/>
    <x v="0"/>
    <d v="2018-12-22T00:00:00"/>
    <x v="0"/>
    <x v="0"/>
    <n v="1"/>
    <n v="1"/>
  </r>
  <r>
    <d v="2018-12-15T00:00:00"/>
    <n v="11548"/>
    <s v="WHSAO"/>
    <s v="Sao Paulo"/>
    <s v="SP"/>
    <n v="4013"/>
    <x v="1"/>
    <s v="Blumenau"/>
    <s v="SC"/>
    <x v="0"/>
    <s v="SC"/>
    <n v="22.56"/>
    <n v="1"/>
    <n v="0.59799999999999998"/>
    <n v="6500948"/>
    <x v="0"/>
    <s v="Porto Alegre"/>
    <s v="Convencional"/>
    <n v="4"/>
    <d v="2018-12-15T00:00:00"/>
    <x v="325"/>
    <x v="0"/>
    <d v="2018-12-19T00:00:00"/>
    <x v="0"/>
    <x v="0"/>
    <n v="1"/>
    <n v="1"/>
  </r>
  <r>
    <d v="2018-12-15T00:00:00"/>
    <n v="11549"/>
    <s v="WHVIT"/>
    <s v="Vitoria"/>
    <s v="ES"/>
    <n v="4013"/>
    <x v="1"/>
    <s v="Blumenau"/>
    <s v="SC"/>
    <x v="0"/>
    <s v="SC"/>
    <n v="75.48"/>
    <n v="1"/>
    <n v="1.1200000000000001"/>
    <n v="6500948"/>
    <x v="0"/>
    <s v="Porto Alegre"/>
    <s v="Convencional"/>
    <n v="2"/>
    <d v="2018-12-15T00:00:00"/>
    <x v="327"/>
    <x v="0"/>
    <d v="2018-12-17T00:00:00"/>
    <x v="0"/>
    <x v="0"/>
    <n v="1"/>
    <n v="1"/>
  </r>
  <r>
    <d v="2018-12-15T00:00:00"/>
    <n v="11550"/>
    <s v="WHBH"/>
    <s v="Belo Horizonte"/>
    <s v="MG"/>
    <n v="4013"/>
    <x v="1"/>
    <s v="Blumenau"/>
    <s v="SC"/>
    <x v="0"/>
    <s v="SC"/>
    <n v="320.07"/>
    <n v="1"/>
    <n v="2.5299999999999998"/>
    <n v="6500948"/>
    <x v="0"/>
    <s v="Porto Alegre"/>
    <s v="Convencional"/>
    <n v="8"/>
    <d v="2018-12-15T00:00:00"/>
    <x v="328"/>
    <x v="0"/>
    <d v="2018-12-23T00:00:00"/>
    <x v="0"/>
    <x v="0"/>
    <n v="1"/>
    <n v="1"/>
  </r>
  <r>
    <d v="2018-12-15T00:00:00"/>
    <n v="11551"/>
    <s v="WHSJC"/>
    <s v="Sao Jose dos Campos"/>
    <s v="SP"/>
    <n v="4018"/>
    <x v="12"/>
    <s v="Sao Jose"/>
    <s v="SC"/>
    <x v="0"/>
    <s v="SC"/>
    <n v="284.64"/>
    <n v="1"/>
    <n v="13.42"/>
    <n v="6500948"/>
    <x v="0"/>
    <s v="Porto Alegre"/>
    <s v="Convencional"/>
    <n v="6"/>
    <d v="2018-12-15T00:00:00"/>
    <x v="329"/>
    <x v="0"/>
    <d v="2018-12-21T00:00:00"/>
    <x v="1"/>
    <x v="0"/>
    <n v="0"/>
    <n v="1"/>
  </r>
  <r>
    <d v="2018-12-15T00:00:00"/>
    <n v="11552"/>
    <s v="WHRJ"/>
    <s v="Rio De Janeiro"/>
    <s v="RJ"/>
    <n v="4022"/>
    <x v="19"/>
    <s v="Maringa"/>
    <s v="PR"/>
    <x v="0"/>
    <s v="PR"/>
    <n v="7405.81"/>
    <n v="3"/>
    <n v="12.535"/>
    <n v="6500948"/>
    <x v="0"/>
    <s v="Porto Alegre"/>
    <s v="Convencional"/>
    <n v="6"/>
    <d v="2018-12-15T00:00:00"/>
    <x v="325"/>
    <x v="0"/>
    <d v="2018-12-21T00:00:00"/>
    <x v="0"/>
    <x v="0"/>
    <n v="1"/>
    <n v="1"/>
  </r>
  <r>
    <d v="2018-12-16T00:00:00"/>
    <n v="11553"/>
    <s v="WHSJC"/>
    <s v="Sao Jose dos Campos"/>
    <s v="SP"/>
    <n v="4022"/>
    <x v="19"/>
    <s v="Maringa"/>
    <s v="PR"/>
    <x v="0"/>
    <s v="PR"/>
    <n v="597.25"/>
    <n v="1"/>
    <n v="1.069"/>
    <n v="6500948"/>
    <x v="0"/>
    <s v="Porto Alegre"/>
    <s v="Convencional"/>
    <n v="7"/>
    <d v="2018-12-16T00:00:00"/>
    <x v="325"/>
    <x v="0"/>
    <d v="2018-12-23T00:00:00"/>
    <x v="0"/>
    <x v="0"/>
    <n v="1"/>
    <n v="1"/>
  </r>
  <r>
    <d v="2018-12-17T00:00:00"/>
    <n v="11554"/>
    <s v="WHVIT"/>
    <s v="Vitoria"/>
    <s v="ES"/>
    <n v="4040"/>
    <x v="42"/>
    <s v="Brasilia"/>
    <s v="DF"/>
    <x v="1"/>
    <s v="DF"/>
    <n v="824.27"/>
    <n v="1"/>
    <n v="9.5079999999999991"/>
    <n v="6100231"/>
    <x v="1"/>
    <s v="Goiania"/>
    <s v="Convencional"/>
    <n v="4"/>
    <d v="2018-12-17T00:00:00"/>
    <x v="330"/>
    <x v="0"/>
    <d v="2018-12-21T00:00:00"/>
    <x v="1"/>
    <x v="0"/>
    <n v="0"/>
    <n v="1"/>
  </r>
  <r>
    <d v="2018-12-17T00:00:00"/>
    <n v="11555"/>
    <s v="WHSAO"/>
    <s v="Sao Paulo"/>
    <s v="SP"/>
    <n v="4055"/>
    <x v="45"/>
    <s v="Brasilia"/>
    <s v="DF"/>
    <x v="1"/>
    <s v="DF"/>
    <n v="1473.75"/>
    <n v="1"/>
    <n v="10.56"/>
    <n v="6100231"/>
    <x v="1"/>
    <s v="Goiania"/>
    <s v="Convencional"/>
    <n v="5"/>
    <d v="2018-12-17T00:00:00"/>
    <x v="331"/>
    <x v="0"/>
    <d v="2018-12-22T00:00:00"/>
    <x v="1"/>
    <x v="0"/>
    <n v="0"/>
    <n v="1"/>
  </r>
  <r>
    <d v="2018-12-17T00:00:00"/>
    <n v="11556"/>
    <s v="WHVIT"/>
    <s v="Vitoria"/>
    <s v="ES"/>
    <n v="4028"/>
    <x v="26"/>
    <s v="Sao Jose Dos Pinhais"/>
    <s v="PR"/>
    <x v="0"/>
    <s v="PR"/>
    <n v="951.97"/>
    <n v="1"/>
    <n v="1.1539999999999999"/>
    <n v="6500948"/>
    <x v="0"/>
    <s v="Porto Alegre"/>
    <s v="Convencional"/>
    <n v="7"/>
    <d v="2018-12-17T00:00:00"/>
    <x v="324"/>
    <x v="0"/>
    <d v="2018-12-24T00:00:00"/>
    <x v="0"/>
    <x v="0"/>
    <n v="1"/>
    <n v="1"/>
  </r>
  <r>
    <d v="2018-12-17T00:00:00"/>
    <n v="11557"/>
    <s v="WHCPQ"/>
    <s v="Campinas"/>
    <s v="SP"/>
    <n v="4030"/>
    <x v="30"/>
    <s v="Belo Horizonte"/>
    <s v="MG"/>
    <x v="2"/>
    <s v="MG"/>
    <n v="390.73"/>
    <n v="2"/>
    <n v="0.161"/>
    <n v="6600879"/>
    <x v="2"/>
    <s v="Belo Horizonte"/>
    <s v="Convencional"/>
    <n v="2"/>
    <d v="2018-12-17T00:00:00"/>
    <x v="330"/>
    <x v="0"/>
    <d v="2018-12-19T00:00:00"/>
    <x v="1"/>
    <x v="0"/>
    <n v="0"/>
    <n v="1"/>
  </r>
  <r>
    <d v="2018-12-17T00:00:00"/>
    <n v="11558"/>
    <s v="WHRJ"/>
    <s v="Rio De Janeiro"/>
    <s v="RJ"/>
    <n v="4055"/>
    <x v="45"/>
    <s v="Brasilia"/>
    <s v="DF"/>
    <x v="1"/>
    <s v="DF"/>
    <n v="87.01"/>
    <n v="1"/>
    <n v="0.121"/>
    <n v="6100231"/>
    <x v="1"/>
    <s v="Goiania"/>
    <s v="Convencional"/>
    <n v="4"/>
    <d v="2018-12-17T00:00:00"/>
    <x v="326"/>
    <x v="0"/>
    <d v="2018-12-21T00:00:00"/>
    <x v="1"/>
    <x v="0"/>
    <n v="0"/>
    <n v="1"/>
  </r>
  <r>
    <d v="2018-12-17T00:00:00"/>
    <n v="11559"/>
    <s v="WHCPQ"/>
    <s v="Campinas"/>
    <s v="SP"/>
    <n v="4028"/>
    <x v="26"/>
    <s v="Sao Jose Dos Pinhais"/>
    <s v="PR"/>
    <x v="0"/>
    <s v="PR"/>
    <n v="68.099999999999994"/>
    <n v="1"/>
    <n v="0.55700000000000005"/>
    <n v="6500948"/>
    <x v="0"/>
    <s v="Porto Alegre"/>
    <s v="Convencional"/>
    <n v="12"/>
    <d v="2018-12-17T00:00:00"/>
    <x v="329"/>
    <x v="0"/>
    <d v="2018-12-29T00:00:00"/>
    <x v="0"/>
    <x v="0"/>
    <n v="1"/>
    <n v="1"/>
  </r>
  <r>
    <d v="2018-12-17T00:00:00"/>
    <n v="11560"/>
    <s v="WHPOA"/>
    <s v="Porto Alegre"/>
    <s v="RS"/>
    <n v="4040"/>
    <x v="42"/>
    <s v="Brasilia"/>
    <s v="DF"/>
    <x v="1"/>
    <s v="DF"/>
    <n v="491.63"/>
    <n v="1"/>
    <n v="0.46200000000000002"/>
    <n v="6100231"/>
    <x v="1"/>
    <s v="Goiania"/>
    <s v="Convencional"/>
    <n v="6"/>
    <d v="2018-12-17T00:00:00"/>
    <x v="329"/>
    <x v="0"/>
    <d v="2018-12-23T00:00:00"/>
    <x v="1"/>
    <x v="0"/>
    <n v="0"/>
    <n v="1"/>
  </r>
  <r>
    <d v="2018-12-17T00:00:00"/>
    <n v="11561"/>
    <s v="WHRJ"/>
    <s v="Rio De Janeiro"/>
    <s v="RJ"/>
    <n v="4030"/>
    <x v="30"/>
    <s v="Belo Horizonte"/>
    <s v="MG"/>
    <x v="2"/>
    <s v="MG"/>
    <n v="1261.32"/>
    <n v="1"/>
    <n v="5.94"/>
    <n v="6600879"/>
    <x v="2"/>
    <s v="Belo Horizonte"/>
    <s v="Convencional"/>
    <n v="4"/>
    <d v="2018-12-17T00:00:00"/>
    <x v="324"/>
    <x v="0"/>
    <d v="2018-12-21T00:00:00"/>
    <x v="1"/>
    <x v="0"/>
    <n v="0"/>
    <n v="1"/>
  </r>
  <r>
    <d v="2018-12-18T00:00:00"/>
    <n v="11562"/>
    <s v="WHSAO"/>
    <s v="Sao Paulo"/>
    <s v="SP"/>
    <n v="4128"/>
    <x v="116"/>
    <s v="Recife"/>
    <s v="PE"/>
    <x v="3"/>
    <s v="PE"/>
    <n v="8934.9699999999993"/>
    <n v="2"/>
    <n v="31.367999999999999"/>
    <n v="6900304"/>
    <x v="5"/>
    <s v="Fortaleza"/>
    <s v="Convencional"/>
    <n v="12"/>
    <d v="2018-12-18T00:00:00"/>
    <x v="329"/>
    <x v="0"/>
    <d v="2018-12-30T00:00:00"/>
    <x v="0"/>
    <x v="0"/>
    <n v="1"/>
    <n v="1"/>
  </r>
  <r>
    <d v="2018-12-18T00:00:00"/>
    <n v="11563"/>
    <s v="WHSAO"/>
    <s v="Sao Paulo"/>
    <s v="SP"/>
    <n v="4105"/>
    <x v="93"/>
    <s v="Rio De Janeiro"/>
    <s v="RJ"/>
    <x v="2"/>
    <s v="RJ"/>
    <n v="11482.04"/>
    <n v="6"/>
    <n v="109.667"/>
    <n v="6140092"/>
    <x v="4"/>
    <s v="Rio de Janeiro"/>
    <s v="Convencional"/>
    <n v="7"/>
    <d v="2018-12-18T00:00:00"/>
    <x v="326"/>
    <x v="0"/>
    <d v="2018-12-25T00:00:00"/>
    <x v="0"/>
    <x v="0"/>
    <n v="1"/>
    <n v="1"/>
  </r>
  <r>
    <d v="2018-12-19T00:00:00"/>
    <n v="11564"/>
    <s v="WHCPQ"/>
    <s v="Campinas"/>
    <s v="SP"/>
    <n v="4060"/>
    <x v="56"/>
    <s v="Sinop"/>
    <s v="MT"/>
    <x v="1"/>
    <s v="MT"/>
    <n v="1249.96"/>
    <n v="2"/>
    <n v="14.843"/>
    <n v="6100231"/>
    <x v="1"/>
    <s v="Goiania"/>
    <s v="Convencional"/>
    <n v="11"/>
    <d v="2018-12-19T00:00:00"/>
    <x v="332"/>
    <x v="0"/>
    <d v="2018-12-30T00:00:00"/>
    <x v="0"/>
    <x v="0"/>
    <n v="1"/>
    <n v="1"/>
  </r>
  <r>
    <d v="2018-12-20T00:00:00"/>
    <n v="11565"/>
    <s v="WHBH"/>
    <s v="Belo Horizonte"/>
    <s v="MG"/>
    <n v="4132"/>
    <x v="120"/>
    <s v="Santos"/>
    <s v="SP"/>
    <x v="2"/>
    <s v="SP"/>
    <n v="202.88"/>
    <n v="1"/>
    <n v="0.40899999999999997"/>
    <n v="6400835"/>
    <x v="3"/>
    <s v="Guarulhos"/>
    <s v="Convencional"/>
    <n v="5"/>
    <d v="2018-12-20T00:00:00"/>
    <x v="331"/>
    <x v="0"/>
    <d v="2018-12-25T00:00:00"/>
    <x v="1"/>
    <x v="0"/>
    <n v="0"/>
    <n v="1"/>
  </r>
  <r>
    <d v="2018-12-20T00:00:00"/>
    <n v="11566"/>
    <s v="WHSAO"/>
    <s v="Sao Paulo"/>
    <s v="SP"/>
    <n v="4033"/>
    <x v="35"/>
    <s v="Goiania"/>
    <s v="GO"/>
    <x v="1"/>
    <s v="GO"/>
    <n v="8.35"/>
    <n v="1"/>
    <n v="6.0000000000000001E-3"/>
    <n v="6100231"/>
    <x v="1"/>
    <s v="Goiania"/>
    <s v="Convencional"/>
    <n v="6"/>
    <d v="2018-12-20T00:00:00"/>
    <x v="331"/>
    <x v="0"/>
    <d v="2018-12-26T00:00:00"/>
    <x v="1"/>
    <x v="0"/>
    <n v="0"/>
    <n v="1"/>
  </r>
  <r>
    <d v="2018-12-20T00:00:00"/>
    <n v="11567"/>
    <s v="WHBH"/>
    <s v="Belo Horizonte"/>
    <s v="MG"/>
    <n v="4128"/>
    <x v="116"/>
    <s v="Recife"/>
    <s v="PE"/>
    <x v="3"/>
    <s v="PE"/>
    <n v="4006.72"/>
    <n v="2"/>
    <n v="14.497999999999999"/>
    <n v="6900304"/>
    <x v="5"/>
    <s v="Fortaleza"/>
    <s v="Convencional"/>
    <n v="2"/>
    <d v="2018-12-20T00:00:00"/>
    <x v="333"/>
    <x v="0"/>
    <d v="2018-12-22T00:00:00"/>
    <x v="1"/>
    <x v="0"/>
    <n v="0"/>
    <n v="1"/>
  </r>
  <r>
    <d v="2018-12-20T00:00:00"/>
    <n v="11568"/>
    <s v="WHCPQ"/>
    <s v="Campinas"/>
    <s v="SP"/>
    <n v="4068"/>
    <x v="4"/>
    <s v="Campo Grande"/>
    <s v="MS"/>
    <x v="1"/>
    <s v="MS"/>
    <n v="168.8"/>
    <n v="1"/>
    <n v="1.1200000000000001"/>
    <n v="6100231"/>
    <x v="1"/>
    <s v="Goiania"/>
    <s v="Convencional"/>
    <n v="5"/>
    <d v="2018-12-20T00:00:00"/>
    <x v="329"/>
    <x v="0"/>
    <d v="2018-12-25T00:00:00"/>
    <x v="0"/>
    <x v="0"/>
    <n v="1"/>
    <n v="1"/>
  </r>
  <r>
    <d v="2018-12-20T00:00:00"/>
    <n v="11569"/>
    <s v="WHPOA"/>
    <s v="Porto Alegre"/>
    <s v="RS"/>
    <n v="4064"/>
    <x v="53"/>
    <s v="Presidente Prudente"/>
    <s v="SP"/>
    <x v="2"/>
    <s v="SP"/>
    <n v="810.64"/>
    <n v="1"/>
    <n v="0.86899999999999999"/>
    <n v="6400835"/>
    <x v="3"/>
    <s v="Guarulhos"/>
    <s v="Convencional"/>
    <n v="9"/>
    <d v="2018-12-20T00:00:00"/>
    <x v="328"/>
    <x v="0"/>
    <d v="2018-12-29T00:00:00"/>
    <x v="0"/>
    <x v="0"/>
    <n v="1"/>
    <n v="1"/>
  </r>
  <r>
    <d v="2018-12-20T00:00:00"/>
    <n v="11570"/>
    <s v="WHPOA"/>
    <s v="Porto Alegre"/>
    <s v="RS"/>
    <n v="4064"/>
    <x v="53"/>
    <s v="Presidente Prudente"/>
    <s v="SP"/>
    <x v="2"/>
    <s v="SP"/>
    <n v="41.23"/>
    <n v="1"/>
    <n v="0.193"/>
    <n v="6400835"/>
    <x v="3"/>
    <s v="Guarulhos"/>
    <s v="Convencional"/>
    <n v="5"/>
    <d v="2018-12-20T00:00:00"/>
    <x v="333"/>
    <x v="0"/>
    <d v="2018-12-25T00:00:00"/>
    <x v="1"/>
    <x v="0"/>
    <n v="0"/>
    <n v="1"/>
  </r>
  <r>
    <d v="2018-12-20T00:00:00"/>
    <n v="11571"/>
    <s v="WHBH"/>
    <s v="Belo Horizonte"/>
    <s v="MG"/>
    <n v="4064"/>
    <x v="53"/>
    <s v="Presidente Prudente"/>
    <s v="SP"/>
    <x v="2"/>
    <s v="SP"/>
    <n v="859.22"/>
    <n v="2"/>
    <n v="3.1589999999999998"/>
    <n v="6400835"/>
    <x v="3"/>
    <s v="Guarulhos"/>
    <s v="Convencional"/>
    <n v="3"/>
    <d v="2018-12-20T00:00:00"/>
    <x v="334"/>
    <x v="0"/>
    <d v="2018-12-23T00:00:00"/>
    <x v="1"/>
    <x v="0"/>
    <n v="0"/>
    <n v="1"/>
  </r>
  <r>
    <d v="2018-12-20T00:00:00"/>
    <n v="11572"/>
    <s v="WHRJ"/>
    <s v="Rio De Janeiro"/>
    <s v="RJ"/>
    <n v="4064"/>
    <x v="53"/>
    <s v="Presidente Prudente"/>
    <s v="SP"/>
    <x v="2"/>
    <s v="SP"/>
    <n v="7045.67"/>
    <n v="5"/>
    <n v="25.247"/>
    <n v="6400835"/>
    <x v="3"/>
    <s v="Guarulhos"/>
    <s v="Convencional"/>
    <n v="1"/>
    <d v="2018-12-20T00:00:00"/>
    <x v="330"/>
    <x v="0"/>
    <d v="2018-12-21T00:00:00"/>
    <x v="1"/>
    <x v="0"/>
    <n v="0"/>
    <n v="1"/>
  </r>
  <r>
    <d v="2018-12-20T00:00:00"/>
    <n v="11573"/>
    <s v="WHRJ"/>
    <s v="Rio De Janeiro"/>
    <s v="RJ"/>
    <n v="4064"/>
    <x v="53"/>
    <s v="Presidente Prudente"/>
    <s v="SP"/>
    <x v="2"/>
    <s v="SP"/>
    <n v="3649.35"/>
    <n v="3"/>
    <n v="2.0110000000000001"/>
    <n v="6400835"/>
    <x v="3"/>
    <s v="Guarulhos"/>
    <s v="Convencional"/>
    <n v="10"/>
    <d v="2018-12-20T00:00:00"/>
    <x v="331"/>
    <x v="0"/>
    <d v="2018-12-30T00:00:00"/>
    <x v="0"/>
    <x v="0"/>
    <n v="1"/>
    <n v="1"/>
  </r>
  <r>
    <d v="2018-12-20T00:00:00"/>
    <n v="11574"/>
    <s v="WHCPQ"/>
    <s v="Campinas"/>
    <s v="SP"/>
    <n v="4064"/>
    <x v="53"/>
    <s v="Presidente Prudente"/>
    <s v="SP"/>
    <x v="2"/>
    <s v="SP"/>
    <n v="187.3"/>
    <n v="2"/>
    <n v="0.82899999999999996"/>
    <n v="6400835"/>
    <x v="3"/>
    <s v="Guarulhos"/>
    <s v="Convencional"/>
    <n v="12"/>
    <d v="2018-12-20T00:00:00"/>
    <x v="330"/>
    <x v="0"/>
    <d v="2019-01-01T00:00:00"/>
    <x v="0"/>
    <x v="0"/>
    <n v="1"/>
    <n v="1"/>
  </r>
  <r>
    <d v="2018-12-20T00:00:00"/>
    <n v="11575"/>
    <s v="WHSJC"/>
    <s v="Sao Jose dos Campos"/>
    <s v="SP"/>
    <n v="4035"/>
    <x v="37"/>
    <s v="Brasilia"/>
    <s v="DF"/>
    <x v="1"/>
    <s v="DF"/>
    <n v="84.09"/>
    <n v="1"/>
    <n v="1.1200000000000001"/>
    <n v="6100231"/>
    <x v="1"/>
    <s v="Goiania"/>
    <s v="Convencional"/>
    <n v="9"/>
    <d v="2018-12-20T00:00:00"/>
    <x v="335"/>
    <x v="2"/>
    <d v="2018-12-29T00:00:00"/>
    <x v="1"/>
    <x v="1"/>
    <n v="0"/>
    <n v="1"/>
  </r>
  <r>
    <d v="2018-12-20T00:00:00"/>
    <n v="11576"/>
    <s v="WHSAO"/>
    <s v="Sao Paulo"/>
    <s v="SP"/>
    <n v="4064"/>
    <x v="53"/>
    <s v="Presidente Prudente"/>
    <s v="SP"/>
    <x v="2"/>
    <s v="SP"/>
    <n v="23246.33"/>
    <n v="9"/>
    <n v="179.51900000000001"/>
    <n v="6400835"/>
    <x v="3"/>
    <s v="Guarulhos"/>
    <s v="Convencional"/>
    <n v="7"/>
    <d v="2018-12-20T00:00:00"/>
    <x v="331"/>
    <x v="0"/>
    <d v="2018-12-27T00:00:00"/>
    <x v="0"/>
    <x v="0"/>
    <n v="1"/>
    <n v="1"/>
  </r>
  <r>
    <d v="2018-12-20T00:00:00"/>
    <n v="11577"/>
    <s v="WHBH"/>
    <s v="Belo Horizonte"/>
    <s v="MG"/>
    <n v="4064"/>
    <x v="53"/>
    <s v="Presidente Prudente"/>
    <s v="SP"/>
    <x v="2"/>
    <s v="SP"/>
    <n v="266.8"/>
    <n v="1"/>
    <n v="5.5E-2"/>
    <n v="6400835"/>
    <x v="3"/>
    <s v="Guarulhos"/>
    <s v="Convencional"/>
    <n v="6"/>
    <d v="2018-12-20T00:00:00"/>
    <x v="334"/>
    <x v="0"/>
    <d v="2018-12-26T00:00:00"/>
    <x v="1"/>
    <x v="0"/>
    <n v="0"/>
    <n v="1"/>
  </r>
  <r>
    <d v="2018-12-20T00:00:00"/>
    <n v="11578"/>
    <s v="WHSJC"/>
    <s v="Sao Jose dos Campos"/>
    <s v="SP"/>
    <n v="4064"/>
    <x v="53"/>
    <s v="Presidente Prudente"/>
    <s v="SP"/>
    <x v="2"/>
    <s v="SP"/>
    <n v="662.04"/>
    <n v="1"/>
    <n v="2.202"/>
    <n v="6400835"/>
    <x v="3"/>
    <s v="Guarulhos"/>
    <s v="Convencional"/>
    <n v="11"/>
    <d v="2018-12-20T00:00:00"/>
    <x v="324"/>
    <x v="0"/>
    <d v="2018-12-31T00:00:00"/>
    <x v="0"/>
    <x v="0"/>
    <n v="1"/>
    <n v="1"/>
  </r>
  <r>
    <d v="2018-12-20T00:00:00"/>
    <n v="11579"/>
    <s v="WHRJ"/>
    <s v="Rio De Janeiro"/>
    <s v="RJ"/>
    <n v="4022"/>
    <x v="19"/>
    <s v="Maringa"/>
    <s v="PR"/>
    <x v="0"/>
    <s v="PR"/>
    <n v="1355.78"/>
    <n v="2"/>
    <n v="14.757999999999999"/>
    <n v="6500948"/>
    <x v="0"/>
    <s v="Porto Alegre"/>
    <s v="Convencional"/>
    <n v="2"/>
    <d v="2018-12-20T00:00:00"/>
    <x v="333"/>
    <x v="0"/>
    <d v="2018-12-22T00:00:00"/>
    <x v="1"/>
    <x v="0"/>
    <n v="0"/>
    <n v="1"/>
  </r>
  <r>
    <d v="2018-12-20T00:00:00"/>
    <n v="11580"/>
    <s v="WHPOA"/>
    <s v="Porto Alegre"/>
    <s v="RS"/>
    <n v="4035"/>
    <x v="37"/>
    <s v="Brasilia"/>
    <s v="DF"/>
    <x v="1"/>
    <s v="DF"/>
    <n v="454.58"/>
    <n v="1"/>
    <n v="1.1200000000000001"/>
    <n v="6100231"/>
    <x v="1"/>
    <s v="Goiania"/>
    <s v="Convencional"/>
    <n v="3"/>
    <d v="2018-12-20T00:00:00"/>
    <x v="335"/>
    <x v="0"/>
    <d v="2018-12-23T00:00:00"/>
    <x v="1"/>
    <x v="0"/>
    <n v="0"/>
    <n v="1"/>
  </r>
  <r>
    <d v="2018-12-20T00:00:00"/>
    <n v="11581"/>
    <s v="WHSAO"/>
    <s v="Sao Paulo"/>
    <s v="SP"/>
    <n v="4064"/>
    <x v="53"/>
    <s v="Presidente Prudente"/>
    <s v="SP"/>
    <x v="2"/>
    <s v="SP"/>
    <n v="27.62"/>
    <n v="1"/>
    <n v="1.0999999999999999E-2"/>
    <n v="6400835"/>
    <x v="3"/>
    <s v="Guarulhos"/>
    <s v="Convencional"/>
    <n v="1"/>
    <d v="2018-12-20T00:00:00"/>
    <x v="332"/>
    <x v="0"/>
    <d v="2018-12-21T00:00:00"/>
    <x v="0"/>
    <x v="0"/>
    <n v="1"/>
    <n v="1"/>
  </r>
  <r>
    <d v="2018-12-20T00:00:00"/>
    <n v="11582"/>
    <s v="WHCPQ"/>
    <s v="Campinas"/>
    <s v="SP"/>
    <n v="4064"/>
    <x v="53"/>
    <s v="Presidente Prudente"/>
    <s v="SP"/>
    <x v="2"/>
    <s v="SP"/>
    <n v="5.32"/>
    <n v="1"/>
    <n v="0.41599999999999998"/>
    <n v="6400835"/>
    <x v="3"/>
    <s v="Guarulhos"/>
    <s v="Convencional"/>
    <n v="6"/>
    <d v="2018-12-20T00:00:00"/>
    <x v="332"/>
    <x v="2"/>
    <d v="2018-12-26T00:00:00"/>
    <x v="0"/>
    <x v="1"/>
    <n v="0"/>
    <n v="1"/>
  </r>
  <r>
    <d v="2018-12-20T00:00:00"/>
    <n v="11583"/>
    <s v="WHSJC"/>
    <s v="Sao Jose dos Campos"/>
    <s v="SP"/>
    <n v="4064"/>
    <x v="53"/>
    <s v="Presidente Prudente"/>
    <s v="SP"/>
    <x v="2"/>
    <s v="SP"/>
    <n v="18687.28"/>
    <n v="9"/>
    <n v="118.68899999999999"/>
    <n v="6400835"/>
    <x v="3"/>
    <s v="Guarulhos"/>
    <s v="Convencional"/>
    <n v="3"/>
    <d v="2018-12-20T00:00:00"/>
    <x v="324"/>
    <x v="0"/>
    <d v="2018-12-23T00:00:00"/>
    <x v="0"/>
    <x v="0"/>
    <n v="1"/>
    <n v="1"/>
  </r>
  <r>
    <d v="2018-12-20T00:00:00"/>
    <n v="11584"/>
    <s v="WHSJC"/>
    <s v="Sao Jose dos Campos"/>
    <s v="SP"/>
    <n v="4035"/>
    <x v="37"/>
    <s v="Brasilia"/>
    <s v="DF"/>
    <x v="1"/>
    <s v="DF"/>
    <n v="474"/>
    <n v="2"/>
    <n v="1.087"/>
    <n v="6100231"/>
    <x v="1"/>
    <s v="Goiania"/>
    <s v="Convencional"/>
    <n v="3"/>
    <d v="2018-12-20T00:00:00"/>
    <x v="335"/>
    <x v="0"/>
    <d v="2018-12-23T00:00:00"/>
    <x v="1"/>
    <x v="0"/>
    <n v="0"/>
    <n v="1"/>
  </r>
  <r>
    <d v="2018-12-20T00:00:00"/>
    <n v="11585"/>
    <s v="WHBH"/>
    <s v="Belo Horizonte"/>
    <s v="MG"/>
    <n v="4064"/>
    <x v="53"/>
    <s v="Presidente Prudente"/>
    <s v="SP"/>
    <x v="2"/>
    <s v="SP"/>
    <n v="239.96"/>
    <n v="2"/>
    <n v="0.20899999999999999"/>
    <n v="6400835"/>
    <x v="3"/>
    <s v="Guarulhos"/>
    <s v="Convencional"/>
    <n v="9"/>
    <d v="2018-12-20T00:00:00"/>
    <x v="330"/>
    <x v="2"/>
    <d v="2018-12-29T00:00:00"/>
    <x v="0"/>
    <x v="1"/>
    <n v="0"/>
    <n v="1"/>
  </r>
  <r>
    <d v="2018-12-20T00:00:00"/>
    <n v="11586"/>
    <s v="WHSAO"/>
    <s v="Sao Paulo"/>
    <s v="SP"/>
    <n v="4064"/>
    <x v="53"/>
    <s v="Presidente Prudente"/>
    <s v="SP"/>
    <x v="2"/>
    <s v="SP"/>
    <n v="238.27"/>
    <n v="1"/>
    <n v="0.54300000000000004"/>
    <n v="6400835"/>
    <x v="3"/>
    <s v="Guarulhos"/>
    <s v="Convencional"/>
    <n v="4"/>
    <d v="2018-12-20T00:00:00"/>
    <x v="324"/>
    <x v="0"/>
    <d v="2018-12-24T00:00:00"/>
    <x v="0"/>
    <x v="0"/>
    <n v="1"/>
    <n v="1"/>
  </r>
  <r>
    <d v="2018-12-20T00:00:00"/>
    <n v="11587"/>
    <s v="WHBH"/>
    <s v="Belo Horizonte"/>
    <s v="MG"/>
    <n v="4064"/>
    <x v="53"/>
    <s v="Presidente Prudente"/>
    <s v="SP"/>
    <x v="2"/>
    <s v="SP"/>
    <n v="208.69"/>
    <n v="1"/>
    <n v="0.22"/>
    <n v="6400835"/>
    <x v="3"/>
    <s v="Guarulhos"/>
    <s v="Convencional"/>
    <n v="4"/>
    <d v="2018-12-20T00:00:00"/>
    <x v="330"/>
    <x v="0"/>
    <d v="2018-12-24T00:00:00"/>
    <x v="1"/>
    <x v="0"/>
    <n v="0"/>
    <n v="1"/>
  </r>
  <r>
    <d v="2018-12-21T00:00:00"/>
    <n v="11588"/>
    <s v="WHCPQ"/>
    <s v="Campinas"/>
    <s v="SP"/>
    <n v="4084"/>
    <x v="72"/>
    <s v="Aracatuba"/>
    <s v="SP"/>
    <x v="2"/>
    <s v="SP"/>
    <n v="9159.06"/>
    <n v="5"/>
    <n v="70.518000000000001"/>
    <n v="6400835"/>
    <x v="3"/>
    <s v="Guarulhos"/>
    <s v="Convencional"/>
    <n v="5"/>
    <d v="2018-12-21T00:00:00"/>
    <x v="326"/>
    <x v="0"/>
    <d v="2018-12-26T00:00:00"/>
    <x v="0"/>
    <x v="0"/>
    <n v="1"/>
    <n v="1"/>
  </r>
  <r>
    <d v="2018-12-21T00:00:00"/>
    <n v="11589"/>
    <s v="WHCPQ"/>
    <s v="Campinas"/>
    <s v="SP"/>
    <n v="4133"/>
    <x v="121"/>
    <s v="Belo Horizonte"/>
    <s v="MG"/>
    <x v="2"/>
    <s v="MG"/>
    <n v="792.67"/>
    <n v="1"/>
    <n v="1.1200000000000001"/>
    <n v="6600879"/>
    <x v="2"/>
    <s v="Belo Horizonte"/>
    <s v="Convencional"/>
    <n v="10"/>
    <d v="2018-12-21T00:00:00"/>
    <x v="336"/>
    <x v="1"/>
    <d v="2018-12-31T00:00:00"/>
    <x v="0"/>
    <x v="1"/>
    <n v="0"/>
    <n v="1"/>
  </r>
  <r>
    <d v="2018-12-21T00:00:00"/>
    <n v="11590"/>
    <s v="WHBH"/>
    <s v="Belo Horizonte"/>
    <s v="MG"/>
    <n v="4013"/>
    <x v="1"/>
    <s v="Blumenau"/>
    <s v="SC"/>
    <x v="0"/>
    <s v="SC"/>
    <n v="244.68"/>
    <n v="1"/>
    <n v="5.5E-2"/>
    <n v="6500948"/>
    <x v="0"/>
    <s v="Porto Alegre"/>
    <s v="Convencional"/>
    <n v="7"/>
    <d v="2018-12-21T00:00:00"/>
    <x v="324"/>
    <x v="0"/>
    <d v="2018-12-28T00:00:00"/>
    <x v="0"/>
    <x v="0"/>
    <n v="1"/>
    <n v="1"/>
  </r>
  <r>
    <d v="2018-12-21T00:00:00"/>
    <n v="11591"/>
    <s v="WHPOA"/>
    <s v="Porto Alegre"/>
    <s v="RS"/>
    <n v="4013"/>
    <x v="1"/>
    <s v="Blumenau"/>
    <s v="SC"/>
    <x v="0"/>
    <s v="SC"/>
    <n v="538.57000000000005"/>
    <n v="1"/>
    <n v="2.202"/>
    <n v="6500948"/>
    <x v="0"/>
    <s v="Porto Alegre"/>
    <s v="Convencional"/>
    <n v="12"/>
    <d v="2018-12-21T00:00:00"/>
    <x v="335"/>
    <x v="0"/>
    <d v="2019-01-02T00:00:00"/>
    <x v="0"/>
    <x v="0"/>
    <n v="1"/>
    <n v="1"/>
  </r>
  <r>
    <d v="2018-12-21T00:00:00"/>
    <n v="11592"/>
    <s v="WHVIT"/>
    <s v="Vitoria"/>
    <s v="ES"/>
    <n v="4083"/>
    <x v="71"/>
    <s v="Sao Jose Do Rio Preto"/>
    <s v="SP"/>
    <x v="2"/>
    <s v="SP"/>
    <n v="24.27"/>
    <n v="1"/>
    <n v="6.0999999999999999E-2"/>
    <n v="6400835"/>
    <x v="3"/>
    <s v="Guarulhos"/>
    <s v="Urgente"/>
    <n v="5"/>
    <d v="2018-12-21T00:00:00"/>
    <x v="324"/>
    <x v="0"/>
    <d v="2018-12-26T00:00:00"/>
    <x v="0"/>
    <x v="0"/>
    <n v="1"/>
    <n v="1"/>
  </r>
  <r>
    <d v="2018-12-21T00:00:00"/>
    <n v="11593"/>
    <s v="WHBH"/>
    <s v="Belo Horizonte"/>
    <s v="MG"/>
    <n v="4083"/>
    <x v="71"/>
    <s v="Sao Jose Do Rio Preto"/>
    <s v="SP"/>
    <x v="2"/>
    <s v="SP"/>
    <n v="468.58"/>
    <n v="2"/>
    <n v="0.63800000000000001"/>
    <n v="6400835"/>
    <x v="3"/>
    <s v="Guarulhos"/>
    <s v="Convencional"/>
    <n v="2"/>
    <d v="2018-12-21T00:00:00"/>
    <x v="334"/>
    <x v="0"/>
    <d v="2018-12-23T00:00:00"/>
    <x v="1"/>
    <x v="0"/>
    <n v="0"/>
    <n v="1"/>
  </r>
  <r>
    <d v="2018-12-21T00:00:00"/>
    <n v="11594"/>
    <s v="WHSJC"/>
    <s v="Sao Jose dos Campos"/>
    <s v="SP"/>
    <n v="4083"/>
    <x v="71"/>
    <s v="Sao Jose Do Rio Preto"/>
    <s v="SP"/>
    <x v="2"/>
    <s v="SP"/>
    <n v="10460.49"/>
    <n v="4"/>
    <n v="71.381"/>
    <n v="6400835"/>
    <x v="3"/>
    <s v="Guarulhos"/>
    <s v="Convencional"/>
    <n v="4"/>
    <d v="2018-12-21T00:00:00"/>
    <x v="324"/>
    <x v="0"/>
    <d v="2018-12-25T00:00:00"/>
    <x v="0"/>
    <x v="0"/>
    <n v="1"/>
    <n v="1"/>
  </r>
  <r>
    <d v="2018-12-21T00:00:00"/>
    <n v="11595"/>
    <s v="WHCPQ"/>
    <s v="Campinas"/>
    <s v="SP"/>
    <n v="4083"/>
    <x v="71"/>
    <s v="Sao Jose Do Rio Preto"/>
    <s v="SP"/>
    <x v="2"/>
    <s v="SP"/>
    <n v="73.430000000000007"/>
    <n v="1"/>
    <n v="9.6000000000000002E-2"/>
    <n v="6400835"/>
    <x v="3"/>
    <s v="Guarulhos"/>
    <s v="Convencional"/>
    <n v="4"/>
    <d v="2018-12-21T00:00:00"/>
    <x v="328"/>
    <x v="0"/>
    <d v="2018-12-25T00:00:00"/>
    <x v="0"/>
    <x v="0"/>
    <n v="1"/>
    <n v="1"/>
  </r>
  <r>
    <d v="2018-12-21T00:00:00"/>
    <n v="11596"/>
    <s v="WHPOA"/>
    <s v="Porto Alegre"/>
    <s v="RS"/>
    <n v="4083"/>
    <x v="71"/>
    <s v="Sao Jose Do Rio Preto"/>
    <s v="SP"/>
    <x v="2"/>
    <s v="SP"/>
    <n v="1226.3"/>
    <n v="1"/>
    <n v="3.85"/>
    <n v="6400835"/>
    <x v="3"/>
    <s v="Guarulhos"/>
    <s v="Convencional"/>
    <n v="2"/>
    <d v="2018-12-21T00:00:00"/>
    <x v="334"/>
    <x v="0"/>
    <d v="2018-12-23T00:00:00"/>
    <x v="1"/>
    <x v="0"/>
    <n v="0"/>
    <n v="1"/>
  </r>
  <r>
    <d v="2018-12-21T00:00:00"/>
    <n v="11597"/>
    <s v="WHRJ"/>
    <s v="Rio De Janeiro"/>
    <s v="RJ"/>
    <n v="4083"/>
    <x v="71"/>
    <s v="Sao Jose Do Rio Preto"/>
    <s v="SP"/>
    <x v="2"/>
    <s v="SP"/>
    <n v="8873.16"/>
    <n v="4"/>
    <n v="42.262"/>
    <n v="6400835"/>
    <x v="3"/>
    <s v="Guarulhos"/>
    <s v="Convencional"/>
    <n v="8"/>
    <d v="2018-12-21T00:00:00"/>
    <x v="328"/>
    <x v="0"/>
    <d v="2018-12-29T00:00:00"/>
    <x v="0"/>
    <x v="0"/>
    <n v="1"/>
    <n v="1"/>
  </r>
  <r>
    <d v="2018-12-22T00:00:00"/>
    <n v="11598"/>
    <s v="WHVIT"/>
    <s v="Vitoria"/>
    <s v="ES"/>
    <n v="4130"/>
    <x v="118"/>
    <s v="Rio Grande do Sul"/>
    <s v="RS"/>
    <x v="0"/>
    <s v="RS"/>
    <n v="1031.8399999999999"/>
    <n v="2"/>
    <n v="4.048"/>
    <n v="6500948"/>
    <x v="0"/>
    <s v="Porto Alegre"/>
    <s v="Convencional"/>
    <n v="1"/>
    <d v="2018-12-22T00:00:00"/>
    <x v="329"/>
    <x v="0"/>
    <d v="2018-12-23T00:00:00"/>
    <x v="1"/>
    <x v="0"/>
    <n v="0"/>
    <n v="1"/>
  </r>
  <r>
    <d v="2018-12-22T00:00:00"/>
    <n v="11599"/>
    <s v="WHSJC"/>
    <s v="Sao Jose dos Campos"/>
    <s v="SP"/>
    <n v="4128"/>
    <x v="116"/>
    <s v="Recife"/>
    <s v="PE"/>
    <x v="3"/>
    <s v="PE"/>
    <n v="238.27"/>
    <n v="1"/>
    <n v="0.54300000000000004"/>
    <n v="6900304"/>
    <x v="5"/>
    <s v="Fortaleza"/>
    <s v="Convencional"/>
    <n v="3"/>
    <d v="2018-12-22T00:00:00"/>
    <x v="326"/>
    <x v="0"/>
    <d v="2018-12-25T00:00:00"/>
    <x v="0"/>
    <x v="0"/>
    <n v="1"/>
    <n v="1"/>
  </r>
  <r>
    <d v="2018-12-22T00:00:00"/>
    <n v="11600"/>
    <s v="WHCPQ"/>
    <s v="Campinas"/>
    <s v="SP"/>
    <n v="4023"/>
    <x v="20"/>
    <s v="Sao Jose"/>
    <s v="SC"/>
    <x v="0"/>
    <s v="SC"/>
    <n v="22.42"/>
    <n v="1"/>
    <n v="0.32300000000000001"/>
    <n v="6500948"/>
    <x v="0"/>
    <s v="Porto Alegre"/>
    <s v="Convencional"/>
    <n v="4"/>
    <d v="2018-12-22T00:00:00"/>
    <x v="333"/>
    <x v="0"/>
    <d v="2018-12-26T00:00:00"/>
    <x v="1"/>
    <x v="0"/>
    <n v="0"/>
    <n v="1"/>
  </r>
  <r>
    <d v="2018-12-26T00:00:00"/>
    <n v="11601"/>
    <s v="WHBH"/>
    <s v="Belo Horizonte"/>
    <s v="MG"/>
    <n v="4134"/>
    <x v="122"/>
    <s v="Rio Grande do Sul"/>
    <s v="RS"/>
    <x v="0"/>
    <s v="RS"/>
    <n v="4029.07"/>
    <n v="4"/>
    <n v="35.536000000000001"/>
    <n v="6500948"/>
    <x v="0"/>
    <s v="Porto Alegre"/>
    <s v="Convencional"/>
    <n v="1"/>
    <d v="2018-12-26T00:00:00"/>
    <x v="337"/>
    <x v="0"/>
    <d v="2018-12-27T00:00:00"/>
    <x v="1"/>
    <x v="0"/>
    <n v="0"/>
    <n v="1"/>
  </r>
  <r>
    <d v="2018-12-27T00:00:00"/>
    <n v="11602"/>
    <s v="WHSAO"/>
    <s v="Sao Paulo"/>
    <s v="SP"/>
    <n v="4023"/>
    <x v="20"/>
    <s v="Sao Jose"/>
    <s v="SC"/>
    <x v="0"/>
    <s v="SC"/>
    <n v="13.86"/>
    <n v="1"/>
    <n v="0.224"/>
    <n v="6500948"/>
    <x v="0"/>
    <s v="Porto Alegre"/>
    <s v="Convencional"/>
    <n v="8"/>
    <d v="2018-12-27T00:00:00"/>
    <x v="338"/>
    <x v="0"/>
    <d v="2019-01-04T00:00:00"/>
    <x v="0"/>
    <x v="0"/>
    <n v="1"/>
    <n v="1"/>
  </r>
  <r>
    <d v="2018-12-27T00:00:00"/>
    <n v="11603"/>
    <s v="WHPOA"/>
    <s v="Porto Alegre"/>
    <s v="RS"/>
    <n v="4013"/>
    <x v="1"/>
    <s v="Blumenau"/>
    <s v="SC"/>
    <x v="0"/>
    <s v="SC"/>
    <n v="252.4"/>
    <n v="1"/>
    <n v="0.54600000000000004"/>
    <n v="6500948"/>
    <x v="0"/>
    <s v="Porto Alegre"/>
    <s v="Convencional"/>
    <n v="5"/>
    <d v="2018-12-27T00:00:00"/>
    <x v="339"/>
    <x v="0"/>
    <d v="2019-01-01T00:00:00"/>
    <x v="1"/>
    <x v="0"/>
    <n v="0"/>
    <n v="1"/>
  </r>
  <r>
    <d v="2018-12-27T00:00:00"/>
    <n v="11604"/>
    <s v="WHSJC"/>
    <s v="Sao Jose dos Campos"/>
    <s v="SP"/>
    <n v="4013"/>
    <x v="1"/>
    <s v="Blumenau"/>
    <s v="SC"/>
    <x v="0"/>
    <s v="SC"/>
    <n v="2457.98"/>
    <n v="6"/>
    <n v="8.4670000000000005"/>
    <n v="6500948"/>
    <x v="0"/>
    <s v="Porto Alegre"/>
    <s v="Convencional"/>
    <n v="7"/>
    <d v="2018-12-27T00:00:00"/>
    <x v="340"/>
    <x v="0"/>
    <d v="2019-01-03T00:00:00"/>
    <x v="1"/>
    <x v="0"/>
    <n v="0"/>
    <n v="1"/>
  </r>
  <r>
    <d v="2018-12-27T00:00:00"/>
    <n v="11605"/>
    <s v="WHPOA"/>
    <s v="Porto Alegre"/>
    <s v="RS"/>
    <n v="4032"/>
    <x v="34"/>
    <s v="Goiania"/>
    <s v="GO"/>
    <x v="1"/>
    <s v="GO"/>
    <n v="354.4"/>
    <n v="3"/>
    <n v="0.85499999999999998"/>
    <n v="6100231"/>
    <x v="1"/>
    <s v="Goiania"/>
    <s v="Convencional"/>
    <n v="7"/>
    <d v="2018-12-27T00:00:00"/>
    <x v="333"/>
    <x v="0"/>
    <d v="2019-01-03T00:00:00"/>
    <x v="0"/>
    <x v="0"/>
    <n v="1"/>
    <n v="1"/>
  </r>
  <r>
    <d v="2018-12-27T00:00:00"/>
    <n v="11606"/>
    <s v="WHCPQ"/>
    <s v="Campinas"/>
    <s v="SP"/>
    <n v="4135"/>
    <x v="123"/>
    <s v="Recife"/>
    <s v="PE"/>
    <x v="3"/>
    <s v="PE"/>
    <n v="1268.51"/>
    <n v="1"/>
    <n v="11.837999999999999"/>
    <n v="6900304"/>
    <x v="5"/>
    <s v="Fortaleza"/>
    <s v="Convencional"/>
    <n v="8"/>
    <d v="2018-12-27T00:00:00"/>
    <x v="340"/>
    <x v="0"/>
    <d v="2019-01-04T00:00:00"/>
    <x v="1"/>
    <x v="0"/>
    <n v="0"/>
    <n v="1"/>
  </r>
  <r>
    <d v="2018-12-27T00:00:00"/>
    <n v="11607"/>
    <s v="WHSAO"/>
    <s v="Sao Paulo"/>
    <s v="SP"/>
    <n v="4135"/>
    <x v="123"/>
    <s v="Recife"/>
    <s v="PE"/>
    <x v="3"/>
    <s v="PE"/>
    <n v="4909.88"/>
    <n v="3"/>
    <n v="31.396000000000001"/>
    <n v="6900304"/>
    <x v="5"/>
    <s v="Fortaleza"/>
    <s v="Convencional"/>
    <n v="2"/>
    <d v="2018-12-27T00:00:00"/>
    <x v="341"/>
    <x v="0"/>
    <d v="2018-12-29T00:00:00"/>
    <x v="1"/>
    <x v="0"/>
    <n v="0"/>
    <n v="1"/>
  </r>
  <r>
    <d v="2018-12-27T00:00:00"/>
    <n v="11608"/>
    <s v="WHSJC"/>
    <s v="Sao Jose dos Campos"/>
    <s v="SP"/>
    <n v="4135"/>
    <x v="123"/>
    <s v="Recife"/>
    <s v="PE"/>
    <x v="3"/>
    <s v="PE"/>
    <n v="206.63"/>
    <n v="1"/>
    <n v="0.44700000000000001"/>
    <n v="6900304"/>
    <x v="5"/>
    <s v="Fortaleza"/>
    <s v="Convencional"/>
    <n v="9"/>
    <d v="2018-12-27T00:00:00"/>
    <x v="335"/>
    <x v="0"/>
    <d v="2019-01-05T00:00:00"/>
    <x v="0"/>
    <x v="0"/>
    <n v="1"/>
    <n v="1"/>
  </r>
  <r>
    <d v="2018-12-27T00:00:00"/>
    <n v="11609"/>
    <s v="WHBH"/>
    <s v="Belo Horizonte"/>
    <s v="MG"/>
    <n v="4135"/>
    <x v="123"/>
    <s v="Recife"/>
    <s v="PE"/>
    <x v="3"/>
    <s v="PE"/>
    <n v="664.75"/>
    <n v="1"/>
    <n v="0.52800000000000002"/>
    <n v="6900304"/>
    <x v="5"/>
    <s v="Fortaleza"/>
    <s v="Convencional"/>
    <n v="12"/>
    <d v="2018-12-27T00:00:00"/>
    <x v="341"/>
    <x v="0"/>
    <d v="2019-01-08T00:00:00"/>
    <x v="0"/>
    <x v="0"/>
    <n v="1"/>
    <n v="1"/>
  </r>
  <r>
    <d v="2018-12-28T00:00:00"/>
    <n v="11610"/>
    <s v="WHBH"/>
    <s v="Belo Horizonte"/>
    <s v="MG"/>
    <n v="4014"/>
    <x v="3"/>
    <s v="Ipatinga"/>
    <s v="MG"/>
    <x v="2"/>
    <s v="MG"/>
    <n v="72.540000000000006"/>
    <n v="2"/>
    <n v="1.7000000000000001E-2"/>
    <n v="6600879"/>
    <x v="2"/>
    <s v="Belo Horizonte"/>
    <s v="Convencional"/>
    <n v="8"/>
    <d v="2018-12-28T00:00:00"/>
    <x v="339"/>
    <x v="0"/>
    <d v="2019-01-05T00:00:00"/>
    <x v="1"/>
    <x v="0"/>
    <n v="0"/>
    <n v="1"/>
  </r>
  <r>
    <d v="2018-12-28T00:00:00"/>
    <n v="11611"/>
    <s v="WHBH"/>
    <s v="Belo Horizonte"/>
    <s v="MG"/>
    <n v="4014"/>
    <x v="3"/>
    <s v="Ipatinga"/>
    <s v="MG"/>
    <x v="2"/>
    <s v="MG"/>
    <n v="487.86"/>
    <n v="1"/>
    <n v="3.4929999999999999"/>
    <n v="6600879"/>
    <x v="2"/>
    <s v="Belo Horizonte"/>
    <s v="Convencional"/>
    <n v="9"/>
    <d v="2018-12-28T00:00:00"/>
    <x v="339"/>
    <x v="0"/>
    <d v="2019-01-06T00:00:00"/>
    <x v="0"/>
    <x v="0"/>
    <n v="1"/>
    <n v="1"/>
  </r>
  <r>
    <d v="2018-12-28T00:00:00"/>
    <n v="11612"/>
    <s v="WHVIT"/>
    <s v="Vitoria"/>
    <s v="ES"/>
    <n v="4014"/>
    <x v="3"/>
    <s v="Ipatinga"/>
    <s v="MG"/>
    <x v="2"/>
    <s v="MG"/>
    <n v="59.55"/>
    <n v="2"/>
    <n v="0.13300000000000001"/>
    <n v="6600879"/>
    <x v="2"/>
    <s v="Belo Horizonte"/>
    <s v="Convencional"/>
    <n v="3"/>
    <d v="2018-12-28T00:00:00"/>
    <x v="337"/>
    <x v="0"/>
    <d v="2018-12-31T00:00:00"/>
    <x v="1"/>
    <x v="0"/>
    <n v="0"/>
    <n v="1"/>
  </r>
  <r>
    <d v="2018-12-28T00:00:00"/>
    <n v="11613"/>
    <s v="WHVIT"/>
    <s v="Vitoria"/>
    <s v="ES"/>
    <n v="4022"/>
    <x v="19"/>
    <s v="Maringa"/>
    <s v="PR"/>
    <x v="0"/>
    <s v="PR"/>
    <n v="53.53"/>
    <n v="2"/>
    <n v="0.16300000000000001"/>
    <n v="6500948"/>
    <x v="0"/>
    <s v="Porto Alegre"/>
    <s v="Convencional"/>
    <n v="7"/>
    <d v="2018-12-28T00:00:00"/>
    <x v="337"/>
    <x v="0"/>
    <d v="2019-01-04T00:00:00"/>
    <x v="0"/>
    <x v="0"/>
    <n v="1"/>
    <n v="1"/>
  </r>
  <r>
    <d v="2018-12-29T00:00:00"/>
    <n v="11614"/>
    <s v="WHSAO"/>
    <s v="Sao Paulo"/>
    <s v="SP"/>
    <n v="4037"/>
    <x v="39"/>
    <s v="Brasilia"/>
    <s v="DF"/>
    <x v="1"/>
    <s v="DF"/>
    <n v="246.35"/>
    <n v="1"/>
    <n v="0.17100000000000001"/>
    <n v="6100231"/>
    <x v="1"/>
    <s v="Goiania"/>
    <s v="Convencional"/>
    <n v="2"/>
    <d v="2018-12-29T00:00:00"/>
    <x v="342"/>
    <x v="0"/>
    <d v="2018-12-31T00:00:00"/>
    <x v="1"/>
    <x v="0"/>
    <n v="0"/>
    <n v="1"/>
  </r>
  <r>
    <d v="2018-12-29T00:00:00"/>
    <n v="11615"/>
    <s v="WHPOA"/>
    <s v="Porto Alegre"/>
    <s v="RS"/>
    <n v="4037"/>
    <x v="39"/>
    <s v="Brasilia"/>
    <s v="DF"/>
    <x v="1"/>
    <s v="DF"/>
    <n v="65.38"/>
    <n v="1"/>
    <n v="0.308"/>
    <n v="6100231"/>
    <x v="1"/>
    <s v="Goiania"/>
    <s v="Convencional"/>
    <n v="9"/>
    <d v="2018-12-29T00:00:00"/>
    <x v="341"/>
    <x v="0"/>
    <d v="2019-01-07T00:00:00"/>
    <x v="0"/>
    <x v="0"/>
    <n v="1"/>
    <n v="1"/>
  </r>
  <r>
    <d v="2018-12-30T00:00:00"/>
    <n v="11616"/>
    <s v="WHSAO"/>
    <s v="Sao Paulo"/>
    <s v="SP"/>
    <n v="4018"/>
    <x v="12"/>
    <s v="Sao Jose"/>
    <s v="SC"/>
    <x v="0"/>
    <s v="SC"/>
    <n v="671.02"/>
    <n v="2"/>
    <n v="1.9370000000000001"/>
    <n v="6500948"/>
    <x v="0"/>
    <s v="Porto Alegre"/>
    <s v="Convencional"/>
    <n v="10"/>
    <d v="2018-12-30T00:00:00"/>
    <x v="341"/>
    <x v="0"/>
    <d v="2019-01-09T00:00:00"/>
    <x v="0"/>
    <x v="0"/>
    <n v="1"/>
    <n v="1"/>
  </r>
  <r>
    <d v="2018-12-30T00:00:00"/>
    <n v="11617"/>
    <s v="WHVIT"/>
    <s v="Vitoria"/>
    <s v="ES"/>
    <n v="4044"/>
    <x v="48"/>
    <s v="Belo Horizonte"/>
    <s v="MG"/>
    <x v="2"/>
    <s v="MG"/>
    <n v="1515.76"/>
    <n v="1"/>
    <n v="5.6130000000000004"/>
    <n v="6600879"/>
    <x v="2"/>
    <s v="Belo Horizonte"/>
    <s v="Convencional"/>
    <n v="5"/>
    <d v="2018-12-30T00:00:00"/>
    <x v="342"/>
    <x v="0"/>
    <d v="2019-01-04T00:00:00"/>
    <x v="1"/>
    <x v="0"/>
    <n v="0"/>
    <n v="1"/>
  </r>
  <r>
    <d v="2018-12-30T00:00:00"/>
    <n v="11618"/>
    <s v="WHVIT"/>
    <s v="Vitoria"/>
    <s v="ES"/>
    <n v="4045"/>
    <x v="49"/>
    <s v="Belo Horizonte"/>
    <s v="MG"/>
    <x v="2"/>
    <s v="MG"/>
    <n v="7525.54"/>
    <n v="1"/>
    <n v="14.308"/>
    <n v="6600879"/>
    <x v="2"/>
    <s v="Belo Horizonte"/>
    <s v="Convencional"/>
    <n v="8"/>
    <d v="2018-12-30T00:00:00"/>
    <x v="343"/>
    <x v="0"/>
    <d v="2019-01-07T00:00:00"/>
    <x v="1"/>
    <x v="0"/>
    <n v="0"/>
    <n v="1"/>
  </r>
  <r>
    <d v="2018-12-30T00:00:00"/>
    <n v="11619"/>
    <s v="WHCPQ"/>
    <s v="Campinas"/>
    <s v="SP"/>
    <n v="4044"/>
    <x v="48"/>
    <s v="Belo Horizonte"/>
    <s v="MG"/>
    <x v="2"/>
    <s v="MG"/>
    <n v="13978.3"/>
    <n v="2"/>
    <n v="25.753"/>
    <n v="6600879"/>
    <x v="2"/>
    <s v="Belo Horizonte"/>
    <s v="Convencional"/>
    <n v="7"/>
    <d v="2018-12-30T00:00:00"/>
    <x v="340"/>
    <x v="0"/>
    <d v="2019-01-06T00:00:00"/>
    <x v="0"/>
    <x v="0"/>
    <n v="1"/>
    <n v="1"/>
  </r>
  <r>
    <d v="2018-12-30T00:00:00"/>
    <n v="11620"/>
    <s v="WHSAO"/>
    <s v="Sao Paulo"/>
    <s v="SP"/>
    <n v="4045"/>
    <x v="49"/>
    <s v="Belo Horizonte"/>
    <s v="MG"/>
    <x v="2"/>
    <s v="MG"/>
    <n v="8244.2000000000007"/>
    <n v="2"/>
    <n v="48.567"/>
    <n v="6600879"/>
    <x v="2"/>
    <s v="Belo Horizonte"/>
    <s v="Convencional"/>
    <n v="12"/>
    <d v="2018-12-30T00:00:00"/>
    <x v="344"/>
    <x v="0"/>
    <d v="2019-01-11T00:00:00"/>
    <x v="0"/>
    <x v="0"/>
    <n v="1"/>
    <n v="1"/>
  </r>
  <r>
    <d v="2018-12-30T00:00:00"/>
    <n v="11621"/>
    <s v="WHBH"/>
    <s v="Belo Horizonte"/>
    <s v="MG"/>
    <n v="4045"/>
    <x v="49"/>
    <s v="Belo Horizonte"/>
    <s v="MG"/>
    <x v="2"/>
    <s v="MG"/>
    <n v="1308.19"/>
    <n v="1"/>
    <n v="1.1200000000000001"/>
    <n v="6600879"/>
    <x v="2"/>
    <s v="Belo Horizonte"/>
    <s v="Convencional"/>
    <n v="7"/>
    <d v="2018-12-30T00:00:00"/>
    <x v="345"/>
    <x v="0"/>
    <d v="2019-01-06T00:00:00"/>
    <x v="0"/>
    <x v="0"/>
    <n v="1"/>
    <n v="1"/>
  </r>
  <r>
    <d v="2018-12-30T00:00:00"/>
    <n v="11622"/>
    <s v="WHCPQ"/>
    <s v="Campinas"/>
    <s v="SP"/>
    <n v="4044"/>
    <x v="48"/>
    <s v="Belo Horizonte"/>
    <s v="MG"/>
    <x v="2"/>
    <s v="MG"/>
    <n v="5287.17"/>
    <n v="3"/>
    <n v="12.169"/>
    <n v="6600879"/>
    <x v="2"/>
    <s v="Belo Horizonte"/>
    <s v="Convencional"/>
    <n v="7"/>
    <d v="2018-12-30T00:00:00"/>
    <x v="342"/>
    <x v="0"/>
    <d v="2019-01-06T00:00:00"/>
    <x v="1"/>
    <x v="0"/>
    <n v="0"/>
    <n v="1"/>
  </r>
  <r>
    <d v="2018-12-31T00:00:00"/>
    <n v="11623"/>
    <s v="WHVIT"/>
    <s v="Vitoria"/>
    <s v="ES"/>
    <n v="4045"/>
    <x v="49"/>
    <s v="Belo Horizonte"/>
    <s v="MG"/>
    <x v="2"/>
    <s v="MG"/>
    <n v="275.86"/>
    <n v="1"/>
    <n v="0.19400000000000001"/>
    <n v="6600879"/>
    <x v="2"/>
    <s v="Belo Horizonte"/>
    <s v="Convencional"/>
    <n v="4"/>
    <d v="2018-12-31T00:00:00"/>
    <x v="343"/>
    <x v="0"/>
    <d v="2019-01-04T00:00:00"/>
    <x v="1"/>
    <x v="0"/>
    <n v="0"/>
    <n v="1"/>
  </r>
  <r>
    <d v="2018-12-31T00:00:00"/>
    <n v="11624"/>
    <s v="WHRJ"/>
    <s v="Rio De Janeiro"/>
    <s v="RJ"/>
    <n v="4045"/>
    <x v="49"/>
    <s v="Belo Horizonte"/>
    <s v="MG"/>
    <x v="2"/>
    <s v="MG"/>
    <n v="1474.92"/>
    <n v="1"/>
    <n v="4.968"/>
    <n v="6600879"/>
    <x v="2"/>
    <s v="Belo Horizonte"/>
    <s v="Convencional"/>
    <n v="11"/>
    <d v="2018-12-31T00:00:00"/>
    <x v="340"/>
    <x v="0"/>
    <d v="2019-01-11T00:00:00"/>
    <x v="0"/>
    <x v="0"/>
    <n v="1"/>
    <n v="1"/>
  </r>
  <r>
    <d v="2018-12-31T00:00:00"/>
    <n v="11625"/>
    <s v="WHSJC"/>
    <s v="Sao Jose dos Campos"/>
    <s v="SP"/>
    <n v="4045"/>
    <x v="49"/>
    <s v="Belo Horizonte"/>
    <s v="MG"/>
    <x v="2"/>
    <s v="MG"/>
    <n v="10319.92"/>
    <n v="2"/>
    <n v="35.707999999999998"/>
    <n v="6600879"/>
    <x v="2"/>
    <s v="Belo Horizonte"/>
    <s v="Convencional"/>
    <n v="6"/>
    <d v="2018-12-31T00:00:00"/>
    <x v="340"/>
    <x v="0"/>
    <d v="2019-01-06T00:00:00"/>
    <x v="0"/>
    <x v="0"/>
    <n v="1"/>
    <n v="1"/>
  </r>
  <r>
    <d v="2019-01-02T00:00:00"/>
    <n v="11626"/>
    <s v="WHVIT"/>
    <s v="Vitoria"/>
    <s v="ES"/>
    <n v="4022"/>
    <x v="19"/>
    <s v="Maringa"/>
    <s v="PR"/>
    <x v="0"/>
    <s v="PR"/>
    <n v="348.89"/>
    <n v="1"/>
    <n v="1.1200000000000001"/>
    <n v="6500948"/>
    <x v="0"/>
    <s v="Porto Alegre"/>
    <s v="Convencional"/>
    <n v="2"/>
    <d v="2019-01-02T00:00:00"/>
    <x v="340"/>
    <x v="0"/>
    <d v="2019-01-04T00:00:00"/>
    <x v="1"/>
    <x v="0"/>
    <n v="0"/>
    <n v="1"/>
  </r>
  <r>
    <d v="2019-01-03T00:00:00"/>
    <n v="11627"/>
    <s v="WHSJC"/>
    <s v="Sao Jose dos Campos"/>
    <s v="SP"/>
    <n v="4049"/>
    <x v="43"/>
    <s v="Taguatinga"/>
    <s v="DF"/>
    <x v="1"/>
    <s v="DF"/>
    <n v="418.59"/>
    <n v="1"/>
    <n v="3.222"/>
    <n v="6100231"/>
    <x v="1"/>
    <s v="Goiania"/>
    <s v="Convencional"/>
    <n v="10"/>
    <d v="2019-01-03T00:00:00"/>
    <x v="339"/>
    <x v="0"/>
    <d v="2019-01-13T00:00:00"/>
    <x v="0"/>
    <x v="0"/>
    <n v="1"/>
    <n v="1"/>
  </r>
  <r>
    <d v="2019-01-03T00:00:00"/>
    <n v="11628"/>
    <s v="WHBH"/>
    <s v="Belo Horizonte"/>
    <s v="MG"/>
    <n v="4049"/>
    <x v="43"/>
    <s v="Taguatinga"/>
    <s v="DF"/>
    <x v="1"/>
    <s v="DF"/>
    <n v="1613.18"/>
    <n v="1"/>
    <n v="2.7519999999999998"/>
    <n v="6100231"/>
    <x v="1"/>
    <s v="Goiania"/>
    <s v="Convencional"/>
    <n v="9"/>
    <d v="2019-01-03T00:00:00"/>
    <x v="346"/>
    <x v="0"/>
    <d v="2019-01-12T00:00:00"/>
    <x v="1"/>
    <x v="0"/>
    <n v="0"/>
    <n v="1"/>
  </r>
  <r>
    <d v="2019-01-03T00:00:00"/>
    <n v="11629"/>
    <s v="WHVIT"/>
    <s v="Vitoria"/>
    <s v="ES"/>
    <n v="4049"/>
    <x v="43"/>
    <s v="Taguatinga"/>
    <s v="DF"/>
    <x v="1"/>
    <s v="DF"/>
    <n v="3360.9"/>
    <n v="1"/>
    <n v="1.1060000000000001"/>
    <n v="6100231"/>
    <x v="1"/>
    <s v="Goiania"/>
    <s v="Convencional"/>
    <n v="9"/>
    <d v="2019-01-03T00:00:00"/>
    <x v="344"/>
    <x v="0"/>
    <d v="2019-01-12T00:00:00"/>
    <x v="0"/>
    <x v="0"/>
    <n v="1"/>
    <n v="1"/>
  </r>
  <r>
    <d v="2019-01-03T00:00:00"/>
    <n v="11630"/>
    <s v="WHSJC"/>
    <s v="Sao Jose dos Campos"/>
    <s v="SP"/>
    <n v="4049"/>
    <x v="43"/>
    <s v="Taguatinga"/>
    <s v="DF"/>
    <x v="1"/>
    <s v="DF"/>
    <n v="612.49"/>
    <n v="1"/>
    <n v="1.1200000000000001"/>
    <n v="6100231"/>
    <x v="1"/>
    <s v="Goiania"/>
    <s v="Convencional"/>
    <n v="11"/>
    <d v="2019-01-03T00:00:00"/>
    <x v="347"/>
    <x v="0"/>
    <d v="2019-01-14T00:00:00"/>
    <x v="0"/>
    <x v="0"/>
    <n v="1"/>
    <n v="1"/>
  </r>
  <r>
    <d v="2019-01-03T00:00:00"/>
    <n v="11631"/>
    <s v="WHRJ"/>
    <s v="Rio De Janeiro"/>
    <s v="RJ"/>
    <n v="4049"/>
    <x v="43"/>
    <s v="Taguatinga"/>
    <s v="DF"/>
    <x v="1"/>
    <s v="DF"/>
    <n v="2874.04"/>
    <n v="1"/>
    <n v="6.2110000000000003"/>
    <n v="6100231"/>
    <x v="1"/>
    <s v="Goiania"/>
    <s v="Convencional"/>
    <n v="11"/>
    <d v="2019-01-03T00:00:00"/>
    <x v="337"/>
    <x v="0"/>
    <d v="2019-01-14T00:00:00"/>
    <x v="0"/>
    <x v="0"/>
    <n v="1"/>
    <n v="1"/>
  </r>
  <r>
    <d v="2019-01-03T00:00:00"/>
    <n v="11632"/>
    <s v="WHPOA"/>
    <s v="Porto Alegre"/>
    <s v="RS"/>
    <n v="4049"/>
    <x v="43"/>
    <s v="Taguatinga"/>
    <s v="DF"/>
    <x v="1"/>
    <s v="DF"/>
    <n v="2434.41"/>
    <n v="3"/>
    <n v="16.024999999999999"/>
    <n v="6100231"/>
    <x v="1"/>
    <s v="Goiania"/>
    <s v="Convencional"/>
    <n v="7"/>
    <d v="2019-01-03T00:00:00"/>
    <x v="339"/>
    <x v="0"/>
    <d v="2019-01-10T00:00:00"/>
    <x v="0"/>
    <x v="0"/>
    <n v="1"/>
    <n v="1"/>
  </r>
  <r>
    <d v="2019-01-03T00:00:00"/>
    <n v="11633"/>
    <s v="WHVIT"/>
    <s v="Vitoria"/>
    <s v="ES"/>
    <n v="4049"/>
    <x v="43"/>
    <s v="Taguatinga"/>
    <s v="DF"/>
    <x v="1"/>
    <s v="DF"/>
    <n v="542.33000000000004"/>
    <n v="1"/>
    <n v="1.1200000000000001"/>
    <n v="6100231"/>
    <x v="1"/>
    <s v="Goiania"/>
    <s v="Convencional"/>
    <n v="3"/>
    <d v="2019-01-03T00:00:00"/>
    <x v="348"/>
    <x v="0"/>
    <d v="2019-01-06T00:00:00"/>
    <x v="1"/>
    <x v="0"/>
    <n v="0"/>
    <n v="1"/>
  </r>
  <r>
    <d v="2019-01-03T00:00:00"/>
    <n v="11634"/>
    <s v="WHBH"/>
    <s v="Belo Horizonte"/>
    <s v="MG"/>
    <n v="4049"/>
    <x v="43"/>
    <s v="Taguatinga"/>
    <s v="DF"/>
    <x v="1"/>
    <s v="DF"/>
    <n v="1797.98"/>
    <n v="2"/>
    <n v="3.645"/>
    <n v="6100231"/>
    <x v="1"/>
    <s v="Goiania"/>
    <s v="Convencional"/>
    <n v="8"/>
    <d v="2019-01-03T00:00:00"/>
    <x v="348"/>
    <x v="0"/>
    <d v="2019-01-11T00:00:00"/>
    <x v="1"/>
    <x v="0"/>
    <n v="0"/>
    <n v="1"/>
  </r>
  <r>
    <d v="2019-01-03T00:00:00"/>
    <n v="11635"/>
    <s v="WHBH"/>
    <s v="Belo Horizonte"/>
    <s v="MG"/>
    <n v="4049"/>
    <x v="43"/>
    <s v="Taguatinga"/>
    <s v="DF"/>
    <x v="1"/>
    <s v="DF"/>
    <n v="96.57"/>
    <n v="2"/>
    <n v="1.129"/>
    <n v="6100231"/>
    <x v="1"/>
    <s v="Goiania"/>
    <s v="Convencional"/>
    <n v="5"/>
    <d v="2019-01-03T00:00:00"/>
    <x v="347"/>
    <x v="0"/>
    <d v="2019-01-08T00:00:00"/>
    <x v="1"/>
    <x v="0"/>
    <n v="0"/>
    <n v="1"/>
  </r>
  <r>
    <d v="2019-01-03T00:00:00"/>
    <n v="11636"/>
    <s v="WHVIT"/>
    <s v="Vitoria"/>
    <s v="ES"/>
    <n v="4049"/>
    <x v="43"/>
    <s v="Taguatinga"/>
    <s v="DF"/>
    <x v="1"/>
    <s v="DF"/>
    <n v="11007.96"/>
    <n v="3"/>
    <n v="24.98"/>
    <n v="6100231"/>
    <x v="1"/>
    <s v="Goiania"/>
    <s v="Convencional"/>
    <n v="6"/>
    <d v="2019-01-03T00:00:00"/>
    <x v="344"/>
    <x v="0"/>
    <d v="2019-01-09T00:00:00"/>
    <x v="0"/>
    <x v="0"/>
    <n v="1"/>
    <n v="1"/>
  </r>
  <r>
    <d v="2019-01-04T00:00:00"/>
    <n v="11637"/>
    <s v="WHRJ"/>
    <s v="Rio De Janeiro"/>
    <s v="RJ"/>
    <n v="4013"/>
    <x v="1"/>
    <s v="Blumenau"/>
    <s v="SC"/>
    <x v="0"/>
    <s v="SC"/>
    <n v="2252.67"/>
    <n v="1"/>
    <n v="9.7119999999999997"/>
    <n v="6500948"/>
    <x v="0"/>
    <s v="Porto Alegre"/>
    <s v="Convencional"/>
    <n v="8"/>
    <d v="2019-01-04T00:00:00"/>
    <x v="340"/>
    <x v="0"/>
    <d v="2019-01-12T00:00:00"/>
    <x v="0"/>
    <x v="0"/>
    <n v="1"/>
    <n v="1"/>
  </r>
  <r>
    <d v="2019-01-06T00:00:00"/>
    <n v="11638"/>
    <s v="WHPOA"/>
    <s v="Porto Alegre"/>
    <s v="RS"/>
    <n v="4068"/>
    <x v="4"/>
    <s v="Campo Grande"/>
    <s v="MS"/>
    <x v="1"/>
    <s v="MS"/>
    <n v="5514.83"/>
    <n v="2"/>
    <n v="14.96"/>
    <n v="6100231"/>
    <x v="1"/>
    <s v="Goiania"/>
    <s v="Convencional"/>
    <n v="11"/>
    <d v="2019-01-06T00:00:00"/>
    <x v="343"/>
    <x v="0"/>
    <d v="2019-01-17T00:00:00"/>
    <x v="0"/>
    <x v="0"/>
    <n v="1"/>
    <n v="1"/>
  </r>
  <r>
    <d v="2019-01-06T00:00:00"/>
    <n v="11639"/>
    <s v="WHRJ"/>
    <s v="Rio De Janeiro"/>
    <s v="RJ"/>
    <n v="4022"/>
    <x v="19"/>
    <s v="Maringa"/>
    <s v="PR"/>
    <x v="0"/>
    <s v="PR"/>
    <n v="4095.47"/>
    <n v="1"/>
    <n v="8.2170000000000005"/>
    <n v="6500948"/>
    <x v="0"/>
    <s v="Porto Alegre"/>
    <s v="Convencional"/>
    <n v="6"/>
    <d v="2019-01-06T00:00:00"/>
    <x v="349"/>
    <x v="0"/>
    <d v="2019-01-12T00:00:00"/>
    <x v="1"/>
    <x v="0"/>
    <n v="0"/>
    <n v="1"/>
  </r>
  <r>
    <d v="2019-01-06T00:00:00"/>
    <n v="11640"/>
    <s v="WHBH"/>
    <s v="Belo Horizonte"/>
    <s v="MG"/>
    <n v="4022"/>
    <x v="19"/>
    <s v="Maringa"/>
    <s v="PR"/>
    <x v="0"/>
    <s v="PR"/>
    <n v="382.01"/>
    <n v="1"/>
    <n v="2.105"/>
    <n v="6500948"/>
    <x v="0"/>
    <s v="Porto Alegre"/>
    <s v="Convencional"/>
    <n v="4"/>
    <d v="2019-01-06T00:00:00"/>
    <x v="342"/>
    <x v="0"/>
    <d v="2019-01-10T00:00:00"/>
    <x v="0"/>
    <x v="0"/>
    <n v="1"/>
    <n v="1"/>
  </r>
  <r>
    <d v="2019-01-08T00:00:00"/>
    <n v="11641"/>
    <s v="WHSJC"/>
    <s v="Sao Jose dos Campos"/>
    <s v="SP"/>
    <n v="4033"/>
    <x v="35"/>
    <s v="Goiania"/>
    <s v="GO"/>
    <x v="1"/>
    <s v="GO"/>
    <n v="46.32"/>
    <n v="1"/>
    <n v="1.1200000000000001"/>
    <n v="6100231"/>
    <x v="1"/>
    <s v="Goiania"/>
    <s v="Convencional"/>
    <n v="7"/>
    <d v="2019-01-08T00:00:00"/>
    <x v="348"/>
    <x v="0"/>
    <d v="2019-01-15T00:00:00"/>
    <x v="0"/>
    <x v="0"/>
    <n v="1"/>
    <n v="1"/>
  </r>
  <r>
    <d v="2019-01-08T00:00:00"/>
    <n v="11642"/>
    <s v="WHSJC"/>
    <s v="Sao Jose dos Campos"/>
    <s v="SP"/>
    <n v="4068"/>
    <x v="4"/>
    <s v="Campo Grande"/>
    <s v="MS"/>
    <x v="1"/>
    <s v="MS"/>
    <n v="1009.18"/>
    <n v="1"/>
    <n v="1.1200000000000001"/>
    <n v="6100231"/>
    <x v="1"/>
    <s v="Goiania"/>
    <s v="Convencional"/>
    <n v="8"/>
    <d v="2019-01-08T00:00:00"/>
    <x v="348"/>
    <x v="0"/>
    <d v="2019-01-16T00:00:00"/>
    <x v="0"/>
    <x v="0"/>
    <n v="1"/>
    <n v="1"/>
  </r>
  <r>
    <d v="2019-01-08T00:00:00"/>
    <n v="11643"/>
    <s v="WHSJC"/>
    <s v="Sao Jose dos Campos"/>
    <s v="SP"/>
    <n v="4068"/>
    <x v="4"/>
    <s v="Campo Grande"/>
    <s v="MS"/>
    <x v="1"/>
    <s v="MS"/>
    <n v="246.09"/>
    <n v="1"/>
    <n v="3.6659999999999999"/>
    <n v="6100231"/>
    <x v="1"/>
    <s v="Goiania"/>
    <s v="Convencional"/>
    <n v="1"/>
    <d v="2019-01-08T00:00:00"/>
    <x v="349"/>
    <x v="0"/>
    <d v="2019-01-09T00:00:00"/>
    <x v="1"/>
    <x v="0"/>
    <n v="0"/>
    <n v="1"/>
  </r>
  <r>
    <d v="2019-01-09T00:00:00"/>
    <n v="11644"/>
    <s v="WHSJC"/>
    <s v="Sao Jose dos Campos"/>
    <s v="SP"/>
    <n v="4069"/>
    <x v="57"/>
    <s v="Brasilia"/>
    <s v="DF"/>
    <x v="1"/>
    <s v="DF"/>
    <n v="755.25"/>
    <n v="1"/>
    <n v="1.1200000000000001"/>
    <n v="6100231"/>
    <x v="1"/>
    <s v="Goiania"/>
    <s v="Convencional"/>
    <n v="9"/>
    <d v="2019-01-09T00:00:00"/>
    <x v="348"/>
    <x v="0"/>
    <d v="2019-01-18T00:00:00"/>
    <x v="0"/>
    <x v="0"/>
    <n v="1"/>
    <n v="1"/>
  </r>
  <r>
    <d v="2019-01-09T00:00:00"/>
    <n v="11645"/>
    <s v="WHRJ"/>
    <s v="Rio De Janeiro"/>
    <s v="RJ"/>
    <n v="4055"/>
    <x v="45"/>
    <s v="Brasilia"/>
    <s v="DF"/>
    <x v="1"/>
    <s v="DF"/>
    <n v="2726.06"/>
    <n v="2"/>
    <n v="7.5190000000000001"/>
    <n v="6100231"/>
    <x v="1"/>
    <s v="Goiania"/>
    <s v="Convencional"/>
    <n v="5"/>
    <d v="2019-01-09T00:00:00"/>
    <x v="349"/>
    <x v="0"/>
    <d v="2019-01-14T00:00:00"/>
    <x v="1"/>
    <x v="0"/>
    <n v="0"/>
    <n v="1"/>
  </r>
  <r>
    <d v="2019-01-09T00:00:00"/>
    <n v="11646"/>
    <s v="WHRJ"/>
    <s v="Rio De Janeiro"/>
    <s v="RJ"/>
    <n v="4027"/>
    <x v="24"/>
    <s v="Novo Hamburgo"/>
    <s v="RS"/>
    <x v="0"/>
    <s v="RS"/>
    <n v="368.38"/>
    <n v="1"/>
    <n v="1.1200000000000001"/>
    <n v="6500948"/>
    <x v="0"/>
    <s v="Porto Alegre"/>
    <s v="Convencional"/>
    <n v="5"/>
    <d v="2019-01-09T00:00:00"/>
    <x v="350"/>
    <x v="0"/>
    <d v="2019-01-14T00:00:00"/>
    <x v="1"/>
    <x v="0"/>
    <n v="0"/>
    <n v="1"/>
  </r>
  <r>
    <d v="2019-01-09T00:00:00"/>
    <n v="11647"/>
    <s v="WHSAO"/>
    <s v="Sao Paulo"/>
    <s v="SP"/>
    <n v="4027"/>
    <x v="24"/>
    <s v="Novo Hamburgo"/>
    <s v="RS"/>
    <x v="0"/>
    <s v="RS"/>
    <n v="297.24"/>
    <n v="1"/>
    <n v="12.461"/>
    <n v="6500948"/>
    <x v="0"/>
    <s v="Porto Alegre"/>
    <s v="Convencional"/>
    <n v="7"/>
    <d v="2019-01-09T00:00:00"/>
    <x v="351"/>
    <x v="0"/>
    <d v="2019-01-16T00:00:00"/>
    <x v="0"/>
    <x v="0"/>
    <n v="1"/>
    <n v="1"/>
  </r>
  <r>
    <d v="2019-01-09T00:00:00"/>
    <n v="11648"/>
    <s v="WHVIT"/>
    <s v="Vitoria"/>
    <s v="ES"/>
    <n v="4055"/>
    <x v="45"/>
    <s v="Brasilia"/>
    <s v="DF"/>
    <x v="1"/>
    <s v="DF"/>
    <n v="1566.94"/>
    <n v="3"/>
    <n v="11.88"/>
    <n v="6100231"/>
    <x v="1"/>
    <s v="Goiania"/>
    <s v="Convencional"/>
    <n v="5"/>
    <d v="2019-01-09T00:00:00"/>
    <x v="352"/>
    <x v="0"/>
    <d v="2019-01-14T00:00:00"/>
    <x v="1"/>
    <x v="0"/>
    <n v="0"/>
    <n v="1"/>
  </r>
  <r>
    <d v="2019-01-09T00:00:00"/>
    <n v="11649"/>
    <s v="WHPOA"/>
    <s v="Porto Alegre"/>
    <s v="RS"/>
    <n v="4030"/>
    <x v="30"/>
    <s v="Belo Horizonte"/>
    <s v="MG"/>
    <x v="2"/>
    <s v="MG"/>
    <n v="1843.68"/>
    <n v="3"/>
    <n v="13.036"/>
    <n v="6600879"/>
    <x v="2"/>
    <s v="Belo Horizonte"/>
    <s v="Convencional"/>
    <n v="11"/>
    <d v="2019-01-09T00:00:00"/>
    <x v="351"/>
    <x v="0"/>
    <d v="2019-01-20T00:00:00"/>
    <x v="0"/>
    <x v="0"/>
    <n v="1"/>
    <n v="1"/>
  </r>
  <r>
    <d v="2019-01-09T00:00:00"/>
    <n v="11650"/>
    <s v="WHVIT"/>
    <s v="Vitoria"/>
    <s v="ES"/>
    <n v="4030"/>
    <x v="30"/>
    <s v="Belo Horizonte"/>
    <s v="MG"/>
    <x v="2"/>
    <s v="MG"/>
    <n v="11344.17"/>
    <n v="22"/>
    <n v="92.4"/>
    <n v="6600879"/>
    <x v="2"/>
    <s v="Belo Horizonte"/>
    <s v="Convencional"/>
    <n v="7"/>
    <d v="2019-01-09T00:00:00"/>
    <x v="351"/>
    <x v="0"/>
    <d v="2019-01-16T00:00:00"/>
    <x v="0"/>
    <x v="0"/>
    <n v="1"/>
    <n v="1"/>
  </r>
  <r>
    <d v="2019-01-10T00:00:00"/>
    <n v="11651"/>
    <s v="WHSJC"/>
    <s v="Sao Jose dos Campos"/>
    <s v="SP"/>
    <n v="4128"/>
    <x v="116"/>
    <s v="Recife"/>
    <s v="PE"/>
    <x v="3"/>
    <s v="PE"/>
    <n v="2703.33"/>
    <n v="5"/>
    <n v="19.8"/>
    <n v="6900304"/>
    <x v="5"/>
    <s v="Fortaleza"/>
    <s v="Convencional"/>
    <n v="3"/>
    <d v="2019-01-10T00:00:00"/>
    <x v="352"/>
    <x v="0"/>
    <d v="2019-01-13T00:00:00"/>
    <x v="1"/>
    <x v="0"/>
    <n v="0"/>
    <n v="1"/>
  </r>
  <r>
    <d v="2019-01-10T00:00:00"/>
    <n v="11652"/>
    <s v="WHRJ"/>
    <s v="Rio De Janeiro"/>
    <s v="RJ"/>
    <n v="4062"/>
    <x v="27"/>
    <s v="Taguatinga"/>
    <s v="DF"/>
    <x v="1"/>
    <s v="DF"/>
    <n v="2843.46"/>
    <n v="3"/>
    <n v="13.196"/>
    <n v="6100231"/>
    <x v="1"/>
    <s v="Goiania"/>
    <s v="Convencional"/>
    <n v="8"/>
    <d v="2019-01-10T00:00:00"/>
    <x v="352"/>
    <x v="0"/>
    <d v="2019-01-18T00:00:00"/>
    <x v="0"/>
    <x v="0"/>
    <n v="1"/>
    <n v="1"/>
  </r>
  <r>
    <d v="2019-01-10T00:00:00"/>
    <n v="11653"/>
    <s v="WHCPQ"/>
    <s v="Campinas"/>
    <s v="SP"/>
    <n v="4040"/>
    <x v="42"/>
    <s v="Brasilia"/>
    <s v="DF"/>
    <x v="1"/>
    <s v="DF"/>
    <n v="2779"/>
    <n v="6"/>
    <n v="25.08"/>
    <n v="6100231"/>
    <x v="1"/>
    <s v="Goiania"/>
    <s v="Convencional"/>
    <n v="5"/>
    <d v="2019-01-10T00:00:00"/>
    <x v="348"/>
    <x v="0"/>
    <d v="2019-01-15T00:00:00"/>
    <x v="0"/>
    <x v="0"/>
    <n v="1"/>
    <n v="1"/>
  </r>
  <r>
    <d v="2019-01-09T00:00:00"/>
    <n v="11654"/>
    <s v="WHCPQ"/>
    <s v="Campinas"/>
    <s v="SP"/>
    <n v="4028"/>
    <x v="26"/>
    <s v="Sao Jose Dos Pinhais"/>
    <s v="PR"/>
    <x v="0"/>
    <s v="PR"/>
    <n v="674.4"/>
    <n v="1"/>
    <n v="5.7640000000000002"/>
    <n v="6500948"/>
    <x v="0"/>
    <s v="Porto Alegre"/>
    <s v="Convencional"/>
    <n v="4"/>
    <d v="2019-01-10T00:00:00"/>
    <x v="346"/>
    <x v="0"/>
    <d v="2019-01-14T00:00:00"/>
    <x v="0"/>
    <x v="0"/>
    <n v="1"/>
    <n v="1"/>
  </r>
  <r>
    <d v="2019-01-09T00:00:00"/>
    <n v="11655"/>
    <s v="WHCPQ"/>
    <s v="Campinas"/>
    <s v="SP"/>
    <n v="4040"/>
    <x v="42"/>
    <s v="Brasilia"/>
    <s v="DF"/>
    <x v="1"/>
    <s v="DF"/>
    <n v="1307.3399999999999"/>
    <n v="2"/>
    <n v="9.9440000000000008"/>
    <n v="6100231"/>
    <x v="1"/>
    <s v="Goiania"/>
    <s v="Convencional"/>
    <n v="5"/>
    <d v="2019-01-10T00:00:00"/>
    <x v="346"/>
    <x v="0"/>
    <d v="2019-01-15T00:00:00"/>
    <x v="0"/>
    <x v="0"/>
    <n v="1"/>
    <n v="1"/>
  </r>
  <r>
    <d v="2019-01-09T00:00:00"/>
    <n v="11656"/>
    <s v="WHPOA"/>
    <s v="Porto Alegre"/>
    <s v="RS"/>
    <n v="4062"/>
    <x v="27"/>
    <s v="Taguatinga"/>
    <s v="DF"/>
    <x v="1"/>
    <s v="DF"/>
    <n v="1053.3699999999999"/>
    <n v="2"/>
    <n v="7.92"/>
    <n v="6100231"/>
    <x v="1"/>
    <s v="Goiania"/>
    <s v="Convencional"/>
    <n v="2"/>
    <d v="2019-01-10T00:00:00"/>
    <x v="350"/>
    <x v="0"/>
    <d v="2019-01-12T00:00:00"/>
    <x v="1"/>
    <x v="0"/>
    <n v="0"/>
    <n v="1"/>
  </r>
  <r>
    <d v="2019-01-09T00:00:00"/>
    <n v="11657"/>
    <s v="WHSAO"/>
    <s v="Sao Paulo"/>
    <s v="SP"/>
    <n v="4028"/>
    <x v="26"/>
    <s v="Sao Jose Dos Pinhais"/>
    <s v="PR"/>
    <x v="0"/>
    <s v="PR"/>
    <n v="570.14"/>
    <n v="1"/>
    <n v="5.5"/>
    <n v="6500948"/>
    <x v="0"/>
    <s v="Porto Alegre"/>
    <s v="Convencional"/>
    <n v="3"/>
    <d v="2019-01-10T00:00:00"/>
    <x v="353"/>
    <x v="0"/>
    <d v="2019-01-13T00:00:00"/>
    <x v="1"/>
    <x v="0"/>
    <n v="0"/>
    <n v="1"/>
  </r>
  <r>
    <d v="2019-01-10T00:00:00"/>
    <n v="11658"/>
    <s v="WHCPQ"/>
    <s v="Campinas"/>
    <s v="SP"/>
    <n v="4013"/>
    <x v="1"/>
    <s v="Blumenau"/>
    <s v="SC"/>
    <x v="0"/>
    <s v="SC"/>
    <n v="8261.3700000000008"/>
    <n v="19"/>
    <n v="84.31"/>
    <n v="6500948"/>
    <x v="0"/>
    <s v="Porto Alegre"/>
    <s v="Convencional"/>
    <n v="12"/>
    <d v="2019-01-11T00:00:00"/>
    <x v="354"/>
    <x v="0"/>
    <d v="2019-01-23T00:00:00"/>
    <x v="0"/>
    <x v="0"/>
    <n v="1"/>
    <n v="1"/>
  </r>
  <r>
    <d v="2019-01-11T00:00:00"/>
    <n v="11659"/>
    <s v="WHVIT"/>
    <s v="Vitoria"/>
    <s v="ES"/>
    <n v="4019"/>
    <x v="13"/>
    <s v="Florianopolis"/>
    <s v="SC"/>
    <x v="0"/>
    <s v="SC"/>
    <n v="621.24"/>
    <n v="1"/>
    <n v="4.6760000000000002"/>
    <n v="6500948"/>
    <x v="0"/>
    <s v="Porto Alegre"/>
    <s v="Convencional"/>
    <n v="11"/>
    <d v="2019-01-12T00:00:00"/>
    <x v="352"/>
    <x v="0"/>
    <d v="2019-01-23T00:00:00"/>
    <x v="0"/>
    <x v="0"/>
    <n v="1"/>
    <n v="1"/>
  </r>
  <r>
    <d v="2019-01-11T00:00:00"/>
    <n v="11660"/>
    <s v="WHSAO"/>
    <s v="Sao Paulo"/>
    <s v="SP"/>
    <n v="4019"/>
    <x v="13"/>
    <s v="Florianopolis"/>
    <s v="SC"/>
    <x v="0"/>
    <s v="SC"/>
    <n v="678"/>
    <n v="1"/>
    <n v="5.7640000000000002"/>
    <n v="6500948"/>
    <x v="0"/>
    <s v="Porto Alegre"/>
    <s v="Convencional"/>
    <n v="8"/>
    <d v="2019-01-12T00:00:00"/>
    <x v="355"/>
    <x v="0"/>
    <d v="2019-01-20T00:00:00"/>
    <x v="1"/>
    <x v="0"/>
    <n v="0"/>
    <n v="1"/>
  </r>
  <r>
    <d v="2019-01-11T00:00:00"/>
    <n v="11661"/>
    <s v="WHRJ"/>
    <s v="Rio De Janeiro"/>
    <s v="RJ"/>
    <n v="4019"/>
    <x v="13"/>
    <s v="Florianopolis"/>
    <s v="SC"/>
    <x v="0"/>
    <s v="SC"/>
    <n v="82.08"/>
    <n v="1"/>
    <n v="1.87"/>
    <n v="6500948"/>
    <x v="0"/>
    <s v="Porto Alegre"/>
    <s v="Convencional"/>
    <n v="7"/>
    <d v="2019-01-12T00:00:00"/>
    <x v="346"/>
    <x v="0"/>
    <d v="2019-01-19T00:00:00"/>
    <x v="0"/>
    <x v="0"/>
    <n v="1"/>
    <n v="1"/>
  </r>
  <r>
    <d v="2019-01-11T00:00:00"/>
    <n v="11662"/>
    <s v="WHBH"/>
    <s v="Belo Horizonte"/>
    <s v="MG"/>
    <n v="4019"/>
    <x v="13"/>
    <s v="Florianopolis"/>
    <s v="SC"/>
    <x v="0"/>
    <s v="SC"/>
    <n v="641.03"/>
    <n v="1"/>
    <n v="2.9369999999999998"/>
    <n v="6500948"/>
    <x v="0"/>
    <s v="Porto Alegre"/>
    <s v="Convencional"/>
    <n v="2"/>
    <d v="2019-01-12T00:00:00"/>
    <x v="354"/>
    <x v="0"/>
    <d v="2019-01-14T00:00:00"/>
    <x v="1"/>
    <x v="0"/>
    <n v="0"/>
    <n v="1"/>
  </r>
  <r>
    <d v="2019-01-11T00:00:00"/>
    <n v="11663"/>
    <s v="WHBH"/>
    <s v="Belo Horizonte"/>
    <s v="MG"/>
    <n v="4019"/>
    <x v="13"/>
    <s v="Florianopolis"/>
    <s v="SC"/>
    <x v="0"/>
    <s v="SC"/>
    <n v="61.94"/>
    <n v="1"/>
    <n v="1.87"/>
    <n v="6500948"/>
    <x v="0"/>
    <s v="Porto Alegre"/>
    <s v="Convencional"/>
    <n v="6"/>
    <d v="2019-01-12T00:00:00"/>
    <x v="352"/>
    <x v="0"/>
    <d v="2019-01-18T00:00:00"/>
    <x v="0"/>
    <x v="0"/>
    <n v="1"/>
    <n v="1"/>
  </r>
  <r>
    <d v="2019-01-12T00:00:00"/>
    <n v="11664"/>
    <s v="WHBH"/>
    <s v="Belo Horizonte"/>
    <s v="MG"/>
    <n v="4022"/>
    <x v="19"/>
    <s v="Maringa"/>
    <s v="PR"/>
    <x v="0"/>
    <s v="PR"/>
    <n v="1930.8"/>
    <n v="3"/>
    <n v="13.904"/>
    <n v="6500948"/>
    <x v="0"/>
    <s v="Porto Alegre"/>
    <s v="Convencional"/>
    <n v="2"/>
    <d v="2019-01-13T00:00:00"/>
    <x v="354"/>
    <x v="0"/>
    <d v="2019-01-15T00:00:00"/>
    <x v="1"/>
    <x v="0"/>
    <n v="0"/>
    <n v="1"/>
  </r>
  <r>
    <d v="2019-01-14T00:00:00"/>
    <n v="11665"/>
    <s v="WHSAO"/>
    <s v="Sao Paulo"/>
    <s v="SP"/>
    <n v="4041"/>
    <x v="16"/>
    <s v="Goiania"/>
    <s v="GO"/>
    <x v="1"/>
    <s v="GO"/>
    <n v="1254.33"/>
    <n v="2"/>
    <n v="8.14"/>
    <n v="6100231"/>
    <x v="1"/>
    <s v="Goiania"/>
    <s v="Convencional"/>
    <n v="12"/>
    <d v="2019-01-15T00:00:00"/>
    <x v="354"/>
    <x v="0"/>
    <d v="2019-01-27T00:00:00"/>
    <x v="0"/>
    <x v="0"/>
    <n v="1"/>
    <n v="1"/>
  </r>
  <r>
    <d v="2019-01-14T00:00:00"/>
    <n v="11666"/>
    <s v="WHSAO"/>
    <s v="Sao Paulo"/>
    <s v="SP"/>
    <n v="4041"/>
    <x v="16"/>
    <s v="Goiania"/>
    <s v="GO"/>
    <x v="1"/>
    <s v="GO"/>
    <n v="5654.05"/>
    <n v="10"/>
    <n v="29.414000000000001"/>
    <n v="6100231"/>
    <x v="1"/>
    <s v="Goiania"/>
    <s v="Convencional"/>
    <n v="2"/>
    <d v="2019-01-15T00:00:00"/>
    <x v="352"/>
    <x v="0"/>
    <d v="2019-01-17T00:00:00"/>
    <x v="0"/>
    <x v="0"/>
    <n v="1"/>
    <n v="1"/>
  </r>
  <r>
    <d v="2019-01-14T00:00:00"/>
    <n v="11667"/>
    <s v="WHRJ"/>
    <s v="Rio De Janeiro"/>
    <s v="RJ"/>
    <n v="4041"/>
    <x v="16"/>
    <s v="Goiania"/>
    <s v="GO"/>
    <x v="1"/>
    <s v="GO"/>
    <n v="1396.68"/>
    <n v="2"/>
    <n v="11.528"/>
    <n v="6100231"/>
    <x v="1"/>
    <s v="Goiania"/>
    <s v="Convencional"/>
    <n v="1"/>
    <d v="2019-01-15T00:00:00"/>
    <x v="355"/>
    <x v="0"/>
    <d v="2019-01-16T00:00:00"/>
    <x v="1"/>
    <x v="0"/>
    <n v="0"/>
    <n v="1"/>
  </r>
  <r>
    <d v="2019-01-14T00:00:00"/>
    <n v="11668"/>
    <s v="WHCPQ"/>
    <s v="Campinas"/>
    <s v="SP"/>
    <n v="4041"/>
    <x v="16"/>
    <s v="Goiania"/>
    <s v="GO"/>
    <x v="1"/>
    <s v="GO"/>
    <n v="545.24"/>
    <n v="1"/>
    <n v="5.5060000000000002"/>
    <n v="6100231"/>
    <x v="1"/>
    <s v="Goiania"/>
    <s v="Convencional"/>
    <n v="9"/>
    <d v="2019-01-15T00:00:00"/>
    <x v="356"/>
    <x v="0"/>
    <d v="2019-01-24T00:00:00"/>
    <x v="0"/>
    <x v="0"/>
    <n v="1"/>
    <n v="1"/>
  </r>
  <r>
    <d v="2019-01-14T00:00:00"/>
    <n v="11669"/>
    <s v="WHPOA"/>
    <s v="Porto Alegre"/>
    <s v="RS"/>
    <n v="4022"/>
    <x v="19"/>
    <s v="Maringa"/>
    <s v="PR"/>
    <x v="0"/>
    <s v="PR"/>
    <n v="10305.280000000001"/>
    <n v="1"/>
    <n v="49.5"/>
    <n v="6500948"/>
    <x v="0"/>
    <s v="Porto Alegre"/>
    <s v="Convencional"/>
    <n v="5"/>
    <d v="2019-01-15T00:00:00"/>
    <x v="356"/>
    <x v="1"/>
    <d v="2019-01-20T00:00:00"/>
    <x v="1"/>
    <x v="1"/>
    <n v="0"/>
    <n v="1"/>
  </r>
  <r>
    <d v="2019-01-14T00:00:00"/>
    <n v="11670"/>
    <s v="WHSAO"/>
    <s v="Sao Paulo"/>
    <s v="SP"/>
    <n v="4041"/>
    <x v="16"/>
    <s v="Goiania"/>
    <s v="GO"/>
    <x v="1"/>
    <s v="GO"/>
    <n v="1780.62"/>
    <n v="1"/>
    <n v="1.54"/>
    <n v="6100231"/>
    <x v="1"/>
    <s v="Goiania"/>
    <s v="Convencional"/>
    <n v="2"/>
    <d v="2019-01-15T00:00:00"/>
    <x v="356"/>
    <x v="0"/>
    <d v="2019-01-17T00:00:00"/>
    <x v="1"/>
    <x v="0"/>
    <n v="0"/>
    <n v="1"/>
  </r>
  <r>
    <d v="2019-01-14T00:00:00"/>
    <n v="11671"/>
    <s v="WHCPQ"/>
    <s v="Campinas"/>
    <s v="SP"/>
    <n v="4041"/>
    <x v="16"/>
    <s v="Goiania"/>
    <s v="GO"/>
    <x v="1"/>
    <s v="GO"/>
    <n v="590.98"/>
    <n v="2"/>
    <n v="0.89800000000000002"/>
    <n v="6100231"/>
    <x v="1"/>
    <s v="Goiania"/>
    <s v="Convencional"/>
    <n v="11"/>
    <d v="2019-01-15T00:00:00"/>
    <x v="350"/>
    <x v="0"/>
    <d v="2019-01-26T00:00:00"/>
    <x v="0"/>
    <x v="0"/>
    <n v="1"/>
    <n v="1"/>
  </r>
  <r>
    <d v="2019-01-15T00:00:00"/>
    <n v="11672"/>
    <s v="WHVIT"/>
    <s v="Vitoria"/>
    <s v="ES"/>
    <n v="4023"/>
    <x v="20"/>
    <s v="Sao Jose"/>
    <s v="SC"/>
    <x v="0"/>
    <s v="SC"/>
    <n v="590.98"/>
    <n v="2"/>
    <n v="0.89800000000000002"/>
    <n v="6500948"/>
    <x v="0"/>
    <s v="Porto Alegre"/>
    <s v="Convencional"/>
    <n v="10"/>
    <d v="2019-01-16T00:00:00"/>
    <x v="357"/>
    <x v="0"/>
    <d v="2019-01-26T00:00:00"/>
    <x v="0"/>
    <x v="0"/>
    <n v="1"/>
    <n v="1"/>
  </r>
  <r>
    <d v="2019-01-15T00:00:00"/>
    <n v="11673"/>
    <s v="WHSAO"/>
    <s v="Sao Paulo"/>
    <s v="SP"/>
    <n v="4044"/>
    <x v="48"/>
    <s v="Belo Horizonte"/>
    <s v="MG"/>
    <x v="2"/>
    <s v="MG"/>
    <n v="3273.41"/>
    <n v="2"/>
    <n v="16.347999999999999"/>
    <n v="6600879"/>
    <x v="2"/>
    <s v="Belo Horizonte"/>
    <s v="Convencional"/>
    <n v="3"/>
    <d v="2019-01-16T00:00:00"/>
    <x v="356"/>
    <x v="0"/>
    <d v="2019-01-19T00:00:00"/>
    <x v="1"/>
    <x v="0"/>
    <n v="0"/>
    <n v="1"/>
  </r>
  <r>
    <d v="2019-01-15T00:00:00"/>
    <n v="11674"/>
    <s v="WHSJC"/>
    <s v="Sao Jose dos Campos"/>
    <s v="SP"/>
    <n v="4045"/>
    <x v="49"/>
    <s v="Belo Horizonte"/>
    <s v="MG"/>
    <x v="2"/>
    <s v="MG"/>
    <n v="249.29"/>
    <n v="1"/>
    <n v="0.998"/>
    <n v="6600879"/>
    <x v="2"/>
    <s v="Belo Horizonte"/>
    <s v="Convencional"/>
    <n v="5"/>
    <d v="2019-01-16T00:00:00"/>
    <x v="354"/>
    <x v="0"/>
    <d v="2019-01-21T00:00:00"/>
    <x v="0"/>
    <x v="0"/>
    <n v="1"/>
    <n v="1"/>
  </r>
  <r>
    <d v="2019-01-15T00:00:00"/>
    <n v="11675"/>
    <s v="WHVIT"/>
    <s v="Vitoria"/>
    <s v="ES"/>
    <n v="4044"/>
    <x v="48"/>
    <s v="Belo Horizonte"/>
    <s v="MG"/>
    <x v="2"/>
    <s v="MG"/>
    <n v="2553.9299999999998"/>
    <n v="3"/>
    <n v="14.335000000000001"/>
    <n v="6600879"/>
    <x v="2"/>
    <s v="Belo Horizonte"/>
    <s v="Convencional"/>
    <n v="8"/>
    <d v="2019-01-16T00:00:00"/>
    <x v="353"/>
    <x v="1"/>
    <d v="2019-01-24T00:00:00"/>
    <x v="0"/>
    <x v="1"/>
    <n v="0"/>
    <n v="1"/>
  </r>
  <r>
    <d v="2019-01-15T00:00:00"/>
    <n v="11676"/>
    <s v="WHRJ"/>
    <s v="Rio De Janeiro"/>
    <s v="RJ"/>
    <n v="4045"/>
    <x v="49"/>
    <s v="Belo Horizonte"/>
    <s v="MG"/>
    <x v="2"/>
    <s v="MG"/>
    <n v="506.5"/>
    <n v="2"/>
    <n v="4.4000000000000004"/>
    <n v="6600879"/>
    <x v="2"/>
    <s v="Belo Horizonte"/>
    <s v="Convencional"/>
    <n v="5"/>
    <d v="2019-01-16T00:00:00"/>
    <x v="358"/>
    <x v="0"/>
    <d v="2019-01-21T00:00:00"/>
    <x v="1"/>
    <x v="0"/>
    <n v="0"/>
    <n v="1"/>
  </r>
  <r>
    <d v="2019-01-15T00:00:00"/>
    <n v="11677"/>
    <s v="WHSJC"/>
    <s v="Sao Jose dos Campos"/>
    <s v="SP"/>
    <n v="4032"/>
    <x v="34"/>
    <s v="Goiania"/>
    <s v="GO"/>
    <x v="1"/>
    <s v="GO"/>
    <n v="1111.33"/>
    <n v="1"/>
    <n v="9.9"/>
    <n v="6100231"/>
    <x v="1"/>
    <s v="Goiania"/>
    <s v="Convencional"/>
    <n v="12"/>
    <d v="2019-01-16T00:00:00"/>
    <x v="352"/>
    <x v="0"/>
    <d v="2019-01-28T00:00:00"/>
    <x v="0"/>
    <x v="0"/>
    <n v="1"/>
    <n v="1"/>
  </r>
  <r>
    <d v="2019-01-15T00:00:00"/>
    <n v="11678"/>
    <s v="WHSJC"/>
    <s v="Sao Jose dos Campos"/>
    <s v="SP"/>
    <n v="4044"/>
    <x v="48"/>
    <s v="Belo Horizonte"/>
    <s v="MG"/>
    <x v="2"/>
    <s v="MG"/>
    <n v="1080.8599999999999"/>
    <n v="3"/>
    <n v="2.0459999999999998"/>
    <n v="6600879"/>
    <x v="2"/>
    <s v="Belo Horizonte"/>
    <s v="Convencional"/>
    <n v="10"/>
    <d v="2019-01-16T00:00:00"/>
    <x v="350"/>
    <x v="0"/>
    <d v="2019-01-26T00:00:00"/>
    <x v="0"/>
    <x v="0"/>
    <n v="1"/>
    <n v="1"/>
  </r>
  <r>
    <d v="2019-01-15T00:00:00"/>
    <n v="11679"/>
    <s v="WHSJC"/>
    <s v="Sao Jose dos Campos"/>
    <s v="SP"/>
    <n v="4045"/>
    <x v="49"/>
    <s v="Belo Horizonte"/>
    <s v="MG"/>
    <x v="2"/>
    <s v="MG"/>
    <n v="618.23"/>
    <n v="4"/>
    <n v="4.4660000000000002"/>
    <n v="6600879"/>
    <x v="2"/>
    <s v="Belo Horizonte"/>
    <s v="Convencional"/>
    <n v="10"/>
    <d v="2019-01-16T00:00:00"/>
    <x v="354"/>
    <x v="0"/>
    <d v="2019-01-26T00:00:00"/>
    <x v="0"/>
    <x v="0"/>
    <n v="1"/>
    <n v="1"/>
  </r>
  <r>
    <d v="2019-01-16T00:00:00"/>
    <n v="11680"/>
    <s v="WHPOA"/>
    <s v="Porto Alegre"/>
    <s v="RS"/>
    <n v="4034"/>
    <x v="36"/>
    <s v="Goiania"/>
    <s v="GO"/>
    <x v="1"/>
    <s v="GO"/>
    <n v="296.19"/>
    <n v="1"/>
    <n v="3.5419999999999998"/>
    <n v="6100231"/>
    <x v="1"/>
    <s v="Goiania"/>
    <s v="Convencional"/>
    <n v="12"/>
    <d v="2019-01-17T00:00:00"/>
    <x v="354"/>
    <x v="0"/>
    <d v="2019-01-29T00:00:00"/>
    <x v="0"/>
    <x v="0"/>
    <n v="1"/>
    <n v="1"/>
  </r>
  <r>
    <d v="2019-01-16T00:00:00"/>
    <n v="11681"/>
    <s v="WHBH"/>
    <s v="Belo Horizonte"/>
    <s v="MG"/>
    <n v="4022"/>
    <x v="19"/>
    <s v="Maringa"/>
    <s v="PR"/>
    <x v="0"/>
    <s v="PR"/>
    <n v="1644.58"/>
    <n v="1"/>
    <n v="6.6000000000000003E-2"/>
    <n v="6500948"/>
    <x v="0"/>
    <s v="Porto Alegre"/>
    <s v="Convencional"/>
    <n v="10"/>
    <d v="2019-01-17T00:00:00"/>
    <x v="357"/>
    <x v="0"/>
    <d v="2019-01-27T00:00:00"/>
    <x v="0"/>
    <x v="0"/>
    <n v="1"/>
    <n v="1"/>
  </r>
  <r>
    <d v="2019-01-16T00:00:00"/>
    <n v="11682"/>
    <s v="WHSJC"/>
    <s v="Sao Jose dos Campos"/>
    <s v="SP"/>
    <n v="4041"/>
    <x v="16"/>
    <s v="Goiania"/>
    <s v="GO"/>
    <x v="1"/>
    <s v="GO"/>
    <n v="73.97"/>
    <n v="1"/>
    <n v="0.95699999999999996"/>
    <n v="6100231"/>
    <x v="1"/>
    <s v="Goiania"/>
    <s v="Convencional"/>
    <n v="10"/>
    <d v="2019-01-17T00:00:00"/>
    <x v="359"/>
    <x v="0"/>
    <d v="2019-01-27T00:00:00"/>
    <x v="0"/>
    <x v="0"/>
    <n v="1"/>
    <n v="1"/>
  </r>
  <r>
    <d v="2019-01-16T00:00:00"/>
    <n v="11683"/>
    <s v="WHRJ"/>
    <s v="Rio De Janeiro"/>
    <s v="RJ"/>
    <n v="4041"/>
    <x v="16"/>
    <s v="Goiania"/>
    <s v="GO"/>
    <x v="1"/>
    <s v="GO"/>
    <n v="1681.98"/>
    <n v="2"/>
    <n v="4.0919999999999996"/>
    <n v="6100231"/>
    <x v="1"/>
    <s v="Goiania"/>
    <s v="Convencional"/>
    <n v="4"/>
    <d v="2019-01-17T00:00:00"/>
    <x v="360"/>
    <x v="0"/>
    <d v="2019-01-21T00:00:00"/>
    <x v="1"/>
    <x v="0"/>
    <n v="0"/>
    <n v="1"/>
  </r>
  <r>
    <d v="2019-01-16T00:00:00"/>
    <n v="11684"/>
    <s v="WHSAO"/>
    <s v="Sao Paulo"/>
    <s v="SP"/>
    <n v="4041"/>
    <x v="16"/>
    <s v="Goiania"/>
    <s v="GO"/>
    <x v="1"/>
    <s v="GO"/>
    <n v="7034.28"/>
    <n v="14"/>
    <n v="15.334"/>
    <n v="6100231"/>
    <x v="1"/>
    <s v="Goiania"/>
    <s v="Convencional"/>
    <n v="2"/>
    <d v="2019-01-17T00:00:00"/>
    <x v="355"/>
    <x v="0"/>
    <d v="2019-01-19T00:00:00"/>
    <x v="1"/>
    <x v="0"/>
    <n v="0"/>
    <n v="1"/>
  </r>
  <r>
    <d v="2019-01-16T00:00:00"/>
    <n v="11685"/>
    <s v="WHSJC"/>
    <s v="Sao Jose dos Campos"/>
    <s v="SP"/>
    <n v="4041"/>
    <x v="16"/>
    <s v="Goiania"/>
    <s v="GO"/>
    <x v="1"/>
    <s v="GO"/>
    <n v="911.57"/>
    <n v="1"/>
    <n v="1.1000000000000001"/>
    <n v="6100231"/>
    <x v="1"/>
    <s v="Goiania"/>
    <s v="Convencional"/>
    <n v="11"/>
    <d v="2019-01-17T00:00:00"/>
    <x v="356"/>
    <x v="2"/>
    <d v="2019-01-28T00:00:00"/>
    <x v="0"/>
    <x v="1"/>
    <n v="0"/>
    <n v="1"/>
  </r>
  <r>
    <d v="2019-01-16T00:00:00"/>
    <n v="11686"/>
    <s v="WHPOA"/>
    <s v="Porto Alegre"/>
    <s v="RS"/>
    <n v="4041"/>
    <x v="16"/>
    <s v="Goiania"/>
    <s v="GO"/>
    <x v="1"/>
    <s v="GO"/>
    <n v="197.36"/>
    <n v="1"/>
    <n v="0.51400000000000001"/>
    <n v="6100231"/>
    <x v="1"/>
    <s v="Goiania"/>
    <s v="Convencional"/>
    <n v="9"/>
    <d v="2019-01-17T00:00:00"/>
    <x v="355"/>
    <x v="0"/>
    <d v="2019-01-26T00:00:00"/>
    <x v="0"/>
    <x v="0"/>
    <n v="1"/>
    <n v="1"/>
  </r>
  <r>
    <d v="2019-01-18T00:00:00"/>
    <n v="11687"/>
    <s v="WHBH"/>
    <s v="Belo Horizonte"/>
    <s v="MG"/>
    <n v="4017"/>
    <x v="10"/>
    <s v="Itajai"/>
    <s v="SC"/>
    <x v="0"/>
    <s v="SC"/>
    <n v="174.12"/>
    <n v="1"/>
    <n v="1.87"/>
    <n v="6500948"/>
    <x v="0"/>
    <s v="Porto Alegre"/>
    <s v="Convencional"/>
    <n v="9"/>
    <d v="2019-01-19T00:00:00"/>
    <x v="353"/>
    <x v="0"/>
    <d v="2019-01-28T00:00:00"/>
    <x v="0"/>
    <x v="0"/>
    <n v="1"/>
    <n v="1"/>
  </r>
  <r>
    <d v="2019-01-18T00:00:00"/>
    <n v="11688"/>
    <s v="WHSAO"/>
    <s v="Sao Paulo"/>
    <s v="SP"/>
    <n v="4084"/>
    <x v="72"/>
    <s v="Aracatuba"/>
    <s v="SP"/>
    <x v="2"/>
    <s v="SP"/>
    <n v="593.94000000000005"/>
    <n v="2"/>
    <n v="0.89800000000000002"/>
    <n v="6400835"/>
    <x v="3"/>
    <s v="Guarulhos"/>
    <s v="Convencional"/>
    <n v="6"/>
    <d v="2019-01-19T00:00:00"/>
    <x v="354"/>
    <x v="0"/>
    <d v="2019-01-25T00:00:00"/>
    <x v="0"/>
    <x v="0"/>
    <n v="1"/>
    <n v="1"/>
  </r>
  <r>
    <d v="2019-01-18T00:00:00"/>
    <n v="11689"/>
    <s v="WHSAO"/>
    <s v="Sao Paulo"/>
    <s v="SP"/>
    <n v="4134"/>
    <x v="122"/>
    <s v="Rio Grande do Sul"/>
    <s v="RS"/>
    <x v="0"/>
    <s v="RS"/>
    <n v="365.26"/>
    <n v="2"/>
    <n v="14.304"/>
    <n v="6500948"/>
    <x v="0"/>
    <s v="Porto Alegre"/>
    <s v="Convencional"/>
    <n v="3"/>
    <d v="2019-01-19T00:00:00"/>
    <x v="357"/>
    <x v="0"/>
    <d v="2019-01-22T00:00:00"/>
    <x v="1"/>
    <x v="0"/>
    <n v="0"/>
    <n v="1"/>
  </r>
  <r>
    <d v="2019-01-18T00:00:00"/>
    <n v="11690"/>
    <s v="WHSJC"/>
    <s v="Sao Jose dos Campos"/>
    <s v="SP"/>
    <n v="4013"/>
    <x v="1"/>
    <s v="Blumenau"/>
    <s v="SC"/>
    <x v="0"/>
    <s v="SC"/>
    <n v="1168.5999999999999"/>
    <n v="1"/>
    <n v="1.1200000000000001"/>
    <n v="6500948"/>
    <x v="0"/>
    <s v="Porto Alegre"/>
    <s v="Urgente"/>
    <n v="8"/>
    <d v="2019-01-19T00:00:00"/>
    <x v="355"/>
    <x v="0"/>
    <d v="2019-01-27T00:00:00"/>
    <x v="0"/>
    <x v="0"/>
    <n v="1"/>
    <n v="1"/>
  </r>
  <r>
    <d v="2019-01-19T00:00:00"/>
    <n v="11691"/>
    <s v="WHRJ"/>
    <s v="Rio De Janeiro"/>
    <s v="RJ"/>
    <n v="4022"/>
    <x v="19"/>
    <s v="Maringa"/>
    <s v="PR"/>
    <x v="0"/>
    <s v="PR"/>
    <n v="1564.99"/>
    <n v="5"/>
    <n v="2.8159999999999998"/>
    <n v="6500948"/>
    <x v="0"/>
    <s v="Porto Alegre"/>
    <s v="Convencional"/>
    <n v="3"/>
    <d v="2019-01-20T00:00:00"/>
    <x v="358"/>
    <x v="0"/>
    <d v="2019-01-23T00:00:00"/>
    <x v="1"/>
    <x v="0"/>
    <n v="0"/>
    <n v="1"/>
  </r>
  <r>
    <d v="2019-01-22T00:00:00"/>
    <n v="11692"/>
    <s v="WHSJC"/>
    <s v="Sao Jose dos Campos"/>
    <s v="SP"/>
    <n v="4128"/>
    <x v="116"/>
    <s v="Recife"/>
    <s v="PE"/>
    <x v="3"/>
    <s v="PE"/>
    <n v="946.82"/>
    <n v="1"/>
    <n v="11.837999999999999"/>
    <n v="6900304"/>
    <x v="5"/>
    <s v="Fortaleza"/>
    <s v="Convencional"/>
    <n v="2"/>
    <d v="2019-01-22T00:00:00"/>
    <x v="356"/>
    <x v="0"/>
    <d v="2019-01-24T00:00:00"/>
    <x v="0"/>
    <x v="0"/>
    <n v="1"/>
    <n v="1"/>
  </r>
  <r>
    <d v="2019-01-21T00:00:00"/>
    <n v="11693"/>
    <s v="WHPOA"/>
    <s v="Porto Alegre"/>
    <s v="RS"/>
    <n v="4068"/>
    <x v="4"/>
    <s v="Campo Grande"/>
    <s v="MS"/>
    <x v="1"/>
    <s v="MS"/>
    <n v="1403.63"/>
    <n v="2"/>
    <n v="1.272"/>
    <n v="6100231"/>
    <x v="1"/>
    <s v="Goiania"/>
    <s v="Convencional"/>
    <n v="7"/>
    <d v="2019-01-22T00:00:00"/>
    <x v="361"/>
    <x v="0"/>
    <d v="2019-01-29T00:00:00"/>
    <x v="1"/>
    <x v="0"/>
    <n v="0"/>
    <n v="1"/>
  </r>
  <r>
    <d v="2019-01-22T00:00:00"/>
    <n v="11694"/>
    <s v="WHPOA"/>
    <s v="Porto Alegre"/>
    <s v="RS"/>
    <n v="4069"/>
    <x v="57"/>
    <s v="Brasilia"/>
    <s v="DF"/>
    <x v="1"/>
    <s v="DF"/>
    <n v="2141.65"/>
    <n v="4"/>
    <n v="18.721"/>
    <n v="6100231"/>
    <x v="1"/>
    <s v="Goiania"/>
    <s v="Convencional"/>
    <n v="11"/>
    <d v="2019-01-23T00:00:00"/>
    <x v="358"/>
    <x v="0"/>
    <d v="2019-02-03T00:00:00"/>
    <x v="0"/>
    <x v="0"/>
    <n v="1"/>
    <n v="1"/>
  </r>
  <r>
    <d v="2019-01-22T00:00:00"/>
    <n v="11695"/>
    <s v="WHSJC"/>
    <s v="Sao Jose dos Campos"/>
    <s v="SP"/>
    <n v="4014"/>
    <x v="3"/>
    <s v="Ipatinga"/>
    <s v="MG"/>
    <x v="2"/>
    <s v="MG"/>
    <n v="285.16000000000003"/>
    <n v="1"/>
    <n v="1.54"/>
    <n v="6600879"/>
    <x v="2"/>
    <s v="Belo Horizonte"/>
    <s v="Convencional"/>
    <n v="8"/>
    <d v="2019-01-23T00:00:00"/>
    <x v="360"/>
    <x v="0"/>
    <d v="2019-01-31T00:00:00"/>
    <x v="0"/>
    <x v="0"/>
    <n v="1"/>
    <n v="1"/>
  </r>
  <r>
    <d v="2019-01-22T00:00:00"/>
    <n v="11696"/>
    <s v="WHBH"/>
    <s v="Belo Horizonte"/>
    <s v="MG"/>
    <n v="4014"/>
    <x v="3"/>
    <s v="Ipatinga"/>
    <s v="MG"/>
    <x v="2"/>
    <s v="MG"/>
    <n v="1089.1600000000001"/>
    <n v="2"/>
    <n v="3.52"/>
    <n v="6600879"/>
    <x v="2"/>
    <s v="Belo Horizonte"/>
    <s v="Convencional"/>
    <n v="6"/>
    <d v="2019-01-23T00:00:00"/>
    <x v="362"/>
    <x v="0"/>
    <d v="2019-01-29T00:00:00"/>
    <x v="1"/>
    <x v="0"/>
    <n v="0"/>
    <n v="1"/>
  </r>
  <r>
    <d v="2019-01-22T00:00:00"/>
    <n v="11697"/>
    <s v="WHSAO"/>
    <s v="Sao Paulo"/>
    <s v="SP"/>
    <n v="4014"/>
    <x v="3"/>
    <s v="Ipatinga"/>
    <s v="MG"/>
    <x v="2"/>
    <s v="MG"/>
    <n v="18237.689999999999"/>
    <n v="16"/>
    <n v="266.58499999999998"/>
    <n v="6600879"/>
    <x v="2"/>
    <s v="Belo Horizonte"/>
    <s v="Convencional"/>
    <n v="6"/>
    <d v="2019-01-23T00:00:00"/>
    <x v="362"/>
    <x v="0"/>
    <d v="2019-01-29T00:00:00"/>
    <x v="1"/>
    <x v="0"/>
    <n v="0"/>
    <n v="1"/>
  </r>
  <r>
    <d v="2019-01-22T00:00:00"/>
    <n v="11698"/>
    <s v="WHSAO"/>
    <s v="Sao Paulo"/>
    <s v="SP"/>
    <n v="4032"/>
    <x v="34"/>
    <s v="Goiania"/>
    <s v="GO"/>
    <x v="1"/>
    <s v="GO"/>
    <n v="652"/>
    <n v="8"/>
    <n v="383.51499999999999"/>
    <n v="6100231"/>
    <x v="1"/>
    <s v="Goiania"/>
    <s v="Convencional"/>
    <n v="7"/>
    <d v="2019-01-23T00:00:00"/>
    <x v="361"/>
    <x v="0"/>
    <d v="2019-01-30T00:00:00"/>
    <x v="0"/>
    <x v="0"/>
    <n v="1"/>
    <n v="1"/>
  </r>
  <r>
    <d v="2019-01-23T00:00:00"/>
    <n v="11699"/>
    <s v="WHSJC"/>
    <s v="Sao Jose dos Campos"/>
    <s v="SP"/>
    <n v="4023"/>
    <x v="20"/>
    <s v="Sao Jose"/>
    <s v="SC"/>
    <x v="0"/>
    <s v="SC"/>
    <n v="1822.5"/>
    <n v="6"/>
    <n v="62.963999999999999"/>
    <n v="6500948"/>
    <x v="0"/>
    <s v="Porto Alegre"/>
    <s v="Convencional"/>
    <n v="1"/>
    <d v="2019-01-24T00:00:00"/>
    <x v="362"/>
    <x v="0"/>
    <d v="2019-01-25T00:00:00"/>
    <x v="1"/>
    <x v="0"/>
    <n v="0"/>
    <n v="1"/>
  </r>
  <r>
    <d v="2019-01-23T00:00:00"/>
    <n v="11700"/>
    <s v="WHSAO"/>
    <s v="Sao Paulo"/>
    <s v="SP"/>
    <n v="4013"/>
    <x v="1"/>
    <s v="Blumenau"/>
    <s v="SC"/>
    <x v="0"/>
    <s v="SC"/>
    <n v="14164.96"/>
    <n v="19"/>
    <n v="164.45"/>
    <n v="6500948"/>
    <x v="0"/>
    <s v="Porto Alegre"/>
    <s v="Convencional"/>
    <n v="5"/>
    <d v="2019-01-24T00:00:00"/>
    <x v="363"/>
    <x v="0"/>
    <d v="2019-01-29T00:00:00"/>
    <x v="1"/>
    <x v="0"/>
    <n v="0"/>
    <n v="1"/>
  </r>
  <r>
    <d v="2019-01-23T00:00:00"/>
    <n v="11701"/>
    <s v="WHSJC"/>
    <s v="Sao Jose dos Campos"/>
    <s v="SP"/>
    <n v="4062"/>
    <x v="27"/>
    <s v="Taguatinga"/>
    <s v="DF"/>
    <x v="1"/>
    <s v="DF"/>
    <n v="437.87"/>
    <n v="1"/>
    <n v="1.76"/>
    <n v="6100231"/>
    <x v="1"/>
    <s v="Goiania"/>
    <s v="Convencional"/>
    <n v="9"/>
    <d v="2019-01-24T00:00:00"/>
    <x v="359"/>
    <x v="0"/>
    <d v="2019-02-02T00:00:00"/>
    <x v="0"/>
    <x v="0"/>
    <n v="1"/>
    <n v="1"/>
  </r>
  <r>
    <d v="2019-01-23T00:00:00"/>
    <n v="11702"/>
    <s v="WHRJ"/>
    <s v="Rio De Janeiro"/>
    <s v="RJ"/>
    <n v="4027"/>
    <x v="24"/>
    <s v="Novo Hamburgo"/>
    <s v="RS"/>
    <x v="0"/>
    <s v="RS"/>
    <n v="5257.44"/>
    <n v="11"/>
    <n v="225.005"/>
    <n v="6500948"/>
    <x v="0"/>
    <s v="Porto Alegre"/>
    <s v="Convencional"/>
    <n v="11"/>
    <d v="2019-01-24T00:00:00"/>
    <x v="364"/>
    <x v="0"/>
    <d v="2019-02-04T00:00:00"/>
    <x v="0"/>
    <x v="0"/>
    <n v="1"/>
    <n v="1"/>
  </r>
  <r>
    <d v="2019-01-23T00:00:00"/>
    <n v="11703"/>
    <s v="WHPOA"/>
    <s v="Porto Alegre"/>
    <s v="RS"/>
    <n v="4028"/>
    <x v="26"/>
    <s v="Sao Jose Dos Pinhais"/>
    <s v="PR"/>
    <x v="0"/>
    <s v="PR"/>
    <n v="1614.16"/>
    <n v="5"/>
    <n v="56.000999999999998"/>
    <n v="6500948"/>
    <x v="0"/>
    <s v="Porto Alegre"/>
    <s v="Convencional"/>
    <n v="3"/>
    <d v="2019-01-24T00:00:00"/>
    <x v="364"/>
    <x v="0"/>
    <d v="2019-01-27T00:00:00"/>
    <x v="1"/>
    <x v="0"/>
    <n v="0"/>
    <n v="1"/>
  </r>
  <r>
    <d v="2019-01-23T00:00:00"/>
    <n v="11704"/>
    <s v="WHPOA"/>
    <s v="Porto Alegre"/>
    <s v="RS"/>
    <n v="4022"/>
    <x v="19"/>
    <s v="Maringa"/>
    <s v="PR"/>
    <x v="0"/>
    <s v="PR"/>
    <n v="39.229999999999997"/>
    <n v="1"/>
    <n v="0.14399999999999999"/>
    <n v="6500948"/>
    <x v="0"/>
    <s v="Porto Alegre"/>
    <s v="Convencional"/>
    <n v="7"/>
    <d v="2019-01-24T00:00:00"/>
    <x v="362"/>
    <x v="0"/>
    <d v="2019-01-31T00:00:00"/>
    <x v="1"/>
    <x v="0"/>
    <n v="0"/>
    <n v="1"/>
  </r>
  <r>
    <d v="2019-01-23T00:00:00"/>
    <n v="11705"/>
    <s v="WHRJ"/>
    <s v="Rio De Janeiro"/>
    <s v="RJ"/>
    <n v="4027"/>
    <x v="24"/>
    <s v="Novo Hamburgo"/>
    <s v="RS"/>
    <x v="0"/>
    <s v="RS"/>
    <n v="726.72"/>
    <n v="1"/>
    <n v="3.3"/>
    <n v="6500948"/>
    <x v="0"/>
    <s v="Porto Alegre"/>
    <s v="Convencional"/>
    <n v="2"/>
    <d v="2019-01-24T00:00:00"/>
    <x v="364"/>
    <x v="0"/>
    <d v="2019-01-26T00:00:00"/>
    <x v="1"/>
    <x v="0"/>
    <n v="0"/>
    <n v="1"/>
  </r>
  <r>
    <d v="2019-01-23T00:00:00"/>
    <n v="11706"/>
    <s v="WHCPQ"/>
    <s v="Campinas"/>
    <s v="SP"/>
    <n v="4028"/>
    <x v="26"/>
    <s v="Sao Jose Dos Pinhais"/>
    <s v="PR"/>
    <x v="0"/>
    <s v="PR"/>
    <n v="69.650000000000006"/>
    <n v="1"/>
    <n v="0.66"/>
    <n v="6500948"/>
    <x v="0"/>
    <s v="Porto Alegre"/>
    <s v="Convencional"/>
    <n v="2"/>
    <d v="2019-01-24T00:00:00"/>
    <x v="365"/>
    <x v="0"/>
    <d v="2019-01-26T00:00:00"/>
    <x v="1"/>
    <x v="0"/>
    <n v="0"/>
    <n v="1"/>
  </r>
  <r>
    <d v="2019-01-24T00:00:00"/>
    <n v="11707"/>
    <s v="WHRJ"/>
    <s v="Rio De Janeiro"/>
    <s v="RJ"/>
    <n v="4062"/>
    <x v="27"/>
    <s v="Taguatinga"/>
    <s v="DF"/>
    <x v="1"/>
    <s v="DF"/>
    <n v="4600.9799999999996"/>
    <n v="2"/>
    <n v="9.3640000000000008"/>
    <n v="6100231"/>
    <x v="1"/>
    <s v="Goiania"/>
    <s v="Convencional"/>
    <n v="3"/>
    <d v="2019-01-24T00:00:00"/>
    <x v="363"/>
    <x v="0"/>
    <d v="2019-01-27T00:00:00"/>
    <x v="1"/>
    <x v="0"/>
    <n v="0"/>
    <n v="1"/>
  </r>
  <r>
    <d v="2019-01-24T00:00:00"/>
    <n v="11708"/>
    <s v="WHCPQ"/>
    <s v="Campinas"/>
    <s v="SP"/>
    <n v="4128"/>
    <x v="116"/>
    <s v="Recife"/>
    <s v="PE"/>
    <x v="3"/>
    <s v="PE"/>
    <n v="1751.48"/>
    <n v="5"/>
    <n v="13.013"/>
    <n v="6900304"/>
    <x v="5"/>
    <s v="Fortaleza"/>
    <s v="Convencional"/>
    <n v="6"/>
    <d v="2019-01-25T00:00:00"/>
    <x v="364"/>
    <x v="0"/>
    <d v="2019-01-31T00:00:00"/>
    <x v="0"/>
    <x v="0"/>
    <n v="1"/>
    <n v="1"/>
  </r>
  <r>
    <d v="2019-01-25T00:00:00"/>
    <n v="11709"/>
    <s v="WHVIT"/>
    <s v="Vitoria"/>
    <s v="ES"/>
    <n v="4033"/>
    <x v="35"/>
    <s v="Goiania"/>
    <s v="GO"/>
    <x v="1"/>
    <s v="GO"/>
    <n v="893.27"/>
    <n v="2"/>
    <n v="4.8109999999999999"/>
    <n v="6100231"/>
    <x v="1"/>
    <s v="Goiania"/>
    <s v="Urgente"/>
    <n v="1"/>
    <d v="2019-01-26T00:00:00"/>
    <x v="364"/>
    <x v="0"/>
    <d v="2019-01-27T00:00:00"/>
    <x v="1"/>
    <x v="0"/>
    <n v="0"/>
    <n v="1"/>
  </r>
  <r>
    <d v="2019-01-25T00:00:00"/>
    <n v="11710"/>
    <s v="WHSJC"/>
    <s v="Sao Jose dos Campos"/>
    <s v="SP"/>
    <n v="4023"/>
    <x v="20"/>
    <s v="Sao Jose"/>
    <s v="SC"/>
    <x v="0"/>
    <s v="SC"/>
    <n v="1304.54"/>
    <n v="1"/>
    <n v="0.66"/>
    <n v="6500948"/>
    <x v="0"/>
    <s v="Porto Alegre"/>
    <s v="Convencional"/>
    <n v="10"/>
    <d v="2019-01-26T00:00:00"/>
    <x v="366"/>
    <x v="0"/>
    <d v="2019-02-05T00:00:00"/>
    <x v="0"/>
    <x v="0"/>
    <n v="1"/>
    <n v="1"/>
  </r>
  <r>
    <d v="2019-01-25T00:00:00"/>
    <n v="11711"/>
    <s v="WHBH"/>
    <s v="Belo Horizonte"/>
    <s v="MG"/>
    <n v="4018"/>
    <x v="12"/>
    <s v="Sao Jose"/>
    <s v="SC"/>
    <x v="0"/>
    <s v="SC"/>
    <n v="519.67999999999995"/>
    <n v="1"/>
    <n v="1.1000000000000001"/>
    <n v="6500948"/>
    <x v="0"/>
    <s v="Porto Alegre"/>
    <s v="Convencional"/>
    <n v="10"/>
    <d v="2019-01-26T00:00:00"/>
    <x v="367"/>
    <x v="0"/>
    <d v="2019-02-05T00:00:00"/>
    <x v="0"/>
    <x v="0"/>
    <n v="1"/>
    <n v="1"/>
  </r>
  <r>
    <d v="2019-01-25T00:00:00"/>
    <n v="11712"/>
    <s v="WHSAO"/>
    <s v="Sao Paulo"/>
    <s v="SP"/>
    <n v="4022"/>
    <x v="19"/>
    <s v="Maringa"/>
    <s v="PR"/>
    <x v="0"/>
    <s v="PR"/>
    <n v="465.35"/>
    <n v="2"/>
    <n v="2.9049999999999998"/>
    <n v="6500948"/>
    <x v="0"/>
    <s v="Porto Alegre"/>
    <s v="Convencional"/>
    <n v="6"/>
    <d v="2019-01-26T00:00:00"/>
    <x v="363"/>
    <x v="0"/>
    <d v="2019-02-01T00:00:00"/>
    <x v="0"/>
    <x v="0"/>
    <n v="1"/>
    <n v="1"/>
  </r>
  <r>
    <d v="2019-01-28T00:00:00"/>
    <n v="11713"/>
    <s v="WHSJC"/>
    <s v="Sao Jose dos Campos"/>
    <s v="SP"/>
    <n v="4127"/>
    <x v="115"/>
    <s v="Rio De Janeiro"/>
    <s v="RJ"/>
    <x v="2"/>
    <s v="RJ"/>
    <n v="1446.11"/>
    <n v="1"/>
    <n v="1.1200000000000001"/>
    <n v="6140092"/>
    <x v="4"/>
    <s v="Rio de Janeiro"/>
    <s v="Convencional"/>
    <n v="12"/>
    <d v="2019-01-29T00:00:00"/>
    <x v="362"/>
    <x v="0"/>
    <d v="2019-02-10T00:00:00"/>
    <x v="0"/>
    <x v="0"/>
    <n v="1"/>
    <n v="1"/>
  </r>
  <r>
    <d v="2019-01-28T00:00:00"/>
    <n v="11714"/>
    <s v="WHSJC"/>
    <s v="Sao Jose dos Campos"/>
    <s v="SP"/>
    <n v="4127"/>
    <x v="115"/>
    <s v="Rio De Janeiro"/>
    <s v="RJ"/>
    <x v="2"/>
    <s v="RJ"/>
    <n v="1429.77"/>
    <n v="2"/>
    <n v="3.331"/>
    <n v="6140092"/>
    <x v="4"/>
    <s v="Rio de Janeiro"/>
    <s v="Convencional"/>
    <n v="12"/>
    <d v="2019-01-29T00:00:00"/>
    <x v="368"/>
    <x v="0"/>
    <d v="2019-02-10T00:00:00"/>
    <x v="0"/>
    <x v="0"/>
    <n v="1"/>
    <n v="1"/>
  </r>
  <r>
    <d v="2019-01-28T00:00:00"/>
    <n v="11715"/>
    <s v="WHBH"/>
    <s v="Belo Horizonte"/>
    <s v="MG"/>
    <n v="4013"/>
    <x v="1"/>
    <s v="Blumenau"/>
    <s v="SC"/>
    <x v="0"/>
    <s v="SC"/>
    <n v="11174.57"/>
    <n v="10"/>
    <n v="59.82"/>
    <n v="6500948"/>
    <x v="0"/>
    <s v="Porto Alegre"/>
    <s v="Convencional"/>
    <n v="9"/>
    <d v="2019-01-29T00:00:00"/>
    <x v="366"/>
    <x v="0"/>
    <d v="2019-02-07T00:00:00"/>
    <x v="0"/>
    <x v="0"/>
    <n v="1"/>
    <n v="1"/>
  </r>
  <r>
    <d v="2019-01-28T00:00:00"/>
    <n v="11716"/>
    <s v="WHRJ"/>
    <s v="Rio De Janeiro"/>
    <s v="RJ"/>
    <n v="4032"/>
    <x v="34"/>
    <s v="Goiania"/>
    <s v="GO"/>
    <x v="1"/>
    <s v="GO"/>
    <n v="2687.37"/>
    <n v="1"/>
    <n v="1.1200000000000001"/>
    <n v="6100231"/>
    <x v="1"/>
    <s v="Goiania"/>
    <s v="Convencional"/>
    <n v="4"/>
    <d v="2019-01-29T00:00:00"/>
    <x v="367"/>
    <x v="0"/>
    <d v="2019-02-02T00:00:00"/>
    <x v="0"/>
    <x v="0"/>
    <n v="1"/>
    <n v="1"/>
  </r>
  <r>
    <d v="2019-01-29T00:00:00"/>
    <n v="11717"/>
    <s v="WHSAO"/>
    <s v="Sao Paulo"/>
    <s v="SP"/>
    <n v="4128"/>
    <x v="116"/>
    <s v="Recife"/>
    <s v="PE"/>
    <x v="3"/>
    <s v="PE"/>
    <n v="96.88"/>
    <n v="2"/>
    <n v="0.36699999999999999"/>
    <n v="6900304"/>
    <x v="5"/>
    <s v="Fortaleza"/>
    <s v="Convencional"/>
    <n v="12"/>
    <d v="2019-01-30T00:00:00"/>
    <x v="369"/>
    <x v="0"/>
    <d v="2019-02-11T00:00:00"/>
    <x v="0"/>
    <x v="0"/>
    <n v="1"/>
    <n v="1"/>
  </r>
  <r>
    <d v="2019-01-30T00:00:00"/>
    <n v="11718"/>
    <s v="WHVIT"/>
    <s v="Vitoria"/>
    <s v="ES"/>
    <n v="4084"/>
    <x v="72"/>
    <s v="Aracatuba"/>
    <s v="SP"/>
    <x v="2"/>
    <s v="SP"/>
    <n v="723.92"/>
    <n v="5"/>
    <n v="8.9670000000000005"/>
    <n v="6400835"/>
    <x v="3"/>
    <s v="Guarulhos"/>
    <s v="Convencional"/>
    <n v="1"/>
    <d v="2019-01-31T00:00:00"/>
    <x v="370"/>
    <x v="0"/>
    <d v="2019-02-01T00:00:00"/>
    <x v="1"/>
    <x v="0"/>
    <n v="0"/>
    <n v="1"/>
  </r>
  <r>
    <d v="2019-01-30T00:00:00"/>
    <n v="11719"/>
    <s v="WHCPQ"/>
    <s v="Campinas"/>
    <s v="SP"/>
    <n v="4131"/>
    <x v="119"/>
    <s v="Recife"/>
    <s v="PE"/>
    <x v="3"/>
    <s v="PE"/>
    <n v="1044.45"/>
    <n v="1"/>
    <n v="1.1200000000000001"/>
    <n v="6900304"/>
    <x v="5"/>
    <s v="Fortaleza"/>
    <s v="Convencional"/>
    <n v="9"/>
    <d v="2019-01-31T00:00:00"/>
    <x v="371"/>
    <x v="0"/>
    <d v="2019-02-09T00:00:00"/>
    <x v="0"/>
    <x v="0"/>
    <n v="1"/>
    <n v="1"/>
  </r>
  <r>
    <d v="2019-01-30T00:00:00"/>
    <n v="11720"/>
    <s v="WHBH"/>
    <s v="Belo Horizonte"/>
    <s v="MG"/>
    <n v="4136"/>
    <x v="124"/>
    <s v="Belo Horizonte"/>
    <s v="MG"/>
    <x v="2"/>
    <s v="MG"/>
    <n v="93.27"/>
    <n v="1"/>
    <n v="1.1200000000000001"/>
    <n v="6600879"/>
    <x v="2"/>
    <s v="Belo Horizonte"/>
    <s v="Convencional"/>
    <n v="9"/>
    <d v="2019-01-31T00:00:00"/>
    <x v="372"/>
    <x v="0"/>
    <d v="2019-02-09T00:00:00"/>
    <x v="0"/>
    <x v="0"/>
    <n v="1"/>
    <n v="1"/>
  </r>
  <r>
    <d v="2019-01-30T00:00:00"/>
    <n v="11721"/>
    <s v="WHRJ"/>
    <s v="Rio De Janeiro"/>
    <s v="RJ"/>
    <n v="4018"/>
    <x v="12"/>
    <s v="Sao Jose"/>
    <s v="SC"/>
    <x v="0"/>
    <s v="SC"/>
    <n v="398.12"/>
    <n v="1"/>
    <n v="0.97099999999999997"/>
    <n v="6500948"/>
    <x v="0"/>
    <s v="Porto Alegre"/>
    <s v="Convencional"/>
    <n v="6"/>
    <d v="2019-01-31T00:00:00"/>
    <x v="370"/>
    <x v="0"/>
    <d v="2019-02-06T00:00:00"/>
    <x v="1"/>
    <x v="0"/>
    <n v="0"/>
    <n v="1"/>
  </r>
  <r>
    <d v="2019-01-30T00:00:00"/>
    <n v="11722"/>
    <s v="WHPOA"/>
    <s v="Porto Alegre"/>
    <s v="RS"/>
    <n v="4035"/>
    <x v="37"/>
    <s v="Brasilia"/>
    <s v="DF"/>
    <x v="1"/>
    <s v="DF"/>
    <n v="24.38"/>
    <n v="1"/>
    <n v="0.12"/>
    <n v="6100231"/>
    <x v="1"/>
    <s v="Goiania"/>
    <s v="Convencional"/>
    <n v="2"/>
    <d v="2019-01-31T00:00:00"/>
    <x v="369"/>
    <x v="0"/>
    <d v="2019-02-02T00:00:00"/>
    <x v="1"/>
    <x v="0"/>
    <n v="0"/>
    <n v="1"/>
  </r>
  <r>
    <d v="2019-01-30T00:00:00"/>
    <n v="11723"/>
    <s v="WHSJC"/>
    <s v="Sao Jose dos Campos"/>
    <s v="SP"/>
    <n v="4035"/>
    <x v="37"/>
    <s v="Brasilia"/>
    <s v="DF"/>
    <x v="1"/>
    <s v="DF"/>
    <n v="353.84"/>
    <n v="1"/>
    <n v="9.657"/>
    <n v="6100231"/>
    <x v="1"/>
    <s v="Goiania"/>
    <s v="Convencional"/>
    <n v="9"/>
    <d v="2019-01-31T00:00:00"/>
    <x v="371"/>
    <x v="0"/>
    <d v="2019-02-09T00:00:00"/>
    <x v="0"/>
    <x v="0"/>
    <n v="1"/>
    <n v="1"/>
  </r>
  <r>
    <d v="2019-01-30T00:00:00"/>
    <n v="11724"/>
    <s v="WHSAO"/>
    <s v="Sao Paulo"/>
    <s v="SP"/>
    <n v="4035"/>
    <x v="37"/>
    <s v="Brasilia"/>
    <s v="DF"/>
    <x v="1"/>
    <s v="DF"/>
    <n v="252.19"/>
    <n v="2"/>
    <n v="0.42499999999999999"/>
    <n v="6100231"/>
    <x v="1"/>
    <s v="Goiania"/>
    <s v="Urgente"/>
    <n v="2"/>
    <d v="2019-01-31T00:00:00"/>
    <x v="362"/>
    <x v="0"/>
    <d v="2019-02-02T00:00:00"/>
    <x v="0"/>
    <x v="0"/>
    <n v="1"/>
    <n v="1"/>
  </r>
  <r>
    <d v="2019-01-31T00:00:00"/>
    <n v="11725"/>
    <s v="WHPOA"/>
    <s v="Porto Alegre"/>
    <s v="RS"/>
    <n v="4047"/>
    <x v="50"/>
    <s v="Belo Horizonte"/>
    <s v="MG"/>
    <x v="2"/>
    <s v="MG"/>
    <n v="2315.9"/>
    <n v="3"/>
    <n v="63.607999999999997"/>
    <n v="6600879"/>
    <x v="2"/>
    <s v="Belo Horizonte"/>
    <s v="Convencional"/>
    <n v="1"/>
    <d v="2019-02-01T00:00:00"/>
    <x v="371"/>
    <x v="0"/>
    <d v="2019-02-02T00:00:00"/>
    <x v="1"/>
    <x v="0"/>
    <n v="0"/>
    <n v="1"/>
  </r>
  <r>
    <d v="2019-01-31T00:00:00"/>
    <n v="11726"/>
    <s v="WHCPQ"/>
    <s v="Campinas"/>
    <s v="SP"/>
    <n v="4034"/>
    <x v="36"/>
    <s v="Goiania"/>
    <s v="GO"/>
    <x v="1"/>
    <s v="GO"/>
    <n v="2327.06"/>
    <n v="3"/>
    <n v="51.59"/>
    <n v="6100231"/>
    <x v="1"/>
    <s v="Goiania"/>
    <s v="Convencional"/>
    <n v="9"/>
    <d v="2019-02-01T00:00:00"/>
    <x v="372"/>
    <x v="0"/>
    <d v="2019-02-10T00:00:00"/>
    <x v="0"/>
    <x v="0"/>
    <n v="1"/>
    <n v="1"/>
  </r>
  <r>
    <d v="2019-02-02T00:00:00"/>
    <n v="11727"/>
    <s v="WHCPQ"/>
    <s v="Campinas"/>
    <s v="SP"/>
    <n v="4022"/>
    <x v="19"/>
    <s v="Maringa"/>
    <s v="PR"/>
    <x v="0"/>
    <s v="PR"/>
    <n v="258.13"/>
    <n v="1"/>
    <n v="0.185"/>
    <n v="6500948"/>
    <x v="0"/>
    <s v="Porto Alegre"/>
    <s v="Convencional"/>
    <n v="10"/>
    <d v="2019-02-03T00:00:00"/>
    <x v="372"/>
    <x v="0"/>
    <d v="2019-02-13T00:00:00"/>
    <x v="0"/>
    <x v="0"/>
    <n v="1"/>
    <n v="1"/>
  </r>
  <r>
    <d v="2019-02-05T00:00:00"/>
    <n v="11728"/>
    <s v="WHCPQ"/>
    <s v="Campinas"/>
    <s v="SP"/>
    <n v="4127"/>
    <x v="115"/>
    <s v="Rio De Janeiro"/>
    <s v="RJ"/>
    <x v="2"/>
    <s v="RJ"/>
    <n v="147.36000000000001"/>
    <n v="1"/>
    <n v="3.871"/>
    <n v="6140092"/>
    <x v="4"/>
    <s v="Rio de Janeiro"/>
    <s v="Convencional"/>
    <n v="10"/>
    <d v="2019-02-06T00:00:00"/>
    <x v="373"/>
    <x v="0"/>
    <d v="2019-02-16T00:00:00"/>
    <x v="0"/>
    <x v="0"/>
    <n v="1"/>
    <n v="1"/>
  </r>
  <r>
    <d v="2019-02-05T00:00:00"/>
    <n v="11729"/>
    <s v="WHVIT"/>
    <s v="Vitoria"/>
    <s v="ES"/>
    <n v="4049"/>
    <x v="43"/>
    <s v="Taguatinga"/>
    <s v="DF"/>
    <x v="1"/>
    <s v="DF"/>
    <n v="3009.12"/>
    <n v="3"/>
    <n v="11.382"/>
    <n v="6100231"/>
    <x v="1"/>
    <s v="Goiania"/>
    <s v="Convencional"/>
    <n v="4"/>
    <d v="2019-02-06T00:00:00"/>
    <x v="374"/>
    <x v="0"/>
    <d v="2019-02-10T00:00:00"/>
    <x v="1"/>
    <x v="0"/>
    <n v="0"/>
    <n v="1"/>
  </r>
  <r>
    <d v="2019-02-05T00:00:00"/>
    <n v="11730"/>
    <s v="WHCPQ"/>
    <s v="Campinas"/>
    <s v="SP"/>
    <n v="4049"/>
    <x v="43"/>
    <s v="Taguatinga"/>
    <s v="DF"/>
    <x v="1"/>
    <s v="DF"/>
    <n v="151.86000000000001"/>
    <n v="1"/>
    <n v="1.1200000000000001"/>
    <n v="6100231"/>
    <x v="1"/>
    <s v="Goiania"/>
    <s v="Convencional"/>
    <n v="5"/>
    <d v="2019-02-06T00:00:00"/>
    <x v="375"/>
    <x v="0"/>
    <d v="2019-02-11T00:00:00"/>
    <x v="1"/>
    <x v="0"/>
    <n v="0"/>
    <n v="1"/>
  </r>
  <r>
    <d v="2019-02-05T00:00:00"/>
    <n v="11731"/>
    <s v="WHBH"/>
    <s v="Belo Horizonte"/>
    <s v="MG"/>
    <n v="4049"/>
    <x v="43"/>
    <s v="Taguatinga"/>
    <s v="DF"/>
    <x v="1"/>
    <s v="DF"/>
    <n v="147.55000000000001"/>
    <n v="1"/>
    <n v="1.2969999999999999"/>
    <n v="6100231"/>
    <x v="1"/>
    <s v="Goiania"/>
    <s v="Convencional"/>
    <n v="8"/>
    <d v="2019-02-06T00:00:00"/>
    <x v="374"/>
    <x v="2"/>
    <d v="2019-02-14T00:00:00"/>
    <x v="0"/>
    <x v="1"/>
    <n v="0"/>
    <n v="1"/>
  </r>
  <r>
    <d v="2019-02-05T00:00:00"/>
    <n v="11732"/>
    <s v="WHVIT"/>
    <s v="Vitoria"/>
    <s v="ES"/>
    <n v="4049"/>
    <x v="43"/>
    <s v="Taguatinga"/>
    <s v="DF"/>
    <x v="1"/>
    <s v="DF"/>
    <n v="614.21"/>
    <n v="2"/>
    <n v="0.88"/>
    <n v="6100231"/>
    <x v="1"/>
    <s v="Goiania"/>
    <s v="Convencional"/>
    <n v="5"/>
    <d v="2019-02-06T00:00:00"/>
    <x v="376"/>
    <x v="0"/>
    <d v="2019-02-11T00:00:00"/>
    <x v="1"/>
    <x v="0"/>
    <n v="0"/>
    <n v="1"/>
  </r>
  <r>
    <d v="2019-02-05T00:00:00"/>
    <n v="11733"/>
    <s v="WHVIT"/>
    <s v="Vitoria"/>
    <s v="ES"/>
    <n v="4049"/>
    <x v="43"/>
    <s v="Taguatinga"/>
    <s v="DF"/>
    <x v="1"/>
    <s v="DF"/>
    <n v="150.47999999999999"/>
    <n v="2"/>
    <n v="0.56499999999999995"/>
    <n v="6100231"/>
    <x v="1"/>
    <s v="Goiania"/>
    <s v="Convencional"/>
    <n v="11"/>
    <d v="2019-02-06T00:00:00"/>
    <x v="374"/>
    <x v="0"/>
    <d v="2019-02-17T00:00:00"/>
    <x v="0"/>
    <x v="0"/>
    <n v="1"/>
    <n v="1"/>
  </r>
  <r>
    <d v="2019-02-05T00:00:00"/>
    <n v="11734"/>
    <s v="WHCPQ"/>
    <s v="Campinas"/>
    <s v="SP"/>
    <n v="4049"/>
    <x v="43"/>
    <s v="Taguatinga"/>
    <s v="DF"/>
    <x v="1"/>
    <s v="DF"/>
    <n v="31.6"/>
    <n v="1"/>
    <n v="6.0000000000000001E-3"/>
    <n v="6100231"/>
    <x v="1"/>
    <s v="Goiania"/>
    <s v="Convencional"/>
    <n v="9"/>
    <d v="2019-02-06T00:00:00"/>
    <x v="372"/>
    <x v="0"/>
    <d v="2019-02-15T00:00:00"/>
    <x v="0"/>
    <x v="0"/>
    <n v="1"/>
    <n v="1"/>
  </r>
  <r>
    <d v="2019-02-05T00:00:00"/>
    <n v="11735"/>
    <s v="WHCPQ"/>
    <s v="Campinas"/>
    <s v="SP"/>
    <n v="4049"/>
    <x v="43"/>
    <s v="Taguatinga"/>
    <s v="DF"/>
    <x v="1"/>
    <s v="DF"/>
    <n v="2575.19"/>
    <n v="2"/>
    <n v="14.831"/>
    <n v="6100231"/>
    <x v="1"/>
    <s v="Goiania"/>
    <s v="Convencional"/>
    <n v="5"/>
    <d v="2019-02-06T00:00:00"/>
    <x v="372"/>
    <x v="0"/>
    <d v="2019-02-11T00:00:00"/>
    <x v="0"/>
    <x v="0"/>
    <n v="1"/>
    <n v="1"/>
  </r>
  <r>
    <d v="2019-02-05T00:00:00"/>
    <n v="11736"/>
    <s v="WHCPQ"/>
    <s v="Campinas"/>
    <s v="SP"/>
    <n v="4049"/>
    <x v="43"/>
    <s v="Taguatinga"/>
    <s v="DF"/>
    <x v="1"/>
    <s v="DF"/>
    <n v="16.579999999999998"/>
    <n v="1"/>
    <n v="1.0999999999999999E-2"/>
    <n v="6100231"/>
    <x v="1"/>
    <s v="Goiania"/>
    <s v="Convencional"/>
    <n v="8"/>
    <d v="2019-02-06T00:00:00"/>
    <x v="376"/>
    <x v="0"/>
    <d v="2019-02-14T00:00:00"/>
    <x v="0"/>
    <x v="0"/>
    <n v="1"/>
    <n v="1"/>
  </r>
  <r>
    <d v="2019-02-05T00:00:00"/>
    <n v="11737"/>
    <s v="WHSJC"/>
    <s v="Sao Jose dos Campos"/>
    <s v="SP"/>
    <n v="4049"/>
    <x v="43"/>
    <s v="Taguatinga"/>
    <s v="DF"/>
    <x v="1"/>
    <s v="DF"/>
    <n v="673.24"/>
    <n v="1"/>
    <n v="2.64"/>
    <n v="6100231"/>
    <x v="1"/>
    <s v="Goiania"/>
    <s v="Convencional"/>
    <n v="6"/>
    <d v="2019-02-06T00:00:00"/>
    <x v="377"/>
    <x v="0"/>
    <d v="2019-02-12T00:00:00"/>
    <x v="0"/>
    <x v="0"/>
    <n v="1"/>
    <n v="1"/>
  </r>
  <r>
    <d v="2019-02-05T00:00:00"/>
    <n v="11738"/>
    <s v="WHRJ"/>
    <s v="Rio De Janeiro"/>
    <s v="RJ"/>
    <n v="4049"/>
    <x v="43"/>
    <s v="Taguatinga"/>
    <s v="DF"/>
    <x v="1"/>
    <s v="DF"/>
    <n v="288.5"/>
    <n v="1"/>
    <n v="13.42"/>
    <n v="6100231"/>
    <x v="1"/>
    <s v="Goiania"/>
    <s v="Convencional"/>
    <n v="6"/>
    <d v="2019-02-06T00:00:00"/>
    <x v="370"/>
    <x v="0"/>
    <d v="2019-02-12T00:00:00"/>
    <x v="0"/>
    <x v="0"/>
    <n v="1"/>
    <n v="1"/>
  </r>
  <r>
    <d v="2019-02-06T00:00:00"/>
    <n v="11739"/>
    <s v="WHSJC"/>
    <s v="Sao Jose dos Campos"/>
    <s v="SP"/>
    <n v="4137"/>
    <x v="125"/>
    <s v="Sao Paulo"/>
    <s v="SP"/>
    <x v="2"/>
    <s v="SP"/>
    <n v="1307.8499999999999"/>
    <n v="5"/>
    <n v="67.099999999999994"/>
    <n v="6400835"/>
    <x v="3"/>
    <s v="Guarulhos"/>
    <s v="Convencional"/>
    <n v="8"/>
    <d v="2019-02-07T00:00:00"/>
    <x v="378"/>
    <x v="2"/>
    <d v="2019-02-15T00:00:00"/>
    <x v="0"/>
    <x v="1"/>
    <n v="0"/>
    <n v="1"/>
  </r>
  <r>
    <d v="2019-02-06T00:00:00"/>
    <n v="11740"/>
    <s v="WHSAO"/>
    <s v="Sao Paulo"/>
    <s v="SP"/>
    <n v="4132"/>
    <x v="120"/>
    <s v="Santos"/>
    <s v="SP"/>
    <x v="2"/>
    <s v="SP"/>
    <n v="249.36"/>
    <n v="1"/>
    <n v="0.83299999999999996"/>
    <n v="6400835"/>
    <x v="3"/>
    <s v="Guarulhos"/>
    <s v="Convencional"/>
    <n v="2"/>
    <d v="2019-02-07T00:00:00"/>
    <x v="379"/>
    <x v="0"/>
    <d v="2019-02-09T00:00:00"/>
    <x v="1"/>
    <x v="0"/>
    <n v="0"/>
    <n v="1"/>
  </r>
  <r>
    <d v="2019-02-06T00:00:00"/>
    <n v="11741"/>
    <s v="WHPOA"/>
    <s v="Porto Alegre"/>
    <s v="RS"/>
    <n v="4068"/>
    <x v="4"/>
    <s v="Campo Grande"/>
    <s v="MS"/>
    <x v="1"/>
    <s v="MS"/>
    <n v="2468.6999999999998"/>
    <n v="1"/>
    <n v="4.99"/>
    <n v="6100231"/>
    <x v="1"/>
    <s v="Goiania"/>
    <s v="Convencional"/>
    <n v="4"/>
    <d v="2019-02-07T00:00:00"/>
    <x v="376"/>
    <x v="0"/>
    <d v="2019-02-11T00:00:00"/>
    <x v="1"/>
    <x v="0"/>
    <n v="0"/>
    <n v="1"/>
  </r>
  <r>
    <d v="2019-02-06T00:00:00"/>
    <n v="11742"/>
    <s v="WHPOA"/>
    <s v="Porto Alegre"/>
    <s v="RS"/>
    <n v="4047"/>
    <x v="50"/>
    <s v="Belo Horizonte"/>
    <s v="MG"/>
    <x v="2"/>
    <s v="MG"/>
    <n v="3487.46"/>
    <n v="10"/>
    <n v="134.19999999999999"/>
    <n v="6600879"/>
    <x v="2"/>
    <s v="Belo Horizonte"/>
    <s v="Convencional"/>
    <n v="11"/>
    <d v="2019-02-07T00:00:00"/>
    <x v="370"/>
    <x v="0"/>
    <d v="2019-02-18T00:00:00"/>
    <x v="0"/>
    <x v="0"/>
    <n v="1"/>
    <n v="1"/>
  </r>
  <r>
    <d v="2019-02-06T00:00:00"/>
    <n v="11743"/>
    <s v="WHRJ"/>
    <s v="Rio De Janeiro"/>
    <s v="RJ"/>
    <n v="4013"/>
    <x v="1"/>
    <s v="Blumenau"/>
    <s v="SC"/>
    <x v="0"/>
    <s v="SC"/>
    <n v="249.72"/>
    <n v="1"/>
    <n v="0.499"/>
    <n v="6500948"/>
    <x v="0"/>
    <s v="Porto Alegre"/>
    <s v="Convencional"/>
    <n v="10"/>
    <d v="2019-02-07T00:00:00"/>
    <x v="375"/>
    <x v="0"/>
    <d v="2019-02-17T00:00:00"/>
    <x v="0"/>
    <x v="0"/>
    <n v="1"/>
    <n v="1"/>
  </r>
  <r>
    <d v="2019-02-06T00:00:00"/>
    <n v="11744"/>
    <s v="WHRJ"/>
    <s v="Rio De Janeiro"/>
    <s v="RJ"/>
    <n v="4055"/>
    <x v="45"/>
    <s v="Brasilia"/>
    <s v="DF"/>
    <x v="1"/>
    <s v="DF"/>
    <n v="130.54"/>
    <n v="1"/>
    <n v="0.60899999999999999"/>
    <n v="6100231"/>
    <x v="1"/>
    <s v="Goiania"/>
    <s v="Convencional"/>
    <n v="10"/>
    <d v="2019-02-07T00:00:00"/>
    <x v="370"/>
    <x v="0"/>
    <d v="2019-02-17T00:00:00"/>
    <x v="0"/>
    <x v="0"/>
    <n v="1"/>
    <n v="1"/>
  </r>
  <r>
    <d v="2019-02-06T00:00:00"/>
    <n v="11745"/>
    <s v="WHSAO"/>
    <s v="Sao Paulo"/>
    <s v="SP"/>
    <n v="4027"/>
    <x v="24"/>
    <s v="Novo Hamburgo"/>
    <s v="RS"/>
    <x v="0"/>
    <s v="RS"/>
    <n v="2622.56"/>
    <n v="8"/>
    <n v="107.36"/>
    <n v="6500948"/>
    <x v="0"/>
    <s v="Porto Alegre"/>
    <s v="Convencional"/>
    <n v="9"/>
    <d v="2019-02-07T00:00:00"/>
    <x v="372"/>
    <x v="0"/>
    <d v="2019-02-16T00:00:00"/>
    <x v="0"/>
    <x v="0"/>
    <n v="1"/>
    <n v="1"/>
  </r>
  <r>
    <d v="2019-02-06T00:00:00"/>
    <n v="11746"/>
    <s v="WHPOA"/>
    <s v="Porto Alegre"/>
    <s v="RS"/>
    <n v="4062"/>
    <x v="27"/>
    <s v="Taguatinga"/>
    <s v="DF"/>
    <x v="1"/>
    <s v="DF"/>
    <n v="723.17"/>
    <n v="2"/>
    <n v="26.84"/>
    <n v="6100231"/>
    <x v="1"/>
    <s v="Goiania"/>
    <s v="Convencional"/>
    <n v="8"/>
    <d v="2019-02-07T00:00:00"/>
    <x v="375"/>
    <x v="0"/>
    <d v="2019-02-15T00:00:00"/>
    <x v="1"/>
    <x v="0"/>
    <n v="0"/>
    <n v="1"/>
  </r>
  <r>
    <d v="2019-02-06T00:00:00"/>
    <n v="11747"/>
    <s v="WHSAO"/>
    <s v="Sao Paulo"/>
    <s v="SP"/>
    <n v="4055"/>
    <x v="45"/>
    <s v="Brasilia"/>
    <s v="DF"/>
    <x v="1"/>
    <s v="DF"/>
    <n v="432.13"/>
    <n v="1"/>
    <n v="1.1000000000000001"/>
    <n v="6100231"/>
    <x v="1"/>
    <s v="Goiania"/>
    <s v="Convencional"/>
    <n v="3"/>
    <d v="2019-02-07T00:00:00"/>
    <x v="372"/>
    <x v="0"/>
    <d v="2019-02-10T00:00:00"/>
    <x v="0"/>
    <x v="0"/>
    <n v="1"/>
    <n v="1"/>
  </r>
  <r>
    <d v="2019-02-06T00:00:00"/>
    <n v="11748"/>
    <s v="WHCPQ"/>
    <s v="Campinas"/>
    <s v="SP"/>
    <n v="4027"/>
    <x v="24"/>
    <s v="Novo Hamburgo"/>
    <s v="RS"/>
    <x v="0"/>
    <s v="RS"/>
    <n v="299.67"/>
    <n v="1"/>
    <n v="13.2"/>
    <n v="6500948"/>
    <x v="0"/>
    <s v="Porto Alegre"/>
    <s v="Convencional"/>
    <n v="4"/>
    <d v="2019-02-07T00:00:00"/>
    <x v="375"/>
    <x v="0"/>
    <d v="2019-02-11T00:00:00"/>
    <x v="1"/>
    <x v="0"/>
    <n v="0"/>
    <n v="1"/>
  </r>
  <r>
    <d v="2019-02-06T00:00:00"/>
    <n v="11749"/>
    <s v="WHVIT"/>
    <s v="Vitoria"/>
    <s v="ES"/>
    <n v="4062"/>
    <x v="27"/>
    <s v="Taguatinga"/>
    <s v="DF"/>
    <x v="1"/>
    <s v="DF"/>
    <n v="122.8"/>
    <n v="1"/>
    <n v="1.43"/>
    <n v="6100231"/>
    <x v="1"/>
    <s v="Goiania"/>
    <s v="Convencional"/>
    <n v="2"/>
    <d v="2019-02-07T00:00:00"/>
    <x v="370"/>
    <x v="0"/>
    <d v="2019-02-09T00:00:00"/>
    <x v="1"/>
    <x v="0"/>
    <n v="0"/>
    <n v="1"/>
  </r>
  <r>
    <d v="2019-02-06T00:00:00"/>
    <n v="11750"/>
    <s v="WHPOA"/>
    <s v="Porto Alegre"/>
    <s v="RS"/>
    <n v="4030"/>
    <x v="30"/>
    <s v="Belo Horizonte"/>
    <s v="MG"/>
    <x v="2"/>
    <s v="MG"/>
    <n v="2221.73"/>
    <n v="4"/>
    <n v="13.686"/>
    <n v="6600879"/>
    <x v="2"/>
    <s v="Belo Horizonte"/>
    <s v="Convencional"/>
    <n v="7"/>
    <d v="2019-02-07T00:00:00"/>
    <x v="373"/>
    <x v="0"/>
    <d v="2019-02-14T00:00:00"/>
    <x v="0"/>
    <x v="0"/>
    <n v="1"/>
    <n v="1"/>
  </r>
  <r>
    <d v="2019-02-06T00:00:00"/>
    <n v="11751"/>
    <s v="WHSJC"/>
    <s v="Sao Jose dos Campos"/>
    <s v="SP"/>
    <n v="4030"/>
    <x v="30"/>
    <s v="Belo Horizonte"/>
    <s v="MG"/>
    <x v="2"/>
    <s v="MG"/>
    <n v="23.36"/>
    <n v="1"/>
    <n v="6.0999999999999999E-2"/>
    <n v="6600879"/>
    <x v="2"/>
    <s v="Belo Horizonte"/>
    <s v="Convencional"/>
    <n v="1"/>
    <d v="2019-02-07T00:00:00"/>
    <x v="372"/>
    <x v="0"/>
    <d v="2019-02-08T00:00:00"/>
    <x v="0"/>
    <x v="0"/>
    <n v="1"/>
    <n v="1"/>
  </r>
  <r>
    <d v="2019-02-07T00:00:00"/>
    <n v="11752"/>
    <s v="WHCPQ"/>
    <s v="Campinas"/>
    <s v="SP"/>
    <n v="4068"/>
    <x v="4"/>
    <s v="Campo Grande"/>
    <s v="MS"/>
    <x v="1"/>
    <s v="MS"/>
    <n v="638.16999999999996"/>
    <n v="2"/>
    <n v="1.3640000000000001"/>
    <n v="6100231"/>
    <x v="1"/>
    <s v="Goiania"/>
    <s v="Convencional"/>
    <n v="11"/>
    <d v="2019-02-08T00:00:00"/>
    <x v="370"/>
    <x v="0"/>
    <d v="2019-02-19T00:00:00"/>
    <x v="0"/>
    <x v="0"/>
    <n v="1"/>
    <n v="1"/>
  </r>
  <r>
    <d v="2019-02-07T00:00:00"/>
    <n v="11753"/>
    <s v="WHVIT"/>
    <s v="Vitoria"/>
    <s v="ES"/>
    <n v="4068"/>
    <x v="4"/>
    <s v="Campo Grande"/>
    <s v="MS"/>
    <x v="1"/>
    <s v="MS"/>
    <n v="499.07"/>
    <n v="1"/>
    <n v="4.6760000000000002"/>
    <n v="6100231"/>
    <x v="1"/>
    <s v="Goiania"/>
    <s v="Convencional"/>
    <n v="4"/>
    <d v="2019-02-08T00:00:00"/>
    <x v="374"/>
    <x v="0"/>
    <d v="2019-02-12T00:00:00"/>
    <x v="0"/>
    <x v="0"/>
    <n v="1"/>
    <n v="1"/>
  </r>
  <r>
    <d v="2019-02-07T00:00:00"/>
    <n v="11754"/>
    <s v="WHCPQ"/>
    <s v="Campinas"/>
    <s v="SP"/>
    <n v="4068"/>
    <x v="4"/>
    <s v="Campo Grande"/>
    <s v="MS"/>
    <x v="1"/>
    <s v="MS"/>
    <n v="307.57"/>
    <n v="1"/>
    <n v="1.1100000000000001"/>
    <n v="6100231"/>
    <x v="1"/>
    <s v="Goiania"/>
    <s v="Convencional"/>
    <n v="4"/>
    <d v="2019-02-08T00:00:00"/>
    <x v="375"/>
    <x v="0"/>
    <d v="2019-02-12T00:00:00"/>
    <x v="1"/>
    <x v="0"/>
    <n v="0"/>
    <n v="1"/>
  </r>
  <r>
    <d v="2019-02-07T00:00:00"/>
    <n v="11755"/>
    <s v="WHPOA"/>
    <s v="Porto Alegre"/>
    <s v="RS"/>
    <n v="4028"/>
    <x v="26"/>
    <s v="Sao Jose Dos Pinhais"/>
    <s v="PR"/>
    <x v="0"/>
    <s v="PR"/>
    <n v="344.1"/>
    <n v="1"/>
    <n v="1.1200000000000001"/>
    <n v="6500948"/>
    <x v="0"/>
    <s v="Porto Alegre"/>
    <s v="Convencional"/>
    <n v="8"/>
    <d v="2019-02-08T00:00:00"/>
    <x v="376"/>
    <x v="0"/>
    <d v="2019-02-16T00:00:00"/>
    <x v="0"/>
    <x v="0"/>
    <n v="1"/>
    <n v="1"/>
  </r>
  <r>
    <d v="2019-02-07T00:00:00"/>
    <n v="11756"/>
    <s v="WHVIT"/>
    <s v="Vitoria"/>
    <s v="ES"/>
    <n v="4022"/>
    <x v="19"/>
    <s v="Maringa"/>
    <s v="PR"/>
    <x v="0"/>
    <s v="PR"/>
    <n v="181.95"/>
    <n v="1"/>
    <n v="1.1200000000000001"/>
    <n v="6500948"/>
    <x v="0"/>
    <s v="Porto Alegre"/>
    <s v="Urgente"/>
    <n v="2"/>
    <d v="2019-02-08T00:00:00"/>
    <x v="378"/>
    <x v="0"/>
    <d v="2019-02-10T00:00:00"/>
    <x v="1"/>
    <x v="0"/>
    <n v="0"/>
    <n v="1"/>
  </r>
  <r>
    <d v="2019-02-07T00:00:00"/>
    <n v="11757"/>
    <s v="WHVIT"/>
    <s v="Vitoria"/>
    <s v="ES"/>
    <n v="4028"/>
    <x v="26"/>
    <s v="Sao Jose Dos Pinhais"/>
    <s v="PR"/>
    <x v="0"/>
    <s v="PR"/>
    <n v="974.91"/>
    <n v="3"/>
    <n v="2.0459999999999998"/>
    <n v="6500948"/>
    <x v="0"/>
    <s v="Porto Alegre"/>
    <s v="Convencional"/>
    <n v="5"/>
    <d v="2019-02-08T00:00:00"/>
    <x v="380"/>
    <x v="0"/>
    <d v="2019-02-13T00:00:00"/>
    <x v="1"/>
    <x v="0"/>
    <n v="0"/>
    <n v="1"/>
  </r>
  <r>
    <d v="2019-02-08T00:00:00"/>
    <n v="11758"/>
    <s v="WHVIT"/>
    <s v="Vitoria"/>
    <s v="ES"/>
    <n v="4128"/>
    <x v="116"/>
    <s v="Recife"/>
    <s v="PE"/>
    <x v="3"/>
    <s v="PE"/>
    <n v="249.48"/>
    <n v="1"/>
    <n v="3.96"/>
    <n v="6900304"/>
    <x v="5"/>
    <s v="Fortaleza"/>
    <s v="Convencional"/>
    <n v="4"/>
    <d v="2019-02-09T00:00:00"/>
    <x v="379"/>
    <x v="0"/>
    <d v="2019-02-13T00:00:00"/>
    <x v="1"/>
    <x v="0"/>
    <n v="0"/>
    <n v="1"/>
  </r>
  <r>
    <d v="2019-02-13T00:00:00"/>
    <n v="11759"/>
    <s v="WHVIT"/>
    <s v="Vitoria"/>
    <s v="ES"/>
    <n v="4130"/>
    <x v="118"/>
    <s v="Rio Grande do Sul"/>
    <s v="RS"/>
    <x v="0"/>
    <s v="RS"/>
    <n v="9265.48"/>
    <n v="9"/>
    <n v="53.286000000000001"/>
    <n v="6500948"/>
    <x v="0"/>
    <s v="Porto Alegre"/>
    <s v="Convencional"/>
    <n v="4"/>
    <d v="2019-02-14T00:00:00"/>
    <x v="381"/>
    <x v="0"/>
    <d v="2019-02-18T00:00:00"/>
    <x v="0"/>
    <x v="0"/>
    <n v="1"/>
    <n v="1"/>
  </r>
  <r>
    <d v="2019-02-14T00:00:00"/>
    <n v="11760"/>
    <s v="WHCPQ"/>
    <s v="Campinas"/>
    <s v="SP"/>
    <n v="4068"/>
    <x v="4"/>
    <s v="Campo Grande"/>
    <s v="MS"/>
    <x v="1"/>
    <s v="MS"/>
    <n v="390.91"/>
    <n v="1"/>
    <n v="1.1200000000000001"/>
    <n v="6100231"/>
    <x v="1"/>
    <s v="Goiania"/>
    <s v="Convencional"/>
    <n v="11"/>
    <d v="2019-02-14T00:00:00"/>
    <x v="382"/>
    <x v="0"/>
    <d v="2019-02-25T00:00:00"/>
    <x v="0"/>
    <x v="0"/>
    <n v="1"/>
    <n v="1"/>
  </r>
  <r>
    <d v="2019-02-14T00:00:00"/>
    <n v="11761"/>
    <s v="WHRJ"/>
    <s v="Rio De Janeiro"/>
    <s v="RJ"/>
    <n v="4013"/>
    <x v="1"/>
    <s v="Blumenau"/>
    <s v="SC"/>
    <x v="0"/>
    <s v="SC"/>
    <n v="846.48"/>
    <n v="1"/>
    <n v="1.1000000000000001"/>
    <n v="6500948"/>
    <x v="0"/>
    <s v="Porto Alegre"/>
    <s v="Convencional"/>
    <n v="10"/>
    <d v="2019-02-14T00:00:00"/>
    <x v="381"/>
    <x v="0"/>
    <d v="2019-02-24T00:00:00"/>
    <x v="0"/>
    <x v="0"/>
    <n v="1"/>
    <n v="1"/>
  </r>
  <r>
    <d v="2019-02-15T00:00:00"/>
    <n v="11762"/>
    <s v="WHSAO"/>
    <s v="Sao Paulo"/>
    <s v="SP"/>
    <n v="4045"/>
    <x v="49"/>
    <s v="Belo Horizonte"/>
    <s v="MG"/>
    <x v="2"/>
    <s v="MG"/>
    <n v="4436.8"/>
    <n v="3"/>
    <n v="23.693999999999999"/>
    <n v="6600879"/>
    <x v="2"/>
    <s v="Belo Horizonte"/>
    <s v="Convencional"/>
    <n v="3"/>
    <d v="2019-02-15T00:00:00"/>
    <x v="379"/>
    <x v="1"/>
    <d v="2019-02-18T00:00:00"/>
    <x v="0"/>
    <x v="1"/>
    <n v="0"/>
    <n v="1"/>
  </r>
  <r>
    <d v="2019-02-15T00:00:00"/>
    <n v="11763"/>
    <s v="WHRJ"/>
    <s v="Rio De Janeiro"/>
    <s v="RJ"/>
    <n v="4044"/>
    <x v="48"/>
    <s v="Belo Horizonte"/>
    <s v="MG"/>
    <x v="2"/>
    <s v="MG"/>
    <n v="423.7"/>
    <n v="1"/>
    <n v="5.5060000000000002"/>
    <n v="6600879"/>
    <x v="2"/>
    <s v="Belo Horizonte"/>
    <s v="Convencional"/>
    <n v="9"/>
    <d v="2019-02-15T00:00:00"/>
    <x v="383"/>
    <x v="0"/>
    <d v="2019-02-24T00:00:00"/>
    <x v="0"/>
    <x v="0"/>
    <n v="1"/>
    <n v="1"/>
  </r>
  <r>
    <d v="2019-02-15T00:00:00"/>
    <n v="11764"/>
    <s v="WHCPQ"/>
    <s v="Campinas"/>
    <s v="SP"/>
    <n v="4044"/>
    <x v="48"/>
    <s v="Belo Horizonte"/>
    <s v="MG"/>
    <x v="2"/>
    <s v="MG"/>
    <n v="1471.6"/>
    <n v="1"/>
    <n v="0.64900000000000002"/>
    <n v="6600879"/>
    <x v="2"/>
    <s v="Belo Horizonte"/>
    <s v="Convencional"/>
    <n v="6"/>
    <d v="2019-02-15T00:00:00"/>
    <x v="384"/>
    <x v="0"/>
    <d v="2019-02-21T00:00:00"/>
    <x v="0"/>
    <x v="0"/>
    <n v="1"/>
    <n v="1"/>
  </r>
  <r>
    <d v="2019-02-15T00:00:00"/>
    <n v="11765"/>
    <s v="WHVIT"/>
    <s v="Vitoria"/>
    <s v="ES"/>
    <n v="4045"/>
    <x v="49"/>
    <s v="Belo Horizonte"/>
    <s v="MG"/>
    <x v="2"/>
    <s v="MG"/>
    <n v="2186.1999999999998"/>
    <n v="2"/>
    <n v="21.65"/>
    <n v="6600879"/>
    <x v="2"/>
    <s v="Belo Horizonte"/>
    <s v="Convencional"/>
    <n v="5"/>
    <d v="2019-02-15T00:00:00"/>
    <x v="385"/>
    <x v="0"/>
    <d v="2019-02-20T00:00:00"/>
    <x v="1"/>
    <x v="0"/>
    <n v="0"/>
    <n v="1"/>
  </r>
  <r>
    <d v="2019-02-15T00:00:00"/>
    <n v="11766"/>
    <s v="WHRJ"/>
    <s v="Rio De Janeiro"/>
    <s v="RJ"/>
    <n v="4044"/>
    <x v="48"/>
    <s v="Belo Horizonte"/>
    <s v="MG"/>
    <x v="2"/>
    <s v="MG"/>
    <n v="1051.74"/>
    <n v="1"/>
    <n v="9.35"/>
    <n v="6600879"/>
    <x v="2"/>
    <s v="Belo Horizonte"/>
    <s v="Convencional"/>
    <n v="5"/>
    <d v="2019-02-15T00:00:00"/>
    <x v="386"/>
    <x v="1"/>
    <d v="2019-02-20T00:00:00"/>
    <x v="1"/>
    <x v="1"/>
    <n v="0"/>
    <n v="1"/>
  </r>
  <r>
    <d v="2019-02-16T00:00:00"/>
    <n v="11767"/>
    <s v="WHSJC"/>
    <s v="Sao Jose dos Campos"/>
    <s v="SP"/>
    <n v="4105"/>
    <x v="93"/>
    <s v="Rio De Janeiro"/>
    <s v="RJ"/>
    <x v="2"/>
    <s v="RJ"/>
    <n v="10845.8"/>
    <n v="16"/>
    <n v="76.384"/>
    <n v="6140092"/>
    <x v="4"/>
    <s v="Rio de Janeiro"/>
    <s v="Convencional"/>
    <n v="1"/>
    <d v="2019-02-16T00:00:00"/>
    <x v="386"/>
    <x v="0"/>
    <d v="2019-02-17T00:00:00"/>
    <x v="1"/>
    <x v="0"/>
    <n v="0"/>
    <n v="1"/>
  </r>
  <r>
    <d v="2019-02-17T00:00:00"/>
    <n v="11768"/>
    <s v="WHSAO"/>
    <s v="Sao Paulo"/>
    <s v="SP"/>
    <n v="4013"/>
    <x v="1"/>
    <s v="Blumenau"/>
    <s v="SC"/>
    <x v="0"/>
    <s v="SC"/>
    <n v="2554.15"/>
    <n v="2"/>
    <n v="19.07"/>
    <n v="6500948"/>
    <x v="0"/>
    <s v="Porto Alegre"/>
    <s v="Convencional"/>
    <n v="9"/>
    <d v="2019-02-17T00:00:00"/>
    <x v="384"/>
    <x v="0"/>
    <d v="2019-02-26T00:00:00"/>
    <x v="0"/>
    <x v="0"/>
    <n v="1"/>
    <n v="1"/>
  </r>
  <r>
    <d v="2019-02-17T00:00:00"/>
    <n v="11769"/>
    <s v="WHSJC"/>
    <s v="Sao Jose dos Campos"/>
    <s v="SP"/>
    <n v="4022"/>
    <x v="19"/>
    <s v="Maringa"/>
    <s v="PR"/>
    <x v="0"/>
    <s v="PR"/>
    <n v="396.58"/>
    <n v="1"/>
    <n v="13.42"/>
    <n v="6500948"/>
    <x v="0"/>
    <s v="Porto Alegre"/>
    <s v="Convencional"/>
    <n v="3"/>
    <d v="2019-02-17T00:00:00"/>
    <x v="387"/>
    <x v="0"/>
    <d v="2019-02-20T00:00:00"/>
    <x v="1"/>
    <x v="0"/>
    <n v="0"/>
    <n v="1"/>
  </r>
  <r>
    <d v="2019-02-17T00:00:00"/>
    <n v="11770"/>
    <s v="WHVIT"/>
    <s v="Vitoria"/>
    <s v="ES"/>
    <n v="4022"/>
    <x v="19"/>
    <s v="Maringa"/>
    <s v="PR"/>
    <x v="0"/>
    <s v="PR"/>
    <n v="2310.8200000000002"/>
    <n v="4"/>
    <n v="18.53"/>
    <n v="6500948"/>
    <x v="0"/>
    <s v="Porto Alegre"/>
    <s v="Convencional"/>
    <n v="9"/>
    <d v="2019-02-17T00:00:00"/>
    <x v="387"/>
    <x v="0"/>
    <d v="2019-02-26T00:00:00"/>
    <x v="1"/>
    <x v="0"/>
    <n v="0"/>
    <n v="1"/>
  </r>
  <r>
    <d v="2019-02-17T00:00:00"/>
    <n v="11771"/>
    <s v="WHPOA"/>
    <s v="Porto Alegre"/>
    <s v="RS"/>
    <n v="4022"/>
    <x v="19"/>
    <s v="Maringa"/>
    <s v="PR"/>
    <x v="0"/>
    <s v="PR"/>
    <n v="1262.54"/>
    <n v="1"/>
    <n v="11.837999999999999"/>
    <n v="6500948"/>
    <x v="0"/>
    <s v="Porto Alegre"/>
    <s v="Convencional"/>
    <n v="11"/>
    <d v="2019-02-17T00:00:00"/>
    <x v="383"/>
    <x v="0"/>
    <d v="2019-02-28T00:00:00"/>
    <x v="0"/>
    <x v="0"/>
    <n v="1"/>
    <n v="1"/>
  </r>
  <r>
    <d v="2019-02-19T00:00:00"/>
    <n v="11772"/>
    <s v="WHSAO"/>
    <s v="Sao Paulo"/>
    <s v="SP"/>
    <n v="4023"/>
    <x v="20"/>
    <s v="Sao Jose"/>
    <s v="SC"/>
    <x v="0"/>
    <s v="SC"/>
    <n v="4596.6899999999996"/>
    <n v="5"/>
    <n v="31.983000000000001"/>
    <n v="6500948"/>
    <x v="0"/>
    <s v="Porto Alegre"/>
    <s v="Convencional"/>
    <n v="9"/>
    <d v="2019-02-19T00:00:00"/>
    <x v="387"/>
    <x v="0"/>
    <d v="2019-02-28T00:00:00"/>
    <x v="0"/>
    <x v="0"/>
    <n v="1"/>
    <n v="1"/>
  </r>
  <r>
    <d v="2019-02-19T00:00:00"/>
    <n v="11773"/>
    <s v="WHPOA"/>
    <s v="Porto Alegre"/>
    <s v="RS"/>
    <n v="4034"/>
    <x v="36"/>
    <s v="Goiania"/>
    <s v="GO"/>
    <x v="1"/>
    <s v="GO"/>
    <n v="679.69"/>
    <n v="1"/>
    <n v="4.18"/>
    <n v="6100231"/>
    <x v="1"/>
    <s v="Goiania"/>
    <s v="Convencional"/>
    <n v="7"/>
    <d v="2019-02-19T00:00:00"/>
    <x v="388"/>
    <x v="0"/>
    <d v="2019-02-26T00:00:00"/>
    <x v="0"/>
    <x v="0"/>
    <n v="1"/>
    <n v="1"/>
  </r>
  <r>
    <d v="2019-02-20T00:00:00"/>
    <n v="11774"/>
    <s v="WHSAO"/>
    <s v="Sao Paulo"/>
    <s v="SP"/>
    <n v="4057"/>
    <x v="55"/>
    <s v="Taguatinga"/>
    <s v="DF"/>
    <x v="1"/>
    <s v="DF"/>
    <n v="610.19000000000005"/>
    <n v="1"/>
    <n v="1.65"/>
    <n v="6100231"/>
    <x v="1"/>
    <s v="Goiania"/>
    <s v="Convencional"/>
    <n v="12"/>
    <d v="2019-02-20T00:00:00"/>
    <x v="383"/>
    <x v="0"/>
    <d v="2019-03-04T00:00:00"/>
    <x v="0"/>
    <x v="0"/>
    <n v="1"/>
    <n v="1"/>
  </r>
  <r>
    <d v="2019-02-20T00:00:00"/>
    <n v="11775"/>
    <s v="WHSAO"/>
    <s v="Sao Paulo"/>
    <s v="SP"/>
    <n v="4014"/>
    <x v="3"/>
    <s v="Ipatinga"/>
    <s v="MG"/>
    <x v="2"/>
    <s v="MG"/>
    <n v="1597.85"/>
    <n v="1"/>
    <n v="13.2"/>
    <n v="6600879"/>
    <x v="2"/>
    <s v="Belo Horizonte"/>
    <s v="Convencional"/>
    <n v="5"/>
    <d v="2019-02-20T00:00:00"/>
    <x v="386"/>
    <x v="0"/>
    <d v="2019-02-25T00:00:00"/>
    <x v="0"/>
    <x v="0"/>
    <n v="1"/>
    <n v="1"/>
  </r>
  <r>
    <d v="2019-02-20T00:00:00"/>
    <n v="11776"/>
    <s v="WHSAO"/>
    <s v="Sao Paulo"/>
    <s v="SP"/>
    <n v="4014"/>
    <x v="3"/>
    <s v="Ipatinga"/>
    <s v="MG"/>
    <x v="2"/>
    <s v="MG"/>
    <n v="6236.41"/>
    <n v="7"/>
    <n v="43.427999999999997"/>
    <n v="6600879"/>
    <x v="2"/>
    <s v="Belo Horizonte"/>
    <s v="Convencional"/>
    <n v="2"/>
    <d v="2019-02-20T00:00:00"/>
    <x v="389"/>
    <x v="0"/>
    <d v="2019-02-22T00:00:00"/>
    <x v="1"/>
    <x v="0"/>
    <n v="0"/>
    <n v="1"/>
  </r>
  <r>
    <d v="2019-02-20T00:00:00"/>
    <n v="11777"/>
    <s v="WHPOA"/>
    <s v="Porto Alegre"/>
    <s v="RS"/>
    <n v="4014"/>
    <x v="3"/>
    <s v="Ipatinga"/>
    <s v="MG"/>
    <x v="2"/>
    <s v="MG"/>
    <n v="1665.78"/>
    <n v="1"/>
    <n v="19.821999999999999"/>
    <n v="6600879"/>
    <x v="2"/>
    <s v="Belo Horizonte"/>
    <s v="Convencional"/>
    <n v="7"/>
    <d v="2019-02-20T00:00:00"/>
    <x v="387"/>
    <x v="0"/>
    <d v="2019-02-27T00:00:00"/>
    <x v="0"/>
    <x v="0"/>
    <n v="1"/>
    <n v="1"/>
  </r>
  <r>
    <d v="2019-02-20T00:00:00"/>
    <n v="11778"/>
    <s v="WHPOA"/>
    <s v="Porto Alegre"/>
    <s v="RS"/>
    <n v="4041"/>
    <x v="16"/>
    <s v="Goiania"/>
    <s v="GO"/>
    <x v="1"/>
    <s v="GO"/>
    <n v="1017.23"/>
    <n v="1"/>
    <n v="0.44"/>
    <n v="6100231"/>
    <x v="1"/>
    <s v="Goiania"/>
    <s v="Convencional"/>
    <n v="4"/>
    <d v="2019-02-20T00:00:00"/>
    <x v="390"/>
    <x v="0"/>
    <d v="2019-02-24T00:00:00"/>
    <x v="1"/>
    <x v="0"/>
    <n v="0"/>
    <n v="1"/>
  </r>
  <r>
    <d v="2019-02-20T00:00:00"/>
    <n v="11779"/>
    <s v="WHPOA"/>
    <s v="Porto Alegre"/>
    <s v="RS"/>
    <n v="4041"/>
    <x v="16"/>
    <s v="Goiania"/>
    <s v="GO"/>
    <x v="1"/>
    <s v="GO"/>
    <n v="1665.78"/>
    <n v="1"/>
    <n v="19.821999999999999"/>
    <n v="6100231"/>
    <x v="1"/>
    <s v="Goiania"/>
    <s v="Convencional"/>
    <n v="8"/>
    <d v="2019-02-20T00:00:00"/>
    <x v="391"/>
    <x v="0"/>
    <d v="2019-02-28T00:00:00"/>
    <x v="1"/>
    <x v="0"/>
    <n v="0"/>
    <n v="1"/>
  </r>
  <r>
    <d v="2019-02-20T00:00:00"/>
    <n v="11780"/>
    <s v="WHBH"/>
    <s v="Belo Horizonte"/>
    <s v="MG"/>
    <n v="4041"/>
    <x v="16"/>
    <s v="Goiania"/>
    <s v="GO"/>
    <x v="1"/>
    <s v="GO"/>
    <n v="784.18"/>
    <n v="2"/>
    <n v="4.8789999999999996"/>
    <n v="6100231"/>
    <x v="1"/>
    <s v="Goiania"/>
    <s v="Convencional"/>
    <n v="8"/>
    <d v="2019-02-20T00:00:00"/>
    <x v="392"/>
    <x v="0"/>
    <d v="2019-02-28T00:00:00"/>
    <x v="0"/>
    <x v="0"/>
    <n v="1"/>
    <n v="1"/>
  </r>
  <r>
    <d v="2019-02-20T00:00:00"/>
    <n v="11781"/>
    <s v="WHPOA"/>
    <s v="Porto Alegre"/>
    <s v="RS"/>
    <n v="4041"/>
    <x v="16"/>
    <s v="Goiania"/>
    <s v="GO"/>
    <x v="1"/>
    <s v="GO"/>
    <n v="276.18"/>
    <n v="1"/>
    <n v="1.1879999999999999"/>
    <n v="6100231"/>
    <x v="1"/>
    <s v="Goiania"/>
    <s v="Convencional"/>
    <n v="10"/>
    <d v="2019-02-20T00:00:00"/>
    <x v="386"/>
    <x v="0"/>
    <d v="2019-03-02T00:00:00"/>
    <x v="0"/>
    <x v="0"/>
    <n v="1"/>
    <n v="1"/>
  </r>
  <r>
    <d v="2019-02-21T00:00:00"/>
    <n v="11782"/>
    <s v="WHCPQ"/>
    <s v="Campinas"/>
    <s v="SP"/>
    <n v="4128"/>
    <x v="116"/>
    <s v="Recife"/>
    <s v="PE"/>
    <x v="3"/>
    <s v="PE"/>
    <n v="699.88"/>
    <n v="2"/>
    <n v="6.694"/>
    <n v="6900304"/>
    <x v="5"/>
    <s v="Fortaleza"/>
    <s v="Convencional"/>
    <n v="2"/>
    <d v="2019-02-21T00:00:00"/>
    <x v="387"/>
    <x v="0"/>
    <d v="2019-02-23T00:00:00"/>
    <x v="1"/>
    <x v="0"/>
    <n v="0"/>
    <n v="1"/>
  </r>
  <r>
    <d v="2019-02-22T00:00:00"/>
    <n v="11783"/>
    <s v="WHRJ"/>
    <s v="Rio De Janeiro"/>
    <s v="RJ"/>
    <n v="4068"/>
    <x v="4"/>
    <s v="Campo Grande"/>
    <s v="MS"/>
    <x v="1"/>
    <s v="MS"/>
    <n v="7857.18"/>
    <n v="7"/>
    <n v="58.08"/>
    <n v="6100231"/>
    <x v="1"/>
    <s v="Goiania"/>
    <s v="Urgente"/>
    <n v="8"/>
    <d v="2019-02-22T00:00:00"/>
    <x v="386"/>
    <x v="0"/>
    <d v="2019-03-02T00:00:00"/>
    <x v="0"/>
    <x v="0"/>
    <n v="1"/>
    <n v="1"/>
  </r>
  <r>
    <d v="2019-02-22T00:00:00"/>
    <n v="11784"/>
    <s v="WHRJ"/>
    <s v="Rio De Janeiro"/>
    <s v="RJ"/>
    <n v="4069"/>
    <x v="57"/>
    <s v="Brasilia"/>
    <s v="DF"/>
    <x v="1"/>
    <s v="DF"/>
    <n v="610.19000000000005"/>
    <n v="1"/>
    <n v="1.65"/>
    <n v="6100231"/>
    <x v="1"/>
    <s v="Goiania"/>
    <s v="Convencional"/>
    <n v="5"/>
    <d v="2019-02-22T00:00:00"/>
    <x v="392"/>
    <x v="0"/>
    <d v="2019-02-27T00:00:00"/>
    <x v="1"/>
    <x v="0"/>
    <n v="0"/>
    <n v="1"/>
  </r>
  <r>
    <d v="2019-02-22T00:00:00"/>
    <n v="11785"/>
    <s v="WHBH"/>
    <s v="Belo Horizonte"/>
    <s v="MG"/>
    <n v="4023"/>
    <x v="20"/>
    <s v="Sao Jose"/>
    <s v="SC"/>
    <x v="0"/>
    <s v="SC"/>
    <n v="718.26"/>
    <n v="1"/>
    <n v="5.5"/>
    <n v="6500948"/>
    <x v="0"/>
    <s v="Porto Alegre"/>
    <s v="Convencional"/>
    <n v="4"/>
    <d v="2019-02-22T00:00:00"/>
    <x v="391"/>
    <x v="0"/>
    <d v="2019-02-26T00:00:00"/>
    <x v="1"/>
    <x v="0"/>
    <n v="0"/>
    <n v="1"/>
  </r>
  <r>
    <d v="2019-02-22T00:00:00"/>
    <n v="11786"/>
    <s v="WHSAO"/>
    <s v="Sao Paulo"/>
    <s v="SP"/>
    <n v="4040"/>
    <x v="42"/>
    <s v="Brasilia"/>
    <s v="DF"/>
    <x v="1"/>
    <s v="DF"/>
    <n v="2582.13"/>
    <n v="4"/>
    <n v="18.420000000000002"/>
    <n v="6100231"/>
    <x v="1"/>
    <s v="Goiania"/>
    <s v="Convencional"/>
    <n v="8"/>
    <d v="2019-02-22T00:00:00"/>
    <x v="389"/>
    <x v="0"/>
    <d v="2019-03-02T00:00:00"/>
    <x v="0"/>
    <x v="0"/>
    <n v="1"/>
    <n v="1"/>
  </r>
  <r>
    <d v="2019-02-22T00:00:00"/>
    <n v="11787"/>
    <s v="WHCPQ"/>
    <s v="Campinas"/>
    <s v="SP"/>
    <n v="4027"/>
    <x v="24"/>
    <s v="Novo Hamburgo"/>
    <s v="RS"/>
    <x v="0"/>
    <s v="RS"/>
    <n v="242.85"/>
    <n v="1"/>
    <n v="0.91900000000000004"/>
    <n v="6500948"/>
    <x v="0"/>
    <s v="Porto Alegre"/>
    <s v="Convencional"/>
    <n v="8"/>
    <d v="2019-02-22T00:00:00"/>
    <x v="389"/>
    <x v="0"/>
    <d v="2019-03-02T00:00:00"/>
    <x v="0"/>
    <x v="0"/>
    <n v="1"/>
    <n v="1"/>
  </r>
  <r>
    <d v="2019-02-22T00:00:00"/>
    <n v="11788"/>
    <s v="WHPOA"/>
    <s v="Porto Alegre"/>
    <s v="RS"/>
    <n v="4040"/>
    <x v="42"/>
    <s v="Brasilia"/>
    <s v="DF"/>
    <x v="1"/>
    <s v="DF"/>
    <n v="3825.48"/>
    <n v="5"/>
    <n v="37.369"/>
    <n v="6100231"/>
    <x v="1"/>
    <s v="Goiania"/>
    <s v="Convencional"/>
    <n v="12"/>
    <d v="2019-02-22T00:00:00"/>
    <x v="387"/>
    <x v="0"/>
    <d v="2019-03-06T00:00:00"/>
    <x v="0"/>
    <x v="0"/>
    <n v="1"/>
    <n v="1"/>
  </r>
  <r>
    <d v="2019-02-22T00:00:00"/>
    <n v="11789"/>
    <s v="WHVIT"/>
    <s v="Vitoria"/>
    <s v="ES"/>
    <n v="4027"/>
    <x v="24"/>
    <s v="Novo Hamburgo"/>
    <s v="RS"/>
    <x v="0"/>
    <s v="RS"/>
    <n v="1762.56"/>
    <n v="3"/>
    <n v="23.326000000000001"/>
    <n v="6500948"/>
    <x v="0"/>
    <s v="Porto Alegre"/>
    <s v="Convencional"/>
    <n v="10"/>
    <d v="2019-02-22T00:00:00"/>
    <x v="390"/>
    <x v="0"/>
    <d v="2019-03-04T00:00:00"/>
    <x v="0"/>
    <x v="0"/>
    <n v="1"/>
    <n v="1"/>
  </r>
  <r>
    <d v="2019-02-22T00:00:00"/>
    <n v="11790"/>
    <s v="WHSAO"/>
    <s v="Sao Paulo"/>
    <s v="SP"/>
    <n v="4030"/>
    <x v="30"/>
    <s v="Belo Horizonte"/>
    <s v="MG"/>
    <x v="2"/>
    <s v="MG"/>
    <n v="953.87"/>
    <n v="1"/>
    <n v="5.5060000000000002"/>
    <n v="6600879"/>
    <x v="2"/>
    <s v="Belo Horizonte"/>
    <s v="Convencional"/>
    <n v="11"/>
    <d v="2019-02-22T00:00:00"/>
    <x v="393"/>
    <x v="0"/>
    <d v="2019-03-05T00:00:00"/>
    <x v="0"/>
    <x v="0"/>
    <n v="1"/>
    <n v="1"/>
  </r>
  <r>
    <d v="2019-02-22T00:00:00"/>
    <n v="11791"/>
    <s v="WHBH"/>
    <s v="Belo Horizonte"/>
    <s v="MG"/>
    <n v="4030"/>
    <x v="30"/>
    <s v="Belo Horizonte"/>
    <s v="MG"/>
    <x v="2"/>
    <s v="MG"/>
    <n v="653.37"/>
    <n v="1"/>
    <n v="4.6760000000000002"/>
    <n v="6600879"/>
    <x v="2"/>
    <s v="Belo Horizonte"/>
    <s v="Convencional"/>
    <n v="7"/>
    <d v="2019-02-22T00:00:00"/>
    <x v="394"/>
    <x v="0"/>
    <d v="2019-03-01T00:00:00"/>
    <x v="1"/>
    <x v="0"/>
    <n v="0"/>
    <n v="1"/>
  </r>
  <r>
    <d v="2019-02-22T00:00:00"/>
    <n v="11792"/>
    <s v="WHVIT"/>
    <s v="Vitoria"/>
    <s v="ES"/>
    <n v="4030"/>
    <x v="30"/>
    <s v="Belo Horizonte"/>
    <s v="MG"/>
    <x v="2"/>
    <s v="MG"/>
    <n v="2435"/>
    <n v="3"/>
    <n v="12.694000000000001"/>
    <n v="6600879"/>
    <x v="2"/>
    <s v="Belo Horizonte"/>
    <s v="Convencional"/>
    <n v="11"/>
    <d v="2019-02-22T00:00:00"/>
    <x v="391"/>
    <x v="0"/>
    <d v="2019-03-05T00:00:00"/>
    <x v="0"/>
    <x v="0"/>
    <n v="1"/>
    <n v="1"/>
  </r>
  <r>
    <d v="2019-02-22T00:00:00"/>
    <n v="11793"/>
    <s v="WHPOA"/>
    <s v="Porto Alegre"/>
    <s v="RS"/>
    <n v="4030"/>
    <x v="30"/>
    <s v="Belo Horizonte"/>
    <s v="MG"/>
    <x v="2"/>
    <s v="MG"/>
    <n v="3050.67"/>
    <n v="5"/>
    <n v="25.033999999999999"/>
    <n v="6600879"/>
    <x v="2"/>
    <s v="Belo Horizonte"/>
    <s v="Convencional"/>
    <n v="10"/>
    <d v="2019-02-22T00:00:00"/>
    <x v="389"/>
    <x v="0"/>
    <d v="2019-03-04T00:00:00"/>
    <x v="0"/>
    <x v="0"/>
    <n v="1"/>
    <n v="1"/>
  </r>
  <r>
    <d v="2019-02-22T00:00:00"/>
    <n v="11794"/>
    <s v="WHSAO"/>
    <s v="Sao Paulo"/>
    <s v="SP"/>
    <n v="4030"/>
    <x v="30"/>
    <s v="Belo Horizonte"/>
    <s v="MG"/>
    <x v="2"/>
    <s v="MG"/>
    <n v="12384.26"/>
    <n v="9"/>
    <n v="55.408000000000001"/>
    <n v="6600879"/>
    <x v="2"/>
    <s v="Belo Horizonte"/>
    <s v="Convencional"/>
    <n v="11"/>
    <d v="2019-02-22T00:00:00"/>
    <x v="393"/>
    <x v="1"/>
    <d v="2019-03-05T00:00:00"/>
    <x v="0"/>
    <x v="1"/>
    <n v="0"/>
    <n v="1"/>
  </r>
  <r>
    <d v="2019-02-23T00:00:00"/>
    <n v="11795"/>
    <s v="WHRJ"/>
    <s v="Rio De Janeiro"/>
    <s v="RJ"/>
    <n v="4136"/>
    <x v="124"/>
    <s v="Belo Horizonte"/>
    <s v="MG"/>
    <x v="2"/>
    <s v="MG"/>
    <n v="421.25"/>
    <n v="1"/>
    <n v="5.5060000000000002"/>
    <n v="6600879"/>
    <x v="2"/>
    <s v="Belo Horizonte"/>
    <s v="Convencional"/>
    <n v="12"/>
    <d v="2019-02-23T00:00:00"/>
    <x v="394"/>
    <x v="0"/>
    <d v="2019-03-07T00:00:00"/>
    <x v="0"/>
    <x v="0"/>
    <n v="1"/>
    <n v="1"/>
  </r>
  <r>
    <d v="2019-02-23T00:00:00"/>
    <n v="11796"/>
    <s v="WHCPQ"/>
    <s v="Campinas"/>
    <s v="SP"/>
    <n v="4138"/>
    <x v="126"/>
    <s v="Manaus"/>
    <s v="AM"/>
    <x v="4"/>
    <s v="AM"/>
    <n v="2295.87"/>
    <n v="1"/>
    <n v="4.5110000000000001"/>
    <n v="6700091"/>
    <x v="6"/>
    <s v="Manaus"/>
    <s v="Convencional"/>
    <n v="8"/>
    <d v="2019-02-23T00:00:00"/>
    <x v="392"/>
    <x v="1"/>
    <d v="2019-03-03T00:00:00"/>
    <x v="0"/>
    <x v="1"/>
    <n v="0"/>
    <n v="1"/>
  </r>
  <r>
    <d v="2019-02-23T00:00:00"/>
    <n v="11797"/>
    <s v="WHVIT"/>
    <s v="Vitoria"/>
    <s v="ES"/>
    <n v="4037"/>
    <x v="39"/>
    <s v="Brasilia"/>
    <s v="DF"/>
    <x v="1"/>
    <s v="DF"/>
    <n v="244.26"/>
    <n v="1"/>
    <n v="0.91900000000000004"/>
    <n v="6100231"/>
    <x v="1"/>
    <s v="Goiania"/>
    <s v="Convencional"/>
    <n v="7"/>
    <d v="2019-02-23T00:00:00"/>
    <x v="394"/>
    <x v="0"/>
    <d v="2019-03-02T00:00:00"/>
    <x v="1"/>
    <x v="0"/>
    <n v="0"/>
    <n v="1"/>
  </r>
  <r>
    <d v="2019-02-23T00:00:00"/>
    <n v="11798"/>
    <s v="WHVIT"/>
    <s v="Vitoria"/>
    <s v="ES"/>
    <n v="4056"/>
    <x v="44"/>
    <s v="Goiania"/>
    <s v="GO"/>
    <x v="1"/>
    <s v="GO"/>
    <n v="982.16"/>
    <n v="2"/>
    <n v="5.5110000000000001"/>
    <n v="6100231"/>
    <x v="1"/>
    <s v="Goiania"/>
    <s v="Convencional"/>
    <n v="5"/>
    <d v="2019-02-23T00:00:00"/>
    <x v="383"/>
    <x v="0"/>
    <d v="2019-02-28T00:00:00"/>
    <x v="0"/>
    <x v="0"/>
    <n v="1"/>
    <n v="1"/>
  </r>
  <r>
    <d v="2019-02-23T00:00:00"/>
    <n v="11799"/>
    <s v="WHRJ"/>
    <s v="Rio De Janeiro"/>
    <s v="RJ"/>
    <n v="4028"/>
    <x v="26"/>
    <s v="Sao Jose Dos Pinhais"/>
    <s v="PR"/>
    <x v="0"/>
    <s v="PR"/>
    <n v="1420.47"/>
    <n v="1"/>
    <n v="4.992"/>
    <n v="6500948"/>
    <x v="0"/>
    <s v="Porto Alegre"/>
    <s v="Convencional"/>
    <n v="4"/>
    <d v="2019-02-23T00:00:00"/>
    <x v="395"/>
    <x v="1"/>
    <d v="2019-02-27T00:00:00"/>
    <x v="1"/>
    <x v="1"/>
    <n v="0"/>
    <n v="1"/>
  </r>
  <r>
    <d v="2019-02-23T00:00:00"/>
    <n v="11800"/>
    <s v="WHVIT"/>
    <s v="Vitoria"/>
    <s v="ES"/>
    <n v="4028"/>
    <x v="26"/>
    <s v="Sao Jose Dos Pinhais"/>
    <s v="PR"/>
    <x v="0"/>
    <s v="PR"/>
    <n v="631.87"/>
    <n v="1"/>
    <n v="4.6760000000000002"/>
    <n v="6500948"/>
    <x v="0"/>
    <s v="Porto Alegre"/>
    <s v="Convencional"/>
    <n v="8"/>
    <d v="2019-02-23T00:00:00"/>
    <x v="393"/>
    <x v="0"/>
    <d v="2019-03-03T00:00:00"/>
    <x v="0"/>
    <x v="0"/>
    <n v="1"/>
    <n v="1"/>
  </r>
  <r>
    <d v="2019-02-23T00:00:00"/>
    <n v="11801"/>
    <s v="WHVIT"/>
    <s v="Vitoria"/>
    <s v="ES"/>
    <n v="4056"/>
    <x v="44"/>
    <s v="Goiania"/>
    <s v="GO"/>
    <x v="1"/>
    <s v="GO"/>
    <n v="1000.9"/>
    <n v="2"/>
    <n v="2.3650000000000002"/>
    <n v="6100231"/>
    <x v="1"/>
    <s v="Goiania"/>
    <s v="Convencional"/>
    <n v="2"/>
    <d v="2019-02-23T00:00:00"/>
    <x v="394"/>
    <x v="0"/>
    <d v="2019-02-25T00:00:00"/>
    <x v="1"/>
    <x v="0"/>
    <n v="0"/>
    <n v="1"/>
  </r>
  <r>
    <d v="2019-02-23T00:00:00"/>
    <n v="11802"/>
    <s v="WHSAO"/>
    <s v="Sao Paulo"/>
    <s v="SP"/>
    <n v="4056"/>
    <x v="44"/>
    <s v="Goiania"/>
    <s v="GO"/>
    <x v="1"/>
    <s v="GO"/>
    <n v="3126.47"/>
    <n v="3"/>
    <n v="28.248000000000001"/>
    <n v="6100231"/>
    <x v="1"/>
    <s v="Goiania"/>
    <s v="Convencional"/>
    <n v="8"/>
    <d v="2019-02-23T00:00:00"/>
    <x v="391"/>
    <x v="0"/>
    <d v="2019-03-03T00:00:00"/>
    <x v="0"/>
    <x v="0"/>
    <n v="1"/>
    <n v="1"/>
  </r>
  <r>
    <d v="2019-02-24T00:00:00"/>
    <n v="11803"/>
    <s v="WHPOA"/>
    <s v="Porto Alegre"/>
    <s v="RS"/>
    <n v="4013"/>
    <x v="1"/>
    <s v="Blumenau"/>
    <s v="SC"/>
    <x v="0"/>
    <s v="SC"/>
    <n v="79.48"/>
    <n v="1"/>
    <n v="0.26600000000000001"/>
    <n v="6500948"/>
    <x v="0"/>
    <s v="Porto Alegre"/>
    <s v="Convencional"/>
    <n v="3"/>
    <d v="2019-02-24T00:00:00"/>
    <x v="393"/>
    <x v="1"/>
    <d v="2019-02-27T00:00:00"/>
    <x v="1"/>
    <x v="1"/>
    <n v="0"/>
    <n v="1"/>
  </r>
  <r>
    <d v="2019-02-24T00:00:00"/>
    <n v="11804"/>
    <s v="WHBH"/>
    <s v="Belo Horizonte"/>
    <s v="MG"/>
    <n v="4032"/>
    <x v="34"/>
    <s v="Goiania"/>
    <s v="GO"/>
    <x v="1"/>
    <s v="GO"/>
    <n v="653.37"/>
    <n v="1"/>
    <n v="4.6760000000000002"/>
    <n v="6100231"/>
    <x v="1"/>
    <s v="Goiania"/>
    <s v="Convencional"/>
    <n v="6"/>
    <d v="2019-02-24T00:00:00"/>
    <x v="395"/>
    <x v="0"/>
    <d v="2019-03-02T00:00:00"/>
    <x v="1"/>
    <x v="0"/>
    <n v="0"/>
    <n v="1"/>
  </r>
  <r>
    <d v="2019-02-28T00:00:00"/>
    <n v="11805"/>
    <s v="WHPOA"/>
    <s v="Porto Alegre"/>
    <s v="RS"/>
    <n v="4013"/>
    <x v="1"/>
    <s v="Blumenau"/>
    <s v="SC"/>
    <x v="0"/>
    <s v="SC"/>
    <n v="423.7"/>
    <n v="1"/>
    <n v="5.5060000000000002"/>
    <n v="6500948"/>
    <x v="0"/>
    <s v="Porto Alegre"/>
    <s v="Urgente"/>
    <n v="4"/>
    <d v="2019-02-28T00:00:00"/>
    <x v="393"/>
    <x v="0"/>
    <d v="2019-03-04T00:00:00"/>
    <x v="0"/>
    <x v="0"/>
    <n v="1"/>
    <n v="1"/>
  </r>
  <r>
    <d v="2019-02-28T00:00:00"/>
    <n v="11806"/>
    <s v="WHPOA"/>
    <s v="Porto Alegre"/>
    <s v="RS"/>
    <n v="4013"/>
    <x v="1"/>
    <s v="Blumenau"/>
    <s v="SC"/>
    <x v="0"/>
    <s v="SC"/>
    <n v="1134.23"/>
    <n v="1"/>
    <n v="13.86"/>
    <n v="6500948"/>
    <x v="0"/>
    <s v="Porto Alegre"/>
    <s v="Convencional"/>
    <n v="1"/>
    <d v="2019-02-28T00:00:00"/>
    <x v="396"/>
    <x v="1"/>
    <d v="2019-03-01T00:00:00"/>
    <x v="1"/>
    <x v="1"/>
    <n v="0"/>
    <n v="1"/>
  </r>
  <r>
    <d v="2019-03-02T00:00:00"/>
    <n v="11807"/>
    <s v="WHBH"/>
    <s v="Belo Horizonte"/>
    <s v="MG"/>
    <n v="4023"/>
    <x v="20"/>
    <s v="Sao Jose"/>
    <s v="SC"/>
    <x v="0"/>
    <s v="SC"/>
    <n v="561.92999999999995"/>
    <n v="1"/>
    <n v="3.96"/>
    <n v="6500948"/>
    <x v="0"/>
    <s v="Porto Alegre"/>
    <s v="Convencional"/>
    <n v="8"/>
    <d v="2019-03-02T00:00:00"/>
    <x v="393"/>
    <x v="2"/>
    <d v="2019-03-10T00:00:00"/>
    <x v="0"/>
    <x v="1"/>
    <n v="0"/>
    <n v="1"/>
  </r>
  <r>
    <d v="2019-03-02T00:00:00"/>
    <n v="11808"/>
    <s v="WHSJC"/>
    <s v="Sao Jose dos Campos"/>
    <s v="SP"/>
    <n v="4022"/>
    <x v="19"/>
    <s v="Maringa"/>
    <s v="PR"/>
    <x v="0"/>
    <s v="PR"/>
    <n v="46011.76"/>
    <n v="72"/>
    <n v="361.815"/>
    <n v="6500948"/>
    <x v="0"/>
    <s v="Porto Alegre"/>
    <s v="Convencional"/>
    <n v="7"/>
    <d v="2019-03-02T00:00:00"/>
    <x v="397"/>
    <x v="0"/>
    <d v="2019-03-09T00:00:00"/>
    <x v="0"/>
    <x v="0"/>
    <n v="1"/>
    <n v="1"/>
  </r>
  <r>
    <d v="2019-03-05T00:00:00"/>
    <n v="11809"/>
    <s v="WHBH"/>
    <s v="Belo Horizonte"/>
    <s v="MG"/>
    <n v="4060"/>
    <x v="56"/>
    <s v="Sinop"/>
    <s v="MT"/>
    <x v="1"/>
    <s v="MT"/>
    <n v="5203.18"/>
    <n v="1"/>
    <n v="1.1200000000000001"/>
    <n v="6100231"/>
    <x v="1"/>
    <s v="Goiania"/>
    <s v="Convencional"/>
    <n v="12"/>
    <d v="2019-03-05T00:00:00"/>
    <x v="396"/>
    <x v="0"/>
    <d v="2019-03-17T00:00:00"/>
    <x v="0"/>
    <x v="0"/>
    <n v="1"/>
    <n v="1"/>
  </r>
  <r>
    <d v="2019-03-05T00:00:00"/>
    <n v="11810"/>
    <s v="WHCPQ"/>
    <s v="Campinas"/>
    <s v="SP"/>
    <n v="4068"/>
    <x v="4"/>
    <s v="Campo Grande"/>
    <s v="MS"/>
    <x v="1"/>
    <s v="MS"/>
    <n v="398.5"/>
    <n v="1"/>
    <n v="0.44"/>
    <n v="6100231"/>
    <x v="1"/>
    <s v="Goiania"/>
    <s v="Convencional"/>
    <n v="5"/>
    <d v="2019-03-05T00:00:00"/>
    <x v="398"/>
    <x v="0"/>
    <d v="2019-03-10T00:00:00"/>
    <x v="0"/>
    <x v="0"/>
    <n v="1"/>
    <n v="1"/>
  </r>
  <r>
    <d v="2019-03-06T00:00:00"/>
    <n v="11811"/>
    <s v="WHVIT"/>
    <s v="Vitoria"/>
    <s v="ES"/>
    <n v="4139"/>
    <x v="127"/>
    <s v="Belo Horizonte"/>
    <s v="MG"/>
    <x v="2"/>
    <s v="MG"/>
    <n v="1173.33"/>
    <n v="5"/>
    <n v="46.848999999999997"/>
    <n v="6600879"/>
    <x v="2"/>
    <s v="Belo Horizonte"/>
    <s v="Convencional"/>
    <n v="5"/>
    <d v="2019-03-06T00:00:00"/>
    <x v="399"/>
    <x v="0"/>
    <d v="2019-03-11T00:00:00"/>
    <x v="1"/>
    <x v="0"/>
    <n v="0"/>
    <n v="1"/>
  </r>
  <r>
    <d v="2019-03-06T00:00:00"/>
    <n v="11812"/>
    <s v="WHSJC"/>
    <s v="Sao Jose dos Campos"/>
    <s v="SP"/>
    <n v="4023"/>
    <x v="20"/>
    <s v="Sao Jose"/>
    <s v="SC"/>
    <x v="0"/>
    <s v="SC"/>
    <n v="1161.27"/>
    <n v="1"/>
    <n v="1.1200000000000001"/>
    <n v="6500948"/>
    <x v="0"/>
    <s v="Porto Alegre"/>
    <s v="Urgente"/>
    <n v="12"/>
    <d v="2019-03-06T00:00:00"/>
    <x v="396"/>
    <x v="0"/>
    <d v="2019-03-18T00:00:00"/>
    <x v="0"/>
    <x v="0"/>
    <n v="1"/>
    <n v="1"/>
  </r>
  <r>
    <d v="2019-03-07T00:00:00"/>
    <n v="11813"/>
    <s v="WHVIT"/>
    <s v="Vitoria"/>
    <s v="ES"/>
    <n v="4033"/>
    <x v="35"/>
    <s v="Goiania"/>
    <s v="GO"/>
    <x v="1"/>
    <s v="GO"/>
    <n v="111.52"/>
    <n v="1"/>
    <n v="0.22"/>
    <n v="6100231"/>
    <x v="1"/>
    <s v="Goiania"/>
    <s v="Convencional"/>
    <n v="2"/>
    <d v="2019-03-07T00:00:00"/>
    <x v="400"/>
    <x v="0"/>
    <d v="2019-03-09T00:00:00"/>
    <x v="1"/>
    <x v="0"/>
    <n v="0"/>
    <n v="1"/>
  </r>
  <r>
    <d v="2019-03-07T00:00:00"/>
    <n v="11814"/>
    <s v="WHCPQ"/>
    <s v="Campinas"/>
    <s v="SP"/>
    <n v="4068"/>
    <x v="4"/>
    <s v="Campo Grande"/>
    <s v="MS"/>
    <x v="1"/>
    <s v="MS"/>
    <n v="755.31"/>
    <n v="1"/>
    <n v="0.82199999999999995"/>
    <n v="6100231"/>
    <x v="1"/>
    <s v="Goiania"/>
    <s v="Convencional"/>
    <n v="3"/>
    <d v="2019-03-07T00:00:00"/>
    <x v="396"/>
    <x v="0"/>
    <d v="2019-03-10T00:00:00"/>
    <x v="0"/>
    <x v="0"/>
    <n v="1"/>
    <n v="1"/>
  </r>
  <r>
    <d v="2019-03-08T00:00:00"/>
    <n v="11815"/>
    <s v="WHVIT"/>
    <s v="Vitoria"/>
    <s v="ES"/>
    <n v="4047"/>
    <x v="50"/>
    <s v="Belo Horizonte"/>
    <s v="MG"/>
    <x v="2"/>
    <s v="MG"/>
    <n v="8461.0400000000009"/>
    <n v="14"/>
    <n v="199.97900000000001"/>
    <n v="6600879"/>
    <x v="2"/>
    <s v="Belo Horizonte"/>
    <s v="Convencional"/>
    <n v="10"/>
    <d v="2019-03-08T00:00:00"/>
    <x v="401"/>
    <x v="0"/>
    <d v="2019-03-18T00:00:00"/>
    <x v="0"/>
    <x v="0"/>
    <n v="1"/>
    <n v="1"/>
  </r>
  <r>
    <d v="2019-03-08T00:00:00"/>
    <n v="11816"/>
    <s v="WHBH"/>
    <s v="Belo Horizonte"/>
    <s v="MG"/>
    <n v="4055"/>
    <x v="45"/>
    <s v="Brasilia"/>
    <s v="DF"/>
    <x v="1"/>
    <s v="DF"/>
    <n v="68.069999999999993"/>
    <n v="1"/>
    <n v="6.6000000000000003E-2"/>
    <n v="6100231"/>
    <x v="1"/>
    <s v="Goiania"/>
    <s v="Convencional"/>
    <n v="1"/>
    <d v="2019-03-08T00:00:00"/>
    <x v="401"/>
    <x v="0"/>
    <d v="2019-03-09T00:00:00"/>
    <x v="1"/>
    <x v="0"/>
    <n v="0"/>
    <n v="1"/>
  </r>
  <r>
    <d v="2019-03-08T00:00:00"/>
    <n v="11817"/>
    <s v="WHVIT"/>
    <s v="Vitoria"/>
    <s v="ES"/>
    <n v="4055"/>
    <x v="45"/>
    <s v="Brasilia"/>
    <s v="DF"/>
    <x v="1"/>
    <s v="DF"/>
    <n v="801.84"/>
    <n v="3"/>
    <n v="29.887"/>
    <n v="6100231"/>
    <x v="1"/>
    <s v="Goiania"/>
    <s v="Convencional"/>
    <n v="12"/>
    <d v="2019-03-08T00:00:00"/>
    <x v="402"/>
    <x v="0"/>
    <d v="2019-03-20T00:00:00"/>
    <x v="0"/>
    <x v="0"/>
    <n v="1"/>
    <n v="1"/>
  </r>
  <r>
    <d v="2019-03-09T00:00:00"/>
    <n v="11818"/>
    <s v="WHVIT"/>
    <s v="Vitoria"/>
    <s v="ES"/>
    <n v="4128"/>
    <x v="116"/>
    <s v="Recife"/>
    <s v="PE"/>
    <x v="3"/>
    <s v="PE"/>
    <n v="848.61"/>
    <n v="2"/>
    <n v="33"/>
    <n v="6900304"/>
    <x v="5"/>
    <s v="Fortaleza"/>
    <s v="Convencional"/>
    <n v="2"/>
    <d v="2019-03-09T00:00:00"/>
    <x v="400"/>
    <x v="0"/>
    <d v="2019-03-11T00:00:00"/>
    <x v="1"/>
    <x v="0"/>
    <n v="0"/>
    <n v="1"/>
  </r>
  <r>
    <d v="2019-03-09T00:00:00"/>
    <n v="11819"/>
    <s v="WHCPQ"/>
    <s v="Campinas"/>
    <s v="SP"/>
    <n v="4027"/>
    <x v="24"/>
    <s v="Novo Hamburgo"/>
    <s v="RS"/>
    <x v="0"/>
    <s v="RS"/>
    <n v="812.64"/>
    <n v="1"/>
    <n v="2.97"/>
    <n v="6500948"/>
    <x v="0"/>
    <s v="Porto Alegre"/>
    <s v="Convencional"/>
    <n v="6"/>
    <d v="2019-03-09T00:00:00"/>
    <x v="403"/>
    <x v="0"/>
    <d v="2019-03-15T00:00:00"/>
    <x v="1"/>
    <x v="0"/>
    <n v="0"/>
    <n v="1"/>
  </r>
  <r>
    <d v="2019-03-09T00:00:00"/>
    <n v="11820"/>
    <s v="WHCPQ"/>
    <s v="Campinas"/>
    <s v="SP"/>
    <n v="4027"/>
    <x v="24"/>
    <s v="Novo Hamburgo"/>
    <s v="RS"/>
    <x v="0"/>
    <s v="RS"/>
    <n v="277.33"/>
    <n v="1"/>
    <n v="0.83599999999999997"/>
    <n v="6500948"/>
    <x v="0"/>
    <s v="Porto Alegre"/>
    <s v="Convencional"/>
    <n v="2"/>
    <d v="2019-03-09T00:00:00"/>
    <x v="399"/>
    <x v="0"/>
    <d v="2019-03-11T00:00:00"/>
    <x v="1"/>
    <x v="0"/>
    <n v="0"/>
    <n v="1"/>
  </r>
  <r>
    <d v="2019-03-09T00:00:00"/>
    <n v="11821"/>
    <s v="WHVIT"/>
    <s v="Vitoria"/>
    <s v="ES"/>
    <n v="4022"/>
    <x v="19"/>
    <s v="Maringa"/>
    <s v="PR"/>
    <x v="0"/>
    <s v="PR"/>
    <n v="1169.51"/>
    <n v="3"/>
    <n v="46.2"/>
    <n v="6500948"/>
    <x v="0"/>
    <s v="Porto Alegre"/>
    <s v="Convencional"/>
    <n v="8"/>
    <d v="2019-03-09T00:00:00"/>
    <x v="404"/>
    <x v="0"/>
    <d v="2019-03-17T00:00:00"/>
    <x v="0"/>
    <x v="0"/>
    <n v="1"/>
    <n v="1"/>
  </r>
  <r>
    <d v="2019-03-09T00:00:00"/>
    <n v="11822"/>
    <s v="WHSJC"/>
    <s v="Sao Jose dos Campos"/>
    <s v="SP"/>
    <n v="4030"/>
    <x v="30"/>
    <s v="Belo Horizonte"/>
    <s v="MG"/>
    <x v="2"/>
    <s v="MG"/>
    <n v="678.58"/>
    <n v="1"/>
    <n v="1.5069999999999999"/>
    <n v="6600879"/>
    <x v="2"/>
    <s v="Belo Horizonte"/>
    <s v="Convencional"/>
    <n v="1"/>
    <d v="2019-03-09T00:00:00"/>
    <x v="401"/>
    <x v="0"/>
    <d v="2019-03-10T00:00:00"/>
    <x v="0"/>
    <x v="0"/>
    <n v="1"/>
    <n v="1"/>
  </r>
  <r>
    <d v="2019-03-09T00:00:00"/>
    <n v="11823"/>
    <s v="WHPOA"/>
    <s v="Porto Alegre"/>
    <s v="RS"/>
    <n v="4030"/>
    <x v="30"/>
    <s v="Belo Horizonte"/>
    <s v="MG"/>
    <x v="2"/>
    <s v="MG"/>
    <n v="114.74"/>
    <n v="1"/>
    <n v="1.1200000000000001"/>
    <n v="6600879"/>
    <x v="2"/>
    <s v="Belo Horizonte"/>
    <s v="Urgente"/>
    <n v="8"/>
    <d v="2019-03-09T00:00:00"/>
    <x v="401"/>
    <x v="0"/>
    <d v="2019-03-17T00:00:00"/>
    <x v="0"/>
    <x v="0"/>
    <n v="1"/>
    <n v="1"/>
  </r>
  <r>
    <d v="2019-03-09T00:00:00"/>
    <n v="11824"/>
    <s v="WHRJ"/>
    <s v="Rio De Janeiro"/>
    <s v="RJ"/>
    <n v="4030"/>
    <x v="30"/>
    <s v="Belo Horizonte"/>
    <s v="MG"/>
    <x v="2"/>
    <s v="MG"/>
    <n v="817.1"/>
    <n v="1"/>
    <n v="2.97"/>
    <n v="6600879"/>
    <x v="2"/>
    <s v="Belo Horizonte"/>
    <s v="Convencional"/>
    <n v="9"/>
    <d v="2019-03-09T00:00:00"/>
    <x v="405"/>
    <x v="0"/>
    <d v="2019-03-18T00:00:00"/>
    <x v="1"/>
    <x v="0"/>
    <n v="0"/>
    <n v="1"/>
  </r>
  <r>
    <d v="2019-03-09T00:00:00"/>
    <n v="11825"/>
    <s v="WHCPQ"/>
    <s v="Campinas"/>
    <s v="SP"/>
    <n v="4030"/>
    <x v="30"/>
    <s v="Belo Horizonte"/>
    <s v="MG"/>
    <x v="2"/>
    <s v="MG"/>
    <n v="116.2"/>
    <n v="1"/>
    <n v="0.34100000000000003"/>
    <n v="6600879"/>
    <x v="2"/>
    <s v="Belo Horizonte"/>
    <s v="Convencional"/>
    <n v="4"/>
    <d v="2019-03-09T00:00:00"/>
    <x v="399"/>
    <x v="0"/>
    <d v="2019-03-13T00:00:00"/>
    <x v="1"/>
    <x v="0"/>
    <n v="0"/>
    <n v="1"/>
  </r>
  <r>
    <d v="2019-03-10T00:00:00"/>
    <n v="11826"/>
    <s v="WHBH"/>
    <s v="Belo Horizonte"/>
    <s v="MG"/>
    <n v="4023"/>
    <x v="20"/>
    <s v="Sao Jose"/>
    <s v="SC"/>
    <x v="0"/>
    <s v="SC"/>
    <n v="139.44"/>
    <n v="1"/>
    <n v="0.41799999999999998"/>
    <n v="6500948"/>
    <x v="0"/>
    <s v="Porto Alegre"/>
    <s v="Convencional"/>
    <n v="11"/>
    <d v="2019-03-10T00:00:00"/>
    <x v="406"/>
    <x v="0"/>
    <d v="2019-03-21T00:00:00"/>
    <x v="0"/>
    <x v="0"/>
    <n v="1"/>
    <n v="1"/>
  </r>
  <r>
    <d v="2019-03-12T00:00:00"/>
    <n v="11827"/>
    <s v="WHCPQ"/>
    <s v="Campinas"/>
    <s v="SP"/>
    <n v="4128"/>
    <x v="116"/>
    <s v="Recife"/>
    <s v="PE"/>
    <x v="3"/>
    <s v="PE"/>
    <n v="515.46"/>
    <n v="2"/>
    <n v="14.19"/>
    <n v="6900304"/>
    <x v="5"/>
    <s v="Fortaleza"/>
    <s v="Urgente"/>
    <n v="11"/>
    <d v="2019-03-12T00:00:00"/>
    <x v="399"/>
    <x v="0"/>
    <d v="2019-03-23T00:00:00"/>
    <x v="0"/>
    <x v="0"/>
    <n v="1"/>
    <n v="1"/>
  </r>
  <r>
    <d v="2019-03-12T00:00:00"/>
    <n v="11828"/>
    <s v="WHRJ"/>
    <s v="Rio De Janeiro"/>
    <s v="RJ"/>
    <n v="4013"/>
    <x v="1"/>
    <s v="Blumenau"/>
    <s v="SC"/>
    <x v="0"/>
    <s v="SC"/>
    <n v="198.17"/>
    <n v="1"/>
    <n v="0.99"/>
    <n v="6500948"/>
    <x v="0"/>
    <s v="Porto Alegre"/>
    <s v="Convencional"/>
    <n v="4"/>
    <d v="2019-03-12T00:00:00"/>
    <x v="403"/>
    <x v="0"/>
    <d v="2019-03-16T00:00:00"/>
    <x v="1"/>
    <x v="0"/>
    <n v="0"/>
    <n v="1"/>
  </r>
  <r>
    <d v="2019-03-12T00:00:00"/>
    <n v="11829"/>
    <s v="WHVIT"/>
    <s v="Vitoria"/>
    <s v="ES"/>
    <n v="4083"/>
    <x v="71"/>
    <s v="Sao Jose Do Rio Preto"/>
    <s v="SP"/>
    <x v="2"/>
    <s v="SP"/>
    <n v="412.34"/>
    <n v="1"/>
    <n v="2.202"/>
    <n v="6400835"/>
    <x v="3"/>
    <s v="Guarulhos"/>
    <s v="Convencional"/>
    <n v="6"/>
    <d v="2019-03-12T00:00:00"/>
    <x v="407"/>
    <x v="0"/>
    <d v="2019-03-18T00:00:00"/>
    <x v="1"/>
    <x v="0"/>
    <n v="0"/>
    <n v="1"/>
  </r>
  <r>
    <d v="2019-03-12T00:00:00"/>
    <n v="11830"/>
    <s v="WHSJC"/>
    <s v="Sao Jose dos Campos"/>
    <s v="SP"/>
    <n v="4083"/>
    <x v="71"/>
    <s v="Sao Jose Do Rio Preto"/>
    <s v="SP"/>
    <x v="2"/>
    <s v="SP"/>
    <n v="1234.69"/>
    <n v="1"/>
    <n v="8.58"/>
    <n v="6400835"/>
    <x v="3"/>
    <s v="Guarulhos"/>
    <s v="Convencional"/>
    <n v="3"/>
    <d v="2019-03-12T00:00:00"/>
    <x v="399"/>
    <x v="0"/>
    <d v="2019-03-15T00:00:00"/>
    <x v="0"/>
    <x v="0"/>
    <n v="1"/>
    <n v="1"/>
  </r>
  <r>
    <d v="2019-03-12T00:00:00"/>
    <n v="11831"/>
    <s v="WHSJC"/>
    <s v="Sao Jose dos Campos"/>
    <s v="SP"/>
    <n v="4083"/>
    <x v="71"/>
    <s v="Sao Jose Do Rio Preto"/>
    <s v="SP"/>
    <x v="2"/>
    <s v="SP"/>
    <n v="1597.85"/>
    <n v="1"/>
    <n v="13.2"/>
    <n v="6400835"/>
    <x v="3"/>
    <s v="Guarulhos"/>
    <s v="Convencional"/>
    <n v="1"/>
    <d v="2019-03-12T00:00:00"/>
    <x v="408"/>
    <x v="0"/>
    <d v="2019-03-13T00:00:00"/>
    <x v="1"/>
    <x v="0"/>
    <n v="0"/>
    <n v="1"/>
  </r>
  <r>
    <d v="2019-03-12T00:00:00"/>
    <n v="11832"/>
    <s v="WHSJC"/>
    <s v="Sao Jose dos Campos"/>
    <s v="SP"/>
    <n v="4083"/>
    <x v="71"/>
    <s v="Sao Jose Do Rio Preto"/>
    <s v="SP"/>
    <x v="2"/>
    <s v="SP"/>
    <n v="1093.79"/>
    <n v="2"/>
    <n v="12.1"/>
    <n v="6400835"/>
    <x v="3"/>
    <s v="Guarulhos"/>
    <s v="Convencional"/>
    <n v="4"/>
    <d v="2019-03-12T00:00:00"/>
    <x v="402"/>
    <x v="0"/>
    <d v="2019-03-16T00:00:00"/>
    <x v="1"/>
    <x v="0"/>
    <n v="0"/>
    <n v="1"/>
  </r>
  <r>
    <d v="2019-03-12T00:00:00"/>
    <n v="11833"/>
    <s v="WHRJ"/>
    <s v="Rio De Janeiro"/>
    <s v="RJ"/>
    <n v="4083"/>
    <x v="71"/>
    <s v="Sao Jose Do Rio Preto"/>
    <s v="SP"/>
    <x v="2"/>
    <s v="SP"/>
    <n v="747.86"/>
    <n v="2"/>
    <n v="4.4020000000000001"/>
    <n v="6400835"/>
    <x v="3"/>
    <s v="Guarulhos"/>
    <s v="Convencional"/>
    <n v="3"/>
    <d v="2019-03-12T00:00:00"/>
    <x v="403"/>
    <x v="0"/>
    <d v="2019-03-15T00:00:00"/>
    <x v="1"/>
    <x v="0"/>
    <n v="0"/>
    <n v="1"/>
  </r>
  <r>
    <d v="2019-03-12T00:00:00"/>
    <n v="11834"/>
    <s v="WHPOA"/>
    <s v="Porto Alegre"/>
    <s v="RS"/>
    <n v="4083"/>
    <x v="71"/>
    <s v="Sao Jose Do Rio Preto"/>
    <s v="SP"/>
    <x v="2"/>
    <s v="SP"/>
    <n v="2555.15"/>
    <n v="3"/>
    <n v="16.114000000000001"/>
    <n v="6400835"/>
    <x v="3"/>
    <s v="Guarulhos"/>
    <s v="Convencional"/>
    <n v="1"/>
    <d v="2019-03-12T00:00:00"/>
    <x v="407"/>
    <x v="0"/>
    <d v="2019-03-13T00:00:00"/>
    <x v="1"/>
    <x v="0"/>
    <n v="0"/>
    <n v="1"/>
  </r>
  <r>
    <d v="2019-03-13T00:00:00"/>
    <n v="11835"/>
    <s v="WHSAO"/>
    <s v="Sao Paulo"/>
    <s v="SP"/>
    <n v="4032"/>
    <x v="34"/>
    <s v="Goiania"/>
    <s v="GO"/>
    <x v="1"/>
    <s v="GO"/>
    <n v="857.78"/>
    <n v="1"/>
    <n v="9.9"/>
    <n v="6100231"/>
    <x v="1"/>
    <s v="Goiania"/>
    <s v="Convencional"/>
    <n v="7"/>
    <d v="2019-03-13T00:00:00"/>
    <x v="409"/>
    <x v="0"/>
    <d v="2019-03-20T00:00:00"/>
    <x v="0"/>
    <x v="0"/>
    <n v="1"/>
    <n v="1"/>
  </r>
  <r>
    <d v="2019-03-14T00:00:00"/>
    <n v="11836"/>
    <s v="WHCPQ"/>
    <s v="Campinas"/>
    <s v="SP"/>
    <n v="4033"/>
    <x v="35"/>
    <s v="Goiania"/>
    <s v="GO"/>
    <x v="1"/>
    <s v="GO"/>
    <n v="628.51"/>
    <n v="1"/>
    <n v="1.65"/>
    <n v="6100231"/>
    <x v="1"/>
    <s v="Goiania"/>
    <s v="Convencional"/>
    <n v="9"/>
    <d v="2019-03-14T00:00:00"/>
    <x v="409"/>
    <x v="0"/>
    <d v="2019-03-23T00:00:00"/>
    <x v="0"/>
    <x v="0"/>
    <n v="1"/>
    <n v="1"/>
  </r>
  <r>
    <d v="2019-03-14T00:00:00"/>
    <n v="11837"/>
    <s v="WHBH"/>
    <s v="Belo Horizonte"/>
    <s v="MG"/>
    <n v="4033"/>
    <x v="35"/>
    <s v="Goiania"/>
    <s v="GO"/>
    <x v="1"/>
    <s v="GO"/>
    <n v="974.67"/>
    <n v="1"/>
    <n v="3.52"/>
    <n v="6100231"/>
    <x v="1"/>
    <s v="Goiania"/>
    <s v="Convencional"/>
    <n v="12"/>
    <d v="2019-03-14T00:00:00"/>
    <x v="403"/>
    <x v="0"/>
    <d v="2019-03-26T00:00:00"/>
    <x v="0"/>
    <x v="0"/>
    <n v="1"/>
    <n v="1"/>
  </r>
  <r>
    <d v="2019-03-14T00:00:00"/>
    <n v="11838"/>
    <s v="WHPOA"/>
    <s v="Porto Alegre"/>
    <s v="RS"/>
    <n v="4068"/>
    <x v="4"/>
    <s v="Campo Grande"/>
    <s v="MS"/>
    <x v="1"/>
    <s v="MS"/>
    <n v="356.59"/>
    <n v="1"/>
    <n v="0.68200000000000005"/>
    <n v="6100231"/>
    <x v="1"/>
    <s v="Goiania"/>
    <s v="Convencional"/>
    <n v="4"/>
    <d v="2019-03-14T00:00:00"/>
    <x v="402"/>
    <x v="0"/>
    <d v="2019-03-18T00:00:00"/>
    <x v="0"/>
    <x v="0"/>
    <n v="1"/>
    <n v="1"/>
  </r>
  <r>
    <d v="2019-03-15T00:00:00"/>
    <n v="11839"/>
    <s v="WHRJ"/>
    <s v="Rio De Janeiro"/>
    <s v="RJ"/>
    <n v="4140"/>
    <x v="128"/>
    <s v="Recife"/>
    <s v="PE"/>
    <x v="3"/>
    <s v="PE"/>
    <n v="709.09"/>
    <n v="2"/>
    <n v="1.3640000000000001"/>
    <n v="6900304"/>
    <x v="5"/>
    <s v="Fortaleza"/>
    <s v="Convencional"/>
    <n v="8"/>
    <d v="2019-03-15T00:00:00"/>
    <x v="408"/>
    <x v="0"/>
    <d v="2019-03-23T00:00:00"/>
    <x v="0"/>
    <x v="0"/>
    <n v="1"/>
    <n v="1"/>
  </r>
  <r>
    <d v="2019-03-15T00:00:00"/>
    <n v="11840"/>
    <s v="WHSAO"/>
    <s v="Sao Paulo"/>
    <s v="SP"/>
    <n v="4141"/>
    <x v="129"/>
    <s v="Rio De Janeiro"/>
    <s v="RJ"/>
    <x v="2"/>
    <s v="RJ"/>
    <n v="1.49"/>
    <n v="1"/>
    <n v="0.11799999999999999"/>
    <n v="6140092"/>
    <x v="4"/>
    <s v="Rio de Janeiro"/>
    <s v="Convencional"/>
    <n v="11"/>
    <d v="2019-03-15T00:00:00"/>
    <x v="410"/>
    <x v="2"/>
    <d v="2019-03-26T00:00:00"/>
    <x v="0"/>
    <x v="1"/>
    <n v="0"/>
    <n v="1"/>
  </r>
  <r>
    <d v="2019-03-15T00:00:00"/>
    <n v="11841"/>
    <s v="WHSAO"/>
    <s v="Sao Paulo"/>
    <s v="SP"/>
    <n v="4141"/>
    <x v="129"/>
    <s v="Rio De Janeiro"/>
    <s v="RJ"/>
    <x v="2"/>
    <s v="RJ"/>
    <n v="80"/>
    <n v="1"/>
    <n v="0.245"/>
    <n v="6140092"/>
    <x v="4"/>
    <s v="Rio de Janeiro"/>
    <s v="Convencional"/>
    <n v="6"/>
    <d v="2019-03-15T00:00:00"/>
    <x v="407"/>
    <x v="0"/>
    <d v="2019-03-21T00:00:00"/>
    <x v="0"/>
    <x v="0"/>
    <n v="1"/>
    <n v="1"/>
  </r>
  <r>
    <d v="2019-03-15T00:00:00"/>
    <n v="11842"/>
    <s v="WHSAO"/>
    <s v="Sao Paulo"/>
    <s v="SP"/>
    <n v="4013"/>
    <x v="1"/>
    <s v="Blumenau"/>
    <s v="SC"/>
    <x v="0"/>
    <s v="SC"/>
    <n v="237.6"/>
    <n v="1"/>
    <n v="19.36"/>
    <n v="6500948"/>
    <x v="0"/>
    <s v="Porto Alegre"/>
    <s v="Convencional"/>
    <n v="2"/>
    <d v="2019-03-15T00:00:00"/>
    <x v="405"/>
    <x v="2"/>
    <d v="2019-03-17T00:00:00"/>
    <x v="1"/>
    <x v="1"/>
    <n v="0"/>
    <n v="1"/>
  </r>
  <r>
    <d v="2019-03-15T00:00:00"/>
    <n v="11843"/>
    <s v="WHBH"/>
    <s v="Belo Horizonte"/>
    <s v="MG"/>
    <n v="4013"/>
    <x v="1"/>
    <s v="Blumenau"/>
    <s v="SC"/>
    <x v="0"/>
    <s v="SC"/>
    <n v="350.74"/>
    <n v="1"/>
    <n v="1.331"/>
    <n v="6500948"/>
    <x v="0"/>
    <s v="Porto Alegre"/>
    <s v="Convencional"/>
    <n v="11"/>
    <d v="2019-03-15T00:00:00"/>
    <x v="411"/>
    <x v="0"/>
    <d v="2019-03-26T00:00:00"/>
    <x v="0"/>
    <x v="0"/>
    <n v="1"/>
    <n v="1"/>
  </r>
  <r>
    <d v="2019-03-15T00:00:00"/>
    <n v="11844"/>
    <s v="WHRJ"/>
    <s v="Rio De Janeiro"/>
    <s v="RJ"/>
    <n v="4049"/>
    <x v="43"/>
    <s v="Taguatinga"/>
    <s v="DF"/>
    <x v="1"/>
    <s v="DF"/>
    <n v="1831.14"/>
    <n v="2"/>
    <n v="5.2539999999999996"/>
    <n v="6100231"/>
    <x v="1"/>
    <s v="Goiania"/>
    <s v="Convencional"/>
    <n v="6"/>
    <d v="2019-03-15T00:00:00"/>
    <x v="412"/>
    <x v="2"/>
    <d v="2019-03-21T00:00:00"/>
    <x v="0"/>
    <x v="1"/>
    <n v="0"/>
    <n v="1"/>
  </r>
  <r>
    <d v="2019-03-15T00:00:00"/>
    <n v="11845"/>
    <s v="WHCPQ"/>
    <s v="Campinas"/>
    <s v="SP"/>
    <n v="4049"/>
    <x v="43"/>
    <s v="Taguatinga"/>
    <s v="DF"/>
    <x v="1"/>
    <s v="DF"/>
    <n v="120.24"/>
    <n v="1"/>
    <n v="1.1200000000000001"/>
    <n v="6100231"/>
    <x v="1"/>
    <s v="Goiania"/>
    <s v="Convencional"/>
    <n v="9"/>
    <d v="2019-03-15T00:00:00"/>
    <x v="405"/>
    <x v="0"/>
    <d v="2019-03-24T00:00:00"/>
    <x v="0"/>
    <x v="0"/>
    <n v="1"/>
    <n v="1"/>
  </r>
  <r>
    <d v="2019-03-15T00:00:00"/>
    <n v="11846"/>
    <s v="WHSJC"/>
    <s v="Sao Jose dos Campos"/>
    <s v="SP"/>
    <n v="4049"/>
    <x v="43"/>
    <s v="Taguatinga"/>
    <s v="DF"/>
    <x v="1"/>
    <s v="DF"/>
    <n v="962.24"/>
    <n v="1"/>
    <n v="2.9249999999999998"/>
    <n v="6100231"/>
    <x v="1"/>
    <s v="Goiania"/>
    <s v="Convencional"/>
    <n v="5"/>
    <d v="2019-03-15T00:00:00"/>
    <x v="403"/>
    <x v="2"/>
    <d v="2019-03-20T00:00:00"/>
    <x v="0"/>
    <x v="1"/>
    <n v="0"/>
    <n v="1"/>
  </r>
  <r>
    <d v="2019-03-15T00:00:00"/>
    <n v="11847"/>
    <s v="WHBH"/>
    <s v="Belo Horizonte"/>
    <s v="MG"/>
    <n v="4049"/>
    <x v="43"/>
    <s v="Taguatinga"/>
    <s v="DF"/>
    <x v="1"/>
    <s v="DF"/>
    <n v="798.34"/>
    <n v="1"/>
    <n v="1.1200000000000001"/>
    <n v="6100231"/>
    <x v="1"/>
    <s v="Goiania"/>
    <s v="Convencional"/>
    <n v="2"/>
    <d v="2019-03-15T00:00:00"/>
    <x v="411"/>
    <x v="2"/>
    <d v="2019-03-17T00:00:00"/>
    <x v="1"/>
    <x v="1"/>
    <n v="0"/>
    <n v="1"/>
  </r>
  <r>
    <d v="2019-03-15T00:00:00"/>
    <n v="11848"/>
    <s v="WHSJC"/>
    <s v="Sao Jose dos Campos"/>
    <s v="SP"/>
    <n v="4049"/>
    <x v="43"/>
    <s v="Taguatinga"/>
    <s v="DF"/>
    <x v="1"/>
    <s v="DF"/>
    <n v="97.44"/>
    <n v="1"/>
    <n v="55"/>
    <n v="6100231"/>
    <x v="1"/>
    <s v="Goiania"/>
    <s v="Convencional"/>
    <n v="6"/>
    <d v="2019-03-15T00:00:00"/>
    <x v="413"/>
    <x v="0"/>
    <d v="2019-03-21T00:00:00"/>
    <x v="1"/>
    <x v="0"/>
    <n v="0"/>
    <n v="1"/>
  </r>
  <r>
    <d v="2019-03-15T00:00:00"/>
    <n v="11849"/>
    <s v="WHSAO"/>
    <s v="Sao Paulo"/>
    <s v="SP"/>
    <n v="4049"/>
    <x v="43"/>
    <s v="Taguatinga"/>
    <s v="DF"/>
    <x v="1"/>
    <s v="DF"/>
    <n v="66.95"/>
    <n v="1"/>
    <n v="0.182"/>
    <n v="6100231"/>
    <x v="1"/>
    <s v="Goiania"/>
    <s v="Convencional"/>
    <n v="5"/>
    <d v="2019-03-15T00:00:00"/>
    <x v="405"/>
    <x v="0"/>
    <d v="2019-03-20T00:00:00"/>
    <x v="0"/>
    <x v="0"/>
    <n v="1"/>
    <n v="1"/>
  </r>
  <r>
    <d v="2019-03-15T00:00:00"/>
    <n v="11850"/>
    <s v="WHBH"/>
    <s v="Belo Horizonte"/>
    <s v="MG"/>
    <n v="4049"/>
    <x v="43"/>
    <s v="Taguatinga"/>
    <s v="DF"/>
    <x v="1"/>
    <s v="DF"/>
    <n v="90.35"/>
    <n v="1"/>
    <n v="2.5000000000000001E-2"/>
    <n v="6100231"/>
    <x v="1"/>
    <s v="Goiania"/>
    <s v="Convencional"/>
    <n v="8"/>
    <d v="2019-03-15T00:00:00"/>
    <x v="402"/>
    <x v="0"/>
    <d v="2019-03-23T00:00:00"/>
    <x v="0"/>
    <x v="0"/>
    <n v="1"/>
    <n v="1"/>
  </r>
  <r>
    <d v="2019-03-15T00:00:00"/>
    <n v="11851"/>
    <s v="WHSAO"/>
    <s v="Sao Paulo"/>
    <s v="SP"/>
    <n v="4049"/>
    <x v="43"/>
    <s v="Taguatinga"/>
    <s v="DF"/>
    <x v="1"/>
    <s v="DF"/>
    <n v="8196.17"/>
    <n v="1"/>
    <n v="49.5"/>
    <n v="6100231"/>
    <x v="1"/>
    <s v="Goiania"/>
    <s v="Convencional"/>
    <n v="5"/>
    <d v="2019-03-15T00:00:00"/>
    <x v="407"/>
    <x v="0"/>
    <d v="2019-03-20T00:00:00"/>
    <x v="1"/>
    <x v="0"/>
    <n v="0"/>
    <n v="1"/>
  </r>
  <r>
    <d v="2019-03-15T00:00:00"/>
    <n v="11852"/>
    <s v="WHBH"/>
    <s v="Belo Horizonte"/>
    <s v="MG"/>
    <n v="4049"/>
    <x v="43"/>
    <s v="Taguatinga"/>
    <s v="DF"/>
    <x v="1"/>
    <s v="DF"/>
    <n v="11845.43"/>
    <n v="14"/>
    <n v="209.53800000000001"/>
    <n v="6100231"/>
    <x v="1"/>
    <s v="Goiania"/>
    <s v="Convencional"/>
    <n v="10"/>
    <d v="2019-03-15T00:00:00"/>
    <x v="407"/>
    <x v="0"/>
    <d v="2019-03-25T00:00:00"/>
    <x v="0"/>
    <x v="0"/>
    <n v="1"/>
    <n v="1"/>
  </r>
  <r>
    <d v="2019-03-15T00:00:00"/>
    <n v="11853"/>
    <s v="WHCPQ"/>
    <s v="Campinas"/>
    <s v="SP"/>
    <n v="4049"/>
    <x v="43"/>
    <s v="Taguatinga"/>
    <s v="DF"/>
    <x v="1"/>
    <s v="DF"/>
    <n v="3066.23"/>
    <n v="1"/>
    <n v="1.1200000000000001"/>
    <n v="6100231"/>
    <x v="1"/>
    <s v="Goiania"/>
    <s v="Convencional"/>
    <n v="4"/>
    <d v="2019-03-15T00:00:00"/>
    <x v="402"/>
    <x v="0"/>
    <d v="2019-03-19T00:00:00"/>
    <x v="0"/>
    <x v="0"/>
    <n v="1"/>
    <n v="1"/>
  </r>
  <r>
    <d v="2019-03-17T00:00:00"/>
    <n v="11854"/>
    <s v="WHSJC"/>
    <s v="Sao Jose dos Campos"/>
    <s v="SP"/>
    <n v="4142"/>
    <x v="130"/>
    <s v="Manaus"/>
    <s v="AM"/>
    <x v="4"/>
    <s v="AM"/>
    <n v="80.06"/>
    <n v="1"/>
    <n v="1.1200000000000001"/>
    <n v="6700091"/>
    <x v="6"/>
    <s v="Manaus"/>
    <s v="Convencional"/>
    <n v="5"/>
    <d v="2019-03-17T00:00:00"/>
    <x v="414"/>
    <x v="0"/>
    <d v="2019-03-22T00:00:00"/>
    <x v="1"/>
    <x v="0"/>
    <n v="0"/>
    <n v="1"/>
  </r>
  <r>
    <d v="2019-03-17T00:00:00"/>
    <n v="11855"/>
    <s v="WHSJC"/>
    <s v="Sao Jose dos Campos"/>
    <s v="SP"/>
    <n v="4018"/>
    <x v="12"/>
    <s v="Sao Jose"/>
    <s v="SC"/>
    <x v="0"/>
    <s v="SC"/>
    <n v="46.35"/>
    <n v="1"/>
    <n v="1.1200000000000001"/>
    <n v="6500948"/>
    <x v="0"/>
    <s v="Porto Alegre"/>
    <s v="Convencional"/>
    <n v="4"/>
    <d v="2019-03-17T00:00:00"/>
    <x v="408"/>
    <x v="0"/>
    <d v="2019-03-21T00:00:00"/>
    <x v="1"/>
    <x v="0"/>
    <n v="0"/>
    <n v="1"/>
  </r>
  <r>
    <d v="2019-03-17T00:00:00"/>
    <n v="11856"/>
    <s v="WHRJ"/>
    <s v="Rio De Janeiro"/>
    <s v="RJ"/>
    <n v="4064"/>
    <x v="53"/>
    <s v="Presidente Prudente"/>
    <s v="SP"/>
    <x v="2"/>
    <s v="SP"/>
    <n v="145.69"/>
    <n v="2"/>
    <n v="0.27300000000000002"/>
    <n v="6400835"/>
    <x v="3"/>
    <s v="Guarulhos"/>
    <s v="Convencional"/>
    <n v="9"/>
    <d v="2019-03-17T00:00:00"/>
    <x v="409"/>
    <x v="0"/>
    <d v="2019-03-26T00:00:00"/>
    <x v="0"/>
    <x v="0"/>
    <n v="1"/>
    <n v="1"/>
  </r>
  <r>
    <d v="2019-03-17T00:00:00"/>
    <n v="11857"/>
    <s v="WHCPQ"/>
    <s v="Campinas"/>
    <s v="SP"/>
    <n v="4064"/>
    <x v="53"/>
    <s v="Presidente Prudente"/>
    <s v="SP"/>
    <x v="2"/>
    <s v="SP"/>
    <n v="3568.33"/>
    <n v="5"/>
    <n v="56.543999999999997"/>
    <n v="6400835"/>
    <x v="3"/>
    <s v="Guarulhos"/>
    <s v="Convencional"/>
    <n v="1"/>
    <d v="2019-03-17T00:00:00"/>
    <x v="414"/>
    <x v="0"/>
    <d v="2019-03-18T00:00:00"/>
    <x v="1"/>
    <x v="0"/>
    <n v="0"/>
    <n v="1"/>
  </r>
  <r>
    <d v="2019-03-17T00:00:00"/>
    <n v="11858"/>
    <s v="WHSJC"/>
    <s v="Sao Jose dos Campos"/>
    <s v="SP"/>
    <n v="4064"/>
    <x v="53"/>
    <s v="Presidente Prudente"/>
    <s v="SP"/>
    <x v="2"/>
    <s v="SP"/>
    <n v="1176.81"/>
    <n v="1"/>
    <n v="1.1200000000000001"/>
    <n v="6400835"/>
    <x v="3"/>
    <s v="Guarulhos"/>
    <s v="Convencional"/>
    <n v="2"/>
    <d v="2019-03-17T00:00:00"/>
    <x v="405"/>
    <x v="0"/>
    <d v="2019-03-19T00:00:00"/>
    <x v="0"/>
    <x v="0"/>
    <n v="1"/>
    <n v="1"/>
  </r>
  <r>
    <d v="2019-03-17T00:00:00"/>
    <n v="11859"/>
    <s v="WHSJC"/>
    <s v="Sao Jose dos Campos"/>
    <s v="SP"/>
    <n v="4022"/>
    <x v="19"/>
    <s v="Maringa"/>
    <s v="PR"/>
    <x v="0"/>
    <s v="PR"/>
    <n v="867.87"/>
    <n v="1"/>
    <n v="1.1919999999999999"/>
    <n v="6500948"/>
    <x v="0"/>
    <s v="Porto Alegre"/>
    <s v="Convencional"/>
    <n v="9"/>
    <d v="2019-03-17T00:00:00"/>
    <x v="413"/>
    <x v="0"/>
    <d v="2019-03-26T00:00:00"/>
    <x v="0"/>
    <x v="0"/>
    <n v="1"/>
    <n v="1"/>
  </r>
  <r>
    <d v="2019-03-17T00:00:00"/>
    <n v="11860"/>
    <s v="WHSJC"/>
    <s v="Sao Jose dos Campos"/>
    <s v="SP"/>
    <n v="4064"/>
    <x v="53"/>
    <s v="Presidente Prudente"/>
    <s v="SP"/>
    <x v="2"/>
    <s v="SP"/>
    <n v="1735.74"/>
    <n v="2"/>
    <n v="2.3849999999999998"/>
    <n v="6400835"/>
    <x v="3"/>
    <s v="Guarulhos"/>
    <s v="Convencional"/>
    <n v="9"/>
    <d v="2019-03-17T00:00:00"/>
    <x v="414"/>
    <x v="0"/>
    <d v="2019-03-26T00:00:00"/>
    <x v="0"/>
    <x v="0"/>
    <n v="1"/>
    <n v="1"/>
  </r>
  <r>
    <d v="2019-03-18T00:00:00"/>
    <n v="11861"/>
    <s v="WHBH"/>
    <s v="Belo Horizonte"/>
    <s v="MG"/>
    <n v="4143"/>
    <x v="131"/>
    <s v="Manaus"/>
    <s v="AM"/>
    <x v="4"/>
    <s v="AM"/>
    <n v="302.48"/>
    <n v="1"/>
    <n v="3.96"/>
    <n v="6700091"/>
    <x v="6"/>
    <s v="Manaus"/>
    <s v="Convencional"/>
    <n v="8"/>
    <d v="2019-03-18T00:00:00"/>
    <x v="413"/>
    <x v="0"/>
    <d v="2019-03-26T00:00:00"/>
    <x v="0"/>
    <x v="0"/>
    <n v="1"/>
    <n v="1"/>
  </r>
  <r>
    <d v="2019-03-18T00:00:00"/>
    <n v="11862"/>
    <s v="WHPOA"/>
    <s v="Porto Alegre"/>
    <s v="RS"/>
    <n v="4144"/>
    <x v="132"/>
    <s v="Santos"/>
    <s v="SP"/>
    <x v="2"/>
    <s v="SP"/>
    <n v="872.9"/>
    <n v="1"/>
    <n v="1.1919999999999999"/>
    <n v="6400835"/>
    <x v="3"/>
    <s v="Guarulhos"/>
    <s v="Convencional"/>
    <n v="2"/>
    <d v="2019-03-18T00:00:00"/>
    <x v="405"/>
    <x v="0"/>
    <d v="2019-03-20T00:00:00"/>
    <x v="0"/>
    <x v="0"/>
    <n v="1"/>
    <n v="1"/>
  </r>
  <r>
    <d v="2019-03-18T00:00:00"/>
    <n v="11863"/>
    <s v="WHVIT"/>
    <s v="Vitoria"/>
    <s v="ES"/>
    <n v="4145"/>
    <x v="133"/>
    <s v="Rio Grande do Sul"/>
    <s v="RS"/>
    <x v="0"/>
    <s v="RS"/>
    <n v="1678.83"/>
    <n v="1"/>
    <n v="6.6349999999999998"/>
    <n v="6500948"/>
    <x v="0"/>
    <s v="Porto Alegre"/>
    <s v="Convencional"/>
    <n v="7"/>
    <d v="2019-03-18T00:00:00"/>
    <x v="415"/>
    <x v="0"/>
    <d v="2019-03-25T00:00:00"/>
    <x v="1"/>
    <x v="0"/>
    <n v="0"/>
    <n v="1"/>
  </r>
  <r>
    <d v="2019-03-18T00:00:00"/>
    <n v="11864"/>
    <s v="WHSAO"/>
    <s v="Sao Paulo"/>
    <s v="SP"/>
    <n v="4146"/>
    <x v="134"/>
    <s v="Belo Horizonte"/>
    <s v="MG"/>
    <x v="2"/>
    <s v="MG"/>
    <n v="1411.63"/>
    <n v="3"/>
    <n v="3.9860000000000002"/>
    <n v="6600879"/>
    <x v="2"/>
    <s v="Belo Horizonte"/>
    <s v="Convencional"/>
    <n v="7"/>
    <d v="2019-03-18T00:00:00"/>
    <x v="407"/>
    <x v="0"/>
    <d v="2019-03-25T00:00:00"/>
    <x v="0"/>
    <x v="0"/>
    <n v="1"/>
    <n v="1"/>
  </r>
  <r>
    <d v="2019-03-18T00:00:00"/>
    <n v="11865"/>
    <s v="WHCPQ"/>
    <s v="Campinas"/>
    <s v="SP"/>
    <n v="4147"/>
    <x v="135"/>
    <s v="Belo Horizonte"/>
    <s v="MG"/>
    <x v="2"/>
    <s v="MG"/>
    <n v="143.96"/>
    <n v="1"/>
    <n v="1.1200000000000001"/>
    <n v="6600879"/>
    <x v="2"/>
    <s v="Belo Horizonte"/>
    <s v="Convencional"/>
    <n v="4"/>
    <d v="2019-03-18T00:00:00"/>
    <x v="415"/>
    <x v="0"/>
    <d v="2019-03-22T00:00:00"/>
    <x v="1"/>
    <x v="0"/>
    <n v="0"/>
    <n v="1"/>
  </r>
  <r>
    <d v="2019-03-19T00:00:00"/>
    <n v="11866"/>
    <s v="WHPOA"/>
    <s v="Porto Alegre"/>
    <s v="RS"/>
    <n v="4022"/>
    <x v="19"/>
    <s v="Maringa"/>
    <s v="PR"/>
    <x v="0"/>
    <s v="PR"/>
    <n v="161.88999999999999"/>
    <n v="2"/>
    <n v="0.80100000000000005"/>
    <n v="6500948"/>
    <x v="0"/>
    <s v="Porto Alegre"/>
    <s v="Convencional"/>
    <n v="5"/>
    <d v="2019-03-19T00:00:00"/>
    <x v="413"/>
    <x v="0"/>
    <d v="2019-03-24T00:00:00"/>
    <x v="1"/>
    <x v="0"/>
    <n v="0"/>
    <n v="1"/>
  </r>
  <r>
    <d v="2019-03-20T00:00:00"/>
    <n v="11867"/>
    <s v="WHVIT"/>
    <s v="Vitoria"/>
    <s v="ES"/>
    <n v="4024"/>
    <x v="21"/>
    <s v="Porto Alegre"/>
    <s v="RS"/>
    <x v="0"/>
    <s v="RS"/>
    <n v="115.03"/>
    <n v="1"/>
    <n v="3.0880000000000001"/>
    <n v="6500948"/>
    <x v="0"/>
    <s v="Porto Alegre"/>
    <s v="Convencional"/>
    <n v="1"/>
    <d v="2019-03-20T00:00:00"/>
    <x v="408"/>
    <x v="0"/>
    <d v="2019-03-21T00:00:00"/>
    <x v="1"/>
    <x v="0"/>
    <n v="0"/>
    <n v="1"/>
  </r>
  <r>
    <d v="2019-03-21T00:00:00"/>
    <n v="11868"/>
    <s v="WHSAO"/>
    <s v="Sao Paulo"/>
    <s v="SP"/>
    <n v="4069"/>
    <x v="57"/>
    <s v="Brasilia"/>
    <s v="DF"/>
    <x v="1"/>
    <s v="DF"/>
    <n v="2123.62"/>
    <n v="1"/>
    <n v="1.1200000000000001"/>
    <n v="6100231"/>
    <x v="1"/>
    <s v="Goiania"/>
    <s v="Convencional"/>
    <n v="3"/>
    <d v="2019-03-21T00:00:00"/>
    <x v="416"/>
    <x v="0"/>
    <d v="2019-03-24T00:00:00"/>
    <x v="1"/>
    <x v="0"/>
    <n v="0"/>
    <n v="1"/>
  </r>
  <r>
    <d v="2019-03-21T00:00:00"/>
    <n v="11869"/>
    <s v="WHSAO"/>
    <s v="Sao Paulo"/>
    <s v="SP"/>
    <n v="4128"/>
    <x v="116"/>
    <s v="Recife"/>
    <s v="PE"/>
    <x v="3"/>
    <s v="PE"/>
    <n v="4313.33"/>
    <n v="7"/>
    <n v="57.456000000000003"/>
    <n v="6900304"/>
    <x v="5"/>
    <s v="Fortaleza"/>
    <s v="Convencional"/>
    <n v="12"/>
    <d v="2019-03-21T00:00:00"/>
    <x v="417"/>
    <x v="0"/>
    <d v="2019-04-02T00:00:00"/>
    <x v="0"/>
    <x v="0"/>
    <n v="1"/>
    <n v="1"/>
  </r>
  <r>
    <d v="2019-03-21T00:00:00"/>
    <n v="11870"/>
    <s v="WHVIT"/>
    <s v="Vitoria"/>
    <s v="ES"/>
    <n v="4012"/>
    <x v="0"/>
    <s v="Sao Jose Dos Pinhais"/>
    <s v="PR"/>
    <x v="0"/>
    <s v="PR"/>
    <n v="889.6"/>
    <n v="1"/>
    <n v="1.1200000000000001"/>
    <n v="6500948"/>
    <x v="0"/>
    <s v="Porto Alegre"/>
    <s v="Convencional"/>
    <n v="2"/>
    <d v="2019-03-21T00:00:00"/>
    <x v="408"/>
    <x v="0"/>
    <d v="2019-03-23T00:00:00"/>
    <x v="0"/>
    <x v="0"/>
    <n v="1"/>
    <n v="1"/>
  </r>
  <r>
    <d v="2019-03-21T00:00:00"/>
    <n v="11871"/>
    <s v="WHBH"/>
    <s v="Belo Horizonte"/>
    <s v="MG"/>
    <n v="4013"/>
    <x v="1"/>
    <s v="Blumenau"/>
    <s v="SC"/>
    <x v="0"/>
    <s v="SC"/>
    <n v="213.09"/>
    <n v="1"/>
    <n v="0.82699999999999996"/>
    <n v="6500948"/>
    <x v="0"/>
    <s v="Porto Alegre"/>
    <s v="Convencional"/>
    <n v="4"/>
    <d v="2019-03-21T00:00:00"/>
    <x v="414"/>
    <x v="0"/>
    <d v="2019-03-25T00:00:00"/>
    <x v="1"/>
    <x v="0"/>
    <n v="0"/>
    <n v="1"/>
  </r>
  <r>
    <d v="2019-03-21T00:00:00"/>
    <n v="11872"/>
    <s v="WHVIT"/>
    <s v="Vitoria"/>
    <s v="ES"/>
    <n v="4014"/>
    <x v="3"/>
    <s v="Ipatinga"/>
    <s v="MG"/>
    <x v="2"/>
    <s v="MG"/>
    <n v="370.76"/>
    <n v="1"/>
    <n v="1.1200000000000001"/>
    <n v="6600879"/>
    <x v="2"/>
    <s v="Belo Horizonte"/>
    <s v="Convencional"/>
    <n v="10"/>
    <d v="2019-03-21T00:00:00"/>
    <x v="413"/>
    <x v="0"/>
    <d v="2019-03-31T00:00:00"/>
    <x v="0"/>
    <x v="0"/>
    <n v="1"/>
    <n v="1"/>
  </r>
  <r>
    <d v="2019-03-21T00:00:00"/>
    <n v="11873"/>
    <s v="WHCPQ"/>
    <s v="Campinas"/>
    <s v="SP"/>
    <n v="4014"/>
    <x v="3"/>
    <s v="Ipatinga"/>
    <s v="MG"/>
    <x v="2"/>
    <s v="MG"/>
    <n v="2510.52"/>
    <n v="2"/>
    <n v="23.675999999999998"/>
    <n v="6600879"/>
    <x v="2"/>
    <s v="Belo Horizonte"/>
    <s v="Convencional"/>
    <n v="12"/>
    <d v="2019-03-21T00:00:00"/>
    <x v="411"/>
    <x v="0"/>
    <d v="2019-04-02T00:00:00"/>
    <x v="0"/>
    <x v="0"/>
    <n v="1"/>
    <n v="1"/>
  </r>
  <r>
    <d v="2019-03-21T00:00:00"/>
    <n v="11874"/>
    <s v="WHSAO"/>
    <s v="Sao Paulo"/>
    <s v="SP"/>
    <n v="4014"/>
    <x v="3"/>
    <s v="Ipatinga"/>
    <s v="MG"/>
    <x v="2"/>
    <s v="MG"/>
    <n v="1143.79"/>
    <n v="1"/>
    <n v="6.2380000000000004"/>
    <n v="6600879"/>
    <x v="2"/>
    <s v="Belo Horizonte"/>
    <s v="Convencional"/>
    <n v="1"/>
    <d v="2019-03-21T00:00:00"/>
    <x v="418"/>
    <x v="0"/>
    <d v="2019-03-22T00:00:00"/>
    <x v="1"/>
    <x v="0"/>
    <n v="0"/>
    <n v="1"/>
  </r>
  <r>
    <d v="2019-03-22T00:00:00"/>
    <n v="11875"/>
    <s v="WHVIT"/>
    <s v="Vitoria"/>
    <s v="ES"/>
    <n v="4033"/>
    <x v="35"/>
    <s v="Goiania"/>
    <s v="GO"/>
    <x v="1"/>
    <s v="GO"/>
    <n v="437.13"/>
    <n v="1"/>
    <n v="0.44"/>
    <n v="6100231"/>
    <x v="1"/>
    <s v="Goiania"/>
    <s v="Urgente"/>
    <n v="9"/>
    <d v="2019-03-22T00:00:00"/>
    <x v="413"/>
    <x v="0"/>
    <d v="2019-03-31T00:00:00"/>
    <x v="0"/>
    <x v="0"/>
    <n v="1"/>
    <n v="1"/>
  </r>
  <r>
    <d v="2019-03-22T00:00:00"/>
    <n v="11876"/>
    <s v="WHBH"/>
    <s v="Belo Horizonte"/>
    <s v="MG"/>
    <n v="4018"/>
    <x v="12"/>
    <s v="Sao Jose"/>
    <s v="SC"/>
    <x v="0"/>
    <s v="SC"/>
    <n v="4584.5200000000004"/>
    <n v="9"/>
    <n v="123.256"/>
    <n v="6500948"/>
    <x v="0"/>
    <s v="Porto Alegre"/>
    <s v="Convencional"/>
    <n v="1"/>
    <d v="2019-03-22T00:00:00"/>
    <x v="419"/>
    <x v="0"/>
    <d v="2019-03-23T00:00:00"/>
    <x v="1"/>
    <x v="0"/>
    <n v="0"/>
    <n v="1"/>
  </r>
  <r>
    <d v="2019-03-22T00:00:00"/>
    <n v="11877"/>
    <s v="WHRJ"/>
    <s v="Rio De Janeiro"/>
    <s v="RJ"/>
    <n v="4022"/>
    <x v="19"/>
    <s v="Maringa"/>
    <s v="PR"/>
    <x v="0"/>
    <s v="PR"/>
    <n v="1024.42"/>
    <n v="1"/>
    <n v="1.1200000000000001"/>
    <n v="6500948"/>
    <x v="0"/>
    <s v="Porto Alegre"/>
    <s v="Convencional"/>
    <n v="7"/>
    <d v="2019-03-22T00:00:00"/>
    <x v="413"/>
    <x v="2"/>
    <d v="2019-03-29T00:00:00"/>
    <x v="0"/>
    <x v="1"/>
    <n v="0"/>
    <n v="1"/>
  </r>
  <r>
    <d v="2019-03-23T00:00:00"/>
    <n v="11878"/>
    <s v="WHBH"/>
    <s v="Belo Horizonte"/>
    <s v="MG"/>
    <n v="4084"/>
    <x v="72"/>
    <s v="Aracatuba"/>
    <s v="SP"/>
    <x v="2"/>
    <s v="SP"/>
    <n v="319.56"/>
    <n v="1"/>
    <n v="0.14299999999999999"/>
    <n v="6400835"/>
    <x v="3"/>
    <s v="Guarulhos"/>
    <s v="Convencional"/>
    <n v="3"/>
    <d v="2019-03-23T00:00:00"/>
    <x v="418"/>
    <x v="0"/>
    <d v="2019-03-26T00:00:00"/>
    <x v="1"/>
    <x v="0"/>
    <n v="0"/>
    <n v="1"/>
  </r>
  <r>
    <d v="2019-03-23T00:00:00"/>
    <n v="11879"/>
    <s v="WHSJC"/>
    <s v="Sao Jose dos Campos"/>
    <s v="SP"/>
    <n v="4142"/>
    <x v="130"/>
    <s v="Manaus"/>
    <s v="AM"/>
    <x v="4"/>
    <s v="AM"/>
    <n v="4770.71"/>
    <n v="2"/>
    <n v="21.454000000000001"/>
    <n v="6700091"/>
    <x v="6"/>
    <s v="Manaus"/>
    <s v="Convencional"/>
    <n v="4"/>
    <d v="2019-03-23T00:00:00"/>
    <x v="420"/>
    <x v="0"/>
    <d v="2019-03-27T00:00:00"/>
    <x v="1"/>
    <x v="0"/>
    <n v="0"/>
    <n v="1"/>
  </r>
  <r>
    <d v="2019-03-23T00:00:00"/>
    <n v="11880"/>
    <s v="WHVIT"/>
    <s v="Vitoria"/>
    <s v="ES"/>
    <n v="4137"/>
    <x v="125"/>
    <s v="Sao Paulo"/>
    <s v="SP"/>
    <x v="2"/>
    <s v="SP"/>
    <n v="317.02"/>
    <n v="1"/>
    <n v="1.1200000000000001"/>
    <n v="6400835"/>
    <x v="3"/>
    <s v="Guarulhos"/>
    <s v="Convencional"/>
    <n v="12"/>
    <d v="2019-03-23T00:00:00"/>
    <x v="413"/>
    <x v="0"/>
    <d v="2019-04-04T00:00:00"/>
    <x v="0"/>
    <x v="0"/>
    <n v="1"/>
    <n v="1"/>
  </r>
  <r>
    <d v="2019-03-23T00:00:00"/>
    <n v="11881"/>
    <s v="WHSAO"/>
    <s v="Sao Paulo"/>
    <s v="SP"/>
    <n v="4044"/>
    <x v="48"/>
    <s v="Belo Horizonte"/>
    <s v="MG"/>
    <x v="2"/>
    <s v="MG"/>
    <n v="550.39"/>
    <n v="1"/>
    <n v="5.99"/>
    <n v="6600879"/>
    <x v="2"/>
    <s v="Belo Horizonte"/>
    <s v="Convencional"/>
    <n v="6"/>
    <d v="2019-03-23T00:00:00"/>
    <x v="419"/>
    <x v="0"/>
    <d v="2019-03-29T00:00:00"/>
    <x v="1"/>
    <x v="0"/>
    <n v="0"/>
    <n v="1"/>
  </r>
  <r>
    <d v="2019-03-23T00:00:00"/>
    <n v="11882"/>
    <s v="WHRJ"/>
    <s v="Rio De Janeiro"/>
    <s v="RJ"/>
    <n v="4045"/>
    <x v="49"/>
    <s v="Belo Horizonte"/>
    <s v="MG"/>
    <x v="2"/>
    <s v="MG"/>
    <n v="1354.59"/>
    <n v="1"/>
    <n v="1.1200000000000001"/>
    <n v="6600879"/>
    <x v="2"/>
    <s v="Belo Horizonte"/>
    <s v="Convencional"/>
    <n v="2"/>
    <d v="2019-03-23T00:00:00"/>
    <x v="421"/>
    <x v="0"/>
    <d v="2019-03-25T00:00:00"/>
    <x v="1"/>
    <x v="0"/>
    <n v="0"/>
    <n v="1"/>
  </r>
  <r>
    <d v="2019-03-23T00:00:00"/>
    <n v="11883"/>
    <s v="WHVIT"/>
    <s v="Vitoria"/>
    <s v="ES"/>
    <n v="4044"/>
    <x v="48"/>
    <s v="Belo Horizonte"/>
    <s v="MG"/>
    <x v="2"/>
    <s v="MG"/>
    <n v="379.55"/>
    <n v="1"/>
    <n v="0.82699999999999996"/>
    <n v="6600879"/>
    <x v="2"/>
    <s v="Belo Horizonte"/>
    <s v="Convencional"/>
    <n v="3"/>
    <d v="2019-03-23T00:00:00"/>
    <x v="413"/>
    <x v="0"/>
    <d v="2019-03-26T00:00:00"/>
    <x v="0"/>
    <x v="0"/>
    <n v="1"/>
    <n v="1"/>
  </r>
  <r>
    <d v="2019-03-23T00:00:00"/>
    <n v="11884"/>
    <s v="WHPOA"/>
    <s v="Porto Alegre"/>
    <s v="RS"/>
    <n v="4045"/>
    <x v="49"/>
    <s v="Belo Horizonte"/>
    <s v="MG"/>
    <x v="2"/>
    <s v="MG"/>
    <n v="3.43"/>
    <n v="1"/>
    <n v="0.112"/>
    <n v="6600879"/>
    <x v="2"/>
    <s v="Belo Horizonte"/>
    <s v="Convencional"/>
    <n v="5"/>
    <d v="2019-03-23T00:00:00"/>
    <x v="416"/>
    <x v="2"/>
    <d v="2019-03-28T00:00:00"/>
    <x v="1"/>
    <x v="1"/>
    <n v="0"/>
    <n v="1"/>
  </r>
  <r>
    <d v="2019-03-23T00:00:00"/>
    <n v="11885"/>
    <s v="WHCPQ"/>
    <s v="Campinas"/>
    <s v="SP"/>
    <n v="4040"/>
    <x v="42"/>
    <s v="Brasilia"/>
    <s v="DF"/>
    <x v="1"/>
    <s v="DF"/>
    <n v="347.09"/>
    <n v="1"/>
    <n v="2.4E-2"/>
    <n v="6100231"/>
    <x v="1"/>
    <s v="Goiania"/>
    <s v="Convencional"/>
    <n v="9"/>
    <d v="2019-03-23T00:00:00"/>
    <x v="414"/>
    <x v="0"/>
    <d v="2019-04-01T00:00:00"/>
    <x v="0"/>
    <x v="0"/>
    <n v="1"/>
    <n v="1"/>
  </r>
  <r>
    <d v="2019-03-23T00:00:00"/>
    <n v="11886"/>
    <s v="WHCPQ"/>
    <s v="Campinas"/>
    <s v="SP"/>
    <n v="4055"/>
    <x v="45"/>
    <s v="Brasilia"/>
    <s v="DF"/>
    <x v="1"/>
    <s v="DF"/>
    <n v="44.81"/>
    <n v="1"/>
    <n v="0.13800000000000001"/>
    <n v="6100231"/>
    <x v="1"/>
    <s v="Goiania"/>
    <s v="Convencional"/>
    <n v="3"/>
    <d v="2019-03-23T00:00:00"/>
    <x v="416"/>
    <x v="0"/>
    <d v="2019-03-26T00:00:00"/>
    <x v="1"/>
    <x v="0"/>
    <n v="0"/>
    <n v="1"/>
  </r>
  <r>
    <d v="2019-03-23T00:00:00"/>
    <n v="11887"/>
    <s v="WHRJ"/>
    <s v="Rio De Janeiro"/>
    <s v="RJ"/>
    <n v="4044"/>
    <x v="48"/>
    <s v="Belo Horizonte"/>
    <s v="MG"/>
    <x v="2"/>
    <s v="MG"/>
    <n v="1356.82"/>
    <n v="1"/>
    <n v="3.3090000000000002"/>
    <n v="6600879"/>
    <x v="2"/>
    <s v="Belo Horizonte"/>
    <s v="Convencional"/>
    <n v="12"/>
    <d v="2019-03-23T00:00:00"/>
    <x v="421"/>
    <x v="0"/>
    <d v="2019-04-04T00:00:00"/>
    <x v="0"/>
    <x v="0"/>
    <n v="1"/>
    <n v="1"/>
  </r>
  <r>
    <d v="2019-03-23T00:00:00"/>
    <n v="11888"/>
    <s v="WHRJ"/>
    <s v="Rio De Janeiro"/>
    <s v="RJ"/>
    <n v="4045"/>
    <x v="49"/>
    <s v="Belo Horizonte"/>
    <s v="MG"/>
    <x v="2"/>
    <s v="MG"/>
    <n v="6641.71"/>
    <n v="3"/>
    <n v="11.606999999999999"/>
    <n v="6600879"/>
    <x v="2"/>
    <s v="Belo Horizonte"/>
    <s v="Convencional"/>
    <n v="10"/>
    <d v="2019-03-23T00:00:00"/>
    <x v="421"/>
    <x v="0"/>
    <d v="2019-04-02T00:00:00"/>
    <x v="0"/>
    <x v="0"/>
    <n v="1"/>
    <n v="1"/>
  </r>
  <r>
    <d v="2019-03-23T00:00:00"/>
    <n v="11889"/>
    <s v="WHSJC"/>
    <s v="Sao Jose dos Campos"/>
    <s v="SP"/>
    <n v="4040"/>
    <x v="42"/>
    <s v="Brasilia"/>
    <s v="DF"/>
    <x v="1"/>
    <s v="DF"/>
    <n v="422.23"/>
    <n v="1"/>
    <n v="1.1200000000000001"/>
    <n v="6100231"/>
    <x v="1"/>
    <s v="Goiania"/>
    <s v="Convencional"/>
    <n v="12"/>
    <d v="2019-03-23T00:00:00"/>
    <x v="419"/>
    <x v="0"/>
    <d v="2019-04-04T00:00:00"/>
    <x v="0"/>
    <x v="0"/>
    <n v="1"/>
    <n v="1"/>
  </r>
  <r>
    <d v="2019-03-23T00:00:00"/>
    <n v="11890"/>
    <s v="WHVIT"/>
    <s v="Vitoria"/>
    <s v="ES"/>
    <n v="4055"/>
    <x v="45"/>
    <s v="Brasilia"/>
    <s v="DF"/>
    <x v="1"/>
    <s v="DF"/>
    <n v="148.19"/>
    <n v="1"/>
    <n v="0.215"/>
    <n v="6100231"/>
    <x v="1"/>
    <s v="Goiania"/>
    <s v="Convencional"/>
    <n v="11"/>
    <d v="2019-03-23T00:00:00"/>
    <x v="419"/>
    <x v="0"/>
    <d v="2019-04-03T00:00:00"/>
    <x v="0"/>
    <x v="0"/>
    <n v="1"/>
    <n v="1"/>
  </r>
  <r>
    <d v="2019-03-24T00:00:00"/>
    <n v="11891"/>
    <s v="WHBH"/>
    <s v="Belo Horizonte"/>
    <s v="MG"/>
    <n v="4085"/>
    <x v="73"/>
    <s v="Sao Jose Do Rio Preto"/>
    <s v="SP"/>
    <x v="2"/>
    <s v="SP"/>
    <n v="368.29"/>
    <n v="1"/>
    <n v="4.6790000000000003"/>
    <n v="6400835"/>
    <x v="3"/>
    <s v="Guarulhos"/>
    <s v="Convencional"/>
    <n v="7"/>
    <d v="2019-03-24T00:00:00"/>
    <x v="416"/>
    <x v="0"/>
    <d v="2019-03-31T00:00:00"/>
    <x v="0"/>
    <x v="0"/>
    <n v="1"/>
    <n v="1"/>
  </r>
  <r>
    <d v="2019-03-26T00:00:00"/>
    <n v="11892"/>
    <s v="WHCPQ"/>
    <s v="Campinas"/>
    <s v="SP"/>
    <n v="4146"/>
    <x v="134"/>
    <s v="Belo Horizonte"/>
    <s v="MG"/>
    <x v="2"/>
    <s v="MG"/>
    <n v="397.64"/>
    <n v="1"/>
    <n v="1.931"/>
    <n v="6600879"/>
    <x v="2"/>
    <s v="Belo Horizonte"/>
    <s v="Convencional"/>
    <n v="4"/>
    <d v="2019-03-26T00:00:00"/>
    <x v="416"/>
    <x v="0"/>
    <d v="2019-03-30T00:00:00"/>
    <x v="0"/>
    <x v="0"/>
    <n v="1"/>
    <n v="1"/>
  </r>
  <r>
    <d v="2019-03-26T00:00:00"/>
    <n v="11893"/>
    <s v="WHRJ"/>
    <s v="Rio De Janeiro"/>
    <s v="RJ"/>
    <n v="4148"/>
    <x v="136"/>
    <s v="Sao Paulo"/>
    <s v="SP"/>
    <x v="2"/>
    <s v="SP"/>
    <n v="12.91"/>
    <n v="1"/>
    <n v="1.1200000000000001"/>
    <n v="6400835"/>
    <x v="3"/>
    <s v="Guarulhos"/>
    <s v="Convencional"/>
    <n v="2"/>
    <d v="2019-03-26T00:00:00"/>
    <x v="421"/>
    <x v="0"/>
    <d v="2019-03-28T00:00:00"/>
    <x v="1"/>
    <x v="0"/>
    <n v="0"/>
    <n v="1"/>
  </r>
  <r>
    <d v="2019-03-26T00:00:00"/>
    <n v="11894"/>
    <s v="WHBH"/>
    <s v="Belo Horizonte"/>
    <s v="MG"/>
    <n v="4013"/>
    <x v="1"/>
    <s v="Blumenau"/>
    <s v="SC"/>
    <x v="0"/>
    <s v="SC"/>
    <n v="439.66"/>
    <n v="1"/>
    <n v="0.44"/>
    <n v="6500948"/>
    <x v="0"/>
    <s v="Porto Alegre"/>
    <s v="Convencional"/>
    <n v="5"/>
    <d v="2019-03-26T00:00:00"/>
    <x v="422"/>
    <x v="0"/>
    <d v="2019-03-31T00:00:00"/>
    <x v="1"/>
    <x v="0"/>
    <n v="0"/>
    <n v="1"/>
  </r>
  <r>
    <d v="2019-03-26T00:00:00"/>
    <n v="11895"/>
    <s v="WHPOA"/>
    <s v="Porto Alegre"/>
    <s v="RS"/>
    <n v="4064"/>
    <x v="53"/>
    <s v="Presidente Prudente"/>
    <s v="SP"/>
    <x v="2"/>
    <s v="SP"/>
    <n v="4776.87"/>
    <n v="2"/>
    <n v="12.698"/>
    <n v="6400835"/>
    <x v="3"/>
    <s v="Guarulhos"/>
    <s v="Convencional"/>
    <n v="3"/>
    <d v="2019-03-26T00:00:00"/>
    <x v="419"/>
    <x v="0"/>
    <d v="2019-03-29T00:00:00"/>
    <x v="1"/>
    <x v="0"/>
    <n v="0"/>
    <n v="1"/>
  </r>
  <r>
    <d v="2019-03-26T00:00:00"/>
    <n v="11896"/>
    <s v="WHSAO"/>
    <s v="Sao Paulo"/>
    <s v="SP"/>
    <n v="4064"/>
    <x v="53"/>
    <s v="Presidente Prudente"/>
    <s v="SP"/>
    <x v="2"/>
    <s v="SP"/>
    <n v="816.6"/>
    <n v="1"/>
    <n v="1.1200000000000001"/>
    <n v="6400835"/>
    <x v="3"/>
    <s v="Guarulhos"/>
    <s v="Convencional"/>
    <n v="5"/>
    <d v="2019-03-26T00:00:00"/>
    <x v="420"/>
    <x v="0"/>
    <d v="2019-03-31T00:00:00"/>
    <x v="1"/>
    <x v="0"/>
    <n v="0"/>
    <n v="1"/>
  </r>
  <r>
    <d v="2019-03-26T00:00:00"/>
    <n v="11897"/>
    <s v="WHSJC"/>
    <s v="Sao Jose dos Campos"/>
    <s v="SP"/>
    <n v="4064"/>
    <x v="53"/>
    <s v="Presidente Prudente"/>
    <s v="SP"/>
    <x v="2"/>
    <s v="SP"/>
    <n v="1165.8399999999999"/>
    <n v="3"/>
    <n v="6.95"/>
    <n v="6400835"/>
    <x v="3"/>
    <s v="Guarulhos"/>
    <s v="Convencional"/>
    <n v="10"/>
    <d v="2019-03-26T00:00:00"/>
    <x v="423"/>
    <x v="0"/>
    <d v="2019-04-05T00:00:00"/>
    <x v="0"/>
    <x v="0"/>
    <n v="1"/>
    <n v="1"/>
  </r>
  <r>
    <d v="2019-03-26T00:00:00"/>
    <n v="11898"/>
    <s v="WHPOA"/>
    <s v="Porto Alegre"/>
    <s v="RS"/>
    <n v="4064"/>
    <x v="53"/>
    <s v="Presidente Prudente"/>
    <s v="SP"/>
    <x v="2"/>
    <s v="SP"/>
    <n v="189.51"/>
    <n v="1"/>
    <n v="1.1200000000000001"/>
    <n v="6400835"/>
    <x v="3"/>
    <s v="Guarulhos"/>
    <s v="Convencional"/>
    <n v="3"/>
    <d v="2019-03-26T00:00:00"/>
    <x v="415"/>
    <x v="0"/>
    <d v="2019-03-29T00:00:00"/>
    <x v="0"/>
    <x v="0"/>
    <n v="1"/>
    <n v="1"/>
  </r>
  <r>
    <d v="2019-03-27T00:00:00"/>
    <n v="11899"/>
    <s v="WHCPQ"/>
    <s v="Campinas"/>
    <s v="SP"/>
    <n v="4149"/>
    <x v="137"/>
    <s v="Santos"/>
    <s v="SP"/>
    <x v="2"/>
    <s v="SP"/>
    <n v="4327.7700000000004"/>
    <n v="3"/>
    <n v="21.632000000000001"/>
    <n v="6400835"/>
    <x v="3"/>
    <s v="Guarulhos"/>
    <s v="Convencional"/>
    <n v="12"/>
    <d v="2019-03-27T00:00:00"/>
    <x v="422"/>
    <x v="0"/>
    <d v="2019-04-08T00:00:00"/>
    <x v="0"/>
    <x v="0"/>
    <n v="1"/>
    <n v="1"/>
  </r>
  <r>
    <d v="2019-03-27T00:00:00"/>
    <n v="11900"/>
    <s v="WHCPQ"/>
    <s v="Campinas"/>
    <s v="SP"/>
    <n v="4068"/>
    <x v="4"/>
    <s v="Campo Grande"/>
    <s v="MS"/>
    <x v="1"/>
    <s v="MS"/>
    <n v="257.94"/>
    <n v="1"/>
    <n v="1.1200000000000001"/>
    <n v="6100231"/>
    <x v="1"/>
    <s v="Goiania"/>
    <s v="Convencional"/>
    <n v="6"/>
    <d v="2019-03-27T00:00:00"/>
    <x v="415"/>
    <x v="0"/>
    <d v="2019-04-02T00:00:00"/>
    <x v="0"/>
    <x v="0"/>
    <n v="1"/>
    <n v="1"/>
  </r>
  <r>
    <d v="2019-03-27T00:00:00"/>
    <n v="11901"/>
    <s v="WHCPQ"/>
    <s v="Campinas"/>
    <s v="SP"/>
    <n v="4019"/>
    <x v="13"/>
    <s v="Florianopolis"/>
    <s v="SC"/>
    <x v="0"/>
    <s v="SC"/>
    <n v="904.98"/>
    <n v="2"/>
    <n v="18.149000000000001"/>
    <n v="6500948"/>
    <x v="0"/>
    <s v="Porto Alegre"/>
    <s v="Convencional"/>
    <n v="9"/>
    <d v="2019-03-27T00:00:00"/>
    <x v="415"/>
    <x v="1"/>
    <d v="2019-04-05T00:00:00"/>
    <x v="0"/>
    <x v="1"/>
    <n v="0"/>
    <n v="1"/>
  </r>
  <r>
    <d v="2019-03-27T00:00:00"/>
    <n v="11902"/>
    <s v="WHCPQ"/>
    <s v="Campinas"/>
    <s v="SP"/>
    <n v="4019"/>
    <x v="13"/>
    <s v="Florianopolis"/>
    <s v="SC"/>
    <x v="0"/>
    <s v="SC"/>
    <n v="1978.79"/>
    <n v="1"/>
    <n v="1.1200000000000001"/>
    <n v="6500948"/>
    <x v="0"/>
    <s v="Porto Alegre"/>
    <s v="Convencional"/>
    <n v="10"/>
    <d v="2019-03-27T00:00:00"/>
    <x v="417"/>
    <x v="0"/>
    <d v="2019-04-06T00:00:00"/>
    <x v="0"/>
    <x v="0"/>
    <n v="1"/>
    <n v="1"/>
  </r>
  <r>
    <d v="2019-03-27T00:00:00"/>
    <n v="11903"/>
    <s v="WHPOA"/>
    <s v="Porto Alegre"/>
    <s v="RS"/>
    <n v="4019"/>
    <x v="13"/>
    <s v="Florianopolis"/>
    <s v="SC"/>
    <x v="0"/>
    <s v="SC"/>
    <n v="2433.96"/>
    <n v="1"/>
    <n v="1.1200000000000001"/>
    <n v="6500948"/>
    <x v="0"/>
    <s v="Porto Alegre"/>
    <s v="Convencional"/>
    <n v="1"/>
    <d v="2019-03-27T00:00:00"/>
    <x v="421"/>
    <x v="0"/>
    <d v="2019-03-28T00:00:00"/>
    <x v="1"/>
    <x v="0"/>
    <n v="0"/>
    <n v="1"/>
  </r>
  <r>
    <d v="2019-03-27T00:00:00"/>
    <n v="11904"/>
    <s v="WHCPQ"/>
    <s v="Campinas"/>
    <s v="SP"/>
    <n v="4019"/>
    <x v="13"/>
    <s v="Florianopolis"/>
    <s v="SC"/>
    <x v="0"/>
    <s v="SC"/>
    <n v="447.73"/>
    <n v="2"/>
    <n v="6.0359999999999996"/>
    <n v="6500948"/>
    <x v="0"/>
    <s v="Porto Alegre"/>
    <s v="Convencional"/>
    <n v="4"/>
    <d v="2019-03-27T00:00:00"/>
    <x v="424"/>
    <x v="0"/>
    <d v="2019-03-31T00:00:00"/>
    <x v="1"/>
    <x v="0"/>
    <n v="0"/>
    <n v="1"/>
  </r>
  <r>
    <d v="2019-03-28T00:00:00"/>
    <n v="11905"/>
    <s v="WHRJ"/>
    <s v="Rio De Janeiro"/>
    <s v="RJ"/>
    <n v="4150"/>
    <x v="138"/>
    <s v="Belo Horizonte"/>
    <s v="MG"/>
    <x v="2"/>
    <s v="MG"/>
    <n v="2020.37"/>
    <n v="1"/>
    <n v="1.1200000000000001"/>
    <n v="6600879"/>
    <x v="2"/>
    <s v="Belo Horizonte"/>
    <s v="Convencional"/>
    <n v="5"/>
    <d v="2019-03-28T00:00:00"/>
    <x v="420"/>
    <x v="0"/>
    <d v="2019-04-02T00:00:00"/>
    <x v="0"/>
    <x v="0"/>
    <n v="1"/>
    <n v="1"/>
  </r>
  <r>
    <d v="2019-03-28T00:00:00"/>
    <n v="11906"/>
    <s v="WHVIT"/>
    <s v="Vitoria"/>
    <s v="ES"/>
    <n v="4033"/>
    <x v="35"/>
    <s v="Goiania"/>
    <s v="GO"/>
    <x v="1"/>
    <s v="GO"/>
    <n v="10266.4"/>
    <n v="10"/>
    <n v="143.57"/>
    <n v="6100231"/>
    <x v="1"/>
    <s v="Goiania"/>
    <s v="Convencional"/>
    <n v="9"/>
    <d v="2019-03-28T00:00:00"/>
    <x v="417"/>
    <x v="1"/>
    <d v="2019-04-06T00:00:00"/>
    <x v="0"/>
    <x v="1"/>
    <n v="0"/>
    <n v="1"/>
  </r>
  <r>
    <d v="2019-03-28T00:00:00"/>
    <n v="11907"/>
    <s v="WHSAO"/>
    <s v="Sao Paulo"/>
    <s v="SP"/>
    <n v="4147"/>
    <x v="135"/>
    <s v="Belo Horizonte"/>
    <s v="MG"/>
    <x v="2"/>
    <s v="MG"/>
    <n v="3457.8"/>
    <n v="1"/>
    <n v="1.1200000000000001"/>
    <n v="6600879"/>
    <x v="2"/>
    <s v="Belo Horizonte"/>
    <s v="Convencional"/>
    <n v="8"/>
    <d v="2019-03-28T00:00:00"/>
    <x v="425"/>
    <x v="0"/>
    <d v="2019-04-05T00:00:00"/>
    <x v="1"/>
    <x v="0"/>
    <n v="0"/>
    <n v="1"/>
  </r>
  <r>
    <d v="2019-03-28T00:00:00"/>
    <n v="11908"/>
    <s v="WHBH"/>
    <s v="Belo Horizonte"/>
    <s v="MG"/>
    <n v="4132"/>
    <x v="120"/>
    <s v="Santos"/>
    <s v="SP"/>
    <x v="2"/>
    <s v="SP"/>
    <n v="22.69"/>
    <n v="3"/>
    <n v="15.231999999999999"/>
    <n v="6400835"/>
    <x v="3"/>
    <s v="Guarulhos"/>
    <s v="Convencional"/>
    <n v="11"/>
    <d v="2019-03-28T00:00:00"/>
    <x v="421"/>
    <x v="0"/>
    <d v="2019-04-08T00:00:00"/>
    <x v="0"/>
    <x v="0"/>
    <n v="1"/>
    <n v="1"/>
  </r>
  <r>
    <d v="2019-03-29T00:00:00"/>
    <n v="11909"/>
    <s v="WHVIT"/>
    <s v="Vitoria"/>
    <s v="ES"/>
    <n v="4151"/>
    <x v="139"/>
    <s v="Manaus"/>
    <s v="AM"/>
    <x v="4"/>
    <s v="AM"/>
    <n v="3725.53"/>
    <n v="1"/>
    <n v="1.1200000000000001"/>
    <n v="6700091"/>
    <x v="6"/>
    <s v="Manaus"/>
    <s v="Convencional"/>
    <n v="12"/>
    <d v="2019-03-29T00:00:00"/>
    <x v="419"/>
    <x v="1"/>
    <d v="2019-04-10T00:00:00"/>
    <x v="0"/>
    <x v="1"/>
    <n v="0"/>
    <n v="1"/>
  </r>
  <r>
    <d v="2019-03-29T00:00:00"/>
    <n v="11910"/>
    <s v="WHCPQ"/>
    <s v="Campinas"/>
    <s v="SP"/>
    <n v="4013"/>
    <x v="1"/>
    <s v="Blumenau"/>
    <s v="SC"/>
    <x v="0"/>
    <s v="SC"/>
    <n v="7207.05"/>
    <n v="4"/>
    <n v="20.024000000000001"/>
    <n v="6500948"/>
    <x v="0"/>
    <s v="Porto Alegre"/>
    <s v="Convencional"/>
    <n v="6"/>
    <d v="2019-03-29T00:00:00"/>
    <x v="425"/>
    <x v="2"/>
    <d v="2019-04-04T00:00:00"/>
    <x v="1"/>
    <x v="1"/>
    <n v="0"/>
    <n v="1"/>
  </r>
  <r>
    <d v="2019-03-29T00:00:00"/>
    <n v="11911"/>
    <s v="WHBH"/>
    <s v="Belo Horizonte"/>
    <s v="MG"/>
    <n v="4034"/>
    <x v="36"/>
    <s v="Goiania"/>
    <s v="GO"/>
    <x v="1"/>
    <s v="GO"/>
    <n v="225.25"/>
    <n v="1"/>
    <n v="1.1200000000000001"/>
    <n v="6100231"/>
    <x v="1"/>
    <s v="Goiania"/>
    <s v="Convencional"/>
    <n v="7"/>
    <d v="2019-03-29T00:00:00"/>
    <x v="422"/>
    <x v="0"/>
    <d v="2019-04-05T00:00:00"/>
    <x v="0"/>
    <x v="0"/>
    <n v="1"/>
    <n v="1"/>
  </r>
  <r>
    <d v="2019-03-29T00:00:00"/>
    <n v="11912"/>
    <s v="WHBH"/>
    <s v="Belo Horizonte"/>
    <s v="MG"/>
    <n v="4018"/>
    <x v="12"/>
    <s v="Sao Jose"/>
    <s v="SC"/>
    <x v="0"/>
    <s v="SC"/>
    <n v="1053.74"/>
    <n v="2"/>
    <n v="4.4180000000000001"/>
    <n v="6500948"/>
    <x v="0"/>
    <s v="Porto Alegre"/>
    <s v="Convencional"/>
    <n v="9"/>
    <d v="2019-03-29T00:00:00"/>
    <x v="425"/>
    <x v="0"/>
    <d v="2019-04-07T00:00:00"/>
    <x v="0"/>
    <x v="0"/>
    <n v="1"/>
    <n v="1"/>
  </r>
  <r>
    <d v="2019-03-29T00:00:00"/>
    <n v="11913"/>
    <s v="WHSAO"/>
    <s v="Sao Paulo"/>
    <s v="SP"/>
    <n v="4022"/>
    <x v="19"/>
    <s v="Maringa"/>
    <s v="PR"/>
    <x v="0"/>
    <s v="PR"/>
    <n v="1733.86"/>
    <n v="2"/>
    <n v="10.321999999999999"/>
    <n v="6500948"/>
    <x v="0"/>
    <s v="Porto Alegre"/>
    <s v="Convencional"/>
    <n v="12"/>
    <d v="2019-03-29T00:00:00"/>
    <x v="423"/>
    <x v="0"/>
    <d v="2019-04-10T00:00:00"/>
    <x v="0"/>
    <x v="0"/>
    <n v="1"/>
    <n v="1"/>
  </r>
  <r>
    <d v="2019-03-29T00:00:00"/>
    <n v="11914"/>
    <s v="WHRJ"/>
    <s v="Rio De Janeiro"/>
    <s v="RJ"/>
    <n v="4032"/>
    <x v="34"/>
    <s v="Goiania"/>
    <s v="GO"/>
    <x v="1"/>
    <s v="GO"/>
    <n v="768.95"/>
    <n v="1"/>
    <n v="1.1200000000000001"/>
    <n v="6100231"/>
    <x v="1"/>
    <s v="Goiania"/>
    <s v="Convencional"/>
    <n v="4"/>
    <d v="2019-03-29T00:00:00"/>
    <x v="424"/>
    <x v="0"/>
    <d v="2019-04-02T00:00:00"/>
    <x v="1"/>
    <x v="0"/>
    <n v="0"/>
    <n v="1"/>
  </r>
  <r>
    <d v="2019-03-31T00:00:00"/>
    <n v="11915"/>
    <s v="WHVIT"/>
    <s v="Vitoria"/>
    <s v="ES"/>
    <n v="4152"/>
    <x v="140"/>
    <s v="Recife"/>
    <s v="PE"/>
    <x v="3"/>
    <s v="PE"/>
    <n v="318.36"/>
    <n v="1"/>
    <n v="1.181"/>
    <n v="6900304"/>
    <x v="5"/>
    <s v="Fortaleza"/>
    <s v="Convencional"/>
    <n v="6"/>
    <d v="2019-03-31T00:00:00"/>
    <x v="419"/>
    <x v="0"/>
    <d v="2019-04-06T00:00:00"/>
    <x v="0"/>
    <x v="0"/>
    <n v="1"/>
    <n v="1"/>
  </r>
  <r>
    <d v="2019-03-31T00:00:00"/>
    <n v="11916"/>
    <s v="WHCPQ"/>
    <s v="Campinas"/>
    <s v="SP"/>
    <n v="4153"/>
    <x v="141"/>
    <s v="Rio De Janeiro"/>
    <s v="RJ"/>
    <x v="2"/>
    <s v="RJ"/>
    <n v="370.7"/>
    <n v="1"/>
    <n v="1.1200000000000001"/>
    <n v="6140092"/>
    <x v="4"/>
    <s v="Rio de Janeiro"/>
    <s v="Convencional"/>
    <n v="10"/>
    <d v="2019-03-31T00:00:00"/>
    <x v="424"/>
    <x v="0"/>
    <d v="2019-04-10T00:00:00"/>
    <x v="0"/>
    <x v="0"/>
    <n v="1"/>
    <n v="1"/>
  </r>
  <r>
    <d v="2019-03-31T00:00:00"/>
    <n v="11917"/>
    <s v="WHSJC"/>
    <s v="Sao Jose dos Campos"/>
    <s v="SP"/>
    <n v="4035"/>
    <x v="37"/>
    <s v="Brasilia"/>
    <s v="DF"/>
    <x v="1"/>
    <s v="DF"/>
    <n v="686.87"/>
    <n v="2"/>
    <n v="14.081"/>
    <n v="6100231"/>
    <x v="1"/>
    <s v="Goiania"/>
    <s v="Convencional"/>
    <n v="10"/>
    <d v="2019-03-31T00:00:00"/>
    <x v="426"/>
    <x v="0"/>
    <d v="2019-04-10T00:00:00"/>
    <x v="0"/>
    <x v="0"/>
    <n v="1"/>
    <n v="1"/>
  </r>
  <r>
    <d v="2019-03-31T00:00:00"/>
    <n v="11918"/>
    <s v="WHCPQ"/>
    <s v="Campinas"/>
    <s v="SP"/>
    <n v="4035"/>
    <x v="37"/>
    <s v="Brasilia"/>
    <s v="DF"/>
    <x v="1"/>
    <s v="DF"/>
    <n v="2547.7600000000002"/>
    <n v="1"/>
    <n v="1.1200000000000001"/>
    <n v="6100231"/>
    <x v="1"/>
    <s v="Goiania"/>
    <s v="Convencional"/>
    <n v="3"/>
    <d v="2019-03-31T00:00:00"/>
    <x v="424"/>
    <x v="0"/>
    <d v="2019-04-03T00:00:00"/>
    <x v="1"/>
    <x v="0"/>
    <n v="0"/>
    <n v="1"/>
  </r>
  <r>
    <d v="2019-03-31T00:00:00"/>
    <n v="11919"/>
    <s v="WHSJC"/>
    <s v="Sao Jose dos Campos"/>
    <s v="SP"/>
    <n v="4100"/>
    <x v="88"/>
    <s v="Santos"/>
    <s v="SP"/>
    <x v="2"/>
    <s v="SP"/>
    <n v="115.52"/>
    <n v="1"/>
    <n v="0.45100000000000001"/>
    <n v="6400835"/>
    <x v="3"/>
    <s v="Guarulhos"/>
    <s v="Convencional"/>
    <n v="1"/>
    <d v="2019-03-31T00:00:00"/>
    <x v="419"/>
    <x v="0"/>
    <d v="2019-04-01T00:00:00"/>
    <x v="0"/>
    <x v="0"/>
    <n v="1"/>
    <n v="1"/>
  </r>
  <r>
    <d v="2019-03-31T00:00:00"/>
    <n v="11920"/>
    <s v="WHCPQ"/>
    <s v="Campinas"/>
    <s v="SP"/>
    <n v="4035"/>
    <x v="37"/>
    <s v="Brasilia"/>
    <s v="DF"/>
    <x v="1"/>
    <s v="DF"/>
    <n v="340.76"/>
    <n v="1"/>
    <n v="1.1200000000000001"/>
    <n v="6100231"/>
    <x v="1"/>
    <s v="Goiania"/>
    <s v="Convencional"/>
    <n v="10"/>
    <d v="2019-03-31T00:00:00"/>
    <x v="424"/>
    <x v="0"/>
    <d v="2019-04-10T00:00:00"/>
    <x v="0"/>
    <x v="0"/>
    <n v="1"/>
    <n v="1"/>
  </r>
  <r>
    <d v="2019-04-02T00:00:00"/>
    <n v="11921"/>
    <s v="WHRJ"/>
    <s v="Rio De Janeiro"/>
    <s v="RJ"/>
    <n v="4143"/>
    <x v="131"/>
    <s v="Manaus"/>
    <s v="AM"/>
    <x v="4"/>
    <s v="AM"/>
    <n v="18.03"/>
    <n v="1"/>
    <n v="4.3999999999999997E-2"/>
    <n v="6700091"/>
    <x v="6"/>
    <s v="Manaus"/>
    <s v="Convencional"/>
    <n v="8"/>
    <d v="2019-04-02T00:00:00"/>
    <x v="427"/>
    <x v="0"/>
    <d v="2019-04-10T00:00:00"/>
    <x v="0"/>
    <x v="0"/>
    <n v="1"/>
    <n v="1"/>
  </r>
  <r>
    <d v="2019-04-02T00:00:00"/>
    <n v="11922"/>
    <s v="WHPOA"/>
    <s v="Porto Alegre"/>
    <s v="RS"/>
    <n v="4140"/>
    <x v="128"/>
    <s v="Recife"/>
    <s v="PE"/>
    <x v="3"/>
    <s v="PE"/>
    <n v="37.82"/>
    <n v="1"/>
    <n v="9.9000000000000005E-2"/>
    <n v="6900304"/>
    <x v="5"/>
    <s v="Fortaleza"/>
    <s v="Convencional"/>
    <n v="1"/>
    <d v="2019-04-02T00:00:00"/>
    <x v="427"/>
    <x v="0"/>
    <d v="2019-04-03T00:00:00"/>
    <x v="1"/>
    <x v="0"/>
    <n v="0"/>
    <n v="1"/>
  </r>
  <r>
    <d v="2019-04-02T00:00:00"/>
    <n v="11923"/>
    <s v="WHSAO"/>
    <s v="Sao Paulo"/>
    <s v="SP"/>
    <n v="4154"/>
    <x v="142"/>
    <s v="Recife"/>
    <s v="PE"/>
    <x v="3"/>
    <s v="PE"/>
    <n v="1498.15"/>
    <n v="2"/>
    <n v="15.468"/>
    <n v="6900304"/>
    <x v="5"/>
    <s v="Fortaleza"/>
    <s v="Convencional"/>
    <n v="12"/>
    <d v="2019-04-02T00:00:00"/>
    <x v="428"/>
    <x v="2"/>
    <d v="2019-04-14T00:00:00"/>
    <x v="0"/>
    <x v="1"/>
    <n v="0"/>
    <n v="1"/>
  </r>
  <r>
    <d v="2019-04-02T00:00:00"/>
    <n v="11924"/>
    <s v="WHRJ"/>
    <s v="Rio De Janeiro"/>
    <s v="RJ"/>
    <n v="4155"/>
    <x v="143"/>
    <s v="Sao Paulo"/>
    <s v="SP"/>
    <x v="2"/>
    <s v="SP"/>
    <n v="1233.04"/>
    <n v="1"/>
    <n v="1.1200000000000001"/>
    <n v="6400835"/>
    <x v="3"/>
    <s v="Guarulhos"/>
    <s v="Convencional"/>
    <n v="1"/>
    <d v="2019-04-02T00:00:00"/>
    <x v="429"/>
    <x v="0"/>
    <d v="2019-04-03T00:00:00"/>
    <x v="1"/>
    <x v="0"/>
    <n v="0"/>
    <n v="1"/>
  </r>
  <r>
    <d v="2019-04-02T00:00:00"/>
    <n v="11925"/>
    <s v="WHVIT"/>
    <s v="Vitoria"/>
    <s v="ES"/>
    <n v="4068"/>
    <x v="4"/>
    <s v="Campo Grande"/>
    <s v="MS"/>
    <x v="1"/>
    <s v="MS"/>
    <n v="823.4"/>
    <n v="3"/>
    <n v="28.827000000000002"/>
    <n v="6100231"/>
    <x v="1"/>
    <s v="Goiania"/>
    <s v="Convencional"/>
    <n v="2"/>
    <d v="2019-04-02T00:00:00"/>
    <x v="422"/>
    <x v="0"/>
    <d v="2019-04-04T00:00:00"/>
    <x v="1"/>
    <x v="0"/>
    <n v="0"/>
    <n v="1"/>
  </r>
  <r>
    <d v="2019-04-02T00:00:00"/>
    <n v="11926"/>
    <s v="WHBH"/>
    <s v="Belo Horizonte"/>
    <s v="MG"/>
    <n v="4128"/>
    <x v="116"/>
    <s v="Recife"/>
    <s v="PE"/>
    <x v="3"/>
    <s v="PE"/>
    <n v="4918.1899999999996"/>
    <n v="1"/>
    <n v="1.1200000000000001"/>
    <n v="6900304"/>
    <x v="5"/>
    <s v="Fortaleza"/>
    <s v="Convencional"/>
    <n v="11"/>
    <d v="2019-04-02T00:00:00"/>
    <x v="430"/>
    <x v="0"/>
    <d v="2019-04-13T00:00:00"/>
    <x v="0"/>
    <x v="0"/>
    <n v="1"/>
    <n v="1"/>
  </r>
  <r>
    <d v="2019-04-03T00:00:00"/>
    <n v="11927"/>
    <s v="WHSJC"/>
    <s v="Sao Jose dos Campos"/>
    <s v="SP"/>
    <n v="4156"/>
    <x v="144"/>
    <s v="Rio Grande do Sul"/>
    <s v="RS"/>
    <x v="0"/>
    <s v="RS"/>
    <n v="73.53"/>
    <n v="1"/>
    <n v="4.8360000000000003"/>
    <n v="6500948"/>
    <x v="0"/>
    <s v="Porto Alegre"/>
    <s v="Convencional"/>
    <n v="4"/>
    <d v="2019-04-03T00:00:00"/>
    <x v="426"/>
    <x v="0"/>
    <d v="2019-04-07T00:00:00"/>
    <x v="1"/>
    <x v="0"/>
    <n v="0"/>
    <n v="1"/>
  </r>
  <r>
    <d v="2019-04-02T00:00:00"/>
    <n v="11928"/>
    <s v="WHRJ"/>
    <s v="Rio De Janeiro"/>
    <s v="RJ"/>
    <n v="4157"/>
    <x v="145"/>
    <s v="Belo Horizonte"/>
    <s v="MG"/>
    <x v="2"/>
    <s v="MG"/>
    <n v="289.82"/>
    <n v="1"/>
    <n v="1.1200000000000001"/>
    <n v="6600879"/>
    <x v="2"/>
    <s v="Belo Horizonte"/>
    <s v="Convencional"/>
    <n v="12"/>
    <d v="2019-04-03T00:00:00"/>
    <x v="431"/>
    <x v="0"/>
    <d v="2019-04-15T00:00:00"/>
    <x v="0"/>
    <x v="0"/>
    <n v="1"/>
    <n v="1"/>
  </r>
  <r>
    <d v="2019-04-03T00:00:00"/>
    <n v="11929"/>
    <s v="WHVIT"/>
    <s v="Vitoria"/>
    <s v="ES"/>
    <n v="4158"/>
    <x v="146"/>
    <s v="Manaus"/>
    <s v="AM"/>
    <x v="4"/>
    <s v="AM"/>
    <n v="1317.46"/>
    <n v="1"/>
    <n v="1.1200000000000001"/>
    <n v="6700091"/>
    <x v="6"/>
    <s v="Manaus"/>
    <s v="Convencional"/>
    <n v="9"/>
    <d v="2019-04-04T00:00:00"/>
    <x v="432"/>
    <x v="0"/>
    <d v="2019-04-13T00:00:00"/>
    <x v="1"/>
    <x v="0"/>
    <n v="0"/>
    <n v="1"/>
  </r>
  <r>
    <d v="2019-04-03T00:00:00"/>
    <n v="11930"/>
    <s v="WHCPQ"/>
    <s v="Campinas"/>
    <s v="SP"/>
    <n v="4034"/>
    <x v="36"/>
    <s v="Goiania"/>
    <s v="GO"/>
    <x v="1"/>
    <s v="GO"/>
    <n v="1309.3699999999999"/>
    <n v="2"/>
    <n v="3.2570000000000001"/>
    <n v="6100231"/>
    <x v="1"/>
    <s v="Goiania"/>
    <s v="Convencional"/>
    <n v="8"/>
    <d v="2019-04-04T00:00:00"/>
    <x v="427"/>
    <x v="0"/>
    <d v="2019-04-12T00:00:00"/>
    <x v="0"/>
    <x v="0"/>
    <n v="1"/>
    <n v="1"/>
  </r>
  <r>
    <d v="2019-04-05T00:00:00"/>
    <n v="11931"/>
    <s v="WHSJC"/>
    <s v="Sao Jose dos Campos"/>
    <s v="SP"/>
    <n v="4033"/>
    <x v="35"/>
    <s v="Goiania"/>
    <s v="GO"/>
    <x v="1"/>
    <s v="GO"/>
    <n v="32.75"/>
    <n v="1"/>
    <n v="1.1200000000000001"/>
    <n v="6100231"/>
    <x v="1"/>
    <s v="Goiania"/>
    <s v="Convencional"/>
    <n v="1"/>
    <d v="2019-04-06T00:00:00"/>
    <x v="433"/>
    <x v="0"/>
    <d v="2019-04-07T00:00:00"/>
    <x v="1"/>
    <x v="0"/>
    <n v="0"/>
    <n v="1"/>
  </r>
  <r>
    <d v="2019-04-05T00:00:00"/>
    <n v="11932"/>
    <s v="WHCPQ"/>
    <s v="Campinas"/>
    <s v="SP"/>
    <n v="4068"/>
    <x v="4"/>
    <s v="Campo Grande"/>
    <s v="MS"/>
    <x v="1"/>
    <s v="MS"/>
    <n v="54.38"/>
    <n v="1"/>
    <n v="0.24"/>
    <n v="6100231"/>
    <x v="1"/>
    <s v="Goiania"/>
    <s v="Convencional"/>
    <n v="2"/>
    <d v="2019-04-06T00:00:00"/>
    <x v="433"/>
    <x v="0"/>
    <d v="2019-04-08T00:00:00"/>
    <x v="1"/>
    <x v="0"/>
    <n v="0"/>
    <n v="1"/>
  </r>
  <r>
    <d v="2019-04-05T00:00:00"/>
    <n v="11933"/>
    <s v="WHPOA"/>
    <s v="Porto Alegre"/>
    <s v="RS"/>
    <n v="4037"/>
    <x v="39"/>
    <s v="Brasilia"/>
    <s v="DF"/>
    <x v="1"/>
    <s v="DF"/>
    <n v="1172.1400000000001"/>
    <n v="2"/>
    <n v="3.266"/>
    <n v="6100231"/>
    <x v="1"/>
    <s v="Goiania"/>
    <s v="Convencional"/>
    <n v="10"/>
    <d v="2019-04-06T00:00:00"/>
    <x v="433"/>
    <x v="0"/>
    <d v="2019-04-16T00:00:00"/>
    <x v="0"/>
    <x v="0"/>
    <n v="1"/>
    <n v="1"/>
  </r>
  <r>
    <d v="2019-04-05T00:00:00"/>
    <n v="11934"/>
    <s v="WHPOA"/>
    <s v="Porto Alegre"/>
    <s v="RS"/>
    <n v="4023"/>
    <x v="20"/>
    <s v="Sao Jose"/>
    <s v="SC"/>
    <x v="0"/>
    <s v="SC"/>
    <n v="1666.81"/>
    <n v="1"/>
    <n v="1.1200000000000001"/>
    <n v="6500948"/>
    <x v="0"/>
    <s v="Porto Alegre"/>
    <s v="Convencional"/>
    <n v="6"/>
    <d v="2019-04-06T00:00:00"/>
    <x v="431"/>
    <x v="0"/>
    <d v="2019-04-12T00:00:00"/>
    <x v="1"/>
    <x v="0"/>
    <n v="0"/>
    <n v="1"/>
  </r>
  <r>
    <d v="2019-04-05T00:00:00"/>
    <n v="11935"/>
    <s v="WHSAO"/>
    <s v="Sao Paulo"/>
    <s v="SP"/>
    <n v="4037"/>
    <x v="39"/>
    <s v="Brasilia"/>
    <s v="DF"/>
    <x v="1"/>
    <s v="DF"/>
    <n v="80.11"/>
    <n v="1"/>
    <n v="0.38500000000000001"/>
    <n v="6100231"/>
    <x v="1"/>
    <s v="Goiania"/>
    <s v="Convencional"/>
    <n v="10"/>
    <d v="2019-04-06T00:00:00"/>
    <x v="429"/>
    <x v="0"/>
    <d v="2019-04-16T00:00:00"/>
    <x v="0"/>
    <x v="0"/>
    <n v="1"/>
    <n v="1"/>
  </r>
  <r>
    <d v="2019-04-05T00:00:00"/>
    <n v="11936"/>
    <s v="WHVIT"/>
    <s v="Vitoria"/>
    <s v="ES"/>
    <n v="4013"/>
    <x v="1"/>
    <s v="Blumenau"/>
    <s v="SC"/>
    <x v="0"/>
    <s v="SC"/>
    <n v="605.66"/>
    <n v="1"/>
    <n v="0.69199999999999995"/>
    <n v="6500948"/>
    <x v="0"/>
    <s v="Porto Alegre"/>
    <s v="Convencional"/>
    <n v="12"/>
    <d v="2019-04-06T00:00:00"/>
    <x v="434"/>
    <x v="0"/>
    <d v="2019-04-18T00:00:00"/>
    <x v="0"/>
    <x v="0"/>
    <n v="1"/>
    <n v="1"/>
  </r>
  <r>
    <d v="2019-04-05T00:00:00"/>
    <n v="11937"/>
    <s v="WHPOA"/>
    <s v="Porto Alegre"/>
    <s v="RS"/>
    <n v="4013"/>
    <x v="1"/>
    <s v="Blumenau"/>
    <s v="SC"/>
    <x v="0"/>
    <s v="SC"/>
    <n v="91.05"/>
    <n v="1"/>
    <n v="1.1200000000000001"/>
    <n v="6500948"/>
    <x v="0"/>
    <s v="Porto Alegre"/>
    <s v="Convencional"/>
    <n v="8"/>
    <d v="2019-04-06T00:00:00"/>
    <x v="435"/>
    <x v="0"/>
    <d v="2019-04-14T00:00:00"/>
    <x v="1"/>
    <x v="0"/>
    <n v="0"/>
    <n v="1"/>
  </r>
  <r>
    <d v="2019-04-05T00:00:00"/>
    <n v="11938"/>
    <s v="WHBH"/>
    <s v="Belo Horizonte"/>
    <s v="MG"/>
    <n v="4013"/>
    <x v="1"/>
    <s v="Blumenau"/>
    <s v="SC"/>
    <x v="0"/>
    <s v="SC"/>
    <n v="439.66"/>
    <n v="1"/>
    <n v="0.44"/>
    <n v="6500948"/>
    <x v="0"/>
    <s v="Porto Alegre"/>
    <s v="Convencional"/>
    <n v="2"/>
    <d v="2019-04-06T00:00:00"/>
    <x v="425"/>
    <x v="0"/>
    <d v="2019-04-08T00:00:00"/>
    <x v="0"/>
    <x v="0"/>
    <n v="1"/>
    <n v="1"/>
  </r>
  <r>
    <d v="2019-04-05T00:00:00"/>
    <n v="11939"/>
    <s v="WHSAO"/>
    <s v="Sao Paulo"/>
    <s v="SP"/>
    <n v="4056"/>
    <x v="44"/>
    <s v="Goiania"/>
    <s v="GO"/>
    <x v="1"/>
    <s v="GO"/>
    <n v="496.21"/>
    <n v="2"/>
    <n v="6.3920000000000003"/>
    <n v="6100231"/>
    <x v="1"/>
    <s v="Goiania"/>
    <s v="Convencional"/>
    <n v="11"/>
    <d v="2019-04-06T00:00:00"/>
    <x v="431"/>
    <x v="0"/>
    <d v="2019-04-17T00:00:00"/>
    <x v="0"/>
    <x v="0"/>
    <n v="1"/>
    <n v="1"/>
  </r>
  <r>
    <d v="2019-04-05T00:00:00"/>
    <n v="11940"/>
    <s v="WHSAO"/>
    <s v="Sao Paulo"/>
    <s v="SP"/>
    <n v="4032"/>
    <x v="34"/>
    <s v="Goiania"/>
    <s v="GO"/>
    <x v="1"/>
    <s v="GO"/>
    <n v="1200.76"/>
    <n v="1"/>
    <n v="1.1200000000000001"/>
    <n v="6100231"/>
    <x v="1"/>
    <s v="Goiania"/>
    <s v="Convencional"/>
    <n v="4"/>
    <d v="2019-04-06T00:00:00"/>
    <x v="428"/>
    <x v="0"/>
    <d v="2019-04-10T00:00:00"/>
    <x v="0"/>
    <x v="0"/>
    <n v="1"/>
    <n v="1"/>
  </r>
  <r>
    <d v="2019-04-05T00:00:00"/>
    <n v="11941"/>
    <s v="WHCPQ"/>
    <s v="Campinas"/>
    <s v="SP"/>
    <n v="4056"/>
    <x v="44"/>
    <s v="Goiania"/>
    <s v="GO"/>
    <x v="1"/>
    <s v="GO"/>
    <n v="6989.73"/>
    <n v="2"/>
    <n v="14.137"/>
    <n v="6100231"/>
    <x v="1"/>
    <s v="Goiania"/>
    <s v="Convencional"/>
    <n v="9"/>
    <d v="2019-04-06T00:00:00"/>
    <x v="425"/>
    <x v="0"/>
    <d v="2019-04-15T00:00:00"/>
    <x v="0"/>
    <x v="0"/>
    <n v="1"/>
    <n v="1"/>
  </r>
  <r>
    <d v="2019-04-05T00:00:00"/>
    <n v="11942"/>
    <s v="WHPOA"/>
    <s v="Porto Alegre"/>
    <s v="RS"/>
    <n v="4056"/>
    <x v="44"/>
    <s v="Goiania"/>
    <s v="GO"/>
    <x v="1"/>
    <s v="GO"/>
    <n v="634.80999999999995"/>
    <n v="1"/>
    <n v="1.1200000000000001"/>
    <n v="6100231"/>
    <x v="1"/>
    <s v="Goiania"/>
    <s v="Convencional"/>
    <n v="9"/>
    <d v="2019-04-06T00:00:00"/>
    <x v="433"/>
    <x v="0"/>
    <d v="2019-04-15T00:00:00"/>
    <x v="0"/>
    <x v="0"/>
    <n v="1"/>
    <n v="1"/>
  </r>
  <r>
    <d v="2019-04-08T00:00:00"/>
    <n v="11943"/>
    <s v="WHSAO"/>
    <s v="Sao Paulo"/>
    <s v="SP"/>
    <n v="4027"/>
    <x v="24"/>
    <s v="Novo Hamburgo"/>
    <s v="RS"/>
    <x v="0"/>
    <s v="RS"/>
    <n v="158.26"/>
    <n v="1"/>
    <n v="1.1200000000000001"/>
    <n v="6500948"/>
    <x v="0"/>
    <s v="Porto Alegre"/>
    <s v="Convencional"/>
    <n v="5"/>
    <d v="2019-04-09T00:00:00"/>
    <x v="434"/>
    <x v="0"/>
    <d v="2019-04-14T00:00:00"/>
    <x v="1"/>
    <x v="0"/>
    <n v="0"/>
    <n v="1"/>
  </r>
  <r>
    <d v="2019-04-08T00:00:00"/>
    <n v="11944"/>
    <s v="WHRJ"/>
    <s v="Rio De Janeiro"/>
    <s v="RJ"/>
    <n v="4027"/>
    <x v="24"/>
    <s v="Novo Hamburgo"/>
    <s v="RS"/>
    <x v="0"/>
    <s v="RS"/>
    <n v="100.23"/>
    <n v="2"/>
    <n v="11.754"/>
    <n v="6500948"/>
    <x v="0"/>
    <s v="Porto Alegre"/>
    <s v="Convencional"/>
    <n v="8"/>
    <d v="2019-04-09T00:00:00"/>
    <x v="430"/>
    <x v="0"/>
    <d v="2019-04-17T00:00:00"/>
    <x v="0"/>
    <x v="0"/>
    <n v="1"/>
    <n v="1"/>
  </r>
  <r>
    <d v="2019-04-08T00:00:00"/>
    <n v="11945"/>
    <s v="WHSAO"/>
    <s v="Sao Paulo"/>
    <s v="SP"/>
    <n v="4040"/>
    <x v="42"/>
    <s v="Brasilia"/>
    <s v="DF"/>
    <x v="1"/>
    <s v="DF"/>
    <n v="1151"/>
    <n v="1"/>
    <n v="1.1200000000000001"/>
    <n v="6100231"/>
    <x v="1"/>
    <s v="Goiania"/>
    <s v="Convencional"/>
    <n v="4"/>
    <d v="2019-04-09T00:00:00"/>
    <x v="436"/>
    <x v="0"/>
    <d v="2019-04-13T00:00:00"/>
    <x v="1"/>
    <x v="0"/>
    <n v="0"/>
    <n v="1"/>
  </r>
  <r>
    <d v="2019-04-08T00:00:00"/>
    <n v="11946"/>
    <s v="WHVIT"/>
    <s v="Vitoria"/>
    <s v="ES"/>
    <n v="4028"/>
    <x v="26"/>
    <s v="Sao Jose Dos Pinhais"/>
    <s v="PR"/>
    <x v="0"/>
    <s v="PR"/>
    <n v="1182.99"/>
    <n v="2"/>
    <n v="4.423"/>
    <n v="6500948"/>
    <x v="0"/>
    <s v="Porto Alegre"/>
    <s v="Convencional"/>
    <n v="6"/>
    <d v="2019-04-09T00:00:00"/>
    <x v="437"/>
    <x v="0"/>
    <d v="2019-04-15T00:00:00"/>
    <x v="1"/>
    <x v="0"/>
    <n v="0"/>
    <n v="1"/>
  </r>
  <r>
    <d v="2019-04-08T00:00:00"/>
    <n v="11947"/>
    <s v="WHSJC"/>
    <s v="Sao Jose dos Campos"/>
    <s v="SP"/>
    <n v="4022"/>
    <x v="19"/>
    <s v="Maringa"/>
    <s v="PR"/>
    <x v="0"/>
    <s v="PR"/>
    <n v="1492.68"/>
    <n v="1"/>
    <n v="1.1200000000000001"/>
    <n v="6500948"/>
    <x v="0"/>
    <s v="Porto Alegre"/>
    <s v="Convencional"/>
    <n v="3"/>
    <d v="2019-04-09T00:00:00"/>
    <x v="430"/>
    <x v="0"/>
    <d v="2019-04-12T00:00:00"/>
    <x v="0"/>
    <x v="0"/>
    <n v="1"/>
    <n v="1"/>
  </r>
  <r>
    <d v="2019-04-08T00:00:00"/>
    <n v="11948"/>
    <s v="WHVIT"/>
    <s v="Vitoria"/>
    <s v="ES"/>
    <n v="4040"/>
    <x v="42"/>
    <s v="Brasilia"/>
    <s v="DF"/>
    <x v="1"/>
    <s v="DF"/>
    <n v="277.24"/>
    <n v="2"/>
    <n v="1.5169999999999999"/>
    <n v="6100231"/>
    <x v="1"/>
    <s v="Goiania"/>
    <s v="Convencional"/>
    <n v="8"/>
    <d v="2019-04-09T00:00:00"/>
    <x v="437"/>
    <x v="0"/>
    <d v="2019-04-17T00:00:00"/>
    <x v="0"/>
    <x v="0"/>
    <n v="1"/>
    <n v="1"/>
  </r>
  <r>
    <d v="2019-04-08T00:00:00"/>
    <n v="11949"/>
    <s v="WHCPQ"/>
    <s v="Campinas"/>
    <s v="SP"/>
    <n v="4028"/>
    <x v="26"/>
    <s v="Sao Jose Dos Pinhais"/>
    <s v="PR"/>
    <x v="0"/>
    <s v="PR"/>
    <n v="94.42"/>
    <n v="1"/>
    <n v="1.1200000000000001"/>
    <n v="6500948"/>
    <x v="0"/>
    <s v="Porto Alegre"/>
    <s v="Convencional"/>
    <n v="5"/>
    <d v="2019-04-09T00:00:00"/>
    <x v="436"/>
    <x v="0"/>
    <d v="2019-04-14T00:00:00"/>
    <x v="1"/>
    <x v="0"/>
    <n v="0"/>
    <n v="1"/>
  </r>
  <r>
    <d v="2019-04-09T00:00:00"/>
    <n v="11950"/>
    <s v="WHRJ"/>
    <s v="Rio De Janeiro"/>
    <s v="RJ"/>
    <n v="4132"/>
    <x v="120"/>
    <s v="Santos"/>
    <s v="SP"/>
    <x v="2"/>
    <s v="SP"/>
    <n v="1366.32"/>
    <n v="1"/>
    <n v="1.1200000000000001"/>
    <n v="6400835"/>
    <x v="3"/>
    <s v="Guarulhos"/>
    <s v="Convencional"/>
    <n v="1"/>
    <d v="2019-04-10T00:00:00"/>
    <x v="432"/>
    <x v="0"/>
    <d v="2019-04-11T00:00:00"/>
    <x v="1"/>
    <x v="0"/>
    <n v="0"/>
    <n v="1"/>
  </r>
  <r>
    <d v="2019-04-09T00:00:00"/>
    <n v="11951"/>
    <s v="WHVIT"/>
    <s v="Vitoria"/>
    <s v="ES"/>
    <n v="4128"/>
    <x v="116"/>
    <s v="Recife"/>
    <s v="PE"/>
    <x v="3"/>
    <s v="PE"/>
    <n v="568.34"/>
    <n v="2"/>
    <n v="4.7469999999999999"/>
    <n v="6900304"/>
    <x v="5"/>
    <s v="Fortaleza"/>
    <s v="Convencional"/>
    <n v="2"/>
    <d v="2019-04-10T00:00:00"/>
    <x v="430"/>
    <x v="1"/>
    <d v="2019-04-12T00:00:00"/>
    <x v="0"/>
    <x v="1"/>
    <n v="0"/>
    <n v="1"/>
  </r>
  <r>
    <d v="2019-04-09T00:00:00"/>
    <n v="11952"/>
    <s v="WHCPQ"/>
    <s v="Campinas"/>
    <s v="SP"/>
    <n v="4068"/>
    <x v="4"/>
    <s v="Campo Grande"/>
    <s v="MS"/>
    <x v="1"/>
    <s v="MS"/>
    <n v="98.36"/>
    <n v="1"/>
    <n v="1.1200000000000001"/>
    <n v="6100231"/>
    <x v="1"/>
    <s v="Goiania"/>
    <s v="Convencional"/>
    <n v="10"/>
    <d v="2019-04-10T00:00:00"/>
    <x v="431"/>
    <x v="0"/>
    <d v="2019-04-20T00:00:00"/>
    <x v="0"/>
    <x v="0"/>
    <n v="1"/>
    <n v="1"/>
  </r>
  <r>
    <d v="2019-04-09T00:00:00"/>
    <n v="11953"/>
    <s v="WHPOA"/>
    <s v="Porto Alegre"/>
    <s v="RS"/>
    <n v="4023"/>
    <x v="20"/>
    <s v="Sao Jose"/>
    <s v="SC"/>
    <x v="0"/>
    <s v="SC"/>
    <n v="541.78"/>
    <n v="1"/>
    <n v="1.1200000000000001"/>
    <n v="6500948"/>
    <x v="0"/>
    <s v="Porto Alegre"/>
    <s v="Convencional"/>
    <n v="7"/>
    <d v="2019-04-10T00:00:00"/>
    <x v="431"/>
    <x v="1"/>
    <d v="2019-04-17T00:00:00"/>
    <x v="0"/>
    <x v="1"/>
    <n v="0"/>
    <n v="1"/>
  </r>
  <r>
    <d v="2019-04-11T00:00:00"/>
    <n v="11954"/>
    <s v="WHSAO"/>
    <s v="Sao Paulo"/>
    <s v="SP"/>
    <n v="4141"/>
    <x v="129"/>
    <s v="Rio De Janeiro"/>
    <s v="RJ"/>
    <x v="2"/>
    <s v="RJ"/>
    <n v="888.52"/>
    <n v="1"/>
    <n v="3.2909999999999999"/>
    <n v="6140092"/>
    <x v="4"/>
    <s v="Rio de Janeiro"/>
    <s v="Convencional"/>
    <n v="5"/>
    <d v="2019-04-12T00:00:00"/>
    <x v="438"/>
    <x v="0"/>
    <d v="2019-04-17T00:00:00"/>
    <x v="1"/>
    <x v="0"/>
    <n v="0"/>
    <n v="1"/>
  </r>
  <r>
    <d v="2019-04-11T00:00:00"/>
    <n v="11955"/>
    <s v="WHSAO"/>
    <s v="Sao Paulo"/>
    <s v="SP"/>
    <n v="4069"/>
    <x v="57"/>
    <s v="Brasilia"/>
    <s v="DF"/>
    <x v="1"/>
    <s v="DF"/>
    <n v="1470.11"/>
    <n v="1"/>
    <n v="1.1200000000000001"/>
    <n v="6100231"/>
    <x v="1"/>
    <s v="Goiania"/>
    <s v="Convencional"/>
    <n v="5"/>
    <d v="2019-04-12T00:00:00"/>
    <x v="437"/>
    <x v="0"/>
    <d v="2019-04-17T00:00:00"/>
    <x v="0"/>
    <x v="0"/>
    <n v="1"/>
    <n v="1"/>
  </r>
  <r>
    <d v="2019-04-12T00:00:00"/>
    <n v="11956"/>
    <s v="WHPOA"/>
    <s v="Porto Alegre"/>
    <s v="RS"/>
    <n v="4133"/>
    <x v="121"/>
    <s v="Belo Horizonte"/>
    <s v="MG"/>
    <x v="2"/>
    <s v="MG"/>
    <n v="238.81"/>
    <n v="1"/>
    <n v="7.6999999999999999E-2"/>
    <n v="6600879"/>
    <x v="2"/>
    <s v="Belo Horizonte"/>
    <s v="Convencional"/>
    <n v="4"/>
    <d v="2019-04-13T00:00:00"/>
    <x v="438"/>
    <x v="0"/>
    <d v="2019-04-17T00:00:00"/>
    <x v="1"/>
    <x v="0"/>
    <n v="0"/>
    <n v="1"/>
  </r>
  <r>
    <d v="2019-04-12T00:00:00"/>
    <n v="11957"/>
    <s v="WHSAO"/>
    <s v="Sao Paulo"/>
    <s v="SP"/>
    <n v="4069"/>
    <x v="57"/>
    <s v="Brasilia"/>
    <s v="DF"/>
    <x v="1"/>
    <s v="DF"/>
    <n v="67.78"/>
    <n v="1"/>
    <n v="58.643000000000001"/>
    <n v="6100231"/>
    <x v="1"/>
    <s v="Goiania"/>
    <s v="Convencional"/>
    <n v="8"/>
    <d v="2019-04-13T00:00:00"/>
    <x v="439"/>
    <x v="0"/>
    <d v="2019-04-21T00:00:00"/>
    <x v="0"/>
    <x v="0"/>
    <n v="1"/>
    <n v="1"/>
  </r>
  <r>
    <d v="2019-04-12T00:00:00"/>
    <n v="11958"/>
    <s v="WHSAO"/>
    <s v="Sao Paulo"/>
    <s v="SP"/>
    <n v="4013"/>
    <x v="1"/>
    <s v="Blumenau"/>
    <s v="SC"/>
    <x v="0"/>
    <s v="SC"/>
    <n v="106.89"/>
    <n v="1"/>
    <n v="1.1200000000000001"/>
    <n v="6500948"/>
    <x v="0"/>
    <s v="Porto Alegre"/>
    <s v="Convencional"/>
    <n v="11"/>
    <d v="2019-04-13T00:00:00"/>
    <x v="435"/>
    <x v="0"/>
    <d v="2019-04-24T00:00:00"/>
    <x v="0"/>
    <x v="0"/>
    <n v="1"/>
    <n v="1"/>
  </r>
  <r>
    <d v="2019-04-15T00:00:00"/>
    <n v="11959"/>
    <s v="WHBH"/>
    <s v="Belo Horizonte"/>
    <s v="MG"/>
    <n v="4022"/>
    <x v="19"/>
    <s v="Maringa"/>
    <s v="PR"/>
    <x v="0"/>
    <s v="PR"/>
    <n v="4706.18"/>
    <n v="2"/>
    <n v="10.189"/>
    <n v="6500948"/>
    <x v="0"/>
    <s v="Porto Alegre"/>
    <s v="Convencional"/>
    <n v="11"/>
    <d v="2019-04-16T00:00:00"/>
    <x v="436"/>
    <x v="0"/>
    <d v="2019-04-27T00:00:00"/>
    <x v="0"/>
    <x v="0"/>
    <n v="1"/>
    <n v="1"/>
  </r>
  <r>
    <d v="2019-04-16T00:00:00"/>
    <n v="11960"/>
    <s v="WHPOA"/>
    <s v="Porto Alegre"/>
    <s v="RS"/>
    <n v="4032"/>
    <x v="34"/>
    <s v="Goiania"/>
    <s v="GO"/>
    <x v="1"/>
    <s v="GO"/>
    <n v="1136.42"/>
    <n v="1"/>
    <n v="1.1200000000000001"/>
    <n v="6100231"/>
    <x v="1"/>
    <s v="Goiania"/>
    <s v="Convencional"/>
    <n v="2"/>
    <d v="2019-04-17T00:00:00"/>
    <x v="436"/>
    <x v="0"/>
    <d v="2019-04-19T00:00:00"/>
    <x v="0"/>
    <x v="0"/>
    <n v="1"/>
    <n v="1"/>
  </r>
  <r>
    <d v="2019-04-17T00:00:00"/>
    <n v="11961"/>
    <s v="WHCPQ"/>
    <s v="Campinas"/>
    <s v="SP"/>
    <n v="4014"/>
    <x v="3"/>
    <s v="Ipatinga"/>
    <s v="MG"/>
    <x v="2"/>
    <s v="MG"/>
    <n v="413.82"/>
    <n v="3"/>
    <n v="6.923"/>
    <n v="6600879"/>
    <x v="2"/>
    <s v="Belo Horizonte"/>
    <s v="Convencional"/>
    <n v="7"/>
    <d v="2019-04-18T00:00:00"/>
    <x v="440"/>
    <x v="0"/>
    <d v="2019-04-25T00:00:00"/>
    <x v="1"/>
    <x v="0"/>
    <n v="0"/>
    <n v="1"/>
  </r>
  <r>
    <d v="2019-04-17T00:00:00"/>
    <n v="11962"/>
    <s v="WHSAO"/>
    <s v="Sao Paulo"/>
    <s v="SP"/>
    <n v="4014"/>
    <x v="3"/>
    <s v="Ipatinga"/>
    <s v="MG"/>
    <x v="2"/>
    <s v="MG"/>
    <n v="3342.26"/>
    <n v="1"/>
    <n v="1.1200000000000001"/>
    <n v="6600879"/>
    <x v="2"/>
    <s v="Belo Horizonte"/>
    <s v="Convencional"/>
    <n v="12"/>
    <d v="2019-04-18T00:00:00"/>
    <x v="436"/>
    <x v="0"/>
    <d v="2019-04-30T00:00:00"/>
    <x v="0"/>
    <x v="0"/>
    <n v="1"/>
    <n v="1"/>
  </r>
  <r>
    <d v="2019-04-17T00:00:00"/>
    <n v="11963"/>
    <s v="WHVIT"/>
    <s v="Vitoria"/>
    <s v="ES"/>
    <n v="4014"/>
    <x v="3"/>
    <s v="Ipatinga"/>
    <s v="MG"/>
    <x v="2"/>
    <s v="MG"/>
    <n v="568.28"/>
    <n v="1"/>
    <n v="1.1200000000000001"/>
    <n v="6600879"/>
    <x v="2"/>
    <s v="Belo Horizonte"/>
    <s v="Convencional"/>
    <n v="9"/>
    <d v="2019-04-18T00:00:00"/>
    <x v="441"/>
    <x v="0"/>
    <d v="2019-04-27T00:00:00"/>
    <x v="0"/>
    <x v="0"/>
    <n v="1"/>
    <n v="1"/>
  </r>
  <r>
    <d v="2019-04-18T00:00:00"/>
    <n v="11964"/>
    <s v="WHSAO"/>
    <s v="Sao Paulo"/>
    <s v="SP"/>
    <n v="4023"/>
    <x v="20"/>
    <s v="Sao Jose"/>
    <s v="SC"/>
    <x v="0"/>
    <s v="SC"/>
    <n v="1311.42"/>
    <n v="3"/>
    <n v="1.32"/>
    <n v="6500948"/>
    <x v="0"/>
    <s v="Porto Alegre"/>
    <s v="Convencional"/>
    <n v="12"/>
    <d v="2019-04-19T00:00:00"/>
    <x v="438"/>
    <x v="2"/>
    <d v="2019-05-01T00:00:00"/>
    <x v="0"/>
    <x v="1"/>
    <n v="0"/>
    <n v="1"/>
  </r>
  <r>
    <d v="2019-04-18T00:00:00"/>
    <n v="11965"/>
    <s v="WHSAO"/>
    <s v="Sao Paulo"/>
    <s v="SP"/>
    <n v="4127"/>
    <x v="115"/>
    <s v="Rio De Janeiro"/>
    <s v="RJ"/>
    <x v="2"/>
    <s v="RJ"/>
    <n v="28338.15"/>
    <n v="9"/>
    <n v="135.589"/>
    <n v="6140092"/>
    <x v="4"/>
    <s v="Rio de Janeiro"/>
    <s v="Convencional"/>
    <n v="6"/>
    <d v="2019-04-19T00:00:00"/>
    <x v="442"/>
    <x v="0"/>
    <d v="2019-04-25T00:00:00"/>
    <x v="1"/>
    <x v="0"/>
    <n v="0"/>
    <n v="1"/>
  </r>
  <r>
    <d v="2019-04-19T00:00:00"/>
    <n v="11966"/>
    <s v="WHCPQ"/>
    <s v="Campinas"/>
    <s v="SP"/>
    <n v="4159"/>
    <x v="147"/>
    <s v="Manaus"/>
    <s v="AM"/>
    <x v="4"/>
    <s v="AM"/>
    <n v="4369.28"/>
    <n v="1"/>
    <n v="1.1200000000000001"/>
    <n v="6700091"/>
    <x v="6"/>
    <s v="Manaus"/>
    <s v="Convencional"/>
    <n v="10"/>
    <d v="2019-04-20T00:00:00"/>
    <x v="442"/>
    <x v="0"/>
    <d v="2019-04-30T00:00:00"/>
    <x v="0"/>
    <x v="0"/>
    <n v="1"/>
    <n v="1"/>
  </r>
  <r>
    <d v="2019-04-19T00:00:00"/>
    <n v="11967"/>
    <s v="WHRJ"/>
    <s v="Rio De Janeiro"/>
    <s v="RJ"/>
    <n v="4160"/>
    <x v="148"/>
    <s v="Belo Horizonte"/>
    <s v="MG"/>
    <x v="2"/>
    <s v="MG"/>
    <n v="1846.25"/>
    <n v="1"/>
    <n v="7.0940000000000003"/>
    <n v="6600879"/>
    <x v="2"/>
    <s v="Belo Horizonte"/>
    <s v="Convencional"/>
    <n v="3"/>
    <d v="2019-04-20T00:00:00"/>
    <x v="443"/>
    <x v="0"/>
    <d v="2019-04-23T00:00:00"/>
    <x v="1"/>
    <x v="0"/>
    <n v="0"/>
    <n v="1"/>
  </r>
  <r>
    <d v="2019-04-19T00:00:00"/>
    <n v="11968"/>
    <s v="WHVIT"/>
    <s v="Vitoria"/>
    <s v="ES"/>
    <n v="4155"/>
    <x v="143"/>
    <s v="Sao Paulo"/>
    <s v="SP"/>
    <x v="2"/>
    <s v="SP"/>
    <n v="356.06"/>
    <n v="1"/>
    <n v="1.1200000000000001"/>
    <n v="6400835"/>
    <x v="3"/>
    <s v="Guarulhos"/>
    <s v="Convencional"/>
    <n v="1"/>
    <d v="2019-04-20T00:00:00"/>
    <x v="444"/>
    <x v="0"/>
    <d v="2019-04-21T00:00:00"/>
    <x v="0"/>
    <x v="0"/>
    <n v="1"/>
    <n v="1"/>
  </r>
  <r>
    <d v="2019-04-19T00:00:00"/>
    <n v="11969"/>
    <s v="WHPOA"/>
    <s v="Porto Alegre"/>
    <s v="RS"/>
    <n v="4142"/>
    <x v="130"/>
    <s v="Manaus"/>
    <s v="AM"/>
    <x v="4"/>
    <s v="AM"/>
    <n v="444.75"/>
    <n v="2"/>
    <n v="0.28899999999999998"/>
    <n v="6700091"/>
    <x v="6"/>
    <s v="Manaus"/>
    <s v="Convencional"/>
    <n v="10"/>
    <d v="2019-04-20T00:00:00"/>
    <x v="445"/>
    <x v="2"/>
    <d v="2019-04-30T00:00:00"/>
    <x v="0"/>
    <x v="1"/>
    <n v="0"/>
    <n v="1"/>
  </r>
  <r>
    <d v="2019-04-19T00:00:00"/>
    <n v="11970"/>
    <s v="WHBH"/>
    <s v="Belo Horizonte"/>
    <s v="MG"/>
    <n v="4154"/>
    <x v="142"/>
    <s v="Recife"/>
    <s v="PE"/>
    <x v="3"/>
    <s v="PE"/>
    <n v="1496.23"/>
    <n v="3"/>
    <n v="6.4029999999999996"/>
    <n v="6900304"/>
    <x v="5"/>
    <s v="Fortaleza"/>
    <s v="Convencional"/>
    <n v="3"/>
    <d v="2019-04-20T00:00:00"/>
    <x v="445"/>
    <x v="2"/>
    <d v="2019-04-23T00:00:00"/>
    <x v="0"/>
    <x v="1"/>
    <n v="0"/>
    <n v="1"/>
  </r>
  <r>
    <d v="2019-04-19T00:00:00"/>
    <n v="11971"/>
    <s v="WHVIT"/>
    <s v="Vitoria"/>
    <s v="ES"/>
    <n v="4060"/>
    <x v="56"/>
    <s v="Sinop"/>
    <s v="MT"/>
    <x v="1"/>
    <s v="MT"/>
    <n v="716.45"/>
    <n v="2"/>
    <n v="1.571"/>
    <n v="6100231"/>
    <x v="1"/>
    <s v="Goiania"/>
    <s v="Convencional"/>
    <n v="1"/>
    <d v="2019-04-20T00:00:00"/>
    <x v="446"/>
    <x v="0"/>
    <d v="2019-04-21T00:00:00"/>
    <x v="1"/>
    <x v="0"/>
    <n v="0"/>
    <n v="1"/>
  </r>
  <r>
    <d v="2019-04-19T00:00:00"/>
    <n v="11972"/>
    <s v="WHBH"/>
    <s v="Belo Horizonte"/>
    <s v="MG"/>
    <n v="4013"/>
    <x v="1"/>
    <s v="Blumenau"/>
    <s v="SC"/>
    <x v="0"/>
    <s v="SC"/>
    <n v="63.88"/>
    <n v="1"/>
    <n v="1.1200000000000001"/>
    <n v="6500948"/>
    <x v="0"/>
    <s v="Porto Alegre"/>
    <s v="Convencional"/>
    <n v="6"/>
    <d v="2019-04-20T00:00:00"/>
    <x v="447"/>
    <x v="0"/>
    <d v="2019-04-26T00:00:00"/>
    <x v="1"/>
    <x v="0"/>
    <n v="0"/>
    <n v="1"/>
  </r>
  <r>
    <d v="2019-04-19T00:00:00"/>
    <n v="11973"/>
    <s v="WHVIT"/>
    <s v="Vitoria"/>
    <s v="ES"/>
    <n v="4056"/>
    <x v="44"/>
    <s v="Goiania"/>
    <s v="GO"/>
    <x v="1"/>
    <s v="GO"/>
    <n v="80.5"/>
    <n v="1"/>
    <n v="3.3000000000000002E-2"/>
    <n v="6100231"/>
    <x v="1"/>
    <s v="Goiania"/>
    <s v="Convencional"/>
    <n v="4"/>
    <d v="2019-04-20T00:00:00"/>
    <x v="440"/>
    <x v="0"/>
    <d v="2019-04-24T00:00:00"/>
    <x v="1"/>
    <x v="0"/>
    <n v="0"/>
    <n v="1"/>
  </r>
  <r>
    <d v="2019-04-19T00:00:00"/>
    <n v="11974"/>
    <s v="WHCPQ"/>
    <s v="Campinas"/>
    <s v="SP"/>
    <n v="4056"/>
    <x v="44"/>
    <s v="Goiania"/>
    <s v="GO"/>
    <x v="1"/>
    <s v="GO"/>
    <n v="848.71"/>
    <n v="2"/>
    <n v="11.702"/>
    <n v="6100231"/>
    <x v="1"/>
    <s v="Goiania"/>
    <s v="Convencional"/>
    <n v="2"/>
    <d v="2019-04-20T00:00:00"/>
    <x v="448"/>
    <x v="0"/>
    <d v="2019-04-22T00:00:00"/>
    <x v="1"/>
    <x v="0"/>
    <n v="0"/>
    <n v="1"/>
  </r>
  <r>
    <d v="2019-04-19T00:00:00"/>
    <n v="11975"/>
    <s v="WHRJ"/>
    <s v="Rio De Janeiro"/>
    <s v="RJ"/>
    <n v="4056"/>
    <x v="44"/>
    <s v="Goiania"/>
    <s v="GO"/>
    <x v="1"/>
    <s v="GO"/>
    <n v="65.64"/>
    <n v="1"/>
    <n v="1.1200000000000001"/>
    <n v="6100231"/>
    <x v="1"/>
    <s v="Goiania"/>
    <s v="Convencional"/>
    <n v="6"/>
    <d v="2019-04-20T00:00:00"/>
    <x v="449"/>
    <x v="0"/>
    <d v="2019-04-26T00:00:00"/>
    <x v="0"/>
    <x v="0"/>
    <n v="1"/>
    <n v="1"/>
  </r>
  <r>
    <d v="2019-04-22T00:00:00"/>
    <n v="11976"/>
    <s v="WHRJ"/>
    <s v="Rio De Janeiro"/>
    <s v="RJ"/>
    <n v="4142"/>
    <x v="130"/>
    <s v="Manaus"/>
    <s v="AM"/>
    <x v="4"/>
    <s v="AM"/>
    <n v="733.57"/>
    <n v="1"/>
    <n v="1.744"/>
    <n v="6700091"/>
    <x v="6"/>
    <s v="Manaus"/>
    <s v="Convencional"/>
    <n v="10"/>
    <d v="2019-04-23T00:00:00"/>
    <x v="440"/>
    <x v="0"/>
    <d v="2019-05-03T00:00:00"/>
    <x v="0"/>
    <x v="0"/>
    <n v="1"/>
    <n v="1"/>
  </r>
  <r>
    <d v="2019-04-22T00:00:00"/>
    <n v="11977"/>
    <s v="WHVIT"/>
    <s v="Vitoria"/>
    <s v="ES"/>
    <n v="4068"/>
    <x v="4"/>
    <s v="Campo Grande"/>
    <s v="MS"/>
    <x v="1"/>
    <s v="MS"/>
    <n v="4185.09"/>
    <n v="2"/>
    <n v="9.0289999999999999"/>
    <n v="6100231"/>
    <x v="1"/>
    <s v="Goiania"/>
    <s v="Convencional"/>
    <n v="5"/>
    <d v="2019-04-23T00:00:00"/>
    <x v="450"/>
    <x v="0"/>
    <d v="2019-04-28T00:00:00"/>
    <x v="1"/>
    <x v="0"/>
    <n v="0"/>
    <n v="1"/>
  </r>
  <r>
    <d v="2019-04-22T00:00:00"/>
    <n v="11978"/>
    <s v="WHBH"/>
    <s v="Belo Horizonte"/>
    <s v="MG"/>
    <n v="4012"/>
    <x v="0"/>
    <s v="Sao Jose Dos Pinhais"/>
    <s v="PR"/>
    <x v="0"/>
    <s v="PR"/>
    <n v="120.7"/>
    <n v="1"/>
    <n v="1.1200000000000001"/>
    <n v="6500948"/>
    <x v="0"/>
    <s v="Porto Alegre"/>
    <s v="Convencional"/>
    <n v="9"/>
    <d v="2019-04-23T00:00:00"/>
    <x v="447"/>
    <x v="0"/>
    <d v="2019-05-02T00:00:00"/>
    <x v="0"/>
    <x v="0"/>
    <n v="1"/>
    <n v="1"/>
  </r>
  <r>
    <d v="2019-04-22T00:00:00"/>
    <n v="11979"/>
    <s v="WHSJC"/>
    <s v="Sao Jose dos Campos"/>
    <s v="SP"/>
    <n v="4049"/>
    <x v="43"/>
    <s v="Taguatinga"/>
    <s v="DF"/>
    <x v="1"/>
    <s v="DF"/>
    <n v="140.33000000000001"/>
    <n v="2"/>
    <n v="0.76600000000000001"/>
    <n v="6100231"/>
    <x v="1"/>
    <s v="Goiania"/>
    <s v="Convencional"/>
    <n v="11"/>
    <d v="2019-04-23T00:00:00"/>
    <x v="451"/>
    <x v="0"/>
    <d v="2019-05-04T00:00:00"/>
    <x v="0"/>
    <x v="0"/>
    <n v="1"/>
    <n v="1"/>
  </r>
  <r>
    <d v="2019-04-22T00:00:00"/>
    <n v="11980"/>
    <s v="WHCPQ"/>
    <s v="Campinas"/>
    <s v="SP"/>
    <n v="4040"/>
    <x v="42"/>
    <s v="Brasilia"/>
    <s v="DF"/>
    <x v="1"/>
    <s v="DF"/>
    <n v="219.38"/>
    <n v="1"/>
    <n v="1.1200000000000001"/>
    <n v="6100231"/>
    <x v="1"/>
    <s v="Goiania"/>
    <s v="Convencional"/>
    <n v="4"/>
    <d v="2019-04-23T00:00:00"/>
    <x v="447"/>
    <x v="0"/>
    <d v="2019-04-27T00:00:00"/>
    <x v="1"/>
    <x v="0"/>
    <n v="0"/>
    <n v="1"/>
  </r>
  <r>
    <d v="2019-04-22T00:00:00"/>
    <n v="11981"/>
    <s v="WHRJ"/>
    <s v="Rio De Janeiro"/>
    <s v="RJ"/>
    <n v="4055"/>
    <x v="45"/>
    <s v="Brasilia"/>
    <s v="DF"/>
    <x v="1"/>
    <s v="DF"/>
    <n v="1039.93"/>
    <n v="3"/>
    <n v="2.0459999999999998"/>
    <n v="6100231"/>
    <x v="1"/>
    <s v="Goiania"/>
    <s v="Convencional"/>
    <n v="6"/>
    <d v="2019-04-23T00:00:00"/>
    <x v="446"/>
    <x v="0"/>
    <d v="2019-04-29T00:00:00"/>
    <x v="0"/>
    <x v="0"/>
    <n v="1"/>
    <n v="1"/>
  </r>
  <r>
    <d v="2019-04-22T00:00:00"/>
    <n v="11982"/>
    <s v="WHVIT"/>
    <s v="Vitoria"/>
    <s v="ES"/>
    <n v="4027"/>
    <x v="24"/>
    <s v="Novo Hamburgo"/>
    <s v="RS"/>
    <x v="0"/>
    <s v="RS"/>
    <n v="5182.8500000000004"/>
    <n v="7"/>
    <n v="10.23"/>
    <n v="6500948"/>
    <x v="0"/>
    <s v="Porto Alegre"/>
    <s v="Convencional"/>
    <n v="2"/>
    <d v="2019-04-23T00:00:00"/>
    <x v="441"/>
    <x v="0"/>
    <d v="2019-04-25T00:00:00"/>
    <x v="1"/>
    <x v="0"/>
    <n v="0"/>
    <n v="1"/>
  </r>
  <r>
    <d v="2019-04-22T00:00:00"/>
    <n v="11983"/>
    <s v="WHRJ"/>
    <s v="Rio De Janeiro"/>
    <s v="RJ"/>
    <n v="4027"/>
    <x v="24"/>
    <s v="Novo Hamburgo"/>
    <s v="RS"/>
    <x v="0"/>
    <s v="RS"/>
    <n v="345.58"/>
    <n v="1"/>
    <n v="0.68200000000000005"/>
    <n v="6500948"/>
    <x v="0"/>
    <s v="Porto Alegre"/>
    <s v="Convencional"/>
    <n v="10"/>
    <d v="2019-04-23T00:00:00"/>
    <x v="442"/>
    <x v="0"/>
    <d v="2019-05-03T00:00:00"/>
    <x v="0"/>
    <x v="0"/>
    <n v="1"/>
    <n v="1"/>
  </r>
  <r>
    <d v="2019-04-22T00:00:00"/>
    <n v="11984"/>
    <s v="WHVIT"/>
    <s v="Vitoria"/>
    <s v="ES"/>
    <n v="4028"/>
    <x v="26"/>
    <s v="Sao Jose Dos Pinhais"/>
    <s v="PR"/>
    <x v="0"/>
    <s v="PR"/>
    <n v="355.86"/>
    <n v="1"/>
    <n v="0.68200000000000005"/>
    <n v="6500948"/>
    <x v="0"/>
    <s v="Porto Alegre"/>
    <s v="Convencional"/>
    <n v="5"/>
    <d v="2019-04-23T00:00:00"/>
    <x v="451"/>
    <x v="0"/>
    <d v="2019-04-28T00:00:00"/>
    <x v="1"/>
    <x v="0"/>
    <n v="0"/>
    <n v="1"/>
  </r>
  <r>
    <d v="2019-04-22T00:00:00"/>
    <n v="11985"/>
    <s v="WHVIT"/>
    <s v="Vitoria"/>
    <s v="ES"/>
    <n v="4049"/>
    <x v="43"/>
    <s v="Taguatinga"/>
    <s v="DF"/>
    <x v="1"/>
    <s v="DF"/>
    <n v="2428.67"/>
    <n v="7"/>
    <n v="4.774"/>
    <n v="6100231"/>
    <x v="1"/>
    <s v="Goiania"/>
    <s v="Convencional"/>
    <n v="4"/>
    <d v="2019-04-23T00:00:00"/>
    <x v="442"/>
    <x v="0"/>
    <d v="2019-04-27T00:00:00"/>
    <x v="1"/>
    <x v="0"/>
    <n v="0"/>
    <n v="1"/>
  </r>
  <r>
    <d v="2019-04-22T00:00:00"/>
    <n v="11986"/>
    <s v="WHSJC"/>
    <s v="Sao Jose dos Campos"/>
    <s v="SP"/>
    <n v="4040"/>
    <x v="42"/>
    <s v="Brasilia"/>
    <s v="DF"/>
    <x v="1"/>
    <s v="DF"/>
    <n v="353.91"/>
    <n v="1"/>
    <n v="0.68200000000000005"/>
    <n v="6100231"/>
    <x v="1"/>
    <s v="Goiania"/>
    <s v="Convencional"/>
    <n v="6"/>
    <d v="2019-04-23T00:00:00"/>
    <x v="441"/>
    <x v="0"/>
    <d v="2019-04-29T00:00:00"/>
    <x v="0"/>
    <x v="0"/>
    <n v="1"/>
    <n v="1"/>
  </r>
  <r>
    <d v="2019-04-22T00:00:00"/>
    <n v="11987"/>
    <s v="WHCPQ"/>
    <s v="Campinas"/>
    <s v="SP"/>
    <n v="4055"/>
    <x v="45"/>
    <s v="Brasilia"/>
    <s v="DF"/>
    <x v="1"/>
    <s v="DF"/>
    <n v="336.98"/>
    <n v="1"/>
    <n v="0.68200000000000005"/>
    <n v="6100231"/>
    <x v="1"/>
    <s v="Goiania"/>
    <s v="Convencional"/>
    <n v="1"/>
    <d v="2019-04-23T00:00:00"/>
    <x v="440"/>
    <x v="0"/>
    <d v="2019-04-24T00:00:00"/>
    <x v="1"/>
    <x v="0"/>
    <n v="0"/>
    <n v="1"/>
  </r>
  <r>
    <d v="2019-04-22T00:00:00"/>
    <n v="11988"/>
    <s v="WHSAO"/>
    <s v="Sao Paulo"/>
    <s v="SP"/>
    <n v="4028"/>
    <x v="26"/>
    <s v="Sao Jose Dos Pinhais"/>
    <s v="PR"/>
    <x v="0"/>
    <s v="PR"/>
    <n v="687.46"/>
    <n v="2"/>
    <n v="1.3640000000000001"/>
    <n v="6500948"/>
    <x v="0"/>
    <s v="Porto Alegre"/>
    <s v="Convencional"/>
    <n v="11"/>
    <d v="2019-04-23T00:00:00"/>
    <x v="450"/>
    <x v="0"/>
    <d v="2019-05-04T00:00:00"/>
    <x v="0"/>
    <x v="0"/>
    <n v="1"/>
    <n v="1"/>
  </r>
  <r>
    <d v="2019-04-22T00:00:00"/>
    <n v="11989"/>
    <s v="WHVIT"/>
    <s v="Vitoria"/>
    <s v="ES"/>
    <n v="4049"/>
    <x v="43"/>
    <s v="Taguatinga"/>
    <s v="DF"/>
    <x v="1"/>
    <s v="DF"/>
    <n v="340.82"/>
    <n v="1"/>
    <n v="0.68200000000000005"/>
    <n v="6100231"/>
    <x v="1"/>
    <s v="Goiania"/>
    <s v="Convencional"/>
    <n v="12"/>
    <d v="2019-04-23T00:00:00"/>
    <x v="443"/>
    <x v="0"/>
    <d v="2019-05-05T00:00:00"/>
    <x v="0"/>
    <x v="0"/>
    <n v="1"/>
    <n v="1"/>
  </r>
  <r>
    <d v="2019-04-22T00:00:00"/>
    <n v="11990"/>
    <s v="WHCPQ"/>
    <s v="Campinas"/>
    <s v="SP"/>
    <n v="4049"/>
    <x v="43"/>
    <s v="Taguatinga"/>
    <s v="DF"/>
    <x v="1"/>
    <s v="DF"/>
    <n v="395.4"/>
    <n v="1"/>
    <n v="0.68200000000000005"/>
    <n v="6100231"/>
    <x v="1"/>
    <s v="Goiania"/>
    <s v="Convencional"/>
    <n v="8"/>
    <d v="2019-04-23T00:00:00"/>
    <x v="442"/>
    <x v="0"/>
    <d v="2019-05-01T00:00:00"/>
    <x v="0"/>
    <x v="0"/>
    <n v="1"/>
    <n v="1"/>
  </r>
  <r>
    <d v="2019-04-22T00:00:00"/>
    <n v="11991"/>
    <s v="WHCPQ"/>
    <s v="Campinas"/>
    <s v="SP"/>
    <n v="4049"/>
    <x v="43"/>
    <s v="Taguatinga"/>
    <s v="DF"/>
    <x v="1"/>
    <s v="DF"/>
    <n v="5160.3599999999997"/>
    <n v="8"/>
    <n v="10.23"/>
    <n v="6100231"/>
    <x v="1"/>
    <s v="Goiania"/>
    <s v="Convencional"/>
    <n v="1"/>
    <d v="2019-04-23T00:00:00"/>
    <x v="447"/>
    <x v="0"/>
    <d v="2019-04-24T00:00:00"/>
    <x v="1"/>
    <x v="0"/>
    <n v="0"/>
    <n v="1"/>
  </r>
  <r>
    <d v="2019-04-22T00:00:00"/>
    <n v="11992"/>
    <s v="WHBH"/>
    <s v="Belo Horizonte"/>
    <s v="MG"/>
    <n v="4049"/>
    <x v="43"/>
    <s v="Taguatinga"/>
    <s v="DF"/>
    <x v="1"/>
    <s v="DF"/>
    <n v="6694.35"/>
    <n v="3"/>
    <n v="12.958"/>
    <n v="6100231"/>
    <x v="1"/>
    <s v="Goiania"/>
    <s v="Convencional"/>
    <n v="7"/>
    <d v="2019-04-23T00:00:00"/>
    <x v="441"/>
    <x v="0"/>
    <d v="2019-04-30T00:00:00"/>
    <x v="0"/>
    <x v="0"/>
    <n v="1"/>
    <n v="1"/>
  </r>
  <r>
    <d v="2019-04-22T00:00:00"/>
    <n v="11993"/>
    <s v="WHSJC"/>
    <s v="Sao Jose dos Campos"/>
    <s v="SP"/>
    <n v="4049"/>
    <x v="43"/>
    <s v="Taguatinga"/>
    <s v="DF"/>
    <x v="1"/>
    <s v="DF"/>
    <n v="671.07"/>
    <n v="2"/>
    <n v="1.3640000000000001"/>
    <n v="6100231"/>
    <x v="1"/>
    <s v="Goiania"/>
    <s v="Convencional"/>
    <n v="9"/>
    <d v="2019-04-23T00:00:00"/>
    <x v="447"/>
    <x v="0"/>
    <d v="2019-05-02T00:00:00"/>
    <x v="0"/>
    <x v="0"/>
    <n v="1"/>
    <n v="1"/>
  </r>
  <r>
    <d v="2019-04-22T00:00:00"/>
    <n v="11994"/>
    <s v="WHRJ"/>
    <s v="Rio De Janeiro"/>
    <s v="RJ"/>
    <n v="4049"/>
    <x v="43"/>
    <s v="Taguatinga"/>
    <s v="DF"/>
    <x v="1"/>
    <s v="DF"/>
    <n v="353.91"/>
    <n v="1"/>
    <n v="0.68200000000000005"/>
    <n v="6100231"/>
    <x v="1"/>
    <s v="Goiania"/>
    <s v="Convencional"/>
    <n v="3"/>
    <d v="2019-04-23T00:00:00"/>
    <x v="441"/>
    <x v="0"/>
    <d v="2019-04-26T00:00:00"/>
    <x v="0"/>
    <x v="0"/>
    <n v="1"/>
    <n v="1"/>
  </r>
  <r>
    <d v="2019-04-22T00:00:00"/>
    <n v="11995"/>
    <s v="WHPOA"/>
    <s v="Porto Alegre"/>
    <s v="RS"/>
    <n v="4049"/>
    <x v="43"/>
    <s v="Taguatinga"/>
    <s v="DF"/>
    <x v="1"/>
    <s v="DF"/>
    <n v="1061.72"/>
    <n v="3"/>
    <n v="2.0459999999999998"/>
    <n v="6100231"/>
    <x v="1"/>
    <s v="Goiania"/>
    <s v="Convencional"/>
    <n v="1"/>
    <d v="2019-04-23T00:00:00"/>
    <x v="448"/>
    <x v="0"/>
    <d v="2019-04-24T00:00:00"/>
    <x v="1"/>
    <x v="0"/>
    <n v="0"/>
    <n v="1"/>
  </r>
  <r>
    <d v="2019-04-22T00:00:00"/>
    <n v="11996"/>
    <s v="WHSAO"/>
    <s v="Sao Paulo"/>
    <s v="SP"/>
    <n v="4049"/>
    <x v="43"/>
    <s v="Taguatinga"/>
    <s v="DF"/>
    <x v="1"/>
    <s v="DF"/>
    <n v="709.09"/>
    <n v="2"/>
    <n v="1.3640000000000001"/>
    <n v="6100231"/>
    <x v="1"/>
    <s v="Goiania"/>
    <s v="Convencional"/>
    <n v="5"/>
    <d v="2019-04-23T00:00:00"/>
    <x v="450"/>
    <x v="0"/>
    <d v="2019-04-28T00:00:00"/>
    <x v="1"/>
    <x v="0"/>
    <n v="0"/>
    <n v="1"/>
  </r>
  <r>
    <d v="2019-04-23T00:00:00"/>
    <n v="11997"/>
    <s v="WHBH"/>
    <s v="Belo Horizonte"/>
    <s v="MG"/>
    <n v="4033"/>
    <x v="35"/>
    <s v="Goiania"/>
    <s v="GO"/>
    <x v="1"/>
    <s v="GO"/>
    <n v="353.91"/>
    <n v="1"/>
    <n v="0.68200000000000005"/>
    <n v="6100231"/>
    <x v="1"/>
    <s v="Goiania"/>
    <s v="Convencional"/>
    <n v="7"/>
    <d v="2019-04-24T00:00:00"/>
    <x v="448"/>
    <x v="1"/>
    <d v="2019-05-01T00:00:00"/>
    <x v="0"/>
    <x v="1"/>
    <n v="0"/>
    <n v="1"/>
  </r>
  <r>
    <d v="2019-04-23T00:00:00"/>
    <n v="11998"/>
    <s v="WHSJC"/>
    <s v="Sao Jose dos Campos"/>
    <s v="SP"/>
    <n v="4069"/>
    <x v="57"/>
    <s v="Brasilia"/>
    <s v="DF"/>
    <x v="1"/>
    <s v="DF"/>
    <n v="353.91"/>
    <n v="1"/>
    <n v="0.68200000000000005"/>
    <n v="6100231"/>
    <x v="1"/>
    <s v="Goiania"/>
    <s v="Convencional"/>
    <n v="8"/>
    <d v="2019-04-24T00:00:00"/>
    <x v="447"/>
    <x v="0"/>
    <d v="2019-05-02T00:00:00"/>
    <x v="0"/>
    <x v="0"/>
    <n v="1"/>
    <n v="1"/>
  </r>
  <r>
    <d v="2019-04-24T00:00:00"/>
    <n v="11999"/>
    <s v="WHBH"/>
    <s v="Belo Horizonte"/>
    <s v="MG"/>
    <n v="4132"/>
    <x v="120"/>
    <s v="Santos"/>
    <s v="SP"/>
    <x v="2"/>
    <s v="SP"/>
    <n v="724.47"/>
    <n v="2"/>
    <n v="1.3640000000000001"/>
    <n v="6400835"/>
    <x v="3"/>
    <s v="Guarulhos"/>
    <s v="Convencional"/>
    <n v="5"/>
    <d v="2019-04-25T00:00:00"/>
    <x v="448"/>
    <x v="0"/>
    <d v="2019-04-30T00:00:00"/>
    <x v="0"/>
    <x v="0"/>
    <n v="1"/>
    <n v="1"/>
  </r>
  <r>
    <d v="2019-04-24T00:00:00"/>
    <n v="12000"/>
    <s v="WHSJC"/>
    <s v="Sao Jose dos Campos"/>
    <s v="SP"/>
    <n v="4132"/>
    <x v="120"/>
    <s v="Santos"/>
    <s v="SP"/>
    <x v="2"/>
    <s v="SP"/>
    <n v="448.18"/>
    <n v="1"/>
    <n v="0.68200000000000005"/>
    <n v="6400835"/>
    <x v="3"/>
    <s v="Guarulhos"/>
    <s v="Convencional"/>
    <n v="12"/>
    <d v="2019-04-25T00:00:00"/>
    <x v="452"/>
    <x v="0"/>
    <d v="2019-05-07T00:00:00"/>
    <x v="0"/>
    <x v="0"/>
    <n v="1"/>
    <n v="1"/>
  </r>
  <r>
    <d v="2019-04-24T00:00:00"/>
    <n v="12001"/>
    <s v="WHCPQ"/>
    <s v="Campinas"/>
    <s v="SP"/>
    <n v="4148"/>
    <x v="136"/>
    <s v="Sao Paulo"/>
    <s v="SP"/>
    <x v="2"/>
    <s v="SP"/>
    <n v="575.59"/>
    <n v="1"/>
    <n v="5.7640000000000002"/>
    <n v="6400835"/>
    <x v="3"/>
    <s v="Guarulhos"/>
    <s v="Convencional"/>
    <n v="3"/>
    <d v="2019-04-25T00:00:00"/>
    <x v="440"/>
    <x v="0"/>
    <d v="2019-04-28T00:00:00"/>
    <x v="0"/>
    <x v="0"/>
    <n v="1"/>
    <n v="1"/>
  </r>
  <r>
    <d v="2019-04-24T00:00:00"/>
    <n v="12002"/>
    <s v="WHCPQ"/>
    <s v="Campinas"/>
    <s v="SP"/>
    <n v="4069"/>
    <x v="57"/>
    <s v="Brasilia"/>
    <s v="DF"/>
    <x v="1"/>
    <s v="DF"/>
    <n v="511.91"/>
    <n v="1"/>
    <n v="1.177"/>
    <n v="6100231"/>
    <x v="1"/>
    <s v="Goiania"/>
    <s v="Convencional"/>
    <n v="2"/>
    <d v="2019-04-25T00:00:00"/>
    <x v="451"/>
    <x v="0"/>
    <d v="2019-04-27T00:00:00"/>
    <x v="1"/>
    <x v="0"/>
    <n v="0"/>
    <n v="1"/>
  </r>
  <r>
    <d v="2019-04-25T00:00:00"/>
    <n v="12003"/>
    <s v="WHVIT"/>
    <s v="Vitoria"/>
    <s v="ES"/>
    <n v="4150"/>
    <x v="138"/>
    <s v="Belo Horizonte"/>
    <s v="MG"/>
    <x v="2"/>
    <s v="MG"/>
    <n v="244.54"/>
    <n v="1"/>
    <n v="1.2110000000000001"/>
    <n v="6600879"/>
    <x v="2"/>
    <s v="Belo Horizonte"/>
    <s v="Convencional"/>
    <n v="1"/>
    <d v="2019-04-26T00:00:00"/>
    <x v="452"/>
    <x v="0"/>
    <d v="2019-04-27T00:00:00"/>
    <x v="1"/>
    <x v="0"/>
    <n v="0"/>
    <n v="1"/>
  </r>
  <r>
    <d v="2019-04-25T00:00:00"/>
    <n v="12004"/>
    <s v="WHVIT"/>
    <s v="Vitoria"/>
    <s v="ES"/>
    <n v="4144"/>
    <x v="132"/>
    <s v="Santos"/>
    <s v="SP"/>
    <x v="2"/>
    <s v="SP"/>
    <n v="896.13"/>
    <n v="1"/>
    <n v="6.6070000000000002"/>
    <n v="6400835"/>
    <x v="3"/>
    <s v="Guarulhos"/>
    <s v="Convencional"/>
    <n v="12"/>
    <d v="2019-04-26T00:00:00"/>
    <x v="450"/>
    <x v="0"/>
    <d v="2019-05-08T00:00:00"/>
    <x v="0"/>
    <x v="0"/>
    <n v="1"/>
    <n v="1"/>
  </r>
  <r>
    <d v="2019-04-26T00:00:00"/>
    <n v="12005"/>
    <s v="WHSJC"/>
    <s v="Sao Jose dos Campos"/>
    <s v="SP"/>
    <n v="4084"/>
    <x v="72"/>
    <s v="Aracatuba"/>
    <s v="SP"/>
    <x v="2"/>
    <s v="SP"/>
    <n v="1180.68"/>
    <n v="3"/>
    <n v="2.762"/>
    <n v="6400835"/>
    <x v="3"/>
    <s v="Guarulhos"/>
    <s v="Convencional"/>
    <n v="6"/>
    <d v="2019-04-27T00:00:00"/>
    <x v="453"/>
    <x v="1"/>
    <d v="2019-05-03T00:00:00"/>
    <x v="1"/>
    <x v="1"/>
    <n v="0"/>
    <n v="1"/>
  </r>
  <r>
    <d v="2019-04-26T00:00:00"/>
    <n v="12006"/>
    <s v="WHBH"/>
    <s v="Belo Horizonte"/>
    <s v="MG"/>
    <n v="4136"/>
    <x v="124"/>
    <s v="Belo Horizonte"/>
    <s v="MG"/>
    <x v="2"/>
    <s v="MG"/>
    <n v="10453.81"/>
    <n v="1"/>
    <n v="69.3"/>
    <n v="6600879"/>
    <x v="2"/>
    <s v="Belo Horizonte"/>
    <s v="Convencional"/>
    <n v="7"/>
    <d v="2019-04-27T00:00:00"/>
    <x v="447"/>
    <x v="1"/>
    <d v="2019-05-04T00:00:00"/>
    <x v="0"/>
    <x v="1"/>
    <n v="0"/>
    <n v="1"/>
  </r>
  <r>
    <d v="2019-04-26T00:00:00"/>
    <n v="12007"/>
    <s v="WHBH"/>
    <s v="Belo Horizonte"/>
    <s v="MG"/>
    <n v="4147"/>
    <x v="135"/>
    <s v="Belo Horizonte"/>
    <s v="MG"/>
    <x v="2"/>
    <s v="MG"/>
    <n v="330.59"/>
    <n v="1"/>
    <n v="1.76"/>
    <n v="6600879"/>
    <x v="2"/>
    <s v="Belo Horizonte"/>
    <s v="Convencional"/>
    <n v="1"/>
    <d v="2019-04-27T00:00:00"/>
    <x v="448"/>
    <x v="0"/>
    <d v="2019-04-28T00:00:00"/>
    <x v="1"/>
    <x v="0"/>
    <n v="0"/>
    <n v="1"/>
  </r>
  <r>
    <d v="2019-04-26T00:00:00"/>
    <n v="12008"/>
    <s v="WHVIT"/>
    <s v="Vitoria"/>
    <s v="ES"/>
    <n v="4024"/>
    <x v="21"/>
    <s v="Porto Alegre"/>
    <s v="RS"/>
    <x v="0"/>
    <s v="RS"/>
    <n v="435.57"/>
    <n v="1"/>
    <n v="6.16"/>
    <n v="6500948"/>
    <x v="0"/>
    <s v="Porto Alegre"/>
    <s v="Convencional"/>
    <n v="4"/>
    <d v="2019-04-27T00:00:00"/>
    <x v="450"/>
    <x v="0"/>
    <d v="2019-05-01T00:00:00"/>
    <x v="1"/>
    <x v="0"/>
    <n v="0"/>
    <n v="1"/>
  </r>
  <r>
    <d v="2019-04-26T00:00:00"/>
    <n v="12009"/>
    <s v="WHVIT"/>
    <s v="Vitoria"/>
    <s v="ES"/>
    <n v="4024"/>
    <x v="21"/>
    <s v="Porto Alegre"/>
    <s v="RS"/>
    <x v="0"/>
    <s v="RS"/>
    <n v="411.38"/>
    <n v="1"/>
    <n v="5.5060000000000002"/>
    <n v="6500948"/>
    <x v="0"/>
    <s v="Porto Alegre"/>
    <s v="Convencional"/>
    <n v="9"/>
    <d v="2019-04-27T00:00:00"/>
    <x v="450"/>
    <x v="0"/>
    <d v="2019-05-06T00:00:00"/>
    <x v="0"/>
    <x v="0"/>
    <n v="1"/>
    <n v="1"/>
  </r>
  <r>
    <d v="2019-04-26T00:00:00"/>
    <n v="12010"/>
    <s v="WHRJ"/>
    <s v="Rio De Janeiro"/>
    <s v="RJ"/>
    <n v="4013"/>
    <x v="1"/>
    <s v="Blumenau"/>
    <s v="SC"/>
    <x v="0"/>
    <s v="SC"/>
    <n v="444.94"/>
    <n v="1"/>
    <n v="1.0449999999999999"/>
    <n v="6500948"/>
    <x v="0"/>
    <s v="Porto Alegre"/>
    <s v="Convencional"/>
    <n v="7"/>
    <d v="2019-04-27T00:00:00"/>
    <x v="442"/>
    <x v="0"/>
    <d v="2019-05-04T00:00:00"/>
    <x v="0"/>
    <x v="0"/>
    <n v="1"/>
    <n v="1"/>
  </r>
  <r>
    <d v="2019-04-26T00:00:00"/>
    <n v="12011"/>
    <s v="WHRJ"/>
    <s v="Rio De Janeiro"/>
    <s v="RJ"/>
    <n v="4013"/>
    <x v="1"/>
    <s v="Blumenau"/>
    <s v="SC"/>
    <x v="0"/>
    <s v="SC"/>
    <n v="541.78"/>
    <n v="1"/>
    <n v="2.3290000000000002"/>
    <n v="6500948"/>
    <x v="0"/>
    <s v="Porto Alegre"/>
    <s v="Convencional"/>
    <n v="2"/>
    <d v="2019-04-27T00:00:00"/>
    <x v="454"/>
    <x v="2"/>
    <d v="2019-04-29T00:00:00"/>
    <x v="1"/>
    <x v="1"/>
    <n v="0"/>
    <n v="1"/>
  </r>
  <r>
    <d v="2019-04-26T00:00:00"/>
    <n v="12012"/>
    <s v="WHPOA"/>
    <s v="Porto Alegre"/>
    <s v="RS"/>
    <n v="4022"/>
    <x v="19"/>
    <s v="Maringa"/>
    <s v="PR"/>
    <x v="0"/>
    <s v="PR"/>
    <n v="344.24"/>
    <n v="1"/>
    <n v="4.6790000000000003"/>
    <n v="6500948"/>
    <x v="0"/>
    <s v="Porto Alegre"/>
    <s v="Convencional"/>
    <n v="5"/>
    <d v="2019-04-27T00:00:00"/>
    <x v="454"/>
    <x v="0"/>
    <d v="2019-05-02T00:00:00"/>
    <x v="1"/>
    <x v="0"/>
    <n v="0"/>
    <n v="1"/>
  </r>
  <r>
    <d v="2019-04-27T00:00:00"/>
    <n v="12013"/>
    <s v="WHCPQ"/>
    <s v="Campinas"/>
    <s v="SP"/>
    <n v="4020"/>
    <x v="15"/>
    <s v="Londrina"/>
    <s v="PR"/>
    <x v="0"/>
    <s v="PR"/>
    <n v="295.83999999999997"/>
    <n v="1"/>
    <n v="1.679"/>
    <n v="6500948"/>
    <x v="0"/>
    <s v="Porto Alegre"/>
    <s v="Convencional"/>
    <n v="4"/>
    <d v="2019-04-28T00:00:00"/>
    <x v="455"/>
    <x v="0"/>
    <d v="2019-05-02T00:00:00"/>
    <x v="1"/>
    <x v="0"/>
    <n v="0"/>
    <n v="1"/>
  </r>
  <r>
    <d v="2019-04-27T00:00:00"/>
    <n v="12014"/>
    <s v="WHCPQ"/>
    <s v="Campinas"/>
    <s v="SP"/>
    <n v="4155"/>
    <x v="143"/>
    <s v="Sao Paulo"/>
    <s v="SP"/>
    <x v="2"/>
    <s v="SP"/>
    <n v="2415.89"/>
    <n v="2"/>
    <n v="19.8"/>
    <n v="6400835"/>
    <x v="3"/>
    <s v="Guarulhos"/>
    <s v="Convencional"/>
    <n v="12"/>
    <d v="2019-04-28T00:00:00"/>
    <x v="456"/>
    <x v="0"/>
    <d v="2019-05-10T00:00:00"/>
    <x v="0"/>
    <x v="0"/>
    <n v="1"/>
    <n v="1"/>
  </r>
  <r>
    <d v="2019-04-27T00:00:00"/>
    <n v="12015"/>
    <s v="WHCPQ"/>
    <s v="Campinas"/>
    <s v="SP"/>
    <n v="4161"/>
    <x v="149"/>
    <s v="Recife"/>
    <s v="PE"/>
    <x v="3"/>
    <s v="PE"/>
    <n v="97.59"/>
    <n v="1"/>
    <n v="0.23300000000000001"/>
    <n v="6900304"/>
    <x v="5"/>
    <s v="Fortaleza"/>
    <s v="Convencional"/>
    <n v="6"/>
    <d v="2019-04-28T00:00:00"/>
    <x v="457"/>
    <x v="0"/>
    <d v="2019-05-04T00:00:00"/>
    <x v="1"/>
    <x v="0"/>
    <n v="0"/>
    <n v="1"/>
  </r>
  <r>
    <d v="2019-04-29T00:00:00"/>
    <n v="12016"/>
    <s v="WHSAO"/>
    <s v="Sao Paulo"/>
    <s v="SP"/>
    <n v="4154"/>
    <x v="142"/>
    <s v="Recife"/>
    <s v="PE"/>
    <x v="3"/>
    <s v="PE"/>
    <n v="1385.98"/>
    <n v="2"/>
    <n v="7.0469999999999997"/>
    <n v="6900304"/>
    <x v="5"/>
    <s v="Fortaleza"/>
    <s v="Convencional"/>
    <n v="6"/>
    <d v="2019-04-30T00:00:00"/>
    <x v="455"/>
    <x v="0"/>
    <d v="2019-05-06T00:00:00"/>
    <x v="0"/>
    <x v="0"/>
    <n v="1"/>
    <n v="1"/>
  </r>
  <r>
    <d v="2019-04-29T00:00:00"/>
    <n v="12017"/>
    <s v="WHRJ"/>
    <s v="Rio De Janeiro"/>
    <s v="RJ"/>
    <n v="4060"/>
    <x v="56"/>
    <s v="Sinop"/>
    <s v="MT"/>
    <x v="1"/>
    <s v="MT"/>
    <n v="704.48"/>
    <n v="1"/>
    <n v="3.9140000000000001"/>
    <n v="6100231"/>
    <x v="1"/>
    <s v="Goiania"/>
    <s v="Convencional"/>
    <n v="12"/>
    <d v="2019-04-30T00:00:00"/>
    <x v="458"/>
    <x v="0"/>
    <d v="2019-05-12T00:00:00"/>
    <x v="0"/>
    <x v="0"/>
    <n v="1"/>
    <n v="1"/>
  </r>
  <r>
    <d v="2019-04-29T00:00:00"/>
    <n v="12018"/>
    <s v="WHBH"/>
    <s v="Belo Horizonte"/>
    <s v="MG"/>
    <n v="4012"/>
    <x v="0"/>
    <s v="Sao Jose Dos Pinhais"/>
    <s v="PR"/>
    <x v="0"/>
    <s v="PR"/>
    <n v="1859.98"/>
    <n v="1"/>
    <n v="4.9530000000000003"/>
    <n v="6500948"/>
    <x v="0"/>
    <s v="Porto Alegre"/>
    <s v="Convencional"/>
    <n v="9"/>
    <d v="2019-04-30T00:00:00"/>
    <x v="454"/>
    <x v="0"/>
    <d v="2019-05-09T00:00:00"/>
    <x v="0"/>
    <x v="0"/>
    <n v="1"/>
    <n v="1"/>
  </r>
  <r>
    <d v="2019-04-29T00:00:00"/>
    <n v="12019"/>
    <s v="WHPOA"/>
    <s v="Porto Alegre"/>
    <s v="RS"/>
    <n v="4012"/>
    <x v="0"/>
    <s v="Sao Jose Dos Pinhais"/>
    <s v="PR"/>
    <x v="0"/>
    <s v="PR"/>
    <n v="515.01"/>
    <n v="1"/>
    <n v="4.4039999999999999"/>
    <n v="6500948"/>
    <x v="0"/>
    <s v="Porto Alegre"/>
    <s v="Convencional"/>
    <n v="11"/>
    <d v="2019-04-30T00:00:00"/>
    <x v="454"/>
    <x v="0"/>
    <d v="2019-05-11T00:00:00"/>
    <x v="0"/>
    <x v="0"/>
    <n v="1"/>
    <n v="1"/>
  </r>
  <r>
    <d v="2019-04-30T00:00:00"/>
    <n v="12020"/>
    <s v="WHBH"/>
    <s v="Belo Horizonte"/>
    <s v="MG"/>
    <n v="4012"/>
    <x v="0"/>
    <s v="Sao Jose Dos Pinhais"/>
    <s v="PR"/>
    <x v="0"/>
    <s v="PR"/>
    <n v="407.61"/>
    <n v="1"/>
    <n v="1.43"/>
    <n v="6500948"/>
    <x v="0"/>
    <s v="Porto Alegre"/>
    <s v="Convencional"/>
    <n v="2"/>
    <d v="2019-04-30T00:00:00"/>
    <x v="457"/>
    <x v="0"/>
    <d v="2019-05-02T00:00:00"/>
    <x v="1"/>
    <x v="0"/>
    <n v="0"/>
    <n v="1"/>
  </r>
  <r>
    <d v="2019-04-30T00:00:00"/>
    <n v="12021"/>
    <s v="WHBH"/>
    <s v="Belo Horizonte"/>
    <s v="MG"/>
    <n v="4034"/>
    <x v="36"/>
    <s v="Goiania"/>
    <s v="GO"/>
    <x v="1"/>
    <s v="GO"/>
    <n v="2030.1"/>
    <n v="6"/>
    <n v="47.640999999999998"/>
    <n v="6100231"/>
    <x v="1"/>
    <s v="Goiania"/>
    <s v="Convencional"/>
    <n v="10"/>
    <d v="2019-04-30T00:00:00"/>
    <x v="455"/>
    <x v="0"/>
    <d v="2019-05-10T00:00:00"/>
    <x v="0"/>
    <x v="0"/>
    <n v="1"/>
    <n v="1"/>
  </r>
  <r>
    <d v="2019-04-30T00:00:00"/>
    <n v="12022"/>
    <s v="WHSAO"/>
    <s v="Sao Paulo"/>
    <s v="SP"/>
    <n v="4013"/>
    <x v="1"/>
    <s v="Blumenau"/>
    <s v="SC"/>
    <x v="0"/>
    <s v="SC"/>
    <n v="43.78"/>
    <n v="1"/>
    <n v="0.56399999999999995"/>
    <n v="6500948"/>
    <x v="0"/>
    <s v="Porto Alegre"/>
    <s v="Convencional"/>
    <n v="4"/>
    <d v="2019-04-30T00:00:00"/>
    <x v="454"/>
    <x v="0"/>
    <d v="2019-05-04T00:00:00"/>
    <x v="0"/>
    <x v="0"/>
    <n v="1"/>
    <n v="1"/>
  </r>
  <r>
    <d v="2019-04-30T00:00:00"/>
    <n v="12023"/>
    <s v="WHSJC"/>
    <s v="Sao Jose dos Campos"/>
    <s v="SP"/>
    <n v="4013"/>
    <x v="1"/>
    <s v="Blumenau"/>
    <s v="SC"/>
    <x v="0"/>
    <s v="SC"/>
    <n v="131.84"/>
    <n v="1"/>
    <n v="8.7999999999999995E-2"/>
    <n v="6500948"/>
    <x v="0"/>
    <s v="Porto Alegre"/>
    <s v="Convencional"/>
    <n v="7"/>
    <d v="2019-04-30T00:00:00"/>
    <x v="458"/>
    <x v="0"/>
    <d v="2019-05-07T00:00:00"/>
    <x v="1"/>
    <x v="0"/>
    <n v="0"/>
    <n v="1"/>
  </r>
  <r>
    <d v="2019-04-30T00:00:00"/>
    <n v="12024"/>
    <s v="WHSAO"/>
    <s v="Sao Paulo"/>
    <s v="SP"/>
    <n v="4044"/>
    <x v="48"/>
    <s v="Belo Horizonte"/>
    <s v="MG"/>
    <x v="2"/>
    <s v="MG"/>
    <n v="131.86000000000001"/>
    <n v="1"/>
    <n v="0.16500000000000001"/>
    <n v="6600879"/>
    <x v="2"/>
    <s v="Belo Horizonte"/>
    <s v="Convencional"/>
    <n v="2"/>
    <d v="2019-04-30T00:00:00"/>
    <x v="459"/>
    <x v="0"/>
    <d v="2019-05-02T00:00:00"/>
    <x v="1"/>
    <x v="0"/>
    <n v="0"/>
    <n v="1"/>
  </r>
  <r>
    <d v="2019-04-30T00:00:00"/>
    <n v="12025"/>
    <s v="WHSAO"/>
    <s v="Sao Paulo"/>
    <s v="SP"/>
    <n v="4064"/>
    <x v="53"/>
    <s v="Presidente Prudente"/>
    <s v="SP"/>
    <x v="2"/>
    <s v="SP"/>
    <n v="40.159999999999997"/>
    <n v="1"/>
    <n v="0.33700000000000002"/>
    <n v="6400835"/>
    <x v="3"/>
    <s v="Guarulhos"/>
    <s v="Convencional"/>
    <n v="4"/>
    <d v="2019-04-30T00:00:00"/>
    <x v="452"/>
    <x v="0"/>
    <d v="2019-05-04T00:00:00"/>
    <x v="0"/>
    <x v="0"/>
    <n v="1"/>
    <n v="1"/>
  </r>
  <r>
    <d v="2019-04-30T00:00:00"/>
    <n v="12026"/>
    <s v="WHBH"/>
    <s v="Belo Horizonte"/>
    <s v="MG"/>
    <n v="4018"/>
    <x v="12"/>
    <s v="Sao Jose"/>
    <s v="SC"/>
    <x v="0"/>
    <s v="SC"/>
    <n v="237.14"/>
    <n v="1"/>
    <n v="0.54300000000000004"/>
    <n v="6500948"/>
    <x v="0"/>
    <s v="Porto Alegre"/>
    <s v="Convencional"/>
    <n v="1"/>
    <d v="2019-04-30T00:00:00"/>
    <x v="453"/>
    <x v="0"/>
    <d v="2019-05-01T00:00:00"/>
    <x v="1"/>
    <x v="0"/>
    <n v="0"/>
    <n v="1"/>
  </r>
  <r>
    <d v="2019-04-30T00:00:00"/>
    <n v="12027"/>
    <s v="WHSJC"/>
    <s v="Sao Jose dos Campos"/>
    <s v="SP"/>
    <n v="4044"/>
    <x v="48"/>
    <s v="Belo Horizonte"/>
    <s v="MG"/>
    <x v="2"/>
    <s v="MG"/>
    <n v="31.69"/>
    <n v="1"/>
    <n v="0.11"/>
    <n v="6600879"/>
    <x v="2"/>
    <s v="Belo Horizonte"/>
    <s v="Convencional"/>
    <n v="1"/>
    <d v="2019-04-30T00:00:00"/>
    <x v="458"/>
    <x v="0"/>
    <d v="2019-05-01T00:00:00"/>
    <x v="1"/>
    <x v="0"/>
    <n v="0"/>
    <n v="1"/>
  </r>
  <r>
    <d v="2019-04-30T00:00:00"/>
    <n v="12028"/>
    <s v="WHPOA"/>
    <s v="Porto Alegre"/>
    <s v="RS"/>
    <n v="4045"/>
    <x v="49"/>
    <s v="Belo Horizonte"/>
    <s v="MG"/>
    <x v="2"/>
    <s v="MG"/>
    <n v="237.14"/>
    <n v="1"/>
    <n v="0.54300000000000004"/>
    <n v="6600879"/>
    <x v="2"/>
    <s v="Belo Horizonte"/>
    <s v="Convencional"/>
    <n v="7"/>
    <d v="2019-04-30T00:00:00"/>
    <x v="451"/>
    <x v="0"/>
    <d v="2019-05-07T00:00:00"/>
    <x v="0"/>
    <x v="0"/>
    <n v="1"/>
    <n v="1"/>
  </r>
  <r>
    <d v="2019-04-30T00:00:00"/>
    <n v="12029"/>
    <s v="WHVIT"/>
    <s v="Vitoria"/>
    <s v="ES"/>
    <n v="4045"/>
    <x v="49"/>
    <s v="Belo Horizonte"/>
    <s v="MG"/>
    <x v="2"/>
    <s v="MG"/>
    <n v="46.22"/>
    <n v="1"/>
    <n v="0.17199999999999999"/>
    <n v="6600879"/>
    <x v="2"/>
    <s v="Belo Horizonte"/>
    <s v="Convencional"/>
    <n v="3"/>
    <d v="2019-04-30T00:00:00"/>
    <x v="452"/>
    <x v="0"/>
    <d v="2019-05-03T00:00:00"/>
    <x v="0"/>
    <x v="0"/>
    <n v="1"/>
    <n v="1"/>
  </r>
  <r>
    <d v="2019-04-30T00:00:00"/>
    <n v="12030"/>
    <s v="WHSAO"/>
    <s v="Sao Paulo"/>
    <s v="SP"/>
    <n v="4064"/>
    <x v="53"/>
    <s v="Presidente Prudente"/>
    <s v="SP"/>
    <x v="2"/>
    <s v="SP"/>
    <n v="176.46"/>
    <n v="1"/>
    <n v="1.571"/>
    <n v="6400835"/>
    <x v="3"/>
    <s v="Guarulhos"/>
    <s v="Convencional"/>
    <n v="6"/>
    <d v="2019-04-30T00:00:00"/>
    <x v="459"/>
    <x v="2"/>
    <d v="2019-05-06T00:00:00"/>
    <x v="1"/>
    <x v="1"/>
    <n v="0"/>
    <n v="1"/>
  </r>
  <r>
    <d v="2019-04-30T00:00:00"/>
    <n v="12031"/>
    <s v="WHCPQ"/>
    <s v="Campinas"/>
    <s v="SP"/>
    <n v="4032"/>
    <x v="34"/>
    <s v="Goiania"/>
    <s v="GO"/>
    <x v="1"/>
    <s v="GO"/>
    <n v="43.78"/>
    <n v="2"/>
    <n v="0.68500000000000005"/>
    <n v="6100231"/>
    <x v="1"/>
    <s v="Goiania"/>
    <s v="Convencional"/>
    <n v="10"/>
    <d v="2019-04-30T00:00:00"/>
    <x v="451"/>
    <x v="2"/>
    <d v="2019-05-10T00:00:00"/>
    <x v="0"/>
    <x v="1"/>
    <n v="0"/>
    <n v="1"/>
  </r>
  <r>
    <d v="2019-04-30T00:00:00"/>
    <n v="12032"/>
    <s v="WHPOA"/>
    <s v="Porto Alegre"/>
    <s v="RS"/>
    <n v="4044"/>
    <x v="48"/>
    <s v="Belo Horizonte"/>
    <s v="MG"/>
    <x v="2"/>
    <s v="MG"/>
    <n v="174.22"/>
    <n v="1"/>
    <n v="1.1200000000000001"/>
    <n v="6600879"/>
    <x v="2"/>
    <s v="Belo Horizonte"/>
    <s v="Convencional"/>
    <n v="11"/>
    <d v="2019-04-30T00:00:00"/>
    <x v="451"/>
    <x v="0"/>
    <d v="2019-05-11T00:00:00"/>
    <x v="0"/>
    <x v="0"/>
    <n v="1"/>
    <n v="1"/>
  </r>
  <r>
    <d v="2019-04-30T00:00:00"/>
    <n v="12033"/>
    <s v="WHVIT"/>
    <s v="Vitoria"/>
    <s v="ES"/>
    <n v="4045"/>
    <x v="49"/>
    <s v="Belo Horizonte"/>
    <s v="MG"/>
    <x v="2"/>
    <s v="MG"/>
    <n v="288.56"/>
    <n v="3"/>
    <n v="0.71699999999999997"/>
    <n v="6600879"/>
    <x v="2"/>
    <s v="Belo Horizonte"/>
    <s v="Convencional"/>
    <n v="1"/>
    <d v="2019-04-30T00:00:00"/>
    <x v="452"/>
    <x v="0"/>
    <d v="2019-05-01T00:00:00"/>
    <x v="1"/>
    <x v="0"/>
    <n v="0"/>
    <n v="1"/>
  </r>
  <r>
    <d v="2019-04-30T00:00:00"/>
    <n v="12034"/>
    <s v="WHSAO"/>
    <s v="Sao Paulo"/>
    <s v="SP"/>
    <n v="4064"/>
    <x v="53"/>
    <s v="Presidente Prudente"/>
    <s v="SP"/>
    <x v="2"/>
    <s v="SP"/>
    <n v="20.71"/>
    <n v="1"/>
    <n v="1.1200000000000001"/>
    <n v="6400835"/>
    <x v="3"/>
    <s v="Guarulhos"/>
    <s v="Convencional"/>
    <n v="9"/>
    <d v="2019-04-30T00:00:00"/>
    <x v="450"/>
    <x v="0"/>
    <d v="2019-05-09T00:00:00"/>
    <x v="0"/>
    <x v="0"/>
    <n v="1"/>
    <n v="1"/>
  </r>
  <r>
    <d v="2019-04-30T00:00:00"/>
    <n v="12035"/>
    <s v="WHBH"/>
    <s v="Belo Horizonte"/>
    <s v="MG"/>
    <n v="4064"/>
    <x v="53"/>
    <s v="Presidente Prudente"/>
    <s v="SP"/>
    <x v="2"/>
    <s v="SP"/>
    <n v="1287.1500000000001"/>
    <n v="2"/>
    <n v="11.935"/>
    <n v="6400835"/>
    <x v="3"/>
    <s v="Guarulhos"/>
    <s v="Convencional"/>
    <n v="5"/>
    <d v="2019-04-30T00:00:00"/>
    <x v="451"/>
    <x v="0"/>
    <d v="2019-05-05T00:00:00"/>
    <x v="0"/>
    <x v="0"/>
    <n v="1"/>
    <n v="1"/>
  </r>
  <r>
    <d v="2019-04-30T00:00:00"/>
    <n v="12036"/>
    <s v="WHBH"/>
    <s v="Belo Horizonte"/>
    <s v="MG"/>
    <n v="4064"/>
    <x v="53"/>
    <s v="Presidente Prudente"/>
    <s v="SP"/>
    <x v="2"/>
    <s v="SP"/>
    <n v="258.58"/>
    <n v="1"/>
    <n v="0.19400000000000001"/>
    <n v="6400835"/>
    <x v="3"/>
    <s v="Guarulhos"/>
    <s v="Convencional"/>
    <n v="6"/>
    <d v="2019-04-30T00:00:00"/>
    <x v="453"/>
    <x v="0"/>
    <d v="2019-05-06T00:00:00"/>
    <x v="0"/>
    <x v="0"/>
    <n v="1"/>
    <n v="1"/>
  </r>
  <r>
    <d v="2019-05-02T00:00:00"/>
    <n v="12037"/>
    <s v="WHSAO"/>
    <s v="Sao Paulo"/>
    <s v="SP"/>
    <n v="4128"/>
    <x v="116"/>
    <s v="Recife"/>
    <s v="PE"/>
    <x v="3"/>
    <s v="PE"/>
    <n v="46.51"/>
    <n v="1"/>
    <n v="3.3000000000000002E-2"/>
    <n v="6900304"/>
    <x v="5"/>
    <s v="Fortaleza"/>
    <s v="Convencional"/>
    <n v="4"/>
    <d v="2019-05-02T00:00:00"/>
    <x v="450"/>
    <x v="0"/>
    <d v="2019-05-06T00:00:00"/>
    <x v="0"/>
    <x v="0"/>
    <n v="1"/>
    <n v="1"/>
  </r>
  <r>
    <d v="2019-05-02T00:00:00"/>
    <n v="12038"/>
    <s v="WHRJ"/>
    <s v="Rio De Janeiro"/>
    <s v="RJ"/>
    <n v="4012"/>
    <x v="0"/>
    <s v="Sao Jose Dos Pinhais"/>
    <s v="PR"/>
    <x v="0"/>
    <s v="PR"/>
    <n v="1621.91"/>
    <n v="1"/>
    <n v="16.5"/>
    <n v="6500948"/>
    <x v="0"/>
    <s v="Porto Alegre"/>
    <s v="Convencional"/>
    <n v="8"/>
    <d v="2019-05-02T00:00:00"/>
    <x v="456"/>
    <x v="0"/>
    <d v="2019-05-10T00:00:00"/>
    <x v="0"/>
    <x v="0"/>
    <n v="1"/>
    <n v="1"/>
  </r>
  <r>
    <d v="2019-05-02T00:00:00"/>
    <n v="12039"/>
    <s v="WHBH"/>
    <s v="Belo Horizonte"/>
    <s v="MG"/>
    <n v="4012"/>
    <x v="0"/>
    <s v="Sao Jose Dos Pinhais"/>
    <s v="PR"/>
    <x v="0"/>
    <s v="PR"/>
    <n v="43.53"/>
    <n v="1"/>
    <n v="0.56399999999999995"/>
    <n v="6500948"/>
    <x v="0"/>
    <s v="Porto Alegre"/>
    <s v="Convencional"/>
    <n v="2"/>
    <d v="2019-05-02T00:00:00"/>
    <x v="460"/>
    <x v="0"/>
    <d v="2019-05-04T00:00:00"/>
    <x v="1"/>
    <x v="0"/>
    <n v="0"/>
    <n v="1"/>
  </r>
  <r>
    <d v="2019-05-03T00:00:00"/>
    <n v="12040"/>
    <s v="WHRJ"/>
    <s v="Rio De Janeiro"/>
    <s v="RJ"/>
    <n v="4143"/>
    <x v="131"/>
    <s v="Manaus"/>
    <s v="AM"/>
    <x v="4"/>
    <s v="AM"/>
    <n v="273.52999999999997"/>
    <n v="4"/>
    <n v="1.2350000000000001"/>
    <n v="6700091"/>
    <x v="6"/>
    <s v="Manaus"/>
    <s v="Convencional"/>
    <n v="6"/>
    <d v="2019-05-03T00:00:00"/>
    <x v="456"/>
    <x v="0"/>
    <d v="2019-05-09T00:00:00"/>
    <x v="0"/>
    <x v="0"/>
    <n v="1"/>
    <n v="1"/>
  </r>
  <r>
    <d v="2019-05-03T00:00:00"/>
    <n v="12041"/>
    <s v="WHSAO"/>
    <s v="Sao Paulo"/>
    <s v="SP"/>
    <n v="4151"/>
    <x v="139"/>
    <s v="Manaus"/>
    <s v="AM"/>
    <x v="4"/>
    <s v="AM"/>
    <n v="43.53"/>
    <n v="1"/>
    <n v="1.1200000000000001"/>
    <n v="6700091"/>
    <x v="6"/>
    <s v="Manaus"/>
    <s v="Convencional"/>
    <n v="4"/>
    <d v="2019-05-03T00:00:00"/>
    <x v="459"/>
    <x v="0"/>
    <d v="2019-05-07T00:00:00"/>
    <x v="1"/>
    <x v="0"/>
    <n v="0"/>
    <n v="1"/>
  </r>
  <r>
    <d v="2019-05-03T00:00:00"/>
    <n v="12042"/>
    <s v="WHBH"/>
    <s v="Belo Horizonte"/>
    <s v="MG"/>
    <n v="4012"/>
    <x v="0"/>
    <s v="Sao Jose Dos Pinhais"/>
    <s v="PR"/>
    <x v="0"/>
    <s v="PR"/>
    <n v="257.10000000000002"/>
    <n v="2"/>
    <n v="0.64200000000000002"/>
    <n v="6500948"/>
    <x v="0"/>
    <s v="Porto Alegre"/>
    <s v="Convencional"/>
    <n v="7"/>
    <d v="2019-05-03T00:00:00"/>
    <x v="461"/>
    <x v="0"/>
    <d v="2019-05-10T00:00:00"/>
    <x v="1"/>
    <x v="0"/>
    <n v="0"/>
    <n v="1"/>
  </r>
  <r>
    <d v="2019-05-04T00:00:00"/>
    <n v="12043"/>
    <s v="WHSAO"/>
    <s v="Sao Paulo"/>
    <s v="SP"/>
    <n v="4132"/>
    <x v="120"/>
    <s v="Santos"/>
    <s v="SP"/>
    <x v="2"/>
    <s v="SP"/>
    <n v="53.54"/>
    <n v="1"/>
    <n v="1.1200000000000001"/>
    <n v="6400835"/>
    <x v="3"/>
    <s v="Guarulhos"/>
    <s v="Convencional"/>
    <n v="12"/>
    <d v="2019-05-04T00:00:00"/>
    <x v="457"/>
    <x v="0"/>
    <d v="2019-05-16T00:00:00"/>
    <x v="0"/>
    <x v="0"/>
    <n v="1"/>
    <n v="1"/>
  </r>
  <r>
    <d v="2019-05-04T00:00:00"/>
    <n v="12044"/>
    <s v="WHPOA"/>
    <s v="Porto Alegre"/>
    <s v="RS"/>
    <n v="4012"/>
    <x v="0"/>
    <s v="Sao Jose Dos Pinhais"/>
    <s v="PR"/>
    <x v="0"/>
    <s v="PR"/>
    <n v="729.45"/>
    <n v="2"/>
    <n v="0.83599999999999997"/>
    <n v="6500948"/>
    <x v="0"/>
    <s v="Porto Alegre"/>
    <s v="Convencional"/>
    <n v="3"/>
    <d v="2019-05-04T00:00:00"/>
    <x v="461"/>
    <x v="0"/>
    <d v="2019-05-07T00:00:00"/>
    <x v="1"/>
    <x v="0"/>
    <n v="0"/>
    <n v="1"/>
  </r>
  <r>
    <d v="2019-05-04T00:00:00"/>
    <n v="12045"/>
    <s v="WHSAO"/>
    <s v="Sao Paulo"/>
    <s v="SP"/>
    <n v="4022"/>
    <x v="19"/>
    <s v="Maringa"/>
    <s v="PR"/>
    <x v="0"/>
    <s v="PR"/>
    <n v="1612.55"/>
    <n v="1"/>
    <n v="16.5"/>
    <n v="6500948"/>
    <x v="0"/>
    <s v="Porto Alegre"/>
    <s v="Convencional"/>
    <n v="2"/>
    <d v="2019-05-04T00:00:00"/>
    <x v="460"/>
    <x v="0"/>
    <d v="2019-05-06T00:00:00"/>
    <x v="1"/>
    <x v="0"/>
    <n v="0"/>
    <n v="1"/>
  </r>
  <r>
    <d v="2019-05-07T00:00:00"/>
    <n v="12046"/>
    <s v="WHBH"/>
    <s v="Belo Horizonte"/>
    <s v="MG"/>
    <n v="4068"/>
    <x v="4"/>
    <s v="Campo Grande"/>
    <s v="MS"/>
    <x v="1"/>
    <s v="MS"/>
    <n v="201.14"/>
    <n v="1"/>
    <n v="0.23100000000000001"/>
    <n v="6100231"/>
    <x v="1"/>
    <s v="Goiania"/>
    <s v="Convencional"/>
    <n v="10"/>
    <d v="2019-05-07T00:00:00"/>
    <x v="462"/>
    <x v="0"/>
    <d v="2019-05-17T00:00:00"/>
    <x v="0"/>
    <x v="0"/>
    <n v="1"/>
    <n v="1"/>
  </r>
  <r>
    <d v="2019-05-07T00:00:00"/>
    <n v="12047"/>
    <s v="WHRJ"/>
    <s v="Rio De Janeiro"/>
    <s v="RJ"/>
    <n v="4068"/>
    <x v="4"/>
    <s v="Campo Grande"/>
    <s v="MS"/>
    <x v="1"/>
    <s v="MS"/>
    <n v="418.11"/>
    <n v="1"/>
    <n v="0.28999999999999998"/>
    <n v="6100231"/>
    <x v="1"/>
    <s v="Goiania"/>
    <s v="Convencional"/>
    <n v="2"/>
    <d v="2019-05-07T00:00:00"/>
    <x v="463"/>
    <x v="0"/>
    <d v="2019-05-09T00:00:00"/>
    <x v="1"/>
    <x v="0"/>
    <n v="0"/>
    <n v="1"/>
  </r>
  <r>
    <d v="2019-05-07T00:00:00"/>
    <n v="12048"/>
    <s v="WHCPQ"/>
    <s v="Campinas"/>
    <s v="SP"/>
    <n v="4069"/>
    <x v="57"/>
    <s v="Brasilia"/>
    <s v="DF"/>
    <x v="1"/>
    <s v="DF"/>
    <n v="9.65"/>
    <n v="1"/>
    <n v="1.7000000000000001E-2"/>
    <n v="6100231"/>
    <x v="1"/>
    <s v="Goiania"/>
    <s v="Convencional"/>
    <n v="12"/>
    <d v="2019-05-07T00:00:00"/>
    <x v="461"/>
    <x v="0"/>
    <d v="2019-05-19T00:00:00"/>
    <x v="0"/>
    <x v="0"/>
    <n v="1"/>
    <n v="1"/>
  </r>
  <r>
    <d v="2019-05-07T00:00:00"/>
    <n v="12049"/>
    <s v="WHBH"/>
    <s v="Belo Horizonte"/>
    <s v="MG"/>
    <n v="4022"/>
    <x v="19"/>
    <s v="Maringa"/>
    <s v="PR"/>
    <x v="0"/>
    <s v="PR"/>
    <n v="418.11"/>
    <n v="1"/>
    <n v="0.28999999999999998"/>
    <n v="6500948"/>
    <x v="0"/>
    <s v="Porto Alegre"/>
    <s v="Convencional"/>
    <n v="2"/>
    <d v="2019-05-07T00:00:00"/>
    <x v="461"/>
    <x v="0"/>
    <d v="2019-05-09T00:00:00"/>
    <x v="1"/>
    <x v="0"/>
    <n v="0"/>
    <n v="1"/>
  </r>
  <r>
    <d v="2019-05-09T00:00:00"/>
    <n v="12050"/>
    <s v="WHSJC"/>
    <s v="Sao Jose dos Campos"/>
    <s v="SP"/>
    <n v="4156"/>
    <x v="144"/>
    <s v="Rio Grande do Sul"/>
    <s v="RS"/>
    <x v="0"/>
    <s v="RS"/>
    <n v="73.88"/>
    <n v="1"/>
    <n v="0.11"/>
    <n v="6500948"/>
    <x v="0"/>
    <s v="Porto Alegre"/>
    <s v="Convencional"/>
    <n v="5"/>
    <d v="2019-05-09T00:00:00"/>
    <x v="463"/>
    <x v="0"/>
    <d v="2019-05-14T00:00:00"/>
    <x v="1"/>
    <x v="0"/>
    <n v="0"/>
    <n v="1"/>
  </r>
  <r>
    <d v="2019-05-09T00:00:00"/>
    <n v="12051"/>
    <s v="WHBH"/>
    <s v="Belo Horizonte"/>
    <s v="MG"/>
    <n v="4157"/>
    <x v="145"/>
    <s v="Belo Horizonte"/>
    <s v="MG"/>
    <x v="2"/>
    <s v="MG"/>
    <n v="43.78"/>
    <n v="1"/>
    <n v="0.56399999999999995"/>
    <n v="6600879"/>
    <x v="2"/>
    <s v="Belo Horizonte"/>
    <s v="Convencional"/>
    <n v="8"/>
    <d v="2019-05-09T00:00:00"/>
    <x v="464"/>
    <x v="0"/>
    <d v="2019-05-17T00:00:00"/>
    <x v="1"/>
    <x v="0"/>
    <n v="0"/>
    <n v="1"/>
  </r>
  <r>
    <d v="2019-05-09T00:00:00"/>
    <n v="12052"/>
    <s v="WHCPQ"/>
    <s v="Campinas"/>
    <s v="SP"/>
    <n v="4162"/>
    <x v="150"/>
    <s v="Recife"/>
    <s v="PE"/>
    <x v="3"/>
    <s v="PE"/>
    <n v="16.48"/>
    <n v="1"/>
    <n v="1.0999999999999999E-2"/>
    <n v="6900304"/>
    <x v="5"/>
    <s v="Fortaleza"/>
    <s v="Convencional"/>
    <n v="7"/>
    <d v="2019-05-09T00:00:00"/>
    <x v="462"/>
    <x v="0"/>
    <d v="2019-05-16T00:00:00"/>
    <x v="0"/>
    <x v="0"/>
    <n v="1"/>
    <n v="1"/>
  </r>
  <r>
    <d v="2019-05-09T00:00:00"/>
    <n v="12053"/>
    <s v="WHBH"/>
    <s v="Belo Horizonte"/>
    <s v="MG"/>
    <n v="4040"/>
    <x v="42"/>
    <s v="Brasilia"/>
    <s v="DF"/>
    <x v="1"/>
    <s v="DF"/>
    <n v="22.95"/>
    <n v="1"/>
    <n v="0.184"/>
    <n v="6100231"/>
    <x v="1"/>
    <s v="Goiania"/>
    <s v="Convencional"/>
    <n v="10"/>
    <d v="2019-05-09T00:00:00"/>
    <x v="464"/>
    <x v="0"/>
    <d v="2019-05-19T00:00:00"/>
    <x v="0"/>
    <x v="0"/>
    <n v="1"/>
    <n v="1"/>
  </r>
  <r>
    <d v="2019-05-09T00:00:00"/>
    <n v="12054"/>
    <s v="WHVIT"/>
    <s v="Vitoria"/>
    <s v="ES"/>
    <n v="4055"/>
    <x v="45"/>
    <s v="Brasilia"/>
    <s v="DF"/>
    <x v="1"/>
    <s v="DF"/>
    <n v="715.72"/>
    <n v="1"/>
    <n v="1.155"/>
    <n v="6100231"/>
    <x v="1"/>
    <s v="Goiania"/>
    <s v="Convencional"/>
    <n v="12"/>
    <d v="2019-05-09T00:00:00"/>
    <x v="465"/>
    <x v="0"/>
    <d v="2019-05-21T00:00:00"/>
    <x v="0"/>
    <x v="0"/>
    <n v="1"/>
    <n v="1"/>
  </r>
  <r>
    <d v="2019-05-09T00:00:00"/>
    <n v="12055"/>
    <s v="WHSAO"/>
    <s v="Sao Paulo"/>
    <s v="SP"/>
    <n v="4027"/>
    <x v="24"/>
    <s v="Novo Hamburgo"/>
    <s v="RS"/>
    <x v="0"/>
    <s v="RS"/>
    <n v="715.72"/>
    <n v="1"/>
    <n v="1.155"/>
    <n v="6500948"/>
    <x v="0"/>
    <s v="Porto Alegre"/>
    <s v="Convencional"/>
    <n v="11"/>
    <d v="2019-05-09T00:00:00"/>
    <x v="459"/>
    <x v="0"/>
    <d v="2019-05-20T00:00:00"/>
    <x v="0"/>
    <x v="0"/>
    <n v="1"/>
    <n v="1"/>
  </r>
  <r>
    <d v="2019-05-09T00:00:00"/>
    <n v="12056"/>
    <s v="WHSAO"/>
    <s v="Sao Paulo"/>
    <s v="SP"/>
    <n v="4056"/>
    <x v="44"/>
    <s v="Goiania"/>
    <s v="GO"/>
    <x v="1"/>
    <s v="GO"/>
    <n v="95.41"/>
    <n v="1"/>
    <n v="0.22"/>
    <n v="6100231"/>
    <x v="1"/>
    <s v="Goiania"/>
    <s v="Convencional"/>
    <n v="4"/>
    <d v="2019-05-09T00:00:00"/>
    <x v="461"/>
    <x v="0"/>
    <d v="2019-05-13T00:00:00"/>
    <x v="0"/>
    <x v="0"/>
    <n v="1"/>
    <n v="1"/>
  </r>
  <r>
    <d v="2019-05-09T00:00:00"/>
    <n v="12057"/>
    <s v="WHRJ"/>
    <s v="Rio De Janeiro"/>
    <s v="RJ"/>
    <n v="4040"/>
    <x v="42"/>
    <s v="Brasilia"/>
    <s v="DF"/>
    <x v="1"/>
    <s v="DF"/>
    <n v="3859.6"/>
    <n v="13"/>
    <n v="22.539000000000001"/>
    <n v="6100231"/>
    <x v="1"/>
    <s v="Goiania"/>
    <s v="Convencional"/>
    <n v="8"/>
    <d v="2019-05-09T00:00:00"/>
    <x v="465"/>
    <x v="0"/>
    <d v="2019-05-17T00:00:00"/>
    <x v="0"/>
    <x v="0"/>
    <n v="1"/>
    <n v="1"/>
  </r>
  <r>
    <d v="2019-05-09T00:00:00"/>
    <n v="12058"/>
    <s v="WHBH"/>
    <s v="Belo Horizonte"/>
    <s v="MG"/>
    <n v="4055"/>
    <x v="45"/>
    <s v="Brasilia"/>
    <s v="DF"/>
    <x v="1"/>
    <s v="DF"/>
    <n v="267.39"/>
    <n v="1"/>
    <n v="1.1200000000000001"/>
    <n v="6100231"/>
    <x v="1"/>
    <s v="Goiania"/>
    <s v="Convencional"/>
    <n v="12"/>
    <d v="2019-05-09T00:00:00"/>
    <x v="466"/>
    <x v="0"/>
    <d v="2019-05-21T00:00:00"/>
    <x v="0"/>
    <x v="0"/>
    <n v="1"/>
    <n v="1"/>
  </r>
  <r>
    <d v="2019-05-09T00:00:00"/>
    <n v="12059"/>
    <s v="WHCPQ"/>
    <s v="Campinas"/>
    <s v="SP"/>
    <n v="4027"/>
    <x v="24"/>
    <s v="Novo Hamburgo"/>
    <s v="RS"/>
    <x v="0"/>
    <s v="RS"/>
    <n v="679.99"/>
    <n v="3"/>
    <n v="16.920999999999999"/>
    <n v="6500948"/>
    <x v="0"/>
    <s v="Porto Alegre"/>
    <s v="Convencional"/>
    <n v="2"/>
    <d v="2019-05-09T00:00:00"/>
    <x v="466"/>
    <x v="0"/>
    <d v="2019-05-11T00:00:00"/>
    <x v="1"/>
    <x v="0"/>
    <n v="0"/>
    <n v="1"/>
  </r>
  <r>
    <d v="2019-05-09T00:00:00"/>
    <n v="12060"/>
    <s v="WHCPQ"/>
    <s v="Campinas"/>
    <s v="SP"/>
    <n v="4056"/>
    <x v="44"/>
    <s v="Goiania"/>
    <s v="GO"/>
    <x v="1"/>
    <s v="GO"/>
    <n v="767.3"/>
    <n v="4"/>
    <n v="1.397"/>
    <n v="6100231"/>
    <x v="1"/>
    <s v="Goiania"/>
    <s v="Convencional"/>
    <n v="8"/>
    <d v="2019-05-09T00:00:00"/>
    <x v="460"/>
    <x v="0"/>
    <d v="2019-05-17T00:00:00"/>
    <x v="0"/>
    <x v="0"/>
    <n v="1"/>
    <n v="1"/>
  </r>
  <r>
    <d v="2019-05-09T00:00:00"/>
    <n v="12061"/>
    <s v="WHBH"/>
    <s v="Belo Horizonte"/>
    <s v="MG"/>
    <n v="4056"/>
    <x v="44"/>
    <s v="Goiania"/>
    <s v="GO"/>
    <x v="1"/>
    <s v="GO"/>
    <n v="996.25"/>
    <n v="5"/>
    <n v="4.95"/>
    <n v="6100231"/>
    <x v="1"/>
    <s v="Goiania"/>
    <s v="Convencional"/>
    <n v="9"/>
    <d v="2019-05-09T00:00:00"/>
    <x v="459"/>
    <x v="0"/>
    <d v="2019-05-18T00:00:00"/>
    <x v="0"/>
    <x v="0"/>
    <n v="1"/>
    <n v="1"/>
  </r>
  <r>
    <d v="2019-05-10T00:00:00"/>
    <n v="12062"/>
    <s v="WHSAO"/>
    <s v="Sao Paulo"/>
    <s v="SP"/>
    <n v="4128"/>
    <x v="116"/>
    <s v="Recife"/>
    <s v="PE"/>
    <x v="3"/>
    <s v="PE"/>
    <n v="199.26"/>
    <n v="1"/>
    <n v="0.99"/>
    <n v="6900304"/>
    <x v="5"/>
    <s v="Fortaleza"/>
    <s v="Convencional"/>
    <n v="1"/>
    <d v="2019-05-10T00:00:00"/>
    <x v="466"/>
    <x v="0"/>
    <d v="2019-05-11T00:00:00"/>
    <x v="1"/>
    <x v="0"/>
    <n v="0"/>
    <n v="1"/>
  </r>
  <r>
    <d v="2019-05-10T00:00:00"/>
    <n v="12063"/>
    <s v="WHVIT"/>
    <s v="Vitoria"/>
    <s v="ES"/>
    <n v="4023"/>
    <x v="20"/>
    <s v="Sao Jose"/>
    <s v="SC"/>
    <x v="0"/>
    <s v="SC"/>
    <n v="149.86000000000001"/>
    <n v="1"/>
    <n v="4.4000000000000004"/>
    <n v="6500948"/>
    <x v="0"/>
    <s v="Porto Alegre"/>
    <s v="Convencional"/>
    <n v="3"/>
    <d v="2019-05-10T00:00:00"/>
    <x v="460"/>
    <x v="0"/>
    <d v="2019-05-13T00:00:00"/>
    <x v="0"/>
    <x v="0"/>
    <n v="1"/>
    <n v="1"/>
  </r>
  <r>
    <d v="2019-05-11T00:00:00"/>
    <n v="12064"/>
    <s v="WHVIT"/>
    <s v="Vitoria"/>
    <s v="ES"/>
    <n v="4159"/>
    <x v="147"/>
    <s v="Manaus"/>
    <s v="AM"/>
    <x v="4"/>
    <s v="AM"/>
    <n v="990.76"/>
    <n v="5"/>
    <n v="4.95"/>
    <n v="6700091"/>
    <x v="6"/>
    <s v="Manaus"/>
    <s v="Convencional"/>
    <n v="3"/>
    <d v="2019-05-11T00:00:00"/>
    <x v="467"/>
    <x v="0"/>
    <d v="2019-05-14T00:00:00"/>
    <x v="1"/>
    <x v="0"/>
    <n v="0"/>
    <n v="1"/>
  </r>
  <r>
    <d v="2019-05-11T00:00:00"/>
    <n v="12065"/>
    <s v="WHVIT"/>
    <s v="Vitoria"/>
    <s v="ES"/>
    <n v="4155"/>
    <x v="143"/>
    <s v="Sao Paulo"/>
    <s v="SP"/>
    <x v="2"/>
    <s v="SP"/>
    <n v="549.83000000000004"/>
    <n v="4"/>
    <n v="3.036"/>
    <n v="6400835"/>
    <x v="3"/>
    <s v="Guarulhos"/>
    <s v="Convencional"/>
    <n v="9"/>
    <d v="2019-05-11T00:00:00"/>
    <x v="465"/>
    <x v="0"/>
    <d v="2019-05-20T00:00:00"/>
    <x v="0"/>
    <x v="0"/>
    <n v="1"/>
    <n v="1"/>
  </r>
  <r>
    <d v="2019-05-11T00:00:00"/>
    <n v="12066"/>
    <s v="WHPOA"/>
    <s v="Porto Alegre"/>
    <s v="RS"/>
    <n v="4128"/>
    <x v="116"/>
    <s v="Recife"/>
    <s v="PE"/>
    <x v="3"/>
    <s v="PE"/>
    <n v="790.96"/>
    <n v="1"/>
    <n v="1.1200000000000001"/>
    <n v="6900304"/>
    <x v="5"/>
    <s v="Fortaleza"/>
    <s v="Convencional"/>
    <n v="3"/>
    <d v="2019-05-11T00:00:00"/>
    <x v="467"/>
    <x v="0"/>
    <d v="2019-05-14T00:00:00"/>
    <x v="1"/>
    <x v="0"/>
    <n v="0"/>
    <n v="1"/>
  </r>
  <r>
    <d v="2019-05-11T00:00:00"/>
    <n v="12067"/>
    <s v="WHPOA"/>
    <s v="Porto Alegre"/>
    <s v="RS"/>
    <n v="4023"/>
    <x v="20"/>
    <s v="Sao Jose"/>
    <s v="SC"/>
    <x v="0"/>
    <s v="SC"/>
    <n v="1992.5"/>
    <n v="1"/>
    <n v="9.9"/>
    <n v="6500948"/>
    <x v="0"/>
    <s v="Porto Alegre"/>
    <s v="Convencional"/>
    <n v="6"/>
    <d v="2019-05-11T00:00:00"/>
    <x v="466"/>
    <x v="0"/>
    <d v="2019-05-17T00:00:00"/>
    <x v="0"/>
    <x v="0"/>
    <n v="1"/>
    <n v="1"/>
  </r>
  <r>
    <d v="2019-05-11T00:00:00"/>
    <n v="12068"/>
    <s v="WHCPQ"/>
    <s v="Campinas"/>
    <s v="SP"/>
    <n v="4022"/>
    <x v="19"/>
    <s v="Maringa"/>
    <s v="PR"/>
    <x v="0"/>
    <s v="PR"/>
    <n v="1382.58"/>
    <n v="5"/>
    <n v="23.37"/>
    <n v="6500948"/>
    <x v="0"/>
    <s v="Porto Alegre"/>
    <s v="Convencional"/>
    <n v="4"/>
    <d v="2019-05-11T00:00:00"/>
    <x v="468"/>
    <x v="0"/>
    <d v="2019-05-15T00:00:00"/>
    <x v="1"/>
    <x v="0"/>
    <n v="0"/>
    <n v="1"/>
  </r>
  <r>
    <d v="2019-05-11T00:00:00"/>
    <n v="12069"/>
    <s v="WHRJ"/>
    <s v="Rio De Janeiro"/>
    <s v="RJ"/>
    <n v="4100"/>
    <x v="88"/>
    <s v="Santos"/>
    <s v="SP"/>
    <x v="2"/>
    <s v="SP"/>
    <n v="3482.23"/>
    <n v="12"/>
    <n v="4.18"/>
    <n v="6400835"/>
    <x v="3"/>
    <s v="Guarulhos"/>
    <s v="Convencional"/>
    <n v="10"/>
    <d v="2019-05-11T00:00:00"/>
    <x v="468"/>
    <x v="0"/>
    <d v="2019-05-21T00:00:00"/>
    <x v="0"/>
    <x v="0"/>
    <n v="1"/>
    <n v="1"/>
  </r>
  <r>
    <d v="2019-05-11T00:00:00"/>
    <n v="12070"/>
    <s v="WHSJC"/>
    <s v="Sao Jose dos Campos"/>
    <s v="SP"/>
    <n v="4022"/>
    <x v="19"/>
    <s v="Maringa"/>
    <s v="PR"/>
    <x v="0"/>
    <s v="PR"/>
    <n v="3218.77"/>
    <n v="8"/>
    <n v="19.396000000000001"/>
    <n v="6500948"/>
    <x v="0"/>
    <s v="Porto Alegre"/>
    <s v="Convencional"/>
    <n v="11"/>
    <d v="2019-05-11T00:00:00"/>
    <x v="462"/>
    <x v="0"/>
    <d v="2019-05-22T00:00:00"/>
    <x v="0"/>
    <x v="0"/>
    <n v="1"/>
    <n v="1"/>
  </r>
  <r>
    <d v="2019-05-14T00:00:00"/>
    <n v="12071"/>
    <s v="WHPOA"/>
    <s v="Porto Alegre"/>
    <s v="RS"/>
    <n v="4163"/>
    <x v="151"/>
    <s v="Manaus"/>
    <s v="AM"/>
    <x v="4"/>
    <s v="AM"/>
    <n v="304.73"/>
    <n v="5"/>
    <n v="10.423999999999999"/>
    <n v="6700091"/>
    <x v="6"/>
    <s v="Manaus"/>
    <s v="Convencional"/>
    <n v="8"/>
    <d v="2019-05-14T00:00:00"/>
    <x v="466"/>
    <x v="0"/>
    <d v="2019-05-22T00:00:00"/>
    <x v="0"/>
    <x v="0"/>
    <n v="1"/>
    <n v="1"/>
  </r>
  <r>
    <d v="2019-05-14T00:00:00"/>
    <n v="12072"/>
    <s v="WHCPQ"/>
    <s v="Campinas"/>
    <s v="SP"/>
    <n v="4033"/>
    <x v="35"/>
    <s v="Goiania"/>
    <s v="GO"/>
    <x v="1"/>
    <s v="GO"/>
    <n v="1479.1"/>
    <n v="1"/>
    <n v="1.1200000000000001"/>
    <n v="6100231"/>
    <x v="1"/>
    <s v="Goiania"/>
    <s v="Convencional"/>
    <n v="7"/>
    <d v="2019-05-14T00:00:00"/>
    <x v="466"/>
    <x v="2"/>
    <d v="2019-05-21T00:00:00"/>
    <x v="0"/>
    <x v="1"/>
    <n v="0"/>
    <n v="1"/>
  </r>
  <r>
    <d v="2019-05-13T00:00:00"/>
    <n v="12073"/>
    <s v="WHVIT"/>
    <s v="Vitoria"/>
    <s v="ES"/>
    <n v="4142"/>
    <x v="130"/>
    <s v="Manaus"/>
    <s v="AM"/>
    <x v="4"/>
    <s v="AM"/>
    <n v="1525"/>
    <n v="3"/>
    <n v="6.7119999999999997"/>
    <n v="6700091"/>
    <x v="6"/>
    <s v="Manaus"/>
    <s v="Convencional"/>
    <n v="6"/>
    <d v="2019-05-14T00:00:00"/>
    <x v="467"/>
    <x v="0"/>
    <d v="2019-05-20T00:00:00"/>
    <x v="0"/>
    <x v="0"/>
    <n v="1"/>
    <n v="1"/>
  </r>
  <r>
    <d v="2019-05-13T00:00:00"/>
    <n v="12074"/>
    <s v="WHPOA"/>
    <s v="Porto Alegre"/>
    <s v="RS"/>
    <n v="4068"/>
    <x v="4"/>
    <s v="Campo Grande"/>
    <s v="MS"/>
    <x v="1"/>
    <s v="MS"/>
    <n v="2357.4"/>
    <n v="3"/>
    <n v="9.68"/>
    <n v="6100231"/>
    <x v="1"/>
    <s v="Goiania"/>
    <s v="Convencional"/>
    <n v="7"/>
    <d v="2019-05-14T00:00:00"/>
    <x v="469"/>
    <x v="0"/>
    <d v="2019-05-21T00:00:00"/>
    <x v="0"/>
    <x v="0"/>
    <n v="1"/>
    <n v="1"/>
  </r>
  <r>
    <d v="2019-05-14T00:00:00"/>
    <n v="12075"/>
    <s v="WHSAO"/>
    <s v="Sao Paulo"/>
    <s v="SP"/>
    <n v="4023"/>
    <x v="20"/>
    <s v="Sao Jose"/>
    <s v="SC"/>
    <x v="0"/>
    <s v="SC"/>
    <n v="1047.21"/>
    <n v="4"/>
    <n v="6.7130000000000001"/>
    <n v="6500948"/>
    <x v="0"/>
    <s v="Porto Alegre"/>
    <s v="Convencional"/>
    <n v="5"/>
    <d v="2019-05-15T00:00:00"/>
    <x v="470"/>
    <x v="0"/>
    <d v="2019-05-20T00:00:00"/>
    <x v="1"/>
    <x v="0"/>
    <n v="0"/>
    <n v="1"/>
  </r>
  <r>
    <d v="2019-05-15T00:00:00"/>
    <n v="12076"/>
    <s v="WHBH"/>
    <s v="Belo Horizonte"/>
    <s v="MG"/>
    <n v="4164"/>
    <x v="152"/>
    <s v="Rio Grande do Sul"/>
    <s v="RS"/>
    <x v="0"/>
    <s v="RS"/>
    <n v="2637.02"/>
    <n v="1"/>
    <n v="1.1200000000000001"/>
    <n v="6500948"/>
    <x v="0"/>
    <s v="Porto Alegre"/>
    <s v="Convencional"/>
    <n v="4"/>
    <d v="2019-05-16T00:00:00"/>
    <x v="468"/>
    <x v="0"/>
    <d v="2019-05-20T00:00:00"/>
    <x v="0"/>
    <x v="0"/>
    <n v="1"/>
    <n v="1"/>
  </r>
  <r>
    <d v="2019-05-15T00:00:00"/>
    <n v="12077"/>
    <s v="WHPOA"/>
    <s v="Porto Alegre"/>
    <s v="RS"/>
    <n v="4136"/>
    <x v="124"/>
    <s v="Belo Horizonte"/>
    <s v="MG"/>
    <x v="2"/>
    <s v="MG"/>
    <n v="1751.23"/>
    <n v="4"/>
    <n v="11.842000000000001"/>
    <n v="6600879"/>
    <x v="2"/>
    <s v="Belo Horizonte"/>
    <s v="Convencional"/>
    <n v="4"/>
    <d v="2019-05-16T00:00:00"/>
    <x v="464"/>
    <x v="0"/>
    <d v="2019-05-20T00:00:00"/>
    <x v="0"/>
    <x v="0"/>
    <n v="1"/>
    <n v="1"/>
  </r>
  <r>
    <d v="2019-05-15T00:00:00"/>
    <n v="12078"/>
    <s v="WHSAO"/>
    <s v="Sao Paulo"/>
    <s v="SP"/>
    <n v="4127"/>
    <x v="115"/>
    <s v="Rio De Janeiro"/>
    <s v="RJ"/>
    <x v="2"/>
    <s v="RJ"/>
    <n v="428.31"/>
    <n v="1"/>
    <n v="0.51700000000000002"/>
    <n v="6140092"/>
    <x v="4"/>
    <s v="Rio de Janeiro"/>
    <s v="Convencional"/>
    <n v="6"/>
    <d v="2019-05-16T00:00:00"/>
    <x v="464"/>
    <x v="2"/>
    <d v="2019-05-22T00:00:00"/>
    <x v="0"/>
    <x v="1"/>
    <n v="0"/>
    <n v="1"/>
  </r>
  <r>
    <d v="2019-05-15T00:00:00"/>
    <n v="12079"/>
    <s v="WHSJC"/>
    <s v="Sao Jose dos Campos"/>
    <s v="SP"/>
    <n v="4127"/>
    <x v="115"/>
    <s v="Rio De Janeiro"/>
    <s v="RJ"/>
    <x v="2"/>
    <s v="RJ"/>
    <n v="727.14"/>
    <n v="1"/>
    <n v="0.96"/>
    <n v="6140092"/>
    <x v="4"/>
    <s v="Rio de Janeiro"/>
    <s v="Convencional"/>
    <n v="6"/>
    <d v="2019-05-16T00:00:00"/>
    <x v="469"/>
    <x v="0"/>
    <d v="2019-05-22T00:00:00"/>
    <x v="0"/>
    <x v="0"/>
    <n v="1"/>
    <n v="1"/>
  </r>
  <r>
    <d v="2019-05-15T00:00:00"/>
    <n v="12080"/>
    <s v="WHPOA"/>
    <s v="Porto Alegre"/>
    <s v="RS"/>
    <n v="4032"/>
    <x v="34"/>
    <s v="Goiania"/>
    <s v="GO"/>
    <x v="1"/>
    <s v="GO"/>
    <n v="19994.919999999998"/>
    <n v="22"/>
    <n v="106.384"/>
    <n v="6100231"/>
    <x v="1"/>
    <s v="Goiania"/>
    <s v="Convencional"/>
    <n v="7"/>
    <d v="2019-05-16T00:00:00"/>
    <x v="469"/>
    <x v="0"/>
    <d v="2019-05-23T00:00:00"/>
    <x v="0"/>
    <x v="0"/>
    <n v="1"/>
    <n v="1"/>
  </r>
  <r>
    <d v="2019-05-16T00:00:00"/>
    <n v="12081"/>
    <s v="WHSJC"/>
    <s v="Sao Jose dos Campos"/>
    <s v="SP"/>
    <n v="4128"/>
    <x v="116"/>
    <s v="Recife"/>
    <s v="PE"/>
    <x v="3"/>
    <s v="PE"/>
    <n v="2070.46"/>
    <n v="1"/>
    <n v="1.1200000000000001"/>
    <n v="6900304"/>
    <x v="5"/>
    <s v="Fortaleza"/>
    <s v="Convencional"/>
    <n v="8"/>
    <d v="2019-05-17T00:00:00"/>
    <x v="471"/>
    <x v="0"/>
    <d v="2019-05-25T00:00:00"/>
    <x v="0"/>
    <x v="0"/>
    <n v="1"/>
    <n v="1"/>
  </r>
  <r>
    <d v="2019-05-16T00:00:00"/>
    <n v="12082"/>
    <s v="WHCPQ"/>
    <s v="Campinas"/>
    <s v="SP"/>
    <n v="4022"/>
    <x v="19"/>
    <s v="Maringa"/>
    <s v="PR"/>
    <x v="0"/>
    <s v="PR"/>
    <n v="3116.04"/>
    <n v="5"/>
    <n v="26.734000000000002"/>
    <n v="6500948"/>
    <x v="0"/>
    <s v="Porto Alegre"/>
    <s v="Convencional"/>
    <n v="7"/>
    <d v="2019-05-17T00:00:00"/>
    <x v="472"/>
    <x v="0"/>
    <d v="2019-05-24T00:00:00"/>
    <x v="0"/>
    <x v="0"/>
    <n v="1"/>
    <n v="1"/>
  </r>
  <r>
    <d v="2019-05-16T00:00:00"/>
    <n v="12083"/>
    <s v="WHPOA"/>
    <s v="Porto Alegre"/>
    <s v="RS"/>
    <n v="4119"/>
    <x v="107"/>
    <s v="Recife"/>
    <s v="PE"/>
    <x v="3"/>
    <s v="PE"/>
    <n v="260.94"/>
    <n v="1"/>
    <n v="10.78"/>
    <n v="6900304"/>
    <x v="5"/>
    <s v="Fortaleza"/>
    <s v="Convencional"/>
    <n v="5"/>
    <d v="2019-05-17T00:00:00"/>
    <x v="464"/>
    <x v="0"/>
    <d v="2019-05-22T00:00:00"/>
    <x v="0"/>
    <x v="0"/>
    <n v="1"/>
    <n v="1"/>
  </r>
  <r>
    <d v="2019-05-16T00:00:00"/>
    <n v="12084"/>
    <s v="WHRJ"/>
    <s v="Rio De Janeiro"/>
    <s v="RJ"/>
    <n v="4119"/>
    <x v="107"/>
    <s v="Recife"/>
    <s v="PE"/>
    <x v="3"/>
    <s v="PE"/>
    <n v="6627.04"/>
    <n v="17"/>
    <n v="36.209000000000003"/>
    <n v="6900304"/>
    <x v="5"/>
    <s v="Fortaleza"/>
    <s v="Convencional"/>
    <n v="12"/>
    <d v="2019-05-17T00:00:00"/>
    <x v="473"/>
    <x v="0"/>
    <d v="2019-05-29T00:00:00"/>
    <x v="0"/>
    <x v="0"/>
    <n v="1"/>
    <n v="1"/>
  </r>
  <r>
    <d v="2019-05-16T00:00:00"/>
    <n v="12085"/>
    <s v="WHCPQ"/>
    <s v="Campinas"/>
    <s v="SP"/>
    <n v="4119"/>
    <x v="107"/>
    <s v="Recife"/>
    <s v="PE"/>
    <x v="3"/>
    <s v="PE"/>
    <n v="273.95999999999998"/>
    <n v="1"/>
    <n v="5.28"/>
    <n v="6900304"/>
    <x v="5"/>
    <s v="Fortaleza"/>
    <s v="Convencional"/>
    <n v="4"/>
    <d v="2019-05-17T00:00:00"/>
    <x v="470"/>
    <x v="0"/>
    <d v="2019-05-21T00:00:00"/>
    <x v="1"/>
    <x v="0"/>
    <n v="0"/>
    <n v="1"/>
  </r>
  <r>
    <d v="2019-05-17T00:00:00"/>
    <n v="12086"/>
    <s v="WHBH"/>
    <s v="Belo Horizonte"/>
    <s v="MG"/>
    <n v="4024"/>
    <x v="21"/>
    <s v="Porto Alegre"/>
    <s v="RS"/>
    <x v="0"/>
    <s v="RS"/>
    <n v="3170.57"/>
    <n v="7"/>
    <n v="6.2220000000000004"/>
    <n v="6500948"/>
    <x v="0"/>
    <s v="Porto Alegre"/>
    <s v="Convencional"/>
    <n v="10"/>
    <d v="2019-05-18T00:00:00"/>
    <x v="474"/>
    <x v="0"/>
    <d v="2019-05-28T00:00:00"/>
    <x v="0"/>
    <x v="0"/>
    <n v="1"/>
    <n v="1"/>
  </r>
  <r>
    <d v="2019-05-17T00:00:00"/>
    <n v="12087"/>
    <s v="WHRJ"/>
    <s v="Rio De Janeiro"/>
    <s v="RJ"/>
    <n v="4014"/>
    <x v="3"/>
    <s v="Ipatinga"/>
    <s v="MG"/>
    <x v="2"/>
    <s v="MG"/>
    <n v="713.17"/>
    <n v="3"/>
    <n v="2.7559999999999998"/>
    <n v="6600879"/>
    <x v="2"/>
    <s v="Belo Horizonte"/>
    <s v="Convencional"/>
    <n v="4"/>
    <d v="2019-05-18T00:00:00"/>
    <x v="472"/>
    <x v="0"/>
    <d v="2019-05-22T00:00:00"/>
    <x v="0"/>
    <x v="0"/>
    <n v="1"/>
    <n v="1"/>
  </r>
  <r>
    <d v="2019-05-17T00:00:00"/>
    <n v="12088"/>
    <s v="WHCPQ"/>
    <s v="Campinas"/>
    <s v="SP"/>
    <n v="4014"/>
    <x v="3"/>
    <s v="Ipatinga"/>
    <s v="MG"/>
    <x v="2"/>
    <s v="MG"/>
    <n v="3295.45"/>
    <n v="6"/>
    <n v="11.76"/>
    <n v="6600879"/>
    <x v="2"/>
    <s v="Belo Horizonte"/>
    <s v="Convencional"/>
    <n v="6"/>
    <d v="2019-05-18T00:00:00"/>
    <x v="464"/>
    <x v="0"/>
    <d v="2019-05-24T00:00:00"/>
    <x v="0"/>
    <x v="0"/>
    <n v="1"/>
    <n v="1"/>
  </r>
  <r>
    <d v="2019-05-17T00:00:00"/>
    <n v="12089"/>
    <s v="WHBH"/>
    <s v="Belo Horizonte"/>
    <s v="MG"/>
    <n v="4014"/>
    <x v="3"/>
    <s v="Ipatinga"/>
    <s v="MG"/>
    <x v="2"/>
    <s v="MG"/>
    <n v="881.33"/>
    <n v="2"/>
    <n v="6.5490000000000004"/>
    <n v="6600879"/>
    <x v="2"/>
    <s v="Belo Horizonte"/>
    <s v="Convencional"/>
    <n v="11"/>
    <d v="2019-05-18T00:00:00"/>
    <x v="471"/>
    <x v="0"/>
    <d v="2019-05-29T00:00:00"/>
    <x v="0"/>
    <x v="0"/>
    <n v="1"/>
    <n v="1"/>
  </r>
  <r>
    <d v="2019-05-17T00:00:00"/>
    <n v="12090"/>
    <s v="WHBH"/>
    <s v="Belo Horizonte"/>
    <s v="MG"/>
    <n v="4022"/>
    <x v="19"/>
    <s v="Maringa"/>
    <s v="PR"/>
    <x v="0"/>
    <s v="PR"/>
    <n v="1212.81"/>
    <n v="2"/>
    <n v="10.119999999999999"/>
    <n v="6500948"/>
    <x v="0"/>
    <s v="Porto Alegre"/>
    <s v="Convencional"/>
    <n v="9"/>
    <d v="2019-05-18T00:00:00"/>
    <x v="475"/>
    <x v="0"/>
    <d v="2019-05-27T00:00:00"/>
    <x v="0"/>
    <x v="0"/>
    <n v="1"/>
    <n v="1"/>
  </r>
  <r>
    <d v="2019-05-18T00:00:00"/>
    <n v="12091"/>
    <s v="WHCPQ"/>
    <s v="Campinas"/>
    <s v="SP"/>
    <n v="4022"/>
    <x v="19"/>
    <s v="Maringa"/>
    <s v="PR"/>
    <x v="0"/>
    <s v="PR"/>
    <n v="1857.44"/>
    <n v="5"/>
    <n v="13.606999999999999"/>
    <n v="6500948"/>
    <x v="0"/>
    <s v="Porto Alegre"/>
    <s v="Convencional"/>
    <n v="2"/>
    <d v="2019-05-19T00:00:00"/>
    <x v="474"/>
    <x v="0"/>
    <d v="2019-05-21T00:00:00"/>
    <x v="1"/>
    <x v="0"/>
    <n v="0"/>
    <n v="1"/>
  </r>
  <r>
    <d v="2019-05-20T00:00:00"/>
    <n v="12092"/>
    <s v="WHPOA"/>
    <s v="Porto Alegre"/>
    <s v="RS"/>
    <n v="4033"/>
    <x v="35"/>
    <s v="Goiania"/>
    <s v="GO"/>
    <x v="1"/>
    <s v="GO"/>
    <n v="1137.07"/>
    <n v="1"/>
    <n v="1.1200000000000001"/>
    <n v="6100231"/>
    <x v="1"/>
    <s v="Goiania"/>
    <s v="Convencional"/>
    <n v="8"/>
    <d v="2019-05-21T00:00:00"/>
    <x v="475"/>
    <x v="0"/>
    <d v="2019-05-29T00:00:00"/>
    <x v="0"/>
    <x v="0"/>
    <n v="1"/>
    <n v="1"/>
  </r>
  <r>
    <d v="2019-05-20T00:00:00"/>
    <n v="12093"/>
    <s v="WHVIT"/>
    <s v="Vitoria"/>
    <s v="ES"/>
    <n v="4117"/>
    <x v="105"/>
    <s v="Sao Paulo"/>
    <s v="SP"/>
    <x v="2"/>
    <s v="SP"/>
    <n v="1183.19"/>
    <n v="1"/>
    <n v="1.1200000000000001"/>
    <n v="6400835"/>
    <x v="3"/>
    <s v="Guarulhos"/>
    <s v="Convencional"/>
    <n v="6"/>
    <d v="2019-05-21T00:00:00"/>
    <x v="470"/>
    <x v="0"/>
    <d v="2019-05-27T00:00:00"/>
    <x v="0"/>
    <x v="0"/>
    <n v="1"/>
    <n v="1"/>
  </r>
  <r>
    <d v="2019-05-20T00:00:00"/>
    <n v="12094"/>
    <s v="WHBH"/>
    <s v="Belo Horizonte"/>
    <s v="MG"/>
    <n v="4041"/>
    <x v="16"/>
    <s v="Goiania"/>
    <s v="GO"/>
    <x v="1"/>
    <s v="GO"/>
    <n v="1419.73"/>
    <n v="4"/>
    <n v="15.635"/>
    <n v="6100231"/>
    <x v="1"/>
    <s v="Goiania"/>
    <s v="Convencional"/>
    <n v="4"/>
    <d v="2019-05-21T00:00:00"/>
    <x v="476"/>
    <x v="0"/>
    <d v="2019-05-25T00:00:00"/>
    <x v="1"/>
    <x v="0"/>
    <n v="0"/>
    <n v="1"/>
  </r>
  <r>
    <d v="2019-05-20T00:00:00"/>
    <n v="12095"/>
    <s v="WHPOA"/>
    <s v="Porto Alegre"/>
    <s v="RS"/>
    <n v="4165"/>
    <x v="153"/>
    <s v="Recife"/>
    <s v="PE"/>
    <x v="3"/>
    <s v="PE"/>
    <n v="1555.99"/>
    <n v="1"/>
    <n v="1.1200000000000001"/>
    <n v="6900304"/>
    <x v="5"/>
    <s v="Fortaleza"/>
    <s v="Convencional"/>
    <n v="1"/>
    <d v="2019-05-21T00:00:00"/>
    <x v="475"/>
    <x v="0"/>
    <d v="2019-05-22T00:00:00"/>
    <x v="0"/>
    <x v="0"/>
    <n v="1"/>
    <n v="1"/>
  </r>
  <r>
    <d v="2019-05-20T00:00:00"/>
    <n v="12096"/>
    <s v="WHBH"/>
    <s v="Belo Horizonte"/>
    <s v="MG"/>
    <n v="4084"/>
    <x v="72"/>
    <s v="Aracatuba"/>
    <s v="SP"/>
    <x v="2"/>
    <s v="SP"/>
    <n v="6093.22"/>
    <n v="7"/>
    <n v="30.791"/>
    <n v="6400835"/>
    <x v="3"/>
    <s v="Guarulhos"/>
    <s v="Convencional"/>
    <n v="11"/>
    <d v="2019-05-21T00:00:00"/>
    <x v="477"/>
    <x v="0"/>
    <d v="2019-06-01T00:00:00"/>
    <x v="0"/>
    <x v="0"/>
    <n v="1"/>
    <n v="1"/>
  </r>
  <r>
    <d v="2019-05-20T00:00:00"/>
    <n v="12097"/>
    <s v="WHCPQ"/>
    <s v="Campinas"/>
    <s v="SP"/>
    <n v="4155"/>
    <x v="143"/>
    <s v="Sao Paulo"/>
    <s v="SP"/>
    <x v="2"/>
    <s v="SP"/>
    <n v="296.49"/>
    <n v="1"/>
    <n v="1.1200000000000001"/>
    <n v="6400835"/>
    <x v="3"/>
    <s v="Guarulhos"/>
    <s v="Convencional"/>
    <n v="4"/>
    <d v="2019-05-21T00:00:00"/>
    <x v="478"/>
    <x v="0"/>
    <d v="2019-05-25T00:00:00"/>
    <x v="1"/>
    <x v="0"/>
    <n v="0"/>
    <n v="1"/>
  </r>
  <r>
    <d v="2019-05-20T00:00:00"/>
    <n v="12098"/>
    <s v="WHSJC"/>
    <s v="Sao Jose dos Campos"/>
    <s v="SP"/>
    <n v="4033"/>
    <x v="35"/>
    <s v="Goiania"/>
    <s v="GO"/>
    <x v="1"/>
    <s v="GO"/>
    <n v="6576.72"/>
    <n v="8"/>
    <n v="52.661000000000001"/>
    <n v="6100231"/>
    <x v="1"/>
    <s v="Goiania"/>
    <s v="Convencional"/>
    <n v="11"/>
    <d v="2019-05-21T00:00:00"/>
    <x v="479"/>
    <x v="0"/>
    <d v="2019-06-01T00:00:00"/>
    <x v="0"/>
    <x v="0"/>
    <n v="1"/>
    <n v="1"/>
  </r>
  <r>
    <d v="2019-05-21T00:00:00"/>
    <n v="12099"/>
    <s v="WHRJ"/>
    <s v="Rio De Janeiro"/>
    <s v="RJ"/>
    <n v="4093"/>
    <x v="81"/>
    <s v="Recife"/>
    <s v="PE"/>
    <x v="3"/>
    <s v="PE"/>
    <n v="728.49"/>
    <n v="1"/>
    <n v="1.1200000000000001"/>
    <n v="6900304"/>
    <x v="5"/>
    <s v="Fortaleza"/>
    <s v="Convencional"/>
    <n v="11"/>
    <d v="2019-05-22T00:00:00"/>
    <x v="477"/>
    <x v="0"/>
    <d v="2019-06-02T00:00:00"/>
    <x v="0"/>
    <x v="0"/>
    <n v="1"/>
    <n v="1"/>
  </r>
  <r>
    <d v="2019-05-21T00:00:00"/>
    <n v="12100"/>
    <s v="WHSAO"/>
    <s v="Sao Paulo"/>
    <s v="SP"/>
    <n v="4166"/>
    <x v="154"/>
    <s v="Manaus"/>
    <s v="AM"/>
    <x v="4"/>
    <s v="AM"/>
    <n v="4311.18"/>
    <n v="9"/>
    <n v="23.981000000000002"/>
    <n v="6700091"/>
    <x v="6"/>
    <s v="Manaus"/>
    <s v="Convencional"/>
    <n v="10"/>
    <d v="2019-05-22T00:00:00"/>
    <x v="473"/>
    <x v="0"/>
    <d v="2019-06-01T00:00:00"/>
    <x v="0"/>
    <x v="0"/>
    <n v="1"/>
    <n v="1"/>
  </r>
  <r>
    <d v="2019-05-21T00:00:00"/>
    <n v="12101"/>
    <s v="WHCPQ"/>
    <s v="Campinas"/>
    <s v="SP"/>
    <n v="4167"/>
    <x v="155"/>
    <s v="Santos"/>
    <s v="SP"/>
    <x v="2"/>
    <s v="SP"/>
    <n v="1007.98"/>
    <n v="1"/>
    <n v="1.1200000000000001"/>
    <n v="6400835"/>
    <x v="3"/>
    <s v="Guarulhos"/>
    <s v="Convencional"/>
    <n v="5"/>
    <d v="2019-05-22T00:00:00"/>
    <x v="474"/>
    <x v="0"/>
    <d v="2019-05-27T00:00:00"/>
    <x v="0"/>
    <x v="0"/>
    <n v="1"/>
    <n v="1"/>
  </r>
  <r>
    <d v="2019-05-21T00:00:00"/>
    <n v="12102"/>
    <s v="WHSJC"/>
    <s v="Sao Jose dos Campos"/>
    <s v="SP"/>
    <n v="4113"/>
    <x v="101"/>
    <s v="Rio De Janeiro"/>
    <s v="RJ"/>
    <x v="2"/>
    <s v="RJ"/>
    <n v="444.43"/>
    <n v="2"/>
    <n v="1.5409999999999999"/>
    <n v="6140092"/>
    <x v="4"/>
    <s v="Rio de Janeiro"/>
    <s v="Convencional"/>
    <n v="10"/>
    <d v="2019-05-22T00:00:00"/>
    <x v="479"/>
    <x v="0"/>
    <d v="2019-06-01T00:00:00"/>
    <x v="0"/>
    <x v="0"/>
    <n v="1"/>
    <n v="1"/>
  </r>
  <r>
    <d v="2019-05-21T00:00:00"/>
    <n v="12103"/>
    <s v="WHPOA"/>
    <s v="Porto Alegre"/>
    <s v="RS"/>
    <n v="4113"/>
    <x v="101"/>
    <s v="Rio De Janeiro"/>
    <s v="RJ"/>
    <x v="2"/>
    <s v="RJ"/>
    <n v="835.68"/>
    <n v="1"/>
    <n v="1.1200000000000001"/>
    <n v="6140092"/>
    <x v="4"/>
    <s v="Rio de Janeiro"/>
    <s v="Convencional"/>
    <n v="2"/>
    <d v="2019-05-22T00:00:00"/>
    <x v="473"/>
    <x v="0"/>
    <d v="2019-05-24T00:00:00"/>
    <x v="1"/>
    <x v="0"/>
    <n v="0"/>
    <n v="1"/>
  </r>
  <r>
    <d v="2019-05-21T00:00:00"/>
    <n v="12104"/>
    <s v="WHSAO"/>
    <s v="Sao Paulo"/>
    <s v="SP"/>
    <n v="4041"/>
    <x v="16"/>
    <s v="Goiania"/>
    <s v="GO"/>
    <x v="1"/>
    <s v="GO"/>
    <n v="1206.77"/>
    <n v="5"/>
    <n v="7.8230000000000004"/>
    <n v="6100231"/>
    <x v="1"/>
    <s v="Goiania"/>
    <s v="Convencional"/>
    <n v="12"/>
    <d v="2019-05-22T00:00:00"/>
    <x v="480"/>
    <x v="0"/>
    <d v="2019-06-03T00:00:00"/>
    <x v="0"/>
    <x v="0"/>
    <n v="1"/>
    <n v="1"/>
  </r>
  <r>
    <d v="2019-05-21T00:00:00"/>
    <n v="12105"/>
    <s v="WHCPQ"/>
    <s v="Campinas"/>
    <s v="SP"/>
    <n v="4041"/>
    <x v="16"/>
    <s v="Goiania"/>
    <s v="GO"/>
    <x v="1"/>
    <s v="GO"/>
    <n v="1857.56"/>
    <n v="1"/>
    <n v="1.1200000000000001"/>
    <n v="6100231"/>
    <x v="1"/>
    <s v="Goiania"/>
    <s v="Convencional"/>
    <n v="4"/>
    <d v="2019-05-22T00:00:00"/>
    <x v="471"/>
    <x v="0"/>
    <d v="2019-05-26T00:00:00"/>
    <x v="0"/>
    <x v="0"/>
    <n v="1"/>
    <n v="1"/>
  </r>
  <r>
    <d v="2019-05-21T00:00:00"/>
    <n v="12106"/>
    <s v="WHSJC"/>
    <s v="Sao Jose dos Campos"/>
    <s v="SP"/>
    <n v="4041"/>
    <x v="16"/>
    <s v="Goiania"/>
    <s v="GO"/>
    <x v="1"/>
    <s v="GO"/>
    <n v="2805.62"/>
    <n v="8"/>
    <n v="96.8"/>
    <n v="6100231"/>
    <x v="1"/>
    <s v="Goiania"/>
    <s v="Convencional"/>
    <n v="4"/>
    <d v="2019-05-22T00:00:00"/>
    <x v="476"/>
    <x v="0"/>
    <d v="2019-05-26T00:00:00"/>
    <x v="1"/>
    <x v="0"/>
    <n v="0"/>
    <n v="1"/>
  </r>
  <r>
    <d v="2019-05-21T00:00:00"/>
    <n v="12107"/>
    <s v="WHPOA"/>
    <s v="Porto Alegre"/>
    <s v="RS"/>
    <n v="4041"/>
    <x v="16"/>
    <s v="Goiania"/>
    <s v="GO"/>
    <x v="1"/>
    <s v="GO"/>
    <n v="8046.04"/>
    <n v="11"/>
    <n v="59.292000000000002"/>
    <n v="6100231"/>
    <x v="1"/>
    <s v="Goiania"/>
    <s v="Convencional"/>
    <n v="5"/>
    <d v="2019-05-22T00:00:00"/>
    <x v="470"/>
    <x v="0"/>
    <d v="2019-05-27T00:00:00"/>
    <x v="0"/>
    <x v="0"/>
    <n v="1"/>
    <n v="1"/>
  </r>
  <r>
    <d v="2019-05-21T00:00:00"/>
    <n v="12108"/>
    <s v="WHRJ"/>
    <s v="Rio De Janeiro"/>
    <s v="RJ"/>
    <n v="4041"/>
    <x v="16"/>
    <s v="Goiania"/>
    <s v="GO"/>
    <x v="1"/>
    <s v="GO"/>
    <n v="533.12"/>
    <n v="1"/>
    <n v="1.1200000000000001"/>
    <n v="6100231"/>
    <x v="1"/>
    <s v="Goiania"/>
    <s v="Convencional"/>
    <n v="4"/>
    <d v="2019-05-22T00:00:00"/>
    <x v="471"/>
    <x v="0"/>
    <d v="2019-05-26T00:00:00"/>
    <x v="0"/>
    <x v="0"/>
    <n v="1"/>
    <n v="1"/>
  </r>
  <r>
    <d v="2019-05-22T00:00:00"/>
    <n v="12109"/>
    <s v="WHVIT"/>
    <s v="Vitoria"/>
    <s v="ES"/>
    <n v="4069"/>
    <x v="57"/>
    <s v="Brasilia"/>
    <s v="DF"/>
    <x v="1"/>
    <s v="DF"/>
    <n v="221.73"/>
    <n v="1"/>
    <n v="1.1200000000000001"/>
    <n v="6100231"/>
    <x v="1"/>
    <s v="Goiania"/>
    <s v="Urgente"/>
    <n v="4"/>
    <d v="2019-05-23T00:00:00"/>
    <x v="477"/>
    <x v="0"/>
    <d v="2019-05-27T00:00:00"/>
    <x v="0"/>
    <x v="0"/>
    <n v="1"/>
    <n v="1"/>
  </r>
  <r>
    <d v="2019-05-22T00:00:00"/>
    <n v="12110"/>
    <s v="WHBH"/>
    <s v="Belo Horizonte"/>
    <s v="MG"/>
    <n v="4128"/>
    <x v="116"/>
    <s v="Recife"/>
    <s v="PE"/>
    <x v="3"/>
    <s v="PE"/>
    <n v="382.65"/>
    <n v="1"/>
    <n v="0.28399999999999997"/>
    <n v="6900304"/>
    <x v="5"/>
    <s v="Fortaleza"/>
    <s v="Convencional"/>
    <n v="7"/>
    <d v="2019-05-23T00:00:00"/>
    <x v="481"/>
    <x v="0"/>
    <d v="2019-05-30T00:00:00"/>
    <x v="0"/>
    <x v="0"/>
    <n v="1"/>
    <n v="1"/>
  </r>
  <r>
    <d v="2019-05-23T00:00:00"/>
    <n v="12111"/>
    <s v="WHPOA"/>
    <s v="Porto Alegre"/>
    <s v="RS"/>
    <n v="4168"/>
    <x v="156"/>
    <s v="Santos"/>
    <s v="SP"/>
    <x v="2"/>
    <s v="SP"/>
    <n v="4253.4799999999996"/>
    <n v="7"/>
    <n v="34.874000000000002"/>
    <n v="6400835"/>
    <x v="3"/>
    <s v="Guarulhos"/>
    <s v="Convencional"/>
    <n v="4"/>
    <d v="2019-05-24T00:00:00"/>
    <x v="474"/>
    <x v="0"/>
    <d v="2019-05-28T00:00:00"/>
    <x v="0"/>
    <x v="0"/>
    <n v="1"/>
    <n v="1"/>
  </r>
  <r>
    <d v="2019-05-24T00:00:00"/>
    <n v="12112"/>
    <s v="WHPOA"/>
    <s v="Porto Alegre"/>
    <s v="RS"/>
    <n v="4133"/>
    <x v="121"/>
    <s v="Belo Horizonte"/>
    <s v="MG"/>
    <x v="2"/>
    <s v="MG"/>
    <n v="1015.54"/>
    <n v="1"/>
    <n v="1.1200000000000001"/>
    <n v="6600879"/>
    <x v="2"/>
    <s v="Belo Horizonte"/>
    <s v="Convencional"/>
    <n v="4"/>
    <d v="2019-05-25T00:00:00"/>
    <x v="482"/>
    <x v="0"/>
    <d v="2019-05-29T00:00:00"/>
    <x v="1"/>
    <x v="0"/>
    <n v="0"/>
    <n v="1"/>
  </r>
  <r>
    <d v="2019-05-24T00:00:00"/>
    <n v="12113"/>
    <s v="WHCPQ"/>
    <s v="Campinas"/>
    <s v="SP"/>
    <n v="4169"/>
    <x v="157"/>
    <s v="Manaus"/>
    <s v="AM"/>
    <x v="4"/>
    <s v="AM"/>
    <n v="270.62"/>
    <n v="1"/>
    <n v="1.76"/>
    <n v="6700091"/>
    <x v="6"/>
    <s v="Manaus"/>
    <s v="Convencional"/>
    <n v="9"/>
    <d v="2019-05-25T00:00:00"/>
    <x v="476"/>
    <x v="0"/>
    <d v="2019-06-03T00:00:00"/>
    <x v="0"/>
    <x v="0"/>
    <n v="1"/>
    <n v="1"/>
  </r>
  <r>
    <d v="2019-05-24T00:00:00"/>
    <n v="12114"/>
    <s v="WHPOA"/>
    <s v="Porto Alegre"/>
    <s v="RS"/>
    <n v="4170"/>
    <x v="158"/>
    <s v="Belo Horizonte"/>
    <s v="MG"/>
    <x v="2"/>
    <s v="MG"/>
    <n v="135.35"/>
    <n v="1"/>
    <n v="1.2969999999999999"/>
    <n v="6600879"/>
    <x v="2"/>
    <s v="Belo Horizonte"/>
    <s v="Convencional"/>
    <n v="1"/>
    <d v="2019-05-25T00:00:00"/>
    <x v="483"/>
    <x v="0"/>
    <d v="2019-05-26T00:00:00"/>
    <x v="1"/>
    <x v="0"/>
    <n v="0"/>
    <n v="1"/>
  </r>
  <r>
    <d v="2019-05-24T00:00:00"/>
    <n v="12115"/>
    <s v="WHRJ"/>
    <s v="Rio De Janeiro"/>
    <s v="RJ"/>
    <n v="4022"/>
    <x v="19"/>
    <s v="Maringa"/>
    <s v="PR"/>
    <x v="0"/>
    <s v="PR"/>
    <n v="1865.31"/>
    <n v="2"/>
    <n v="18.337"/>
    <n v="6500948"/>
    <x v="0"/>
    <s v="Porto Alegre"/>
    <s v="Convencional"/>
    <n v="8"/>
    <d v="2019-05-25T00:00:00"/>
    <x v="473"/>
    <x v="0"/>
    <d v="2019-06-02T00:00:00"/>
    <x v="0"/>
    <x v="0"/>
    <n v="1"/>
    <n v="1"/>
  </r>
  <r>
    <d v="2019-05-24T00:00:00"/>
    <n v="12116"/>
    <s v="WHRJ"/>
    <s v="Rio De Janeiro"/>
    <s v="RJ"/>
    <n v="4040"/>
    <x v="42"/>
    <s v="Brasilia"/>
    <s v="DF"/>
    <x v="1"/>
    <s v="DF"/>
    <n v="634.16999999999996"/>
    <n v="3"/>
    <n v="2.9580000000000002"/>
    <n v="6100231"/>
    <x v="1"/>
    <s v="Goiania"/>
    <s v="Convencional"/>
    <n v="4"/>
    <d v="2019-05-25T00:00:00"/>
    <x v="480"/>
    <x v="0"/>
    <d v="2019-05-29T00:00:00"/>
    <x v="1"/>
    <x v="0"/>
    <n v="0"/>
    <n v="1"/>
  </r>
  <r>
    <d v="2019-05-24T00:00:00"/>
    <n v="12117"/>
    <s v="WHSJC"/>
    <s v="Sao Jose dos Campos"/>
    <s v="SP"/>
    <n v="4027"/>
    <x v="24"/>
    <s v="Novo Hamburgo"/>
    <s v="RS"/>
    <x v="0"/>
    <s v="RS"/>
    <n v="1880.56"/>
    <n v="3"/>
    <n v="2.7530000000000001"/>
    <n v="6500948"/>
    <x v="0"/>
    <s v="Porto Alegre"/>
    <s v="Convencional"/>
    <n v="2"/>
    <d v="2019-05-25T00:00:00"/>
    <x v="482"/>
    <x v="0"/>
    <d v="2019-05-27T00:00:00"/>
    <x v="1"/>
    <x v="0"/>
    <n v="0"/>
    <n v="1"/>
  </r>
  <r>
    <d v="2019-05-24T00:00:00"/>
    <n v="12118"/>
    <s v="WHPOA"/>
    <s v="Porto Alegre"/>
    <s v="RS"/>
    <n v="4028"/>
    <x v="26"/>
    <s v="Sao Jose Dos Pinhais"/>
    <s v="PR"/>
    <x v="0"/>
    <s v="PR"/>
    <n v="873.36"/>
    <n v="1"/>
    <n v="14.177"/>
    <n v="6500948"/>
    <x v="0"/>
    <s v="Porto Alegre"/>
    <s v="Convencional"/>
    <n v="7"/>
    <d v="2019-05-25T00:00:00"/>
    <x v="476"/>
    <x v="0"/>
    <d v="2019-06-01T00:00:00"/>
    <x v="0"/>
    <x v="0"/>
    <n v="1"/>
    <n v="1"/>
  </r>
  <r>
    <d v="2019-05-24T00:00:00"/>
    <n v="12119"/>
    <s v="WHSJC"/>
    <s v="Sao Jose dos Campos"/>
    <s v="SP"/>
    <n v="4040"/>
    <x v="42"/>
    <s v="Brasilia"/>
    <s v="DF"/>
    <x v="1"/>
    <s v="DF"/>
    <n v="3455.52"/>
    <n v="4"/>
    <n v="18.111999999999998"/>
    <n v="6100231"/>
    <x v="1"/>
    <s v="Goiania"/>
    <s v="Convencional"/>
    <n v="7"/>
    <d v="2019-05-25T00:00:00"/>
    <x v="478"/>
    <x v="0"/>
    <d v="2019-06-01T00:00:00"/>
    <x v="0"/>
    <x v="0"/>
    <n v="1"/>
    <n v="1"/>
  </r>
  <r>
    <d v="2019-05-24T00:00:00"/>
    <n v="12120"/>
    <s v="WHSJC"/>
    <s v="Sao Jose dos Campos"/>
    <s v="SP"/>
    <n v="4027"/>
    <x v="24"/>
    <s v="Novo Hamburgo"/>
    <s v="RS"/>
    <x v="0"/>
    <s v="RS"/>
    <n v="3925.74"/>
    <n v="4"/>
    <n v="26.34"/>
    <n v="6500948"/>
    <x v="0"/>
    <s v="Porto Alegre"/>
    <s v="Convencional"/>
    <n v="9"/>
    <d v="2019-05-25T00:00:00"/>
    <x v="480"/>
    <x v="0"/>
    <d v="2019-06-03T00:00:00"/>
    <x v="0"/>
    <x v="0"/>
    <n v="1"/>
    <n v="1"/>
  </r>
  <r>
    <d v="2019-05-24T00:00:00"/>
    <n v="12121"/>
    <s v="WHPOA"/>
    <s v="Porto Alegre"/>
    <s v="RS"/>
    <n v="4028"/>
    <x v="26"/>
    <s v="Sao Jose Dos Pinhais"/>
    <s v="PR"/>
    <x v="0"/>
    <s v="PR"/>
    <n v="39.729999999999997"/>
    <n v="1"/>
    <n v="1.1200000000000001"/>
    <n v="6500948"/>
    <x v="0"/>
    <s v="Porto Alegre"/>
    <s v="Convencional"/>
    <n v="1"/>
    <d v="2019-05-25T00:00:00"/>
    <x v="481"/>
    <x v="0"/>
    <d v="2019-05-26T00:00:00"/>
    <x v="1"/>
    <x v="0"/>
    <n v="0"/>
    <n v="1"/>
  </r>
  <r>
    <d v="2019-05-27T00:00:00"/>
    <n v="12122"/>
    <s v="WHSAO"/>
    <s v="Sao Paulo"/>
    <s v="SP"/>
    <n v="4168"/>
    <x v="156"/>
    <s v="Santos"/>
    <s v="SP"/>
    <x v="2"/>
    <s v="SP"/>
    <n v="29.69"/>
    <n v="4"/>
    <n v="8.6449999999999996"/>
    <n v="6400835"/>
    <x v="3"/>
    <s v="Guarulhos"/>
    <s v="Convencional"/>
    <n v="11"/>
    <d v="2019-05-28T00:00:00"/>
    <x v="480"/>
    <x v="0"/>
    <d v="2019-06-08T00:00:00"/>
    <x v="0"/>
    <x v="0"/>
    <n v="1"/>
    <n v="1"/>
  </r>
  <r>
    <d v="2019-05-27T00:00:00"/>
    <n v="12123"/>
    <s v="WHCPQ"/>
    <s v="Campinas"/>
    <s v="SP"/>
    <n v="4147"/>
    <x v="135"/>
    <s v="Belo Horizonte"/>
    <s v="MG"/>
    <x v="2"/>
    <s v="MG"/>
    <n v="885.39"/>
    <n v="1"/>
    <n v="1.1200000000000001"/>
    <n v="6600879"/>
    <x v="2"/>
    <s v="Belo Horizonte"/>
    <s v="Convencional"/>
    <n v="12"/>
    <d v="2019-05-28T00:00:00"/>
    <x v="483"/>
    <x v="0"/>
    <d v="2019-06-09T00:00:00"/>
    <x v="0"/>
    <x v="0"/>
    <n v="1"/>
    <n v="1"/>
  </r>
  <r>
    <d v="2019-05-27T00:00:00"/>
    <n v="12124"/>
    <s v="WHCPQ"/>
    <s v="Campinas"/>
    <s v="SP"/>
    <n v="4171"/>
    <x v="159"/>
    <s v="Manaus"/>
    <s v="AM"/>
    <x v="4"/>
    <s v="AM"/>
    <n v="516.26"/>
    <n v="3"/>
    <n v="1.66"/>
    <n v="6700091"/>
    <x v="6"/>
    <s v="Manaus"/>
    <s v="Convencional"/>
    <n v="3"/>
    <d v="2019-05-28T00:00:00"/>
    <x v="484"/>
    <x v="0"/>
    <d v="2019-05-31T00:00:00"/>
    <x v="1"/>
    <x v="0"/>
    <n v="0"/>
    <n v="1"/>
  </r>
  <r>
    <d v="2019-05-27T00:00:00"/>
    <n v="12125"/>
    <s v="WHVIT"/>
    <s v="Vitoria"/>
    <s v="ES"/>
    <n v="4143"/>
    <x v="131"/>
    <s v="Manaus"/>
    <s v="AM"/>
    <x v="4"/>
    <s v="AM"/>
    <n v="402.72"/>
    <n v="1"/>
    <n v="1.1200000000000001"/>
    <n v="6700091"/>
    <x v="6"/>
    <s v="Manaus"/>
    <s v="Convencional"/>
    <n v="3"/>
    <d v="2019-05-28T00:00:00"/>
    <x v="482"/>
    <x v="0"/>
    <d v="2019-05-31T00:00:00"/>
    <x v="1"/>
    <x v="0"/>
    <n v="0"/>
    <n v="1"/>
  </r>
  <r>
    <d v="2019-05-27T00:00:00"/>
    <n v="12126"/>
    <s v="WHBH"/>
    <s v="Belo Horizonte"/>
    <s v="MG"/>
    <n v="4023"/>
    <x v="20"/>
    <s v="Sao Jose"/>
    <s v="SC"/>
    <x v="0"/>
    <s v="SC"/>
    <n v="719.47"/>
    <n v="1"/>
    <n v="1.1200000000000001"/>
    <n v="6500948"/>
    <x v="0"/>
    <s v="Porto Alegre"/>
    <s v="Convencional"/>
    <n v="2"/>
    <d v="2019-05-28T00:00:00"/>
    <x v="485"/>
    <x v="0"/>
    <d v="2019-05-30T00:00:00"/>
    <x v="1"/>
    <x v="0"/>
    <n v="0"/>
    <n v="1"/>
  </r>
  <r>
    <d v="2019-05-27T00:00:00"/>
    <n v="12127"/>
    <s v="WHBH"/>
    <s v="Belo Horizonte"/>
    <s v="MG"/>
    <n v="4013"/>
    <x v="1"/>
    <s v="Blumenau"/>
    <s v="SC"/>
    <x v="0"/>
    <s v="SC"/>
    <n v="5743.77"/>
    <n v="15"/>
    <n v="39.252000000000002"/>
    <n v="6500948"/>
    <x v="0"/>
    <s v="Porto Alegre"/>
    <s v="Convencional"/>
    <n v="5"/>
    <d v="2019-05-28T00:00:00"/>
    <x v="486"/>
    <x v="2"/>
    <d v="2019-06-02T00:00:00"/>
    <x v="1"/>
    <x v="1"/>
    <n v="0"/>
    <n v="1"/>
  </r>
  <r>
    <d v="2019-05-27T00:00:00"/>
    <n v="12128"/>
    <s v="WHBH"/>
    <s v="Belo Horizonte"/>
    <s v="MG"/>
    <n v="4013"/>
    <x v="1"/>
    <s v="Blumenau"/>
    <s v="SC"/>
    <x v="0"/>
    <s v="SC"/>
    <n v="1009.97"/>
    <n v="1"/>
    <n v="1.1200000000000001"/>
    <n v="6500948"/>
    <x v="0"/>
    <s v="Porto Alegre"/>
    <s v="Convencional"/>
    <n v="10"/>
    <d v="2019-05-28T00:00:00"/>
    <x v="486"/>
    <x v="0"/>
    <d v="2019-06-07T00:00:00"/>
    <x v="0"/>
    <x v="0"/>
    <n v="1"/>
    <n v="1"/>
  </r>
  <r>
    <d v="2019-05-27T00:00:00"/>
    <n v="12129"/>
    <s v="WHVIT"/>
    <s v="Vitoria"/>
    <s v="ES"/>
    <n v="4013"/>
    <x v="1"/>
    <s v="Blumenau"/>
    <s v="SC"/>
    <x v="0"/>
    <s v="SC"/>
    <n v="1162.03"/>
    <n v="1"/>
    <n v="1.1200000000000001"/>
    <n v="6500948"/>
    <x v="0"/>
    <s v="Porto Alegre"/>
    <s v="Convencional"/>
    <n v="6"/>
    <d v="2019-05-28T00:00:00"/>
    <x v="485"/>
    <x v="0"/>
    <d v="2019-06-03T00:00:00"/>
    <x v="1"/>
    <x v="0"/>
    <n v="0"/>
    <n v="1"/>
  </r>
  <r>
    <d v="2019-05-28T00:00:00"/>
    <n v="12130"/>
    <s v="WHCPQ"/>
    <s v="Campinas"/>
    <s v="SP"/>
    <n v="4172"/>
    <x v="160"/>
    <s v="Santos"/>
    <s v="SP"/>
    <x v="2"/>
    <s v="SP"/>
    <n v="2095.58"/>
    <n v="1"/>
    <n v="1.1200000000000001"/>
    <n v="6400835"/>
    <x v="3"/>
    <s v="Guarulhos"/>
    <s v="Convencional"/>
    <n v="6"/>
    <d v="2019-05-29T00:00:00"/>
    <x v="482"/>
    <x v="0"/>
    <d v="2019-06-04T00:00:00"/>
    <x v="0"/>
    <x v="0"/>
    <n v="1"/>
    <n v="1"/>
  </r>
  <r>
    <d v="2019-05-28T00:00:00"/>
    <n v="12131"/>
    <s v="WHSAO"/>
    <s v="Sao Paulo"/>
    <s v="SP"/>
    <n v="4164"/>
    <x v="152"/>
    <s v="Rio Grande do Sul"/>
    <s v="RS"/>
    <x v="0"/>
    <s v="RS"/>
    <n v="1141.53"/>
    <n v="7"/>
    <n v="6.375"/>
    <n v="6500948"/>
    <x v="0"/>
    <s v="Porto Alegre"/>
    <s v="Convencional"/>
    <n v="11"/>
    <d v="2019-05-29T00:00:00"/>
    <x v="478"/>
    <x v="0"/>
    <d v="2019-06-09T00:00:00"/>
    <x v="0"/>
    <x v="0"/>
    <n v="1"/>
    <n v="1"/>
  </r>
  <r>
    <d v="2019-05-28T00:00:00"/>
    <n v="12132"/>
    <s v="WHVIT"/>
    <s v="Vitoria"/>
    <s v="ES"/>
    <n v="4142"/>
    <x v="130"/>
    <s v="Manaus"/>
    <s v="AM"/>
    <x v="4"/>
    <s v="AM"/>
    <n v="196.67"/>
    <n v="1"/>
    <n v="1.1200000000000001"/>
    <n v="6700091"/>
    <x v="6"/>
    <s v="Manaus"/>
    <s v="Convencional"/>
    <n v="9"/>
    <d v="2019-05-29T00:00:00"/>
    <x v="486"/>
    <x v="2"/>
    <d v="2019-06-07T00:00:00"/>
    <x v="0"/>
    <x v="1"/>
    <n v="0"/>
    <n v="1"/>
  </r>
  <r>
    <d v="2019-05-29T00:00:00"/>
    <n v="12133"/>
    <s v="WHSJC"/>
    <s v="Sao Jose dos Campos"/>
    <s v="SP"/>
    <n v="4012"/>
    <x v="0"/>
    <s v="Sao Jose Dos Pinhais"/>
    <s v="PR"/>
    <x v="0"/>
    <s v="PR"/>
    <n v="2438.69"/>
    <n v="7"/>
    <n v="4.3789999999999996"/>
    <n v="6500948"/>
    <x v="0"/>
    <s v="Porto Alegre"/>
    <s v="Convencional"/>
    <n v="11"/>
    <d v="2019-05-29T00:00:00"/>
    <x v="486"/>
    <x v="2"/>
    <d v="2019-06-09T00:00:00"/>
    <x v="0"/>
    <x v="1"/>
    <n v="0"/>
    <n v="1"/>
  </r>
  <r>
    <d v="2019-05-29T00:00:00"/>
    <n v="12134"/>
    <s v="WHPOA"/>
    <s v="Porto Alegre"/>
    <s v="RS"/>
    <n v="4013"/>
    <x v="1"/>
    <s v="Blumenau"/>
    <s v="SC"/>
    <x v="0"/>
    <s v="SC"/>
    <n v="1338.61"/>
    <n v="1"/>
    <n v="1.1200000000000001"/>
    <n v="6500948"/>
    <x v="0"/>
    <s v="Porto Alegre"/>
    <s v="Convencional"/>
    <n v="3"/>
    <d v="2019-05-29T00:00:00"/>
    <x v="480"/>
    <x v="0"/>
    <d v="2019-06-01T00:00:00"/>
    <x v="0"/>
    <x v="0"/>
    <n v="1"/>
    <n v="1"/>
  </r>
  <r>
    <d v="2019-05-31T00:00:00"/>
    <n v="12135"/>
    <s v="WHSAO"/>
    <s v="Sao Paulo"/>
    <s v="SP"/>
    <n v="4013"/>
    <x v="1"/>
    <s v="Blumenau"/>
    <s v="SC"/>
    <x v="0"/>
    <s v="SC"/>
    <n v="1836.22"/>
    <n v="1"/>
    <n v="0.88"/>
    <n v="6500948"/>
    <x v="0"/>
    <s v="Porto Alegre"/>
    <s v="Convencional"/>
    <n v="8"/>
    <d v="2019-05-31T00:00:00"/>
    <x v="486"/>
    <x v="2"/>
    <d v="2019-06-08T00:00:00"/>
    <x v="0"/>
    <x v="1"/>
    <n v="0"/>
    <n v="1"/>
  </r>
  <r>
    <d v="2019-05-31T00:00:00"/>
    <n v="12136"/>
    <s v="WHRJ"/>
    <s v="Rio De Janeiro"/>
    <s v="RJ"/>
    <n v="4013"/>
    <x v="1"/>
    <s v="Blumenau"/>
    <s v="SC"/>
    <x v="0"/>
    <s v="SC"/>
    <n v="1755.77"/>
    <n v="6"/>
    <n v="24.338000000000001"/>
    <n v="6500948"/>
    <x v="0"/>
    <s v="Porto Alegre"/>
    <s v="Convencional"/>
    <n v="4"/>
    <d v="2019-05-31T00:00:00"/>
    <x v="482"/>
    <x v="2"/>
    <d v="2019-06-04T00:00:00"/>
    <x v="0"/>
    <x v="1"/>
    <n v="0"/>
    <n v="1"/>
  </r>
  <r>
    <d v="2019-05-31T00:00:00"/>
    <n v="12137"/>
    <s v="WHVIT"/>
    <s v="Vitoria"/>
    <s v="ES"/>
    <n v="4013"/>
    <x v="1"/>
    <s v="Blumenau"/>
    <s v="SC"/>
    <x v="0"/>
    <s v="SC"/>
    <n v="178.74"/>
    <n v="2"/>
    <n v="0.33"/>
    <n v="6500948"/>
    <x v="0"/>
    <s v="Porto Alegre"/>
    <s v="Convencional"/>
    <n v="6"/>
    <d v="2019-05-31T00:00:00"/>
    <x v="482"/>
    <x v="2"/>
    <d v="2019-06-06T00:00:00"/>
    <x v="0"/>
    <x v="1"/>
    <n v="0"/>
    <n v="1"/>
  </r>
  <r>
    <d v="2019-05-31T00:00:00"/>
    <n v="12138"/>
    <s v="WHSAO"/>
    <s v="Sao Paulo"/>
    <s v="SP"/>
    <n v="4034"/>
    <x v="36"/>
    <s v="Goiania"/>
    <s v="GO"/>
    <x v="1"/>
    <s v="GO"/>
    <n v="1503"/>
    <n v="3"/>
    <n v="4.1260000000000003"/>
    <n v="6100231"/>
    <x v="1"/>
    <s v="Goiania"/>
    <s v="Convencional"/>
    <n v="5"/>
    <d v="2019-05-31T00:00:00"/>
    <x v="482"/>
    <x v="0"/>
    <d v="2019-06-05T00:00:00"/>
    <x v="0"/>
    <x v="0"/>
    <n v="1"/>
    <n v="1"/>
  </r>
  <r>
    <d v="2019-05-31T00:00:00"/>
    <n v="12139"/>
    <s v="WHVIT"/>
    <s v="Vitoria"/>
    <s v="ES"/>
    <n v="4013"/>
    <x v="1"/>
    <s v="Blumenau"/>
    <s v="SC"/>
    <x v="0"/>
    <s v="SC"/>
    <n v="1989.39"/>
    <n v="1"/>
    <n v="1.1200000000000001"/>
    <n v="6500948"/>
    <x v="0"/>
    <s v="Porto Alegre"/>
    <s v="Convencional"/>
    <n v="3"/>
    <d v="2019-05-31T00:00:00"/>
    <x v="487"/>
    <x v="2"/>
    <d v="2019-06-03T00:00:00"/>
    <x v="1"/>
    <x v="1"/>
    <n v="0"/>
    <n v="1"/>
  </r>
  <r>
    <d v="2019-05-31T00:00:00"/>
    <n v="12140"/>
    <s v="WHSJC"/>
    <s v="Sao Jose dos Campos"/>
    <s v="SP"/>
    <n v="4013"/>
    <x v="1"/>
    <s v="Blumenau"/>
    <s v="SC"/>
    <x v="0"/>
    <s v="SC"/>
    <n v="402.72"/>
    <n v="1"/>
    <n v="0.749"/>
    <n v="6500948"/>
    <x v="0"/>
    <s v="Porto Alegre"/>
    <s v="Convencional"/>
    <n v="4"/>
    <d v="2019-05-31T00:00:00"/>
    <x v="485"/>
    <x v="2"/>
    <d v="2019-06-04T00:00:00"/>
    <x v="1"/>
    <x v="1"/>
    <n v="0"/>
    <n v="1"/>
  </r>
  <r>
    <d v="2019-05-31T00:00:00"/>
    <n v="12141"/>
    <s v="WHRJ"/>
    <s v="Rio De Janeiro"/>
    <s v="RJ"/>
    <n v="4013"/>
    <x v="1"/>
    <s v="Blumenau"/>
    <s v="SC"/>
    <x v="0"/>
    <s v="SC"/>
    <n v="772.89"/>
    <n v="2"/>
    <n v="2.75"/>
    <n v="6500948"/>
    <x v="0"/>
    <s v="Porto Alegre"/>
    <s v="Convencional"/>
    <n v="11"/>
    <d v="2019-05-31T00:00:00"/>
    <x v="484"/>
    <x v="1"/>
    <d v="2019-06-11T00:00:00"/>
    <x v="0"/>
    <x v="1"/>
    <n v="0"/>
    <n v="1"/>
  </r>
  <r>
    <d v="2019-05-31T00:00:00"/>
    <n v="12142"/>
    <s v="WHPOA"/>
    <s v="Porto Alegre"/>
    <s v="RS"/>
    <n v="4018"/>
    <x v="12"/>
    <s v="Sao Jose"/>
    <s v="SC"/>
    <x v="0"/>
    <s v="SC"/>
    <n v="680.15"/>
    <n v="1"/>
    <n v="0.77600000000000002"/>
    <n v="6500948"/>
    <x v="0"/>
    <s v="Porto Alegre"/>
    <s v="Convencional"/>
    <n v="5"/>
    <d v="2019-05-31T00:00:00"/>
    <x v="488"/>
    <x v="0"/>
    <d v="2019-06-05T00:00:00"/>
    <x v="1"/>
    <x v="0"/>
    <n v="0"/>
    <n v="1"/>
  </r>
  <r>
    <d v="2019-05-31T00:00:00"/>
    <n v="12143"/>
    <s v="WHPOA"/>
    <s v="Porto Alegre"/>
    <s v="RS"/>
    <n v="4018"/>
    <x v="12"/>
    <s v="Sao Jose"/>
    <s v="SC"/>
    <x v="0"/>
    <s v="SC"/>
    <n v="17744.71"/>
    <n v="20"/>
    <n v="77.218000000000004"/>
    <n v="6500948"/>
    <x v="0"/>
    <s v="Porto Alegre"/>
    <s v="Convencional"/>
    <n v="2"/>
    <d v="2019-05-31T00:00:00"/>
    <x v="485"/>
    <x v="2"/>
    <d v="2019-06-02T00:00:00"/>
    <x v="1"/>
    <x v="1"/>
    <n v="0"/>
    <n v="1"/>
  </r>
  <r>
    <d v="2019-05-31T00:00:00"/>
    <n v="12144"/>
    <s v="WHPOA"/>
    <s v="Porto Alegre"/>
    <s v="RS"/>
    <n v="4014"/>
    <x v="3"/>
    <s v="Ipatinga"/>
    <s v="MG"/>
    <x v="2"/>
    <s v="MG"/>
    <n v="2723.35"/>
    <n v="1"/>
    <n v="1.1200000000000001"/>
    <n v="6600879"/>
    <x v="2"/>
    <s v="Belo Horizonte"/>
    <s v="Convencional"/>
    <n v="11"/>
    <d v="2019-05-31T00:00:00"/>
    <x v="485"/>
    <x v="2"/>
    <d v="2019-06-11T00:00:00"/>
    <x v="0"/>
    <x v="1"/>
    <n v="0"/>
    <n v="1"/>
  </r>
  <r>
    <d v="2019-05-31T00:00:00"/>
    <n v="12145"/>
    <s v="WHSJC"/>
    <s v="Sao Jose dos Campos"/>
    <s v="SP"/>
    <n v="4014"/>
    <x v="3"/>
    <s v="Ipatinga"/>
    <s v="MG"/>
    <x v="2"/>
    <s v="MG"/>
    <n v="684.09"/>
    <n v="1"/>
    <n v="0.77600000000000002"/>
    <n v="6600879"/>
    <x v="2"/>
    <s v="Belo Horizonte"/>
    <s v="Convencional"/>
    <n v="12"/>
    <d v="2019-05-31T00:00:00"/>
    <x v="489"/>
    <x v="2"/>
    <d v="2019-06-12T00:00:00"/>
    <x v="0"/>
    <x v="1"/>
    <n v="0"/>
    <n v="1"/>
  </r>
  <r>
    <d v="2019-05-31T00:00:00"/>
    <n v="12146"/>
    <s v="WHBH"/>
    <s v="Belo Horizonte"/>
    <s v="MG"/>
    <n v="4056"/>
    <x v="44"/>
    <s v="Goiania"/>
    <s v="GO"/>
    <x v="1"/>
    <s v="GO"/>
    <n v="5355.1"/>
    <n v="13"/>
    <n v="21.698"/>
    <n v="6100231"/>
    <x v="1"/>
    <s v="Goiania"/>
    <s v="Convencional"/>
    <n v="10"/>
    <d v="2019-05-31T00:00:00"/>
    <x v="488"/>
    <x v="0"/>
    <d v="2019-06-10T00:00:00"/>
    <x v="0"/>
    <x v="0"/>
    <n v="1"/>
    <n v="1"/>
  </r>
  <r>
    <d v="2019-05-31T00:00:00"/>
    <n v="12147"/>
    <s v="WHCPQ"/>
    <s v="Campinas"/>
    <s v="SP"/>
    <n v="4056"/>
    <x v="44"/>
    <s v="Goiania"/>
    <s v="GO"/>
    <x v="1"/>
    <s v="GO"/>
    <n v="760.54"/>
    <n v="1"/>
    <n v="1.1200000000000001"/>
    <n v="6100231"/>
    <x v="1"/>
    <s v="Goiania"/>
    <s v="Convencional"/>
    <n v="1"/>
    <d v="2019-05-31T00:00:00"/>
    <x v="483"/>
    <x v="0"/>
    <d v="2019-06-01T00:00:00"/>
    <x v="1"/>
    <x v="0"/>
    <n v="0"/>
    <n v="1"/>
  </r>
  <r>
    <d v="2019-05-31T00:00:00"/>
    <n v="12148"/>
    <s v="WHRJ"/>
    <s v="Rio De Janeiro"/>
    <s v="RJ"/>
    <n v="4014"/>
    <x v="3"/>
    <s v="Ipatinga"/>
    <s v="MG"/>
    <x v="2"/>
    <s v="MG"/>
    <n v="82.12"/>
    <n v="1"/>
    <n v="0.32100000000000001"/>
    <n v="6600879"/>
    <x v="2"/>
    <s v="Belo Horizonte"/>
    <s v="Convencional"/>
    <n v="6"/>
    <d v="2019-05-31T00:00:00"/>
    <x v="480"/>
    <x v="0"/>
    <d v="2019-06-06T00:00:00"/>
    <x v="0"/>
    <x v="0"/>
    <n v="1"/>
    <n v="1"/>
  </r>
  <r>
    <d v="2019-05-31T00:00:00"/>
    <n v="12149"/>
    <s v="WHRJ"/>
    <s v="Rio De Janeiro"/>
    <s v="RJ"/>
    <n v="4056"/>
    <x v="44"/>
    <s v="Goiania"/>
    <s v="GO"/>
    <x v="1"/>
    <s v="GO"/>
    <n v="1088.81"/>
    <n v="2"/>
    <n v="5.5549999999999997"/>
    <n v="6100231"/>
    <x v="1"/>
    <s v="Goiania"/>
    <s v="Convencional"/>
    <n v="7"/>
    <d v="2019-05-31T00:00:00"/>
    <x v="490"/>
    <x v="0"/>
    <d v="2019-06-07T00:00:00"/>
    <x v="0"/>
    <x v="0"/>
    <n v="1"/>
    <n v="1"/>
  </r>
  <r>
    <d v="2019-05-31T00:00:00"/>
    <n v="12150"/>
    <s v="WHCPQ"/>
    <s v="Campinas"/>
    <s v="SP"/>
    <n v="4056"/>
    <x v="44"/>
    <s v="Goiania"/>
    <s v="GO"/>
    <x v="1"/>
    <s v="GO"/>
    <n v="1356.62"/>
    <n v="2"/>
    <n v="1.3480000000000001"/>
    <n v="6100231"/>
    <x v="1"/>
    <s v="Goiania"/>
    <s v="Convencional"/>
    <n v="2"/>
    <d v="2019-05-31T00:00:00"/>
    <x v="490"/>
    <x v="0"/>
    <d v="2019-06-02T00:00:00"/>
    <x v="1"/>
    <x v="0"/>
    <n v="0"/>
    <n v="1"/>
  </r>
  <r>
    <d v="2019-05-31T00:00:00"/>
    <n v="12151"/>
    <s v="WHPOA"/>
    <s v="Porto Alegre"/>
    <s v="RS"/>
    <n v="4014"/>
    <x v="3"/>
    <s v="Ipatinga"/>
    <s v="MG"/>
    <x v="2"/>
    <s v="MG"/>
    <n v="1117.75"/>
    <n v="3"/>
    <n v="40.26"/>
    <n v="6600879"/>
    <x v="2"/>
    <s v="Belo Horizonte"/>
    <s v="Convencional"/>
    <n v="10"/>
    <d v="2019-05-31T00:00:00"/>
    <x v="482"/>
    <x v="0"/>
    <d v="2019-06-10T00:00:00"/>
    <x v="0"/>
    <x v="0"/>
    <n v="1"/>
    <n v="1"/>
  </r>
  <r>
    <d v="2019-05-31T00:00:00"/>
    <n v="12152"/>
    <s v="WHVIT"/>
    <s v="Vitoria"/>
    <s v="ES"/>
    <n v="4056"/>
    <x v="44"/>
    <s v="Goiania"/>
    <s v="GO"/>
    <x v="1"/>
    <s v="GO"/>
    <n v="1834.17"/>
    <n v="8"/>
    <n v="63.965000000000003"/>
    <n v="6100231"/>
    <x v="1"/>
    <s v="Goiania"/>
    <s v="Convencional"/>
    <n v="10"/>
    <d v="2019-05-31T00:00:00"/>
    <x v="488"/>
    <x v="0"/>
    <d v="2019-06-10T00:00:00"/>
    <x v="0"/>
    <x v="0"/>
    <n v="1"/>
    <n v="1"/>
  </r>
  <r>
    <d v="2019-05-31T00:00:00"/>
    <n v="12153"/>
    <s v="WHSAO"/>
    <s v="Sao Paulo"/>
    <s v="SP"/>
    <n v="4056"/>
    <x v="44"/>
    <s v="Goiania"/>
    <s v="GO"/>
    <x v="1"/>
    <s v="GO"/>
    <n v="757.92"/>
    <n v="1"/>
    <n v="1.1200000000000001"/>
    <n v="6100231"/>
    <x v="1"/>
    <s v="Goiania"/>
    <s v="Convencional"/>
    <n v="2"/>
    <d v="2019-05-31T00:00:00"/>
    <x v="487"/>
    <x v="0"/>
    <d v="2019-06-02T00:00:00"/>
    <x v="1"/>
    <x v="0"/>
    <n v="0"/>
    <n v="1"/>
  </r>
  <r>
    <d v="2019-06-01T00:00:00"/>
    <n v="12154"/>
    <s v="WHPOA"/>
    <s v="Porto Alegre"/>
    <s v="RS"/>
    <n v="4172"/>
    <x v="160"/>
    <s v="Santos"/>
    <s v="SP"/>
    <x v="2"/>
    <s v="SP"/>
    <n v="781.09"/>
    <n v="1"/>
    <n v="1.1919999999999999"/>
    <n v="6400835"/>
    <x v="3"/>
    <s v="Guarulhos"/>
    <s v="Convencional"/>
    <n v="11"/>
    <d v="2019-06-01T00:00:00"/>
    <x v="491"/>
    <x v="0"/>
    <d v="2019-06-12T00:00:00"/>
    <x v="0"/>
    <x v="0"/>
    <n v="1"/>
    <n v="1"/>
  </r>
  <r>
    <d v="2019-06-04T00:00:00"/>
    <n v="12155"/>
    <s v="WHVIT"/>
    <s v="Vitoria"/>
    <s v="ES"/>
    <n v="4171"/>
    <x v="159"/>
    <s v="Manaus"/>
    <s v="AM"/>
    <x v="4"/>
    <s v="AM"/>
    <n v="4678.32"/>
    <n v="7"/>
    <n v="20.073"/>
    <n v="6700091"/>
    <x v="6"/>
    <s v="Manaus"/>
    <s v="Convencional"/>
    <n v="1"/>
    <d v="2019-06-04T00:00:00"/>
    <x v="492"/>
    <x v="0"/>
    <d v="2019-06-05T00:00:00"/>
    <x v="1"/>
    <x v="0"/>
    <n v="0"/>
    <n v="1"/>
  </r>
  <r>
    <d v="2019-06-04T00:00:00"/>
    <n v="12156"/>
    <s v="WHPOA"/>
    <s v="Porto Alegre"/>
    <s v="RS"/>
    <n v="4159"/>
    <x v="147"/>
    <s v="Manaus"/>
    <s v="AM"/>
    <x v="4"/>
    <s v="AM"/>
    <n v="363.79"/>
    <n v="1"/>
    <n v="1.1200000000000001"/>
    <n v="6700091"/>
    <x v="6"/>
    <s v="Manaus"/>
    <s v="Convencional"/>
    <n v="12"/>
    <d v="2019-06-04T00:00:00"/>
    <x v="488"/>
    <x v="0"/>
    <d v="2019-06-16T00:00:00"/>
    <x v="0"/>
    <x v="0"/>
    <n v="1"/>
    <n v="1"/>
  </r>
  <r>
    <d v="2019-06-04T00:00:00"/>
    <n v="12157"/>
    <s v="WHBH"/>
    <s v="Belo Horizonte"/>
    <s v="MG"/>
    <n v="4155"/>
    <x v="143"/>
    <s v="Sao Paulo"/>
    <s v="SP"/>
    <x v="2"/>
    <s v="SP"/>
    <n v="794.36"/>
    <n v="2"/>
    <n v="2.0150000000000001"/>
    <n v="6400835"/>
    <x v="3"/>
    <s v="Guarulhos"/>
    <s v="Convencional"/>
    <n v="9"/>
    <d v="2019-06-04T00:00:00"/>
    <x v="493"/>
    <x v="0"/>
    <d v="2019-06-13T00:00:00"/>
    <x v="1"/>
    <x v="0"/>
    <n v="0"/>
    <n v="1"/>
  </r>
  <r>
    <d v="2019-06-05T00:00:00"/>
    <n v="12158"/>
    <s v="WHVIT"/>
    <s v="Vitoria"/>
    <s v="ES"/>
    <n v="4113"/>
    <x v="101"/>
    <s v="Rio De Janeiro"/>
    <s v="RJ"/>
    <x v="2"/>
    <s v="RJ"/>
    <n v="802.47"/>
    <n v="1"/>
    <n v="1.1200000000000001"/>
    <n v="6140092"/>
    <x v="4"/>
    <s v="Rio de Janeiro"/>
    <s v="Convencional"/>
    <n v="9"/>
    <d v="2019-06-05T00:00:00"/>
    <x v="491"/>
    <x v="0"/>
    <d v="2019-06-14T00:00:00"/>
    <x v="0"/>
    <x v="0"/>
    <n v="1"/>
    <n v="1"/>
  </r>
  <r>
    <d v="2019-06-05T00:00:00"/>
    <n v="12159"/>
    <s v="WHPOA"/>
    <s v="Porto Alegre"/>
    <s v="RS"/>
    <n v="4069"/>
    <x v="57"/>
    <s v="Brasilia"/>
    <s v="DF"/>
    <x v="1"/>
    <s v="DF"/>
    <n v="5503.01"/>
    <n v="3"/>
    <n v="43.34"/>
    <n v="6100231"/>
    <x v="1"/>
    <s v="Goiania"/>
    <s v="Convencional"/>
    <n v="9"/>
    <d v="2019-06-05T00:00:00"/>
    <x v="485"/>
    <x v="0"/>
    <d v="2019-06-14T00:00:00"/>
    <x v="0"/>
    <x v="0"/>
    <n v="1"/>
    <n v="1"/>
  </r>
  <r>
    <d v="2019-06-05T00:00:00"/>
    <n v="12160"/>
    <s v="WHCPQ"/>
    <s v="Campinas"/>
    <s v="SP"/>
    <n v="4113"/>
    <x v="101"/>
    <s v="Rio De Janeiro"/>
    <s v="RJ"/>
    <x v="2"/>
    <s v="RJ"/>
    <n v="89.87"/>
    <n v="1"/>
    <n v="0.11"/>
    <n v="6140092"/>
    <x v="4"/>
    <s v="Rio de Janeiro"/>
    <s v="Convencional"/>
    <n v="4"/>
    <d v="2019-06-05T00:00:00"/>
    <x v="494"/>
    <x v="0"/>
    <d v="2019-06-09T00:00:00"/>
    <x v="1"/>
    <x v="0"/>
    <n v="0"/>
    <n v="1"/>
  </r>
  <r>
    <d v="2019-06-06T00:00:00"/>
    <n v="12161"/>
    <s v="WHRJ"/>
    <s v="Rio De Janeiro"/>
    <s v="RJ"/>
    <n v="4068"/>
    <x v="4"/>
    <s v="Campo Grande"/>
    <s v="MS"/>
    <x v="1"/>
    <s v="MS"/>
    <n v="5313.25"/>
    <n v="8"/>
    <n v="17.23"/>
    <n v="6100231"/>
    <x v="1"/>
    <s v="Goiania"/>
    <s v="Convencional"/>
    <n v="10"/>
    <d v="2019-06-06T00:00:00"/>
    <x v="495"/>
    <x v="0"/>
    <d v="2019-06-16T00:00:00"/>
    <x v="0"/>
    <x v="0"/>
    <n v="1"/>
    <n v="1"/>
  </r>
  <r>
    <d v="2019-06-07T00:00:00"/>
    <n v="12162"/>
    <s v="WHSAO"/>
    <s v="Sao Paulo"/>
    <s v="SP"/>
    <n v="4045"/>
    <x v="49"/>
    <s v="Belo Horizonte"/>
    <s v="MG"/>
    <x v="2"/>
    <s v="MG"/>
    <n v="89.87"/>
    <n v="1"/>
    <n v="0.11"/>
    <n v="6600879"/>
    <x v="2"/>
    <s v="Belo Horizonte"/>
    <s v="Convencional"/>
    <n v="1"/>
    <d v="2019-06-07T00:00:00"/>
    <x v="489"/>
    <x v="0"/>
    <d v="2019-06-08T00:00:00"/>
    <x v="0"/>
    <x v="0"/>
    <n v="1"/>
    <n v="1"/>
  </r>
  <r>
    <d v="2019-06-07T00:00:00"/>
    <n v="12163"/>
    <s v="WHSJC"/>
    <s v="Sao Jose dos Campos"/>
    <s v="SP"/>
    <n v="4045"/>
    <x v="49"/>
    <s v="Belo Horizonte"/>
    <s v="MG"/>
    <x v="2"/>
    <s v="MG"/>
    <n v="379.68"/>
    <n v="1"/>
    <n v="4.4039999999999999"/>
    <n v="6600879"/>
    <x v="2"/>
    <s v="Belo Horizonte"/>
    <s v="Convencional"/>
    <n v="2"/>
    <d v="2019-06-07T00:00:00"/>
    <x v="489"/>
    <x v="0"/>
    <d v="2019-06-09T00:00:00"/>
    <x v="0"/>
    <x v="0"/>
    <n v="1"/>
    <n v="1"/>
  </r>
  <r>
    <d v="2019-06-07T00:00:00"/>
    <n v="12164"/>
    <s v="WHPOA"/>
    <s v="Porto Alegre"/>
    <s v="RS"/>
    <n v="4022"/>
    <x v="19"/>
    <s v="Maringa"/>
    <s v="PR"/>
    <x v="0"/>
    <s v="PR"/>
    <n v="478.67"/>
    <n v="1"/>
    <n v="0.51700000000000002"/>
    <n v="6500948"/>
    <x v="0"/>
    <s v="Porto Alegre"/>
    <s v="Convencional"/>
    <n v="4"/>
    <d v="2019-06-07T00:00:00"/>
    <x v="493"/>
    <x v="0"/>
    <d v="2019-06-11T00:00:00"/>
    <x v="1"/>
    <x v="0"/>
    <n v="0"/>
    <n v="1"/>
  </r>
  <r>
    <d v="2019-06-07T00:00:00"/>
    <n v="12165"/>
    <s v="WHRJ"/>
    <s v="Rio De Janeiro"/>
    <s v="RJ"/>
    <n v="4022"/>
    <x v="19"/>
    <s v="Maringa"/>
    <s v="PR"/>
    <x v="0"/>
    <s v="PR"/>
    <n v="1582.33"/>
    <n v="3"/>
    <n v="13.285"/>
    <n v="6500948"/>
    <x v="0"/>
    <s v="Porto Alegre"/>
    <s v="Convencional"/>
    <n v="10"/>
    <d v="2019-06-07T00:00:00"/>
    <x v="487"/>
    <x v="0"/>
    <d v="2019-06-17T00:00:00"/>
    <x v="0"/>
    <x v="0"/>
    <n v="1"/>
    <n v="1"/>
  </r>
  <r>
    <d v="2019-06-06T00:00:00"/>
    <n v="12166"/>
    <s v="WHCPQ"/>
    <s v="Campinas"/>
    <s v="SP"/>
    <n v="4045"/>
    <x v="49"/>
    <s v="Belo Horizonte"/>
    <s v="MG"/>
    <x v="2"/>
    <s v="MG"/>
    <n v="320.5"/>
    <n v="1"/>
    <n v="1.1200000000000001"/>
    <n v="6600879"/>
    <x v="2"/>
    <s v="Belo Horizonte"/>
    <s v="Convencional"/>
    <n v="10"/>
    <d v="2019-06-07T00:00:00"/>
    <x v="496"/>
    <x v="0"/>
    <d v="2019-06-17T00:00:00"/>
    <x v="0"/>
    <x v="0"/>
    <n v="1"/>
    <n v="1"/>
  </r>
  <r>
    <d v="2019-06-06T00:00:00"/>
    <n v="12167"/>
    <s v="WHSJC"/>
    <s v="Sao Jose dos Campos"/>
    <s v="SP"/>
    <n v="4045"/>
    <x v="49"/>
    <s v="Belo Horizonte"/>
    <s v="MG"/>
    <x v="2"/>
    <s v="MG"/>
    <n v="15904.02"/>
    <n v="19"/>
    <n v="121.20699999999999"/>
    <n v="6600879"/>
    <x v="2"/>
    <s v="Belo Horizonte"/>
    <s v="Convencional"/>
    <n v="4"/>
    <d v="2019-06-07T00:00:00"/>
    <x v="496"/>
    <x v="0"/>
    <d v="2019-06-11T00:00:00"/>
    <x v="1"/>
    <x v="0"/>
    <n v="0"/>
    <n v="1"/>
  </r>
  <r>
    <d v="2019-06-06T00:00:00"/>
    <n v="12168"/>
    <s v="WHCPQ"/>
    <s v="Campinas"/>
    <s v="SP"/>
    <n v="4045"/>
    <x v="49"/>
    <s v="Belo Horizonte"/>
    <s v="MG"/>
    <x v="2"/>
    <s v="MG"/>
    <n v="478.27"/>
    <n v="1"/>
    <n v="1.1200000000000001"/>
    <n v="6600879"/>
    <x v="2"/>
    <s v="Belo Horizonte"/>
    <s v="Convencional"/>
    <n v="11"/>
    <d v="2019-06-07T00:00:00"/>
    <x v="495"/>
    <x v="0"/>
    <d v="2019-06-18T00:00:00"/>
    <x v="0"/>
    <x v="0"/>
    <n v="1"/>
    <n v="1"/>
  </r>
  <r>
    <d v="2019-06-07T00:00:00"/>
    <n v="12169"/>
    <s v="WHRJ"/>
    <s v="Rio De Janeiro"/>
    <s v="RJ"/>
    <n v="4083"/>
    <x v="71"/>
    <s v="Sao Jose Do Rio Preto"/>
    <s v="SP"/>
    <x v="2"/>
    <s v="SP"/>
    <n v="360.57"/>
    <n v="1"/>
    <n v="13.42"/>
    <n v="6400835"/>
    <x v="3"/>
    <s v="Guarulhos"/>
    <s v="Convencional"/>
    <n v="8"/>
    <d v="2019-06-08T00:00:00"/>
    <x v="491"/>
    <x v="0"/>
    <d v="2019-06-16T00:00:00"/>
    <x v="0"/>
    <x v="0"/>
    <n v="1"/>
    <n v="1"/>
  </r>
  <r>
    <d v="2019-06-07T00:00:00"/>
    <n v="12170"/>
    <s v="WHRJ"/>
    <s v="Rio De Janeiro"/>
    <s v="RJ"/>
    <n v="4083"/>
    <x v="71"/>
    <s v="Sao Jose Do Rio Preto"/>
    <s v="SP"/>
    <x v="2"/>
    <s v="SP"/>
    <n v="1193.72"/>
    <n v="1"/>
    <n v="6.7759999999999998"/>
    <n v="6400835"/>
    <x v="3"/>
    <s v="Guarulhos"/>
    <s v="Convencional"/>
    <n v="10"/>
    <d v="2019-06-08T00:00:00"/>
    <x v="495"/>
    <x v="0"/>
    <d v="2019-06-18T00:00:00"/>
    <x v="0"/>
    <x v="0"/>
    <n v="1"/>
    <n v="1"/>
  </r>
  <r>
    <d v="2019-06-07T00:00:00"/>
    <n v="12171"/>
    <s v="WHBH"/>
    <s v="Belo Horizonte"/>
    <s v="MG"/>
    <n v="4083"/>
    <x v="71"/>
    <s v="Sao Jose Do Rio Preto"/>
    <s v="SP"/>
    <x v="2"/>
    <s v="SP"/>
    <n v="33.369999999999997"/>
    <n v="1"/>
    <n v="0.49399999999999999"/>
    <n v="6400835"/>
    <x v="3"/>
    <s v="Guarulhos"/>
    <s v="Convencional"/>
    <n v="11"/>
    <d v="2019-06-08T00:00:00"/>
    <x v="493"/>
    <x v="0"/>
    <d v="2019-06-19T00:00:00"/>
    <x v="0"/>
    <x v="0"/>
    <n v="1"/>
    <n v="1"/>
  </r>
  <r>
    <d v="2019-06-07T00:00:00"/>
    <n v="12172"/>
    <s v="WHPOA"/>
    <s v="Porto Alegre"/>
    <s v="RS"/>
    <n v="4032"/>
    <x v="34"/>
    <s v="Goiania"/>
    <s v="GO"/>
    <x v="1"/>
    <s v="GO"/>
    <n v="1114.3599999999999"/>
    <n v="3"/>
    <n v="12.164"/>
    <n v="6100231"/>
    <x v="1"/>
    <s v="Goiania"/>
    <s v="Convencional"/>
    <n v="4"/>
    <d v="2019-06-08T00:00:00"/>
    <x v="487"/>
    <x v="0"/>
    <d v="2019-06-12T00:00:00"/>
    <x v="0"/>
    <x v="0"/>
    <n v="1"/>
    <n v="1"/>
  </r>
  <r>
    <d v="2019-06-07T00:00:00"/>
    <n v="12173"/>
    <s v="WHCPQ"/>
    <s v="Campinas"/>
    <s v="SP"/>
    <n v="4083"/>
    <x v="71"/>
    <s v="Sao Jose Do Rio Preto"/>
    <s v="SP"/>
    <x v="2"/>
    <s v="SP"/>
    <n v="67.489999999999995"/>
    <n v="1"/>
    <n v="1.1200000000000001"/>
    <n v="6400835"/>
    <x v="3"/>
    <s v="Guarulhos"/>
    <s v="Convencional"/>
    <n v="2"/>
    <d v="2019-06-08T00:00:00"/>
    <x v="487"/>
    <x v="0"/>
    <d v="2019-06-10T00:00:00"/>
    <x v="0"/>
    <x v="0"/>
    <n v="1"/>
    <n v="1"/>
  </r>
  <r>
    <d v="2019-06-07T00:00:00"/>
    <n v="12174"/>
    <s v="WHVIT"/>
    <s v="Vitoria"/>
    <s v="ES"/>
    <n v="4083"/>
    <x v="71"/>
    <s v="Sao Jose Do Rio Preto"/>
    <s v="SP"/>
    <x v="2"/>
    <s v="SP"/>
    <n v="6649.04"/>
    <n v="46"/>
    <n v="206.852"/>
    <n v="6400835"/>
    <x v="3"/>
    <s v="Guarulhos"/>
    <s v="Convencional"/>
    <n v="1"/>
    <d v="2019-06-08T00:00:00"/>
    <x v="491"/>
    <x v="1"/>
    <d v="2019-06-09T00:00:00"/>
    <x v="1"/>
    <x v="1"/>
    <n v="0"/>
    <n v="1"/>
  </r>
  <r>
    <d v="2019-06-07T00:00:00"/>
    <n v="12175"/>
    <s v="WHRJ"/>
    <s v="Rio De Janeiro"/>
    <s v="RJ"/>
    <n v="4083"/>
    <x v="71"/>
    <s v="Sao Jose Do Rio Preto"/>
    <s v="SP"/>
    <x v="2"/>
    <s v="SP"/>
    <n v="42315.96"/>
    <n v="1"/>
    <n v="1.1200000000000001"/>
    <n v="6400835"/>
    <x v="3"/>
    <s v="Guarulhos"/>
    <s v="Convencional"/>
    <n v="2"/>
    <d v="2019-06-08T00:00:00"/>
    <x v="493"/>
    <x v="0"/>
    <d v="2019-06-10T00:00:00"/>
    <x v="1"/>
    <x v="0"/>
    <n v="0"/>
    <n v="1"/>
  </r>
  <r>
    <d v="2019-06-10T00:00:00"/>
    <n v="12176"/>
    <s v="WHBH"/>
    <s v="Belo Horizonte"/>
    <s v="MG"/>
    <n v="4128"/>
    <x v="116"/>
    <s v="Recife"/>
    <s v="PE"/>
    <x v="3"/>
    <s v="PE"/>
    <n v="2985.45"/>
    <n v="4"/>
    <n v="5.7329999999999997"/>
    <n v="6900304"/>
    <x v="5"/>
    <s v="Fortaleza"/>
    <s v="Convencional"/>
    <n v="9"/>
    <d v="2019-06-11T00:00:00"/>
    <x v="493"/>
    <x v="0"/>
    <d v="2019-06-20T00:00:00"/>
    <x v="0"/>
    <x v="0"/>
    <n v="1"/>
    <n v="1"/>
  </r>
  <r>
    <d v="2019-06-10T00:00:00"/>
    <n v="12177"/>
    <s v="WHRJ"/>
    <s v="Rio De Janeiro"/>
    <s v="RJ"/>
    <n v="4068"/>
    <x v="4"/>
    <s v="Campo Grande"/>
    <s v="MS"/>
    <x v="1"/>
    <s v="MS"/>
    <n v="295.70999999999998"/>
    <n v="1"/>
    <n v="1.1200000000000001"/>
    <n v="6100231"/>
    <x v="1"/>
    <s v="Goiania"/>
    <s v="Convencional"/>
    <n v="2"/>
    <d v="2019-06-11T00:00:00"/>
    <x v="497"/>
    <x v="0"/>
    <d v="2019-06-13T00:00:00"/>
    <x v="1"/>
    <x v="0"/>
    <n v="0"/>
    <n v="1"/>
  </r>
  <r>
    <d v="2019-06-10T00:00:00"/>
    <n v="12178"/>
    <s v="WHSJC"/>
    <s v="Sao Jose dos Campos"/>
    <s v="SP"/>
    <n v="4018"/>
    <x v="12"/>
    <s v="Sao Jose"/>
    <s v="SC"/>
    <x v="0"/>
    <s v="SC"/>
    <n v="2379.5100000000002"/>
    <n v="6"/>
    <n v="80.52"/>
    <n v="6500948"/>
    <x v="0"/>
    <s v="Porto Alegre"/>
    <s v="Convencional"/>
    <n v="12"/>
    <d v="2019-06-11T00:00:00"/>
    <x v="494"/>
    <x v="1"/>
    <d v="2019-06-23T00:00:00"/>
    <x v="0"/>
    <x v="1"/>
    <n v="0"/>
    <n v="1"/>
  </r>
  <r>
    <d v="2019-06-10T00:00:00"/>
    <n v="12179"/>
    <s v="WHBH"/>
    <s v="Belo Horizonte"/>
    <s v="MG"/>
    <n v="4040"/>
    <x v="42"/>
    <s v="Brasilia"/>
    <s v="DF"/>
    <x v="1"/>
    <s v="DF"/>
    <n v="360.57"/>
    <n v="1"/>
    <n v="13.42"/>
    <n v="6100231"/>
    <x v="1"/>
    <s v="Goiania"/>
    <s v="Convencional"/>
    <n v="10"/>
    <d v="2019-06-11T00:00:00"/>
    <x v="492"/>
    <x v="0"/>
    <d v="2019-06-21T00:00:00"/>
    <x v="0"/>
    <x v="0"/>
    <n v="1"/>
    <n v="1"/>
  </r>
  <r>
    <d v="2019-06-10T00:00:00"/>
    <n v="12180"/>
    <s v="WHVIT"/>
    <s v="Vitoria"/>
    <s v="ES"/>
    <n v="4055"/>
    <x v="45"/>
    <s v="Brasilia"/>
    <s v="DF"/>
    <x v="1"/>
    <s v="DF"/>
    <n v="891.63"/>
    <n v="2"/>
    <n v="1.804"/>
    <n v="6100231"/>
    <x v="1"/>
    <s v="Goiania"/>
    <s v="Convencional"/>
    <n v="1"/>
    <d v="2019-06-11T00:00:00"/>
    <x v="496"/>
    <x v="0"/>
    <d v="2019-06-12T00:00:00"/>
    <x v="1"/>
    <x v="0"/>
    <n v="0"/>
    <n v="1"/>
  </r>
  <r>
    <d v="2019-06-10T00:00:00"/>
    <n v="12181"/>
    <s v="WHCPQ"/>
    <s v="Campinas"/>
    <s v="SP"/>
    <n v="4028"/>
    <x v="26"/>
    <s v="Sao Jose Dos Pinhais"/>
    <s v="PR"/>
    <x v="0"/>
    <s v="PR"/>
    <n v="270.62"/>
    <n v="1"/>
    <n v="1.1200000000000001"/>
    <n v="6500948"/>
    <x v="0"/>
    <s v="Porto Alegre"/>
    <s v="Convencional"/>
    <n v="3"/>
    <d v="2019-06-11T00:00:00"/>
    <x v="495"/>
    <x v="0"/>
    <d v="2019-06-14T00:00:00"/>
    <x v="1"/>
    <x v="0"/>
    <n v="0"/>
    <n v="1"/>
  </r>
  <r>
    <d v="2019-06-10T00:00:00"/>
    <n v="12182"/>
    <s v="WHSAO"/>
    <s v="Sao Paulo"/>
    <s v="SP"/>
    <n v="4040"/>
    <x v="42"/>
    <s v="Brasilia"/>
    <s v="DF"/>
    <x v="1"/>
    <s v="DF"/>
    <n v="721.17"/>
    <n v="2"/>
    <n v="26.84"/>
    <n v="6100231"/>
    <x v="1"/>
    <s v="Goiania"/>
    <s v="Convencional"/>
    <n v="3"/>
    <d v="2019-06-11T00:00:00"/>
    <x v="496"/>
    <x v="1"/>
    <d v="2019-06-14T00:00:00"/>
    <x v="1"/>
    <x v="1"/>
    <n v="0"/>
    <n v="1"/>
  </r>
  <r>
    <d v="2019-06-10T00:00:00"/>
    <n v="12183"/>
    <s v="WHSJC"/>
    <s v="Sao Jose dos Campos"/>
    <s v="SP"/>
    <n v="4055"/>
    <x v="45"/>
    <s v="Brasilia"/>
    <s v="DF"/>
    <x v="1"/>
    <s v="DF"/>
    <n v="5197.49"/>
    <n v="2"/>
    <n v="18.257000000000001"/>
    <n v="6100231"/>
    <x v="1"/>
    <s v="Goiania"/>
    <s v="Convencional"/>
    <n v="9"/>
    <d v="2019-06-11T00:00:00"/>
    <x v="498"/>
    <x v="2"/>
    <d v="2019-06-20T00:00:00"/>
    <x v="0"/>
    <x v="1"/>
    <n v="0"/>
    <n v="1"/>
  </r>
  <r>
    <d v="2019-06-10T00:00:00"/>
    <n v="12184"/>
    <s v="WHBH"/>
    <s v="Belo Horizonte"/>
    <s v="MG"/>
    <n v="4028"/>
    <x v="26"/>
    <s v="Sao Jose Dos Pinhais"/>
    <s v="PR"/>
    <x v="0"/>
    <s v="PR"/>
    <n v="2630.06"/>
    <n v="5"/>
    <n v="16.942"/>
    <n v="6500948"/>
    <x v="0"/>
    <s v="Porto Alegre"/>
    <s v="Convencional"/>
    <n v="6"/>
    <d v="2019-06-11T00:00:00"/>
    <x v="499"/>
    <x v="0"/>
    <d v="2019-06-17T00:00:00"/>
    <x v="0"/>
    <x v="0"/>
    <n v="1"/>
    <n v="1"/>
  </r>
  <r>
    <d v="2019-06-11T00:00:00"/>
    <n v="12185"/>
    <s v="WHCPQ"/>
    <s v="Campinas"/>
    <s v="SP"/>
    <n v="4161"/>
    <x v="149"/>
    <s v="Recife"/>
    <s v="PE"/>
    <x v="3"/>
    <s v="PE"/>
    <n v="3186.41"/>
    <n v="5"/>
    <n v="14.499000000000001"/>
    <n v="6900304"/>
    <x v="5"/>
    <s v="Fortaleza"/>
    <s v="Convencional"/>
    <n v="6"/>
    <d v="2019-06-12T00:00:00"/>
    <x v="500"/>
    <x v="1"/>
    <d v="2019-06-18T00:00:00"/>
    <x v="1"/>
    <x v="1"/>
    <n v="0"/>
    <n v="1"/>
  </r>
  <r>
    <d v="2019-06-11T00:00:00"/>
    <n v="12186"/>
    <s v="WHSAO"/>
    <s v="Sao Paulo"/>
    <s v="SP"/>
    <n v="4023"/>
    <x v="20"/>
    <s v="Sao Jose"/>
    <s v="SC"/>
    <x v="0"/>
    <s v="SC"/>
    <n v="1189.75"/>
    <n v="3"/>
    <n v="40.26"/>
    <n v="6500948"/>
    <x v="0"/>
    <s v="Porto Alegre"/>
    <s v="Convencional"/>
    <n v="1"/>
    <d v="2019-06-12T00:00:00"/>
    <x v="492"/>
    <x v="0"/>
    <d v="2019-06-13T00:00:00"/>
    <x v="0"/>
    <x v="0"/>
    <n v="1"/>
    <n v="1"/>
  </r>
  <r>
    <d v="2019-06-11T00:00:00"/>
    <n v="12187"/>
    <s v="WHCPQ"/>
    <s v="Campinas"/>
    <s v="SP"/>
    <n v="4022"/>
    <x v="19"/>
    <s v="Maringa"/>
    <s v="PR"/>
    <x v="0"/>
    <s v="PR"/>
    <n v="2589.75"/>
    <n v="1"/>
    <n v="8.9999999999999993E-3"/>
    <n v="6500948"/>
    <x v="0"/>
    <s v="Porto Alegre"/>
    <s v="Convencional"/>
    <n v="1"/>
    <d v="2019-06-12T00:00:00"/>
    <x v="495"/>
    <x v="0"/>
    <d v="2019-06-13T00:00:00"/>
    <x v="1"/>
    <x v="0"/>
    <n v="0"/>
    <n v="1"/>
  </r>
  <r>
    <d v="2019-06-11T00:00:00"/>
    <n v="12188"/>
    <s v="WHSJC"/>
    <s v="Sao Jose dos Campos"/>
    <s v="SP"/>
    <n v="4022"/>
    <x v="19"/>
    <s v="Maringa"/>
    <s v="PR"/>
    <x v="0"/>
    <s v="PR"/>
    <n v="352.55"/>
    <n v="4"/>
    <n v="15.03"/>
    <n v="6500948"/>
    <x v="0"/>
    <s v="Porto Alegre"/>
    <s v="Convencional"/>
    <n v="1"/>
    <d v="2019-06-12T00:00:00"/>
    <x v="499"/>
    <x v="0"/>
    <d v="2019-06-13T00:00:00"/>
    <x v="1"/>
    <x v="0"/>
    <n v="0"/>
    <n v="1"/>
  </r>
  <r>
    <d v="2019-06-12T00:00:00"/>
    <n v="12189"/>
    <s v="WHCPQ"/>
    <s v="Campinas"/>
    <s v="SP"/>
    <n v="4049"/>
    <x v="43"/>
    <s v="Taguatinga"/>
    <s v="DF"/>
    <x v="1"/>
    <s v="DF"/>
    <n v="2880.44"/>
    <n v="1"/>
    <n v="1.1200000000000001"/>
    <n v="6100231"/>
    <x v="1"/>
    <s v="Goiania"/>
    <s v="Convencional"/>
    <n v="5"/>
    <d v="2019-06-13T00:00:00"/>
    <x v="499"/>
    <x v="2"/>
    <d v="2019-06-18T00:00:00"/>
    <x v="0"/>
    <x v="1"/>
    <n v="0"/>
    <n v="1"/>
  </r>
  <r>
    <d v="2019-06-12T00:00:00"/>
    <n v="12190"/>
    <s v="WHPOA"/>
    <s v="Porto Alegre"/>
    <s v="RS"/>
    <n v="4035"/>
    <x v="37"/>
    <s v="Brasilia"/>
    <s v="DF"/>
    <x v="1"/>
    <s v="DF"/>
    <n v="25.63"/>
    <n v="1"/>
    <n v="0.112"/>
    <n v="6100231"/>
    <x v="1"/>
    <s v="Goiania"/>
    <s v="Convencional"/>
    <n v="6"/>
    <d v="2019-06-13T00:00:00"/>
    <x v="497"/>
    <x v="0"/>
    <d v="2019-06-19T00:00:00"/>
    <x v="1"/>
    <x v="0"/>
    <n v="0"/>
    <n v="1"/>
  </r>
  <r>
    <d v="2019-06-12T00:00:00"/>
    <n v="12191"/>
    <s v="WHSJC"/>
    <s v="Sao Jose dos Campos"/>
    <s v="SP"/>
    <n v="4049"/>
    <x v="43"/>
    <s v="Taguatinga"/>
    <s v="DF"/>
    <x v="1"/>
    <s v="DF"/>
    <n v="2770.17"/>
    <n v="5"/>
    <n v="19.855"/>
    <n v="6100231"/>
    <x v="1"/>
    <s v="Goiania"/>
    <s v="Convencional"/>
    <n v="5"/>
    <d v="2019-06-13T00:00:00"/>
    <x v="499"/>
    <x v="0"/>
    <d v="2019-06-18T00:00:00"/>
    <x v="0"/>
    <x v="0"/>
    <n v="1"/>
    <n v="1"/>
  </r>
  <r>
    <d v="2019-06-12T00:00:00"/>
    <n v="12192"/>
    <s v="WHBH"/>
    <s v="Belo Horizonte"/>
    <s v="MG"/>
    <n v="4049"/>
    <x v="43"/>
    <s v="Taguatinga"/>
    <s v="DF"/>
    <x v="1"/>
    <s v="DF"/>
    <n v="80.260000000000005"/>
    <n v="1"/>
    <n v="1.1200000000000001"/>
    <n v="6100231"/>
    <x v="1"/>
    <s v="Goiania"/>
    <s v="Convencional"/>
    <n v="5"/>
    <d v="2019-06-13T00:00:00"/>
    <x v="501"/>
    <x v="0"/>
    <d v="2019-06-18T00:00:00"/>
    <x v="1"/>
    <x v="0"/>
    <n v="0"/>
    <n v="1"/>
  </r>
  <r>
    <d v="2019-06-12T00:00:00"/>
    <n v="12193"/>
    <s v="WHSJC"/>
    <s v="Sao Jose dos Campos"/>
    <s v="SP"/>
    <n v="4035"/>
    <x v="37"/>
    <s v="Brasilia"/>
    <s v="DF"/>
    <x v="1"/>
    <s v="DF"/>
    <n v="3079.3"/>
    <n v="3"/>
    <n v="43.447000000000003"/>
    <n v="6100231"/>
    <x v="1"/>
    <s v="Goiania"/>
    <s v="Convencional"/>
    <n v="4"/>
    <d v="2019-06-13T00:00:00"/>
    <x v="495"/>
    <x v="0"/>
    <d v="2019-06-17T00:00:00"/>
    <x v="0"/>
    <x v="0"/>
    <n v="1"/>
    <n v="1"/>
  </r>
  <r>
    <d v="2019-06-12T00:00:00"/>
    <n v="12194"/>
    <s v="WHCPQ"/>
    <s v="Campinas"/>
    <s v="SP"/>
    <n v="4049"/>
    <x v="43"/>
    <s v="Taguatinga"/>
    <s v="DF"/>
    <x v="1"/>
    <s v="DF"/>
    <n v="238.63"/>
    <n v="1"/>
    <n v="1.1200000000000001"/>
    <n v="6100231"/>
    <x v="1"/>
    <s v="Goiania"/>
    <s v="Convencional"/>
    <n v="12"/>
    <d v="2019-06-13T00:00:00"/>
    <x v="495"/>
    <x v="0"/>
    <d v="2019-06-25T00:00:00"/>
    <x v="0"/>
    <x v="0"/>
    <n v="1"/>
    <n v="1"/>
  </r>
  <r>
    <d v="2019-06-12T00:00:00"/>
    <n v="12195"/>
    <s v="WHSAO"/>
    <s v="Sao Paulo"/>
    <s v="SP"/>
    <n v="4035"/>
    <x v="37"/>
    <s v="Brasilia"/>
    <s v="DF"/>
    <x v="1"/>
    <s v="DF"/>
    <n v="2843.19"/>
    <n v="1"/>
    <n v="1.1200000000000001"/>
    <n v="6100231"/>
    <x v="1"/>
    <s v="Goiania"/>
    <s v="Convencional"/>
    <n v="11"/>
    <d v="2019-06-13T00:00:00"/>
    <x v="497"/>
    <x v="0"/>
    <d v="2019-06-24T00:00:00"/>
    <x v="0"/>
    <x v="0"/>
    <n v="1"/>
    <n v="1"/>
  </r>
  <r>
    <d v="2019-06-12T00:00:00"/>
    <n v="12196"/>
    <s v="WHVIT"/>
    <s v="Vitoria"/>
    <s v="ES"/>
    <n v="4049"/>
    <x v="43"/>
    <s v="Taguatinga"/>
    <s v="DF"/>
    <x v="1"/>
    <s v="DF"/>
    <n v="1524.66"/>
    <n v="2"/>
    <n v="11.44"/>
    <n v="6100231"/>
    <x v="1"/>
    <s v="Goiania"/>
    <s v="Convencional"/>
    <n v="12"/>
    <d v="2019-06-13T00:00:00"/>
    <x v="502"/>
    <x v="0"/>
    <d v="2019-06-25T00:00:00"/>
    <x v="0"/>
    <x v="0"/>
    <n v="1"/>
    <n v="1"/>
  </r>
  <r>
    <d v="2019-06-12T00:00:00"/>
    <n v="12197"/>
    <s v="WHCPQ"/>
    <s v="Campinas"/>
    <s v="SP"/>
    <n v="4049"/>
    <x v="43"/>
    <s v="Taguatinga"/>
    <s v="DF"/>
    <x v="1"/>
    <s v="DF"/>
    <n v="1638.44"/>
    <n v="4"/>
    <n v="13.255000000000001"/>
    <n v="6100231"/>
    <x v="1"/>
    <s v="Goiania"/>
    <s v="Convencional"/>
    <n v="7"/>
    <d v="2019-06-13T00:00:00"/>
    <x v="496"/>
    <x v="0"/>
    <d v="2019-06-20T00:00:00"/>
    <x v="0"/>
    <x v="0"/>
    <n v="1"/>
    <n v="1"/>
  </r>
  <r>
    <d v="2019-06-12T00:00:00"/>
    <n v="12198"/>
    <s v="WHBH"/>
    <s v="Belo Horizonte"/>
    <s v="MG"/>
    <n v="4049"/>
    <x v="43"/>
    <s v="Taguatinga"/>
    <s v="DF"/>
    <x v="1"/>
    <s v="DF"/>
    <n v="771.29"/>
    <n v="7"/>
    <n v="19.669"/>
    <n v="6100231"/>
    <x v="1"/>
    <s v="Goiania"/>
    <s v="Convencional"/>
    <n v="10"/>
    <d v="2019-06-13T00:00:00"/>
    <x v="493"/>
    <x v="0"/>
    <d v="2019-06-23T00:00:00"/>
    <x v="0"/>
    <x v="0"/>
    <n v="1"/>
    <n v="1"/>
  </r>
  <r>
    <d v="2019-06-12T00:00:00"/>
    <n v="12199"/>
    <s v="WHPOA"/>
    <s v="Porto Alegre"/>
    <s v="RS"/>
    <n v="4049"/>
    <x v="43"/>
    <s v="Taguatinga"/>
    <s v="DF"/>
    <x v="1"/>
    <s v="DF"/>
    <n v="2269.46"/>
    <n v="1"/>
    <n v="1.1200000000000001"/>
    <n v="6100231"/>
    <x v="1"/>
    <s v="Goiania"/>
    <s v="Convencional"/>
    <n v="12"/>
    <d v="2019-06-13T00:00:00"/>
    <x v="493"/>
    <x v="0"/>
    <d v="2019-06-25T00:00:00"/>
    <x v="0"/>
    <x v="0"/>
    <n v="1"/>
    <n v="1"/>
  </r>
  <r>
    <d v="2019-06-12T00:00:00"/>
    <n v="12200"/>
    <s v="WHBH"/>
    <s v="Belo Horizonte"/>
    <s v="MG"/>
    <n v="4049"/>
    <x v="43"/>
    <s v="Taguatinga"/>
    <s v="DF"/>
    <x v="1"/>
    <s v="DF"/>
    <n v="951.94"/>
    <n v="1"/>
    <n v="1.1200000000000001"/>
    <n v="6100231"/>
    <x v="1"/>
    <s v="Goiania"/>
    <s v="Convencional"/>
    <n v="8"/>
    <d v="2019-06-13T00:00:00"/>
    <x v="499"/>
    <x v="0"/>
    <d v="2019-06-21T00:00:00"/>
    <x v="0"/>
    <x v="0"/>
    <n v="1"/>
    <n v="1"/>
  </r>
  <r>
    <d v="2019-06-12T00:00:00"/>
    <n v="12201"/>
    <s v="WHSJC"/>
    <s v="Sao Jose dos Campos"/>
    <s v="SP"/>
    <n v="4049"/>
    <x v="43"/>
    <s v="Taguatinga"/>
    <s v="DF"/>
    <x v="1"/>
    <s v="DF"/>
    <n v="11995.68"/>
    <n v="20"/>
    <n v="103.41800000000001"/>
    <n v="6100231"/>
    <x v="1"/>
    <s v="Goiania"/>
    <s v="Convencional"/>
    <n v="9"/>
    <d v="2019-06-13T00:00:00"/>
    <x v="498"/>
    <x v="0"/>
    <d v="2019-06-22T00:00:00"/>
    <x v="0"/>
    <x v="0"/>
    <n v="1"/>
    <n v="1"/>
  </r>
  <r>
    <d v="2019-06-13T00:00:00"/>
    <n v="12202"/>
    <s v="WHSAO"/>
    <s v="Sao Paulo"/>
    <s v="SP"/>
    <n v="4033"/>
    <x v="35"/>
    <s v="Goiania"/>
    <s v="GO"/>
    <x v="1"/>
    <s v="GO"/>
    <n v="1721.32"/>
    <n v="1"/>
    <n v="1.1200000000000001"/>
    <n v="6100231"/>
    <x v="1"/>
    <s v="Goiania"/>
    <s v="Convencional"/>
    <n v="11"/>
    <d v="2019-06-14T00:00:00"/>
    <x v="498"/>
    <x v="0"/>
    <d v="2019-06-25T00:00:00"/>
    <x v="0"/>
    <x v="0"/>
    <n v="1"/>
    <n v="1"/>
  </r>
  <r>
    <d v="2019-06-13T00:00:00"/>
    <n v="12203"/>
    <s v="WHVIT"/>
    <s v="Vitoria"/>
    <s v="ES"/>
    <n v="4156"/>
    <x v="144"/>
    <s v="Rio Grande do Sul"/>
    <s v="RS"/>
    <x v="0"/>
    <s v="RS"/>
    <n v="869.76"/>
    <n v="1"/>
    <n v="14.177"/>
    <n v="6500948"/>
    <x v="0"/>
    <s v="Porto Alegre"/>
    <s v="Convencional"/>
    <n v="11"/>
    <d v="2019-06-14T00:00:00"/>
    <x v="499"/>
    <x v="0"/>
    <d v="2019-06-25T00:00:00"/>
    <x v="0"/>
    <x v="0"/>
    <n v="1"/>
    <n v="1"/>
  </r>
  <r>
    <d v="2019-06-13T00:00:00"/>
    <n v="12204"/>
    <s v="WHRJ"/>
    <s v="Rio De Janeiro"/>
    <s v="RJ"/>
    <n v="4166"/>
    <x v="154"/>
    <s v="Manaus"/>
    <s v="AM"/>
    <x v="4"/>
    <s v="AM"/>
    <n v="1779.17"/>
    <n v="6"/>
    <n v="10.505000000000001"/>
    <n v="6700091"/>
    <x v="6"/>
    <s v="Manaus"/>
    <s v="Convencional"/>
    <n v="3"/>
    <d v="2019-06-14T00:00:00"/>
    <x v="501"/>
    <x v="0"/>
    <d v="2019-06-17T00:00:00"/>
    <x v="1"/>
    <x v="0"/>
    <n v="0"/>
    <n v="1"/>
  </r>
  <r>
    <d v="2019-06-13T00:00:00"/>
    <n v="12205"/>
    <s v="WHSJC"/>
    <s v="Sao Jose dos Campos"/>
    <s v="SP"/>
    <n v="4157"/>
    <x v="145"/>
    <s v="Belo Horizonte"/>
    <s v="MG"/>
    <x v="2"/>
    <s v="MG"/>
    <n v="15.44"/>
    <n v="1"/>
    <n v="1.1200000000000001"/>
    <n v="6600879"/>
    <x v="2"/>
    <s v="Belo Horizonte"/>
    <s v="Convencional"/>
    <n v="4"/>
    <d v="2019-06-14T00:00:00"/>
    <x v="502"/>
    <x v="0"/>
    <d v="2019-06-18T00:00:00"/>
    <x v="1"/>
    <x v="0"/>
    <n v="0"/>
    <n v="1"/>
  </r>
  <r>
    <d v="2019-06-13T00:00:00"/>
    <n v="12206"/>
    <s v="WHCPQ"/>
    <s v="Campinas"/>
    <s v="SP"/>
    <n v="4154"/>
    <x v="142"/>
    <s v="Recife"/>
    <s v="PE"/>
    <x v="3"/>
    <s v="PE"/>
    <n v="544.78"/>
    <n v="1"/>
    <n v="1.1200000000000001"/>
    <n v="6900304"/>
    <x v="5"/>
    <s v="Fortaleza"/>
    <s v="Convencional"/>
    <n v="3"/>
    <d v="2019-06-14T00:00:00"/>
    <x v="495"/>
    <x v="0"/>
    <d v="2019-06-17T00:00:00"/>
    <x v="0"/>
    <x v="0"/>
    <n v="1"/>
    <n v="1"/>
  </r>
  <r>
    <d v="2019-06-13T00:00:00"/>
    <n v="12207"/>
    <s v="WHVIT"/>
    <s v="Vitoria"/>
    <s v="ES"/>
    <n v="4173"/>
    <x v="161"/>
    <s v="Belo Horizonte"/>
    <s v="MG"/>
    <x v="2"/>
    <s v="MG"/>
    <n v="9699.61"/>
    <n v="16"/>
    <n v="172.97300000000001"/>
    <n v="6600879"/>
    <x v="2"/>
    <s v="Belo Horizonte"/>
    <s v="Convencional"/>
    <n v="12"/>
    <d v="2019-06-14T00:00:00"/>
    <x v="501"/>
    <x v="0"/>
    <d v="2019-06-26T00:00:00"/>
    <x v="0"/>
    <x v="0"/>
    <n v="1"/>
    <n v="1"/>
  </r>
  <r>
    <d v="2019-06-13T00:00:00"/>
    <n v="12208"/>
    <s v="WHBH"/>
    <s v="Belo Horizonte"/>
    <s v="MG"/>
    <n v="4136"/>
    <x v="124"/>
    <s v="Belo Horizonte"/>
    <s v="MG"/>
    <x v="2"/>
    <s v="MG"/>
    <n v="1269.8"/>
    <n v="1"/>
    <n v="1.1200000000000001"/>
    <n v="6600879"/>
    <x v="2"/>
    <s v="Belo Horizonte"/>
    <s v="Convencional"/>
    <n v="10"/>
    <d v="2019-06-14T00:00:00"/>
    <x v="495"/>
    <x v="0"/>
    <d v="2019-06-24T00:00:00"/>
    <x v="0"/>
    <x v="0"/>
    <n v="1"/>
    <n v="1"/>
  </r>
  <r>
    <d v="2019-06-13T00:00:00"/>
    <n v="12209"/>
    <s v="WHBH"/>
    <s v="Belo Horizonte"/>
    <s v="MG"/>
    <n v="4084"/>
    <x v="72"/>
    <s v="Aracatuba"/>
    <s v="SP"/>
    <x v="2"/>
    <s v="SP"/>
    <n v="2632.04"/>
    <n v="7"/>
    <n v="93.94"/>
    <n v="6400835"/>
    <x v="3"/>
    <s v="Guarulhos"/>
    <s v="Convencional"/>
    <n v="12"/>
    <d v="2019-06-14T00:00:00"/>
    <x v="502"/>
    <x v="0"/>
    <d v="2019-06-26T00:00:00"/>
    <x v="0"/>
    <x v="0"/>
    <n v="1"/>
    <n v="1"/>
  </r>
  <r>
    <d v="2019-06-13T00:00:00"/>
    <n v="12210"/>
    <s v="WHRJ"/>
    <s v="Rio De Janeiro"/>
    <s v="RJ"/>
    <n v="4132"/>
    <x v="120"/>
    <s v="Santos"/>
    <s v="SP"/>
    <x v="2"/>
    <s v="SP"/>
    <n v="1886.37"/>
    <n v="2"/>
    <n v="1.8"/>
    <n v="6400835"/>
    <x v="3"/>
    <s v="Guarulhos"/>
    <s v="Convencional"/>
    <n v="6"/>
    <d v="2019-06-14T00:00:00"/>
    <x v="498"/>
    <x v="0"/>
    <d v="2019-06-20T00:00:00"/>
    <x v="0"/>
    <x v="0"/>
    <n v="1"/>
    <n v="1"/>
  </r>
  <r>
    <d v="2019-06-13T00:00:00"/>
    <n v="12211"/>
    <s v="WHRJ"/>
    <s v="Rio De Janeiro"/>
    <s v="RJ"/>
    <n v="4142"/>
    <x v="130"/>
    <s v="Manaus"/>
    <s v="AM"/>
    <x v="4"/>
    <s v="AM"/>
    <n v="401.92"/>
    <n v="1"/>
    <n v="8.1000000000000003E-2"/>
    <n v="6700091"/>
    <x v="6"/>
    <s v="Manaus"/>
    <s v="Convencional"/>
    <n v="5"/>
    <d v="2019-06-14T00:00:00"/>
    <x v="500"/>
    <x v="0"/>
    <d v="2019-06-19T00:00:00"/>
    <x v="0"/>
    <x v="0"/>
    <n v="1"/>
    <n v="1"/>
  </r>
  <r>
    <d v="2019-06-13T00:00:00"/>
    <n v="12212"/>
    <s v="WHSAO"/>
    <s v="Sao Paulo"/>
    <s v="SP"/>
    <n v="4023"/>
    <x v="20"/>
    <s v="Sao Jose"/>
    <s v="SC"/>
    <x v="0"/>
    <s v="SC"/>
    <n v="290.89"/>
    <n v="8"/>
    <n v="14.266999999999999"/>
    <n v="6500948"/>
    <x v="0"/>
    <s v="Porto Alegre"/>
    <s v="Convencional"/>
    <n v="11"/>
    <d v="2019-06-14T00:00:00"/>
    <x v="495"/>
    <x v="0"/>
    <d v="2019-06-25T00:00:00"/>
    <x v="0"/>
    <x v="0"/>
    <n v="1"/>
    <n v="1"/>
  </r>
  <r>
    <d v="2019-06-13T00:00:00"/>
    <n v="12213"/>
    <s v="WHBH"/>
    <s v="Belo Horizonte"/>
    <s v="MG"/>
    <n v="4100"/>
    <x v="88"/>
    <s v="Santos"/>
    <s v="SP"/>
    <x v="2"/>
    <s v="SP"/>
    <n v="802.47"/>
    <n v="1"/>
    <n v="1.1200000000000001"/>
    <n v="6400835"/>
    <x v="3"/>
    <s v="Guarulhos"/>
    <s v="Convencional"/>
    <n v="11"/>
    <d v="2019-06-14T00:00:00"/>
    <x v="503"/>
    <x v="0"/>
    <d v="2019-06-25T00:00:00"/>
    <x v="0"/>
    <x v="0"/>
    <n v="1"/>
    <n v="1"/>
  </r>
  <r>
    <d v="2019-06-13T00:00:00"/>
    <n v="12214"/>
    <s v="WHVIT"/>
    <s v="Vitoria"/>
    <s v="ES"/>
    <n v="4022"/>
    <x v="19"/>
    <s v="Maringa"/>
    <s v="PR"/>
    <x v="0"/>
    <s v="PR"/>
    <n v="3710.91"/>
    <n v="1"/>
    <n v="1.1200000000000001"/>
    <n v="6500948"/>
    <x v="0"/>
    <s v="Porto Alegre"/>
    <s v="Convencional"/>
    <n v="11"/>
    <d v="2019-06-14T00:00:00"/>
    <x v="502"/>
    <x v="0"/>
    <d v="2019-06-25T00:00:00"/>
    <x v="0"/>
    <x v="0"/>
    <n v="1"/>
    <n v="1"/>
  </r>
  <r>
    <d v="2019-06-13T00:00:00"/>
    <n v="12215"/>
    <s v="WHRJ"/>
    <s v="Rio De Janeiro"/>
    <s v="RJ"/>
    <n v="4032"/>
    <x v="34"/>
    <s v="Goiania"/>
    <s v="GO"/>
    <x v="1"/>
    <s v="GO"/>
    <n v="3340.76"/>
    <n v="7"/>
    <n v="36.51"/>
    <n v="6100231"/>
    <x v="1"/>
    <s v="Goiania"/>
    <s v="Convencional"/>
    <n v="1"/>
    <d v="2019-06-14T00:00:00"/>
    <x v="499"/>
    <x v="0"/>
    <d v="2019-06-15T00:00:00"/>
    <x v="1"/>
    <x v="0"/>
    <n v="0"/>
    <n v="1"/>
  </r>
  <r>
    <d v="2019-06-13T00:00:00"/>
    <n v="12216"/>
    <s v="WHBH"/>
    <s v="Belo Horizonte"/>
    <s v="MG"/>
    <n v="4032"/>
    <x v="34"/>
    <s v="Goiania"/>
    <s v="GO"/>
    <x v="1"/>
    <s v="GO"/>
    <n v="4765.47"/>
    <n v="8"/>
    <n v="161.053"/>
    <n v="6100231"/>
    <x v="1"/>
    <s v="Goiania"/>
    <s v="Convencional"/>
    <n v="2"/>
    <d v="2019-06-14T00:00:00"/>
    <x v="497"/>
    <x v="2"/>
    <d v="2019-06-16T00:00:00"/>
    <x v="1"/>
    <x v="1"/>
    <n v="0"/>
    <n v="1"/>
  </r>
  <r>
    <d v="2019-06-14T00:00:00"/>
    <n v="12217"/>
    <s v="WHSJC"/>
    <s v="Sao Jose dos Campos"/>
    <s v="SP"/>
    <n v="4156"/>
    <x v="144"/>
    <s v="Rio Grande do Sul"/>
    <s v="RS"/>
    <x v="0"/>
    <s v="RS"/>
    <n v="307.88"/>
    <n v="1"/>
    <n v="1.1000000000000001"/>
    <n v="6500948"/>
    <x v="0"/>
    <s v="Porto Alegre"/>
    <s v="Convencional"/>
    <n v="12"/>
    <d v="2019-06-15T00:00:00"/>
    <x v="500"/>
    <x v="0"/>
    <d v="2019-06-27T00:00:00"/>
    <x v="0"/>
    <x v="0"/>
    <n v="1"/>
    <n v="1"/>
  </r>
  <r>
    <d v="2019-06-14T00:00:00"/>
    <n v="12218"/>
    <s v="WHPOA"/>
    <s v="Porto Alegre"/>
    <s v="RS"/>
    <n v="4069"/>
    <x v="57"/>
    <s v="Brasilia"/>
    <s v="DF"/>
    <x v="1"/>
    <s v="DF"/>
    <n v="637.42999999999995"/>
    <n v="1"/>
    <n v="7.9749999999999996"/>
    <n v="6100231"/>
    <x v="1"/>
    <s v="Goiania"/>
    <s v="Convencional"/>
    <n v="2"/>
    <d v="2019-06-15T00:00:00"/>
    <x v="495"/>
    <x v="0"/>
    <d v="2019-06-17T00:00:00"/>
    <x v="0"/>
    <x v="0"/>
    <n v="1"/>
    <n v="1"/>
  </r>
  <r>
    <d v="2019-06-17T00:00:00"/>
    <n v="12219"/>
    <s v="WHSAO"/>
    <s v="Sao Paulo"/>
    <s v="SP"/>
    <n v="4168"/>
    <x v="156"/>
    <s v="Santos"/>
    <s v="SP"/>
    <x v="2"/>
    <s v="SP"/>
    <n v="988.95"/>
    <n v="1"/>
    <n v="0.44"/>
    <n v="6400835"/>
    <x v="3"/>
    <s v="Guarulhos"/>
    <s v="Convencional"/>
    <n v="5"/>
    <d v="2019-06-18T00:00:00"/>
    <x v="504"/>
    <x v="0"/>
    <d v="2019-06-23T00:00:00"/>
    <x v="1"/>
    <x v="0"/>
    <n v="0"/>
    <n v="1"/>
  </r>
  <r>
    <d v="2019-06-17T00:00:00"/>
    <n v="12220"/>
    <s v="WHSJC"/>
    <s v="Sao Jose dos Campos"/>
    <s v="SP"/>
    <n v="4165"/>
    <x v="153"/>
    <s v="Recife"/>
    <s v="PE"/>
    <x v="3"/>
    <s v="PE"/>
    <n v="597.1"/>
    <n v="1"/>
    <n v="22"/>
    <n v="6900304"/>
    <x v="5"/>
    <s v="Fortaleza"/>
    <s v="Convencional"/>
    <n v="2"/>
    <d v="2019-06-18T00:00:00"/>
    <x v="502"/>
    <x v="0"/>
    <d v="2019-06-20T00:00:00"/>
    <x v="1"/>
    <x v="0"/>
    <n v="0"/>
    <n v="1"/>
  </r>
  <r>
    <d v="2019-06-17T00:00:00"/>
    <n v="12221"/>
    <s v="WHCPQ"/>
    <s v="Campinas"/>
    <s v="SP"/>
    <n v="4133"/>
    <x v="121"/>
    <s v="Belo Horizonte"/>
    <s v="MG"/>
    <x v="2"/>
    <s v="MG"/>
    <n v="1106.5899999999999"/>
    <n v="2"/>
    <n v="23.672000000000001"/>
    <n v="6600879"/>
    <x v="2"/>
    <s v="Belo Horizonte"/>
    <s v="Convencional"/>
    <n v="5"/>
    <d v="2019-06-18T00:00:00"/>
    <x v="505"/>
    <x v="2"/>
    <d v="2019-06-23T00:00:00"/>
    <x v="1"/>
    <x v="1"/>
    <n v="0"/>
    <n v="1"/>
  </r>
  <r>
    <d v="2019-06-17T00:00:00"/>
    <n v="12222"/>
    <s v="WHCPQ"/>
    <s v="Campinas"/>
    <s v="SP"/>
    <n v="4143"/>
    <x v="131"/>
    <s v="Manaus"/>
    <s v="AM"/>
    <x v="4"/>
    <s v="AM"/>
    <n v="164.49"/>
    <n v="1"/>
    <n v="0.99"/>
    <n v="6700091"/>
    <x v="6"/>
    <s v="Manaus"/>
    <s v="Convencional"/>
    <n v="6"/>
    <d v="2019-06-18T00:00:00"/>
    <x v="503"/>
    <x v="0"/>
    <d v="2019-06-24T00:00:00"/>
    <x v="0"/>
    <x v="0"/>
    <n v="1"/>
    <n v="1"/>
  </r>
  <r>
    <d v="2019-06-17T00:00:00"/>
    <n v="12223"/>
    <s v="WHRJ"/>
    <s v="Rio De Janeiro"/>
    <s v="RJ"/>
    <n v="4162"/>
    <x v="150"/>
    <s v="Recife"/>
    <s v="PE"/>
    <x v="3"/>
    <s v="PE"/>
    <n v="544.58000000000004"/>
    <n v="1"/>
    <n v="1.76"/>
    <n v="6900304"/>
    <x v="5"/>
    <s v="Fortaleza"/>
    <s v="Convencional"/>
    <n v="4"/>
    <d v="2019-06-18T00:00:00"/>
    <x v="506"/>
    <x v="0"/>
    <d v="2019-06-22T00:00:00"/>
    <x v="1"/>
    <x v="0"/>
    <n v="0"/>
    <n v="1"/>
  </r>
  <r>
    <d v="2019-06-17T00:00:00"/>
    <n v="12224"/>
    <s v="WHRJ"/>
    <s v="Rio De Janeiro"/>
    <s v="RJ"/>
    <n v="4056"/>
    <x v="44"/>
    <s v="Goiania"/>
    <s v="GO"/>
    <x v="1"/>
    <s v="GO"/>
    <n v="7271.28"/>
    <n v="7"/>
    <n v="19.052"/>
    <n v="6100231"/>
    <x v="1"/>
    <s v="Goiania"/>
    <s v="Convencional"/>
    <n v="12"/>
    <d v="2019-06-18T00:00:00"/>
    <x v="504"/>
    <x v="0"/>
    <d v="2019-06-30T00:00:00"/>
    <x v="0"/>
    <x v="0"/>
    <n v="1"/>
    <n v="1"/>
  </r>
  <r>
    <d v="2019-06-17T00:00:00"/>
    <n v="12225"/>
    <s v="WHBH"/>
    <s v="Belo Horizonte"/>
    <s v="MG"/>
    <n v="4056"/>
    <x v="44"/>
    <s v="Goiania"/>
    <s v="GO"/>
    <x v="1"/>
    <s v="GO"/>
    <n v="2347.48"/>
    <n v="3"/>
    <n v="4.774"/>
    <n v="6100231"/>
    <x v="1"/>
    <s v="Goiania"/>
    <s v="Convencional"/>
    <n v="7"/>
    <d v="2019-06-18T00:00:00"/>
    <x v="502"/>
    <x v="0"/>
    <d v="2019-06-25T00:00:00"/>
    <x v="0"/>
    <x v="0"/>
    <n v="1"/>
    <n v="1"/>
  </r>
  <r>
    <d v="2019-06-17T00:00:00"/>
    <n v="12226"/>
    <s v="WHPOA"/>
    <s v="Porto Alegre"/>
    <s v="RS"/>
    <n v="4056"/>
    <x v="44"/>
    <s v="Goiania"/>
    <s v="GO"/>
    <x v="1"/>
    <s v="GO"/>
    <n v="3232.27"/>
    <n v="2"/>
    <n v="6.82"/>
    <n v="6100231"/>
    <x v="1"/>
    <s v="Goiania"/>
    <s v="Convencional"/>
    <n v="4"/>
    <d v="2019-06-18T00:00:00"/>
    <x v="506"/>
    <x v="0"/>
    <d v="2019-06-22T00:00:00"/>
    <x v="1"/>
    <x v="0"/>
    <n v="0"/>
    <n v="1"/>
  </r>
  <r>
    <d v="2019-06-17T00:00:00"/>
    <n v="12227"/>
    <s v="WHRJ"/>
    <s v="Rio De Janeiro"/>
    <s v="RJ"/>
    <n v="4056"/>
    <x v="44"/>
    <s v="Goiania"/>
    <s v="GO"/>
    <x v="1"/>
    <s v="GO"/>
    <n v="660.65"/>
    <n v="1"/>
    <n v="2.202"/>
    <n v="6100231"/>
    <x v="1"/>
    <s v="Goiania"/>
    <s v="Convencional"/>
    <n v="12"/>
    <d v="2019-06-18T00:00:00"/>
    <x v="502"/>
    <x v="0"/>
    <d v="2019-06-30T00:00:00"/>
    <x v="0"/>
    <x v="0"/>
    <n v="1"/>
    <n v="1"/>
  </r>
  <r>
    <d v="2019-06-17T00:00:00"/>
    <n v="12228"/>
    <s v="WHVIT"/>
    <s v="Vitoria"/>
    <s v="ES"/>
    <n v="4056"/>
    <x v="44"/>
    <s v="Goiania"/>
    <s v="GO"/>
    <x v="1"/>
    <s v="GO"/>
    <n v="199.94"/>
    <n v="1"/>
    <n v="0.378"/>
    <n v="6100231"/>
    <x v="1"/>
    <s v="Goiania"/>
    <s v="Convencional"/>
    <n v="2"/>
    <d v="2019-06-18T00:00:00"/>
    <x v="507"/>
    <x v="0"/>
    <d v="2019-06-20T00:00:00"/>
    <x v="1"/>
    <x v="0"/>
    <n v="0"/>
    <n v="1"/>
  </r>
  <r>
    <d v="2019-06-17T00:00:00"/>
    <n v="12229"/>
    <s v="WHSJC"/>
    <s v="Sao Jose dos Campos"/>
    <s v="SP"/>
    <n v="4056"/>
    <x v="44"/>
    <s v="Goiania"/>
    <s v="GO"/>
    <x v="1"/>
    <s v="GO"/>
    <n v="1495.29"/>
    <n v="11"/>
    <n v="6.9930000000000003"/>
    <n v="6100231"/>
    <x v="1"/>
    <s v="Goiania"/>
    <s v="Convencional"/>
    <n v="10"/>
    <d v="2019-06-18T00:00:00"/>
    <x v="505"/>
    <x v="0"/>
    <d v="2019-06-28T00:00:00"/>
    <x v="0"/>
    <x v="0"/>
    <n v="1"/>
    <n v="1"/>
  </r>
  <r>
    <d v="2019-06-18T00:00:00"/>
    <n v="12230"/>
    <s v="WHSAO"/>
    <s v="Sao Paulo"/>
    <s v="SP"/>
    <n v="4014"/>
    <x v="3"/>
    <s v="Ipatinga"/>
    <s v="MG"/>
    <x v="2"/>
    <s v="MG"/>
    <n v="972.76"/>
    <n v="1"/>
    <n v="4.95"/>
    <n v="6600879"/>
    <x v="2"/>
    <s v="Belo Horizonte"/>
    <s v="Convencional"/>
    <n v="11"/>
    <d v="2019-06-19T00:00:00"/>
    <x v="507"/>
    <x v="0"/>
    <d v="2019-06-30T00:00:00"/>
    <x v="0"/>
    <x v="0"/>
    <n v="1"/>
    <n v="1"/>
  </r>
  <r>
    <d v="2019-06-18T00:00:00"/>
    <n v="12231"/>
    <s v="WHSAO"/>
    <s v="Sao Paulo"/>
    <s v="SP"/>
    <n v="4111"/>
    <x v="99"/>
    <s v="Sao Paulo"/>
    <s v="SP"/>
    <x v="2"/>
    <s v="SP"/>
    <n v="900"/>
    <n v="1"/>
    <n v="2.9359999999999999"/>
    <n v="6400835"/>
    <x v="3"/>
    <s v="Guarulhos"/>
    <s v="Convencional"/>
    <n v="4"/>
    <d v="2019-06-19T00:00:00"/>
    <x v="505"/>
    <x v="0"/>
    <d v="2019-06-23T00:00:00"/>
    <x v="1"/>
    <x v="0"/>
    <n v="0"/>
    <n v="1"/>
  </r>
  <r>
    <d v="2019-06-18T00:00:00"/>
    <n v="12232"/>
    <s v="WHPOA"/>
    <s v="Porto Alegre"/>
    <s v="RS"/>
    <n v="4048"/>
    <x v="51"/>
    <s v="Brasilia"/>
    <s v="DF"/>
    <x v="1"/>
    <s v="DF"/>
    <n v="69.98"/>
    <n v="1"/>
    <n v="0.187"/>
    <n v="6100231"/>
    <x v="1"/>
    <s v="Goiania"/>
    <s v="Convencional"/>
    <n v="9"/>
    <d v="2019-06-19T00:00:00"/>
    <x v="497"/>
    <x v="0"/>
    <d v="2019-06-28T00:00:00"/>
    <x v="0"/>
    <x v="0"/>
    <n v="1"/>
    <n v="1"/>
  </r>
  <r>
    <d v="2019-06-18T00:00:00"/>
    <n v="12233"/>
    <s v="WHRJ"/>
    <s v="Rio De Janeiro"/>
    <s v="RJ"/>
    <n v="4107"/>
    <x v="95"/>
    <s v="Manaus"/>
    <s v="AM"/>
    <x v="4"/>
    <s v="AM"/>
    <n v="1728.13"/>
    <n v="1"/>
    <n v="3.41"/>
    <n v="6700091"/>
    <x v="6"/>
    <s v="Manaus"/>
    <s v="Convencional"/>
    <n v="4"/>
    <d v="2019-06-19T00:00:00"/>
    <x v="504"/>
    <x v="0"/>
    <d v="2019-06-23T00:00:00"/>
    <x v="1"/>
    <x v="0"/>
    <n v="0"/>
    <n v="1"/>
  </r>
  <r>
    <d v="2019-06-18T00:00:00"/>
    <n v="12234"/>
    <s v="WHCPQ"/>
    <s v="Campinas"/>
    <s v="SP"/>
    <n v="4109"/>
    <x v="97"/>
    <s v="Recife"/>
    <s v="PE"/>
    <x v="3"/>
    <s v="PE"/>
    <n v="2327.67"/>
    <n v="3"/>
    <n v="5.9729999999999999"/>
    <n v="6900304"/>
    <x v="5"/>
    <s v="Fortaleza"/>
    <s v="Convencional"/>
    <n v="11"/>
    <d v="2019-06-19T00:00:00"/>
    <x v="507"/>
    <x v="0"/>
    <d v="2019-06-30T00:00:00"/>
    <x v="0"/>
    <x v="0"/>
    <n v="1"/>
    <n v="1"/>
  </r>
  <r>
    <d v="2019-06-18T00:00:00"/>
    <n v="12235"/>
    <s v="WHPOA"/>
    <s v="Porto Alegre"/>
    <s v="RS"/>
    <n v="4066"/>
    <x v="54"/>
    <s v="Brasilia"/>
    <s v="DF"/>
    <x v="1"/>
    <s v="DF"/>
    <n v="1375.36"/>
    <n v="2"/>
    <n v="8.14"/>
    <n v="6100231"/>
    <x v="1"/>
    <s v="Goiania"/>
    <s v="Convencional"/>
    <n v="9"/>
    <d v="2019-06-19T00:00:00"/>
    <x v="501"/>
    <x v="0"/>
    <d v="2019-06-28T00:00:00"/>
    <x v="0"/>
    <x v="0"/>
    <n v="1"/>
    <n v="1"/>
  </r>
  <r>
    <d v="2019-06-18T00:00:00"/>
    <n v="12236"/>
    <s v="WHCPQ"/>
    <s v="Campinas"/>
    <s v="SP"/>
    <n v="4174"/>
    <x v="162"/>
    <s v="Manaus"/>
    <s v="AM"/>
    <x v="4"/>
    <s v="AM"/>
    <n v="5997.93"/>
    <n v="4"/>
    <n v="52.362000000000002"/>
    <n v="6700091"/>
    <x v="6"/>
    <s v="Manaus"/>
    <s v="Convencional"/>
    <n v="8"/>
    <d v="2019-06-19T00:00:00"/>
    <x v="507"/>
    <x v="0"/>
    <d v="2019-06-27T00:00:00"/>
    <x v="1"/>
    <x v="0"/>
    <n v="0"/>
    <n v="1"/>
  </r>
  <r>
    <d v="2019-06-18T00:00:00"/>
    <n v="12237"/>
    <s v="WHSAO"/>
    <s v="Sao Paulo"/>
    <s v="SP"/>
    <n v="4175"/>
    <x v="163"/>
    <s v="Belo Horizonte"/>
    <s v="MG"/>
    <x v="2"/>
    <s v="MG"/>
    <n v="1064.28"/>
    <n v="1"/>
    <n v="2.4750000000000001"/>
    <n v="6600879"/>
    <x v="2"/>
    <s v="Belo Horizonte"/>
    <s v="Convencional"/>
    <n v="3"/>
    <d v="2019-06-19T00:00:00"/>
    <x v="508"/>
    <x v="0"/>
    <d v="2019-06-22T00:00:00"/>
    <x v="1"/>
    <x v="0"/>
    <n v="0"/>
    <n v="1"/>
  </r>
  <r>
    <d v="2019-06-18T00:00:00"/>
    <n v="12238"/>
    <s v="WHSAO"/>
    <s v="Sao Paulo"/>
    <s v="SP"/>
    <n v="4176"/>
    <x v="164"/>
    <s v="Rio Grande do Sul"/>
    <s v="RS"/>
    <x v="0"/>
    <s v="RS"/>
    <n v="3.45"/>
    <n v="2"/>
    <n v="69.328999999999994"/>
    <n v="6500948"/>
    <x v="0"/>
    <s v="Porto Alegre"/>
    <s v="Convencional"/>
    <n v="8"/>
    <d v="2019-06-19T00:00:00"/>
    <x v="502"/>
    <x v="0"/>
    <d v="2019-06-27T00:00:00"/>
    <x v="0"/>
    <x v="0"/>
    <n v="1"/>
    <n v="1"/>
  </r>
  <r>
    <d v="2019-06-18T00:00:00"/>
    <n v="12239"/>
    <s v="WHSAO"/>
    <s v="Sao Paulo"/>
    <s v="SP"/>
    <n v="4177"/>
    <x v="165"/>
    <s v="Belo Horizonte"/>
    <s v="MG"/>
    <x v="2"/>
    <s v="MG"/>
    <n v="10066.34"/>
    <n v="1"/>
    <n v="1.1200000000000001"/>
    <n v="6600879"/>
    <x v="2"/>
    <s v="Belo Horizonte"/>
    <s v="Convencional"/>
    <n v="3"/>
    <d v="2019-06-19T00:00:00"/>
    <x v="497"/>
    <x v="0"/>
    <d v="2019-06-22T00:00:00"/>
    <x v="0"/>
    <x v="0"/>
    <n v="1"/>
    <n v="1"/>
  </r>
  <r>
    <d v="2019-06-18T00:00:00"/>
    <n v="12240"/>
    <s v="WHRJ"/>
    <s v="Rio De Janeiro"/>
    <s v="RJ"/>
    <n v="4178"/>
    <x v="166"/>
    <s v="Rio De Janeiro"/>
    <s v="RJ"/>
    <x v="2"/>
    <s v="RJ"/>
    <n v="984.16"/>
    <n v="2"/>
    <n v="1.101"/>
    <n v="6140092"/>
    <x v="4"/>
    <s v="Rio de Janeiro"/>
    <s v="Convencional"/>
    <n v="10"/>
    <d v="2019-06-19T00:00:00"/>
    <x v="503"/>
    <x v="0"/>
    <d v="2019-06-29T00:00:00"/>
    <x v="0"/>
    <x v="0"/>
    <n v="1"/>
    <n v="1"/>
  </r>
  <r>
    <d v="2019-06-18T00:00:00"/>
    <n v="12241"/>
    <s v="WHCPQ"/>
    <s v="Campinas"/>
    <s v="SP"/>
    <n v="4179"/>
    <x v="167"/>
    <s v="Sao Paulo"/>
    <s v="SP"/>
    <x v="2"/>
    <s v="SP"/>
    <n v="676.92"/>
    <n v="1"/>
    <n v="2.64"/>
    <n v="6400835"/>
    <x v="3"/>
    <s v="Guarulhos"/>
    <s v="Convencional"/>
    <n v="10"/>
    <d v="2019-06-19T00:00:00"/>
    <x v="507"/>
    <x v="0"/>
    <d v="2019-06-29T00:00:00"/>
    <x v="0"/>
    <x v="0"/>
    <n v="1"/>
    <n v="1"/>
  </r>
  <r>
    <d v="2019-06-18T00:00:00"/>
    <n v="12242"/>
    <s v="WHSAO"/>
    <s v="Sao Paulo"/>
    <s v="SP"/>
    <n v="4180"/>
    <x v="168"/>
    <s v="Rio De Janeiro"/>
    <s v="RJ"/>
    <x v="2"/>
    <s v="RJ"/>
    <n v="1802.63"/>
    <n v="5"/>
    <n v="23.507000000000001"/>
    <n v="6140092"/>
    <x v="4"/>
    <s v="Rio de Janeiro"/>
    <s v="Convencional"/>
    <n v="11"/>
    <d v="2019-06-19T00:00:00"/>
    <x v="508"/>
    <x v="2"/>
    <d v="2019-06-30T00:00:00"/>
    <x v="0"/>
    <x v="1"/>
    <n v="0"/>
    <n v="1"/>
  </r>
  <r>
    <d v="2019-06-18T00:00:00"/>
    <n v="12243"/>
    <s v="WHSAO"/>
    <s v="Sao Paulo"/>
    <s v="SP"/>
    <n v="4181"/>
    <x v="169"/>
    <s v="Rio De Janeiro"/>
    <s v="RJ"/>
    <x v="2"/>
    <s v="RJ"/>
    <n v="663.13"/>
    <n v="2"/>
    <n v="1.3640000000000001"/>
    <n v="6140092"/>
    <x v="4"/>
    <s v="Rio de Janeiro"/>
    <s v="Convencional"/>
    <n v="10"/>
    <d v="2019-06-19T00:00:00"/>
    <x v="509"/>
    <x v="0"/>
    <d v="2019-06-29T00:00:00"/>
    <x v="0"/>
    <x v="0"/>
    <n v="1"/>
    <n v="1"/>
  </r>
  <r>
    <d v="2019-06-19T00:00:00"/>
    <n v="12244"/>
    <s v="WHVIT"/>
    <s v="Vitoria"/>
    <s v="ES"/>
    <n v="4182"/>
    <x v="170"/>
    <s v="Sao Paulo"/>
    <s v="SP"/>
    <x v="2"/>
    <s v="SP"/>
    <n v="809.63"/>
    <n v="2"/>
    <n v="16.5"/>
    <n v="6400835"/>
    <x v="3"/>
    <s v="Guarulhos"/>
    <s v="Convencional"/>
    <n v="7"/>
    <d v="2019-06-19T00:00:00"/>
    <x v="507"/>
    <x v="0"/>
    <d v="2019-06-26T00:00:00"/>
    <x v="1"/>
    <x v="0"/>
    <n v="0"/>
    <n v="1"/>
  </r>
  <r>
    <d v="2019-06-19T00:00:00"/>
    <n v="12245"/>
    <s v="WHSJC"/>
    <s v="Sao Jose dos Campos"/>
    <s v="SP"/>
    <n v="4108"/>
    <x v="96"/>
    <s v="Rio De Janeiro"/>
    <s v="RJ"/>
    <x v="2"/>
    <s v="RJ"/>
    <n v="3301.39"/>
    <n v="2"/>
    <n v="6.82"/>
    <n v="6140092"/>
    <x v="4"/>
    <s v="Rio de Janeiro"/>
    <s v="Convencional"/>
    <n v="12"/>
    <d v="2019-06-19T00:00:00"/>
    <x v="504"/>
    <x v="0"/>
    <d v="2019-07-01T00:00:00"/>
    <x v="0"/>
    <x v="0"/>
    <n v="1"/>
    <n v="1"/>
  </r>
  <r>
    <d v="2019-06-19T00:00:00"/>
    <n v="12246"/>
    <s v="WHBH"/>
    <s v="Belo Horizonte"/>
    <s v="MG"/>
    <n v="4183"/>
    <x v="171"/>
    <s v="Belo Horizonte"/>
    <s v="MG"/>
    <x v="2"/>
    <s v="MG"/>
    <n v="7174.41"/>
    <n v="24"/>
    <n v="73.92"/>
    <n v="6600879"/>
    <x v="2"/>
    <s v="Belo Horizonte"/>
    <s v="Convencional"/>
    <n v="12"/>
    <d v="2019-06-19T00:00:00"/>
    <x v="497"/>
    <x v="0"/>
    <d v="2019-07-01T00:00:00"/>
    <x v="0"/>
    <x v="0"/>
    <n v="1"/>
    <n v="1"/>
  </r>
  <r>
    <d v="2019-06-19T00:00:00"/>
    <n v="12247"/>
    <s v="WHPOA"/>
    <s v="Porto Alegre"/>
    <s v="RS"/>
    <n v="4099"/>
    <x v="87"/>
    <s v="Rio Grande do Sul"/>
    <s v="RS"/>
    <x v="0"/>
    <s v="RS"/>
    <n v="54.85"/>
    <n v="1"/>
    <n v="4.84"/>
    <n v="6500948"/>
    <x v="0"/>
    <s v="Porto Alegre"/>
    <s v="Convencional"/>
    <n v="7"/>
    <d v="2019-06-19T00:00:00"/>
    <x v="502"/>
    <x v="0"/>
    <d v="2019-06-26T00:00:00"/>
    <x v="0"/>
    <x v="0"/>
    <n v="1"/>
    <n v="1"/>
  </r>
  <r>
    <d v="2019-06-19T00:00:00"/>
    <n v="12248"/>
    <s v="WHSJC"/>
    <s v="Sao Jose dos Campos"/>
    <s v="SP"/>
    <n v="4184"/>
    <x v="172"/>
    <s v="Manaus"/>
    <s v="AM"/>
    <x v="4"/>
    <s v="AM"/>
    <n v="972.93"/>
    <n v="3"/>
    <n v="2.0459999999999998"/>
    <n v="6700091"/>
    <x v="6"/>
    <s v="Manaus"/>
    <s v="Convencional"/>
    <n v="7"/>
    <d v="2019-06-19T00:00:00"/>
    <x v="504"/>
    <x v="0"/>
    <d v="2019-06-26T00:00:00"/>
    <x v="1"/>
    <x v="0"/>
    <n v="0"/>
    <n v="1"/>
  </r>
  <r>
    <d v="2019-06-19T00:00:00"/>
    <n v="12249"/>
    <s v="WHSAO"/>
    <s v="Sao Paulo"/>
    <s v="SP"/>
    <n v="4128"/>
    <x v="116"/>
    <s v="Recife"/>
    <s v="PE"/>
    <x v="3"/>
    <s v="PE"/>
    <n v="987.27"/>
    <n v="3"/>
    <n v="2.0459999999999998"/>
    <n v="6900304"/>
    <x v="5"/>
    <s v="Fortaleza"/>
    <s v="Convencional"/>
    <n v="4"/>
    <d v="2019-06-19T00:00:00"/>
    <x v="508"/>
    <x v="0"/>
    <d v="2019-06-23T00:00:00"/>
    <x v="1"/>
    <x v="0"/>
    <n v="0"/>
    <n v="1"/>
  </r>
  <r>
    <d v="2019-06-20T00:00:00"/>
    <n v="12250"/>
    <s v="WHPOA"/>
    <s v="Porto Alegre"/>
    <s v="RS"/>
    <n v="4017"/>
    <x v="10"/>
    <s v="Itajai"/>
    <s v="SC"/>
    <x v="0"/>
    <s v="SC"/>
    <n v="2592.66"/>
    <n v="8"/>
    <n v="7.4139999999999997"/>
    <n v="6500948"/>
    <x v="0"/>
    <s v="Porto Alegre"/>
    <s v="Convencional"/>
    <n v="2"/>
    <d v="2019-06-20T00:00:00"/>
    <x v="510"/>
    <x v="2"/>
    <d v="2019-06-22T00:00:00"/>
    <x v="1"/>
    <x v="1"/>
    <n v="0"/>
    <n v="1"/>
  </r>
  <r>
    <d v="2019-06-20T00:00:00"/>
    <n v="12251"/>
    <s v="WHVIT"/>
    <s v="Vitoria"/>
    <s v="ES"/>
    <n v="4185"/>
    <x v="173"/>
    <s v="Manaus"/>
    <s v="AM"/>
    <x v="4"/>
    <s v="AM"/>
    <n v="995.57"/>
    <n v="3"/>
    <n v="2.0459999999999998"/>
    <n v="6700091"/>
    <x v="6"/>
    <s v="Manaus"/>
    <s v="Convencional"/>
    <n v="6"/>
    <d v="2019-06-20T00:00:00"/>
    <x v="501"/>
    <x v="1"/>
    <d v="2019-06-26T00:00:00"/>
    <x v="0"/>
    <x v="1"/>
    <n v="0"/>
    <n v="1"/>
  </r>
  <r>
    <d v="2019-06-20T00:00:00"/>
    <n v="12252"/>
    <s v="WHVIT"/>
    <s v="Vitoria"/>
    <s v="ES"/>
    <n v="4186"/>
    <x v="174"/>
    <s v="Sao Paulo"/>
    <s v="SP"/>
    <x v="2"/>
    <s v="SP"/>
    <n v="8370.1299999999992"/>
    <n v="28"/>
    <n v="86.24"/>
    <n v="6400835"/>
    <x v="3"/>
    <s v="Guarulhos"/>
    <s v="Convencional"/>
    <n v="1"/>
    <d v="2019-06-20T00:00:00"/>
    <x v="510"/>
    <x v="0"/>
    <d v="2019-06-21T00:00:00"/>
    <x v="1"/>
    <x v="0"/>
    <n v="0"/>
    <n v="1"/>
  </r>
  <r>
    <d v="2019-06-20T00:00:00"/>
    <n v="12253"/>
    <s v="WHSAO"/>
    <s v="Sao Paulo"/>
    <s v="SP"/>
    <n v="4187"/>
    <x v="175"/>
    <s v="Belo Horizonte"/>
    <s v="MG"/>
    <x v="2"/>
    <s v="MG"/>
    <n v="512.53"/>
    <n v="1"/>
    <n v="1.54"/>
    <n v="6600879"/>
    <x v="2"/>
    <s v="Belo Horizonte"/>
    <s v="Convencional"/>
    <n v="3"/>
    <d v="2019-06-20T00:00:00"/>
    <x v="507"/>
    <x v="0"/>
    <d v="2019-06-23T00:00:00"/>
    <x v="1"/>
    <x v="0"/>
    <n v="0"/>
    <n v="1"/>
  </r>
  <r>
    <d v="2019-06-20T00:00:00"/>
    <n v="12254"/>
    <s v="WHCPQ"/>
    <s v="Campinas"/>
    <s v="SP"/>
    <n v="4128"/>
    <x v="116"/>
    <s v="Recife"/>
    <s v="PE"/>
    <x v="3"/>
    <s v="PE"/>
    <n v="964.49"/>
    <n v="3"/>
    <n v="2.0459999999999998"/>
    <n v="6900304"/>
    <x v="5"/>
    <s v="Fortaleza"/>
    <s v="Convencional"/>
    <n v="6"/>
    <d v="2019-06-20T00:00:00"/>
    <x v="505"/>
    <x v="0"/>
    <d v="2019-06-26T00:00:00"/>
    <x v="0"/>
    <x v="0"/>
    <n v="1"/>
    <n v="1"/>
  </r>
  <r>
    <d v="2019-06-20T00:00:00"/>
    <n v="12255"/>
    <s v="WHRJ"/>
    <s v="Rio De Janeiro"/>
    <s v="RJ"/>
    <n v="4128"/>
    <x v="116"/>
    <s v="Recife"/>
    <s v="PE"/>
    <x v="3"/>
    <s v="PE"/>
    <n v="2343.1799999999998"/>
    <n v="7"/>
    <n v="4.774"/>
    <n v="6900304"/>
    <x v="5"/>
    <s v="Fortaleza"/>
    <s v="Convencional"/>
    <n v="3"/>
    <d v="2019-06-20T00:00:00"/>
    <x v="505"/>
    <x v="0"/>
    <d v="2019-06-23T00:00:00"/>
    <x v="1"/>
    <x v="0"/>
    <n v="0"/>
    <n v="1"/>
  </r>
  <r>
    <d v="2019-06-21T00:00:00"/>
    <n v="12256"/>
    <s v="WHSAO"/>
    <s v="Sao Paulo"/>
    <s v="SP"/>
    <n v="4172"/>
    <x v="160"/>
    <s v="Santos"/>
    <s v="SP"/>
    <x v="2"/>
    <s v="SP"/>
    <n v="969.36"/>
    <n v="3"/>
    <n v="2.0459999999999998"/>
    <n v="6400835"/>
    <x v="3"/>
    <s v="Guarulhos"/>
    <s v="Convencional"/>
    <n v="2"/>
    <d v="2019-06-21T00:00:00"/>
    <x v="511"/>
    <x v="1"/>
    <d v="2019-06-23T00:00:00"/>
    <x v="1"/>
    <x v="1"/>
    <n v="0"/>
    <n v="1"/>
  </r>
  <r>
    <d v="2019-06-21T00:00:00"/>
    <n v="12257"/>
    <s v="WHPOA"/>
    <s v="Porto Alegre"/>
    <s v="RS"/>
    <n v="4033"/>
    <x v="35"/>
    <s v="Goiania"/>
    <s v="GO"/>
    <x v="1"/>
    <s v="GO"/>
    <n v="1329.7"/>
    <n v="4"/>
    <n v="2.7280000000000002"/>
    <n v="6100231"/>
    <x v="1"/>
    <s v="Goiania"/>
    <s v="Convencional"/>
    <n v="5"/>
    <d v="2019-06-21T00:00:00"/>
    <x v="510"/>
    <x v="0"/>
    <d v="2019-06-26T00:00:00"/>
    <x v="1"/>
    <x v="0"/>
    <n v="0"/>
    <n v="1"/>
  </r>
  <r>
    <d v="2019-06-21T00:00:00"/>
    <n v="12258"/>
    <s v="WHSJC"/>
    <s v="Sao Jose dos Campos"/>
    <s v="SP"/>
    <n v="4112"/>
    <x v="100"/>
    <s v="Belo Horizonte"/>
    <s v="MG"/>
    <x v="2"/>
    <s v="MG"/>
    <n v="5677.73"/>
    <n v="6"/>
    <n v="11.593999999999999"/>
    <n v="6600879"/>
    <x v="2"/>
    <s v="Belo Horizonte"/>
    <s v="Convencional"/>
    <n v="5"/>
    <d v="2019-06-21T00:00:00"/>
    <x v="505"/>
    <x v="0"/>
    <d v="2019-06-26T00:00:00"/>
    <x v="0"/>
    <x v="0"/>
    <n v="1"/>
    <n v="1"/>
  </r>
  <r>
    <d v="2019-06-21T00:00:00"/>
    <n v="12259"/>
    <s v="WHSAO"/>
    <s v="Sao Paulo"/>
    <s v="SP"/>
    <n v="4148"/>
    <x v="136"/>
    <s v="Sao Paulo"/>
    <s v="SP"/>
    <x v="2"/>
    <s v="SP"/>
    <n v="2985.11"/>
    <n v="6"/>
    <n v="6.1379999999999999"/>
    <n v="6400835"/>
    <x v="3"/>
    <s v="Guarulhos"/>
    <s v="Urgente"/>
    <n v="8"/>
    <d v="2019-06-21T00:00:00"/>
    <x v="506"/>
    <x v="0"/>
    <d v="2019-06-29T00:00:00"/>
    <x v="0"/>
    <x v="0"/>
    <n v="1"/>
    <n v="1"/>
  </r>
  <r>
    <d v="2019-06-21T00:00:00"/>
    <n v="12260"/>
    <s v="WHSJC"/>
    <s v="Sao Jose dos Campos"/>
    <s v="SP"/>
    <n v="4188"/>
    <x v="176"/>
    <s v="Belo Horizonte"/>
    <s v="MG"/>
    <x v="2"/>
    <s v="MG"/>
    <n v="646.24"/>
    <n v="2"/>
    <n v="1.3640000000000001"/>
    <n v="6600879"/>
    <x v="2"/>
    <s v="Belo Horizonte"/>
    <s v="Convencional"/>
    <n v="9"/>
    <d v="2019-06-21T00:00:00"/>
    <x v="502"/>
    <x v="0"/>
    <d v="2019-06-30T00:00:00"/>
    <x v="0"/>
    <x v="0"/>
    <n v="1"/>
    <n v="1"/>
  </r>
  <r>
    <d v="2019-06-21T00:00:00"/>
    <n v="12261"/>
    <s v="WHCPQ"/>
    <s v="Campinas"/>
    <s v="SP"/>
    <n v="4189"/>
    <x v="177"/>
    <s v="Rio Grande do Sul"/>
    <s v="RS"/>
    <x v="0"/>
    <s v="RS"/>
    <n v="987.27"/>
    <n v="3"/>
    <n v="2.0459999999999998"/>
    <n v="6500948"/>
    <x v="0"/>
    <s v="Porto Alegre"/>
    <s v="Convencional"/>
    <n v="7"/>
    <d v="2019-06-21T00:00:00"/>
    <x v="507"/>
    <x v="1"/>
    <d v="2019-06-28T00:00:00"/>
    <x v="0"/>
    <x v="1"/>
    <n v="0"/>
    <n v="1"/>
  </r>
  <r>
    <d v="2019-06-21T00:00:00"/>
    <n v="12262"/>
    <s v="WHBH"/>
    <s v="Belo Horizonte"/>
    <s v="MG"/>
    <n v="4128"/>
    <x v="116"/>
    <s v="Recife"/>
    <s v="PE"/>
    <x v="3"/>
    <s v="PE"/>
    <n v="2121.27"/>
    <n v="2"/>
    <n v="9.57"/>
    <n v="6900304"/>
    <x v="5"/>
    <s v="Fortaleza"/>
    <s v="Convencional"/>
    <n v="4"/>
    <d v="2019-06-21T00:00:00"/>
    <x v="504"/>
    <x v="0"/>
    <d v="2019-06-25T00:00:00"/>
    <x v="1"/>
    <x v="0"/>
    <n v="0"/>
    <n v="1"/>
  </r>
  <r>
    <d v="2019-06-21T00:00:00"/>
    <n v="12263"/>
    <s v="WHBH"/>
    <s v="Belo Horizonte"/>
    <s v="MG"/>
    <n v="4013"/>
    <x v="1"/>
    <s v="Blumenau"/>
    <s v="SC"/>
    <x v="0"/>
    <s v="SC"/>
    <n v="892.45"/>
    <n v="7"/>
    <n v="7.569"/>
    <n v="6500948"/>
    <x v="0"/>
    <s v="Porto Alegre"/>
    <s v="Convencional"/>
    <n v="6"/>
    <d v="2019-06-21T00:00:00"/>
    <x v="509"/>
    <x v="0"/>
    <d v="2019-06-27T00:00:00"/>
    <x v="1"/>
    <x v="0"/>
    <n v="0"/>
    <n v="1"/>
  </r>
  <r>
    <d v="2019-06-21T00:00:00"/>
    <n v="12264"/>
    <s v="WHVIT"/>
    <s v="Vitoria"/>
    <s v="ES"/>
    <n v="4013"/>
    <x v="1"/>
    <s v="Blumenau"/>
    <s v="SC"/>
    <x v="0"/>
    <s v="SC"/>
    <n v="589.22"/>
    <n v="1"/>
    <n v="1.98"/>
    <n v="6500948"/>
    <x v="0"/>
    <s v="Porto Alegre"/>
    <s v="Convencional"/>
    <n v="9"/>
    <d v="2019-06-21T00:00:00"/>
    <x v="511"/>
    <x v="0"/>
    <d v="2019-06-30T00:00:00"/>
    <x v="1"/>
    <x v="0"/>
    <n v="0"/>
    <n v="1"/>
  </r>
  <r>
    <d v="2019-06-22T00:00:00"/>
    <n v="12265"/>
    <s v="WHCPQ"/>
    <s v="Campinas"/>
    <s v="SP"/>
    <n v="4040"/>
    <x v="42"/>
    <s v="Brasilia"/>
    <s v="DF"/>
    <x v="1"/>
    <s v="DF"/>
    <n v="592.05999999999995"/>
    <n v="1"/>
    <n v="1.98"/>
    <n v="6100231"/>
    <x v="1"/>
    <s v="Goiania"/>
    <s v="Convencional"/>
    <n v="6"/>
    <d v="2019-06-22T00:00:00"/>
    <x v="509"/>
    <x v="0"/>
    <d v="2019-06-28T00:00:00"/>
    <x v="1"/>
    <x v="0"/>
    <n v="0"/>
    <n v="1"/>
  </r>
  <r>
    <d v="2019-06-22T00:00:00"/>
    <n v="12266"/>
    <s v="WHRJ"/>
    <s v="Rio De Janeiro"/>
    <s v="RJ"/>
    <n v="4027"/>
    <x v="24"/>
    <s v="Novo Hamburgo"/>
    <s v="RS"/>
    <x v="0"/>
    <s v="RS"/>
    <n v="741.9"/>
    <n v="1"/>
    <n v="6.024"/>
    <n v="6500948"/>
    <x v="0"/>
    <s v="Porto Alegre"/>
    <s v="Convencional"/>
    <n v="3"/>
    <d v="2019-06-22T00:00:00"/>
    <x v="509"/>
    <x v="0"/>
    <d v="2019-06-25T00:00:00"/>
    <x v="1"/>
    <x v="0"/>
    <n v="0"/>
    <n v="1"/>
  </r>
  <r>
    <d v="2019-06-22T00:00:00"/>
    <n v="12267"/>
    <s v="WHBH"/>
    <s v="Belo Horizonte"/>
    <s v="MG"/>
    <n v="4028"/>
    <x v="26"/>
    <s v="Sao Jose Dos Pinhais"/>
    <s v="PR"/>
    <x v="0"/>
    <s v="PR"/>
    <n v="1300.29"/>
    <n v="1"/>
    <n v="3.96"/>
    <n v="6500948"/>
    <x v="0"/>
    <s v="Porto Alegre"/>
    <s v="Convencional"/>
    <n v="12"/>
    <d v="2019-06-22T00:00:00"/>
    <x v="512"/>
    <x v="0"/>
    <d v="2019-07-04T00:00:00"/>
    <x v="0"/>
    <x v="0"/>
    <n v="1"/>
    <n v="1"/>
  </r>
  <r>
    <d v="2019-06-22T00:00:00"/>
    <n v="12268"/>
    <s v="WHBH"/>
    <s v="Belo Horizonte"/>
    <s v="MG"/>
    <n v="4040"/>
    <x v="42"/>
    <s v="Brasilia"/>
    <s v="DF"/>
    <x v="1"/>
    <s v="DF"/>
    <n v="162.69999999999999"/>
    <n v="1"/>
    <n v="0.34699999999999998"/>
    <n v="6100231"/>
    <x v="1"/>
    <s v="Goiania"/>
    <s v="Convencional"/>
    <n v="9"/>
    <d v="2019-06-22T00:00:00"/>
    <x v="504"/>
    <x v="0"/>
    <d v="2019-07-01T00:00:00"/>
    <x v="0"/>
    <x v="0"/>
    <n v="1"/>
    <n v="1"/>
  </r>
  <r>
    <d v="2019-06-22T00:00:00"/>
    <n v="12269"/>
    <s v="WHCPQ"/>
    <s v="Campinas"/>
    <s v="SP"/>
    <n v="4027"/>
    <x v="24"/>
    <s v="Novo Hamburgo"/>
    <s v="RS"/>
    <x v="0"/>
    <s v="RS"/>
    <n v="796.06"/>
    <n v="4"/>
    <n v="21.04"/>
    <n v="6500948"/>
    <x v="0"/>
    <s v="Porto Alegre"/>
    <s v="Convencional"/>
    <n v="11"/>
    <d v="2019-06-22T00:00:00"/>
    <x v="505"/>
    <x v="0"/>
    <d v="2019-07-03T00:00:00"/>
    <x v="0"/>
    <x v="0"/>
    <n v="1"/>
    <n v="1"/>
  </r>
  <r>
    <d v="2019-06-22T00:00:00"/>
    <n v="12270"/>
    <s v="WHSAO"/>
    <s v="Sao Paulo"/>
    <s v="SP"/>
    <n v="4028"/>
    <x v="26"/>
    <s v="Sao Jose Dos Pinhais"/>
    <s v="PR"/>
    <x v="0"/>
    <s v="PR"/>
    <n v="1962.91"/>
    <n v="1"/>
    <n v="3.718"/>
    <n v="6500948"/>
    <x v="0"/>
    <s v="Porto Alegre"/>
    <s v="Convencional"/>
    <n v="12"/>
    <d v="2019-06-22T00:00:00"/>
    <x v="502"/>
    <x v="0"/>
    <d v="2019-07-04T00:00:00"/>
    <x v="0"/>
    <x v="0"/>
    <n v="1"/>
    <n v="1"/>
  </r>
  <r>
    <d v="2019-06-22T00:00:00"/>
    <n v="12271"/>
    <s v="WHSAO"/>
    <s v="Sao Paulo"/>
    <s v="SP"/>
    <n v="4032"/>
    <x v="34"/>
    <s v="Goiania"/>
    <s v="GO"/>
    <x v="1"/>
    <s v="GO"/>
    <n v="1279.21"/>
    <n v="3"/>
    <n v="1.595"/>
    <n v="6100231"/>
    <x v="1"/>
    <s v="Goiania"/>
    <s v="Convencional"/>
    <n v="10"/>
    <d v="2019-06-22T00:00:00"/>
    <x v="505"/>
    <x v="2"/>
    <d v="2019-07-02T00:00:00"/>
    <x v="0"/>
    <x v="1"/>
    <n v="0"/>
    <n v="1"/>
  </r>
  <r>
    <d v="2019-06-25T00:00:00"/>
    <n v="12272"/>
    <s v="WHSJC"/>
    <s v="Sao Jose dos Campos"/>
    <s v="SP"/>
    <n v="4068"/>
    <x v="4"/>
    <s v="Campo Grande"/>
    <s v="MS"/>
    <x v="1"/>
    <s v="MS"/>
    <n v="658"/>
    <n v="4"/>
    <n v="3.96"/>
    <n v="6100231"/>
    <x v="1"/>
    <s v="Goiania"/>
    <s v="Convencional"/>
    <n v="8"/>
    <d v="2019-06-25T00:00:00"/>
    <x v="513"/>
    <x v="0"/>
    <d v="2019-07-03T00:00:00"/>
    <x v="0"/>
    <x v="0"/>
    <n v="1"/>
    <n v="1"/>
  </r>
  <r>
    <d v="2019-06-25T00:00:00"/>
    <n v="12273"/>
    <s v="WHRJ"/>
    <s v="Rio De Janeiro"/>
    <s v="RJ"/>
    <n v="4060"/>
    <x v="56"/>
    <s v="Sinop"/>
    <s v="MT"/>
    <x v="1"/>
    <s v="MT"/>
    <n v="298.62"/>
    <n v="1"/>
    <n v="12.461"/>
    <n v="6100231"/>
    <x v="1"/>
    <s v="Goiania"/>
    <s v="Convencional"/>
    <n v="12"/>
    <d v="2019-06-25T00:00:00"/>
    <x v="513"/>
    <x v="0"/>
    <d v="2019-07-07T00:00:00"/>
    <x v="0"/>
    <x v="0"/>
    <n v="1"/>
    <n v="1"/>
  </r>
  <r>
    <d v="2019-06-25T00:00:00"/>
    <n v="12274"/>
    <s v="WHPOA"/>
    <s v="Porto Alegre"/>
    <s v="RS"/>
    <n v="4044"/>
    <x v="48"/>
    <s v="Belo Horizonte"/>
    <s v="MG"/>
    <x v="2"/>
    <s v="MG"/>
    <n v="503.41"/>
    <n v="1"/>
    <n v="11.167"/>
    <n v="6600879"/>
    <x v="2"/>
    <s v="Belo Horizonte"/>
    <s v="Convencional"/>
    <n v="10"/>
    <d v="2019-06-25T00:00:00"/>
    <x v="514"/>
    <x v="0"/>
    <d v="2019-07-05T00:00:00"/>
    <x v="0"/>
    <x v="0"/>
    <n v="1"/>
    <n v="1"/>
  </r>
  <r>
    <d v="2019-06-25T00:00:00"/>
    <n v="12275"/>
    <s v="WHCPQ"/>
    <s v="Campinas"/>
    <s v="SP"/>
    <n v="4045"/>
    <x v="49"/>
    <s v="Belo Horizonte"/>
    <s v="MG"/>
    <x v="2"/>
    <s v="MG"/>
    <n v="5675.34"/>
    <n v="9"/>
    <n v="36.442999999999998"/>
    <n v="6600879"/>
    <x v="2"/>
    <s v="Belo Horizonte"/>
    <s v="Convencional"/>
    <n v="8"/>
    <d v="2019-06-25T00:00:00"/>
    <x v="507"/>
    <x v="0"/>
    <d v="2019-07-03T00:00:00"/>
    <x v="0"/>
    <x v="0"/>
    <n v="1"/>
    <n v="1"/>
  </r>
  <r>
    <d v="2019-06-25T00:00:00"/>
    <n v="12276"/>
    <s v="WHSJC"/>
    <s v="Sao Jose dos Campos"/>
    <s v="SP"/>
    <n v="4044"/>
    <x v="48"/>
    <s v="Belo Horizonte"/>
    <s v="MG"/>
    <x v="2"/>
    <s v="MG"/>
    <n v="13608.22"/>
    <n v="16"/>
    <n v="98.32"/>
    <n v="6600879"/>
    <x v="2"/>
    <s v="Belo Horizonte"/>
    <s v="Convencional"/>
    <n v="1"/>
    <d v="2019-06-25T00:00:00"/>
    <x v="505"/>
    <x v="0"/>
    <d v="2019-06-26T00:00:00"/>
    <x v="0"/>
    <x v="0"/>
    <n v="1"/>
    <n v="1"/>
  </r>
  <r>
    <d v="2019-06-25T00:00:00"/>
    <n v="12277"/>
    <s v="WHBH"/>
    <s v="Belo Horizonte"/>
    <s v="MG"/>
    <n v="4045"/>
    <x v="49"/>
    <s v="Belo Horizonte"/>
    <s v="MG"/>
    <x v="2"/>
    <s v="MG"/>
    <n v="4837.1099999999997"/>
    <n v="8"/>
    <n v="26.347999999999999"/>
    <n v="6600879"/>
    <x v="2"/>
    <s v="Belo Horizonte"/>
    <s v="Convencional"/>
    <n v="7"/>
    <d v="2019-06-25T00:00:00"/>
    <x v="514"/>
    <x v="0"/>
    <d v="2019-07-02T00:00:00"/>
    <x v="1"/>
    <x v="0"/>
    <n v="0"/>
    <n v="1"/>
  </r>
  <r>
    <d v="2019-06-25T00:00:00"/>
    <n v="12278"/>
    <s v="WHBH"/>
    <s v="Belo Horizonte"/>
    <s v="MG"/>
    <n v="4044"/>
    <x v="48"/>
    <s v="Belo Horizonte"/>
    <s v="MG"/>
    <x v="2"/>
    <s v="MG"/>
    <n v="8536.61"/>
    <n v="19"/>
    <n v="25.071000000000002"/>
    <n v="6600879"/>
    <x v="2"/>
    <s v="Belo Horizonte"/>
    <s v="Convencional"/>
    <n v="2"/>
    <d v="2019-06-25T00:00:00"/>
    <x v="514"/>
    <x v="0"/>
    <d v="2019-06-27T00:00:00"/>
    <x v="1"/>
    <x v="0"/>
    <n v="0"/>
    <n v="1"/>
  </r>
  <r>
    <d v="2019-06-25T00:00:00"/>
    <n v="12279"/>
    <s v="WHBH"/>
    <s v="Belo Horizonte"/>
    <s v="MG"/>
    <n v="4045"/>
    <x v="49"/>
    <s v="Belo Horizonte"/>
    <s v="MG"/>
    <x v="2"/>
    <s v="MG"/>
    <n v="656.27"/>
    <n v="2"/>
    <n v="5.4649999999999999"/>
    <n v="6600879"/>
    <x v="2"/>
    <s v="Belo Horizonte"/>
    <s v="Convencional"/>
    <n v="8"/>
    <d v="2019-06-25T00:00:00"/>
    <x v="515"/>
    <x v="0"/>
    <d v="2019-07-03T00:00:00"/>
    <x v="1"/>
    <x v="0"/>
    <n v="0"/>
    <n v="1"/>
  </r>
  <r>
    <d v="2019-06-25T00:00:00"/>
    <n v="12280"/>
    <s v="WHRJ"/>
    <s v="Rio De Janeiro"/>
    <s v="RJ"/>
    <n v="4044"/>
    <x v="48"/>
    <s v="Belo Horizonte"/>
    <s v="MG"/>
    <x v="2"/>
    <s v="MG"/>
    <n v="1142.1199999999999"/>
    <n v="1"/>
    <n v="1.1200000000000001"/>
    <n v="6600879"/>
    <x v="2"/>
    <s v="Belo Horizonte"/>
    <s v="Convencional"/>
    <n v="12"/>
    <d v="2019-06-25T00:00:00"/>
    <x v="510"/>
    <x v="0"/>
    <d v="2019-07-07T00:00:00"/>
    <x v="0"/>
    <x v="0"/>
    <n v="1"/>
    <n v="1"/>
  </r>
  <r>
    <d v="2019-06-25T00:00:00"/>
    <n v="12281"/>
    <s v="WHSAO"/>
    <s v="Sao Paulo"/>
    <s v="SP"/>
    <n v="4045"/>
    <x v="49"/>
    <s v="Belo Horizonte"/>
    <s v="MG"/>
    <x v="2"/>
    <s v="MG"/>
    <n v="3301.77"/>
    <n v="17"/>
    <n v="66.885999999999996"/>
    <n v="6600879"/>
    <x v="2"/>
    <s v="Belo Horizonte"/>
    <s v="Convencional"/>
    <n v="3"/>
    <d v="2019-06-25T00:00:00"/>
    <x v="510"/>
    <x v="0"/>
    <d v="2019-06-28T00:00:00"/>
    <x v="1"/>
    <x v="0"/>
    <n v="0"/>
    <n v="1"/>
  </r>
  <r>
    <d v="2019-06-25T00:00:00"/>
    <n v="12282"/>
    <s v="WHVIT"/>
    <s v="Vitoria"/>
    <s v="ES"/>
    <n v="4044"/>
    <x v="48"/>
    <s v="Belo Horizonte"/>
    <s v="MG"/>
    <x v="2"/>
    <s v="MG"/>
    <n v="5286.43"/>
    <n v="1"/>
    <n v="1.1200000000000001"/>
    <n v="6600879"/>
    <x v="2"/>
    <s v="Belo Horizonte"/>
    <s v="Convencional"/>
    <n v="2"/>
    <d v="2019-06-25T00:00:00"/>
    <x v="511"/>
    <x v="0"/>
    <d v="2019-06-27T00:00:00"/>
    <x v="1"/>
    <x v="0"/>
    <n v="0"/>
    <n v="1"/>
  </r>
  <r>
    <d v="2019-06-25T00:00:00"/>
    <n v="12283"/>
    <s v="WHCPQ"/>
    <s v="Campinas"/>
    <s v="SP"/>
    <n v="4045"/>
    <x v="49"/>
    <s v="Belo Horizonte"/>
    <s v="MG"/>
    <x v="2"/>
    <s v="MG"/>
    <n v="3087"/>
    <n v="6"/>
    <n v="17.870999999999999"/>
    <n v="6600879"/>
    <x v="2"/>
    <s v="Belo Horizonte"/>
    <s v="Convencional"/>
    <n v="2"/>
    <d v="2019-06-25T00:00:00"/>
    <x v="510"/>
    <x v="0"/>
    <d v="2019-06-27T00:00:00"/>
    <x v="1"/>
    <x v="0"/>
    <n v="0"/>
    <n v="1"/>
  </r>
  <r>
    <d v="2019-06-26T00:00:00"/>
    <n v="12284"/>
    <s v="WHPOA"/>
    <s v="Porto Alegre"/>
    <s v="RS"/>
    <n v="4084"/>
    <x v="72"/>
    <s v="Aracatuba"/>
    <s v="SP"/>
    <x v="2"/>
    <s v="SP"/>
    <n v="3096.62"/>
    <n v="4"/>
    <n v="22.88"/>
    <n v="6400835"/>
    <x v="3"/>
    <s v="Guarulhos"/>
    <s v="Convencional"/>
    <n v="10"/>
    <d v="2019-06-26T00:00:00"/>
    <x v="509"/>
    <x v="0"/>
    <d v="2019-07-06T00:00:00"/>
    <x v="0"/>
    <x v="0"/>
    <n v="1"/>
    <n v="1"/>
  </r>
  <r>
    <d v="2019-06-26T00:00:00"/>
    <n v="12285"/>
    <s v="WHSJC"/>
    <s v="Sao Jose dos Campos"/>
    <s v="SP"/>
    <n v="4148"/>
    <x v="136"/>
    <s v="Sao Paulo"/>
    <s v="SP"/>
    <x v="2"/>
    <s v="SP"/>
    <n v="1288.79"/>
    <n v="2"/>
    <n v="9.4600000000000009"/>
    <n v="6400835"/>
    <x v="3"/>
    <s v="Guarulhos"/>
    <s v="Convencional"/>
    <n v="4"/>
    <d v="2019-06-26T00:00:00"/>
    <x v="513"/>
    <x v="0"/>
    <d v="2019-06-30T00:00:00"/>
    <x v="1"/>
    <x v="0"/>
    <n v="0"/>
    <n v="1"/>
  </r>
  <r>
    <d v="2019-06-26T00:00:00"/>
    <n v="12286"/>
    <s v="WHSAO"/>
    <s v="Sao Paulo"/>
    <s v="SP"/>
    <n v="4145"/>
    <x v="133"/>
    <s v="Rio Grande do Sul"/>
    <s v="RS"/>
    <x v="0"/>
    <s v="RS"/>
    <n v="650.83000000000004"/>
    <n v="1"/>
    <n v="0.63600000000000001"/>
    <n v="6500948"/>
    <x v="0"/>
    <s v="Porto Alegre"/>
    <s v="Convencional"/>
    <n v="10"/>
    <d v="2019-06-26T00:00:00"/>
    <x v="511"/>
    <x v="0"/>
    <d v="2019-07-06T00:00:00"/>
    <x v="0"/>
    <x v="0"/>
    <n v="1"/>
    <n v="1"/>
  </r>
  <r>
    <d v="2019-06-26T00:00:00"/>
    <n v="12287"/>
    <s v="WHSJC"/>
    <s v="Sao Jose dos Campos"/>
    <s v="SP"/>
    <n v="4154"/>
    <x v="142"/>
    <s v="Recife"/>
    <s v="PE"/>
    <x v="3"/>
    <s v="PE"/>
    <n v="2402.96"/>
    <n v="4"/>
    <n v="12.837999999999999"/>
    <n v="6900304"/>
    <x v="5"/>
    <s v="Fortaleza"/>
    <s v="Convencional"/>
    <n v="12"/>
    <d v="2019-06-26T00:00:00"/>
    <x v="511"/>
    <x v="0"/>
    <d v="2019-07-08T00:00:00"/>
    <x v="0"/>
    <x v="0"/>
    <n v="1"/>
    <n v="1"/>
  </r>
  <r>
    <d v="2019-06-27T00:00:00"/>
    <n v="12288"/>
    <s v="WHBH"/>
    <s v="Belo Horizonte"/>
    <s v="MG"/>
    <n v="4056"/>
    <x v="44"/>
    <s v="Goiania"/>
    <s v="GO"/>
    <x v="1"/>
    <s v="GO"/>
    <n v="4335.01"/>
    <n v="4"/>
    <n v="36.447000000000003"/>
    <n v="6100231"/>
    <x v="1"/>
    <s v="Goiania"/>
    <s v="Convencional"/>
    <n v="8"/>
    <d v="2019-06-27T00:00:00"/>
    <x v="509"/>
    <x v="0"/>
    <d v="2019-07-05T00:00:00"/>
    <x v="0"/>
    <x v="0"/>
    <n v="1"/>
    <n v="1"/>
  </r>
  <r>
    <d v="2019-06-27T00:00:00"/>
    <n v="12289"/>
    <s v="WHRJ"/>
    <s v="Rio De Janeiro"/>
    <s v="RJ"/>
    <n v="4056"/>
    <x v="44"/>
    <s v="Goiania"/>
    <s v="GO"/>
    <x v="1"/>
    <s v="GO"/>
    <n v="1056.99"/>
    <n v="1"/>
    <n v="1.544"/>
    <n v="6100231"/>
    <x v="1"/>
    <s v="Goiania"/>
    <s v="Convencional"/>
    <n v="11"/>
    <d v="2019-06-27T00:00:00"/>
    <x v="515"/>
    <x v="0"/>
    <d v="2019-07-08T00:00:00"/>
    <x v="0"/>
    <x v="0"/>
    <n v="1"/>
    <n v="1"/>
  </r>
  <r>
    <d v="2019-06-27T00:00:00"/>
    <n v="12290"/>
    <s v="WHRJ"/>
    <s v="Rio De Janeiro"/>
    <s v="RJ"/>
    <n v="4022"/>
    <x v="19"/>
    <s v="Maringa"/>
    <s v="PR"/>
    <x v="0"/>
    <s v="PR"/>
    <n v="543.71"/>
    <n v="2"/>
    <n v="2.2000000000000002"/>
    <n v="6500948"/>
    <x v="0"/>
    <s v="Porto Alegre"/>
    <s v="Convencional"/>
    <n v="5"/>
    <d v="2019-06-27T00:00:00"/>
    <x v="516"/>
    <x v="0"/>
    <d v="2019-07-02T00:00:00"/>
    <x v="1"/>
    <x v="0"/>
    <n v="0"/>
    <n v="1"/>
  </r>
  <r>
    <d v="2019-06-27T00:00:00"/>
    <n v="12291"/>
    <s v="WHBH"/>
    <s v="Belo Horizonte"/>
    <s v="MG"/>
    <n v="4022"/>
    <x v="19"/>
    <s v="Maringa"/>
    <s v="PR"/>
    <x v="0"/>
    <s v="PR"/>
    <n v="2896.52"/>
    <n v="4"/>
    <n v="19.221"/>
    <n v="6500948"/>
    <x v="0"/>
    <s v="Porto Alegre"/>
    <s v="Convencional"/>
    <n v="7"/>
    <d v="2019-06-27T00:00:00"/>
    <x v="510"/>
    <x v="0"/>
    <d v="2019-07-04T00:00:00"/>
    <x v="0"/>
    <x v="0"/>
    <n v="1"/>
    <n v="1"/>
  </r>
  <r>
    <d v="2019-06-27T00:00:00"/>
    <n v="12292"/>
    <s v="WHSAO"/>
    <s v="Sao Paulo"/>
    <s v="SP"/>
    <n v="4056"/>
    <x v="44"/>
    <s v="Goiania"/>
    <s v="GO"/>
    <x v="1"/>
    <s v="GO"/>
    <n v="3979.99"/>
    <n v="1"/>
    <n v="11.66"/>
    <n v="6100231"/>
    <x v="1"/>
    <s v="Goiania"/>
    <s v="Convencional"/>
    <n v="4"/>
    <d v="2019-06-27T00:00:00"/>
    <x v="507"/>
    <x v="0"/>
    <d v="2019-07-01T00:00:00"/>
    <x v="0"/>
    <x v="0"/>
    <n v="1"/>
    <n v="1"/>
  </r>
  <r>
    <d v="2019-06-28T00:00:00"/>
    <n v="12293"/>
    <s v="WHPOA"/>
    <s v="Porto Alegre"/>
    <s v="RS"/>
    <n v="4190"/>
    <x v="178"/>
    <s v="Belo Horizonte"/>
    <s v="MG"/>
    <x v="2"/>
    <s v="MG"/>
    <n v="5963.16"/>
    <n v="14"/>
    <n v="20.364999999999998"/>
    <n v="6600879"/>
    <x v="2"/>
    <s v="Belo Horizonte"/>
    <s v="Convencional"/>
    <n v="12"/>
    <d v="2019-06-28T00:00:00"/>
    <x v="514"/>
    <x v="0"/>
    <d v="2019-07-10T00:00:00"/>
    <x v="0"/>
    <x v="0"/>
    <n v="1"/>
    <n v="1"/>
  </r>
  <r>
    <d v="2019-06-28T00:00:00"/>
    <n v="12294"/>
    <s v="WHPOA"/>
    <s v="Porto Alegre"/>
    <s v="RS"/>
    <n v="4032"/>
    <x v="34"/>
    <s v="Goiania"/>
    <s v="GO"/>
    <x v="1"/>
    <s v="GO"/>
    <n v="869.51"/>
    <n v="2"/>
    <n v="14.634"/>
    <n v="6100231"/>
    <x v="1"/>
    <s v="Goiania"/>
    <s v="Convencional"/>
    <n v="4"/>
    <d v="2019-06-28T00:00:00"/>
    <x v="511"/>
    <x v="0"/>
    <d v="2019-07-02T00:00:00"/>
    <x v="0"/>
    <x v="0"/>
    <n v="1"/>
    <n v="1"/>
  </r>
  <r>
    <d v="2019-06-29T00:00:00"/>
    <n v="12295"/>
    <s v="WHSAO"/>
    <s v="Sao Paulo"/>
    <s v="SP"/>
    <n v="4157"/>
    <x v="145"/>
    <s v="Belo Horizonte"/>
    <s v="MG"/>
    <x v="2"/>
    <s v="MG"/>
    <n v="4693.57"/>
    <n v="4"/>
    <n v="17.056000000000001"/>
    <n v="6600879"/>
    <x v="2"/>
    <s v="Belo Horizonte"/>
    <s v="Convencional"/>
    <n v="12"/>
    <d v="2019-06-29T00:00:00"/>
    <x v="516"/>
    <x v="0"/>
    <d v="2019-07-11T00:00:00"/>
    <x v="0"/>
    <x v="0"/>
    <n v="1"/>
    <n v="1"/>
  </r>
  <r>
    <d v="2019-06-29T00:00:00"/>
    <n v="12296"/>
    <s v="WHPOA"/>
    <s v="Porto Alegre"/>
    <s v="RS"/>
    <n v="4173"/>
    <x v="161"/>
    <s v="Belo Horizonte"/>
    <s v="MG"/>
    <x v="2"/>
    <s v="MG"/>
    <n v="12047.18"/>
    <n v="18"/>
    <n v="106.042"/>
    <n v="6600879"/>
    <x v="2"/>
    <s v="Belo Horizonte"/>
    <s v="Convencional"/>
    <n v="4"/>
    <d v="2019-06-29T00:00:00"/>
    <x v="517"/>
    <x v="0"/>
    <d v="2019-07-03T00:00:00"/>
    <x v="1"/>
    <x v="0"/>
    <n v="0"/>
    <n v="1"/>
  </r>
  <r>
    <d v="2019-06-29T00:00:00"/>
    <n v="12297"/>
    <s v="WHCPQ"/>
    <s v="Campinas"/>
    <s v="SP"/>
    <n v="4173"/>
    <x v="161"/>
    <s v="Belo Horizonte"/>
    <s v="MG"/>
    <x v="2"/>
    <s v="MG"/>
    <n v="3268.05"/>
    <n v="6"/>
    <n v="12.074999999999999"/>
    <n v="6600879"/>
    <x v="2"/>
    <s v="Belo Horizonte"/>
    <s v="Convencional"/>
    <n v="7"/>
    <d v="2019-06-29T00:00:00"/>
    <x v="510"/>
    <x v="0"/>
    <d v="2019-07-06T00:00:00"/>
    <x v="0"/>
    <x v="0"/>
    <n v="1"/>
    <n v="1"/>
  </r>
  <r>
    <d v="2019-06-29T00:00:00"/>
    <n v="12298"/>
    <s v="WHSJC"/>
    <s v="Sao Jose dos Campos"/>
    <s v="SP"/>
    <n v="4191"/>
    <x v="179"/>
    <s v="Manaus"/>
    <s v="AM"/>
    <x v="4"/>
    <s v="AM"/>
    <n v="1038.6400000000001"/>
    <n v="1"/>
    <n v="1.1200000000000001"/>
    <n v="6700091"/>
    <x v="6"/>
    <s v="Manaus"/>
    <s v="Convencional"/>
    <n v="10"/>
    <d v="2019-06-29T00:00:00"/>
    <x v="511"/>
    <x v="1"/>
    <d v="2019-07-09T00:00:00"/>
    <x v="0"/>
    <x v="1"/>
    <n v="0"/>
    <n v="1"/>
  </r>
  <r>
    <d v="2019-06-29T00:00:00"/>
    <n v="12299"/>
    <s v="WHVIT"/>
    <s v="Vitoria"/>
    <s v="ES"/>
    <n v="4012"/>
    <x v="0"/>
    <s v="Sao Jose Dos Pinhais"/>
    <s v="PR"/>
    <x v="0"/>
    <s v="PR"/>
    <n v="5707.74"/>
    <n v="6"/>
    <n v="9.266"/>
    <n v="6500948"/>
    <x v="0"/>
    <s v="Porto Alegre"/>
    <s v="Convencional"/>
    <n v="5"/>
    <d v="2019-06-29T00:00:00"/>
    <x v="517"/>
    <x v="0"/>
    <d v="2019-07-04T00:00:00"/>
    <x v="1"/>
    <x v="0"/>
    <n v="0"/>
    <n v="1"/>
  </r>
  <r>
    <d v="2019-06-29T00:00:00"/>
    <n v="12300"/>
    <s v="WHRJ"/>
    <s v="Rio De Janeiro"/>
    <s v="RJ"/>
    <n v="4014"/>
    <x v="3"/>
    <s v="Ipatinga"/>
    <s v="MG"/>
    <x v="2"/>
    <s v="MG"/>
    <n v="100.87"/>
    <n v="1"/>
    <n v="0.27500000000000002"/>
    <n v="6600879"/>
    <x v="2"/>
    <s v="Belo Horizonte"/>
    <s v="Convencional"/>
    <n v="9"/>
    <d v="2019-06-29T00:00:00"/>
    <x v="514"/>
    <x v="0"/>
    <d v="2019-07-08T00:00:00"/>
    <x v="0"/>
    <x v="0"/>
    <n v="1"/>
    <n v="1"/>
  </r>
  <r>
    <d v="2019-06-29T00:00:00"/>
    <n v="12301"/>
    <s v="WHCPQ"/>
    <s v="Campinas"/>
    <s v="SP"/>
    <n v="4014"/>
    <x v="3"/>
    <s v="Ipatinga"/>
    <s v="MG"/>
    <x v="2"/>
    <s v="MG"/>
    <n v="1474.18"/>
    <n v="4"/>
    <n v="8.0389999999999997"/>
    <n v="6600879"/>
    <x v="2"/>
    <s v="Belo Horizonte"/>
    <s v="Convencional"/>
    <n v="11"/>
    <d v="2019-06-29T00:00:00"/>
    <x v="513"/>
    <x v="0"/>
    <d v="2019-07-10T00:00:00"/>
    <x v="0"/>
    <x v="0"/>
    <n v="1"/>
    <n v="1"/>
  </r>
  <r>
    <d v="2019-06-29T00:00:00"/>
    <n v="12302"/>
    <s v="WHSJC"/>
    <s v="Sao Jose dos Campos"/>
    <s v="SP"/>
    <n v="4014"/>
    <x v="3"/>
    <s v="Ipatinga"/>
    <s v="MG"/>
    <x v="2"/>
    <s v="MG"/>
    <n v="2238.0500000000002"/>
    <n v="1"/>
    <n v="1.1200000000000001"/>
    <n v="6600879"/>
    <x v="2"/>
    <s v="Belo Horizonte"/>
    <s v="Convencional"/>
    <n v="4"/>
    <d v="2019-06-29T00:00:00"/>
    <x v="513"/>
    <x v="1"/>
    <d v="2019-07-03T00:00:00"/>
    <x v="0"/>
    <x v="1"/>
    <n v="0"/>
    <n v="1"/>
  </r>
  <r>
    <d v="2019-06-29T00:00:00"/>
    <n v="12303"/>
    <s v="WHPOA"/>
    <s v="Porto Alegre"/>
    <s v="RS"/>
    <n v="4014"/>
    <x v="3"/>
    <s v="Ipatinga"/>
    <s v="MG"/>
    <x v="2"/>
    <s v="MG"/>
    <n v="3295.6"/>
    <n v="5"/>
    <n v="32.518000000000001"/>
    <n v="6600879"/>
    <x v="2"/>
    <s v="Belo Horizonte"/>
    <s v="Convencional"/>
    <n v="11"/>
    <d v="2019-06-29T00:00:00"/>
    <x v="513"/>
    <x v="0"/>
    <d v="2019-07-10T00:00:00"/>
    <x v="0"/>
    <x v="0"/>
    <n v="1"/>
    <n v="1"/>
  </r>
  <r>
    <d v="2019-06-30T00:00:00"/>
    <n v="12304"/>
    <s v="WHCPQ"/>
    <s v="Campinas"/>
    <s v="SP"/>
    <n v="4013"/>
    <x v="1"/>
    <s v="Blumenau"/>
    <s v="SC"/>
    <x v="0"/>
    <s v="SC"/>
    <n v="5348.69"/>
    <n v="6"/>
    <n v="35.002000000000002"/>
    <n v="6500948"/>
    <x v="0"/>
    <s v="Porto Alegre"/>
    <s v="Convencional"/>
    <n v="5"/>
    <d v="2019-06-30T00:00:00"/>
    <x v="517"/>
    <x v="1"/>
    <d v="2019-07-05T00:00:00"/>
    <x v="1"/>
    <x v="1"/>
    <n v="0"/>
    <n v="1"/>
  </r>
  <r>
    <d v="2019-06-30T00:00:00"/>
    <n v="12305"/>
    <s v="WHVIT"/>
    <s v="Vitoria"/>
    <s v="ES"/>
    <n v="4034"/>
    <x v="36"/>
    <s v="Goiania"/>
    <s v="GO"/>
    <x v="1"/>
    <s v="GO"/>
    <n v="353.06"/>
    <n v="1"/>
    <n v="4.4039999999999999"/>
    <n v="6100231"/>
    <x v="1"/>
    <s v="Goiania"/>
    <s v="Convencional"/>
    <n v="12"/>
    <d v="2019-06-30T00:00:00"/>
    <x v="518"/>
    <x v="0"/>
    <d v="2019-07-12T00:00:00"/>
    <x v="0"/>
    <x v="0"/>
    <n v="1"/>
    <n v="1"/>
  </r>
  <r>
    <d v="2019-06-30T00:00:00"/>
    <n v="12306"/>
    <s v="WHCPQ"/>
    <s v="Campinas"/>
    <s v="SP"/>
    <n v="4034"/>
    <x v="36"/>
    <s v="Goiania"/>
    <s v="GO"/>
    <x v="1"/>
    <s v="GO"/>
    <n v="6477.98"/>
    <n v="10"/>
    <n v="76.254999999999995"/>
    <n v="6100231"/>
    <x v="1"/>
    <s v="Goiania"/>
    <s v="Convencional"/>
    <n v="5"/>
    <d v="2019-06-30T00:00:00"/>
    <x v="518"/>
    <x v="0"/>
    <d v="2019-07-05T00:00:00"/>
    <x v="1"/>
    <x v="0"/>
    <n v="0"/>
    <n v="1"/>
  </r>
  <r>
    <d v="2019-06-30T00:00:00"/>
    <n v="12307"/>
    <s v="WHSJC"/>
    <s v="Sao Jose dos Campos"/>
    <s v="SP"/>
    <n v="4013"/>
    <x v="1"/>
    <s v="Blumenau"/>
    <s v="SC"/>
    <x v="0"/>
    <s v="SC"/>
    <n v="219.4"/>
    <n v="1"/>
    <n v="1.1200000000000001"/>
    <n v="6500948"/>
    <x v="0"/>
    <s v="Porto Alegre"/>
    <s v="Convencional"/>
    <n v="9"/>
    <d v="2019-06-30T00:00:00"/>
    <x v="511"/>
    <x v="0"/>
    <d v="2019-07-09T00:00:00"/>
    <x v="0"/>
    <x v="0"/>
    <n v="1"/>
    <n v="1"/>
  </r>
  <r>
    <d v="2019-06-30T00:00:00"/>
    <n v="12308"/>
    <s v="WHSJC"/>
    <s v="Sao Jose dos Campos"/>
    <s v="SP"/>
    <n v="4119"/>
    <x v="107"/>
    <s v="Recife"/>
    <s v="PE"/>
    <x v="3"/>
    <s v="PE"/>
    <n v="342.17"/>
    <n v="1"/>
    <n v="4.4039999999999999"/>
    <n v="6900304"/>
    <x v="5"/>
    <s v="Fortaleza"/>
    <s v="Convencional"/>
    <n v="1"/>
    <d v="2019-06-30T00:00:00"/>
    <x v="516"/>
    <x v="0"/>
    <d v="2019-07-01T00:00:00"/>
    <x v="1"/>
    <x v="0"/>
    <n v="0"/>
    <n v="1"/>
  </r>
  <r>
    <d v="2019-06-30T00:00:00"/>
    <n v="12309"/>
    <s v="WHCPQ"/>
    <s v="Campinas"/>
    <s v="SP"/>
    <n v="4013"/>
    <x v="1"/>
    <s v="Blumenau"/>
    <s v="SC"/>
    <x v="0"/>
    <s v="SC"/>
    <n v="1307.45"/>
    <n v="4"/>
    <n v="4.6390000000000002"/>
    <n v="6500948"/>
    <x v="0"/>
    <s v="Porto Alegre"/>
    <s v="Convencional"/>
    <n v="11"/>
    <d v="2019-06-30T00:00:00"/>
    <x v="516"/>
    <x v="0"/>
    <d v="2019-07-11T00:00:00"/>
    <x v="0"/>
    <x v="0"/>
    <n v="1"/>
    <n v="1"/>
  </r>
  <r>
    <d v="2019-06-30T00:00:00"/>
    <n v="12310"/>
    <s v="WHSAO"/>
    <s v="Sao Paulo"/>
    <s v="SP"/>
    <n v="4119"/>
    <x v="107"/>
    <s v="Recife"/>
    <s v="PE"/>
    <x v="3"/>
    <s v="PE"/>
    <n v="960.54"/>
    <n v="1"/>
    <n v="6.6"/>
    <n v="6900304"/>
    <x v="5"/>
    <s v="Fortaleza"/>
    <s v="Convencional"/>
    <n v="3"/>
    <d v="2019-06-30T00:00:00"/>
    <x v="518"/>
    <x v="0"/>
    <d v="2019-07-03T00:00:00"/>
    <x v="1"/>
    <x v="0"/>
    <n v="0"/>
    <n v="1"/>
  </r>
  <r>
    <d v="2019-06-30T00:00:00"/>
    <n v="12311"/>
    <s v="WHCPQ"/>
    <s v="Campinas"/>
    <s v="SP"/>
    <n v="4119"/>
    <x v="107"/>
    <s v="Recife"/>
    <s v="PE"/>
    <x v="3"/>
    <s v="PE"/>
    <n v="362.48"/>
    <n v="3"/>
    <n v="7.0990000000000002"/>
    <n v="6900304"/>
    <x v="5"/>
    <s v="Fortaleza"/>
    <s v="Convencional"/>
    <n v="5"/>
    <d v="2019-06-30T00:00:00"/>
    <x v="518"/>
    <x v="0"/>
    <d v="2019-07-05T00:00:00"/>
    <x v="1"/>
    <x v="0"/>
    <n v="0"/>
    <n v="1"/>
  </r>
  <r>
    <d v="2019-06-30T00:00:00"/>
    <n v="12312"/>
    <s v="WHSJC"/>
    <s v="Sao Jose dos Campos"/>
    <s v="SP"/>
    <n v="4119"/>
    <x v="107"/>
    <s v="Recife"/>
    <s v="PE"/>
    <x v="3"/>
    <s v="PE"/>
    <n v="1058.8699999999999"/>
    <n v="1"/>
    <n v="1.1200000000000001"/>
    <n v="6900304"/>
    <x v="5"/>
    <s v="Fortaleza"/>
    <s v="Convencional"/>
    <n v="6"/>
    <d v="2019-06-30T00:00:00"/>
    <x v="514"/>
    <x v="0"/>
    <d v="2019-07-06T00:00:00"/>
    <x v="0"/>
    <x v="0"/>
    <n v="1"/>
    <n v="1"/>
  </r>
  <r>
    <d v="2019-06-30T00:00:00"/>
    <n v="12313"/>
    <s v="WHRJ"/>
    <s v="Rio De Janeiro"/>
    <s v="RJ"/>
    <n v="4119"/>
    <x v="107"/>
    <s v="Recife"/>
    <s v="PE"/>
    <x v="3"/>
    <s v="PE"/>
    <n v="729.11"/>
    <n v="2"/>
    <n v="2.75"/>
    <n v="6900304"/>
    <x v="5"/>
    <s v="Fortaleza"/>
    <s v="Convencional"/>
    <n v="7"/>
    <d v="2019-06-30T00:00:00"/>
    <x v="515"/>
    <x v="0"/>
    <d v="2019-07-07T00:00:00"/>
    <x v="0"/>
    <x v="0"/>
    <n v="1"/>
    <n v="1"/>
  </r>
  <r>
    <d v="2019-07-02T00:00:00"/>
    <n v="12314"/>
    <s v="WHCPQ"/>
    <s v="Campinas"/>
    <s v="SP"/>
    <n v="4143"/>
    <x v="131"/>
    <s v="Manaus"/>
    <s v="AM"/>
    <x v="4"/>
    <s v="AM"/>
    <n v="842.2"/>
    <n v="1"/>
    <n v="1.804"/>
    <n v="6700091"/>
    <x v="6"/>
    <s v="Manaus"/>
    <s v="Convencional"/>
    <n v="4"/>
    <d v="2019-07-02T00:00:00"/>
    <x v="515"/>
    <x v="0"/>
    <d v="2019-07-06T00:00:00"/>
    <x v="0"/>
    <x v="0"/>
    <n v="1"/>
    <n v="1"/>
  </r>
  <r>
    <d v="2019-07-02T00:00:00"/>
    <n v="12315"/>
    <s v="WHRJ"/>
    <s v="Rio De Janeiro"/>
    <s v="RJ"/>
    <n v="4148"/>
    <x v="136"/>
    <s v="Sao Paulo"/>
    <s v="SP"/>
    <x v="2"/>
    <s v="SP"/>
    <n v="1372.89"/>
    <n v="2"/>
    <n v="9.1189999999999998"/>
    <n v="6400835"/>
    <x v="3"/>
    <s v="Guarulhos"/>
    <s v="Convencional"/>
    <n v="1"/>
    <d v="2019-07-02T00:00:00"/>
    <x v="514"/>
    <x v="0"/>
    <d v="2019-07-03T00:00:00"/>
    <x v="1"/>
    <x v="0"/>
    <n v="0"/>
    <n v="1"/>
  </r>
  <r>
    <d v="2019-07-02T00:00:00"/>
    <n v="12316"/>
    <s v="WHSJC"/>
    <s v="Sao Jose dos Campos"/>
    <s v="SP"/>
    <n v="4173"/>
    <x v="161"/>
    <s v="Belo Horizonte"/>
    <s v="MG"/>
    <x v="2"/>
    <s v="MG"/>
    <n v="2418.65"/>
    <n v="1"/>
    <n v="6.2590000000000003"/>
    <n v="6600879"/>
    <x v="2"/>
    <s v="Belo Horizonte"/>
    <s v="Convencional"/>
    <n v="11"/>
    <d v="2019-07-02T00:00:00"/>
    <x v="519"/>
    <x v="0"/>
    <d v="2019-07-13T00:00:00"/>
    <x v="0"/>
    <x v="0"/>
    <n v="1"/>
    <n v="1"/>
  </r>
  <r>
    <d v="2019-07-02T00:00:00"/>
    <n v="12317"/>
    <s v="WHSAO"/>
    <s v="Sao Paulo"/>
    <s v="SP"/>
    <n v="4192"/>
    <x v="180"/>
    <s v="Belo Horizonte"/>
    <s v="MG"/>
    <x v="2"/>
    <s v="MG"/>
    <n v="317.76"/>
    <n v="3"/>
    <n v="8.8960000000000008"/>
    <n v="6600879"/>
    <x v="2"/>
    <s v="Belo Horizonte"/>
    <s v="Urgente"/>
    <n v="1"/>
    <d v="2019-07-02T00:00:00"/>
    <x v="515"/>
    <x v="0"/>
    <d v="2019-07-03T00:00:00"/>
    <x v="1"/>
    <x v="0"/>
    <n v="0"/>
    <n v="1"/>
  </r>
  <r>
    <d v="2019-07-03T00:00:00"/>
    <n v="12318"/>
    <s v="WHSAO"/>
    <s v="Sao Paulo"/>
    <s v="SP"/>
    <n v="4193"/>
    <x v="181"/>
    <s v="Sao Paulo"/>
    <s v="SP"/>
    <x v="2"/>
    <s v="SP"/>
    <n v="1166.49"/>
    <n v="1"/>
    <n v="1.1200000000000001"/>
    <n v="6400835"/>
    <x v="3"/>
    <s v="Guarulhos"/>
    <s v="Convencional"/>
    <n v="11"/>
    <d v="2019-07-03T00:00:00"/>
    <x v="518"/>
    <x v="0"/>
    <d v="2019-07-14T00:00:00"/>
    <x v="0"/>
    <x v="0"/>
    <n v="1"/>
    <n v="1"/>
  </r>
  <r>
    <d v="2019-07-03T00:00:00"/>
    <n v="12319"/>
    <s v="WHCPQ"/>
    <s v="Campinas"/>
    <s v="SP"/>
    <n v="4155"/>
    <x v="143"/>
    <s v="Sao Paulo"/>
    <s v="SP"/>
    <x v="2"/>
    <s v="SP"/>
    <n v="1229.42"/>
    <n v="2"/>
    <n v="9.4909999999999997"/>
    <n v="6400835"/>
    <x v="3"/>
    <s v="Guarulhos"/>
    <s v="Convencional"/>
    <n v="2"/>
    <d v="2019-07-03T00:00:00"/>
    <x v="514"/>
    <x v="0"/>
    <d v="2019-07-05T00:00:00"/>
    <x v="0"/>
    <x v="0"/>
    <n v="1"/>
    <n v="1"/>
  </r>
  <r>
    <d v="2019-07-03T00:00:00"/>
    <n v="12320"/>
    <s v="WHPOA"/>
    <s v="Porto Alegre"/>
    <s v="RS"/>
    <n v="4156"/>
    <x v="144"/>
    <s v="Rio Grande do Sul"/>
    <s v="RS"/>
    <x v="0"/>
    <s v="RS"/>
    <n v="196.18"/>
    <n v="1"/>
    <n v="1.1200000000000001"/>
    <n v="6500948"/>
    <x v="0"/>
    <s v="Porto Alegre"/>
    <s v="Convencional"/>
    <n v="8"/>
    <d v="2019-07-03T00:00:00"/>
    <x v="514"/>
    <x v="0"/>
    <d v="2019-07-11T00:00:00"/>
    <x v="0"/>
    <x v="0"/>
    <n v="1"/>
    <n v="1"/>
  </r>
  <r>
    <d v="2019-07-03T00:00:00"/>
    <n v="12321"/>
    <s v="WHRJ"/>
    <s v="Rio De Janeiro"/>
    <s v="RJ"/>
    <n v="4165"/>
    <x v="153"/>
    <s v="Recife"/>
    <s v="PE"/>
    <x v="3"/>
    <s v="PE"/>
    <n v="3343.04"/>
    <n v="3"/>
    <n v="20.827000000000002"/>
    <n v="6900304"/>
    <x v="5"/>
    <s v="Fortaleza"/>
    <s v="Convencional"/>
    <n v="3"/>
    <d v="2019-07-03T00:00:00"/>
    <x v="514"/>
    <x v="0"/>
    <d v="2019-07-06T00:00:00"/>
    <x v="0"/>
    <x v="0"/>
    <n v="1"/>
    <n v="1"/>
  </r>
  <r>
    <d v="2019-07-03T00:00:00"/>
    <n v="12322"/>
    <s v="WHVIT"/>
    <s v="Vitoria"/>
    <s v="ES"/>
    <n v="4137"/>
    <x v="125"/>
    <s v="Sao Paulo"/>
    <s v="SP"/>
    <x v="2"/>
    <s v="SP"/>
    <n v="780.79"/>
    <n v="1"/>
    <n v="4.3999999999999997E-2"/>
    <n v="6400835"/>
    <x v="3"/>
    <s v="Guarulhos"/>
    <s v="Convencional"/>
    <n v="8"/>
    <d v="2019-07-03T00:00:00"/>
    <x v="520"/>
    <x v="0"/>
    <d v="2019-07-11T00:00:00"/>
    <x v="1"/>
    <x v="0"/>
    <n v="0"/>
    <n v="1"/>
  </r>
  <r>
    <d v="2019-07-03T00:00:00"/>
    <n v="12323"/>
    <s v="WHPOA"/>
    <s v="Porto Alegre"/>
    <s v="RS"/>
    <n v="4144"/>
    <x v="132"/>
    <s v="Santos"/>
    <s v="SP"/>
    <x v="2"/>
    <s v="SP"/>
    <n v="234.16"/>
    <n v="1"/>
    <n v="0.91900000000000004"/>
    <n v="6400835"/>
    <x v="3"/>
    <s v="Guarulhos"/>
    <s v="Convencional"/>
    <n v="5"/>
    <d v="2019-07-03T00:00:00"/>
    <x v="520"/>
    <x v="0"/>
    <d v="2019-07-08T00:00:00"/>
    <x v="1"/>
    <x v="0"/>
    <n v="0"/>
    <n v="1"/>
  </r>
  <r>
    <d v="2019-07-03T00:00:00"/>
    <n v="12324"/>
    <s v="WHSJC"/>
    <s v="Sao Jose dos Campos"/>
    <s v="SP"/>
    <n v="4161"/>
    <x v="149"/>
    <s v="Recife"/>
    <s v="PE"/>
    <x v="3"/>
    <s v="PE"/>
    <n v="842.2"/>
    <n v="1"/>
    <n v="1.804"/>
    <n v="6900304"/>
    <x v="5"/>
    <s v="Fortaleza"/>
    <s v="Convencional"/>
    <n v="7"/>
    <d v="2019-07-03T00:00:00"/>
    <x v="520"/>
    <x v="0"/>
    <d v="2019-07-10T00:00:00"/>
    <x v="1"/>
    <x v="0"/>
    <n v="0"/>
    <n v="1"/>
  </r>
  <r>
    <d v="2019-07-03T00:00:00"/>
    <n v="12325"/>
    <s v="WHVIT"/>
    <s v="Vitoria"/>
    <s v="ES"/>
    <n v="4194"/>
    <x v="182"/>
    <s v="Manaus"/>
    <s v="AM"/>
    <x v="4"/>
    <s v="AM"/>
    <n v="1176.01"/>
    <n v="1"/>
    <n v="17.16"/>
    <n v="6700091"/>
    <x v="6"/>
    <s v="Manaus"/>
    <s v="Convencional"/>
    <n v="4"/>
    <d v="2019-07-03T00:00:00"/>
    <x v="518"/>
    <x v="0"/>
    <d v="2019-07-07T00:00:00"/>
    <x v="0"/>
    <x v="0"/>
    <n v="1"/>
    <n v="1"/>
  </r>
  <r>
    <d v="2019-07-03T00:00:00"/>
    <n v="12326"/>
    <s v="WHSJC"/>
    <s v="Sao Jose dos Campos"/>
    <s v="SP"/>
    <n v="4068"/>
    <x v="4"/>
    <s v="Campo Grande"/>
    <s v="MS"/>
    <x v="1"/>
    <s v="MS"/>
    <n v="623.22"/>
    <n v="1"/>
    <n v="0.77600000000000002"/>
    <n v="6100231"/>
    <x v="1"/>
    <s v="Goiania"/>
    <s v="Convencional"/>
    <n v="10"/>
    <d v="2019-07-03T00:00:00"/>
    <x v="518"/>
    <x v="0"/>
    <d v="2019-07-13T00:00:00"/>
    <x v="0"/>
    <x v="0"/>
    <n v="1"/>
    <n v="1"/>
  </r>
  <r>
    <d v="2019-07-03T00:00:00"/>
    <n v="12327"/>
    <s v="WHRJ"/>
    <s v="Rio De Janeiro"/>
    <s v="RJ"/>
    <n v="4068"/>
    <x v="4"/>
    <s v="Campo Grande"/>
    <s v="MS"/>
    <x v="1"/>
    <s v="MS"/>
    <n v="990.31"/>
    <n v="1"/>
    <n v="15.18"/>
    <n v="6100231"/>
    <x v="1"/>
    <s v="Goiania"/>
    <s v="Convencional"/>
    <n v="1"/>
    <d v="2019-07-03T00:00:00"/>
    <x v="521"/>
    <x v="0"/>
    <d v="2019-07-04T00:00:00"/>
    <x v="1"/>
    <x v="0"/>
    <n v="0"/>
    <n v="1"/>
  </r>
  <r>
    <d v="2019-07-04T00:00:00"/>
    <n v="12328"/>
    <s v="WHCPQ"/>
    <s v="Campinas"/>
    <s v="SP"/>
    <n v="4164"/>
    <x v="152"/>
    <s v="Rio Grande do Sul"/>
    <s v="RS"/>
    <x v="0"/>
    <s v="RS"/>
    <n v="1097.8499999999999"/>
    <n v="2"/>
    <n v="3.5720000000000001"/>
    <n v="6500948"/>
    <x v="0"/>
    <s v="Porto Alegre"/>
    <s v="Convencional"/>
    <n v="9"/>
    <d v="2019-07-04T00:00:00"/>
    <x v="518"/>
    <x v="0"/>
    <d v="2019-07-13T00:00:00"/>
    <x v="0"/>
    <x v="0"/>
    <n v="1"/>
    <n v="1"/>
  </r>
  <r>
    <d v="2019-07-06T00:00:00"/>
    <n v="12329"/>
    <s v="WHBH"/>
    <s v="Belo Horizonte"/>
    <s v="MG"/>
    <n v="4068"/>
    <x v="4"/>
    <s v="Campo Grande"/>
    <s v="MS"/>
    <x v="1"/>
    <s v="MS"/>
    <n v="2326.69"/>
    <n v="4"/>
    <n v="9.68"/>
    <n v="6100231"/>
    <x v="1"/>
    <s v="Goiania"/>
    <s v="Convencional"/>
    <n v="1"/>
    <d v="2019-07-06T00:00:00"/>
    <x v="522"/>
    <x v="0"/>
    <d v="2019-07-07T00:00:00"/>
    <x v="1"/>
    <x v="0"/>
    <n v="0"/>
    <n v="1"/>
  </r>
  <r>
    <d v="2019-07-06T00:00:00"/>
    <n v="12330"/>
    <s v="WHPOA"/>
    <s v="Porto Alegre"/>
    <s v="RS"/>
    <n v="4128"/>
    <x v="116"/>
    <s v="Recife"/>
    <s v="PE"/>
    <x v="3"/>
    <s v="PE"/>
    <n v="886.74"/>
    <n v="2"/>
    <n v="1.266"/>
    <n v="6900304"/>
    <x v="5"/>
    <s v="Fortaleza"/>
    <s v="Convencional"/>
    <n v="9"/>
    <d v="2019-07-06T00:00:00"/>
    <x v="519"/>
    <x v="0"/>
    <d v="2019-07-15T00:00:00"/>
    <x v="0"/>
    <x v="0"/>
    <n v="1"/>
    <n v="1"/>
  </r>
  <r>
    <d v="2019-07-06T00:00:00"/>
    <n v="12331"/>
    <s v="WHSAO"/>
    <s v="Sao Paulo"/>
    <s v="SP"/>
    <n v="4126"/>
    <x v="114"/>
    <s v="Belo Horizonte"/>
    <s v="MG"/>
    <x v="2"/>
    <s v="MG"/>
    <n v="260.64999999999998"/>
    <n v="4"/>
    <n v="33.317999999999998"/>
    <n v="6600879"/>
    <x v="2"/>
    <s v="Belo Horizonte"/>
    <s v="Convencional"/>
    <n v="5"/>
    <d v="2019-07-06T00:00:00"/>
    <x v="523"/>
    <x v="0"/>
    <d v="2019-07-11T00:00:00"/>
    <x v="1"/>
    <x v="0"/>
    <n v="0"/>
    <n v="1"/>
  </r>
  <r>
    <d v="2019-07-06T00:00:00"/>
    <n v="12332"/>
    <s v="WHPOA"/>
    <s v="Porto Alegre"/>
    <s v="RS"/>
    <n v="4126"/>
    <x v="114"/>
    <s v="Belo Horizonte"/>
    <s v="MG"/>
    <x v="2"/>
    <s v="MG"/>
    <n v="1215.3599999999999"/>
    <n v="1"/>
    <n v="1.1200000000000001"/>
    <n v="6600879"/>
    <x v="2"/>
    <s v="Belo Horizonte"/>
    <s v="Convencional"/>
    <n v="8"/>
    <d v="2019-07-06T00:00:00"/>
    <x v="524"/>
    <x v="0"/>
    <d v="2019-07-14T00:00:00"/>
    <x v="0"/>
    <x v="0"/>
    <n v="1"/>
    <n v="1"/>
  </r>
  <r>
    <d v="2019-07-09T00:00:00"/>
    <n v="12333"/>
    <s v="WHCPQ"/>
    <s v="Campinas"/>
    <s v="SP"/>
    <n v="4166"/>
    <x v="154"/>
    <s v="Manaus"/>
    <s v="AM"/>
    <x v="4"/>
    <s v="AM"/>
    <n v="1368.22"/>
    <n v="2"/>
    <n v="12.414999999999999"/>
    <n v="6700091"/>
    <x v="6"/>
    <s v="Manaus"/>
    <s v="Convencional"/>
    <n v="9"/>
    <d v="2019-07-09T00:00:00"/>
    <x v="523"/>
    <x v="0"/>
    <d v="2019-07-18T00:00:00"/>
    <x v="0"/>
    <x v="0"/>
    <n v="1"/>
    <n v="1"/>
  </r>
  <r>
    <d v="2019-07-10T00:00:00"/>
    <n v="12334"/>
    <s v="WHSJC"/>
    <s v="Sao Jose dos Campos"/>
    <s v="SP"/>
    <n v="4171"/>
    <x v="159"/>
    <s v="Manaus"/>
    <s v="AM"/>
    <x v="4"/>
    <s v="AM"/>
    <n v="83.06"/>
    <n v="1"/>
    <n v="0.45900000000000002"/>
    <n v="6700091"/>
    <x v="6"/>
    <s v="Manaus"/>
    <s v="Convencional"/>
    <n v="6"/>
    <d v="2019-07-10T00:00:00"/>
    <x v="525"/>
    <x v="0"/>
    <d v="2019-07-16T00:00:00"/>
    <x v="1"/>
    <x v="0"/>
    <n v="0"/>
    <n v="1"/>
  </r>
  <r>
    <d v="2019-07-10T00:00:00"/>
    <n v="12335"/>
    <s v="WHPOA"/>
    <s v="Porto Alegre"/>
    <s v="RS"/>
    <n v="4147"/>
    <x v="135"/>
    <s v="Belo Horizonte"/>
    <s v="MG"/>
    <x v="2"/>
    <s v="MG"/>
    <n v="2563.16"/>
    <n v="15"/>
    <n v="61.148000000000003"/>
    <n v="6600879"/>
    <x v="2"/>
    <s v="Belo Horizonte"/>
    <s v="Convencional"/>
    <n v="3"/>
    <d v="2019-07-10T00:00:00"/>
    <x v="523"/>
    <x v="0"/>
    <d v="2019-07-13T00:00:00"/>
    <x v="1"/>
    <x v="0"/>
    <n v="0"/>
    <n v="1"/>
  </r>
  <r>
    <d v="2019-07-10T00:00:00"/>
    <n v="12336"/>
    <s v="WHBH"/>
    <s v="Belo Horizonte"/>
    <s v="MG"/>
    <n v="4194"/>
    <x v="182"/>
    <s v="Manaus"/>
    <s v="AM"/>
    <x v="4"/>
    <s v="AM"/>
    <n v="7613.6"/>
    <n v="1"/>
    <n v="1.1200000000000001"/>
    <n v="6700091"/>
    <x v="6"/>
    <s v="Manaus"/>
    <s v="Convencional"/>
    <n v="5"/>
    <d v="2019-07-10T00:00:00"/>
    <x v="526"/>
    <x v="0"/>
    <d v="2019-07-15T00:00:00"/>
    <x v="1"/>
    <x v="0"/>
    <n v="0"/>
    <n v="1"/>
  </r>
  <r>
    <d v="2019-07-10T00:00:00"/>
    <n v="12337"/>
    <s v="WHSAO"/>
    <s v="Sao Paulo"/>
    <s v="SP"/>
    <n v="4069"/>
    <x v="57"/>
    <s v="Brasilia"/>
    <s v="DF"/>
    <x v="1"/>
    <s v="DF"/>
    <n v="602.82000000000005"/>
    <n v="1"/>
    <n v="3.6629999999999998"/>
    <n v="6100231"/>
    <x v="1"/>
    <s v="Goiania"/>
    <s v="Convencional"/>
    <n v="12"/>
    <d v="2019-07-10T00:00:00"/>
    <x v="526"/>
    <x v="0"/>
    <d v="2019-07-22T00:00:00"/>
    <x v="0"/>
    <x v="0"/>
    <n v="1"/>
    <n v="1"/>
  </r>
  <r>
    <d v="2019-07-10T00:00:00"/>
    <n v="12338"/>
    <s v="WHPOA"/>
    <s v="Porto Alegre"/>
    <s v="RS"/>
    <n v="4056"/>
    <x v="44"/>
    <s v="Goiania"/>
    <s v="GO"/>
    <x v="1"/>
    <s v="GO"/>
    <n v="325.83999999999997"/>
    <n v="1"/>
    <n v="2.202"/>
    <n v="6100231"/>
    <x v="1"/>
    <s v="Goiania"/>
    <s v="Convencional"/>
    <n v="5"/>
    <d v="2019-07-10T00:00:00"/>
    <x v="526"/>
    <x v="1"/>
    <d v="2019-07-15T00:00:00"/>
    <x v="1"/>
    <x v="1"/>
    <n v="0"/>
    <n v="1"/>
  </r>
  <r>
    <d v="2019-07-10T00:00:00"/>
    <n v="12339"/>
    <s v="WHSJC"/>
    <s v="Sao Jose dos Campos"/>
    <s v="SP"/>
    <n v="4056"/>
    <x v="44"/>
    <s v="Goiania"/>
    <s v="GO"/>
    <x v="1"/>
    <s v="GO"/>
    <n v="2340.04"/>
    <n v="4"/>
    <n v="6.6"/>
    <n v="6100231"/>
    <x v="1"/>
    <s v="Goiania"/>
    <s v="Convencional"/>
    <n v="12"/>
    <d v="2019-07-10T00:00:00"/>
    <x v="526"/>
    <x v="0"/>
    <d v="2019-07-22T00:00:00"/>
    <x v="0"/>
    <x v="0"/>
    <n v="1"/>
    <n v="1"/>
  </r>
  <r>
    <d v="2019-07-10T00:00:00"/>
    <n v="12340"/>
    <s v="WHPOA"/>
    <s v="Porto Alegre"/>
    <s v="RS"/>
    <n v="4056"/>
    <x v="44"/>
    <s v="Goiania"/>
    <s v="GO"/>
    <x v="1"/>
    <s v="GO"/>
    <n v="1688.49"/>
    <n v="1"/>
    <n v="11.11"/>
    <n v="6100231"/>
    <x v="1"/>
    <s v="Goiania"/>
    <s v="Convencional"/>
    <n v="4"/>
    <d v="2019-07-10T00:00:00"/>
    <x v="520"/>
    <x v="0"/>
    <d v="2019-07-14T00:00:00"/>
    <x v="0"/>
    <x v="0"/>
    <n v="1"/>
    <n v="1"/>
  </r>
  <r>
    <d v="2019-07-10T00:00:00"/>
    <n v="12341"/>
    <s v="WHVIT"/>
    <s v="Vitoria"/>
    <s v="ES"/>
    <n v="4056"/>
    <x v="44"/>
    <s v="Goiania"/>
    <s v="GO"/>
    <x v="1"/>
    <s v="GO"/>
    <n v="1056.99"/>
    <n v="1"/>
    <n v="1.5549999999999999"/>
    <n v="6100231"/>
    <x v="1"/>
    <s v="Goiania"/>
    <s v="Convencional"/>
    <n v="6"/>
    <d v="2019-07-10T00:00:00"/>
    <x v="524"/>
    <x v="0"/>
    <d v="2019-07-16T00:00:00"/>
    <x v="0"/>
    <x v="0"/>
    <n v="1"/>
    <n v="1"/>
  </r>
  <r>
    <d v="2019-07-10T00:00:00"/>
    <n v="12342"/>
    <s v="WHVIT"/>
    <s v="Vitoria"/>
    <s v="ES"/>
    <n v="4056"/>
    <x v="44"/>
    <s v="Goiania"/>
    <s v="GO"/>
    <x v="1"/>
    <s v="GO"/>
    <n v="480.47"/>
    <n v="2"/>
    <n v="1.637"/>
    <n v="6100231"/>
    <x v="1"/>
    <s v="Goiania"/>
    <s v="Convencional"/>
    <n v="3"/>
    <d v="2019-07-10T00:00:00"/>
    <x v="524"/>
    <x v="1"/>
    <d v="2019-07-13T00:00:00"/>
    <x v="0"/>
    <x v="1"/>
    <n v="0"/>
    <n v="1"/>
  </r>
  <r>
    <d v="2019-07-10T00:00:00"/>
    <n v="12343"/>
    <s v="WHRJ"/>
    <s v="Rio De Janeiro"/>
    <s v="RJ"/>
    <n v="4056"/>
    <x v="44"/>
    <s v="Goiania"/>
    <s v="GO"/>
    <x v="1"/>
    <s v="GO"/>
    <n v="664.69"/>
    <n v="1"/>
    <n v="9.5079999999999991"/>
    <n v="6100231"/>
    <x v="1"/>
    <s v="Goiania"/>
    <s v="Convencional"/>
    <n v="4"/>
    <d v="2019-07-10T00:00:00"/>
    <x v="527"/>
    <x v="0"/>
    <d v="2019-07-14T00:00:00"/>
    <x v="1"/>
    <x v="0"/>
    <n v="0"/>
    <n v="1"/>
  </r>
  <r>
    <d v="2019-07-11T00:00:00"/>
    <n v="12344"/>
    <s v="WHCPQ"/>
    <s v="Campinas"/>
    <s v="SP"/>
    <n v="4132"/>
    <x v="120"/>
    <s v="Santos"/>
    <s v="SP"/>
    <x v="2"/>
    <s v="SP"/>
    <n v="403.58"/>
    <n v="1"/>
    <n v="0.749"/>
    <n v="6400835"/>
    <x v="3"/>
    <s v="Guarulhos"/>
    <s v="Convencional"/>
    <n v="5"/>
    <d v="2019-07-11T00:00:00"/>
    <x v="523"/>
    <x v="1"/>
    <d v="2019-07-16T00:00:00"/>
    <x v="0"/>
    <x v="1"/>
    <n v="0"/>
    <n v="1"/>
  </r>
  <r>
    <d v="2019-07-11T00:00:00"/>
    <n v="12345"/>
    <s v="WHBH"/>
    <s v="Belo Horizonte"/>
    <s v="MG"/>
    <n v="4133"/>
    <x v="121"/>
    <s v="Belo Horizonte"/>
    <s v="MG"/>
    <x v="2"/>
    <s v="MG"/>
    <n v="3995.34"/>
    <n v="5"/>
    <n v="21.533999999999999"/>
    <n v="6600879"/>
    <x v="2"/>
    <s v="Belo Horizonte"/>
    <s v="Convencional"/>
    <n v="3"/>
    <d v="2019-07-11T00:00:00"/>
    <x v="528"/>
    <x v="0"/>
    <d v="2019-07-14T00:00:00"/>
    <x v="1"/>
    <x v="0"/>
    <n v="0"/>
    <n v="1"/>
  </r>
  <r>
    <d v="2019-07-11T00:00:00"/>
    <n v="12346"/>
    <s v="WHSJC"/>
    <s v="Sao Jose dos Campos"/>
    <s v="SP"/>
    <n v="4159"/>
    <x v="147"/>
    <s v="Manaus"/>
    <s v="AM"/>
    <x v="4"/>
    <s v="AM"/>
    <n v="7317.74"/>
    <n v="8"/>
    <n v="77.744"/>
    <n v="6700091"/>
    <x v="6"/>
    <s v="Manaus"/>
    <s v="Convencional"/>
    <n v="11"/>
    <d v="2019-07-11T00:00:00"/>
    <x v="529"/>
    <x v="0"/>
    <d v="2019-07-22T00:00:00"/>
    <x v="0"/>
    <x v="0"/>
    <n v="1"/>
    <n v="1"/>
  </r>
  <r>
    <d v="2019-07-11T00:00:00"/>
    <n v="12347"/>
    <s v="WHPOA"/>
    <s v="Porto Alegre"/>
    <s v="RS"/>
    <n v="4148"/>
    <x v="136"/>
    <s v="Sao Paulo"/>
    <s v="SP"/>
    <x v="2"/>
    <s v="SP"/>
    <n v="376.82"/>
    <n v="1"/>
    <n v="0.67500000000000004"/>
    <n v="6400835"/>
    <x v="3"/>
    <s v="Guarulhos"/>
    <s v="Convencional"/>
    <n v="6"/>
    <d v="2019-07-11T00:00:00"/>
    <x v="530"/>
    <x v="0"/>
    <d v="2019-07-17T00:00:00"/>
    <x v="1"/>
    <x v="0"/>
    <n v="0"/>
    <n v="1"/>
  </r>
  <r>
    <d v="2019-07-11T00:00:00"/>
    <n v="12348"/>
    <s v="WHVIT"/>
    <s v="Vitoria"/>
    <s v="ES"/>
    <n v="4147"/>
    <x v="135"/>
    <s v="Belo Horizonte"/>
    <s v="MG"/>
    <x v="2"/>
    <s v="MG"/>
    <n v="7470"/>
    <n v="14"/>
    <n v="48.654000000000003"/>
    <n v="6600879"/>
    <x v="2"/>
    <s v="Belo Horizonte"/>
    <s v="Convencional"/>
    <n v="9"/>
    <d v="2019-07-11T00:00:00"/>
    <x v="523"/>
    <x v="0"/>
    <d v="2019-07-20T00:00:00"/>
    <x v="0"/>
    <x v="0"/>
    <n v="1"/>
    <n v="1"/>
  </r>
  <r>
    <d v="2019-07-11T00:00:00"/>
    <n v="12349"/>
    <s v="WHSAO"/>
    <s v="Sao Paulo"/>
    <s v="SP"/>
    <n v="4060"/>
    <x v="56"/>
    <s v="Sinop"/>
    <s v="MT"/>
    <x v="1"/>
    <s v="MT"/>
    <n v="232.32"/>
    <n v="5"/>
    <n v="21.948"/>
    <n v="6100231"/>
    <x v="1"/>
    <s v="Goiania"/>
    <s v="Convencional"/>
    <n v="7"/>
    <d v="2019-07-11T00:00:00"/>
    <x v="522"/>
    <x v="0"/>
    <d v="2019-07-18T00:00:00"/>
    <x v="0"/>
    <x v="0"/>
    <n v="1"/>
    <n v="1"/>
  </r>
  <r>
    <d v="2019-07-11T00:00:00"/>
    <n v="12350"/>
    <s v="WHRJ"/>
    <s v="Rio De Janeiro"/>
    <s v="RJ"/>
    <n v="4126"/>
    <x v="114"/>
    <s v="Belo Horizonte"/>
    <s v="MG"/>
    <x v="2"/>
    <s v="MG"/>
    <n v="1609.76"/>
    <n v="1"/>
    <n v="1.1200000000000001"/>
    <n v="6600879"/>
    <x v="2"/>
    <s v="Belo Horizonte"/>
    <s v="Convencional"/>
    <n v="6"/>
    <d v="2019-07-11T00:00:00"/>
    <x v="528"/>
    <x v="0"/>
    <d v="2019-07-17T00:00:00"/>
    <x v="0"/>
    <x v="0"/>
    <n v="1"/>
    <n v="1"/>
  </r>
  <r>
    <d v="2019-07-12T00:00:00"/>
    <n v="12351"/>
    <s v="WHSAO"/>
    <s v="Sao Paulo"/>
    <s v="SP"/>
    <n v="4195"/>
    <x v="183"/>
    <s v="Manaus"/>
    <s v="AM"/>
    <x v="4"/>
    <s v="AM"/>
    <n v="1419.03"/>
    <n v="1"/>
    <n v="1.1200000000000001"/>
    <n v="6700091"/>
    <x v="6"/>
    <s v="Manaus"/>
    <s v="Convencional"/>
    <n v="11"/>
    <d v="2019-07-12T00:00:00"/>
    <x v="531"/>
    <x v="0"/>
    <d v="2019-07-23T00:00:00"/>
    <x v="0"/>
    <x v="0"/>
    <n v="1"/>
    <n v="1"/>
  </r>
  <r>
    <d v="2019-07-12T00:00:00"/>
    <n v="12352"/>
    <s v="WHSJC"/>
    <s v="Sao Jose dos Campos"/>
    <s v="SP"/>
    <n v="4128"/>
    <x v="116"/>
    <s v="Recife"/>
    <s v="PE"/>
    <x v="3"/>
    <s v="PE"/>
    <n v="6030.46"/>
    <n v="7"/>
    <n v="14.012"/>
    <n v="6900304"/>
    <x v="5"/>
    <s v="Fortaleza"/>
    <s v="Convencional"/>
    <n v="8"/>
    <d v="2019-07-12T00:00:00"/>
    <x v="531"/>
    <x v="0"/>
    <d v="2019-07-20T00:00:00"/>
    <x v="1"/>
    <x v="0"/>
    <n v="0"/>
    <n v="1"/>
  </r>
  <r>
    <d v="2019-07-13T00:00:00"/>
    <n v="12353"/>
    <s v="WHVIT"/>
    <s v="Vitoria"/>
    <s v="ES"/>
    <n v="4165"/>
    <x v="153"/>
    <s v="Recife"/>
    <s v="PE"/>
    <x v="3"/>
    <s v="PE"/>
    <n v="332.3"/>
    <n v="2"/>
    <n v="0.81100000000000005"/>
    <n v="6900304"/>
    <x v="5"/>
    <s v="Fortaleza"/>
    <s v="Convencional"/>
    <n v="8"/>
    <d v="2019-07-13T00:00:00"/>
    <x v="531"/>
    <x v="2"/>
    <d v="2019-07-21T00:00:00"/>
    <x v="1"/>
    <x v="1"/>
    <n v="0"/>
    <n v="1"/>
  </r>
  <r>
    <d v="2019-07-13T00:00:00"/>
    <n v="12354"/>
    <s v="WHSAO"/>
    <s v="Sao Paulo"/>
    <s v="SP"/>
    <n v="4196"/>
    <x v="184"/>
    <s v="Manaus"/>
    <s v="AM"/>
    <x v="4"/>
    <s v="AM"/>
    <n v="1654.39"/>
    <n v="2"/>
    <n v="9.1920000000000002"/>
    <n v="6700091"/>
    <x v="6"/>
    <s v="Manaus"/>
    <s v="Convencional"/>
    <n v="10"/>
    <d v="2019-07-13T00:00:00"/>
    <x v="526"/>
    <x v="0"/>
    <d v="2019-07-23T00:00:00"/>
    <x v="0"/>
    <x v="0"/>
    <n v="1"/>
    <n v="1"/>
  </r>
  <r>
    <d v="2019-07-13T00:00:00"/>
    <n v="12355"/>
    <s v="WHSAO"/>
    <s v="Sao Paulo"/>
    <s v="SP"/>
    <n v="4153"/>
    <x v="141"/>
    <s v="Rio De Janeiro"/>
    <s v="RJ"/>
    <x v="2"/>
    <s v="RJ"/>
    <n v="214.24"/>
    <n v="1"/>
    <n v="1.1220000000000001"/>
    <n v="6140092"/>
    <x v="4"/>
    <s v="Rio de Janeiro"/>
    <s v="Convencional"/>
    <n v="6"/>
    <d v="2019-07-13T00:00:00"/>
    <x v="532"/>
    <x v="0"/>
    <d v="2019-07-19T00:00:00"/>
    <x v="1"/>
    <x v="0"/>
    <n v="0"/>
    <n v="1"/>
  </r>
  <r>
    <d v="2019-07-13T00:00:00"/>
    <n v="12356"/>
    <s v="WHBH"/>
    <s v="Belo Horizonte"/>
    <s v="MG"/>
    <n v="4023"/>
    <x v="20"/>
    <s v="Sao Jose"/>
    <s v="SC"/>
    <x v="0"/>
    <s v="SC"/>
    <n v="457.57"/>
    <n v="1"/>
    <n v="0.51700000000000002"/>
    <n v="6500948"/>
    <x v="0"/>
    <s v="Porto Alegre"/>
    <s v="Convencional"/>
    <n v="4"/>
    <d v="2019-07-13T00:00:00"/>
    <x v="522"/>
    <x v="0"/>
    <d v="2019-07-17T00:00:00"/>
    <x v="0"/>
    <x v="0"/>
    <n v="1"/>
    <n v="1"/>
  </r>
  <r>
    <d v="2019-07-13T00:00:00"/>
    <n v="12357"/>
    <s v="WHBH"/>
    <s v="Belo Horizonte"/>
    <s v="MG"/>
    <n v="4022"/>
    <x v="19"/>
    <s v="Maringa"/>
    <s v="PR"/>
    <x v="0"/>
    <s v="PR"/>
    <n v="3777.43"/>
    <n v="7"/>
    <n v="12.738"/>
    <n v="6500948"/>
    <x v="0"/>
    <s v="Porto Alegre"/>
    <s v="Convencional"/>
    <n v="4"/>
    <d v="2019-07-13T00:00:00"/>
    <x v="529"/>
    <x v="0"/>
    <d v="2019-07-17T00:00:00"/>
    <x v="0"/>
    <x v="0"/>
    <n v="1"/>
    <n v="1"/>
  </r>
  <r>
    <d v="2019-07-13T00:00:00"/>
    <n v="12358"/>
    <s v="WHPOA"/>
    <s v="Porto Alegre"/>
    <s v="RS"/>
    <n v="4022"/>
    <x v="19"/>
    <s v="Maringa"/>
    <s v="PR"/>
    <x v="0"/>
    <s v="PR"/>
    <n v="3406.54"/>
    <n v="8"/>
    <n v="16.657"/>
    <n v="6500948"/>
    <x v="0"/>
    <s v="Porto Alegre"/>
    <s v="Convencional"/>
    <n v="4"/>
    <d v="2019-07-13T00:00:00"/>
    <x v="531"/>
    <x v="0"/>
    <d v="2019-07-17T00:00:00"/>
    <x v="1"/>
    <x v="0"/>
    <n v="0"/>
    <n v="1"/>
  </r>
  <r>
    <d v="2019-07-13T00:00:00"/>
    <n v="12359"/>
    <s v="WHPOA"/>
    <s v="Porto Alegre"/>
    <s v="RS"/>
    <n v="4126"/>
    <x v="114"/>
    <s v="Belo Horizonte"/>
    <s v="MG"/>
    <x v="2"/>
    <s v="MG"/>
    <n v="89.97"/>
    <n v="1"/>
    <n v="0.38300000000000001"/>
    <n v="6600879"/>
    <x v="2"/>
    <s v="Belo Horizonte"/>
    <s v="Convencional"/>
    <n v="2"/>
    <d v="2019-07-13T00:00:00"/>
    <x v="526"/>
    <x v="2"/>
    <d v="2019-07-15T00:00:00"/>
    <x v="1"/>
    <x v="1"/>
    <n v="0"/>
    <n v="1"/>
  </r>
  <r>
    <d v="2019-07-13T00:00:00"/>
    <n v="12360"/>
    <s v="WHSAO"/>
    <s v="Sao Paulo"/>
    <s v="SP"/>
    <n v="4126"/>
    <x v="114"/>
    <s v="Belo Horizonte"/>
    <s v="MG"/>
    <x v="2"/>
    <s v="MG"/>
    <n v="353.06"/>
    <n v="1"/>
    <n v="4.6790000000000003"/>
    <n v="6600879"/>
    <x v="2"/>
    <s v="Belo Horizonte"/>
    <s v="Convencional"/>
    <n v="4"/>
    <d v="2019-07-13T00:00:00"/>
    <x v="522"/>
    <x v="0"/>
    <d v="2019-07-17T00:00:00"/>
    <x v="0"/>
    <x v="0"/>
    <n v="1"/>
    <n v="1"/>
  </r>
  <r>
    <d v="2019-07-16T00:00:00"/>
    <n v="12361"/>
    <s v="WHRJ"/>
    <s v="Rio De Janeiro"/>
    <s v="RJ"/>
    <n v="4162"/>
    <x v="150"/>
    <s v="Recife"/>
    <s v="PE"/>
    <x v="3"/>
    <s v="PE"/>
    <n v="1188.26"/>
    <n v="2"/>
    <n v="3.3"/>
    <n v="6900304"/>
    <x v="5"/>
    <s v="Fortaleza"/>
    <s v="Convencional"/>
    <n v="12"/>
    <d v="2019-07-16T00:00:00"/>
    <x v="525"/>
    <x v="0"/>
    <d v="2019-07-28T00:00:00"/>
    <x v="0"/>
    <x v="0"/>
    <n v="1"/>
    <n v="1"/>
  </r>
  <r>
    <d v="2019-07-16T00:00:00"/>
    <n v="12362"/>
    <s v="WHBH"/>
    <s v="Belo Horizonte"/>
    <s v="MG"/>
    <n v="4102"/>
    <x v="90"/>
    <s v="Manaus"/>
    <s v="AM"/>
    <x v="4"/>
    <s v="AM"/>
    <n v="393.24"/>
    <n v="1"/>
    <n v="0.44"/>
    <n v="6700091"/>
    <x v="6"/>
    <s v="Manaus"/>
    <s v="Convencional"/>
    <n v="6"/>
    <d v="2019-07-16T00:00:00"/>
    <x v="526"/>
    <x v="0"/>
    <d v="2019-07-22T00:00:00"/>
    <x v="0"/>
    <x v="0"/>
    <n v="1"/>
    <n v="1"/>
  </r>
  <r>
    <d v="2019-07-16T00:00:00"/>
    <n v="12363"/>
    <s v="WHSJC"/>
    <s v="Sao Jose dos Campos"/>
    <s v="SP"/>
    <n v="4197"/>
    <x v="185"/>
    <s v="Sao Paulo"/>
    <s v="SP"/>
    <x v="2"/>
    <s v="SP"/>
    <n v="1948.44"/>
    <n v="3"/>
    <n v="10.78"/>
    <n v="6400835"/>
    <x v="3"/>
    <s v="Guarulhos"/>
    <s v="Convencional"/>
    <n v="2"/>
    <d v="2019-07-16T00:00:00"/>
    <x v="530"/>
    <x v="0"/>
    <d v="2019-07-18T00:00:00"/>
    <x v="1"/>
    <x v="0"/>
    <n v="0"/>
    <n v="1"/>
  </r>
  <r>
    <d v="2019-07-16T00:00:00"/>
    <n v="12364"/>
    <s v="WHSJC"/>
    <s v="Sao Jose dos Campos"/>
    <s v="SP"/>
    <n v="4198"/>
    <x v="186"/>
    <s v="Manaus"/>
    <s v="AM"/>
    <x v="4"/>
    <s v="AM"/>
    <n v="51.35"/>
    <n v="1"/>
    <n v="0.32100000000000001"/>
    <n v="6700091"/>
    <x v="6"/>
    <s v="Manaus"/>
    <s v="Convencional"/>
    <n v="5"/>
    <d v="2019-07-16T00:00:00"/>
    <x v="527"/>
    <x v="1"/>
    <d v="2019-07-21T00:00:00"/>
    <x v="0"/>
    <x v="1"/>
    <n v="0"/>
    <n v="1"/>
  </r>
  <r>
    <d v="2019-07-16T00:00:00"/>
    <n v="12365"/>
    <s v="WHRJ"/>
    <s v="Rio De Janeiro"/>
    <s v="RJ"/>
    <n v="4114"/>
    <x v="102"/>
    <s v="Rio De Janeiro"/>
    <s v="RJ"/>
    <x v="2"/>
    <s v="RJ"/>
    <n v="951.12"/>
    <n v="3"/>
    <n v="8.6389999999999993"/>
    <n v="6140092"/>
    <x v="4"/>
    <s v="Rio de Janeiro"/>
    <s v="Convencional"/>
    <n v="3"/>
    <d v="2019-07-16T00:00:00"/>
    <x v="531"/>
    <x v="0"/>
    <d v="2019-07-19T00:00:00"/>
    <x v="1"/>
    <x v="0"/>
    <n v="0"/>
    <n v="1"/>
  </r>
  <r>
    <d v="2019-07-16T00:00:00"/>
    <n v="12366"/>
    <s v="WHRJ"/>
    <s v="Rio De Janeiro"/>
    <s v="RJ"/>
    <n v="4199"/>
    <x v="187"/>
    <s v="Santos"/>
    <s v="SP"/>
    <x v="2"/>
    <s v="SP"/>
    <n v="2209.8000000000002"/>
    <n v="3"/>
    <n v="15.500999999999999"/>
    <n v="6400835"/>
    <x v="3"/>
    <s v="Guarulhos"/>
    <s v="Convencional"/>
    <n v="7"/>
    <d v="2019-07-16T00:00:00"/>
    <x v="532"/>
    <x v="0"/>
    <d v="2019-07-23T00:00:00"/>
    <x v="0"/>
    <x v="0"/>
    <n v="1"/>
    <n v="1"/>
  </r>
  <r>
    <d v="2019-07-16T00:00:00"/>
    <n v="12367"/>
    <s v="WHBH"/>
    <s v="Belo Horizonte"/>
    <s v="MG"/>
    <n v="4200"/>
    <x v="188"/>
    <s v="Manaus"/>
    <s v="AM"/>
    <x v="4"/>
    <s v="AM"/>
    <n v="1718.32"/>
    <n v="4"/>
    <n v="8.6859999999999999"/>
    <n v="6700091"/>
    <x v="6"/>
    <s v="Manaus"/>
    <s v="Convencional"/>
    <n v="7"/>
    <d v="2019-07-16T00:00:00"/>
    <x v="530"/>
    <x v="1"/>
    <d v="2019-07-23T00:00:00"/>
    <x v="0"/>
    <x v="1"/>
    <n v="0"/>
    <n v="1"/>
  </r>
  <r>
    <d v="2019-07-16T00:00:00"/>
    <n v="12368"/>
    <s v="WHCPQ"/>
    <s v="Campinas"/>
    <s v="SP"/>
    <n v="4201"/>
    <x v="189"/>
    <s v="Sao Paulo"/>
    <s v="SP"/>
    <x v="2"/>
    <s v="SP"/>
    <n v="321.02"/>
    <n v="1"/>
    <n v="1.1200000000000001"/>
    <n v="6400835"/>
    <x v="3"/>
    <s v="Guarulhos"/>
    <s v="Convencional"/>
    <n v="8"/>
    <d v="2019-07-16T00:00:00"/>
    <x v="526"/>
    <x v="0"/>
    <d v="2019-07-24T00:00:00"/>
    <x v="0"/>
    <x v="0"/>
    <n v="1"/>
    <n v="1"/>
  </r>
  <r>
    <d v="2019-07-16T00:00:00"/>
    <n v="12369"/>
    <s v="WHCPQ"/>
    <s v="Campinas"/>
    <s v="SP"/>
    <n v="4202"/>
    <x v="190"/>
    <s v="Rio De Janeiro"/>
    <s v="RJ"/>
    <x v="2"/>
    <s v="RJ"/>
    <n v="1057.18"/>
    <n v="2"/>
    <n v="2.536"/>
    <n v="6140092"/>
    <x v="4"/>
    <s v="Rio de Janeiro"/>
    <s v="Convencional"/>
    <n v="12"/>
    <d v="2019-07-16T00:00:00"/>
    <x v="529"/>
    <x v="1"/>
    <d v="2019-07-28T00:00:00"/>
    <x v="0"/>
    <x v="1"/>
    <n v="0"/>
    <n v="1"/>
  </r>
  <r>
    <d v="2019-07-16T00:00:00"/>
    <n v="12370"/>
    <s v="WHCPQ"/>
    <s v="Campinas"/>
    <s v="SP"/>
    <n v="4203"/>
    <x v="191"/>
    <s v="Manaus"/>
    <s v="AM"/>
    <x v="4"/>
    <s v="AM"/>
    <n v="107.3"/>
    <n v="1"/>
    <n v="0.121"/>
    <n v="6700091"/>
    <x v="6"/>
    <s v="Manaus"/>
    <s v="Convencional"/>
    <n v="4"/>
    <d v="2019-07-16T00:00:00"/>
    <x v="529"/>
    <x v="0"/>
    <d v="2019-07-20T00:00:00"/>
    <x v="0"/>
    <x v="0"/>
    <n v="1"/>
    <n v="1"/>
  </r>
  <r>
    <d v="2019-07-16T00:00:00"/>
    <n v="12371"/>
    <s v="WHVIT"/>
    <s v="Vitoria"/>
    <s v="ES"/>
    <n v="4068"/>
    <x v="4"/>
    <s v="Campo Grande"/>
    <s v="MS"/>
    <x v="1"/>
    <s v="MS"/>
    <n v="413.79"/>
    <n v="1"/>
    <n v="0.44"/>
    <n v="6100231"/>
    <x v="1"/>
    <s v="Goiania"/>
    <s v="Convencional"/>
    <n v="11"/>
    <d v="2019-07-16T00:00:00"/>
    <x v="526"/>
    <x v="0"/>
    <d v="2019-07-27T00:00:00"/>
    <x v="0"/>
    <x v="0"/>
    <n v="1"/>
    <n v="1"/>
  </r>
  <r>
    <d v="2019-07-16T00:00:00"/>
    <n v="12372"/>
    <s v="WHPOA"/>
    <s v="Porto Alegre"/>
    <s v="RS"/>
    <n v="4204"/>
    <x v="192"/>
    <s v="Rio Grande do Sul"/>
    <s v="RS"/>
    <x v="0"/>
    <s v="RS"/>
    <n v="1751.99"/>
    <n v="2"/>
    <n v="15.956"/>
    <n v="6500948"/>
    <x v="0"/>
    <s v="Porto Alegre"/>
    <s v="Convencional"/>
    <n v="4"/>
    <d v="2019-07-16T00:00:00"/>
    <x v="532"/>
    <x v="0"/>
    <d v="2019-07-20T00:00:00"/>
    <x v="1"/>
    <x v="0"/>
    <n v="0"/>
    <n v="1"/>
  </r>
  <r>
    <d v="2019-07-16T00:00:00"/>
    <n v="12373"/>
    <s v="WHCPQ"/>
    <s v="Campinas"/>
    <s v="SP"/>
    <n v="4126"/>
    <x v="114"/>
    <s v="Belo Horizonte"/>
    <s v="MG"/>
    <x v="2"/>
    <s v="MG"/>
    <n v="2632.65"/>
    <n v="4"/>
    <n v="3.851"/>
    <n v="6600879"/>
    <x v="2"/>
    <s v="Belo Horizonte"/>
    <s v="Convencional"/>
    <n v="1"/>
    <d v="2019-07-16T00:00:00"/>
    <x v="526"/>
    <x v="0"/>
    <d v="2019-07-17T00:00:00"/>
    <x v="1"/>
    <x v="0"/>
    <n v="0"/>
    <n v="1"/>
  </r>
  <r>
    <d v="2019-07-18T00:00:00"/>
    <n v="12374"/>
    <s v="WHVIT"/>
    <s v="Vitoria"/>
    <s v="ES"/>
    <n v="4172"/>
    <x v="160"/>
    <s v="Santos"/>
    <s v="SP"/>
    <x v="2"/>
    <s v="SP"/>
    <n v="648.19000000000005"/>
    <n v="1"/>
    <n v="1.3560000000000001"/>
    <n v="6400835"/>
    <x v="3"/>
    <s v="Guarulhos"/>
    <s v="Convencional"/>
    <n v="12"/>
    <d v="2019-07-18T00:00:00"/>
    <x v="531"/>
    <x v="0"/>
    <d v="2019-07-30T00:00:00"/>
    <x v="0"/>
    <x v="0"/>
    <n v="1"/>
    <n v="1"/>
  </r>
  <r>
    <d v="2019-07-18T00:00:00"/>
    <n v="12375"/>
    <s v="WHCPQ"/>
    <s v="Campinas"/>
    <s v="SP"/>
    <n v="4205"/>
    <x v="193"/>
    <s v="Belo Horizonte"/>
    <s v="MG"/>
    <x v="2"/>
    <s v="MG"/>
    <n v="517.14"/>
    <n v="2"/>
    <n v="4.4000000000000004"/>
    <n v="6600879"/>
    <x v="2"/>
    <s v="Belo Horizonte"/>
    <s v="Convencional"/>
    <n v="3"/>
    <d v="2019-07-18T00:00:00"/>
    <x v="533"/>
    <x v="0"/>
    <d v="2019-07-21T00:00:00"/>
    <x v="1"/>
    <x v="0"/>
    <n v="0"/>
    <n v="1"/>
  </r>
  <r>
    <d v="2019-07-18T00:00:00"/>
    <n v="12376"/>
    <s v="WHPOA"/>
    <s v="Porto Alegre"/>
    <s v="RS"/>
    <n v="4156"/>
    <x v="144"/>
    <s v="Rio Grande do Sul"/>
    <s v="RS"/>
    <x v="0"/>
    <s v="RS"/>
    <n v="873.92"/>
    <n v="1"/>
    <n v="1.76"/>
    <n v="6500948"/>
    <x v="0"/>
    <s v="Porto Alegre"/>
    <s v="Convencional"/>
    <n v="7"/>
    <d v="2019-07-18T00:00:00"/>
    <x v="532"/>
    <x v="0"/>
    <d v="2019-07-25T00:00:00"/>
    <x v="0"/>
    <x v="0"/>
    <n v="1"/>
    <n v="1"/>
  </r>
  <r>
    <d v="2019-07-18T00:00:00"/>
    <n v="12377"/>
    <s v="WHVIT"/>
    <s v="Vitoria"/>
    <s v="ES"/>
    <n v="4128"/>
    <x v="116"/>
    <s v="Recife"/>
    <s v="PE"/>
    <x v="3"/>
    <s v="PE"/>
    <n v="81.88"/>
    <n v="1"/>
    <n v="0.66"/>
    <n v="6900304"/>
    <x v="5"/>
    <s v="Fortaleza"/>
    <s v="Convencional"/>
    <n v="8"/>
    <d v="2019-07-18T00:00:00"/>
    <x v="532"/>
    <x v="0"/>
    <d v="2019-07-26T00:00:00"/>
    <x v="0"/>
    <x v="0"/>
    <n v="1"/>
    <n v="1"/>
  </r>
  <r>
    <d v="2019-07-18T00:00:00"/>
    <n v="12378"/>
    <s v="WHPOA"/>
    <s v="Porto Alegre"/>
    <s v="RS"/>
    <n v="4126"/>
    <x v="114"/>
    <s v="Belo Horizonte"/>
    <s v="MG"/>
    <x v="2"/>
    <s v="MG"/>
    <n v="189.02"/>
    <n v="1"/>
    <n v="6.5990000000000002"/>
    <n v="6600879"/>
    <x v="2"/>
    <s v="Belo Horizonte"/>
    <s v="Convencional"/>
    <n v="1"/>
    <d v="2019-07-18T00:00:00"/>
    <x v="533"/>
    <x v="0"/>
    <d v="2019-07-19T00:00:00"/>
    <x v="1"/>
    <x v="0"/>
    <n v="0"/>
    <n v="1"/>
  </r>
  <r>
    <d v="2019-07-19T00:00:00"/>
    <n v="12379"/>
    <s v="WHSAO"/>
    <s v="Sao Paulo"/>
    <s v="SP"/>
    <n v="4013"/>
    <x v="1"/>
    <s v="Blumenau"/>
    <s v="SC"/>
    <x v="0"/>
    <s v="SC"/>
    <n v="2375.5"/>
    <n v="3"/>
    <n v="17.216000000000001"/>
    <n v="6500948"/>
    <x v="0"/>
    <s v="Porto Alegre"/>
    <s v="Convencional"/>
    <n v="3"/>
    <d v="2019-07-19T00:00:00"/>
    <x v="533"/>
    <x v="0"/>
    <d v="2019-07-22T00:00:00"/>
    <x v="1"/>
    <x v="0"/>
    <n v="0"/>
    <n v="1"/>
  </r>
  <r>
    <d v="2019-07-19T00:00:00"/>
    <n v="12380"/>
    <s v="WHSAO"/>
    <s v="Sao Paulo"/>
    <s v="SP"/>
    <n v="4013"/>
    <x v="1"/>
    <s v="Blumenau"/>
    <s v="SC"/>
    <x v="0"/>
    <s v="SC"/>
    <n v="501.63"/>
    <n v="1"/>
    <n v="0.27500000000000002"/>
    <n v="6500948"/>
    <x v="0"/>
    <s v="Porto Alegre"/>
    <s v="Convencional"/>
    <n v="7"/>
    <d v="2019-07-19T00:00:00"/>
    <x v="534"/>
    <x v="0"/>
    <d v="2019-07-26T00:00:00"/>
    <x v="0"/>
    <x v="0"/>
    <n v="1"/>
    <n v="1"/>
  </r>
  <r>
    <d v="2019-07-19T00:00:00"/>
    <n v="12381"/>
    <s v="WHCPQ"/>
    <s v="Campinas"/>
    <s v="SP"/>
    <n v="4018"/>
    <x v="12"/>
    <s v="Sao Jose"/>
    <s v="SC"/>
    <x v="0"/>
    <s v="SC"/>
    <n v="1018.64"/>
    <n v="1"/>
    <n v="9.35"/>
    <n v="6500948"/>
    <x v="0"/>
    <s v="Porto Alegre"/>
    <s v="Convencional"/>
    <n v="6"/>
    <d v="2019-07-19T00:00:00"/>
    <x v="535"/>
    <x v="0"/>
    <d v="2019-07-25T00:00:00"/>
    <x v="1"/>
    <x v="0"/>
    <n v="0"/>
    <n v="1"/>
  </r>
  <r>
    <d v="2019-07-19T00:00:00"/>
    <n v="12382"/>
    <s v="WHRJ"/>
    <s v="Rio De Janeiro"/>
    <s v="RJ"/>
    <n v="4018"/>
    <x v="12"/>
    <s v="Sao Jose"/>
    <s v="SC"/>
    <x v="0"/>
    <s v="SC"/>
    <n v="6107.18"/>
    <n v="13"/>
    <n v="35.137"/>
    <n v="6500948"/>
    <x v="0"/>
    <s v="Porto Alegre"/>
    <s v="Convencional"/>
    <n v="3"/>
    <d v="2019-07-19T00:00:00"/>
    <x v="535"/>
    <x v="2"/>
    <d v="2019-07-22T00:00:00"/>
    <x v="1"/>
    <x v="1"/>
    <n v="0"/>
    <n v="1"/>
  </r>
  <r>
    <d v="2019-07-19T00:00:00"/>
    <n v="12383"/>
    <s v="WHCPQ"/>
    <s v="Campinas"/>
    <s v="SP"/>
    <n v="4064"/>
    <x v="53"/>
    <s v="Presidente Prudente"/>
    <s v="SP"/>
    <x v="2"/>
    <s v="SP"/>
    <n v="634.04999999999995"/>
    <n v="1"/>
    <n v="0.38600000000000001"/>
    <n v="6400835"/>
    <x v="3"/>
    <s v="Guarulhos"/>
    <s v="Convencional"/>
    <n v="6"/>
    <d v="2019-07-19T00:00:00"/>
    <x v="530"/>
    <x v="0"/>
    <d v="2019-07-25T00:00:00"/>
    <x v="0"/>
    <x v="0"/>
    <n v="1"/>
    <n v="1"/>
  </r>
  <r>
    <d v="2019-07-19T00:00:00"/>
    <n v="12384"/>
    <s v="WHRJ"/>
    <s v="Rio De Janeiro"/>
    <s v="RJ"/>
    <n v="4064"/>
    <x v="53"/>
    <s v="Presidente Prudente"/>
    <s v="SP"/>
    <x v="2"/>
    <s v="SP"/>
    <n v="1052.76"/>
    <n v="5"/>
    <n v="13.856"/>
    <n v="6400835"/>
    <x v="3"/>
    <s v="Guarulhos"/>
    <s v="Convencional"/>
    <n v="7"/>
    <d v="2019-07-19T00:00:00"/>
    <x v="536"/>
    <x v="0"/>
    <d v="2019-07-26T00:00:00"/>
    <x v="1"/>
    <x v="0"/>
    <n v="0"/>
    <n v="1"/>
  </r>
  <r>
    <d v="2019-07-19T00:00:00"/>
    <n v="12385"/>
    <s v="WHSJC"/>
    <s v="Sao Jose dos Campos"/>
    <s v="SP"/>
    <n v="4064"/>
    <x v="53"/>
    <s v="Presidente Prudente"/>
    <s v="SP"/>
    <x v="2"/>
    <s v="SP"/>
    <n v="797.89"/>
    <n v="1"/>
    <n v="1.1200000000000001"/>
    <n v="6400835"/>
    <x v="3"/>
    <s v="Guarulhos"/>
    <s v="Convencional"/>
    <n v="3"/>
    <d v="2019-07-19T00:00:00"/>
    <x v="537"/>
    <x v="0"/>
    <d v="2019-07-22T00:00:00"/>
    <x v="1"/>
    <x v="0"/>
    <n v="0"/>
    <n v="1"/>
  </r>
  <r>
    <d v="2019-07-19T00:00:00"/>
    <n v="12386"/>
    <s v="WHPOA"/>
    <s v="Porto Alegre"/>
    <s v="RS"/>
    <n v="4064"/>
    <x v="53"/>
    <s v="Presidente Prudente"/>
    <s v="SP"/>
    <x v="2"/>
    <s v="SP"/>
    <n v="1539.47"/>
    <n v="2"/>
    <n v="1.2050000000000001"/>
    <n v="6400835"/>
    <x v="3"/>
    <s v="Guarulhos"/>
    <s v="Convencional"/>
    <n v="10"/>
    <d v="2019-07-19T00:00:00"/>
    <x v="537"/>
    <x v="0"/>
    <d v="2019-07-29T00:00:00"/>
    <x v="0"/>
    <x v="0"/>
    <n v="1"/>
    <n v="1"/>
  </r>
  <r>
    <d v="2019-07-19T00:00:00"/>
    <n v="12387"/>
    <s v="WHCPQ"/>
    <s v="Campinas"/>
    <s v="SP"/>
    <n v="4064"/>
    <x v="53"/>
    <s v="Presidente Prudente"/>
    <s v="SP"/>
    <x v="2"/>
    <s v="SP"/>
    <n v="2212.31"/>
    <n v="3"/>
    <n v="12.65"/>
    <n v="6400835"/>
    <x v="3"/>
    <s v="Guarulhos"/>
    <s v="Convencional"/>
    <n v="10"/>
    <d v="2019-07-19T00:00:00"/>
    <x v="534"/>
    <x v="0"/>
    <d v="2019-07-29T00:00:00"/>
    <x v="0"/>
    <x v="0"/>
    <n v="1"/>
    <n v="1"/>
  </r>
  <r>
    <d v="2019-07-19T00:00:00"/>
    <n v="12388"/>
    <s v="WHCPQ"/>
    <s v="Campinas"/>
    <s v="SP"/>
    <n v="4064"/>
    <x v="53"/>
    <s v="Presidente Prudente"/>
    <s v="SP"/>
    <x v="2"/>
    <s v="SP"/>
    <n v="828.72"/>
    <n v="1"/>
    <n v="7.5270000000000001"/>
    <n v="6400835"/>
    <x v="3"/>
    <s v="Guarulhos"/>
    <s v="Convencional"/>
    <n v="2"/>
    <d v="2019-07-19T00:00:00"/>
    <x v="537"/>
    <x v="0"/>
    <d v="2019-07-21T00:00:00"/>
    <x v="1"/>
    <x v="0"/>
    <n v="0"/>
    <n v="1"/>
  </r>
  <r>
    <d v="2019-07-19T00:00:00"/>
    <n v="12389"/>
    <s v="WHPOA"/>
    <s v="Porto Alegre"/>
    <s v="RS"/>
    <n v="4064"/>
    <x v="53"/>
    <s v="Presidente Prudente"/>
    <s v="SP"/>
    <x v="2"/>
    <s v="SP"/>
    <n v="585.01"/>
    <n v="1"/>
    <n v="1.65"/>
    <n v="6400835"/>
    <x v="3"/>
    <s v="Guarulhos"/>
    <s v="Convencional"/>
    <n v="12"/>
    <d v="2019-07-19T00:00:00"/>
    <x v="533"/>
    <x v="0"/>
    <d v="2019-07-31T00:00:00"/>
    <x v="0"/>
    <x v="0"/>
    <n v="1"/>
    <n v="1"/>
  </r>
  <r>
    <d v="2019-07-19T00:00:00"/>
    <n v="12390"/>
    <s v="WHCPQ"/>
    <s v="Campinas"/>
    <s v="SP"/>
    <n v="4064"/>
    <x v="53"/>
    <s v="Presidente Prudente"/>
    <s v="SP"/>
    <x v="2"/>
    <s v="SP"/>
    <n v="1728.75"/>
    <n v="2"/>
    <n v="12.32"/>
    <n v="6400835"/>
    <x v="3"/>
    <s v="Guarulhos"/>
    <s v="Convencional"/>
    <n v="4"/>
    <d v="2019-07-19T00:00:00"/>
    <x v="532"/>
    <x v="0"/>
    <d v="2019-07-23T00:00:00"/>
    <x v="0"/>
    <x v="0"/>
    <n v="1"/>
    <n v="1"/>
  </r>
  <r>
    <d v="2019-07-19T00:00:00"/>
    <n v="12391"/>
    <s v="WHSJC"/>
    <s v="Sao Jose dos Campos"/>
    <s v="SP"/>
    <n v="4064"/>
    <x v="53"/>
    <s v="Presidente Prudente"/>
    <s v="SP"/>
    <x v="2"/>
    <s v="SP"/>
    <n v="8232.0300000000007"/>
    <n v="16"/>
    <n v="35.664000000000001"/>
    <n v="6400835"/>
    <x v="3"/>
    <s v="Guarulhos"/>
    <s v="Convencional"/>
    <n v="6"/>
    <d v="2019-07-19T00:00:00"/>
    <x v="536"/>
    <x v="0"/>
    <d v="2019-07-25T00:00:00"/>
    <x v="1"/>
    <x v="0"/>
    <n v="0"/>
    <n v="1"/>
  </r>
  <r>
    <d v="2019-07-19T00:00:00"/>
    <n v="12392"/>
    <s v="WHBH"/>
    <s v="Belo Horizonte"/>
    <s v="MG"/>
    <n v="4064"/>
    <x v="53"/>
    <s v="Presidente Prudente"/>
    <s v="SP"/>
    <x v="2"/>
    <s v="SP"/>
    <n v="3368.83"/>
    <n v="5"/>
    <n v="24.443999999999999"/>
    <n v="6400835"/>
    <x v="3"/>
    <s v="Guarulhos"/>
    <s v="Convencional"/>
    <n v="12"/>
    <d v="2019-07-19T00:00:00"/>
    <x v="534"/>
    <x v="2"/>
    <d v="2019-07-31T00:00:00"/>
    <x v="0"/>
    <x v="1"/>
    <n v="0"/>
    <n v="1"/>
  </r>
  <r>
    <d v="2019-07-20T00:00:00"/>
    <n v="12393"/>
    <s v="WHSJC"/>
    <s v="Sao Jose dos Campos"/>
    <s v="SP"/>
    <n v="4128"/>
    <x v="116"/>
    <s v="Recife"/>
    <s v="PE"/>
    <x v="3"/>
    <s v="PE"/>
    <n v="769.3"/>
    <n v="2"/>
    <n v="8.7449999999999992"/>
    <n v="6900304"/>
    <x v="5"/>
    <s v="Fortaleza"/>
    <s v="Convencional"/>
    <n v="5"/>
    <d v="2019-07-20T00:00:00"/>
    <x v="531"/>
    <x v="0"/>
    <d v="2019-07-25T00:00:00"/>
    <x v="0"/>
    <x v="0"/>
    <n v="1"/>
    <n v="1"/>
  </r>
  <r>
    <d v="2019-07-20T00:00:00"/>
    <n v="12394"/>
    <s v="WHPOA"/>
    <s v="Porto Alegre"/>
    <s v="RS"/>
    <n v="4022"/>
    <x v="19"/>
    <s v="Maringa"/>
    <s v="PR"/>
    <x v="0"/>
    <s v="PR"/>
    <n v="686.75"/>
    <n v="1"/>
    <n v="7.5270000000000001"/>
    <n v="6500948"/>
    <x v="0"/>
    <s v="Porto Alegre"/>
    <s v="Convencional"/>
    <n v="8"/>
    <d v="2019-07-20T00:00:00"/>
    <x v="538"/>
    <x v="0"/>
    <d v="2019-07-28T00:00:00"/>
    <x v="1"/>
    <x v="0"/>
    <n v="0"/>
    <n v="1"/>
  </r>
  <r>
    <d v="2019-07-23T00:00:00"/>
    <n v="12395"/>
    <s v="WHCPQ"/>
    <s v="Campinas"/>
    <s v="SP"/>
    <n v="4206"/>
    <x v="194"/>
    <s v="Santos"/>
    <s v="SP"/>
    <x v="2"/>
    <s v="SP"/>
    <n v="90.47"/>
    <n v="1"/>
    <n v="1.43"/>
    <n v="6400835"/>
    <x v="3"/>
    <s v="Guarulhos"/>
    <s v="Convencional"/>
    <n v="12"/>
    <d v="2019-07-23T00:00:00"/>
    <x v="539"/>
    <x v="0"/>
    <d v="2019-08-04T00:00:00"/>
    <x v="0"/>
    <x v="0"/>
    <n v="1"/>
    <n v="1"/>
  </r>
  <r>
    <d v="2019-07-23T00:00:00"/>
    <n v="12396"/>
    <s v="WHRJ"/>
    <s v="Rio De Janeiro"/>
    <s v="RJ"/>
    <n v="4207"/>
    <x v="195"/>
    <s v="Santos"/>
    <s v="SP"/>
    <x v="2"/>
    <s v="SP"/>
    <n v="2109.58"/>
    <n v="2"/>
    <n v="18.7"/>
    <n v="6400835"/>
    <x v="3"/>
    <s v="Guarulhos"/>
    <s v="Convencional"/>
    <n v="6"/>
    <d v="2019-07-23T00:00:00"/>
    <x v="540"/>
    <x v="0"/>
    <d v="2019-07-29T00:00:00"/>
    <x v="0"/>
    <x v="0"/>
    <n v="1"/>
    <n v="1"/>
  </r>
  <r>
    <d v="2019-07-23T00:00:00"/>
    <n v="12397"/>
    <s v="WHVIT"/>
    <s v="Vitoria"/>
    <s v="ES"/>
    <n v="4208"/>
    <x v="196"/>
    <s v="Sao Paulo"/>
    <s v="SP"/>
    <x v="2"/>
    <s v="SP"/>
    <n v="386.41"/>
    <n v="2"/>
    <n v="1.0449999999999999"/>
    <n v="6400835"/>
    <x v="3"/>
    <s v="Guarulhos"/>
    <s v="Convencional"/>
    <n v="6"/>
    <d v="2019-07-23T00:00:00"/>
    <x v="541"/>
    <x v="0"/>
    <d v="2019-07-29T00:00:00"/>
    <x v="1"/>
    <x v="0"/>
    <n v="0"/>
    <n v="1"/>
  </r>
  <r>
    <d v="2019-07-23T00:00:00"/>
    <n v="12398"/>
    <s v="WHCPQ"/>
    <s v="Campinas"/>
    <s v="SP"/>
    <n v="4209"/>
    <x v="197"/>
    <s v="Belo Horizonte"/>
    <s v="MG"/>
    <x v="2"/>
    <s v="MG"/>
    <n v="2851.4"/>
    <n v="4"/>
    <n v="16.39"/>
    <n v="6600879"/>
    <x v="2"/>
    <s v="Belo Horizonte"/>
    <s v="Convencional"/>
    <n v="12"/>
    <d v="2019-07-23T00:00:00"/>
    <x v="535"/>
    <x v="0"/>
    <d v="2019-08-04T00:00:00"/>
    <x v="0"/>
    <x v="0"/>
    <n v="1"/>
    <n v="1"/>
  </r>
  <r>
    <d v="2019-07-23T00:00:00"/>
    <n v="12399"/>
    <s v="WHCPQ"/>
    <s v="Campinas"/>
    <s v="SP"/>
    <n v="4210"/>
    <x v="198"/>
    <s v="Belo Horizonte"/>
    <s v="MG"/>
    <x v="2"/>
    <s v="MG"/>
    <n v="1129.71"/>
    <n v="1"/>
    <n v="15.18"/>
    <n v="6600879"/>
    <x v="2"/>
    <s v="Belo Horizonte"/>
    <s v="Convencional"/>
    <n v="12"/>
    <d v="2019-07-23T00:00:00"/>
    <x v="541"/>
    <x v="0"/>
    <d v="2019-08-04T00:00:00"/>
    <x v="0"/>
    <x v="0"/>
    <n v="1"/>
    <n v="1"/>
  </r>
  <r>
    <d v="2019-07-23T00:00:00"/>
    <n v="12400"/>
    <s v="WHRJ"/>
    <s v="Rio De Janeiro"/>
    <s v="RJ"/>
    <n v="4211"/>
    <x v="199"/>
    <s v="Santos"/>
    <s v="SP"/>
    <x v="2"/>
    <s v="SP"/>
    <n v="349.85"/>
    <n v="1"/>
    <n v="2.4750000000000001"/>
    <n v="6400835"/>
    <x v="3"/>
    <s v="Guarulhos"/>
    <s v="Convencional"/>
    <n v="10"/>
    <d v="2019-07-23T00:00:00"/>
    <x v="540"/>
    <x v="0"/>
    <d v="2019-08-02T00:00:00"/>
    <x v="0"/>
    <x v="0"/>
    <n v="1"/>
    <n v="1"/>
  </r>
  <r>
    <d v="2019-07-23T00:00:00"/>
    <n v="12401"/>
    <s v="WHVIT"/>
    <s v="Vitoria"/>
    <s v="ES"/>
    <n v="4212"/>
    <x v="200"/>
    <s v="Rio Grande do Sul"/>
    <s v="RS"/>
    <x v="0"/>
    <s v="RS"/>
    <n v="1619.96"/>
    <n v="2"/>
    <n v="16.940000000000001"/>
    <n v="6500948"/>
    <x v="0"/>
    <s v="Porto Alegre"/>
    <s v="Convencional"/>
    <n v="8"/>
    <d v="2019-07-23T00:00:00"/>
    <x v="538"/>
    <x v="0"/>
    <d v="2019-07-31T00:00:00"/>
    <x v="0"/>
    <x v="0"/>
    <n v="1"/>
    <n v="1"/>
  </r>
  <r>
    <d v="2019-07-23T00:00:00"/>
    <n v="12402"/>
    <s v="WHSAO"/>
    <s v="Sao Paulo"/>
    <s v="SP"/>
    <n v="4213"/>
    <x v="201"/>
    <s v="Sao Paulo"/>
    <s v="SP"/>
    <x v="2"/>
    <s v="SP"/>
    <n v="15588.63"/>
    <n v="6"/>
    <n v="83.305999999999997"/>
    <n v="6400835"/>
    <x v="3"/>
    <s v="Guarulhos"/>
    <s v="Convencional"/>
    <n v="2"/>
    <d v="2019-07-23T00:00:00"/>
    <x v="542"/>
    <x v="0"/>
    <d v="2019-07-25T00:00:00"/>
    <x v="1"/>
    <x v="0"/>
    <n v="0"/>
    <n v="1"/>
  </r>
  <r>
    <d v="2019-07-23T00:00:00"/>
    <n v="12403"/>
    <s v="WHSAO"/>
    <s v="Sao Paulo"/>
    <s v="SP"/>
    <n v="4214"/>
    <x v="202"/>
    <s v="Santos"/>
    <s v="SP"/>
    <x v="2"/>
    <s v="SP"/>
    <n v="970.45"/>
    <n v="5"/>
    <n v="2.4790000000000001"/>
    <n v="6400835"/>
    <x v="3"/>
    <s v="Guarulhos"/>
    <s v="Convencional"/>
    <n v="3"/>
    <d v="2019-07-23T00:00:00"/>
    <x v="537"/>
    <x v="0"/>
    <d v="2019-07-26T00:00:00"/>
    <x v="0"/>
    <x v="0"/>
    <n v="1"/>
    <n v="1"/>
  </r>
  <r>
    <d v="2019-07-23T00:00:00"/>
    <n v="12404"/>
    <s v="WHPOA"/>
    <s v="Porto Alegre"/>
    <s v="RS"/>
    <n v="4215"/>
    <x v="203"/>
    <s v="Recife"/>
    <s v="PE"/>
    <x v="3"/>
    <s v="PE"/>
    <n v="857.06"/>
    <n v="2"/>
    <n v="2.1230000000000002"/>
    <n v="6900304"/>
    <x v="5"/>
    <s v="Fortaleza"/>
    <s v="Convencional"/>
    <n v="9"/>
    <d v="2019-07-23T00:00:00"/>
    <x v="533"/>
    <x v="0"/>
    <d v="2019-08-01T00:00:00"/>
    <x v="0"/>
    <x v="0"/>
    <n v="1"/>
    <n v="1"/>
  </r>
  <r>
    <d v="2019-07-24T00:00:00"/>
    <n v="12405"/>
    <s v="WHPOA"/>
    <s v="Porto Alegre"/>
    <s v="RS"/>
    <n v="4216"/>
    <x v="204"/>
    <s v="Santos"/>
    <s v="SP"/>
    <x v="2"/>
    <s v="SP"/>
    <n v="257.95999999999998"/>
    <n v="1"/>
    <n v="0.36299999999999999"/>
    <n v="6400835"/>
    <x v="3"/>
    <s v="Guarulhos"/>
    <s v="Convencional"/>
    <n v="9"/>
    <d v="2019-07-24T00:00:00"/>
    <x v="540"/>
    <x v="1"/>
    <d v="2019-08-02T00:00:00"/>
    <x v="0"/>
    <x v="1"/>
    <n v="0"/>
    <n v="1"/>
  </r>
  <r>
    <d v="2019-07-24T00:00:00"/>
    <n v="12406"/>
    <s v="WHBH"/>
    <s v="Belo Horizonte"/>
    <s v="MG"/>
    <n v="4049"/>
    <x v="43"/>
    <s v="Taguatinga"/>
    <s v="DF"/>
    <x v="1"/>
    <s v="DF"/>
    <n v="136.1"/>
    <n v="2"/>
    <n v="0.42599999999999999"/>
    <n v="6100231"/>
    <x v="1"/>
    <s v="Goiania"/>
    <s v="Convencional"/>
    <n v="11"/>
    <d v="2019-07-24T00:00:00"/>
    <x v="539"/>
    <x v="0"/>
    <d v="2019-08-04T00:00:00"/>
    <x v="0"/>
    <x v="0"/>
    <n v="1"/>
    <n v="1"/>
  </r>
  <r>
    <d v="2019-07-24T00:00:00"/>
    <n v="12407"/>
    <s v="WHRJ"/>
    <s v="Rio De Janeiro"/>
    <s v="RJ"/>
    <n v="4058"/>
    <x v="2"/>
    <s v="Brasilia"/>
    <s v="DF"/>
    <x v="1"/>
    <s v="DF"/>
    <n v="2845.12"/>
    <n v="2"/>
    <n v="24.2"/>
    <n v="6100231"/>
    <x v="1"/>
    <s v="Goiania"/>
    <s v="Convencional"/>
    <n v="2"/>
    <d v="2019-07-24T00:00:00"/>
    <x v="536"/>
    <x v="0"/>
    <d v="2019-07-26T00:00:00"/>
    <x v="1"/>
    <x v="0"/>
    <n v="0"/>
    <n v="1"/>
  </r>
  <r>
    <d v="2019-07-24T00:00:00"/>
    <n v="12408"/>
    <s v="WHSJC"/>
    <s v="Sao Jose dos Campos"/>
    <s v="SP"/>
    <n v="4049"/>
    <x v="43"/>
    <s v="Taguatinga"/>
    <s v="DF"/>
    <x v="1"/>
    <s v="DF"/>
    <n v="525.94000000000005"/>
    <n v="1"/>
    <n v="0.55400000000000005"/>
    <n v="6100231"/>
    <x v="1"/>
    <s v="Goiania"/>
    <s v="Convencional"/>
    <n v="10"/>
    <d v="2019-07-24T00:00:00"/>
    <x v="542"/>
    <x v="0"/>
    <d v="2019-08-03T00:00:00"/>
    <x v="0"/>
    <x v="0"/>
    <n v="1"/>
    <n v="1"/>
  </r>
  <r>
    <d v="2019-07-24T00:00:00"/>
    <n v="12409"/>
    <s v="WHSAO"/>
    <s v="Sao Paulo"/>
    <s v="SP"/>
    <n v="4022"/>
    <x v="19"/>
    <s v="Maringa"/>
    <s v="PR"/>
    <x v="0"/>
    <s v="PR"/>
    <n v="23.72"/>
    <n v="1"/>
    <n v="0.13800000000000001"/>
    <n v="6500948"/>
    <x v="0"/>
    <s v="Porto Alegre"/>
    <s v="Convencional"/>
    <n v="8"/>
    <d v="2019-07-24T00:00:00"/>
    <x v="538"/>
    <x v="1"/>
    <d v="2019-08-01T00:00:00"/>
    <x v="0"/>
    <x v="1"/>
    <n v="0"/>
    <n v="1"/>
  </r>
  <r>
    <d v="2019-07-24T00:00:00"/>
    <n v="12410"/>
    <s v="WHVIT"/>
    <s v="Vitoria"/>
    <s v="ES"/>
    <n v="4049"/>
    <x v="43"/>
    <s v="Taguatinga"/>
    <s v="DF"/>
    <x v="1"/>
    <s v="DF"/>
    <n v="4553.7299999999996"/>
    <n v="5"/>
    <n v="27.763000000000002"/>
    <n v="6100231"/>
    <x v="1"/>
    <s v="Goiania"/>
    <s v="Convencional"/>
    <n v="11"/>
    <d v="2019-07-24T00:00:00"/>
    <x v="539"/>
    <x v="0"/>
    <d v="2019-08-04T00:00:00"/>
    <x v="0"/>
    <x v="0"/>
    <n v="1"/>
    <n v="1"/>
  </r>
  <r>
    <d v="2019-07-24T00:00:00"/>
    <n v="12411"/>
    <s v="WHSJC"/>
    <s v="Sao Jose dos Campos"/>
    <s v="SP"/>
    <n v="4049"/>
    <x v="43"/>
    <s v="Taguatinga"/>
    <s v="DF"/>
    <x v="1"/>
    <s v="DF"/>
    <n v="767.08"/>
    <n v="2"/>
    <n v="2.3540000000000001"/>
    <n v="6100231"/>
    <x v="1"/>
    <s v="Goiania"/>
    <s v="Convencional"/>
    <n v="9"/>
    <d v="2019-07-24T00:00:00"/>
    <x v="537"/>
    <x v="0"/>
    <d v="2019-08-02T00:00:00"/>
    <x v="0"/>
    <x v="0"/>
    <n v="1"/>
    <n v="1"/>
  </r>
  <r>
    <d v="2019-07-24T00:00:00"/>
    <n v="12412"/>
    <s v="WHVIT"/>
    <s v="Vitoria"/>
    <s v="ES"/>
    <n v="4049"/>
    <x v="43"/>
    <s v="Taguatinga"/>
    <s v="DF"/>
    <x v="1"/>
    <s v="DF"/>
    <n v="55.06"/>
    <n v="1"/>
    <n v="0.20399999999999999"/>
    <n v="6100231"/>
    <x v="1"/>
    <s v="Goiania"/>
    <s v="Convencional"/>
    <n v="11"/>
    <d v="2019-07-24T00:00:00"/>
    <x v="538"/>
    <x v="0"/>
    <d v="2019-08-04T00:00:00"/>
    <x v="0"/>
    <x v="0"/>
    <n v="1"/>
    <n v="1"/>
  </r>
  <r>
    <d v="2019-07-24T00:00:00"/>
    <n v="12413"/>
    <s v="WHCPQ"/>
    <s v="Campinas"/>
    <s v="SP"/>
    <n v="4049"/>
    <x v="43"/>
    <s v="Taguatinga"/>
    <s v="DF"/>
    <x v="1"/>
    <s v="DF"/>
    <n v="351.14"/>
    <n v="1"/>
    <n v="13.42"/>
    <n v="6100231"/>
    <x v="1"/>
    <s v="Goiania"/>
    <s v="Convencional"/>
    <n v="9"/>
    <d v="2019-07-24T00:00:00"/>
    <x v="537"/>
    <x v="1"/>
    <d v="2019-08-02T00:00:00"/>
    <x v="0"/>
    <x v="1"/>
    <n v="0"/>
    <n v="1"/>
  </r>
  <r>
    <d v="2019-07-24T00:00:00"/>
    <n v="12414"/>
    <s v="WHSJC"/>
    <s v="Sao Jose dos Campos"/>
    <s v="SP"/>
    <n v="4049"/>
    <x v="43"/>
    <s v="Taguatinga"/>
    <s v="DF"/>
    <x v="1"/>
    <s v="DF"/>
    <n v="176.43"/>
    <n v="3"/>
    <n v="0.19400000000000001"/>
    <n v="6100231"/>
    <x v="1"/>
    <s v="Goiania"/>
    <s v="Convencional"/>
    <n v="1"/>
    <d v="2019-07-24T00:00:00"/>
    <x v="536"/>
    <x v="0"/>
    <d v="2019-07-25T00:00:00"/>
    <x v="1"/>
    <x v="0"/>
    <n v="0"/>
    <n v="1"/>
  </r>
  <r>
    <d v="2019-07-24T00:00:00"/>
    <n v="12415"/>
    <s v="WHRJ"/>
    <s v="Rio De Janeiro"/>
    <s v="RJ"/>
    <n v="4049"/>
    <x v="43"/>
    <s v="Taguatinga"/>
    <s v="DF"/>
    <x v="1"/>
    <s v="DF"/>
    <n v="103.95"/>
    <n v="1"/>
    <n v="3.5000000000000003E-2"/>
    <n v="6100231"/>
    <x v="1"/>
    <s v="Goiania"/>
    <s v="Convencional"/>
    <n v="5"/>
    <d v="2019-07-24T00:00:00"/>
    <x v="543"/>
    <x v="0"/>
    <d v="2019-07-29T00:00:00"/>
    <x v="1"/>
    <x v="0"/>
    <n v="0"/>
    <n v="1"/>
  </r>
  <r>
    <d v="2019-07-24T00:00:00"/>
    <n v="12416"/>
    <s v="WHCPQ"/>
    <s v="Campinas"/>
    <s v="SP"/>
    <n v="4049"/>
    <x v="43"/>
    <s v="Taguatinga"/>
    <s v="DF"/>
    <x v="1"/>
    <s v="DF"/>
    <n v="486.93"/>
    <n v="3"/>
    <n v="2.992"/>
    <n v="6100231"/>
    <x v="1"/>
    <s v="Goiania"/>
    <s v="Convencional"/>
    <n v="2"/>
    <d v="2019-07-24T00:00:00"/>
    <x v="535"/>
    <x v="0"/>
    <d v="2019-07-26T00:00:00"/>
    <x v="1"/>
    <x v="0"/>
    <n v="0"/>
    <n v="1"/>
  </r>
  <r>
    <d v="2019-07-24T00:00:00"/>
    <n v="12417"/>
    <s v="WHPOA"/>
    <s v="Porto Alegre"/>
    <s v="RS"/>
    <n v="4049"/>
    <x v="43"/>
    <s v="Taguatinga"/>
    <s v="DF"/>
    <x v="1"/>
    <s v="DF"/>
    <n v="259.38"/>
    <n v="1"/>
    <n v="0.16800000000000001"/>
    <n v="6100231"/>
    <x v="1"/>
    <s v="Goiania"/>
    <s v="Convencional"/>
    <n v="4"/>
    <d v="2019-07-24T00:00:00"/>
    <x v="542"/>
    <x v="0"/>
    <d v="2019-07-28T00:00:00"/>
    <x v="1"/>
    <x v="0"/>
    <n v="0"/>
    <n v="1"/>
  </r>
  <r>
    <d v="2019-07-25T00:00:00"/>
    <n v="12418"/>
    <s v="WHBH"/>
    <s v="Belo Horizonte"/>
    <s v="MG"/>
    <n v="4024"/>
    <x v="21"/>
    <s v="Porto Alegre"/>
    <s v="RS"/>
    <x v="0"/>
    <s v="RS"/>
    <n v="212.5"/>
    <n v="1"/>
    <n v="5.57"/>
    <n v="6500948"/>
    <x v="0"/>
    <s v="Porto Alegre"/>
    <s v="Convencional"/>
    <n v="9"/>
    <d v="2019-07-25T00:00:00"/>
    <x v="536"/>
    <x v="0"/>
    <d v="2019-08-03T00:00:00"/>
    <x v="0"/>
    <x v="0"/>
    <n v="1"/>
    <n v="1"/>
  </r>
  <r>
    <d v="2019-07-25T00:00:00"/>
    <n v="12419"/>
    <s v="WHPOA"/>
    <s v="Porto Alegre"/>
    <s v="RS"/>
    <n v="4128"/>
    <x v="116"/>
    <s v="Recife"/>
    <s v="PE"/>
    <x v="3"/>
    <s v="PE"/>
    <n v="443.15"/>
    <n v="1"/>
    <n v="1.1200000000000001"/>
    <n v="6900304"/>
    <x v="5"/>
    <s v="Fortaleza"/>
    <s v="Convencional"/>
    <n v="4"/>
    <d v="2019-07-25T00:00:00"/>
    <x v="539"/>
    <x v="0"/>
    <d v="2019-07-29T00:00:00"/>
    <x v="1"/>
    <x v="0"/>
    <n v="0"/>
    <n v="1"/>
  </r>
  <r>
    <d v="2019-07-25T00:00:00"/>
    <n v="12420"/>
    <s v="WHPOA"/>
    <s v="Porto Alegre"/>
    <s v="RS"/>
    <n v="4035"/>
    <x v="37"/>
    <s v="Brasilia"/>
    <s v="DF"/>
    <x v="1"/>
    <s v="DF"/>
    <n v="3121.39"/>
    <n v="4"/>
    <n v="17.593"/>
    <n v="6100231"/>
    <x v="1"/>
    <s v="Goiania"/>
    <s v="Convencional"/>
    <n v="11"/>
    <d v="2019-07-25T00:00:00"/>
    <x v="539"/>
    <x v="0"/>
    <d v="2019-08-05T00:00:00"/>
    <x v="0"/>
    <x v="0"/>
    <n v="1"/>
    <n v="1"/>
  </r>
  <r>
    <d v="2019-07-25T00:00:00"/>
    <n v="12421"/>
    <s v="WHCPQ"/>
    <s v="Campinas"/>
    <s v="SP"/>
    <n v="4035"/>
    <x v="37"/>
    <s v="Brasilia"/>
    <s v="DF"/>
    <x v="1"/>
    <s v="DF"/>
    <n v="230.9"/>
    <n v="1"/>
    <n v="0.54300000000000004"/>
    <n v="6100231"/>
    <x v="1"/>
    <s v="Goiania"/>
    <s v="Convencional"/>
    <n v="12"/>
    <d v="2019-07-25T00:00:00"/>
    <x v="541"/>
    <x v="0"/>
    <d v="2019-08-06T00:00:00"/>
    <x v="0"/>
    <x v="0"/>
    <n v="1"/>
    <n v="1"/>
  </r>
  <r>
    <d v="2019-07-25T00:00:00"/>
    <n v="12422"/>
    <s v="WHPOA"/>
    <s v="Porto Alegre"/>
    <s v="RS"/>
    <n v="4035"/>
    <x v="37"/>
    <s v="Brasilia"/>
    <s v="DF"/>
    <x v="1"/>
    <s v="DF"/>
    <n v="205.41"/>
    <n v="1"/>
    <n v="1.518"/>
    <n v="6100231"/>
    <x v="1"/>
    <s v="Goiania"/>
    <s v="Convencional"/>
    <n v="2"/>
    <d v="2019-07-25T00:00:00"/>
    <x v="543"/>
    <x v="0"/>
    <d v="2019-07-27T00:00:00"/>
    <x v="1"/>
    <x v="0"/>
    <n v="0"/>
    <n v="1"/>
  </r>
  <r>
    <d v="2019-07-26T00:00:00"/>
    <n v="12423"/>
    <s v="WHPOA"/>
    <s v="Porto Alegre"/>
    <s v="RS"/>
    <n v="4100"/>
    <x v="88"/>
    <s v="Santos"/>
    <s v="SP"/>
    <x v="2"/>
    <s v="SP"/>
    <n v="639.63"/>
    <n v="1"/>
    <n v="1.1200000000000001"/>
    <n v="6400835"/>
    <x v="3"/>
    <s v="Guarulhos"/>
    <s v="Convencional"/>
    <n v="10"/>
    <d v="2019-07-26T00:00:00"/>
    <x v="535"/>
    <x v="0"/>
    <d v="2019-08-05T00:00:00"/>
    <x v="0"/>
    <x v="0"/>
    <n v="1"/>
    <n v="1"/>
  </r>
  <r>
    <d v="2019-07-27T00:00:00"/>
    <n v="12424"/>
    <s v="WHVIT"/>
    <s v="Vitoria"/>
    <s v="ES"/>
    <n v="4157"/>
    <x v="145"/>
    <s v="Belo Horizonte"/>
    <s v="MG"/>
    <x v="2"/>
    <s v="MG"/>
    <n v="259.38"/>
    <n v="1"/>
    <n v="0.16800000000000001"/>
    <n v="6600879"/>
    <x v="2"/>
    <s v="Belo Horizonte"/>
    <s v="Convencional"/>
    <n v="5"/>
    <d v="2019-07-27T00:00:00"/>
    <x v="533"/>
    <x v="0"/>
    <d v="2019-08-01T00:00:00"/>
    <x v="0"/>
    <x v="0"/>
    <n v="1"/>
    <n v="1"/>
  </r>
  <r>
    <d v="2019-07-27T00:00:00"/>
    <n v="12425"/>
    <s v="WHPOA"/>
    <s v="Porto Alegre"/>
    <s v="RS"/>
    <n v="4196"/>
    <x v="184"/>
    <s v="Manaus"/>
    <s v="AM"/>
    <x v="4"/>
    <s v="AM"/>
    <n v="1501.82"/>
    <n v="2"/>
    <n v="10.558999999999999"/>
    <n v="6700091"/>
    <x v="6"/>
    <s v="Manaus"/>
    <s v="Convencional"/>
    <n v="1"/>
    <d v="2019-07-27T00:00:00"/>
    <x v="543"/>
    <x v="0"/>
    <d v="2019-07-28T00:00:00"/>
    <x v="1"/>
    <x v="0"/>
    <n v="0"/>
    <n v="1"/>
  </r>
  <r>
    <d v="2019-07-27T00:00:00"/>
    <n v="12426"/>
    <s v="WHSJC"/>
    <s v="Sao Jose dos Campos"/>
    <s v="SP"/>
    <n v="4128"/>
    <x v="116"/>
    <s v="Recife"/>
    <s v="PE"/>
    <x v="3"/>
    <s v="PE"/>
    <n v="85.81"/>
    <n v="1"/>
    <n v="1.1200000000000001"/>
    <n v="6900304"/>
    <x v="5"/>
    <s v="Fortaleza"/>
    <s v="Convencional"/>
    <n v="2"/>
    <d v="2019-07-27T00:00:00"/>
    <x v="533"/>
    <x v="0"/>
    <d v="2019-07-29T00:00:00"/>
    <x v="0"/>
    <x v="0"/>
    <n v="1"/>
    <n v="1"/>
  </r>
  <r>
    <d v="2019-07-30T00:00:00"/>
    <n v="12427"/>
    <s v="WHSAO"/>
    <s v="Sao Paulo"/>
    <s v="SP"/>
    <n v="4166"/>
    <x v="154"/>
    <s v="Manaus"/>
    <s v="AM"/>
    <x v="4"/>
    <s v="AM"/>
    <n v="969.43"/>
    <n v="1"/>
    <n v="1.302"/>
    <n v="6700091"/>
    <x v="6"/>
    <s v="Manaus"/>
    <s v="Convencional"/>
    <n v="2"/>
    <d v="2019-07-30T00:00:00"/>
    <x v="544"/>
    <x v="0"/>
    <d v="2019-08-01T00:00:00"/>
    <x v="1"/>
    <x v="0"/>
    <n v="0"/>
    <n v="1"/>
  </r>
  <r>
    <d v="2019-07-30T00:00:00"/>
    <n v="12428"/>
    <s v="WHSJC"/>
    <s v="Sao Jose dos Campos"/>
    <s v="SP"/>
    <n v="4143"/>
    <x v="131"/>
    <s v="Manaus"/>
    <s v="AM"/>
    <x v="4"/>
    <s v="AM"/>
    <n v="226.79"/>
    <n v="1"/>
    <n v="0.13800000000000001"/>
    <n v="6700091"/>
    <x v="6"/>
    <s v="Manaus"/>
    <s v="Convencional"/>
    <n v="12"/>
    <d v="2019-07-30T00:00:00"/>
    <x v="543"/>
    <x v="0"/>
    <d v="2019-08-11T00:00:00"/>
    <x v="0"/>
    <x v="0"/>
    <n v="1"/>
    <n v="1"/>
  </r>
  <r>
    <d v="2019-07-30T00:00:00"/>
    <n v="12429"/>
    <s v="WHBH"/>
    <s v="Belo Horizonte"/>
    <s v="MG"/>
    <n v="4162"/>
    <x v="150"/>
    <s v="Recife"/>
    <s v="PE"/>
    <x v="3"/>
    <s v="PE"/>
    <n v="648.33000000000004"/>
    <n v="2"/>
    <n v="0.93300000000000005"/>
    <n v="6900304"/>
    <x v="5"/>
    <s v="Fortaleza"/>
    <s v="Convencional"/>
    <n v="8"/>
    <d v="2019-07-30T00:00:00"/>
    <x v="542"/>
    <x v="0"/>
    <d v="2019-08-07T00:00:00"/>
    <x v="0"/>
    <x v="0"/>
    <n v="1"/>
    <n v="1"/>
  </r>
  <r>
    <d v="2019-07-30T00:00:00"/>
    <n v="12430"/>
    <s v="WHCPQ"/>
    <s v="Campinas"/>
    <s v="SP"/>
    <n v="4154"/>
    <x v="142"/>
    <s v="Recife"/>
    <s v="PE"/>
    <x v="3"/>
    <s v="PE"/>
    <n v="99.48"/>
    <n v="1"/>
    <n v="1.1200000000000001"/>
    <n v="6900304"/>
    <x v="5"/>
    <s v="Fortaleza"/>
    <s v="Convencional"/>
    <n v="8"/>
    <d v="2019-07-30T00:00:00"/>
    <x v="544"/>
    <x v="0"/>
    <d v="2019-08-07T00:00:00"/>
    <x v="0"/>
    <x v="0"/>
    <n v="1"/>
    <n v="1"/>
  </r>
  <r>
    <d v="2019-07-30T00:00:00"/>
    <n v="12431"/>
    <s v="WHVIT"/>
    <s v="Vitoria"/>
    <s v="ES"/>
    <n v="4194"/>
    <x v="182"/>
    <s v="Manaus"/>
    <s v="AM"/>
    <x v="4"/>
    <s v="AM"/>
    <n v="13731.6"/>
    <n v="7"/>
    <n v="57.35"/>
    <n v="6700091"/>
    <x v="6"/>
    <s v="Manaus"/>
    <s v="Convencional"/>
    <n v="10"/>
    <d v="2019-07-30T00:00:00"/>
    <x v="545"/>
    <x v="0"/>
    <d v="2019-08-09T00:00:00"/>
    <x v="0"/>
    <x v="0"/>
    <n v="1"/>
    <n v="1"/>
  </r>
  <r>
    <d v="2019-07-30T00:00:00"/>
    <n v="12432"/>
    <s v="WHBH"/>
    <s v="Belo Horizonte"/>
    <s v="MG"/>
    <n v="4190"/>
    <x v="178"/>
    <s v="Belo Horizonte"/>
    <s v="MG"/>
    <x v="2"/>
    <s v="MG"/>
    <n v="1854.69"/>
    <n v="3"/>
    <n v="3.4340000000000002"/>
    <n v="6600879"/>
    <x v="2"/>
    <s v="Belo Horizonte"/>
    <s v="Convencional"/>
    <n v="6"/>
    <d v="2019-07-30T00:00:00"/>
    <x v="539"/>
    <x v="0"/>
    <d v="2019-08-05T00:00:00"/>
    <x v="0"/>
    <x v="0"/>
    <n v="1"/>
    <n v="1"/>
  </r>
  <r>
    <d v="2019-07-30T00:00:00"/>
    <n v="12433"/>
    <s v="WHSJC"/>
    <s v="Sao Jose dos Campos"/>
    <s v="SP"/>
    <n v="4068"/>
    <x v="4"/>
    <s v="Campo Grande"/>
    <s v="MS"/>
    <x v="1"/>
    <s v="MS"/>
    <n v="288.73"/>
    <n v="1"/>
    <n v="1.1200000000000001"/>
    <n v="6100231"/>
    <x v="1"/>
    <s v="Goiania"/>
    <s v="Convencional"/>
    <n v="11"/>
    <d v="2019-07-30T00:00:00"/>
    <x v="542"/>
    <x v="0"/>
    <d v="2019-08-10T00:00:00"/>
    <x v="0"/>
    <x v="0"/>
    <n v="1"/>
    <n v="1"/>
  </r>
  <r>
    <d v="2019-07-30T00:00:00"/>
    <n v="12434"/>
    <s v="WHSAO"/>
    <s v="Sao Paulo"/>
    <s v="SP"/>
    <n v="4023"/>
    <x v="20"/>
    <s v="Sao Jose"/>
    <s v="SC"/>
    <x v="0"/>
    <s v="SC"/>
    <n v="13928.43"/>
    <n v="5"/>
    <n v="83.963999999999999"/>
    <n v="6500948"/>
    <x v="0"/>
    <s v="Porto Alegre"/>
    <s v="Convencional"/>
    <n v="3"/>
    <d v="2019-07-30T00:00:00"/>
    <x v="541"/>
    <x v="0"/>
    <d v="2019-08-02T00:00:00"/>
    <x v="0"/>
    <x v="0"/>
    <n v="1"/>
    <n v="1"/>
  </r>
  <r>
    <d v="2019-07-30T00:00:00"/>
    <n v="12435"/>
    <s v="WHPOA"/>
    <s v="Porto Alegre"/>
    <s v="RS"/>
    <n v="4013"/>
    <x v="1"/>
    <s v="Blumenau"/>
    <s v="SC"/>
    <x v="0"/>
    <s v="SC"/>
    <n v="11161.92"/>
    <n v="8"/>
    <n v="44.13"/>
    <n v="6500948"/>
    <x v="0"/>
    <s v="Porto Alegre"/>
    <s v="Convencional"/>
    <n v="5"/>
    <d v="2019-07-30T00:00:00"/>
    <x v="546"/>
    <x v="0"/>
    <d v="2019-08-04T00:00:00"/>
    <x v="0"/>
    <x v="0"/>
    <n v="1"/>
    <n v="1"/>
  </r>
  <r>
    <d v="2019-07-30T00:00:00"/>
    <n v="12436"/>
    <s v="WHSAO"/>
    <s v="Sao Paulo"/>
    <s v="SP"/>
    <n v="4041"/>
    <x v="16"/>
    <s v="Goiania"/>
    <s v="GO"/>
    <x v="1"/>
    <s v="GO"/>
    <n v="3328.04"/>
    <n v="2"/>
    <n v="19.238"/>
    <n v="6100231"/>
    <x v="1"/>
    <s v="Goiania"/>
    <s v="Convencional"/>
    <n v="12"/>
    <d v="2019-07-30T00:00:00"/>
    <x v="547"/>
    <x v="0"/>
    <d v="2019-08-11T00:00:00"/>
    <x v="0"/>
    <x v="0"/>
    <n v="1"/>
    <n v="1"/>
  </r>
  <r>
    <d v="2019-07-30T00:00:00"/>
    <n v="12437"/>
    <s v="WHVIT"/>
    <s v="Vitoria"/>
    <s v="ES"/>
    <n v="4044"/>
    <x v="48"/>
    <s v="Belo Horizonte"/>
    <s v="MG"/>
    <x v="2"/>
    <s v="MG"/>
    <n v="215.1"/>
    <n v="1"/>
    <n v="0.42399999999999999"/>
    <n v="6600879"/>
    <x v="2"/>
    <s v="Belo Horizonte"/>
    <s v="Convencional"/>
    <n v="1"/>
    <d v="2019-07-30T00:00:00"/>
    <x v="546"/>
    <x v="0"/>
    <d v="2019-07-31T00:00:00"/>
    <x v="1"/>
    <x v="0"/>
    <n v="0"/>
    <n v="1"/>
  </r>
  <r>
    <d v="2019-07-30T00:00:00"/>
    <n v="12438"/>
    <s v="WHPOA"/>
    <s v="Porto Alegre"/>
    <s v="RS"/>
    <n v="4045"/>
    <x v="49"/>
    <s v="Belo Horizonte"/>
    <s v="MG"/>
    <x v="2"/>
    <s v="MG"/>
    <n v="797.14"/>
    <n v="1"/>
    <n v="1.1200000000000001"/>
    <n v="6600879"/>
    <x v="2"/>
    <s v="Belo Horizonte"/>
    <s v="Convencional"/>
    <n v="11"/>
    <d v="2019-07-30T00:00:00"/>
    <x v="546"/>
    <x v="0"/>
    <d v="2019-08-10T00:00:00"/>
    <x v="0"/>
    <x v="0"/>
    <n v="1"/>
    <n v="1"/>
  </r>
  <r>
    <d v="2019-07-30T00:00:00"/>
    <n v="12439"/>
    <s v="WHVIT"/>
    <s v="Vitoria"/>
    <s v="ES"/>
    <n v="4044"/>
    <x v="48"/>
    <s v="Belo Horizonte"/>
    <s v="MG"/>
    <x v="2"/>
    <s v="MG"/>
    <n v="891.18"/>
    <n v="3"/>
    <n v="2.536"/>
    <n v="6600879"/>
    <x v="2"/>
    <s v="Belo Horizonte"/>
    <s v="Convencional"/>
    <n v="8"/>
    <d v="2019-07-30T00:00:00"/>
    <x v="542"/>
    <x v="0"/>
    <d v="2019-08-07T00:00:00"/>
    <x v="0"/>
    <x v="0"/>
    <n v="1"/>
    <n v="1"/>
  </r>
  <r>
    <d v="2019-07-30T00:00:00"/>
    <n v="12440"/>
    <s v="WHSJC"/>
    <s v="Sao Jose dos Campos"/>
    <s v="SP"/>
    <n v="4045"/>
    <x v="49"/>
    <s v="Belo Horizonte"/>
    <s v="MG"/>
    <x v="2"/>
    <s v="MG"/>
    <n v="18849.939999999999"/>
    <n v="23"/>
    <n v="171.35400000000001"/>
    <n v="6600879"/>
    <x v="2"/>
    <s v="Belo Horizonte"/>
    <s v="Convencional"/>
    <n v="2"/>
    <d v="2019-07-30T00:00:00"/>
    <x v="546"/>
    <x v="0"/>
    <d v="2019-08-01T00:00:00"/>
    <x v="1"/>
    <x v="0"/>
    <n v="0"/>
    <n v="1"/>
  </r>
  <r>
    <d v="2019-07-30T00:00:00"/>
    <n v="12441"/>
    <s v="WHSAO"/>
    <s v="Sao Paulo"/>
    <s v="SP"/>
    <n v="4041"/>
    <x v="16"/>
    <s v="Goiania"/>
    <s v="GO"/>
    <x v="1"/>
    <s v="GO"/>
    <n v="13256.87"/>
    <n v="1"/>
    <n v="1.1200000000000001"/>
    <n v="6100231"/>
    <x v="1"/>
    <s v="Goiania"/>
    <s v="Convencional"/>
    <n v="4"/>
    <d v="2019-07-30T00:00:00"/>
    <x v="542"/>
    <x v="0"/>
    <d v="2019-08-03T00:00:00"/>
    <x v="0"/>
    <x v="0"/>
    <n v="1"/>
    <n v="1"/>
  </r>
  <r>
    <d v="2019-07-30T00:00:00"/>
    <n v="12442"/>
    <s v="WHSJC"/>
    <s v="Sao Jose dos Campos"/>
    <s v="SP"/>
    <n v="4041"/>
    <x v="16"/>
    <s v="Goiania"/>
    <s v="GO"/>
    <x v="1"/>
    <s v="GO"/>
    <n v="301.45999999999998"/>
    <n v="1"/>
    <n v="10.78"/>
    <n v="6100231"/>
    <x v="1"/>
    <s v="Goiania"/>
    <s v="Convencional"/>
    <n v="9"/>
    <d v="2019-07-30T00:00:00"/>
    <x v="539"/>
    <x v="2"/>
    <d v="2019-08-08T00:00:00"/>
    <x v="0"/>
    <x v="1"/>
    <n v="0"/>
    <n v="1"/>
  </r>
  <r>
    <d v="2019-07-30T00:00:00"/>
    <n v="12443"/>
    <s v="WHVIT"/>
    <s v="Vitoria"/>
    <s v="ES"/>
    <n v="4044"/>
    <x v="48"/>
    <s v="Belo Horizonte"/>
    <s v="MG"/>
    <x v="2"/>
    <s v="MG"/>
    <n v="1539.95"/>
    <n v="2"/>
    <n v="6.6319999999999997"/>
    <n v="6600879"/>
    <x v="2"/>
    <s v="Belo Horizonte"/>
    <s v="Convencional"/>
    <n v="9"/>
    <d v="2019-07-30T00:00:00"/>
    <x v="547"/>
    <x v="0"/>
    <d v="2019-08-08T00:00:00"/>
    <x v="0"/>
    <x v="0"/>
    <n v="1"/>
    <n v="1"/>
  </r>
  <r>
    <d v="2019-07-30T00:00:00"/>
    <n v="12444"/>
    <s v="WHVIT"/>
    <s v="Vitoria"/>
    <s v="ES"/>
    <n v="4045"/>
    <x v="49"/>
    <s v="Belo Horizonte"/>
    <s v="MG"/>
    <x v="2"/>
    <s v="MG"/>
    <n v="538.23"/>
    <n v="2"/>
    <n v="1.863"/>
    <n v="6600879"/>
    <x v="2"/>
    <s v="Belo Horizonte"/>
    <s v="Convencional"/>
    <n v="8"/>
    <d v="2019-07-30T00:00:00"/>
    <x v="541"/>
    <x v="0"/>
    <d v="2019-08-07T00:00:00"/>
    <x v="0"/>
    <x v="0"/>
    <n v="1"/>
    <n v="1"/>
  </r>
  <r>
    <d v="2019-07-30T00:00:00"/>
    <n v="12445"/>
    <s v="WHSAO"/>
    <s v="Sao Paulo"/>
    <s v="SP"/>
    <n v="4044"/>
    <x v="48"/>
    <s v="Belo Horizonte"/>
    <s v="MG"/>
    <x v="2"/>
    <s v="MG"/>
    <n v="123.2"/>
    <n v="1"/>
    <n v="0.38200000000000001"/>
    <n v="6600879"/>
    <x v="2"/>
    <s v="Belo Horizonte"/>
    <s v="Convencional"/>
    <n v="7"/>
    <d v="2019-07-30T00:00:00"/>
    <x v="542"/>
    <x v="1"/>
    <d v="2019-08-06T00:00:00"/>
    <x v="0"/>
    <x v="1"/>
    <n v="0"/>
    <n v="1"/>
  </r>
  <r>
    <d v="2019-07-30T00:00:00"/>
    <n v="12446"/>
    <s v="WHRJ"/>
    <s v="Rio De Janeiro"/>
    <s v="RJ"/>
    <n v="4045"/>
    <x v="49"/>
    <s v="Belo Horizonte"/>
    <s v="MG"/>
    <x v="2"/>
    <s v="MG"/>
    <n v="5429.54"/>
    <n v="8"/>
    <n v="25.146999999999998"/>
    <n v="6600879"/>
    <x v="2"/>
    <s v="Belo Horizonte"/>
    <s v="Convencional"/>
    <n v="3"/>
    <d v="2019-07-30T00:00:00"/>
    <x v="548"/>
    <x v="0"/>
    <d v="2019-08-02T00:00:00"/>
    <x v="1"/>
    <x v="0"/>
    <n v="0"/>
    <n v="1"/>
  </r>
  <r>
    <d v="2019-07-30T00:00:00"/>
    <n v="12447"/>
    <s v="WHRJ"/>
    <s v="Rio De Janeiro"/>
    <s v="RJ"/>
    <n v="4041"/>
    <x v="16"/>
    <s v="Goiania"/>
    <s v="GO"/>
    <x v="1"/>
    <s v="GO"/>
    <n v="888.6"/>
    <n v="2"/>
    <n v="5.5289999999999999"/>
    <n v="6100231"/>
    <x v="1"/>
    <s v="Goiania"/>
    <s v="Convencional"/>
    <n v="12"/>
    <d v="2019-07-30T00:00:00"/>
    <x v="541"/>
    <x v="0"/>
    <d v="2019-08-11T00:00:00"/>
    <x v="0"/>
    <x v="0"/>
    <n v="1"/>
    <n v="1"/>
  </r>
  <r>
    <d v="2019-07-30T00:00:00"/>
    <n v="12448"/>
    <s v="WHBH"/>
    <s v="Belo Horizonte"/>
    <s v="MG"/>
    <n v="4045"/>
    <x v="49"/>
    <s v="Belo Horizonte"/>
    <s v="MG"/>
    <x v="2"/>
    <s v="MG"/>
    <n v="538.88"/>
    <n v="2"/>
    <n v="1.095"/>
    <n v="6600879"/>
    <x v="2"/>
    <s v="Belo Horizonte"/>
    <s v="Convencional"/>
    <n v="5"/>
    <d v="2019-07-30T00:00:00"/>
    <x v="543"/>
    <x v="1"/>
    <d v="2019-08-04T00:00:00"/>
    <x v="0"/>
    <x v="1"/>
    <n v="0"/>
    <n v="1"/>
  </r>
  <r>
    <d v="2019-07-30T00:00:00"/>
    <n v="12449"/>
    <s v="WHPOA"/>
    <s v="Porto Alegre"/>
    <s v="RS"/>
    <n v="4041"/>
    <x v="16"/>
    <s v="Goiania"/>
    <s v="GO"/>
    <x v="1"/>
    <s v="GO"/>
    <n v="16029.32"/>
    <n v="4"/>
    <n v="39.042000000000002"/>
    <n v="6100231"/>
    <x v="1"/>
    <s v="Goiania"/>
    <s v="Convencional"/>
    <n v="5"/>
    <d v="2019-07-30T00:00:00"/>
    <x v="549"/>
    <x v="0"/>
    <d v="2019-08-04T00:00:00"/>
    <x v="1"/>
    <x v="0"/>
    <n v="0"/>
    <n v="1"/>
  </r>
  <r>
    <d v="2019-07-31T00:00:00"/>
    <n v="12450"/>
    <s v="WHPOA"/>
    <s v="Porto Alegre"/>
    <s v="RS"/>
    <n v="4033"/>
    <x v="35"/>
    <s v="Goiania"/>
    <s v="GO"/>
    <x v="1"/>
    <s v="GO"/>
    <n v="667.07"/>
    <n v="1"/>
    <n v="1.1200000000000001"/>
    <n v="6100231"/>
    <x v="1"/>
    <s v="Goiania"/>
    <s v="Convencional"/>
    <n v="5"/>
    <d v="2019-07-31T00:00:00"/>
    <x v="545"/>
    <x v="2"/>
    <d v="2019-08-05T00:00:00"/>
    <x v="1"/>
    <x v="1"/>
    <n v="0"/>
    <n v="1"/>
  </r>
  <r>
    <d v="2019-07-31T00:00:00"/>
    <n v="12451"/>
    <s v="WHRJ"/>
    <s v="Rio De Janeiro"/>
    <s v="RJ"/>
    <n v="4164"/>
    <x v="152"/>
    <s v="Rio Grande do Sul"/>
    <s v="RS"/>
    <x v="0"/>
    <s v="RS"/>
    <n v="11919.3"/>
    <n v="12"/>
    <n v="54.061"/>
    <n v="6500948"/>
    <x v="0"/>
    <s v="Porto Alegre"/>
    <s v="Convencional"/>
    <n v="5"/>
    <d v="2019-07-31T00:00:00"/>
    <x v="544"/>
    <x v="1"/>
    <d v="2019-08-05T00:00:00"/>
    <x v="1"/>
    <x v="1"/>
    <n v="0"/>
    <n v="1"/>
  </r>
  <r>
    <d v="2019-07-30T00:00:00"/>
    <n v="12452"/>
    <s v="WHVIT"/>
    <s v="Vitoria"/>
    <s v="ES"/>
    <n v="4156"/>
    <x v="144"/>
    <s v="Rio Grande do Sul"/>
    <s v="RS"/>
    <x v="0"/>
    <s v="RS"/>
    <n v="5860.02"/>
    <n v="3"/>
    <n v="18.117000000000001"/>
    <n v="6500948"/>
    <x v="0"/>
    <s v="Porto Alegre"/>
    <s v="Convencional"/>
    <n v="6"/>
    <d v="2019-07-31T00:00:00"/>
    <x v="546"/>
    <x v="0"/>
    <d v="2019-08-06T00:00:00"/>
    <x v="0"/>
    <x v="0"/>
    <n v="1"/>
    <n v="1"/>
  </r>
  <r>
    <d v="2019-07-30T00:00:00"/>
    <n v="12453"/>
    <s v="WHPOA"/>
    <s v="Porto Alegre"/>
    <s v="RS"/>
    <n v="4171"/>
    <x v="159"/>
    <s v="Manaus"/>
    <s v="AM"/>
    <x v="4"/>
    <s v="AM"/>
    <n v="1924.94"/>
    <n v="1"/>
    <n v="1.1200000000000001"/>
    <n v="6700091"/>
    <x v="6"/>
    <s v="Manaus"/>
    <s v="Convencional"/>
    <n v="8"/>
    <d v="2019-07-31T00:00:00"/>
    <x v="544"/>
    <x v="0"/>
    <d v="2019-08-08T00:00:00"/>
    <x v="0"/>
    <x v="0"/>
    <n v="1"/>
    <n v="1"/>
  </r>
  <r>
    <d v="2019-07-30T00:00:00"/>
    <n v="12454"/>
    <s v="WHCPQ"/>
    <s v="Campinas"/>
    <s v="SP"/>
    <n v="4136"/>
    <x v="124"/>
    <s v="Belo Horizonte"/>
    <s v="MG"/>
    <x v="2"/>
    <s v="MG"/>
    <n v="175.77"/>
    <n v="1"/>
    <n v="1.1200000000000001"/>
    <n v="6600879"/>
    <x v="2"/>
    <s v="Belo Horizonte"/>
    <s v="Convencional"/>
    <n v="11"/>
    <d v="2019-07-31T00:00:00"/>
    <x v="548"/>
    <x v="1"/>
    <d v="2019-08-11T00:00:00"/>
    <x v="0"/>
    <x v="1"/>
    <n v="0"/>
    <n v="1"/>
  </r>
  <r>
    <d v="2019-07-30T00:00:00"/>
    <n v="12455"/>
    <s v="WHRJ"/>
    <s v="Rio De Janeiro"/>
    <s v="RJ"/>
    <n v="4161"/>
    <x v="149"/>
    <s v="Recife"/>
    <s v="PE"/>
    <x v="3"/>
    <s v="PE"/>
    <n v="2732.64"/>
    <n v="7"/>
    <n v="17.687000000000001"/>
    <n v="6900304"/>
    <x v="5"/>
    <s v="Fortaleza"/>
    <s v="Convencional"/>
    <n v="9"/>
    <d v="2019-07-31T00:00:00"/>
    <x v="543"/>
    <x v="0"/>
    <d v="2019-08-09T00:00:00"/>
    <x v="0"/>
    <x v="0"/>
    <n v="1"/>
    <n v="1"/>
  </r>
  <r>
    <d v="2019-07-30T00:00:00"/>
    <n v="12456"/>
    <s v="WHCPQ"/>
    <s v="Campinas"/>
    <s v="SP"/>
    <n v="4034"/>
    <x v="36"/>
    <s v="Goiania"/>
    <s v="GO"/>
    <x v="1"/>
    <s v="GO"/>
    <n v="63.44"/>
    <n v="1"/>
    <n v="1.1200000000000001"/>
    <n v="6100231"/>
    <x v="1"/>
    <s v="Goiania"/>
    <s v="Convencional"/>
    <n v="5"/>
    <d v="2019-07-31T00:00:00"/>
    <x v="545"/>
    <x v="0"/>
    <d v="2019-08-05T00:00:00"/>
    <x v="1"/>
    <x v="0"/>
    <n v="0"/>
    <n v="1"/>
  </r>
  <r>
    <d v="2019-07-30T00:00:00"/>
    <n v="12457"/>
    <s v="WHCPQ"/>
    <s v="Campinas"/>
    <s v="SP"/>
    <n v="4126"/>
    <x v="114"/>
    <s v="Belo Horizonte"/>
    <s v="MG"/>
    <x v="2"/>
    <s v="MG"/>
    <n v="300.23"/>
    <n v="2"/>
    <n v="1.111"/>
    <n v="6600879"/>
    <x v="2"/>
    <s v="Belo Horizonte"/>
    <s v="Convencional"/>
    <n v="6"/>
    <d v="2019-07-31T00:00:00"/>
    <x v="539"/>
    <x v="0"/>
    <d v="2019-08-06T00:00:00"/>
    <x v="0"/>
    <x v="0"/>
    <n v="1"/>
    <n v="1"/>
  </r>
  <r>
    <d v="2019-07-30T00:00:00"/>
    <n v="12458"/>
    <s v="WHCPQ"/>
    <s v="Campinas"/>
    <s v="SP"/>
    <n v="4018"/>
    <x v="12"/>
    <s v="Sao Jose"/>
    <s v="SC"/>
    <x v="0"/>
    <s v="SC"/>
    <n v="4284.82"/>
    <n v="3"/>
    <n v="11.634"/>
    <n v="6500948"/>
    <x v="0"/>
    <s v="Porto Alegre"/>
    <s v="Convencional"/>
    <n v="7"/>
    <d v="2019-07-31T00:00:00"/>
    <x v="543"/>
    <x v="0"/>
    <d v="2019-08-07T00:00:00"/>
    <x v="0"/>
    <x v="0"/>
    <n v="1"/>
    <n v="1"/>
  </r>
  <r>
    <d v="2019-07-30T00:00:00"/>
    <n v="12459"/>
    <s v="WHBH"/>
    <s v="Belo Horizonte"/>
    <s v="MG"/>
    <n v="4018"/>
    <x v="12"/>
    <s v="Sao Jose"/>
    <s v="SC"/>
    <x v="0"/>
    <s v="SC"/>
    <n v="2861.02"/>
    <n v="3"/>
    <n v="7.8769999999999998"/>
    <n v="6500948"/>
    <x v="0"/>
    <s v="Porto Alegre"/>
    <s v="Convencional"/>
    <n v="2"/>
    <d v="2019-07-31T00:00:00"/>
    <x v="550"/>
    <x v="0"/>
    <d v="2019-08-02T00:00:00"/>
    <x v="1"/>
    <x v="0"/>
    <n v="0"/>
    <n v="1"/>
  </r>
  <r>
    <d v="2019-07-30T00:00:00"/>
    <n v="12460"/>
    <s v="WHBH"/>
    <s v="Belo Horizonte"/>
    <s v="MG"/>
    <n v="4056"/>
    <x v="44"/>
    <s v="Goiania"/>
    <s v="GO"/>
    <x v="1"/>
    <s v="GO"/>
    <n v="252.39"/>
    <n v="2"/>
    <n v="0.54900000000000004"/>
    <n v="6100231"/>
    <x v="1"/>
    <s v="Goiania"/>
    <s v="Convencional"/>
    <n v="2"/>
    <d v="2019-07-31T00:00:00"/>
    <x v="539"/>
    <x v="0"/>
    <d v="2019-08-02T00:00:00"/>
    <x v="0"/>
    <x v="0"/>
    <n v="1"/>
    <n v="1"/>
  </r>
  <r>
    <d v="2019-07-30T00:00:00"/>
    <n v="12461"/>
    <s v="WHSAO"/>
    <s v="Sao Paulo"/>
    <s v="SP"/>
    <n v="4056"/>
    <x v="44"/>
    <s v="Goiania"/>
    <s v="GO"/>
    <x v="1"/>
    <s v="GO"/>
    <n v="1543.63"/>
    <n v="2"/>
    <n v="3.0009999999999999"/>
    <n v="6100231"/>
    <x v="1"/>
    <s v="Goiania"/>
    <s v="Convencional"/>
    <n v="10"/>
    <d v="2019-07-31T00:00:00"/>
    <x v="550"/>
    <x v="0"/>
    <d v="2019-08-10T00:00:00"/>
    <x v="0"/>
    <x v="0"/>
    <n v="1"/>
    <n v="1"/>
  </r>
  <r>
    <d v="2019-07-30T00:00:00"/>
    <n v="12462"/>
    <s v="WHSJC"/>
    <s v="Sao Jose dos Campos"/>
    <s v="SP"/>
    <n v="4083"/>
    <x v="71"/>
    <s v="Sao Jose Do Rio Preto"/>
    <s v="SP"/>
    <x v="2"/>
    <s v="SP"/>
    <n v="1906.61"/>
    <n v="5"/>
    <n v="67.099999999999994"/>
    <n v="6400835"/>
    <x v="3"/>
    <s v="Guarulhos"/>
    <s v="Convencional"/>
    <n v="12"/>
    <d v="2019-07-31T00:00:00"/>
    <x v="546"/>
    <x v="0"/>
    <d v="2019-08-12T00:00:00"/>
    <x v="0"/>
    <x v="0"/>
    <n v="1"/>
    <n v="1"/>
  </r>
  <r>
    <d v="2019-07-30T00:00:00"/>
    <n v="12463"/>
    <s v="WHSJC"/>
    <s v="Sao Jose dos Campos"/>
    <s v="SP"/>
    <n v="4056"/>
    <x v="44"/>
    <s v="Goiania"/>
    <s v="GO"/>
    <x v="1"/>
    <s v="GO"/>
    <n v="698.65"/>
    <n v="2"/>
    <n v="2.8730000000000002"/>
    <n v="6100231"/>
    <x v="1"/>
    <s v="Goiania"/>
    <s v="Convencional"/>
    <n v="3"/>
    <d v="2019-07-31T00:00:00"/>
    <x v="548"/>
    <x v="0"/>
    <d v="2019-08-03T00:00:00"/>
    <x v="1"/>
    <x v="0"/>
    <n v="0"/>
    <n v="1"/>
  </r>
  <r>
    <d v="2019-07-30T00:00:00"/>
    <n v="12464"/>
    <s v="WHSAO"/>
    <s v="Sao Paulo"/>
    <s v="SP"/>
    <n v="4056"/>
    <x v="44"/>
    <s v="Goiania"/>
    <s v="GO"/>
    <x v="1"/>
    <s v="GO"/>
    <n v="349.38"/>
    <n v="1"/>
    <n v="13.42"/>
    <n v="6100231"/>
    <x v="1"/>
    <s v="Goiania"/>
    <s v="Convencional"/>
    <n v="5"/>
    <d v="2019-07-31T00:00:00"/>
    <x v="550"/>
    <x v="0"/>
    <d v="2019-08-05T00:00:00"/>
    <x v="1"/>
    <x v="0"/>
    <n v="0"/>
    <n v="1"/>
  </r>
  <r>
    <d v="2019-07-30T00:00:00"/>
    <n v="12465"/>
    <s v="WHSAO"/>
    <s v="Sao Paulo"/>
    <s v="SP"/>
    <n v="4083"/>
    <x v="71"/>
    <s v="Sao Jose Do Rio Preto"/>
    <s v="SP"/>
    <x v="2"/>
    <s v="SP"/>
    <n v="25.56"/>
    <n v="1"/>
    <n v="9.9000000000000005E-2"/>
    <n v="6400835"/>
    <x v="3"/>
    <s v="Guarulhos"/>
    <s v="Convencional"/>
    <n v="5"/>
    <d v="2019-07-31T00:00:00"/>
    <x v="541"/>
    <x v="0"/>
    <d v="2019-08-05T00:00:00"/>
    <x v="0"/>
    <x v="0"/>
    <n v="1"/>
    <n v="1"/>
  </r>
  <r>
    <d v="2019-07-30T00:00:00"/>
    <n v="12466"/>
    <s v="WHRJ"/>
    <s v="Rio De Janeiro"/>
    <s v="RJ"/>
    <n v="4083"/>
    <x v="71"/>
    <s v="Sao Jose Do Rio Preto"/>
    <s v="SP"/>
    <x v="2"/>
    <s v="SP"/>
    <n v="2944.3"/>
    <n v="4"/>
    <n v="8.8339999999999996"/>
    <n v="6400835"/>
    <x v="3"/>
    <s v="Guarulhos"/>
    <s v="Convencional"/>
    <n v="11"/>
    <d v="2019-07-31T00:00:00"/>
    <x v="541"/>
    <x v="0"/>
    <d v="2019-08-11T00:00:00"/>
    <x v="0"/>
    <x v="0"/>
    <n v="1"/>
    <n v="1"/>
  </r>
  <r>
    <d v="2019-07-30T00:00:00"/>
    <n v="12467"/>
    <s v="WHCPQ"/>
    <s v="Campinas"/>
    <s v="SP"/>
    <n v="4056"/>
    <x v="44"/>
    <s v="Goiania"/>
    <s v="GO"/>
    <x v="1"/>
    <s v="GO"/>
    <n v="3452.2"/>
    <n v="4"/>
    <n v="17.401"/>
    <n v="6100231"/>
    <x v="1"/>
    <s v="Goiania"/>
    <s v="Convencional"/>
    <n v="4"/>
    <d v="2019-07-31T00:00:00"/>
    <x v="549"/>
    <x v="0"/>
    <d v="2019-08-04T00:00:00"/>
    <x v="1"/>
    <x v="0"/>
    <n v="0"/>
    <n v="1"/>
  </r>
  <r>
    <d v="2019-07-30T00:00:00"/>
    <n v="12468"/>
    <s v="WHPOA"/>
    <s v="Porto Alegre"/>
    <s v="RS"/>
    <n v="4056"/>
    <x v="44"/>
    <s v="Goiania"/>
    <s v="GO"/>
    <x v="1"/>
    <s v="GO"/>
    <n v="823.12"/>
    <n v="1"/>
    <n v="1.1200000000000001"/>
    <n v="6100231"/>
    <x v="1"/>
    <s v="Goiania"/>
    <s v="Convencional"/>
    <n v="11"/>
    <d v="2019-07-31T00:00:00"/>
    <x v="549"/>
    <x v="0"/>
    <d v="2019-08-11T00:00:00"/>
    <x v="0"/>
    <x v="0"/>
    <n v="1"/>
    <n v="1"/>
  </r>
  <r>
    <d v="2019-07-30T00:00:00"/>
    <n v="12469"/>
    <s v="WHPOA"/>
    <s v="Porto Alegre"/>
    <s v="RS"/>
    <n v="4083"/>
    <x v="71"/>
    <s v="Sao Jose Do Rio Preto"/>
    <s v="SP"/>
    <x v="2"/>
    <s v="SP"/>
    <n v="210.94"/>
    <n v="1"/>
    <n v="1.1220000000000001"/>
    <n v="6400835"/>
    <x v="3"/>
    <s v="Guarulhos"/>
    <s v="Convencional"/>
    <n v="2"/>
    <d v="2019-07-31T00:00:00"/>
    <x v="548"/>
    <x v="0"/>
    <d v="2019-08-02T00:00:00"/>
    <x v="1"/>
    <x v="0"/>
    <n v="0"/>
    <n v="1"/>
  </r>
  <r>
    <d v="2019-07-30T00:00:00"/>
    <n v="12470"/>
    <s v="WHPOA"/>
    <s v="Porto Alegre"/>
    <s v="RS"/>
    <n v="4083"/>
    <x v="71"/>
    <s v="Sao Jose Do Rio Preto"/>
    <s v="SP"/>
    <x v="2"/>
    <s v="SP"/>
    <n v="5660.1"/>
    <n v="4"/>
    <n v="22.922999999999998"/>
    <n v="6400835"/>
    <x v="3"/>
    <s v="Guarulhos"/>
    <s v="Convencional"/>
    <n v="10"/>
    <d v="2019-07-31T00:00:00"/>
    <x v="544"/>
    <x v="0"/>
    <d v="2019-08-10T00:00:00"/>
    <x v="0"/>
    <x v="0"/>
    <n v="1"/>
    <n v="1"/>
  </r>
  <r>
    <d v="2019-07-30T00:00:00"/>
    <n v="12471"/>
    <s v="WHVIT"/>
    <s v="Vitoria"/>
    <s v="ES"/>
    <n v="4083"/>
    <x v="71"/>
    <s v="Sao Jose Do Rio Preto"/>
    <s v="SP"/>
    <x v="2"/>
    <s v="SP"/>
    <n v="83.13"/>
    <n v="1"/>
    <n v="0.11"/>
    <n v="6400835"/>
    <x v="3"/>
    <s v="Guarulhos"/>
    <s v="Convencional"/>
    <n v="11"/>
    <d v="2019-07-31T00:00:00"/>
    <x v="543"/>
    <x v="0"/>
    <d v="2019-08-11T00:00:00"/>
    <x v="0"/>
    <x v="0"/>
    <n v="1"/>
    <n v="1"/>
  </r>
  <r>
    <d v="2019-07-30T00:00:00"/>
    <n v="12472"/>
    <s v="WHVIT"/>
    <s v="Vitoria"/>
    <s v="ES"/>
    <n v="4083"/>
    <x v="71"/>
    <s v="Sao Jose Do Rio Preto"/>
    <s v="SP"/>
    <x v="2"/>
    <s v="SP"/>
    <n v="104.16"/>
    <n v="1"/>
    <n v="0.17199999999999999"/>
    <n v="6400835"/>
    <x v="3"/>
    <s v="Guarulhos"/>
    <s v="Convencional"/>
    <n v="7"/>
    <d v="2019-07-31T00:00:00"/>
    <x v="550"/>
    <x v="0"/>
    <d v="2019-08-07T00:00:00"/>
    <x v="1"/>
    <x v="0"/>
    <n v="0"/>
    <n v="1"/>
  </r>
  <r>
    <d v="2019-07-30T00:00:00"/>
    <n v="12473"/>
    <s v="WHRJ"/>
    <s v="Rio De Janeiro"/>
    <s v="RJ"/>
    <n v="4083"/>
    <x v="71"/>
    <s v="Sao Jose Do Rio Preto"/>
    <s v="SP"/>
    <x v="2"/>
    <s v="SP"/>
    <n v="919.38"/>
    <n v="1"/>
    <n v="3.3"/>
    <n v="6400835"/>
    <x v="3"/>
    <s v="Guarulhos"/>
    <s v="Convencional"/>
    <n v="11"/>
    <d v="2019-07-31T00:00:00"/>
    <x v="550"/>
    <x v="0"/>
    <d v="2019-08-11T00:00:00"/>
    <x v="0"/>
    <x v="0"/>
    <n v="1"/>
    <n v="1"/>
  </r>
  <r>
    <d v="2019-07-30T00:00:00"/>
    <n v="12474"/>
    <s v="WHSAO"/>
    <s v="Sao Paulo"/>
    <s v="SP"/>
    <n v="4083"/>
    <x v="71"/>
    <s v="Sao Jose Do Rio Preto"/>
    <s v="SP"/>
    <x v="2"/>
    <s v="SP"/>
    <n v="358.25"/>
    <n v="1"/>
    <n v="0.77"/>
    <n v="6400835"/>
    <x v="3"/>
    <s v="Guarulhos"/>
    <s v="Convencional"/>
    <n v="10"/>
    <d v="2019-07-31T00:00:00"/>
    <x v="546"/>
    <x v="0"/>
    <d v="2019-08-10T00:00:00"/>
    <x v="0"/>
    <x v="0"/>
    <n v="1"/>
    <n v="1"/>
  </r>
  <r>
    <d v="2019-07-31T00:00:00"/>
    <n v="12475"/>
    <s v="WHRJ"/>
    <s v="Rio De Janeiro"/>
    <s v="RJ"/>
    <n v="4128"/>
    <x v="116"/>
    <s v="Recife"/>
    <s v="PE"/>
    <x v="3"/>
    <s v="PE"/>
    <n v="1583.07"/>
    <n v="2"/>
    <n v="0.85899999999999999"/>
    <n v="6900304"/>
    <x v="5"/>
    <s v="Fortaleza"/>
    <s v="Convencional"/>
    <n v="7"/>
    <d v="2019-08-01T00:00:00"/>
    <x v="548"/>
    <x v="1"/>
    <d v="2019-08-08T00:00:00"/>
    <x v="0"/>
    <x v="1"/>
    <n v="0"/>
    <n v="1"/>
  </r>
  <r>
    <d v="2019-08-01T00:00:00"/>
    <n v="12476"/>
    <s v="WHBH"/>
    <s v="Belo Horizonte"/>
    <s v="MG"/>
    <n v="4193"/>
    <x v="181"/>
    <s v="Sao Paulo"/>
    <s v="SP"/>
    <x v="2"/>
    <s v="SP"/>
    <n v="607.54999999999995"/>
    <n v="1"/>
    <n v="2.97"/>
    <n v="6400835"/>
    <x v="3"/>
    <s v="Guarulhos"/>
    <s v="Convencional"/>
    <n v="3"/>
    <d v="2019-08-02T00:00:00"/>
    <x v="543"/>
    <x v="0"/>
    <d v="2019-08-05T00:00:00"/>
    <x v="0"/>
    <x v="0"/>
    <n v="1"/>
    <n v="1"/>
  </r>
  <r>
    <d v="2019-08-01T00:00:00"/>
    <n v="12477"/>
    <s v="WHVIT"/>
    <s v="Vitoria"/>
    <s v="ES"/>
    <n v="4217"/>
    <x v="205"/>
    <s v="Rio Grande do Sul"/>
    <s v="RS"/>
    <x v="0"/>
    <s v="RS"/>
    <n v="18.850000000000001"/>
    <n v="1"/>
    <n v="6.6000000000000003E-2"/>
    <n v="6500948"/>
    <x v="0"/>
    <s v="Porto Alegre"/>
    <s v="Convencional"/>
    <n v="9"/>
    <d v="2019-08-02T00:00:00"/>
    <x v="545"/>
    <x v="0"/>
    <d v="2019-08-11T00:00:00"/>
    <x v="0"/>
    <x v="0"/>
    <n v="1"/>
    <n v="1"/>
  </r>
  <r>
    <d v="2019-08-01T00:00:00"/>
    <n v="12478"/>
    <s v="WHSJC"/>
    <s v="Sao Jose dos Campos"/>
    <s v="SP"/>
    <n v="4069"/>
    <x v="57"/>
    <s v="Brasilia"/>
    <s v="DF"/>
    <x v="1"/>
    <s v="DF"/>
    <n v="816.39"/>
    <n v="2"/>
    <n v="33"/>
    <n v="6100231"/>
    <x v="1"/>
    <s v="Goiania"/>
    <s v="Convencional"/>
    <n v="8"/>
    <d v="2019-08-02T00:00:00"/>
    <x v="545"/>
    <x v="1"/>
    <d v="2019-08-10T00:00:00"/>
    <x v="0"/>
    <x v="1"/>
    <n v="0"/>
    <n v="1"/>
  </r>
  <r>
    <d v="2019-08-01T00:00:00"/>
    <n v="12479"/>
    <s v="WHRJ"/>
    <s v="Rio De Janeiro"/>
    <s v="RJ"/>
    <n v="4126"/>
    <x v="114"/>
    <s v="Belo Horizonte"/>
    <s v="MG"/>
    <x v="2"/>
    <s v="MG"/>
    <n v="414.56"/>
    <n v="1"/>
    <n v="16.5"/>
    <n v="6600879"/>
    <x v="2"/>
    <s v="Belo Horizonte"/>
    <s v="Convencional"/>
    <n v="3"/>
    <d v="2019-08-02T00:00:00"/>
    <x v="545"/>
    <x v="1"/>
    <d v="2019-08-05T00:00:00"/>
    <x v="1"/>
    <x v="1"/>
    <n v="0"/>
    <n v="1"/>
  </r>
  <r>
    <d v="2019-08-02T00:00:00"/>
    <n v="12480"/>
    <s v="WHPOA"/>
    <s v="Porto Alegre"/>
    <s v="RS"/>
    <n v="4205"/>
    <x v="193"/>
    <s v="Belo Horizonte"/>
    <s v="MG"/>
    <x v="2"/>
    <s v="MG"/>
    <n v="1380.63"/>
    <n v="4"/>
    <n v="7.5519999999999996"/>
    <n v="6600879"/>
    <x v="2"/>
    <s v="Belo Horizonte"/>
    <s v="Convencional"/>
    <n v="3"/>
    <d v="2019-08-03T00:00:00"/>
    <x v="547"/>
    <x v="0"/>
    <d v="2019-08-06T00:00:00"/>
    <x v="0"/>
    <x v="0"/>
    <n v="1"/>
    <n v="1"/>
  </r>
  <r>
    <d v="2019-08-03T00:00:00"/>
    <n v="12481"/>
    <s v="WHSJC"/>
    <s v="Sao Jose dos Campos"/>
    <s v="SP"/>
    <n v="4205"/>
    <x v="193"/>
    <s v="Belo Horizonte"/>
    <s v="MG"/>
    <x v="2"/>
    <s v="MG"/>
    <n v="8900.9699999999993"/>
    <n v="13"/>
    <n v="45.805"/>
    <n v="6600879"/>
    <x v="2"/>
    <s v="Belo Horizonte"/>
    <s v="Convencional"/>
    <n v="7"/>
    <d v="2019-08-03T00:00:00"/>
    <x v="551"/>
    <x v="0"/>
    <d v="2019-08-10T00:00:00"/>
    <x v="1"/>
    <x v="0"/>
    <n v="0"/>
    <n v="1"/>
  </r>
  <r>
    <d v="2019-08-03T00:00:00"/>
    <n v="12482"/>
    <s v="WHRJ"/>
    <s v="Rio De Janeiro"/>
    <s v="RJ"/>
    <n v="4113"/>
    <x v="101"/>
    <s v="Rio De Janeiro"/>
    <s v="RJ"/>
    <x v="2"/>
    <s v="RJ"/>
    <n v="2285.9"/>
    <n v="2"/>
    <n v="15.688000000000001"/>
    <n v="6140092"/>
    <x v="4"/>
    <s v="Rio de Janeiro"/>
    <s v="Convencional"/>
    <n v="1"/>
    <d v="2019-08-03T00:00:00"/>
    <x v="549"/>
    <x v="0"/>
    <d v="2019-08-04T00:00:00"/>
    <x v="1"/>
    <x v="0"/>
    <n v="0"/>
    <n v="1"/>
  </r>
  <r>
    <d v="2019-08-03T00:00:00"/>
    <n v="12483"/>
    <s v="WHSJC"/>
    <s v="Sao Jose dos Campos"/>
    <s v="SP"/>
    <n v="4113"/>
    <x v="101"/>
    <s v="Rio De Janeiro"/>
    <s v="RJ"/>
    <x v="2"/>
    <s v="RJ"/>
    <n v="2050.6799999999998"/>
    <n v="6"/>
    <n v="6.1379999999999999"/>
    <n v="6140092"/>
    <x v="4"/>
    <s v="Rio de Janeiro"/>
    <s v="Convencional"/>
    <n v="2"/>
    <d v="2019-08-03T00:00:00"/>
    <x v="545"/>
    <x v="1"/>
    <d v="2019-08-05T00:00:00"/>
    <x v="1"/>
    <x v="1"/>
    <n v="0"/>
    <n v="1"/>
  </r>
  <r>
    <d v="2019-08-03T00:00:00"/>
    <n v="12484"/>
    <s v="WHSAO"/>
    <s v="Sao Paulo"/>
    <s v="SP"/>
    <n v="4126"/>
    <x v="114"/>
    <s v="Belo Horizonte"/>
    <s v="MG"/>
    <x v="2"/>
    <s v="MG"/>
    <n v="1058.1099999999999"/>
    <n v="1"/>
    <n v="1.1200000000000001"/>
    <n v="6600879"/>
    <x v="2"/>
    <s v="Belo Horizonte"/>
    <s v="Convencional"/>
    <n v="5"/>
    <d v="2019-08-03T00:00:00"/>
    <x v="552"/>
    <x v="0"/>
    <d v="2019-08-08T00:00:00"/>
    <x v="1"/>
    <x v="0"/>
    <n v="0"/>
    <n v="1"/>
  </r>
  <r>
    <d v="2019-08-03T00:00:00"/>
    <n v="12485"/>
    <s v="WHRJ"/>
    <s v="Rio De Janeiro"/>
    <s v="RJ"/>
    <n v="4126"/>
    <x v="114"/>
    <s v="Belo Horizonte"/>
    <s v="MG"/>
    <x v="2"/>
    <s v="MG"/>
    <n v="3057.89"/>
    <n v="10"/>
    <n v="19.821999999999999"/>
    <n v="6600879"/>
    <x v="2"/>
    <s v="Belo Horizonte"/>
    <s v="Convencional"/>
    <n v="5"/>
    <d v="2019-08-03T00:00:00"/>
    <x v="546"/>
    <x v="0"/>
    <d v="2019-08-08T00:00:00"/>
    <x v="0"/>
    <x v="0"/>
    <n v="1"/>
    <n v="1"/>
  </r>
  <r>
    <d v="2019-08-04T00:00:00"/>
    <n v="12486"/>
    <s v="WHCPQ"/>
    <s v="Campinas"/>
    <s v="SP"/>
    <n v="4069"/>
    <x v="57"/>
    <s v="Brasilia"/>
    <s v="DF"/>
    <x v="1"/>
    <s v="DF"/>
    <n v="4685.8100000000004"/>
    <n v="1"/>
    <n v="1.1200000000000001"/>
    <n v="6100231"/>
    <x v="1"/>
    <s v="Goiania"/>
    <s v="Convencional"/>
    <n v="2"/>
    <d v="2019-08-04T00:00:00"/>
    <x v="553"/>
    <x v="0"/>
    <d v="2019-08-06T00:00:00"/>
    <x v="1"/>
    <x v="0"/>
    <n v="0"/>
    <n v="1"/>
  </r>
  <r>
    <d v="2019-08-06T00:00:00"/>
    <n v="12487"/>
    <s v="WHCPQ"/>
    <s v="Campinas"/>
    <s v="SP"/>
    <n v="4144"/>
    <x v="132"/>
    <s v="Santos"/>
    <s v="SP"/>
    <x v="2"/>
    <s v="SP"/>
    <n v="4774.04"/>
    <n v="4"/>
    <n v="47.353000000000002"/>
    <n v="6400835"/>
    <x v="3"/>
    <s v="Guarulhos"/>
    <s v="Convencional"/>
    <n v="1"/>
    <d v="2019-08-06T00:00:00"/>
    <x v="554"/>
    <x v="0"/>
    <d v="2019-08-07T00:00:00"/>
    <x v="1"/>
    <x v="0"/>
    <n v="0"/>
    <n v="1"/>
  </r>
  <r>
    <d v="2019-08-06T00:00:00"/>
    <n v="12488"/>
    <s v="WHCPQ"/>
    <s v="Campinas"/>
    <s v="SP"/>
    <n v="4153"/>
    <x v="141"/>
    <s v="Rio De Janeiro"/>
    <s v="RJ"/>
    <x v="2"/>
    <s v="RJ"/>
    <n v="1048.76"/>
    <n v="2"/>
    <n v="7.92"/>
    <n v="6140092"/>
    <x v="4"/>
    <s v="Rio de Janeiro"/>
    <s v="Convencional"/>
    <n v="11"/>
    <d v="2019-08-06T00:00:00"/>
    <x v="550"/>
    <x v="0"/>
    <d v="2019-08-17T00:00:00"/>
    <x v="0"/>
    <x v="0"/>
    <n v="1"/>
    <n v="1"/>
  </r>
  <r>
    <d v="2019-08-06T00:00:00"/>
    <n v="12489"/>
    <s v="WHSJC"/>
    <s v="Sao Jose dos Campos"/>
    <s v="SP"/>
    <n v="4060"/>
    <x v="56"/>
    <s v="Sinop"/>
    <s v="MT"/>
    <x v="1"/>
    <s v="MT"/>
    <n v="2494.84"/>
    <n v="3"/>
    <n v="22.013999999999999"/>
    <n v="6100231"/>
    <x v="1"/>
    <s v="Goiania"/>
    <s v="Convencional"/>
    <n v="11"/>
    <d v="2019-08-06T00:00:00"/>
    <x v="555"/>
    <x v="0"/>
    <d v="2019-08-17T00:00:00"/>
    <x v="0"/>
    <x v="0"/>
    <n v="1"/>
    <n v="1"/>
  </r>
  <r>
    <d v="2019-08-06T00:00:00"/>
    <n v="12490"/>
    <s v="WHPOA"/>
    <s v="Porto Alegre"/>
    <s v="RS"/>
    <n v="4023"/>
    <x v="20"/>
    <s v="Sao Jose"/>
    <s v="SC"/>
    <x v="0"/>
    <s v="SC"/>
    <n v="1499.4"/>
    <n v="1"/>
    <n v="4.6180000000000003"/>
    <n v="6500948"/>
    <x v="0"/>
    <s v="Porto Alegre"/>
    <s v="Convencional"/>
    <n v="5"/>
    <d v="2019-08-06T00:00:00"/>
    <x v="545"/>
    <x v="0"/>
    <d v="2019-08-11T00:00:00"/>
    <x v="0"/>
    <x v="0"/>
    <n v="1"/>
    <n v="1"/>
  </r>
  <r>
    <d v="2019-08-07T00:00:00"/>
    <n v="12491"/>
    <s v="WHBH"/>
    <s v="Belo Horizonte"/>
    <s v="MG"/>
    <n v="4068"/>
    <x v="4"/>
    <s v="Campo Grande"/>
    <s v="MS"/>
    <x v="1"/>
    <s v="MS"/>
    <n v="754.05"/>
    <n v="1"/>
    <n v="3.52"/>
    <n v="6100231"/>
    <x v="1"/>
    <s v="Goiania"/>
    <s v="Convencional"/>
    <n v="7"/>
    <d v="2019-08-07T00:00:00"/>
    <x v="556"/>
    <x v="0"/>
    <d v="2019-08-14T00:00:00"/>
    <x v="1"/>
    <x v="0"/>
    <n v="0"/>
    <n v="1"/>
  </r>
  <r>
    <d v="2019-08-07T00:00:00"/>
    <n v="12492"/>
    <s v="WHPOA"/>
    <s v="Porto Alegre"/>
    <s v="RS"/>
    <n v="4032"/>
    <x v="34"/>
    <s v="Goiania"/>
    <s v="GO"/>
    <x v="1"/>
    <s v="GO"/>
    <n v="2181.04"/>
    <n v="3"/>
    <n v="11.88"/>
    <n v="6100231"/>
    <x v="1"/>
    <s v="Goiania"/>
    <s v="Convencional"/>
    <n v="2"/>
    <d v="2019-08-07T00:00:00"/>
    <x v="549"/>
    <x v="0"/>
    <d v="2019-08-09T00:00:00"/>
    <x v="0"/>
    <x v="0"/>
    <n v="1"/>
    <n v="1"/>
  </r>
  <r>
    <d v="2019-08-08T00:00:00"/>
    <n v="12493"/>
    <s v="WHCPQ"/>
    <s v="Campinas"/>
    <s v="SP"/>
    <n v="4056"/>
    <x v="44"/>
    <s v="Goiania"/>
    <s v="GO"/>
    <x v="1"/>
    <s v="GO"/>
    <n v="1123.82"/>
    <n v="2"/>
    <n v="10.182"/>
    <n v="6100231"/>
    <x v="1"/>
    <s v="Goiania"/>
    <s v="Convencional"/>
    <n v="10"/>
    <d v="2019-08-08T00:00:00"/>
    <x v="551"/>
    <x v="0"/>
    <d v="2019-08-18T00:00:00"/>
    <x v="0"/>
    <x v="0"/>
    <n v="1"/>
    <n v="1"/>
  </r>
  <r>
    <d v="2019-08-08T00:00:00"/>
    <n v="12494"/>
    <s v="WHBH"/>
    <s v="Belo Horizonte"/>
    <s v="MG"/>
    <n v="4148"/>
    <x v="136"/>
    <s v="Sao Paulo"/>
    <s v="SP"/>
    <x v="2"/>
    <s v="SP"/>
    <n v="842.03"/>
    <n v="1"/>
    <n v="5.7759999999999998"/>
    <n v="6400835"/>
    <x v="3"/>
    <s v="Guarulhos"/>
    <s v="Convencional"/>
    <n v="5"/>
    <d v="2019-08-08T00:00:00"/>
    <x v="555"/>
    <x v="0"/>
    <d v="2019-08-13T00:00:00"/>
    <x v="0"/>
    <x v="0"/>
    <n v="1"/>
    <n v="1"/>
  </r>
  <r>
    <d v="2019-08-08T00:00:00"/>
    <n v="12495"/>
    <s v="WHBH"/>
    <s v="Belo Horizonte"/>
    <s v="MG"/>
    <n v="4157"/>
    <x v="145"/>
    <s v="Belo Horizonte"/>
    <s v="MG"/>
    <x v="2"/>
    <s v="MG"/>
    <n v="3080.34"/>
    <n v="5"/>
    <n v="26.23"/>
    <n v="6600879"/>
    <x v="2"/>
    <s v="Belo Horizonte"/>
    <s v="Convencional"/>
    <n v="3"/>
    <d v="2019-08-08T00:00:00"/>
    <x v="557"/>
    <x v="0"/>
    <d v="2019-08-11T00:00:00"/>
    <x v="1"/>
    <x v="0"/>
    <n v="0"/>
    <n v="1"/>
  </r>
  <r>
    <d v="2019-08-08T00:00:00"/>
    <n v="12496"/>
    <s v="WHBH"/>
    <s v="Belo Horizonte"/>
    <s v="MG"/>
    <n v="4147"/>
    <x v="135"/>
    <s v="Belo Horizonte"/>
    <s v="MG"/>
    <x v="2"/>
    <s v="MG"/>
    <n v="2953.61"/>
    <n v="3"/>
    <n v="14.85"/>
    <n v="6600879"/>
    <x v="2"/>
    <s v="Belo Horizonte"/>
    <s v="Convencional"/>
    <n v="8"/>
    <d v="2019-08-08T00:00:00"/>
    <x v="551"/>
    <x v="0"/>
    <d v="2019-08-16T00:00:00"/>
    <x v="0"/>
    <x v="0"/>
    <n v="1"/>
    <n v="1"/>
  </r>
  <r>
    <d v="2019-08-08T00:00:00"/>
    <n v="12497"/>
    <s v="WHVIT"/>
    <s v="Vitoria"/>
    <s v="ES"/>
    <n v="4155"/>
    <x v="143"/>
    <s v="Sao Paulo"/>
    <s v="SP"/>
    <x v="2"/>
    <s v="SP"/>
    <n v="2560.0700000000002"/>
    <n v="2"/>
    <n v="6.82"/>
    <n v="6400835"/>
    <x v="3"/>
    <s v="Guarulhos"/>
    <s v="Convencional"/>
    <n v="7"/>
    <d v="2019-08-08T00:00:00"/>
    <x v="556"/>
    <x v="0"/>
    <d v="2019-08-15T00:00:00"/>
    <x v="0"/>
    <x v="0"/>
    <n v="1"/>
    <n v="1"/>
  </r>
  <r>
    <d v="2019-08-08T00:00:00"/>
    <n v="12498"/>
    <s v="WHPOA"/>
    <s v="Porto Alegre"/>
    <s v="RS"/>
    <n v="4173"/>
    <x v="161"/>
    <s v="Belo Horizonte"/>
    <s v="MG"/>
    <x v="2"/>
    <s v="MG"/>
    <n v="1926.35"/>
    <n v="3"/>
    <n v="12.32"/>
    <n v="6600879"/>
    <x v="2"/>
    <s v="Belo Horizonte"/>
    <s v="Convencional"/>
    <n v="4"/>
    <d v="2019-08-08T00:00:00"/>
    <x v="549"/>
    <x v="0"/>
    <d v="2019-08-12T00:00:00"/>
    <x v="0"/>
    <x v="0"/>
    <n v="1"/>
    <n v="1"/>
  </r>
  <r>
    <d v="2019-08-08T00:00:00"/>
    <n v="12499"/>
    <s v="WHSAO"/>
    <s v="Sao Paulo"/>
    <s v="SP"/>
    <n v="4218"/>
    <x v="206"/>
    <s v="Santos"/>
    <s v="SP"/>
    <x v="2"/>
    <s v="SP"/>
    <n v="639.87"/>
    <n v="1"/>
    <n v="4.18"/>
    <n v="6400835"/>
    <x v="3"/>
    <s v="Guarulhos"/>
    <s v="Convencional"/>
    <n v="4"/>
    <d v="2019-08-08T00:00:00"/>
    <x v="557"/>
    <x v="0"/>
    <d v="2019-08-12T00:00:00"/>
    <x v="1"/>
    <x v="0"/>
    <n v="0"/>
    <n v="1"/>
  </r>
  <r>
    <d v="2019-08-08T00:00:00"/>
    <n v="12500"/>
    <s v="WHBH"/>
    <s v="Belo Horizonte"/>
    <s v="MG"/>
    <n v="4032"/>
    <x v="34"/>
    <s v="Goiania"/>
    <s v="GO"/>
    <x v="1"/>
    <s v="GO"/>
    <n v="342.43"/>
    <n v="1"/>
    <n v="0.68200000000000005"/>
    <n v="6100231"/>
    <x v="1"/>
    <s v="Goiania"/>
    <s v="Convencional"/>
    <n v="8"/>
    <d v="2019-08-08T00:00:00"/>
    <x v="557"/>
    <x v="0"/>
    <d v="2019-08-16T00:00:00"/>
    <x v="1"/>
    <x v="0"/>
    <n v="0"/>
    <n v="1"/>
  </r>
  <r>
    <d v="2019-08-09T00:00:00"/>
    <n v="12501"/>
    <s v="WHRJ"/>
    <s v="Rio De Janeiro"/>
    <s v="RJ"/>
    <n v="4133"/>
    <x v="121"/>
    <s v="Belo Horizonte"/>
    <s v="MG"/>
    <x v="2"/>
    <s v="MG"/>
    <n v="1930.3"/>
    <n v="3"/>
    <n v="14.62"/>
    <n v="6600879"/>
    <x v="2"/>
    <s v="Belo Horizonte"/>
    <s v="Convencional"/>
    <n v="8"/>
    <d v="2019-08-09T00:00:00"/>
    <x v="554"/>
    <x v="0"/>
    <d v="2019-08-17T00:00:00"/>
    <x v="0"/>
    <x v="0"/>
    <n v="1"/>
    <n v="1"/>
  </r>
  <r>
    <d v="2019-08-09T00:00:00"/>
    <n v="12502"/>
    <s v="WHSJC"/>
    <s v="Sao Jose dos Campos"/>
    <s v="SP"/>
    <n v="4205"/>
    <x v="193"/>
    <s v="Belo Horizonte"/>
    <s v="MG"/>
    <x v="2"/>
    <s v="MG"/>
    <n v="2374.39"/>
    <n v="2"/>
    <n v="23.675999999999998"/>
    <n v="6600879"/>
    <x v="2"/>
    <s v="Belo Horizonte"/>
    <s v="Convencional"/>
    <n v="3"/>
    <d v="2019-08-09T00:00:00"/>
    <x v="558"/>
    <x v="0"/>
    <d v="2019-08-12T00:00:00"/>
    <x v="1"/>
    <x v="0"/>
    <n v="0"/>
    <n v="1"/>
  </r>
  <r>
    <d v="2019-08-10T00:00:00"/>
    <n v="12503"/>
    <s v="WHSAO"/>
    <s v="Sao Paulo"/>
    <s v="SP"/>
    <n v="4145"/>
    <x v="133"/>
    <s v="Rio Grande do Sul"/>
    <s v="RS"/>
    <x v="0"/>
    <s v="RS"/>
    <n v="1188.07"/>
    <n v="3"/>
    <n v="9.3179999999999996"/>
    <n v="6500948"/>
    <x v="0"/>
    <s v="Porto Alegre"/>
    <s v="Convencional"/>
    <n v="4"/>
    <d v="2019-08-10T00:00:00"/>
    <x v="555"/>
    <x v="0"/>
    <d v="2019-08-14T00:00:00"/>
    <x v="0"/>
    <x v="0"/>
    <n v="1"/>
    <n v="1"/>
  </r>
  <r>
    <d v="2019-08-10T00:00:00"/>
    <n v="12504"/>
    <s v="WHBH"/>
    <s v="Belo Horizonte"/>
    <s v="MG"/>
    <n v="4191"/>
    <x v="179"/>
    <s v="Manaus"/>
    <s v="AM"/>
    <x v="4"/>
    <s v="AM"/>
    <n v="327.44"/>
    <n v="1"/>
    <n v="0.68200000000000005"/>
    <n v="6700091"/>
    <x v="6"/>
    <s v="Manaus"/>
    <s v="Convencional"/>
    <n v="10"/>
    <d v="2019-08-10T00:00:00"/>
    <x v="553"/>
    <x v="0"/>
    <d v="2019-08-20T00:00:00"/>
    <x v="0"/>
    <x v="0"/>
    <n v="1"/>
    <n v="1"/>
  </r>
  <r>
    <d v="2019-08-10T00:00:00"/>
    <n v="12505"/>
    <s v="WHCPQ"/>
    <s v="Campinas"/>
    <s v="SP"/>
    <n v="4128"/>
    <x v="116"/>
    <s v="Recife"/>
    <s v="PE"/>
    <x v="3"/>
    <s v="PE"/>
    <n v="82.62"/>
    <n v="1"/>
    <n v="1.87"/>
    <n v="6900304"/>
    <x v="5"/>
    <s v="Fortaleza"/>
    <s v="Convencional"/>
    <n v="4"/>
    <d v="2019-08-10T00:00:00"/>
    <x v="556"/>
    <x v="0"/>
    <d v="2019-08-14T00:00:00"/>
    <x v="1"/>
    <x v="0"/>
    <n v="0"/>
    <n v="1"/>
  </r>
  <r>
    <d v="2019-08-10T00:00:00"/>
    <n v="12506"/>
    <s v="WHSAO"/>
    <s v="Sao Paulo"/>
    <s v="SP"/>
    <n v="4013"/>
    <x v="1"/>
    <s v="Blumenau"/>
    <s v="SC"/>
    <x v="0"/>
    <s v="SC"/>
    <n v="1607.92"/>
    <n v="2"/>
    <n v="7.8490000000000002"/>
    <n v="6500948"/>
    <x v="0"/>
    <s v="Porto Alegre"/>
    <s v="Convencional"/>
    <n v="12"/>
    <d v="2019-08-10T00:00:00"/>
    <x v="553"/>
    <x v="2"/>
    <d v="2019-08-22T00:00:00"/>
    <x v="0"/>
    <x v="1"/>
    <n v="0"/>
    <n v="1"/>
  </r>
  <r>
    <d v="2019-08-10T00:00:00"/>
    <n v="12507"/>
    <s v="WHPOA"/>
    <s v="Porto Alegre"/>
    <s v="RS"/>
    <n v="4126"/>
    <x v="114"/>
    <s v="Belo Horizonte"/>
    <s v="MG"/>
    <x v="2"/>
    <s v="MG"/>
    <n v="1193.49"/>
    <n v="1"/>
    <n v="11.837999999999999"/>
    <n v="6600879"/>
    <x v="2"/>
    <s v="Belo Horizonte"/>
    <s v="Convencional"/>
    <n v="5"/>
    <d v="2019-08-10T00:00:00"/>
    <x v="553"/>
    <x v="0"/>
    <d v="2019-08-15T00:00:00"/>
    <x v="0"/>
    <x v="0"/>
    <n v="1"/>
    <n v="1"/>
  </r>
  <r>
    <d v="2019-08-10T00:00:00"/>
    <n v="12508"/>
    <s v="WHSJC"/>
    <s v="Sao Jose dos Campos"/>
    <s v="SP"/>
    <n v="4126"/>
    <x v="114"/>
    <s v="Belo Horizonte"/>
    <s v="MG"/>
    <x v="2"/>
    <s v="MG"/>
    <n v="2996.84"/>
    <n v="5"/>
    <n v="27.353999999999999"/>
    <n v="6600879"/>
    <x v="2"/>
    <s v="Belo Horizonte"/>
    <s v="Convencional"/>
    <n v="12"/>
    <d v="2019-08-10T00:00:00"/>
    <x v="555"/>
    <x v="0"/>
    <d v="2019-08-22T00:00:00"/>
    <x v="0"/>
    <x v="0"/>
    <n v="1"/>
    <n v="1"/>
  </r>
  <r>
    <d v="2019-08-10T00:00:00"/>
    <n v="12509"/>
    <s v="WHBH"/>
    <s v="Belo Horizonte"/>
    <s v="MG"/>
    <n v="4126"/>
    <x v="114"/>
    <s v="Belo Horizonte"/>
    <s v="MG"/>
    <x v="2"/>
    <s v="MG"/>
    <n v="1193.49"/>
    <n v="1"/>
    <n v="11.837999999999999"/>
    <n v="6600879"/>
    <x v="2"/>
    <s v="Belo Horizonte"/>
    <s v="Convencional"/>
    <n v="3"/>
    <d v="2019-08-10T00:00:00"/>
    <x v="555"/>
    <x v="0"/>
    <d v="2019-08-13T00:00:00"/>
    <x v="0"/>
    <x v="0"/>
    <n v="1"/>
    <n v="1"/>
  </r>
  <r>
    <d v="2019-08-10T00:00:00"/>
    <n v="12510"/>
    <s v="WHPOA"/>
    <s v="Porto Alegre"/>
    <s v="RS"/>
    <n v="4126"/>
    <x v="114"/>
    <s v="Belo Horizonte"/>
    <s v="MG"/>
    <x v="2"/>
    <s v="MG"/>
    <n v="1987.24"/>
    <n v="3"/>
    <n v="13.916"/>
    <n v="6600879"/>
    <x v="2"/>
    <s v="Belo Horizonte"/>
    <s v="Convencional"/>
    <n v="1"/>
    <d v="2019-08-10T00:00:00"/>
    <x v="555"/>
    <x v="0"/>
    <d v="2019-08-11T00:00:00"/>
    <x v="0"/>
    <x v="0"/>
    <n v="1"/>
    <n v="1"/>
  </r>
  <r>
    <d v="2019-08-11T00:00:00"/>
    <n v="12511"/>
    <s v="WHCPQ"/>
    <s v="Campinas"/>
    <s v="SP"/>
    <n v="4119"/>
    <x v="107"/>
    <s v="Recife"/>
    <s v="PE"/>
    <x v="3"/>
    <s v="PE"/>
    <n v="747.08"/>
    <n v="2"/>
    <n v="0.72899999999999998"/>
    <n v="6900304"/>
    <x v="5"/>
    <s v="Fortaleza"/>
    <s v="Convencional"/>
    <n v="6"/>
    <d v="2019-08-11T00:00:00"/>
    <x v="553"/>
    <x v="0"/>
    <d v="2019-08-17T00:00:00"/>
    <x v="0"/>
    <x v="0"/>
    <n v="1"/>
    <n v="1"/>
  </r>
  <r>
    <d v="2019-08-11T00:00:00"/>
    <n v="12512"/>
    <s v="WHVIT"/>
    <s v="Vitoria"/>
    <s v="ES"/>
    <n v="4119"/>
    <x v="107"/>
    <s v="Recife"/>
    <s v="PE"/>
    <x v="3"/>
    <s v="PE"/>
    <n v="2766.42"/>
    <n v="11"/>
    <n v="6.6769999999999996"/>
    <n v="6900304"/>
    <x v="5"/>
    <s v="Fortaleza"/>
    <s v="Convencional"/>
    <n v="12"/>
    <d v="2019-08-11T00:00:00"/>
    <x v="551"/>
    <x v="0"/>
    <d v="2019-08-23T00:00:00"/>
    <x v="0"/>
    <x v="0"/>
    <n v="1"/>
    <n v="1"/>
  </r>
  <r>
    <d v="2019-08-11T00:00:00"/>
    <n v="12513"/>
    <s v="WHSAO"/>
    <s v="Sao Paulo"/>
    <s v="SP"/>
    <n v="4119"/>
    <x v="107"/>
    <s v="Recife"/>
    <s v="PE"/>
    <x v="3"/>
    <s v="PE"/>
    <n v="1652.77"/>
    <n v="4"/>
    <n v="42.817999999999998"/>
    <n v="6900304"/>
    <x v="5"/>
    <s v="Fortaleza"/>
    <s v="Convencional"/>
    <n v="5"/>
    <d v="2019-08-11T00:00:00"/>
    <x v="557"/>
    <x v="2"/>
    <d v="2019-08-16T00:00:00"/>
    <x v="1"/>
    <x v="1"/>
    <n v="0"/>
    <n v="1"/>
  </r>
  <r>
    <d v="2019-08-11T00:00:00"/>
    <n v="12514"/>
    <s v="WHVIT"/>
    <s v="Vitoria"/>
    <s v="ES"/>
    <n v="4119"/>
    <x v="107"/>
    <s v="Recife"/>
    <s v="PE"/>
    <x v="3"/>
    <s v="PE"/>
    <n v="1962.91"/>
    <n v="1"/>
    <n v="3.718"/>
    <n v="6900304"/>
    <x v="5"/>
    <s v="Fortaleza"/>
    <s v="Convencional"/>
    <n v="6"/>
    <d v="2019-08-11T00:00:00"/>
    <x v="559"/>
    <x v="0"/>
    <d v="2019-08-17T00:00:00"/>
    <x v="1"/>
    <x v="0"/>
    <n v="0"/>
    <n v="1"/>
  </r>
  <r>
    <d v="2019-08-11T00:00:00"/>
    <n v="12515"/>
    <s v="WHCPQ"/>
    <s v="Campinas"/>
    <s v="SP"/>
    <n v="4119"/>
    <x v="107"/>
    <s v="Recife"/>
    <s v="PE"/>
    <x v="3"/>
    <s v="PE"/>
    <n v="1089.1600000000001"/>
    <n v="2"/>
    <n v="3.52"/>
    <n v="6900304"/>
    <x v="5"/>
    <s v="Fortaleza"/>
    <s v="Convencional"/>
    <n v="7"/>
    <d v="2019-08-11T00:00:00"/>
    <x v="552"/>
    <x v="0"/>
    <d v="2019-08-18T00:00:00"/>
    <x v="0"/>
    <x v="0"/>
    <n v="1"/>
    <n v="1"/>
  </r>
  <r>
    <d v="2019-08-13T00:00:00"/>
    <n v="12516"/>
    <s v="WHSJC"/>
    <s v="Sao Jose dos Campos"/>
    <s v="SP"/>
    <n v="4068"/>
    <x v="4"/>
    <s v="Campo Grande"/>
    <s v="MS"/>
    <x v="1"/>
    <s v="MS"/>
    <n v="306.11"/>
    <n v="1"/>
    <n v="1.21"/>
    <n v="6100231"/>
    <x v="1"/>
    <s v="Goiania"/>
    <s v="Convencional"/>
    <n v="5"/>
    <d v="2019-08-13T00:00:00"/>
    <x v="558"/>
    <x v="0"/>
    <d v="2019-08-18T00:00:00"/>
    <x v="0"/>
    <x v="0"/>
    <n v="1"/>
    <n v="1"/>
  </r>
  <r>
    <d v="2019-08-14T00:00:00"/>
    <n v="12517"/>
    <s v="WHSAO"/>
    <s v="Sao Paulo"/>
    <s v="SP"/>
    <n v="4153"/>
    <x v="141"/>
    <s v="Rio De Janeiro"/>
    <s v="RJ"/>
    <x v="2"/>
    <s v="RJ"/>
    <n v="3730.34"/>
    <n v="10"/>
    <n v="9.4689999999999994"/>
    <n v="6140092"/>
    <x v="4"/>
    <s v="Rio de Janeiro"/>
    <s v="Convencional"/>
    <n v="10"/>
    <d v="2019-08-14T00:00:00"/>
    <x v="554"/>
    <x v="0"/>
    <d v="2019-08-24T00:00:00"/>
    <x v="0"/>
    <x v="0"/>
    <n v="1"/>
    <n v="1"/>
  </r>
  <r>
    <d v="2019-08-14T00:00:00"/>
    <n v="12518"/>
    <s v="WHVIT"/>
    <s v="Vitoria"/>
    <s v="ES"/>
    <n v="4153"/>
    <x v="141"/>
    <s v="Rio De Janeiro"/>
    <s v="RJ"/>
    <x v="2"/>
    <s v="RJ"/>
    <n v="1857.17"/>
    <n v="5"/>
    <n v="41.261000000000003"/>
    <n v="6140092"/>
    <x v="4"/>
    <s v="Rio de Janeiro"/>
    <s v="Convencional"/>
    <n v="3"/>
    <d v="2019-08-14T00:00:00"/>
    <x v="556"/>
    <x v="1"/>
    <d v="2019-08-17T00:00:00"/>
    <x v="0"/>
    <x v="1"/>
    <n v="0"/>
    <n v="1"/>
  </r>
  <r>
    <d v="2019-08-14T00:00:00"/>
    <n v="12519"/>
    <s v="WHSJC"/>
    <s v="Sao Jose dos Campos"/>
    <s v="SP"/>
    <n v="4033"/>
    <x v="35"/>
    <s v="Goiania"/>
    <s v="GO"/>
    <x v="1"/>
    <s v="GO"/>
    <n v="547.20000000000005"/>
    <n v="1"/>
    <n v="1.76"/>
    <n v="6100231"/>
    <x v="1"/>
    <s v="Goiania"/>
    <s v="Convencional"/>
    <n v="3"/>
    <d v="2019-08-14T00:00:00"/>
    <x v="560"/>
    <x v="0"/>
    <d v="2019-08-17T00:00:00"/>
    <x v="1"/>
    <x v="0"/>
    <n v="0"/>
    <n v="1"/>
  </r>
  <r>
    <d v="2019-08-14T00:00:00"/>
    <n v="12520"/>
    <s v="WHSJC"/>
    <s v="Sao Jose dos Campos"/>
    <s v="SP"/>
    <n v="4172"/>
    <x v="160"/>
    <s v="Santos"/>
    <s v="SP"/>
    <x v="2"/>
    <s v="SP"/>
    <n v="4976.1400000000003"/>
    <n v="6"/>
    <n v="130.07499999999999"/>
    <n v="6400835"/>
    <x v="3"/>
    <s v="Guarulhos"/>
    <s v="Convencional"/>
    <n v="3"/>
    <d v="2019-08-14T00:00:00"/>
    <x v="561"/>
    <x v="0"/>
    <d v="2019-08-17T00:00:00"/>
    <x v="1"/>
    <x v="0"/>
    <n v="0"/>
    <n v="1"/>
  </r>
  <r>
    <d v="2019-08-14T00:00:00"/>
    <n v="12521"/>
    <s v="WHSJC"/>
    <s v="Sao Jose dos Campos"/>
    <s v="SP"/>
    <n v="4023"/>
    <x v="20"/>
    <s v="Sao Jose"/>
    <s v="SC"/>
    <x v="0"/>
    <s v="SC"/>
    <n v="579.89"/>
    <n v="1"/>
    <n v="1.65"/>
    <n v="6500948"/>
    <x v="0"/>
    <s v="Porto Alegre"/>
    <s v="Convencional"/>
    <n v="3"/>
    <d v="2019-08-14T00:00:00"/>
    <x v="562"/>
    <x v="0"/>
    <d v="2019-08-17T00:00:00"/>
    <x v="1"/>
    <x v="0"/>
    <n v="0"/>
    <n v="1"/>
  </r>
  <r>
    <d v="2019-08-14T00:00:00"/>
    <n v="12522"/>
    <s v="WHVIT"/>
    <s v="Vitoria"/>
    <s v="ES"/>
    <n v="4068"/>
    <x v="4"/>
    <s v="Campo Grande"/>
    <s v="MS"/>
    <x v="1"/>
    <s v="MS"/>
    <n v="642.48"/>
    <n v="1"/>
    <n v="22"/>
    <n v="6100231"/>
    <x v="1"/>
    <s v="Goiania"/>
    <s v="Convencional"/>
    <n v="6"/>
    <d v="2019-08-14T00:00:00"/>
    <x v="554"/>
    <x v="0"/>
    <d v="2019-08-20T00:00:00"/>
    <x v="0"/>
    <x v="0"/>
    <n v="1"/>
    <n v="1"/>
  </r>
  <r>
    <d v="2019-08-15T00:00:00"/>
    <n v="12523"/>
    <s v="WHVIT"/>
    <s v="Vitoria"/>
    <s v="ES"/>
    <n v="4153"/>
    <x v="141"/>
    <s v="Rio De Janeiro"/>
    <s v="RJ"/>
    <x v="2"/>
    <s v="RJ"/>
    <n v="1594"/>
    <n v="1"/>
    <n v="11"/>
    <n v="6140092"/>
    <x v="4"/>
    <s v="Rio de Janeiro"/>
    <s v="Convencional"/>
    <n v="4"/>
    <d v="2019-08-15T00:00:00"/>
    <x v="561"/>
    <x v="1"/>
    <d v="2019-08-19T00:00:00"/>
    <x v="1"/>
    <x v="1"/>
    <n v="0"/>
    <n v="1"/>
  </r>
  <r>
    <d v="2019-08-15T00:00:00"/>
    <n v="12524"/>
    <s v="WHSJC"/>
    <s v="Sao Jose dos Campos"/>
    <s v="SP"/>
    <n v="4153"/>
    <x v="141"/>
    <s v="Rio De Janeiro"/>
    <s v="RJ"/>
    <x v="2"/>
    <s v="RJ"/>
    <n v="193.46"/>
    <n v="1"/>
    <n v="0.253"/>
    <n v="6140092"/>
    <x v="4"/>
    <s v="Rio de Janeiro"/>
    <s v="Convencional"/>
    <n v="9"/>
    <d v="2019-08-15T00:00:00"/>
    <x v="563"/>
    <x v="0"/>
    <d v="2019-08-24T00:00:00"/>
    <x v="1"/>
    <x v="0"/>
    <n v="0"/>
    <n v="1"/>
  </r>
  <r>
    <d v="2019-08-15T00:00:00"/>
    <n v="12525"/>
    <s v="WHSAO"/>
    <s v="Sao Paulo"/>
    <s v="SP"/>
    <n v="4219"/>
    <x v="207"/>
    <s v="Belo Horizonte"/>
    <s v="MG"/>
    <x v="2"/>
    <s v="MG"/>
    <n v="1547.57"/>
    <n v="1"/>
    <n v="13.2"/>
    <n v="6600879"/>
    <x v="2"/>
    <s v="Belo Horizonte"/>
    <s v="Convencional"/>
    <n v="4"/>
    <d v="2019-08-15T00:00:00"/>
    <x v="558"/>
    <x v="0"/>
    <d v="2019-08-19T00:00:00"/>
    <x v="0"/>
    <x v="0"/>
    <n v="1"/>
    <n v="1"/>
  </r>
  <r>
    <d v="2019-08-15T00:00:00"/>
    <n v="12526"/>
    <s v="WHSAO"/>
    <s v="Sao Paulo"/>
    <s v="SP"/>
    <n v="4220"/>
    <x v="208"/>
    <s v="Belo Horizonte"/>
    <s v="MG"/>
    <x v="2"/>
    <s v="MG"/>
    <n v="377.4"/>
    <n v="2"/>
    <n v="4.2990000000000004"/>
    <n v="6600879"/>
    <x v="2"/>
    <s v="Belo Horizonte"/>
    <s v="Convencional"/>
    <n v="8"/>
    <d v="2019-08-15T00:00:00"/>
    <x v="564"/>
    <x v="0"/>
    <d v="2019-08-23T00:00:00"/>
    <x v="0"/>
    <x v="0"/>
    <n v="1"/>
    <n v="1"/>
  </r>
  <r>
    <d v="2019-08-15T00:00:00"/>
    <n v="12527"/>
    <s v="WHCPQ"/>
    <s v="Campinas"/>
    <s v="SP"/>
    <n v="4221"/>
    <x v="209"/>
    <s v="Recife"/>
    <s v="PE"/>
    <x v="3"/>
    <s v="PE"/>
    <n v="1204.1400000000001"/>
    <n v="1"/>
    <n v="1.1200000000000001"/>
    <n v="6900304"/>
    <x v="5"/>
    <s v="Fortaleza"/>
    <s v="Convencional"/>
    <n v="4"/>
    <d v="2019-08-15T00:00:00"/>
    <x v="557"/>
    <x v="0"/>
    <d v="2019-08-19T00:00:00"/>
    <x v="0"/>
    <x v="0"/>
    <n v="1"/>
    <n v="1"/>
  </r>
  <r>
    <d v="2019-08-15T00:00:00"/>
    <n v="12528"/>
    <s v="WHPOA"/>
    <s v="Porto Alegre"/>
    <s v="RS"/>
    <n v="4221"/>
    <x v="209"/>
    <s v="Recife"/>
    <s v="PE"/>
    <x v="3"/>
    <s v="PE"/>
    <n v="281"/>
    <n v="1"/>
    <n v="1.1879999999999999"/>
    <n v="6900304"/>
    <x v="5"/>
    <s v="Fortaleza"/>
    <s v="Convencional"/>
    <n v="10"/>
    <d v="2019-08-15T00:00:00"/>
    <x v="563"/>
    <x v="0"/>
    <d v="2019-08-25T00:00:00"/>
    <x v="0"/>
    <x v="0"/>
    <n v="1"/>
    <n v="1"/>
  </r>
  <r>
    <d v="2019-08-15T00:00:00"/>
    <n v="12529"/>
    <s v="WHVIT"/>
    <s v="Vitoria"/>
    <s v="ES"/>
    <n v="4222"/>
    <x v="210"/>
    <s v="Manaus"/>
    <s v="AM"/>
    <x v="4"/>
    <s v="AM"/>
    <n v="2904.46"/>
    <n v="3"/>
    <n v="12.878"/>
    <n v="6700091"/>
    <x v="6"/>
    <s v="Manaus"/>
    <s v="Convencional"/>
    <n v="9"/>
    <d v="2019-08-15T00:00:00"/>
    <x v="565"/>
    <x v="0"/>
    <d v="2019-08-24T00:00:00"/>
    <x v="0"/>
    <x v="0"/>
    <n v="1"/>
    <n v="1"/>
  </r>
  <r>
    <d v="2019-08-15T00:00:00"/>
    <n v="12530"/>
    <s v="WHSAO"/>
    <s v="Sao Paulo"/>
    <s v="SP"/>
    <n v="4223"/>
    <x v="211"/>
    <s v="Sao Paulo"/>
    <s v="SP"/>
    <x v="2"/>
    <s v="SP"/>
    <n v="778.65"/>
    <n v="1"/>
    <n v="1.2270000000000001"/>
    <n v="6400835"/>
    <x v="3"/>
    <s v="Guarulhos"/>
    <s v="Convencional"/>
    <n v="5"/>
    <d v="2019-08-15T00:00:00"/>
    <x v="563"/>
    <x v="0"/>
    <d v="2019-08-20T00:00:00"/>
    <x v="1"/>
    <x v="0"/>
    <n v="0"/>
    <n v="1"/>
  </r>
  <r>
    <d v="2019-08-15T00:00:00"/>
    <n v="12531"/>
    <s v="WHCPQ"/>
    <s v="Campinas"/>
    <s v="SP"/>
    <n v="4223"/>
    <x v="211"/>
    <s v="Sao Paulo"/>
    <s v="SP"/>
    <x v="2"/>
    <s v="SP"/>
    <n v="1521.99"/>
    <n v="1"/>
    <n v="1.899"/>
    <n v="6400835"/>
    <x v="3"/>
    <s v="Guarulhos"/>
    <s v="Convencional"/>
    <n v="5"/>
    <d v="2019-08-15T00:00:00"/>
    <x v="561"/>
    <x v="0"/>
    <d v="2019-08-20T00:00:00"/>
    <x v="0"/>
    <x v="0"/>
    <n v="1"/>
    <n v="1"/>
  </r>
  <r>
    <d v="2019-08-15T00:00:00"/>
    <n v="12532"/>
    <s v="WHBH"/>
    <s v="Belo Horizonte"/>
    <s v="MG"/>
    <n v="4224"/>
    <x v="212"/>
    <s v="Santos"/>
    <s v="SP"/>
    <x v="2"/>
    <s v="SP"/>
    <n v="280.89"/>
    <n v="1"/>
    <n v="1.1879999999999999"/>
    <n v="6400835"/>
    <x v="3"/>
    <s v="Guarulhos"/>
    <s v="Convencional"/>
    <n v="6"/>
    <d v="2019-08-15T00:00:00"/>
    <x v="554"/>
    <x v="0"/>
    <d v="2019-08-21T00:00:00"/>
    <x v="0"/>
    <x v="0"/>
    <n v="1"/>
    <n v="1"/>
  </r>
  <r>
    <d v="2019-08-15T00:00:00"/>
    <n v="12533"/>
    <s v="WHSJC"/>
    <s v="Sao Jose dos Campos"/>
    <s v="SP"/>
    <n v="4225"/>
    <x v="213"/>
    <s v="Sao Paulo"/>
    <s v="SP"/>
    <x v="2"/>
    <s v="SP"/>
    <n v="2877.38"/>
    <n v="7"/>
    <n v="11.021000000000001"/>
    <n v="6400835"/>
    <x v="3"/>
    <s v="Guarulhos"/>
    <s v="Convencional"/>
    <n v="6"/>
    <d v="2019-08-15T00:00:00"/>
    <x v="557"/>
    <x v="0"/>
    <d v="2019-08-21T00:00:00"/>
    <x v="0"/>
    <x v="0"/>
    <n v="1"/>
    <n v="1"/>
  </r>
  <r>
    <d v="2019-08-15T00:00:00"/>
    <n v="12534"/>
    <s v="WHSJC"/>
    <s v="Sao Jose dos Campos"/>
    <s v="SP"/>
    <n v="4226"/>
    <x v="214"/>
    <s v="Belo Horizonte"/>
    <s v="MG"/>
    <x v="2"/>
    <s v="MG"/>
    <n v="1162.3"/>
    <n v="1"/>
    <n v="6.7759999999999998"/>
    <n v="6600879"/>
    <x v="2"/>
    <s v="Belo Horizonte"/>
    <s v="Convencional"/>
    <n v="9"/>
    <d v="2019-08-15T00:00:00"/>
    <x v="560"/>
    <x v="0"/>
    <d v="2019-08-24T00:00:00"/>
    <x v="0"/>
    <x v="0"/>
    <n v="1"/>
    <n v="1"/>
  </r>
  <r>
    <d v="2019-08-15T00:00:00"/>
    <n v="12535"/>
    <s v="WHBH"/>
    <s v="Belo Horizonte"/>
    <s v="MG"/>
    <n v="4227"/>
    <x v="215"/>
    <s v="Rio De Janeiro"/>
    <s v="RJ"/>
    <x v="2"/>
    <s v="RJ"/>
    <n v="1164.99"/>
    <n v="1"/>
    <n v="11.837999999999999"/>
    <n v="6140092"/>
    <x v="4"/>
    <s v="Rio de Janeiro"/>
    <s v="Convencional"/>
    <n v="9"/>
    <d v="2019-08-15T00:00:00"/>
    <x v="554"/>
    <x v="0"/>
    <d v="2019-08-24T00:00:00"/>
    <x v="0"/>
    <x v="0"/>
    <n v="1"/>
    <n v="1"/>
  </r>
  <r>
    <d v="2019-08-15T00:00:00"/>
    <n v="12536"/>
    <s v="WHSAO"/>
    <s v="Sao Paulo"/>
    <s v="SP"/>
    <n v="4018"/>
    <x v="12"/>
    <s v="Sao Jose"/>
    <s v="SC"/>
    <x v="0"/>
    <s v="SC"/>
    <n v="4950.72"/>
    <n v="8"/>
    <n v="22.077000000000002"/>
    <n v="6500948"/>
    <x v="0"/>
    <s v="Porto Alegre"/>
    <s v="Convencional"/>
    <n v="5"/>
    <d v="2019-08-15T00:00:00"/>
    <x v="558"/>
    <x v="0"/>
    <d v="2019-08-20T00:00:00"/>
    <x v="0"/>
    <x v="0"/>
    <n v="1"/>
    <n v="1"/>
  </r>
  <r>
    <d v="2019-08-15T00:00:00"/>
    <n v="12537"/>
    <s v="WHPOA"/>
    <s v="Porto Alegre"/>
    <s v="RS"/>
    <n v="4014"/>
    <x v="3"/>
    <s v="Ipatinga"/>
    <s v="MG"/>
    <x v="2"/>
    <s v="MG"/>
    <n v="1069.8800000000001"/>
    <n v="1"/>
    <n v="1.9970000000000001"/>
    <n v="6600879"/>
    <x v="2"/>
    <s v="Belo Horizonte"/>
    <s v="Convencional"/>
    <n v="8"/>
    <d v="2019-08-15T00:00:00"/>
    <x v="561"/>
    <x v="0"/>
    <d v="2019-08-23T00:00:00"/>
    <x v="0"/>
    <x v="0"/>
    <n v="1"/>
    <n v="1"/>
  </r>
  <r>
    <d v="2019-08-15T00:00:00"/>
    <n v="12538"/>
    <s v="WHBH"/>
    <s v="Belo Horizonte"/>
    <s v="MG"/>
    <n v="4014"/>
    <x v="3"/>
    <s v="Ipatinga"/>
    <s v="MG"/>
    <x v="2"/>
    <s v="MG"/>
    <n v="3454.49"/>
    <n v="3"/>
    <n v="9.9969999999999999"/>
    <n v="6600879"/>
    <x v="2"/>
    <s v="Belo Horizonte"/>
    <s v="Convencional"/>
    <n v="5"/>
    <d v="2019-08-15T00:00:00"/>
    <x v="564"/>
    <x v="0"/>
    <d v="2019-08-20T00:00:00"/>
    <x v="1"/>
    <x v="0"/>
    <n v="0"/>
    <n v="1"/>
  </r>
  <r>
    <d v="2019-08-15T00:00:00"/>
    <n v="12539"/>
    <s v="WHPOA"/>
    <s v="Porto Alegre"/>
    <s v="RS"/>
    <n v="4014"/>
    <x v="3"/>
    <s v="Ipatinga"/>
    <s v="MG"/>
    <x v="2"/>
    <s v="MG"/>
    <n v="107.3"/>
    <n v="1"/>
    <n v="0.121"/>
    <n v="6600879"/>
    <x v="2"/>
    <s v="Belo Horizonte"/>
    <s v="Convencional"/>
    <n v="8"/>
    <d v="2019-08-15T00:00:00"/>
    <x v="557"/>
    <x v="0"/>
    <d v="2019-08-23T00:00:00"/>
    <x v="0"/>
    <x v="0"/>
    <n v="1"/>
    <n v="1"/>
  </r>
  <r>
    <d v="2019-08-15T00:00:00"/>
    <n v="12540"/>
    <s v="WHCPQ"/>
    <s v="Campinas"/>
    <s v="SP"/>
    <n v="4014"/>
    <x v="3"/>
    <s v="Ipatinga"/>
    <s v="MG"/>
    <x v="2"/>
    <s v="MG"/>
    <n v="1230.6300000000001"/>
    <n v="1"/>
    <n v="4.3380000000000001"/>
    <n v="6600879"/>
    <x v="2"/>
    <s v="Belo Horizonte"/>
    <s v="Convencional"/>
    <n v="3"/>
    <d v="2019-08-15T00:00:00"/>
    <x v="557"/>
    <x v="0"/>
    <d v="2019-08-18T00:00:00"/>
    <x v="0"/>
    <x v="0"/>
    <n v="1"/>
    <n v="1"/>
  </r>
  <r>
    <d v="2019-08-16T00:00:00"/>
    <n v="12541"/>
    <s v="WHSJC"/>
    <s v="Sao Jose dos Campos"/>
    <s v="SP"/>
    <n v="4228"/>
    <x v="216"/>
    <s v="Rio Grande do Sul"/>
    <s v="RS"/>
    <x v="0"/>
    <s v="RS"/>
    <n v="2118.23"/>
    <n v="5"/>
    <n v="4.32"/>
    <n v="6500948"/>
    <x v="0"/>
    <s v="Porto Alegre"/>
    <s v="Convencional"/>
    <n v="7"/>
    <d v="2019-08-16T00:00:00"/>
    <x v="566"/>
    <x v="0"/>
    <d v="2019-08-23T00:00:00"/>
    <x v="1"/>
    <x v="0"/>
    <n v="0"/>
    <n v="1"/>
  </r>
  <r>
    <d v="2019-08-16T00:00:00"/>
    <n v="12542"/>
    <s v="WHSJC"/>
    <s v="Sao Jose dos Campos"/>
    <s v="SP"/>
    <n v="4215"/>
    <x v="203"/>
    <s v="Recife"/>
    <s v="PE"/>
    <x v="3"/>
    <s v="PE"/>
    <n v="1617.13"/>
    <n v="1"/>
    <n v="9.91"/>
    <n v="6900304"/>
    <x v="5"/>
    <s v="Fortaleza"/>
    <s v="Convencional"/>
    <n v="8"/>
    <d v="2019-08-16T00:00:00"/>
    <x v="565"/>
    <x v="0"/>
    <d v="2019-08-24T00:00:00"/>
    <x v="0"/>
    <x v="0"/>
    <n v="1"/>
    <n v="1"/>
  </r>
  <r>
    <d v="2019-08-16T00:00:00"/>
    <n v="12543"/>
    <s v="WHVIT"/>
    <s v="Vitoria"/>
    <s v="ES"/>
    <n v="4112"/>
    <x v="100"/>
    <s v="Belo Horizonte"/>
    <s v="MG"/>
    <x v="2"/>
    <s v="MG"/>
    <n v="1785.06"/>
    <n v="3"/>
    <n v="12.736000000000001"/>
    <n v="6600879"/>
    <x v="2"/>
    <s v="Belo Horizonte"/>
    <s v="Convencional"/>
    <n v="7"/>
    <d v="2019-08-16T00:00:00"/>
    <x v="560"/>
    <x v="0"/>
    <d v="2019-08-23T00:00:00"/>
    <x v="0"/>
    <x v="0"/>
    <n v="1"/>
    <n v="1"/>
  </r>
  <r>
    <d v="2019-08-16T00:00:00"/>
    <n v="12544"/>
    <s v="WHSAO"/>
    <s v="Sao Paulo"/>
    <s v="SP"/>
    <n v="4013"/>
    <x v="1"/>
    <s v="Blumenau"/>
    <s v="SC"/>
    <x v="0"/>
    <s v="SC"/>
    <n v="797.33"/>
    <n v="1"/>
    <n v="1.1559999999999999"/>
    <n v="6500948"/>
    <x v="0"/>
    <s v="Porto Alegre"/>
    <s v="Convencional"/>
    <n v="9"/>
    <d v="2019-08-16T00:00:00"/>
    <x v="566"/>
    <x v="0"/>
    <d v="2019-08-25T00:00:00"/>
    <x v="1"/>
    <x v="0"/>
    <n v="0"/>
    <n v="1"/>
  </r>
  <r>
    <d v="2019-08-17T00:00:00"/>
    <n v="12545"/>
    <s v="WHPOA"/>
    <s v="Porto Alegre"/>
    <s v="RS"/>
    <n v="4228"/>
    <x v="216"/>
    <s v="Rio Grande do Sul"/>
    <s v="RS"/>
    <x v="0"/>
    <s v="RS"/>
    <n v="317.08999999999997"/>
    <n v="1"/>
    <n v="1.1879999999999999"/>
    <n v="6500948"/>
    <x v="0"/>
    <s v="Porto Alegre"/>
    <s v="Convencional"/>
    <n v="11"/>
    <d v="2019-08-17T00:00:00"/>
    <x v="562"/>
    <x v="0"/>
    <d v="2019-08-28T00:00:00"/>
    <x v="0"/>
    <x v="0"/>
    <n v="1"/>
    <n v="1"/>
  </r>
  <r>
    <d v="2019-08-17T00:00:00"/>
    <n v="12546"/>
    <s v="WHPOA"/>
    <s v="Porto Alegre"/>
    <s v="RS"/>
    <n v="4228"/>
    <x v="216"/>
    <s v="Rio Grande do Sul"/>
    <s v="RS"/>
    <x v="0"/>
    <s v="RS"/>
    <n v="937"/>
    <n v="2"/>
    <n v="1.744"/>
    <n v="6500948"/>
    <x v="0"/>
    <s v="Porto Alegre"/>
    <s v="Convencional"/>
    <n v="11"/>
    <d v="2019-08-17T00:00:00"/>
    <x v="566"/>
    <x v="0"/>
    <d v="2019-08-28T00:00:00"/>
    <x v="0"/>
    <x v="0"/>
    <n v="1"/>
    <n v="1"/>
  </r>
  <r>
    <d v="2019-08-17T00:00:00"/>
    <n v="12547"/>
    <s v="WHSAO"/>
    <s v="Sao Paulo"/>
    <s v="SP"/>
    <n v="4033"/>
    <x v="35"/>
    <s v="Goiania"/>
    <s v="GO"/>
    <x v="1"/>
    <s v="GO"/>
    <n v="281"/>
    <n v="1"/>
    <n v="1.1200000000000001"/>
    <n v="6100231"/>
    <x v="1"/>
    <s v="Goiania"/>
    <s v="Convencional"/>
    <n v="12"/>
    <d v="2019-08-17T00:00:00"/>
    <x v="566"/>
    <x v="0"/>
    <d v="2019-08-29T00:00:00"/>
    <x v="0"/>
    <x v="0"/>
    <n v="1"/>
    <n v="1"/>
  </r>
  <r>
    <d v="2019-08-17T00:00:00"/>
    <n v="12548"/>
    <s v="WHPOA"/>
    <s v="Porto Alegre"/>
    <s v="RS"/>
    <n v="4229"/>
    <x v="217"/>
    <s v="Rio Grande do Sul"/>
    <s v="RS"/>
    <x v="0"/>
    <s v="RS"/>
    <n v="635.77"/>
    <n v="1"/>
    <n v="1.101"/>
    <n v="6500948"/>
    <x v="0"/>
    <s v="Porto Alegre"/>
    <s v="Convencional"/>
    <n v="2"/>
    <d v="2019-08-17T00:00:00"/>
    <x v="562"/>
    <x v="0"/>
    <d v="2019-08-19T00:00:00"/>
    <x v="1"/>
    <x v="0"/>
    <n v="0"/>
    <n v="1"/>
  </r>
  <r>
    <d v="2019-08-17T00:00:00"/>
    <n v="12549"/>
    <s v="WHCPQ"/>
    <s v="Campinas"/>
    <s v="SP"/>
    <n v="4210"/>
    <x v="198"/>
    <s v="Belo Horizonte"/>
    <s v="MG"/>
    <x v="2"/>
    <s v="MG"/>
    <n v="78.36"/>
    <n v="1"/>
    <n v="0.32100000000000001"/>
    <n v="6600879"/>
    <x v="2"/>
    <s v="Belo Horizonte"/>
    <s v="Convencional"/>
    <n v="9"/>
    <d v="2019-08-17T00:00:00"/>
    <x v="560"/>
    <x v="0"/>
    <d v="2019-08-26T00:00:00"/>
    <x v="0"/>
    <x v="0"/>
    <n v="1"/>
    <n v="1"/>
  </r>
  <r>
    <d v="2019-08-17T00:00:00"/>
    <n v="12550"/>
    <s v="WHPOA"/>
    <s v="Porto Alegre"/>
    <s v="RS"/>
    <n v="4211"/>
    <x v="199"/>
    <s v="Santos"/>
    <s v="SP"/>
    <x v="2"/>
    <s v="SP"/>
    <n v="802.46"/>
    <n v="5"/>
    <n v="0.44"/>
    <n v="6400835"/>
    <x v="3"/>
    <s v="Guarulhos"/>
    <s v="Convencional"/>
    <n v="11"/>
    <d v="2019-08-17T00:00:00"/>
    <x v="558"/>
    <x v="0"/>
    <d v="2019-08-28T00:00:00"/>
    <x v="0"/>
    <x v="0"/>
    <n v="1"/>
    <n v="1"/>
  </r>
  <r>
    <d v="2019-08-17T00:00:00"/>
    <n v="12551"/>
    <s v="WHCPQ"/>
    <s v="Campinas"/>
    <s v="SP"/>
    <n v="4212"/>
    <x v="200"/>
    <s v="Rio Grande do Sul"/>
    <s v="RS"/>
    <x v="0"/>
    <s v="RS"/>
    <n v="2317.56"/>
    <n v="3"/>
    <n v="10.170999999999999"/>
    <n v="6500948"/>
    <x v="0"/>
    <s v="Porto Alegre"/>
    <s v="Convencional"/>
    <n v="5"/>
    <d v="2019-08-17T00:00:00"/>
    <x v="561"/>
    <x v="0"/>
    <d v="2019-08-22T00:00:00"/>
    <x v="0"/>
    <x v="0"/>
    <n v="1"/>
    <n v="1"/>
  </r>
  <r>
    <d v="2019-08-17T00:00:00"/>
    <n v="12552"/>
    <s v="WHSAO"/>
    <s v="Sao Paulo"/>
    <s v="SP"/>
    <n v="4212"/>
    <x v="200"/>
    <s v="Rio Grande do Sul"/>
    <s v="RS"/>
    <x v="0"/>
    <s v="RS"/>
    <n v="70.760000000000005"/>
    <n v="1"/>
    <n v="1.1200000000000001"/>
    <n v="6500948"/>
    <x v="0"/>
    <s v="Porto Alegre"/>
    <s v="Convencional"/>
    <n v="9"/>
    <d v="2019-08-17T00:00:00"/>
    <x v="564"/>
    <x v="0"/>
    <d v="2019-08-26T00:00:00"/>
    <x v="0"/>
    <x v="0"/>
    <n v="1"/>
    <n v="1"/>
  </r>
  <r>
    <d v="2019-08-17T00:00:00"/>
    <n v="12553"/>
    <s v="WHRJ"/>
    <s v="Rio De Janeiro"/>
    <s v="RJ"/>
    <n v="4213"/>
    <x v="201"/>
    <s v="Sao Paulo"/>
    <s v="SP"/>
    <x v="2"/>
    <s v="SP"/>
    <n v="3000.29"/>
    <n v="3"/>
    <n v="27.498000000000001"/>
    <n v="6400835"/>
    <x v="3"/>
    <s v="Guarulhos"/>
    <s v="Convencional"/>
    <n v="10"/>
    <d v="2019-08-17T00:00:00"/>
    <x v="563"/>
    <x v="0"/>
    <d v="2019-08-27T00:00:00"/>
    <x v="0"/>
    <x v="0"/>
    <n v="1"/>
    <n v="1"/>
  </r>
  <r>
    <d v="2019-08-17T00:00:00"/>
    <n v="12554"/>
    <s v="WHRJ"/>
    <s v="Rio De Janeiro"/>
    <s v="RJ"/>
    <n v="4206"/>
    <x v="194"/>
    <s v="Santos"/>
    <s v="SP"/>
    <x v="2"/>
    <s v="SP"/>
    <n v="6569.57"/>
    <n v="6"/>
    <n v="9.5980000000000008"/>
    <n v="6400835"/>
    <x v="3"/>
    <s v="Guarulhos"/>
    <s v="Convencional"/>
    <n v="6"/>
    <d v="2019-08-17T00:00:00"/>
    <x v="566"/>
    <x v="0"/>
    <d v="2019-08-23T00:00:00"/>
    <x v="1"/>
    <x v="0"/>
    <n v="0"/>
    <n v="1"/>
  </r>
  <r>
    <d v="2019-08-17T00:00:00"/>
    <n v="12555"/>
    <s v="WHBH"/>
    <s v="Belo Horizonte"/>
    <s v="MG"/>
    <n v="4216"/>
    <x v="204"/>
    <s v="Santos"/>
    <s v="SP"/>
    <x v="2"/>
    <s v="SP"/>
    <n v="1498.54"/>
    <n v="2"/>
    <n v="0.79900000000000004"/>
    <n v="6400835"/>
    <x v="3"/>
    <s v="Guarulhos"/>
    <s v="Convencional"/>
    <n v="2"/>
    <d v="2019-08-17T00:00:00"/>
    <x v="565"/>
    <x v="0"/>
    <d v="2019-08-19T00:00:00"/>
    <x v="1"/>
    <x v="0"/>
    <n v="0"/>
    <n v="1"/>
  </r>
  <r>
    <d v="2019-08-17T00:00:00"/>
    <n v="12556"/>
    <s v="WHPOA"/>
    <s v="Porto Alegre"/>
    <s v="RS"/>
    <n v="4214"/>
    <x v="202"/>
    <s v="Santos"/>
    <s v="SP"/>
    <x v="2"/>
    <s v="SP"/>
    <n v="1573.68"/>
    <n v="3"/>
    <n v="16.052"/>
    <n v="6400835"/>
    <x v="3"/>
    <s v="Guarulhos"/>
    <s v="Convencional"/>
    <n v="7"/>
    <d v="2019-08-17T00:00:00"/>
    <x v="564"/>
    <x v="0"/>
    <d v="2019-08-24T00:00:00"/>
    <x v="0"/>
    <x v="0"/>
    <n v="1"/>
    <n v="1"/>
  </r>
  <r>
    <d v="2019-08-17T00:00:00"/>
    <n v="12557"/>
    <s v="WHVIT"/>
    <s v="Vitoria"/>
    <s v="ES"/>
    <n v="4208"/>
    <x v="196"/>
    <s v="Sao Paulo"/>
    <s v="SP"/>
    <x v="2"/>
    <s v="SP"/>
    <n v="484.33"/>
    <n v="5"/>
    <n v="30.507000000000001"/>
    <n v="6400835"/>
    <x v="3"/>
    <s v="Guarulhos"/>
    <s v="Convencional"/>
    <n v="11"/>
    <d v="2019-08-17T00:00:00"/>
    <x v="559"/>
    <x v="0"/>
    <d v="2019-08-28T00:00:00"/>
    <x v="0"/>
    <x v="0"/>
    <n v="1"/>
    <n v="1"/>
  </r>
  <r>
    <d v="2019-08-17T00:00:00"/>
    <n v="12558"/>
    <s v="WHPOA"/>
    <s v="Porto Alegre"/>
    <s v="RS"/>
    <n v="4209"/>
    <x v="197"/>
    <s v="Belo Horizonte"/>
    <s v="MG"/>
    <x v="2"/>
    <s v="MG"/>
    <n v="7695.72"/>
    <n v="1"/>
    <n v="1.1200000000000001"/>
    <n v="6600879"/>
    <x v="2"/>
    <s v="Belo Horizonte"/>
    <s v="Convencional"/>
    <n v="8"/>
    <d v="2019-08-17T00:00:00"/>
    <x v="560"/>
    <x v="0"/>
    <d v="2019-08-25T00:00:00"/>
    <x v="0"/>
    <x v="0"/>
    <n v="1"/>
    <n v="1"/>
  </r>
  <r>
    <d v="2019-08-20T00:00:00"/>
    <n v="12559"/>
    <s v="WHSJC"/>
    <s v="Sao Jose dos Campos"/>
    <s v="SP"/>
    <n v="4136"/>
    <x v="124"/>
    <s v="Belo Horizonte"/>
    <s v="MG"/>
    <x v="2"/>
    <s v="MG"/>
    <n v="826.12"/>
    <n v="1"/>
    <n v="6.6070000000000002"/>
    <n v="6600879"/>
    <x v="2"/>
    <s v="Belo Horizonte"/>
    <s v="Convencional"/>
    <n v="6"/>
    <d v="2019-08-20T00:00:00"/>
    <x v="562"/>
    <x v="0"/>
    <d v="2019-08-26T00:00:00"/>
    <x v="0"/>
    <x v="0"/>
    <n v="1"/>
    <n v="1"/>
  </r>
  <r>
    <d v="2019-08-20T00:00:00"/>
    <n v="12560"/>
    <s v="WHPOA"/>
    <s v="Porto Alegre"/>
    <s v="RS"/>
    <n v="4159"/>
    <x v="147"/>
    <s v="Manaus"/>
    <s v="AM"/>
    <x v="4"/>
    <s v="AM"/>
    <n v="720.02"/>
    <n v="3"/>
    <n v="2.016"/>
    <n v="6700091"/>
    <x v="6"/>
    <s v="Manaus"/>
    <s v="Convencional"/>
    <n v="12"/>
    <d v="2019-08-20T00:00:00"/>
    <x v="567"/>
    <x v="0"/>
    <d v="2019-09-01T00:00:00"/>
    <x v="0"/>
    <x v="0"/>
    <n v="1"/>
    <n v="1"/>
  </r>
  <r>
    <d v="2019-08-20T00:00:00"/>
    <n v="12561"/>
    <s v="WHBH"/>
    <s v="Belo Horizonte"/>
    <s v="MG"/>
    <n v="4155"/>
    <x v="143"/>
    <s v="Sao Paulo"/>
    <s v="SP"/>
    <x v="2"/>
    <s v="SP"/>
    <n v="775.07"/>
    <n v="1"/>
    <n v="16.5"/>
    <n v="6400835"/>
    <x v="3"/>
    <s v="Guarulhos"/>
    <s v="Convencional"/>
    <n v="1"/>
    <d v="2019-08-20T00:00:00"/>
    <x v="568"/>
    <x v="1"/>
    <d v="2019-08-21T00:00:00"/>
    <x v="1"/>
    <x v="1"/>
    <n v="0"/>
    <n v="1"/>
  </r>
  <r>
    <d v="2019-08-20T00:00:00"/>
    <n v="12562"/>
    <s v="WHRJ"/>
    <s v="Rio De Janeiro"/>
    <s v="RJ"/>
    <n v="4068"/>
    <x v="4"/>
    <s v="Campo Grande"/>
    <s v="MS"/>
    <x v="1"/>
    <s v="MS"/>
    <n v="3220.64"/>
    <n v="4"/>
    <n v="31.9"/>
    <n v="6100231"/>
    <x v="1"/>
    <s v="Goiania"/>
    <s v="Convencional"/>
    <n v="2"/>
    <d v="2019-08-20T00:00:00"/>
    <x v="569"/>
    <x v="0"/>
    <d v="2019-08-22T00:00:00"/>
    <x v="1"/>
    <x v="0"/>
    <n v="0"/>
    <n v="1"/>
  </r>
  <r>
    <d v="2019-08-20T00:00:00"/>
    <n v="12563"/>
    <s v="WHPOA"/>
    <s v="Porto Alegre"/>
    <s v="RS"/>
    <n v="4023"/>
    <x v="20"/>
    <s v="Sao Jose"/>
    <s v="SC"/>
    <x v="0"/>
    <s v="SC"/>
    <n v="1479.91"/>
    <n v="2"/>
    <n v="4.524"/>
    <n v="6500948"/>
    <x v="0"/>
    <s v="Porto Alegre"/>
    <s v="Convencional"/>
    <n v="1"/>
    <d v="2019-08-20T00:00:00"/>
    <x v="560"/>
    <x v="0"/>
    <d v="2019-08-21T00:00:00"/>
    <x v="1"/>
    <x v="0"/>
    <n v="0"/>
    <n v="1"/>
  </r>
  <r>
    <d v="2019-08-20T00:00:00"/>
    <n v="12564"/>
    <s v="WHBH"/>
    <s v="Belo Horizonte"/>
    <s v="MG"/>
    <n v="4013"/>
    <x v="1"/>
    <s v="Blumenau"/>
    <s v="SC"/>
    <x v="0"/>
    <s v="SC"/>
    <n v="350.34"/>
    <n v="1"/>
    <n v="13.42"/>
    <n v="6500948"/>
    <x v="0"/>
    <s v="Porto Alegre"/>
    <s v="Convencional"/>
    <n v="12"/>
    <d v="2019-08-20T00:00:00"/>
    <x v="563"/>
    <x v="0"/>
    <d v="2019-09-01T00:00:00"/>
    <x v="0"/>
    <x v="0"/>
    <n v="1"/>
    <n v="1"/>
  </r>
  <r>
    <d v="2019-08-20T00:00:00"/>
    <n v="12565"/>
    <s v="WHSAO"/>
    <s v="Sao Paulo"/>
    <s v="SP"/>
    <n v="4013"/>
    <x v="1"/>
    <s v="Blumenau"/>
    <s v="SC"/>
    <x v="0"/>
    <s v="SC"/>
    <n v="16.12"/>
    <n v="1"/>
    <n v="2.8000000000000001E-2"/>
    <n v="6500948"/>
    <x v="0"/>
    <s v="Porto Alegre"/>
    <s v="Convencional"/>
    <n v="10"/>
    <d v="2019-08-20T00:00:00"/>
    <x v="570"/>
    <x v="1"/>
    <d v="2019-08-30T00:00:00"/>
    <x v="0"/>
    <x v="1"/>
    <n v="0"/>
    <n v="1"/>
  </r>
  <r>
    <d v="2019-08-20T00:00:00"/>
    <n v="12566"/>
    <s v="WHVIT"/>
    <s v="Vitoria"/>
    <s v="ES"/>
    <n v="4013"/>
    <x v="1"/>
    <s v="Blumenau"/>
    <s v="SC"/>
    <x v="0"/>
    <s v="SC"/>
    <n v="45.92"/>
    <n v="1"/>
    <n v="0.56399999999999995"/>
    <n v="6500948"/>
    <x v="0"/>
    <s v="Porto Alegre"/>
    <s v="Convencional"/>
    <n v="12"/>
    <d v="2019-08-20T00:00:00"/>
    <x v="565"/>
    <x v="0"/>
    <d v="2019-09-01T00:00:00"/>
    <x v="0"/>
    <x v="0"/>
    <n v="1"/>
    <n v="1"/>
  </r>
  <r>
    <d v="2019-08-21T00:00:00"/>
    <n v="12567"/>
    <s v="WHCPQ"/>
    <s v="Campinas"/>
    <s v="SP"/>
    <n v="4156"/>
    <x v="144"/>
    <s v="Rio Grande do Sul"/>
    <s v="RS"/>
    <x v="0"/>
    <s v="RS"/>
    <n v="704.28"/>
    <n v="2"/>
    <n v="26.84"/>
    <n v="6500948"/>
    <x v="0"/>
    <s v="Porto Alegre"/>
    <s v="Convencional"/>
    <n v="8"/>
    <d v="2019-08-21T00:00:00"/>
    <x v="571"/>
    <x v="0"/>
    <d v="2019-08-29T00:00:00"/>
    <x v="1"/>
    <x v="0"/>
    <n v="0"/>
    <n v="1"/>
  </r>
  <r>
    <d v="2019-08-21T00:00:00"/>
    <n v="12568"/>
    <s v="WHSAO"/>
    <s v="Sao Paulo"/>
    <s v="SP"/>
    <n v="4192"/>
    <x v="180"/>
    <s v="Belo Horizonte"/>
    <s v="MG"/>
    <x v="2"/>
    <s v="MG"/>
    <n v="6548"/>
    <n v="14"/>
    <n v="43.402999999999999"/>
    <n v="6600879"/>
    <x v="2"/>
    <s v="Belo Horizonte"/>
    <s v="Convencional"/>
    <n v="8"/>
    <d v="2019-08-21T00:00:00"/>
    <x v="570"/>
    <x v="0"/>
    <d v="2019-08-29T00:00:00"/>
    <x v="0"/>
    <x v="0"/>
    <n v="1"/>
    <n v="1"/>
  </r>
  <r>
    <d v="2019-08-21T00:00:00"/>
    <n v="12569"/>
    <s v="WHVIT"/>
    <s v="Vitoria"/>
    <s v="ES"/>
    <n v="4207"/>
    <x v="195"/>
    <s v="Santos"/>
    <s v="SP"/>
    <x v="2"/>
    <s v="SP"/>
    <n v="1833.1"/>
    <n v="2"/>
    <n v="10.474"/>
    <n v="6400835"/>
    <x v="3"/>
    <s v="Guarulhos"/>
    <s v="Convencional"/>
    <n v="4"/>
    <d v="2019-08-21T00:00:00"/>
    <x v="569"/>
    <x v="0"/>
    <d v="2019-08-25T00:00:00"/>
    <x v="1"/>
    <x v="0"/>
    <n v="0"/>
    <n v="1"/>
  </r>
  <r>
    <d v="2019-08-21T00:00:00"/>
    <n v="12570"/>
    <s v="WHBH"/>
    <s v="Belo Horizonte"/>
    <s v="MG"/>
    <n v="4044"/>
    <x v="48"/>
    <s v="Belo Horizonte"/>
    <s v="MG"/>
    <x v="2"/>
    <s v="MG"/>
    <n v="33.92"/>
    <n v="2"/>
    <n v="0.38300000000000001"/>
    <n v="6600879"/>
    <x v="2"/>
    <s v="Belo Horizonte"/>
    <s v="Convencional"/>
    <n v="7"/>
    <d v="2019-08-21T00:00:00"/>
    <x v="563"/>
    <x v="0"/>
    <d v="2019-08-28T00:00:00"/>
    <x v="0"/>
    <x v="0"/>
    <n v="1"/>
    <n v="1"/>
  </r>
  <r>
    <d v="2019-08-21T00:00:00"/>
    <n v="12571"/>
    <s v="WHRJ"/>
    <s v="Rio De Janeiro"/>
    <s v="RJ"/>
    <n v="4045"/>
    <x v="49"/>
    <s v="Belo Horizonte"/>
    <s v="MG"/>
    <x v="2"/>
    <s v="MG"/>
    <n v="45.69"/>
    <n v="1"/>
    <n v="0.56399999999999995"/>
    <n v="6600879"/>
    <x v="2"/>
    <s v="Belo Horizonte"/>
    <s v="Convencional"/>
    <n v="11"/>
    <d v="2019-08-21T00:00:00"/>
    <x v="563"/>
    <x v="0"/>
    <d v="2019-09-01T00:00:00"/>
    <x v="0"/>
    <x v="0"/>
    <n v="1"/>
    <n v="1"/>
  </r>
  <r>
    <d v="2019-08-21T00:00:00"/>
    <n v="12572"/>
    <s v="WHBH"/>
    <s v="Belo Horizonte"/>
    <s v="MG"/>
    <n v="4019"/>
    <x v="13"/>
    <s v="Florianopolis"/>
    <s v="SC"/>
    <x v="0"/>
    <s v="SC"/>
    <n v="704.28"/>
    <n v="2"/>
    <n v="26.84"/>
    <n v="6500948"/>
    <x v="0"/>
    <s v="Porto Alegre"/>
    <s v="Urgente"/>
    <n v="7"/>
    <d v="2019-08-21T00:00:00"/>
    <x v="560"/>
    <x v="0"/>
    <d v="2019-08-28T00:00:00"/>
    <x v="0"/>
    <x v="0"/>
    <n v="1"/>
    <n v="1"/>
  </r>
  <r>
    <d v="2019-08-21T00:00:00"/>
    <n v="12573"/>
    <s v="WHPOA"/>
    <s v="Porto Alegre"/>
    <s v="RS"/>
    <n v="4044"/>
    <x v="48"/>
    <s v="Belo Horizonte"/>
    <s v="MG"/>
    <x v="2"/>
    <s v="MG"/>
    <n v="193.4"/>
    <n v="1"/>
    <n v="0.23100000000000001"/>
    <n v="6600879"/>
    <x v="2"/>
    <s v="Belo Horizonte"/>
    <s v="Convencional"/>
    <n v="9"/>
    <d v="2019-08-21T00:00:00"/>
    <x v="560"/>
    <x v="0"/>
    <d v="2019-08-30T00:00:00"/>
    <x v="0"/>
    <x v="0"/>
    <n v="1"/>
    <n v="1"/>
  </r>
  <r>
    <d v="2019-08-21T00:00:00"/>
    <n v="12574"/>
    <s v="WHRJ"/>
    <s v="Rio De Janeiro"/>
    <s v="RJ"/>
    <n v="4045"/>
    <x v="49"/>
    <s v="Belo Horizonte"/>
    <s v="MG"/>
    <x v="2"/>
    <s v="MG"/>
    <n v="351.14"/>
    <n v="1"/>
    <n v="13.42"/>
    <n v="6600879"/>
    <x v="2"/>
    <s v="Belo Horizonte"/>
    <s v="Convencional"/>
    <n v="2"/>
    <d v="2019-08-21T00:00:00"/>
    <x v="566"/>
    <x v="0"/>
    <d v="2019-08-23T00:00:00"/>
    <x v="1"/>
    <x v="0"/>
    <n v="0"/>
    <n v="1"/>
  </r>
  <r>
    <d v="2019-08-21T00:00:00"/>
    <n v="12575"/>
    <s v="WHBH"/>
    <s v="Belo Horizonte"/>
    <s v="MG"/>
    <n v="4019"/>
    <x v="13"/>
    <s v="Florianopolis"/>
    <s v="SC"/>
    <x v="0"/>
    <s v="SC"/>
    <n v="98.95"/>
    <n v="2"/>
    <n v="0.14499999999999999"/>
    <n v="6500948"/>
    <x v="0"/>
    <s v="Porto Alegre"/>
    <s v="Convencional"/>
    <n v="2"/>
    <d v="2019-08-21T00:00:00"/>
    <x v="570"/>
    <x v="0"/>
    <d v="2019-08-23T00:00:00"/>
    <x v="1"/>
    <x v="0"/>
    <n v="0"/>
    <n v="1"/>
  </r>
  <r>
    <d v="2019-08-21T00:00:00"/>
    <n v="12576"/>
    <s v="WHRJ"/>
    <s v="Rio De Janeiro"/>
    <s v="RJ"/>
    <n v="4044"/>
    <x v="48"/>
    <s v="Belo Horizonte"/>
    <s v="MG"/>
    <x v="2"/>
    <s v="MG"/>
    <n v="826.12"/>
    <n v="1"/>
    <n v="6.6070000000000002"/>
    <n v="6600879"/>
    <x v="2"/>
    <s v="Belo Horizonte"/>
    <s v="Convencional"/>
    <n v="7"/>
    <d v="2019-08-21T00:00:00"/>
    <x v="571"/>
    <x v="0"/>
    <d v="2019-08-28T00:00:00"/>
    <x v="1"/>
    <x v="0"/>
    <n v="0"/>
    <n v="1"/>
  </r>
  <r>
    <d v="2019-08-21T00:00:00"/>
    <n v="12577"/>
    <s v="WHVIT"/>
    <s v="Vitoria"/>
    <s v="ES"/>
    <n v="4045"/>
    <x v="49"/>
    <s v="Belo Horizonte"/>
    <s v="MG"/>
    <x v="2"/>
    <s v="MG"/>
    <n v="1733.47"/>
    <n v="5"/>
    <n v="67.099999999999994"/>
    <n v="6600879"/>
    <x v="2"/>
    <s v="Belo Horizonte"/>
    <s v="Convencional"/>
    <n v="6"/>
    <d v="2019-08-21T00:00:00"/>
    <x v="560"/>
    <x v="0"/>
    <d v="2019-08-27T00:00:00"/>
    <x v="0"/>
    <x v="0"/>
    <n v="1"/>
    <n v="1"/>
  </r>
  <r>
    <d v="2019-08-21T00:00:00"/>
    <n v="12578"/>
    <s v="WHVIT"/>
    <s v="Vitoria"/>
    <s v="ES"/>
    <n v="4019"/>
    <x v="13"/>
    <s v="Florianopolis"/>
    <s v="SC"/>
    <x v="0"/>
    <s v="SC"/>
    <n v="635.28"/>
    <n v="2"/>
    <n v="26.84"/>
    <n v="6500948"/>
    <x v="0"/>
    <s v="Porto Alegre"/>
    <s v="Convencional"/>
    <n v="12"/>
    <d v="2019-08-21T00:00:00"/>
    <x v="565"/>
    <x v="0"/>
    <d v="2019-09-02T00:00:00"/>
    <x v="0"/>
    <x v="0"/>
    <n v="1"/>
    <n v="1"/>
  </r>
  <r>
    <d v="2019-08-21T00:00:00"/>
    <n v="12579"/>
    <s v="WHBH"/>
    <s v="Belo Horizonte"/>
    <s v="MG"/>
    <n v="4044"/>
    <x v="48"/>
    <s v="Belo Horizonte"/>
    <s v="MG"/>
    <x v="2"/>
    <s v="MG"/>
    <n v="693.41"/>
    <n v="2"/>
    <n v="26.84"/>
    <n v="6600879"/>
    <x v="2"/>
    <s v="Belo Horizonte"/>
    <s v="Convencional"/>
    <n v="9"/>
    <d v="2019-08-21T00:00:00"/>
    <x v="569"/>
    <x v="0"/>
    <d v="2019-08-30T00:00:00"/>
    <x v="0"/>
    <x v="0"/>
    <n v="1"/>
    <n v="1"/>
  </r>
  <r>
    <d v="2019-08-21T00:00:00"/>
    <n v="12580"/>
    <s v="WHCPQ"/>
    <s v="Campinas"/>
    <s v="SP"/>
    <n v="4045"/>
    <x v="49"/>
    <s v="Belo Horizonte"/>
    <s v="MG"/>
    <x v="2"/>
    <s v="MG"/>
    <n v="45.92"/>
    <n v="1"/>
    <n v="0.56399999999999995"/>
    <n v="6600879"/>
    <x v="2"/>
    <s v="Belo Horizonte"/>
    <s v="Convencional"/>
    <n v="5"/>
    <d v="2019-08-21T00:00:00"/>
    <x v="569"/>
    <x v="0"/>
    <d v="2019-08-26T00:00:00"/>
    <x v="1"/>
    <x v="0"/>
    <n v="0"/>
    <n v="1"/>
  </r>
  <r>
    <d v="2019-08-21T00:00:00"/>
    <n v="12581"/>
    <s v="WHPOA"/>
    <s v="Porto Alegre"/>
    <s v="RS"/>
    <n v="4019"/>
    <x v="13"/>
    <s v="Florianopolis"/>
    <s v="SC"/>
    <x v="0"/>
    <s v="SC"/>
    <n v="489.91"/>
    <n v="1"/>
    <n v="0.44"/>
    <n v="6500948"/>
    <x v="0"/>
    <s v="Porto Alegre"/>
    <s v="Convencional"/>
    <n v="9"/>
    <d v="2019-08-21T00:00:00"/>
    <x v="570"/>
    <x v="0"/>
    <d v="2019-08-30T00:00:00"/>
    <x v="0"/>
    <x v="0"/>
    <n v="1"/>
    <n v="1"/>
  </r>
  <r>
    <d v="2019-08-21T00:00:00"/>
    <n v="12582"/>
    <s v="WHRJ"/>
    <s v="Rio De Janeiro"/>
    <s v="RJ"/>
    <n v="4019"/>
    <x v="13"/>
    <s v="Florianopolis"/>
    <s v="SC"/>
    <x v="0"/>
    <s v="SC"/>
    <n v="2517.81"/>
    <n v="1"/>
    <n v="9.91"/>
    <n v="6500948"/>
    <x v="0"/>
    <s v="Porto Alegre"/>
    <s v="Convencional"/>
    <n v="10"/>
    <d v="2019-08-21T00:00:00"/>
    <x v="567"/>
    <x v="0"/>
    <d v="2019-08-31T00:00:00"/>
    <x v="0"/>
    <x v="0"/>
    <n v="1"/>
    <n v="1"/>
  </r>
  <r>
    <d v="2019-08-20T00:00:00"/>
    <n v="12583"/>
    <s v="WHSJC"/>
    <s v="Sao Jose dos Campos"/>
    <s v="SP"/>
    <n v="4019"/>
    <x v="13"/>
    <s v="Florianopolis"/>
    <s v="SC"/>
    <x v="0"/>
    <s v="SC"/>
    <n v="8.68"/>
    <n v="1"/>
    <n v="0.34300000000000003"/>
    <n v="6500948"/>
    <x v="0"/>
    <s v="Porto Alegre"/>
    <s v="Convencional"/>
    <n v="5"/>
    <d v="2019-08-21T00:00:00"/>
    <x v="567"/>
    <x v="2"/>
    <d v="2019-08-26T00:00:00"/>
    <x v="1"/>
    <x v="1"/>
    <n v="0"/>
    <n v="1"/>
  </r>
  <r>
    <d v="2019-08-20T00:00:00"/>
    <n v="12584"/>
    <s v="WHBH"/>
    <s v="Belo Horizonte"/>
    <s v="MG"/>
    <n v="4019"/>
    <x v="13"/>
    <s v="Florianopolis"/>
    <s v="SC"/>
    <x v="0"/>
    <s v="SC"/>
    <n v="786.99"/>
    <n v="1"/>
    <n v="5.5"/>
    <n v="6500948"/>
    <x v="0"/>
    <s v="Porto Alegre"/>
    <s v="Convencional"/>
    <n v="3"/>
    <d v="2019-08-21T00:00:00"/>
    <x v="569"/>
    <x v="0"/>
    <d v="2019-08-24T00:00:00"/>
    <x v="1"/>
    <x v="0"/>
    <n v="0"/>
    <n v="1"/>
  </r>
  <r>
    <d v="2019-08-20T00:00:00"/>
    <n v="12585"/>
    <s v="WHBH"/>
    <s v="Belo Horizonte"/>
    <s v="MG"/>
    <n v="4019"/>
    <x v="13"/>
    <s v="Florianopolis"/>
    <s v="SC"/>
    <x v="0"/>
    <s v="SC"/>
    <n v="299.67"/>
    <n v="1"/>
    <n v="13.2"/>
    <n v="6500948"/>
    <x v="0"/>
    <s v="Porto Alegre"/>
    <s v="Convencional"/>
    <n v="1"/>
    <d v="2019-08-21T00:00:00"/>
    <x v="571"/>
    <x v="0"/>
    <d v="2019-08-22T00:00:00"/>
    <x v="1"/>
    <x v="0"/>
    <n v="0"/>
    <n v="1"/>
  </r>
  <r>
    <d v="2019-08-20T00:00:00"/>
    <n v="12586"/>
    <s v="WHRJ"/>
    <s v="Rio De Janeiro"/>
    <s v="RJ"/>
    <n v="4019"/>
    <x v="13"/>
    <s v="Florianopolis"/>
    <s v="SC"/>
    <x v="0"/>
    <s v="SC"/>
    <n v="217.52"/>
    <n v="1"/>
    <n v="6.6000000000000003E-2"/>
    <n v="6500948"/>
    <x v="0"/>
    <s v="Porto Alegre"/>
    <s v="Convencional"/>
    <n v="12"/>
    <d v="2019-08-21T00:00:00"/>
    <x v="570"/>
    <x v="0"/>
    <d v="2019-09-02T00:00:00"/>
    <x v="0"/>
    <x v="0"/>
    <n v="1"/>
    <n v="1"/>
  </r>
  <r>
    <d v="2019-08-21T00:00:00"/>
    <n v="12587"/>
    <s v="WHVIT"/>
    <s v="Vitoria"/>
    <s v="ES"/>
    <n v="4132"/>
    <x v="120"/>
    <s v="Santos"/>
    <s v="SP"/>
    <x v="2"/>
    <s v="SP"/>
    <n v="202.18"/>
    <n v="1"/>
    <n v="1.32"/>
    <n v="6400835"/>
    <x v="3"/>
    <s v="Guarulhos"/>
    <s v="Convencional"/>
    <n v="6"/>
    <d v="2019-08-22T00:00:00"/>
    <x v="565"/>
    <x v="1"/>
    <d v="2019-08-28T00:00:00"/>
    <x v="0"/>
    <x v="1"/>
    <n v="0"/>
    <n v="1"/>
  </r>
  <r>
    <d v="2019-08-21T00:00:00"/>
    <n v="12588"/>
    <s v="WHPOA"/>
    <s v="Porto Alegre"/>
    <s v="RS"/>
    <n v="4069"/>
    <x v="57"/>
    <s v="Brasilia"/>
    <s v="DF"/>
    <x v="1"/>
    <s v="DF"/>
    <n v="1024.19"/>
    <n v="1"/>
    <n v="0.55000000000000004"/>
    <n v="6100231"/>
    <x v="1"/>
    <s v="Goiania"/>
    <s v="Convencional"/>
    <n v="8"/>
    <d v="2019-08-22T00:00:00"/>
    <x v="563"/>
    <x v="0"/>
    <d v="2019-08-30T00:00:00"/>
    <x v="0"/>
    <x v="0"/>
    <n v="1"/>
    <n v="1"/>
  </r>
  <r>
    <d v="2019-08-21T00:00:00"/>
    <n v="12589"/>
    <s v="WHVIT"/>
    <s v="Vitoria"/>
    <s v="ES"/>
    <n v="4013"/>
    <x v="1"/>
    <s v="Blumenau"/>
    <s v="SC"/>
    <x v="0"/>
    <s v="SC"/>
    <n v="725.93"/>
    <n v="1"/>
    <n v="1.8109999999999999"/>
    <n v="6500948"/>
    <x v="0"/>
    <s v="Porto Alegre"/>
    <s v="Convencional"/>
    <n v="9"/>
    <d v="2019-08-22T00:00:00"/>
    <x v="568"/>
    <x v="0"/>
    <d v="2019-08-31T00:00:00"/>
    <x v="0"/>
    <x v="0"/>
    <n v="1"/>
    <n v="1"/>
  </r>
  <r>
    <d v="2019-08-21T00:00:00"/>
    <n v="12590"/>
    <s v="WHRJ"/>
    <s v="Rio De Janeiro"/>
    <s v="RJ"/>
    <n v="4022"/>
    <x v="19"/>
    <s v="Maringa"/>
    <s v="PR"/>
    <x v="0"/>
    <s v="PR"/>
    <n v="1192.6199999999999"/>
    <n v="6"/>
    <n v="67.84"/>
    <n v="6500948"/>
    <x v="0"/>
    <s v="Porto Alegre"/>
    <s v="Convencional"/>
    <n v="6"/>
    <d v="2019-08-22T00:00:00"/>
    <x v="568"/>
    <x v="0"/>
    <d v="2019-08-28T00:00:00"/>
    <x v="1"/>
    <x v="0"/>
    <n v="0"/>
    <n v="1"/>
  </r>
  <r>
    <d v="2019-08-22T00:00:00"/>
    <n v="12591"/>
    <s v="WHCPQ"/>
    <s v="Campinas"/>
    <s v="SP"/>
    <n v="4163"/>
    <x v="151"/>
    <s v="Manaus"/>
    <s v="AM"/>
    <x v="4"/>
    <s v="AM"/>
    <n v="3208.7"/>
    <n v="1"/>
    <n v="1.1200000000000001"/>
    <n v="6700091"/>
    <x v="6"/>
    <s v="Manaus"/>
    <s v="Urgente"/>
    <n v="12"/>
    <d v="2019-08-23T00:00:00"/>
    <x v="565"/>
    <x v="1"/>
    <d v="2019-09-04T00:00:00"/>
    <x v="0"/>
    <x v="1"/>
    <n v="0"/>
    <n v="1"/>
  </r>
  <r>
    <d v="2019-08-22T00:00:00"/>
    <n v="12592"/>
    <s v="WHVIT"/>
    <s v="Vitoria"/>
    <s v="ES"/>
    <n v="4022"/>
    <x v="19"/>
    <s v="Maringa"/>
    <s v="PR"/>
    <x v="0"/>
    <s v="PR"/>
    <n v="382.75"/>
    <n v="1"/>
    <n v="1.1200000000000001"/>
    <n v="6500948"/>
    <x v="0"/>
    <s v="Porto Alegre"/>
    <s v="Convencional"/>
    <n v="7"/>
    <d v="2019-08-23T00:00:00"/>
    <x v="563"/>
    <x v="1"/>
    <d v="2019-08-30T00:00:00"/>
    <x v="0"/>
    <x v="1"/>
    <n v="0"/>
    <n v="1"/>
  </r>
  <r>
    <d v="2019-08-22T00:00:00"/>
    <n v="12593"/>
    <s v="WHSAO"/>
    <s v="Sao Paulo"/>
    <s v="SP"/>
    <n v="4022"/>
    <x v="19"/>
    <s v="Maringa"/>
    <s v="PR"/>
    <x v="0"/>
    <s v="PR"/>
    <n v="33.18"/>
    <n v="1"/>
    <n v="0.49399999999999999"/>
    <n v="6500948"/>
    <x v="0"/>
    <s v="Porto Alegre"/>
    <s v="Convencional"/>
    <n v="9"/>
    <d v="2019-08-23T00:00:00"/>
    <x v="571"/>
    <x v="0"/>
    <d v="2019-09-01T00:00:00"/>
    <x v="0"/>
    <x v="0"/>
    <n v="1"/>
    <n v="1"/>
  </r>
  <r>
    <d v="2019-08-24T00:00:00"/>
    <n v="12594"/>
    <s v="WHVIT"/>
    <s v="Vitoria"/>
    <s v="ES"/>
    <n v="4049"/>
    <x v="43"/>
    <s v="Taguatinga"/>
    <s v="DF"/>
    <x v="1"/>
    <s v="DF"/>
    <n v="1141.0999999999999"/>
    <n v="2"/>
    <n v="12.401"/>
    <n v="6100231"/>
    <x v="1"/>
    <s v="Goiania"/>
    <s v="Convencional"/>
    <n v="2"/>
    <d v="2019-08-25T00:00:00"/>
    <x v="572"/>
    <x v="0"/>
    <d v="2019-08-27T00:00:00"/>
    <x v="1"/>
    <x v="0"/>
    <n v="0"/>
    <n v="1"/>
  </r>
  <r>
    <d v="2019-08-24T00:00:00"/>
    <n v="12595"/>
    <s v="WHPOA"/>
    <s v="Porto Alegre"/>
    <s v="RS"/>
    <n v="4049"/>
    <x v="43"/>
    <s v="Taguatinga"/>
    <s v="DF"/>
    <x v="1"/>
    <s v="DF"/>
    <n v="135.86000000000001"/>
    <n v="1"/>
    <n v="1.1200000000000001"/>
    <n v="6100231"/>
    <x v="1"/>
    <s v="Goiania"/>
    <s v="Convencional"/>
    <n v="4"/>
    <d v="2019-08-25T00:00:00"/>
    <x v="566"/>
    <x v="0"/>
    <d v="2019-08-29T00:00:00"/>
    <x v="0"/>
    <x v="0"/>
    <n v="1"/>
    <n v="1"/>
  </r>
  <r>
    <d v="2019-08-24T00:00:00"/>
    <n v="12596"/>
    <s v="WHSJC"/>
    <s v="Sao Jose dos Campos"/>
    <s v="SP"/>
    <n v="4049"/>
    <x v="43"/>
    <s v="Taguatinga"/>
    <s v="DF"/>
    <x v="1"/>
    <s v="DF"/>
    <n v="32.56"/>
    <n v="1"/>
    <n v="1.1200000000000001"/>
    <n v="6100231"/>
    <x v="1"/>
    <s v="Goiania"/>
    <s v="Convencional"/>
    <n v="4"/>
    <d v="2019-08-25T00:00:00"/>
    <x v="572"/>
    <x v="0"/>
    <d v="2019-08-29T00:00:00"/>
    <x v="1"/>
    <x v="0"/>
    <n v="0"/>
    <n v="1"/>
  </r>
  <r>
    <d v="2019-08-24T00:00:00"/>
    <n v="12597"/>
    <s v="WHCPQ"/>
    <s v="Campinas"/>
    <s v="SP"/>
    <n v="4049"/>
    <x v="43"/>
    <s v="Taguatinga"/>
    <s v="DF"/>
    <x v="1"/>
    <s v="DF"/>
    <n v="542.57000000000005"/>
    <n v="2"/>
    <n v="1.657"/>
    <n v="6100231"/>
    <x v="1"/>
    <s v="Goiania"/>
    <s v="Convencional"/>
    <n v="8"/>
    <d v="2019-08-25T00:00:00"/>
    <x v="573"/>
    <x v="0"/>
    <d v="2019-09-02T00:00:00"/>
    <x v="0"/>
    <x v="0"/>
    <n v="1"/>
    <n v="1"/>
  </r>
  <r>
    <d v="2019-08-24T00:00:00"/>
    <n v="12598"/>
    <s v="WHRJ"/>
    <s v="Rio De Janeiro"/>
    <s v="RJ"/>
    <n v="4049"/>
    <x v="43"/>
    <s v="Taguatinga"/>
    <s v="DF"/>
    <x v="1"/>
    <s v="DF"/>
    <n v="11723.71"/>
    <n v="9"/>
    <n v="47.914000000000001"/>
    <n v="6100231"/>
    <x v="1"/>
    <s v="Goiania"/>
    <s v="Convencional"/>
    <n v="9"/>
    <d v="2019-08-25T00:00:00"/>
    <x v="573"/>
    <x v="0"/>
    <d v="2019-09-03T00:00:00"/>
    <x v="0"/>
    <x v="0"/>
    <n v="1"/>
    <n v="1"/>
  </r>
  <r>
    <d v="2019-08-24T00:00:00"/>
    <n v="12599"/>
    <s v="WHVIT"/>
    <s v="Vitoria"/>
    <s v="ES"/>
    <n v="4049"/>
    <x v="43"/>
    <s v="Taguatinga"/>
    <s v="DF"/>
    <x v="1"/>
    <s v="DF"/>
    <n v="400.57"/>
    <n v="1"/>
    <n v="1.1200000000000001"/>
    <n v="6100231"/>
    <x v="1"/>
    <s v="Goiania"/>
    <s v="Convencional"/>
    <n v="11"/>
    <d v="2019-08-25T00:00:00"/>
    <x v="570"/>
    <x v="0"/>
    <d v="2019-09-05T00:00:00"/>
    <x v="0"/>
    <x v="0"/>
    <n v="1"/>
    <n v="1"/>
  </r>
  <r>
    <d v="2019-08-24T00:00:00"/>
    <n v="12600"/>
    <s v="WHRJ"/>
    <s v="Rio De Janeiro"/>
    <s v="RJ"/>
    <n v="4049"/>
    <x v="43"/>
    <s v="Taguatinga"/>
    <s v="DF"/>
    <x v="1"/>
    <s v="DF"/>
    <n v="906.39"/>
    <n v="1"/>
    <n v="5.7759999999999998"/>
    <n v="6100231"/>
    <x v="1"/>
    <s v="Goiania"/>
    <s v="Convencional"/>
    <n v="11"/>
    <d v="2019-08-25T00:00:00"/>
    <x v="574"/>
    <x v="0"/>
    <d v="2019-09-05T00:00:00"/>
    <x v="0"/>
    <x v="0"/>
    <n v="1"/>
    <n v="1"/>
  </r>
  <r>
    <d v="2019-08-24T00:00:00"/>
    <n v="12601"/>
    <s v="WHVIT"/>
    <s v="Vitoria"/>
    <s v="ES"/>
    <n v="4049"/>
    <x v="43"/>
    <s v="Taguatinga"/>
    <s v="DF"/>
    <x v="1"/>
    <s v="DF"/>
    <n v="1750.57"/>
    <n v="4"/>
    <n v="7.4749999999999996"/>
    <n v="6100231"/>
    <x v="1"/>
    <s v="Goiania"/>
    <s v="Convencional"/>
    <n v="5"/>
    <d v="2019-08-25T00:00:00"/>
    <x v="570"/>
    <x v="0"/>
    <d v="2019-08-30T00:00:00"/>
    <x v="0"/>
    <x v="0"/>
    <n v="1"/>
    <n v="1"/>
  </r>
  <r>
    <d v="2019-08-24T00:00:00"/>
    <n v="12602"/>
    <s v="WHVIT"/>
    <s v="Vitoria"/>
    <s v="ES"/>
    <n v="4049"/>
    <x v="43"/>
    <s v="Taguatinga"/>
    <s v="DF"/>
    <x v="1"/>
    <s v="DF"/>
    <n v="357.93"/>
    <n v="1"/>
    <n v="1.1200000000000001"/>
    <n v="6100231"/>
    <x v="1"/>
    <s v="Goiania"/>
    <s v="Convencional"/>
    <n v="6"/>
    <d v="2019-08-25T00:00:00"/>
    <x v="570"/>
    <x v="0"/>
    <d v="2019-08-31T00:00:00"/>
    <x v="0"/>
    <x v="0"/>
    <n v="1"/>
    <n v="1"/>
  </r>
  <r>
    <d v="2019-08-24T00:00:00"/>
    <n v="12603"/>
    <s v="WHVIT"/>
    <s v="Vitoria"/>
    <s v="ES"/>
    <n v="4049"/>
    <x v="43"/>
    <s v="Taguatinga"/>
    <s v="DF"/>
    <x v="1"/>
    <s v="DF"/>
    <n v="2511.73"/>
    <n v="3"/>
    <n v="21.754000000000001"/>
    <n v="6100231"/>
    <x v="1"/>
    <s v="Goiania"/>
    <s v="Convencional"/>
    <n v="12"/>
    <d v="2019-08-25T00:00:00"/>
    <x v="572"/>
    <x v="0"/>
    <d v="2019-09-06T00:00:00"/>
    <x v="0"/>
    <x v="0"/>
    <n v="1"/>
    <n v="1"/>
  </r>
  <r>
    <d v="2019-08-26T00:00:00"/>
    <n v="12604"/>
    <s v="WHSAO"/>
    <s v="Sao Paulo"/>
    <s v="SP"/>
    <n v="4147"/>
    <x v="135"/>
    <s v="Belo Horizonte"/>
    <s v="MG"/>
    <x v="2"/>
    <s v="MG"/>
    <n v="911.65"/>
    <n v="1"/>
    <n v="5.7759999999999998"/>
    <n v="6600879"/>
    <x v="2"/>
    <s v="Belo Horizonte"/>
    <s v="Convencional"/>
    <n v="3"/>
    <d v="2019-08-27T00:00:00"/>
    <x v="575"/>
    <x v="0"/>
    <d v="2019-08-30T00:00:00"/>
    <x v="1"/>
    <x v="0"/>
    <n v="0"/>
    <n v="1"/>
  </r>
  <r>
    <d v="2019-08-26T00:00:00"/>
    <n v="12605"/>
    <s v="WHPOA"/>
    <s v="Porto Alegre"/>
    <s v="RS"/>
    <n v="4033"/>
    <x v="35"/>
    <s v="Goiania"/>
    <s v="GO"/>
    <x v="1"/>
    <s v="GO"/>
    <n v="583.59"/>
    <n v="2"/>
    <n v="1.712"/>
    <n v="6100231"/>
    <x v="1"/>
    <s v="Goiania"/>
    <s v="Convencional"/>
    <n v="5"/>
    <d v="2019-08-27T00:00:00"/>
    <x v="570"/>
    <x v="0"/>
    <d v="2019-09-01T00:00:00"/>
    <x v="0"/>
    <x v="0"/>
    <n v="1"/>
    <n v="1"/>
  </r>
  <r>
    <d v="2019-08-26T00:00:00"/>
    <n v="12606"/>
    <s v="WHPOA"/>
    <s v="Porto Alegre"/>
    <s v="RS"/>
    <n v="4230"/>
    <x v="218"/>
    <s v="Belo Horizonte"/>
    <s v="MG"/>
    <x v="2"/>
    <s v="MG"/>
    <n v="162.86000000000001"/>
    <n v="1"/>
    <n v="1.1200000000000001"/>
    <n v="6600879"/>
    <x v="2"/>
    <s v="Belo Horizonte"/>
    <s v="Convencional"/>
    <n v="8"/>
    <d v="2019-08-27T00:00:00"/>
    <x v="571"/>
    <x v="0"/>
    <d v="2019-09-04T00:00:00"/>
    <x v="0"/>
    <x v="0"/>
    <n v="1"/>
    <n v="1"/>
  </r>
  <r>
    <d v="2019-08-26T00:00:00"/>
    <n v="12607"/>
    <s v="WHBH"/>
    <s v="Belo Horizonte"/>
    <s v="MG"/>
    <n v="4069"/>
    <x v="57"/>
    <s v="Brasilia"/>
    <s v="DF"/>
    <x v="1"/>
    <s v="DF"/>
    <n v="1224.28"/>
    <n v="2"/>
    <n v="2.4289999999999998"/>
    <n v="6100231"/>
    <x v="1"/>
    <s v="Goiania"/>
    <s v="Convencional"/>
    <n v="5"/>
    <d v="2019-08-27T00:00:00"/>
    <x v="569"/>
    <x v="0"/>
    <d v="2019-09-01T00:00:00"/>
    <x v="0"/>
    <x v="0"/>
    <n v="1"/>
    <n v="1"/>
  </r>
  <r>
    <d v="2019-08-26T00:00:00"/>
    <n v="12608"/>
    <s v="WHCPQ"/>
    <s v="Campinas"/>
    <s v="SP"/>
    <n v="4126"/>
    <x v="114"/>
    <s v="Belo Horizonte"/>
    <s v="MG"/>
    <x v="2"/>
    <s v="MG"/>
    <n v="66.760000000000005"/>
    <n v="1"/>
    <n v="1.1200000000000001"/>
    <n v="6600879"/>
    <x v="2"/>
    <s v="Belo Horizonte"/>
    <s v="Convencional"/>
    <n v="5"/>
    <d v="2019-08-27T00:00:00"/>
    <x v="575"/>
    <x v="0"/>
    <d v="2019-09-01T00:00:00"/>
    <x v="1"/>
    <x v="0"/>
    <n v="0"/>
    <n v="1"/>
  </r>
  <r>
    <d v="2019-08-26T00:00:00"/>
    <n v="12609"/>
    <s v="WHRJ"/>
    <s v="Rio De Janeiro"/>
    <s v="RJ"/>
    <n v="4034"/>
    <x v="36"/>
    <s v="Goiania"/>
    <s v="GO"/>
    <x v="1"/>
    <s v="GO"/>
    <n v="399.46"/>
    <n v="3"/>
    <n v="10.603999999999999"/>
    <n v="6100231"/>
    <x v="1"/>
    <s v="Goiania"/>
    <s v="Convencional"/>
    <n v="4"/>
    <d v="2019-08-27T00:00:00"/>
    <x v="574"/>
    <x v="0"/>
    <d v="2019-08-31T00:00:00"/>
    <x v="1"/>
    <x v="0"/>
    <n v="0"/>
    <n v="1"/>
  </r>
  <r>
    <d v="2019-08-27T00:00:00"/>
    <n v="12610"/>
    <s v="WHSJC"/>
    <s v="Sao Jose dos Campos"/>
    <s v="SP"/>
    <n v="4143"/>
    <x v="131"/>
    <s v="Manaus"/>
    <s v="AM"/>
    <x v="4"/>
    <s v="AM"/>
    <n v="6532.24"/>
    <n v="1"/>
    <n v="1.1200000000000001"/>
    <n v="6700091"/>
    <x v="6"/>
    <s v="Manaus"/>
    <s v="Convencional"/>
    <n v="5"/>
    <d v="2019-08-28T00:00:00"/>
    <x v="576"/>
    <x v="0"/>
    <d v="2019-09-02T00:00:00"/>
    <x v="1"/>
    <x v="0"/>
    <n v="0"/>
    <n v="1"/>
  </r>
  <r>
    <d v="2019-08-27T00:00:00"/>
    <n v="12611"/>
    <s v="WHVIT"/>
    <s v="Vitoria"/>
    <s v="ES"/>
    <n v="4022"/>
    <x v="19"/>
    <s v="Maringa"/>
    <s v="PR"/>
    <x v="0"/>
    <s v="PR"/>
    <n v="2660.69"/>
    <n v="1"/>
    <n v="16.5"/>
    <n v="6500948"/>
    <x v="0"/>
    <s v="Porto Alegre"/>
    <s v="Convencional"/>
    <n v="11"/>
    <d v="2019-08-28T00:00:00"/>
    <x v="576"/>
    <x v="0"/>
    <d v="2019-09-08T00:00:00"/>
    <x v="0"/>
    <x v="0"/>
    <n v="1"/>
    <n v="1"/>
  </r>
  <r>
    <d v="2019-08-27T00:00:00"/>
    <n v="12612"/>
    <s v="WHCPQ"/>
    <s v="Campinas"/>
    <s v="SP"/>
    <n v="4032"/>
    <x v="34"/>
    <s v="Goiania"/>
    <s v="GO"/>
    <x v="1"/>
    <s v="GO"/>
    <n v="1147.73"/>
    <n v="2"/>
    <n v="12.332000000000001"/>
    <n v="6100231"/>
    <x v="1"/>
    <s v="Goiania"/>
    <s v="Convencional"/>
    <n v="8"/>
    <d v="2019-08-28T00:00:00"/>
    <x v="574"/>
    <x v="0"/>
    <d v="2019-09-05T00:00:00"/>
    <x v="0"/>
    <x v="0"/>
    <n v="1"/>
    <n v="1"/>
  </r>
  <r>
    <d v="2019-08-28T00:00:00"/>
    <n v="12613"/>
    <s v="WHVIT"/>
    <s v="Vitoria"/>
    <s v="ES"/>
    <n v="4190"/>
    <x v="178"/>
    <s v="Belo Horizonte"/>
    <s v="MG"/>
    <x v="2"/>
    <s v="MG"/>
    <n v="19741.09"/>
    <n v="23"/>
    <n v="132.37"/>
    <n v="6600879"/>
    <x v="2"/>
    <s v="Belo Horizonte"/>
    <s v="Convencional"/>
    <n v="4"/>
    <d v="2019-08-29T00:00:00"/>
    <x v="576"/>
    <x v="1"/>
    <d v="2019-09-02T00:00:00"/>
    <x v="1"/>
    <x v="1"/>
    <n v="0"/>
    <n v="1"/>
  </r>
  <r>
    <d v="2019-08-28T00:00:00"/>
    <n v="12614"/>
    <s v="WHSJC"/>
    <s v="Sao Jose dos Campos"/>
    <s v="SP"/>
    <n v="4157"/>
    <x v="145"/>
    <s v="Belo Horizonte"/>
    <s v="MG"/>
    <x v="2"/>
    <s v="MG"/>
    <n v="909.42"/>
    <n v="1"/>
    <n v="1.1200000000000001"/>
    <n v="6600879"/>
    <x v="2"/>
    <s v="Belo Horizonte"/>
    <s v="Convencional"/>
    <n v="2"/>
    <d v="2019-08-29T00:00:00"/>
    <x v="572"/>
    <x v="0"/>
    <d v="2019-08-31T00:00:00"/>
    <x v="1"/>
    <x v="0"/>
    <n v="0"/>
    <n v="1"/>
  </r>
  <r>
    <d v="2019-08-28T00:00:00"/>
    <n v="12615"/>
    <s v="WHVIT"/>
    <s v="Vitoria"/>
    <s v="ES"/>
    <n v="4154"/>
    <x v="142"/>
    <s v="Recife"/>
    <s v="PE"/>
    <x v="3"/>
    <s v="PE"/>
    <n v="1083.31"/>
    <n v="1"/>
    <n v="9.35"/>
    <n v="6900304"/>
    <x v="5"/>
    <s v="Fortaleza"/>
    <s v="Convencional"/>
    <n v="1"/>
    <d v="2019-08-29T00:00:00"/>
    <x v="574"/>
    <x v="0"/>
    <d v="2019-08-30T00:00:00"/>
    <x v="1"/>
    <x v="0"/>
    <n v="0"/>
    <n v="1"/>
  </r>
  <r>
    <d v="2019-08-28T00:00:00"/>
    <n v="12616"/>
    <s v="WHSJC"/>
    <s v="Sao Jose dos Campos"/>
    <s v="SP"/>
    <n v="4218"/>
    <x v="206"/>
    <s v="Santos"/>
    <s v="SP"/>
    <x v="2"/>
    <s v="SP"/>
    <n v="872.9"/>
    <n v="1"/>
    <n v="1.1919999999999999"/>
    <n v="6400835"/>
    <x v="3"/>
    <s v="Guarulhos"/>
    <s v="Convencional"/>
    <n v="6"/>
    <d v="2019-08-29T00:00:00"/>
    <x v="574"/>
    <x v="1"/>
    <d v="2019-09-04T00:00:00"/>
    <x v="0"/>
    <x v="1"/>
    <n v="0"/>
    <n v="1"/>
  </r>
  <r>
    <d v="2019-08-28T00:00:00"/>
    <n v="12617"/>
    <s v="WHSAO"/>
    <s v="Sao Paulo"/>
    <s v="SP"/>
    <n v="4165"/>
    <x v="153"/>
    <s v="Recife"/>
    <s v="PE"/>
    <x v="3"/>
    <s v="PE"/>
    <n v="2583.21"/>
    <n v="2"/>
    <n v="71.706000000000003"/>
    <n v="6900304"/>
    <x v="5"/>
    <s v="Fortaleza"/>
    <s v="Convencional"/>
    <n v="10"/>
    <d v="2019-08-29T00:00:00"/>
    <x v="577"/>
    <x v="0"/>
    <d v="2019-09-08T00:00:00"/>
    <x v="0"/>
    <x v="0"/>
    <n v="1"/>
    <n v="1"/>
  </r>
  <r>
    <d v="2019-08-28T00:00:00"/>
    <n v="12618"/>
    <s v="WHBH"/>
    <s v="Belo Horizonte"/>
    <s v="MG"/>
    <n v="4013"/>
    <x v="1"/>
    <s v="Blumenau"/>
    <s v="SC"/>
    <x v="0"/>
    <s v="SC"/>
    <n v="799.97"/>
    <n v="1"/>
    <n v="1.1200000000000001"/>
    <n v="6500948"/>
    <x v="0"/>
    <s v="Porto Alegre"/>
    <s v="Convencional"/>
    <n v="6"/>
    <d v="2019-08-29T00:00:00"/>
    <x v="575"/>
    <x v="0"/>
    <d v="2019-09-04T00:00:00"/>
    <x v="0"/>
    <x v="0"/>
    <n v="1"/>
    <n v="1"/>
  </r>
  <r>
    <d v="2019-08-29T00:00:00"/>
    <n v="12619"/>
    <s v="WHCPQ"/>
    <s v="Campinas"/>
    <s v="SP"/>
    <n v="4019"/>
    <x v="13"/>
    <s v="Florianopolis"/>
    <s v="SC"/>
    <x v="0"/>
    <s v="SC"/>
    <n v="107.52"/>
    <n v="1"/>
    <n v="1.1200000000000001"/>
    <n v="6500948"/>
    <x v="0"/>
    <s v="Porto Alegre"/>
    <s v="Convencional"/>
    <n v="6"/>
    <d v="2019-08-29T00:00:00"/>
    <x v="574"/>
    <x v="0"/>
    <d v="2019-09-04T00:00:00"/>
    <x v="0"/>
    <x v="0"/>
    <n v="1"/>
    <n v="1"/>
  </r>
  <r>
    <d v="2019-08-29T00:00:00"/>
    <n v="12620"/>
    <s v="WHSJC"/>
    <s v="Sao Jose dos Campos"/>
    <s v="SP"/>
    <n v="4019"/>
    <x v="13"/>
    <s v="Florianopolis"/>
    <s v="SC"/>
    <x v="0"/>
    <s v="SC"/>
    <n v="67.38"/>
    <n v="1"/>
    <n v="0.11"/>
    <n v="6500948"/>
    <x v="0"/>
    <s v="Porto Alegre"/>
    <s v="Convencional"/>
    <n v="10"/>
    <d v="2019-08-29T00:00:00"/>
    <x v="568"/>
    <x v="0"/>
    <d v="2019-09-08T00:00:00"/>
    <x v="0"/>
    <x v="0"/>
    <n v="1"/>
    <n v="1"/>
  </r>
  <r>
    <d v="2019-08-29T00:00:00"/>
    <n v="12621"/>
    <s v="WHCPQ"/>
    <s v="Campinas"/>
    <s v="SP"/>
    <n v="4022"/>
    <x v="19"/>
    <s v="Maringa"/>
    <s v="PR"/>
    <x v="0"/>
    <s v="PR"/>
    <n v="44.88"/>
    <n v="5"/>
    <n v="18.966999999999999"/>
    <n v="6500948"/>
    <x v="0"/>
    <s v="Porto Alegre"/>
    <s v="Convencional"/>
    <n v="10"/>
    <d v="2019-08-29T00:00:00"/>
    <x v="573"/>
    <x v="0"/>
    <d v="2019-09-08T00:00:00"/>
    <x v="0"/>
    <x v="0"/>
    <n v="1"/>
    <n v="1"/>
  </r>
  <r>
    <d v="2019-08-29T00:00:00"/>
    <n v="12622"/>
    <s v="WHVIT"/>
    <s v="Vitoria"/>
    <s v="ES"/>
    <n v="4022"/>
    <x v="19"/>
    <s v="Maringa"/>
    <s v="PR"/>
    <x v="0"/>
    <s v="PR"/>
    <n v="2897.34"/>
    <n v="1"/>
    <n v="1.1200000000000001"/>
    <n v="6500948"/>
    <x v="0"/>
    <s v="Porto Alegre"/>
    <s v="Convencional"/>
    <n v="6"/>
    <d v="2019-08-29T00:00:00"/>
    <x v="568"/>
    <x v="0"/>
    <d v="2019-09-04T00:00:00"/>
    <x v="0"/>
    <x v="0"/>
    <n v="1"/>
    <n v="1"/>
  </r>
  <r>
    <d v="2019-08-29T00:00:00"/>
    <n v="12623"/>
    <s v="WHVIT"/>
    <s v="Vitoria"/>
    <s v="ES"/>
    <n v="4032"/>
    <x v="34"/>
    <s v="Goiania"/>
    <s v="GO"/>
    <x v="1"/>
    <s v="GO"/>
    <n v="3479.51"/>
    <n v="6"/>
    <n v="24.937000000000001"/>
    <n v="6100231"/>
    <x v="1"/>
    <s v="Goiania"/>
    <s v="Convencional"/>
    <n v="10"/>
    <d v="2019-08-29T00:00:00"/>
    <x v="577"/>
    <x v="0"/>
    <d v="2019-09-08T00:00:00"/>
    <x v="0"/>
    <x v="0"/>
    <n v="1"/>
    <n v="1"/>
  </r>
  <r>
    <d v="2019-08-29T00:00:00"/>
    <n v="12624"/>
    <s v="WHSAO"/>
    <s v="Sao Paulo"/>
    <s v="SP"/>
    <n v="4019"/>
    <x v="13"/>
    <s v="Florianopolis"/>
    <s v="SC"/>
    <x v="0"/>
    <s v="SC"/>
    <n v="755.94"/>
    <n v="1"/>
    <n v="1.1200000000000001"/>
    <n v="6500948"/>
    <x v="0"/>
    <s v="Porto Alegre"/>
    <s v="Convencional"/>
    <n v="5"/>
    <d v="2019-08-29T00:00:00"/>
    <x v="568"/>
    <x v="0"/>
    <d v="2019-09-03T00:00:00"/>
    <x v="0"/>
    <x v="0"/>
    <n v="1"/>
    <n v="1"/>
  </r>
  <r>
    <d v="2019-08-29T00:00:00"/>
    <n v="12625"/>
    <s v="WHVIT"/>
    <s v="Vitoria"/>
    <s v="ES"/>
    <n v="4019"/>
    <x v="13"/>
    <s v="Florianopolis"/>
    <s v="SC"/>
    <x v="0"/>
    <s v="SC"/>
    <n v="552.02"/>
    <n v="1"/>
    <n v="1.1200000000000001"/>
    <n v="6500948"/>
    <x v="0"/>
    <s v="Porto Alegre"/>
    <s v="Convencional"/>
    <n v="11"/>
    <d v="2019-08-29T00:00:00"/>
    <x v="572"/>
    <x v="0"/>
    <d v="2019-09-09T00:00:00"/>
    <x v="0"/>
    <x v="0"/>
    <n v="1"/>
    <n v="1"/>
  </r>
  <r>
    <d v="2019-08-29T00:00:00"/>
    <n v="12626"/>
    <s v="WHRJ"/>
    <s v="Rio De Janeiro"/>
    <s v="RJ"/>
    <n v="4019"/>
    <x v="13"/>
    <s v="Florianopolis"/>
    <s v="SC"/>
    <x v="0"/>
    <s v="SC"/>
    <n v="126.16"/>
    <n v="1"/>
    <n v="1.1200000000000001"/>
    <n v="6500948"/>
    <x v="0"/>
    <s v="Porto Alegre"/>
    <s v="Convencional"/>
    <n v="5"/>
    <d v="2019-08-29T00:00:00"/>
    <x v="573"/>
    <x v="0"/>
    <d v="2019-09-03T00:00:00"/>
    <x v="0"/>
    <x v="0"/>
    <n v="1"/>
    <n v="1"/>
  </r>
  <r>
    <d v="2019-08-29T00:00:00"/>
    <n v="12627"/>
    <s v="WHRJ"/>
    <s v="Rio De Janeiro"/>
    <s v="RJ"/>
    <n v="4019"/>
    <x v="13"/>
    <s v="Florianopolis"/>
    <s v="SC"/>
    <x v="0"/>
    <s v="SC"/>
    <n v="5268.75"/>
    <n v="8"/>
    <n v="31.036999999999999"/>
    <n v="6500948"/>
    <x v="0"/>
    <s v="Porto Alegre"/>
    <s v="Convencional"/>
    <n v="6"/>
    <d v="2019-08-29T00:00:00"/>
    <x v="578"/>
    <x v="0"/>
    <d v="2019-09-04T00:00:00"/>
    <x v="1"/>
    <x v="0"/>
    <n v="0"/>
    <n v="1"/>
  </r>
  <r>
    <d v="2019-08-29T00:00:00"/>
    <n v="12628"/>
    <s v="WHRJ"/>
    <s v="Rio De Janeiro"/>
    <s v="RJ"/>
    <n v="4019"/>
    <x v="13"/>
    <s v="Florianopolis"/>
    <s v="SC"/>
    <x v="0"/>
    <s v="SC"/>
    <n v="17.420000000000002"/>
    <n v="1"/>
    <n v="1.1200000000000001"/>
    <n v="6500948"/>
    <x v="0"/>
    <s v="Porto Alegre"/>
    <s v="Urgente"/>
    <n v="10"/>
    <d v="2019-08-29T00:00:00"/>
    <x v="568"/>
    <x v="0"/>
    <d v="2019-09-08T00:00:00"/>
    <x v="0"/>
    <x v="0"/>
    <n v="1"/>
    <n v="1"/>
  </r>
  <r>
    <d v="2019-08-29T00:00:00"/>
    <n v="12629"/>
    <s v="WHRJ"/>
    <s v="Rio De Janeiro"/>
    <s v="RJ"/>
    <n v="4019"/>
    <x v="13"/>
    <s v="Florianopolis"/>
    <s v="SC"/>
    <x v="0"/>
    <s v="SC"/>
    <n v="817.59"/>
    <n v="1"/>
    <n v="5.28"/>
    <n v="6500948"/>
    <x v="0"/>
    <s v="Porto Alegre"/>
    <s v="Convencional"/>
    <n v="6"/>
    <d v="2019-08-29T00:00:00"/>
    <x v="573"/>
    <x v="0"/>
    <d v="2019-09-04T00:00:00"/>
    <x v="0"/>
    <x v="0"/>
    <n v="1"/>
    <n v="1"/>
  </r>
  <r>
    <d v="2019-08-29T00:00:00"/>
    <n v="12630"/>
    <s v="WHSJC"/>
    <s v="Sao Jose dos Campos"/>
    <s v="SP"/>
    <n v="4019"/>
    <x v="13"/>
    <s v="Florianopolis"/>
    <s v="SC"/>
    <x v="0"/>
    <s v="SC"/>
    <n v="27.8"/>
    <n v="1"/>
    <n v="6.0000000000000001E-3"/>
    <n v="6500948"/>
    <x v="0"/>
    <s v="Porto Alegre"/>
    <s v="Convencional"/>
    <n v="12"/>
    <d v="2019-08-29T00:00:00"/>
    <x v="574"/>
    <x v="0"/>
    <d v="2019-09-10T00:00:00"/>
    <x v="0"/>
    <x v="0"/>
    <n v="1"/>
    <n v="1"/>
  </r>
  <r>
    <d v="2019-08-30T00:00:00"/>
    <n v="12631"/>
    <s v="WHSJC"/>
    <s v="Sao Jose dos Campos"/>
    <s v="SP"/>
    <n v="4145"/>
    <x v="133"/>
    <s v="Rio Grande do Sul"/>
    <s v="RS"/>
    <x v="0"/>
    <s v="RS"/>
    <n v="8850.4"/>
    <n v="4"/>
    <n v="37.420999999999999"/>
    <n v="6500948"/>
    <x v="0"/>
    <s v="Porto Alegre"/>
    <s v="Convencional"/>
    <n v="2"/>
    <d v="2019-08-30T00:00:00"/>
    <x v="578"/>
    <x v="1"/>
    <d v="2019-09-01T00:00:00"/>
    <x v="1"/>
    <x v="1"/>
    <n v="0"/>
    <n v="1"/>
  </r>
  <r>
    <d v="2019-08-30T00:00:00"/>
    <n v="12632"/>
    <s v="WHBH"/>
    <s v="Belo Horizonte"/>
    <s v="MG"/>
    <n v="4018"/>
    <x v="12"/>
    <s v="Sao Jose"/>
    <s v="SC"/>
    <x v="0"/>
    <s v="SC"/>
    <n v="122.78"/>
    <n v="1"/>
    <n v="1.1200000000000001"/>
    <n v="6500948"/>
    <x v="0"/>
    <s v="Porto Alegre"/>
    <s v="Convencional"/>
    <n v="1"/>
    <d v="2019-08-30T00:00:00"/>
    <x v="572"/>
    <x v="0"/>
    <d v="2019-08-31T00:00:00"/>
    <x v="1"/>
    <x v="0"/>
    <n v="0"/>
    <n v="1"/>
  </r>
  <r>
    <d v="2019-08-30T00:00:00"/>
    <n v="12633"/>
    <s v="WHVIT"/>
    <s v="Vitoria"/>
    <s v="ES"/>
    <n v="4064"/>
    <x v="53"/>
    <s v="Presidente Prudente"/>
    <s v="SP"/>
    <x v="2"/>
    <s v="SP"/>
    <n v="886.56"/>
    <n v="1"/>
    <n v="4.84"/>
    <n v="6400835"/>
    <x v="3"/>
    <s v="Guarulhos"/>
    <s v="Convencional"/>
    <n v="10"/>
    <d v="2019-08-30T00:00:00"/>
    <x v="579"/>
    <x v="1"/>
    <d v="2019-09-09T00:00:00"/>
    <x v="0"/>
    <x v="1"/>
    <n v="0"/>
    <n v="1"/>
  </r>
  <r>
    <d v="2019-08-30T00:00:00"/>
    <n v="12634"/>
    <s v="WHSAO"/>
    <s v="Sao Paulo"/>
    <s v="SP"/>
    <n v="4064"/>
    <x v="53"/>
    <s v="Presidente Prudente"/>
    <s v="SP"/>
    <x v="2"/>
    <s v="SP"/>
    <n v="948.36"/>
    <n v="1"/>
    <n v="5.5060000000000002"/>
    <n v="6400835"/>
    <x v="3"/>
    <s v="Guarulhos"/>
    <s v="Convencional"/>
    <n v="7"/>
    <d v="2019-08-30T00:00:00"/>
    <x v="575"/>
    <x v="0"/>
    <d v="2019-09-06T00:00:00"/>
    <x v="0"/>
    <x v="0"/>
    <n v="1"/>
    <n v="1"/>
  </r>
  <r>
    <d v="2019-08-30T00:00:00"/>
    <n v="12635"/>
    <s v="WHPOA"/>
    <s v="Porto Alegre"/>
    <s v="RS"/>
    <n v="4064"/>
    <x v="53"/>
    <s v="Presidente Prudente"/>
    <s v="SP"/>
    <x v="2"/>
    <s v="SP"/>
    <n v="3856.44"/>
    <n v="4"/>
    <n v="35.526000000000003"/>
    <n v="6400835"/>
    <x v="3"/>
    <s v="Guarulhos"/>
    <s v="Convencional"/>
    <n v="12"/>
    <d v="2019-08-30T00:00:00"/>
    <x v="576"/>
    <x v="0"/>
    <d v="2019-09-11T00:00:00"/>
    <x v="0"/>
    <x v="0"/>
    <n v="1"/>
    <n v="1"/>
  </r>
  <r>
    <d v="2019-08-30T00:00:00"/>
    <n v="12636"/>
    <s v="WHVIT"/>
    <s v="Vitoria"/>
    <s v="ES"/>
    <n v="4064"/>
    <x v="53"/>
    <s v="Presidente Prudente"/>
    <s v="SP"/>
    <x v="2"/>
    <s v="SP"/>
    <n v="3291.6"/>
    <n v="2"/>
    <n v="26.4"/>
    <n v="6400835"/>
    <x v="3"/>
    <s v="Guarulhos"/>
    <s v="Convencional"/>
    <n v="4"/>
    <d v="2019-08-30T00:00:00"/>
    <x v="578"/>
    <x v="0"/>
    <d v="2019-09-03T00:00:00"/>
    <x v="1"/>
    <x v="0"/>
    <n v="0"/>
    <n v="1"/>
  </r>
  <r>
    <d v="2019-08-30T00:00:00"/>
    <n v="12637"/>
    <s v="WHVIT"/>
    <s v="Vitoria"/>
    <s v="ES"/>
    <n v="4064"/>
    <x v="53"/>
    <s v="Presidente Prudente"/>
    <s v="SP"/>
    <x v="2"/>
    <s v="SP"/>
    <n v="23.6"/>
    <n v="1"/>
    <n v="16.5"/>
    <n v="6400835"/>
    <x v="3"/>
    <s v="Guarulhos"/>
    <s v="Convencional"/>
    <n v="3"/>
    <d v="2019-08-30T00:00:00"/>
    <x v="578"/>
    <x v="0"/>
    <d v="2019-09-02T00:00:00"/>
    <x v="1"/>
    <x v="0"/>
    <n v="0"/>
    <n v="1"/>
  </r>
  <r>
    <d v="2019-08-30T00:00:00"/>
    <n v="12638"/>
    <s v="WHCPQ"/>
    <s v="Campinas"/>
    <s v="SP"/>
    <n v="4064"/>
    <x v="53"/>
    <s v="Presidente Prudente"/>
    <s v="SP"/>
    <x v="2"/>
    <s v="SP"/>
    <n v="128.55000000000001"/>
    <n v="1"/>
    <n v="9.7000000000000003E-2"/>
    <n v="6400835"/>
    <x v="3"/>
    <s v="Guarulhos"/>
    <s v="Convencional"/>
    <n v="1"/>
    <d v="2019-08-30T00:00:00"/>
    <x v="580"/>
    <x v="0"/>
    <d v="2019-08-31T00:00:00"/>
    <x v="1"/>
    <x v="0"/>
    <n v="0"/>
    <n v="1"/>
  </r>
  <r>
    <d v="2019-08-31T00:00:00"/>
    <n v="12639"/>
    <s v="WHVIT"/>
    <s v="Vitoria"/>
    <s v="ES"/>
    <n v="4161"/>
    <x v="149"/>
    <s v="Recife"/>
    <s v="PE"/>
    <x v="3"/>
    <s v="PE"/>
    <n v="2668.31"/>
    <n v="2"/>
    <n v="26.18"/>
    <n v="6900304"/>
    <x v="5"/>
    <s v="Fortaleza"/>
    <s v="Convencional"/>
    <n v="12"/>
    <d v="2019-08-31T00:00:00"/>
    <x v="573"/>
    <x v="0"/>
    <d v="2019-09-12T00:00:00"/>
    <x v="0"/>
    <x v="0"/>
    <n v="1"/>
    <n v="1"/>
  </r>
  <r>
    <d v="2019-08-31T00:00:00"/>
    <n v="12640"/>
    <s v="WHSAO"/>
    <s v="Sao Paulo"/>
    <s v="SP"/>
    <n v="4147"/>
    <x v="135"/>
    <s v="Belo Horizonte"/>
    <s v="MG"/>
    <x v="2"/>
    <s v="MG"/>
    <n v="1114.3599999999999"/>
    <n v="1"/>
    <n v="11.837999999999999"/>
    <n v="6600879"/>
    <x v="2"/>
    <s v="Belo Horizonte"/>
    <s v="Convencional"/>
    <n v="12"/>
    <d v="2019-08-31T00:00:00"/>
    <x v="581"/>
    <x v="0"/>
    <d v="2019-09-12T00:00:00"/>
    <x v="0"/>
    <x v="0"/>
    <n v="1"/>
    <n v="1"/>
  </r>
  <r>
    <d v="2019-08-31T00:00:00"/>
    <n v="12641"/>
    <s v="WHSJC"/>
    <s v="Sao Jose dos Campos"/>
    <s v="SP"/>
    <n v="4155"/>
    <x v="143"/>
    <s v="Sao Paulo"/>
    <s v="SP"/>
    <x v="2"/>
    <s v="SP"/>
    <n v="10.96"/>
    <n v="3"/>
    <n v="12.551"/>
    <n v="6400835"/>
    <x v="3"/>
    <s v="Guarulhos"/>
    <s v="Convencional"/>
    <n v="10"/>
    <d v="2019-08-31T00:00:00"/>
    <x v="575"/>
    <x v="0"/>
    <d v="2019-09-10T00:00:00"/>
    <x v="0"/>
    <x v="0"/>
    <n v="1"/>
    <n v="1"/>
  </r>
  <r>
    <d v="2019-08-31T00:00:00"/>
    <n v="12642"/>
    <s v="WHPOA"/>
    <s v="Porto Alegre"/>
    <s v="RS"/>
    <n v="4034"/>
    <x v="36"/>
    <s v="Goiania"/>
    <s v="GO"/>
    <x v="1"/>
    <s v="GO"/>
    <n v="836.6"/>
    <n v="1"/>
    <n v="1.1200000000000001"/>
    <n v="6100231"/>
    <x v="1"/>
    <s v="Goiania"/>
    <s v="Convencional"/>
    <n v="10"/>
    <d v="2019-08-31T00:00:00"/>
    <x v="575"/>
    <x v="0"/>
    <d v="2019-09-10T00:00:00"/>
    <x v="0"/>
    <x v="0"/>
    <n v="1"/>
    <n v="1"/>
  </r>
  <r>
    <d v="2019-08-31T00:00:00"/>
    <n v="12643"/>
    <s v="WHPOA"/>
    <s v="Porto Alegre"/>
    <s v="RS"/>
    <n v="4018"/>
    <x v="12"/>
    <s v="Sao Jose"/>
    <s v="SC"/>
    <x v="0"/>
    <s v="SC"/>
    <n v="456.07"/>
    <n v="1"/>
    <n v="1.1200000000000001"/>
    <n v="6500948"/>
    <x v="0"/>
    <s v="Porto Alegre"/>
    <s v="Convencional"/>
    <n v="9"/>
    <d v="2019-08-31T00:00:00"/>
    <x v="577"/>
    <x v="0"/>
    <d v="2019-09-09T00:00:00"/>
    <x v="0"/>
    <x v="0"/>
    <n v="1"/>
    <n v="1"/>
  </r>
  <r>
    <d v="2019-08-31T00:00:00"/>
    <n v="12644"/>
    <s v="WHSAO"/>
    <s v="Sao Paulo"/>
    <s v="SP"/>
    <n v="4045"/>
    <x v="49"/>
    <s v="Belo Horizonte"/>
    <s v="MG"/>
    <x v="2"/>
    <s v="MG"/>
    <n v="324.08999999999997"/>
    <n v="1"/>
    <n v="4.4039999999999999"/>
    <n v="6600879"/>
    <x v="2"/>
    <s v="Belo Horizonte"/>
    <s v="Convencional"/>
    <n v="12"/>
    <d v="2019-08-31T00:00:00"/>
    <x v="577"/>
    <x v="0"/>
    <d v="2019-09-12T00:00:00"/>
    <x v="0"/>
    <x v="0"/>
    <n v="1"/>
    <n v="1"/>
  </r>
  <r>
    <d v="2019-08-31T00:00:00"/>
    <n v="12645"/>
    <s v="WHBH"/>
    <s v="Belo Horizonte"/>
    <s v="MG"/>
    <n v="4119"/>
    <x v="107"/>
    <s v="Recife"/>
    <s v="PE"/>
    <x v="3"/>
    <s v="PE"/>
    <n v="10981.81"/>
    <n v="17"/>
    <n v="100.23099999999999"/>
    <n v="6900304"/>
    <x v="5"/>
    <s v="Fortaleza"/>
    <s v="Convencional"/>
    <n v="9"/>
    <d v="2019-08-31T00:00:00"/>
    <x v="576"/>
    <x v="0"/>
    <d v="2019-09-09T00:00:00"/>
    <x v="0"/>
    <x v="0"/>
    <n v="1"/>
    <n v="1"/>
  </r>
  <r>
    <d v="2019-08-31T00:00:00"/>
    <n v="12646"/>
    <s v="WHPOA"/>
    <s v="Porto Alegre"/>
    <s v="RS"/>
    <n v="4018"/>
    <x v="12"/>
    <s v="Sao Jose"/>
    <s v="SC"/>
    <x v="0"/>
    <s v="SC"/>
    <n v="3345.86"/>
    <n v="1"/>
    <n v="1.1200000000000001"/>
    <n v="6500948"/>
    <x v="0"/>
    <s v="Porto Alegre"/>
    <s v="Convencional"/>
    <n v="4"/>
    <d v="2019-08-31T00:00:00"/>
    <x v="578"/>
    <x v="0"/>
    <d v="2019-09-04T00:00:00"/>
    <x v="1"/>
    <x v="0"/>
    <n v="0"/>
    <n v="1"/>
  </r>
  <r>
    <d v="2019-08-31T00:00:00"/>
    <n v="12647"/>
    <s v="WHCPQ"/>
    <s v="Campinas"/>
    <s v="SP"/>
    <n v="4119"/>
    <x v="107"/>
    <s v="Recife"/>
    <s v="PE"/>
    <x v="3"/>
    <s v="PE"/>
    <n v="315.02999999999997"/>
    <n v="1"/>
    <n v="1.1200000000000001"/>
    <n v="6900304"/>
    <x v="5"/>
    <s v="Fortaleza"/>
    <s v="Convencional"/>
    <n v="9"/>
    <d v="2019-08-31T00:00:00"/>
    <x v="575"/>
    <x v="0"/>
    <d v="2019-09-09T00:00:00"/>
    <x v="0"/>
    <x v="0"/>
    <n v="1"/>
    <n v="1"/>
  </r>
  <r>
    <d v="2019-08-31T00:00:00"/>
    <n v="12648"/>
    <s v="WHRJ"/>
    <s v="Rio De Janeiro"/>
    <s v="RJ"/>
    <n v="4014"/>
    <x v="3"/>
    <s v="Ipatinga"/>
    <s v="MG"/>
    <x v="2"/>
    <s v="MG"/>
    <n v="1935.37"/>
    <n v="1"/>
    <n v="1.1200000000000001"/>
    <n v="6600879"/>
    <x v="2"/>
    <s v="Belo Horizonte"/>
    <s v="Convencional"/>
    <n v="5"/>
    <d v="2019-08-31T00:00:00"/>
    <x v="579"/>
    <x v="0"/>
    <d v="2019-09-05T00:00:00"/>
    <x v="1"/>
    <x v="0"/>
    <n v="0"/>
    <n v="1"/>
  </r>
  <r>
    <d v="2019-08-31T00:00:00"/>
    <n v="12649"/>
    <s v="WHBH"/>
    <s v="Belo Horizonte"/>
    <s v="MG"/>
    <n v="4045"/>
    <x v="49"/>
    <s v="Belo Horizonte"/>
    <s v="MG"/>
    <x v="2"/>
    <s v="MG"/>
    <n v="55.29"/>
    <n v="1"/>
    <n v="0.11"/>
    <n v="6600879"/>
    <x v="2"/>
    <s v="Belo Horizonte"/>
    <s v="Convencional"/>
    <n v="4"/>
    <d v="2019-08-31T00:00:00"/>
    <x v="581"/>
    <x v="0"/>
    <d v="2019-09-04T00:00:00"/>
    <x v="1"/>
    <x v="0"/>
    <n v="0"/>
    <n v="1"/>
  </r>
  <r>
    <d v="2019-08-31T00:00:00"/>
    <n v="12650"/>
    <s v="WHPOA"/>
    <s v="Porto Alegre"/>
    <s v="RS"/>
    <n v="4014"/>
    <x v="3"/>
    <s v="Ipatinga"/>
    <s v="MG"/>
    <x v="2"/>
    <s v="MG"/>
    <n v="6343.08"/>
    <n v="4"/>
    <n v="188.94800000000001"/>
    <n v="6600879"/>
    <x v="2"/>
    <s v="Belo Horizonte"/>
    <s v="Convencional"/>
    <n v="9"/>
    <d v="2019-08-31T00:00:00"/>
    <x v="575"/>
    <x v="0"/>
    <d v="2019-09-09T00:00:00"/>
    <x v="0"/>
    <x v="0"/>
    <n v="1"/>
    <n v="1"/>
  </r>
  <r>
    <d v="2019-08-31T00:00:00"/>
    <n v="12651"/>
    <s v="WHSAO"/>
    <s v="Sao Paulo"/>
    <s v="SP"/>
    <n v="4056"/>
    <x v="44"/>
    <s v="Goiania"/>
    <s v="GO"/>
    <x v="1"/>
    <s v="GO"/>
    <n v="323.82"/>
    <n v="1"/>
    <n v="1.1200000000000001"/>
    <n v="6100231"/>
    <x v="1"/>
    <s v="Goiania"/>
    <s v="Convencional"/>
    <n v="4"/>
    <d v="2019-08-31T00:00:00"/>
    <x v="574"/>
    <x v="0"/>
    <d v="2019-09-04T00:00:00"/>
    <x v="0"/>
    <x v="0"/>
    <n v="1"/>
    <n v="1"/>
  </r>
  <r>
    <d v="2019-08-31T00:00:00"/>
    <n v="12652"/>
    <s v="WHVIT"/>
    <s v="Vitoria"/>
    <s v="ES"/>
    <n v="4045"/>
    <x v="49"/>
    <s v="Belo Horizonte"/>
    <s v="MG"/>
    <x v="2"/>
    <s v="MG"/>
    <n v="36.08"/>
    <n v="1"/>
    <n v="1.1200000000000001"/>
    <n v="6600879"/>
    <x v="2"/>
    <s v="Belo Horizonte"/>
    <s v="Convencional"/>
    <n v="10"/>
    <d v="2019-08-31T00:00:00"/>
    <x v="576"/>
    <x v="0"/>
    <d v="2019-09-10T00:00:00"/>
    <x v="0"/>
    <x v="0"/>
    <n v="1"/>
    <n v="1"/>
  </r>
  <r>
    <d v="2019-08-31T00:00:00"/>
    <n v="12653"/>
    <s v="WHSAO"/>
    <s v="Sao Paulo"/>
    <s v="SP"/>
    <n v="4119"/>
    <x v="107"/>
    <s v="Recife"/>
    <s v="PE"/>
    <x v="3"/>
    <s v="PE"/>
    <n v="8061.9"/>
    <n v="8"/>
    <n v="48.356999999999999"/>
    <n v="6900304"/>
    <x v="5"/>
    <s v="Fortaleza"/>
    <s v="Convencional"/>
    <n v="5"/>
    <d v="2019-08-31T00:00:00"/>
    <x v="577"/>
    <x v="0"/>
    <d v="2019-09-05T00:00:00"/>
    <x v="1"/>
    <x v="0"/>
    <n v="0"/>
    <n v="1"/>
  </r>
  <r>
    <d v="2019-08-31T00:00:00"/>
    <n v="12654"/>
    <s v="WHSJC"/>
    <s v="Sao Jose dos Campos"/>
    <s v="SP"/>
    <n v="4014"/>
    <x v="3"/>
    <s v="Ipatinga"/>
    <s v="MG"/>
    <x v="2"/>
    <s v="MG"/>
    <n v="1114.96"/>
    <n v="1"/>
    <n v="1.1200000000000001"/>
    <n v="6600879"/>
    <x v="2"/>
    <s v="Belo Horizonte"/>
    <s v="Convencional"/>
    <n v="1"/>
    <d v="2019-08-31T00:00:00"/>
    <x v="579"/>
    <x v="0"/>
    <d v="2019-09-01T00:00:00"/>
    <x v="1"/>
    <x v="0"/>
    <n v="0"/>
    <n v="1"/>
  </r>
  <r>
    <d v="2019-08-31T00:00:00"/>
    <n v="12655"/>
    <s v="WHRJ"/>
    <s v="Rio De Janeiro"/>
    <s v="RJ"/>
    <n v="4056"/>
    <x v="44"/>
    <s v="Goiania"/>
    <s v="GO"/>
    <x v="1"/>
    <s v="GO"/>
    <n v="203.82"/>
    <n v="1"/>
    <n v="0.224"/>
    <n v="6100231"/>
    <x v="1"/>
    <s v="Goiania"/>
    <s v="Convencional"/>
    <n v="2"/>
    <d v="2019-08-31T00:00:00"/>
    <x v="581"/>
    <x v="1"/>
    <d v="2019-09-02T00:00:00"/>
    <x v="1"/>
    <x v="1"/>
    <n v="0"/>
    <n v="1"/>
  </r>
  <r>
    <d v="2019-08-31T00:00:00"/>
    <n v="12656"/>
    <s v="WHRJ"/>
    <s v="Rio De Janeiro"/>
    <s v="RJ"/>
    <n v="4045"/>
    <x v="49"/>
    <s v="Belo Horizonte"/>
    <s v="MG"/>
    <x v="2"/>
    <s v="MG"/>
    <n v="3500.99"/>
    <n v="5"/>
    <n v="26.077000000000002"/>
    <n v="6600879"/>
    <x v="2"/>
    <s v="Belo Horizonte"/>
    <s v="Convencional"/>
    <n v="11"/>
    <d v="2019-08-31T00:00:00"/>
    <x v="573"/>
    <x v="0"/>
    <d v="2019-09-11T00:00:00"/>
    <x v="0"/>
    <x v="0"/>
    <n v="1"/>
    <n v="1"/>
  </r>
  <r>
    <d v="2019-08-31T00:00:00"/>
    <n v="12657"/>
    <s v="WHPOA"/>
    <s v="Porto Alegre"/>
    <s v="RS"/>
    <n v="4119"/>
    <x v="107"/>
    <s v="Recife"/>
    <s v="PE"/>
    <x v="3"/>
    <s v="PE"/>
    <n v="164.27"/>
    <n v="1"/>
    <n v="1.1200000000000001"/>
    <n v="6900304"/>
    <x v="5"/>
    <s v="Fortaleza"/>
    <s v="Convencional"/>
    <n v="12"/>
    <d v="2019-08-31T00:00:00"/>
    <x v="574"/>
    <x v="2"/>
    <d v="2019-09-12T00:00:00"/>
    <x v="0"/>
    <x v="1"/>
    <n v="0"/>
    <n v="1"/>
  </r>
  <r>
    <d v="2019-08-31T00:00:00"/>
    <n v="12658"/>
    <s v="WHBH"/>
    <s v="Belo Horizonte"/>
    <s v="MG"/>
    <n v="4119"/>
    <x v="107"/>
    <s v="Recife"/>
    <s v="PE"/>
    <x v="3"/>
    <s v="PE"/>
    <n v="10576.19"/>
    <n v="13"/>
    <n v="65.537999999999997"/>
    <n v="6900304"/>
    <x v="5"/>
    <s v="Fortaleza"/>
    <s v="Convencional"/>
    <n v="10"/>
    <d v="2019-08-31T00:00:00"/>
    <x v="575"/>
    <x v="0"/>
    <d v="2019-09-10T00:00:00"/>
    <x v="0"/>
    <x v="0"/>
    <n v="1"/>
    <n v="1"/>
  </r>
  <r>
    <d v="2019-08-31T00:00:00"/>
    <n v="12659"/>
    <s v="WHCPQ"/>
    <s v="Campinas"/>
    <s v="SP"/>
    <n v="4056"/>
    <x v="44"/>
    <s v="Goiania"/>
    <s v="GO"/>
    <x v="1"/>
    <s v="GO"/>
    <n v="347.14"/>
    <n v="1"/>
    <n v="1.1200000000000001"/>
    <n v="6100231"/>
    <x v="1"/>
    <s v="Goiania"/>
    <s v="Convencional"/>
    <n v="12"/>
    <d v="2019-08-31T00:00:00"/>
    <x v="572"/>
    <x v="1"/>
    <d v="2019-09-12T00:00:00"/>
    <x v="0"/>
    <x v="1"/>
    <n v="0"/>
    <n v="1"/>
  </r>
  <r>
    <d v="2019-08-31T00:00:00"/>
    <n v="12660"/>
    <s v="WHRJ"/>
    <s v="Rio De Janeiro"/>
    <s v="RJ"/>
    <n v="4045"/>
    <x v="49"/>
    <s v="Belo Horizonte"/>
    <s v="MG"/>
    <x v="2"/>
    <s v="MG"/>
    <n v="6882.16"/>
    <n v="8"/>
    <n v="42.709000000000003"/>
    <n v="6600879"/>
    <x v="2"/>
    <s v="Belo Horizonte"/>
    <s v="Convencional"/>
    <n v="6"/>
    <d v="2019-08-31T00:00:00"/>
    <x v="572"/>
    <x v="2"/>
    <d v="2019-09-06T00:00:00"/>
    <x v="0"/>
    <x v="1"/>
    <n v="0"/>
    <n v="1"/>
  </r>
  <r>
    <d v="2019-08-31T00:00:00"/>
    <n v="12661"/>
    <s v="WHPOA"/>
    <s v="Porto Alegre"/>
    <s v="RS"/>
    <n v="4045"/>
    <x v="49"/>
    <s v="Belo Horizonte"/>
    <s v="MG"/>
    <x v="2"/>
    <s v="MG"/>
    <n v="892.17"/>
    <n v="1"/>
    <n v="4.84"/>
    <n v="6600879"/>
    <x v="2"/>
    <s v="Belo Horizonte"/>
    <s v="Convencional"/>
    <n v="12"/>
    <d v="2019-08-31T00:00:00"/>
    <x v="573"/>
    <x v="0"/>
    <d v="2019-09-12T00:00:00"/>
    <x v="0"/>
    <x v="0"/>
    <n v="1"/>
    <n v="1"/>
  </r>
  <r>
    <d v="2019-09-04T00:00:00"/>
    <n v="12662"/>
    <s v="WHBH"/>
    <s v="Belo Horizonte"/>
    <s v="MG"/>
    <n v="4166"/>
    <x v="154"/>
    <s v="Manaus"/>
    <s v="AM"/>
    <x v="4"/>
    <s v="AM"/>
    <n v="313.27"/>
    <n v="7"/>
    <n v="17.294"/>
    <n v="6700091"/>
    <x v="6"/>
    <s v="Manaus"/>
    <s v="Convencional"/>
    <n v="5"/>
    <d v="2019-09-04T00:00:00"/>
    <x v="582"/>
    <x v="0"/>
    <d v="2019-09-09T00:00:00"/>
    <x v="1"/>
    <x v="0"/>
    <n v="0"/>
    <n v="1"/>
  </r>
  <r>
    <d v="2019-09-04T00:00:00"/>
    <n v="12663"/>
    <s v="WHCPQ"/>
    <s v="Campinas"/>
    <s v="SP"/>
    <n v="4068"/>
    <x v="4"/>
    <s v="Campo Grande"/>
    <s v="MS"/>
    <x v="1"/>
    <s v="MS"/>
    <n v="2994.86"/>
    <n v="1"/>
    <n v="1.1200000000000001"/>
    <n v="6100231"/>
    <x v="1"/>
    <s v="Goiania"/>
    <s v="Convencional"/>
    <n v="7"/>
    <d v="2019-09-04T00:00:00"/>
    <x v="583"/>
    <x v="2"/>
    <d v="2019-09-11T00:00:00"/>
    <x v="0"/>
    <x v="1"/>
    <n v="0"/>
    <n v="1"/>
  </r>
  <r>
    <d v="2019-09-05T00:00:00"/>
    <n v="12664"/>
    <s v="WHPOA"/>
    <s v="Porto Alegre"/>
    <s v="RS"/>
    <n v="4024"/>
    <x v="21"/>
    <s v="Porto Alegre"/>
    <s v="RS"/>
    <x v="0"/>
    <s v="RS"/>
    <n v="291.82"/>
    <n v="1"/>
    <n v="1.1200000000000001"/>
    <n v="6500948"/>
    <x v="0"/>
    <s v="Porto Alegre"/>
    <s v="Convencional"/>
    <n v="4"/>
    <d v="2019-09-05T00:00:00"/>
    <x v="581"/>
    <x v="0"/>
    <d v="2019-09-09T00:00:00"/>
    <x v="1"/>
    <x v="0"/>
    <n v="0"/>
    <n v="1"/>
  </r>
  <r>
    <d v="2019-09-06T00:00:00"/>
    <n v="12665"/>
    <s v="WHVIT"/>
    <s v="Vitoria"/>
    <s v="ES"/>
    <n v="4033"/>
    <x v="35"/>
    <s v="Goiania"/>
    <s v="GO"/>
    <x v="1"/>
    <s v="GO"/>
    <n v="13197.89"/>
    <n v="12"/>
    <n v="65.022999999999996"/>
    <n v="6100231"/>
    <x v="1"/>
    <s v="Goiania"/>
    <s v="Convencional"/>
    <n v="8"/>
    <d v="2019-09-06T00:00:00"/>
    <x v="581"/>
    <x v="2"/>
    <d v="2019-09-14T00:00:00"/>
    <x v="0"/>
    <x v="1"/>
    <n v="0"/>
    <n v="1"/>
  </r>
  <r>
    <d v="2019-09-06T00:00:00"/>
    <n v="12666"/>
    <s v="WHSAO"/>
    <s v="Sao Paulo"/>
    <s v="SP"/>
    <n v="4132"/>
    <x v="120"/>
    <s v="Santos"/>
    <s v="SP"/>
    <x v="2"/>
    <s v="SP"/>
    <n v="245.31"/>
    <n v="1"/>
    <n v="1.1200000000000001"/>
    <n v="6400835"/>
    <x v="3"/>
    <s v="Guarulhos"/>
    <s v="Convencional"/>
    <n v="2"/>
    <d v="2019-09-06T00:00:00"/>
    <x v="581"/>
    <x v="0"/>
    <d v="2019-09-08T00:00:00"/>
    <x v="1"/>
    <x v="0"/>
    <n v="0"/>
    <n v="1"/>
  </r>
  <r>
    <d v="2019-09-06T00:00:00"/>
    <n v="12667"/>
    <s v="WHRJ"/>
    <s v="Rio De Janeiro"/>
    <s v="RJ"/>
    <n v="4133"/>
    <x v="121"/>
    <s v="Belo Horizonte"/>
    <s v="MG"/>
    <x v="2"/>
    <s v="MG"/>
    <n v="2380.2800000000002"/>
    <n v="3"/>
    <n v="23.97"/>
    <n v="6600879"/>
    <x v="2"/>
    <s v="Belo Horizonte"/>
    <s v="Convencional"/>
    <n v="10"/>
    <d v="2019-09-06T00:00:00"/>
    <x v="580"/>
    <x v="0"/>
    <d v="2019-09-16T00:00:00"/>
    <x v="0"/>
    <x v="0"/>
    <n v="1"/>
    <n v="1"/>
  </r>
  <r>
    <d v="2019-09-06T00:00:00"/>
    <n v="12668"/>
    <s v="WHVIT"/>
    <s v="Vitoria"/>
    <s v="ES"/>
    <n v="4147"/>
    <x v="135"/>
    <s v="Belo Horizonte"/>
    <s v="MG"/>
    <x v="2"/>
    <s v="MG"/>
    <n v="3456.2"/>
    <n v="2"/>
    <n v="20.823"/>
    <n v="6600879"/>
    <x v="2"/>
    <s v="Belo Horizonte"/>
    <s v="Convencional"/>
    <n v="7"/>
    <d v="2019-09-06T00:00:00"/>
    <x v="579"/>
    <x v="0"/>
    <d v="2019-09-13T00:00:00"/>
    <x v="0"/>
    <x v="0"/>
    <n v="1"/>
    <n v="1"/>
  </r>
  <r>
    <d v="2019-09-06T00:00:00"/>
    <n v="12669"/>
    <s v="WHSAO"/>
    <s v="Sao Paulo"/>
    <s v="SP"/>
    <n v="4173"/>
    <x v="161"/>
    <s v="Belo Horizonte"/>
    <s v="MG"/>
    <x v="2"/>
    <s v="MG"/>
    <n v="84.03"/>
    <n v="1"/>
    <n v="1.1200000000000001"/>
    <n v="6600879"/>
    <x v="2"/>
    <s v="Belo Horizonte"/>
    <s v="Convencional"/>
    <n v="8"/>
    <d v="2019-09-06T00:00:00"/>
    <x v="583"/>
    <x v="0"/>
    <d v="2019-09-14T00:00:00"/>
    <x v="0"/>
    <x v="0"/>
    <n v="1"/>
    <n v="1"/>
  </r>
  <r>
    <d v="2019-09-06T00:00:00"/>
    <n v="12670"/>
    <s v="WHSAO"/>
    <s v="Sao Paulo"/>
    <s v="SP"/>
    <n v="4231"/>
    <x v="219"/>
    <s v="Rio De Janeiro"/>
    <s v="RJ"/>
    <x v="2"/>
    <s v="RJ"/>
    <n v="1531.55"/>
    <n v="1"/>
    <n v="1.3460000000000001"/>
    <n v="6140092"/>
    <x v="4"/>
    <s v="Rio de Janeiro"/>
    <s v="Convencional"/>
    <n v="6"/>
    <d v="2019-09-06T00:00:00"/>
    <x v="584"/>
    <x v="0"/>
    <d v="2019-09-12T00:00:00"/>
    <x v="1"/>
    <x v="0"/>
    <n v="0"/>
    <n v="1"/>
  </r>
  <r>
    <d v="2019-09-06T00:00:00"/>
    <n v="12671"/>
    <s v="WHSJC"/>
    <s v="Sao Jose dos Campos"/>
    <s v="SP"/>
    <n v="4232"/>
    <x v="220"/>
    <s v="Sao Paulo"/>
    <s v="SP"/>
    <x v="2"/>
    <s v="SP"/>
    <n v="7264.54"/>
    <n v="9"/>
    <n v="40.209000000000003"/>
    <n v="6400835"/>
    <x v="3"/>
    <s v="Guarulhos"/>
    <s v="Convencional"/>
    <n v="5"/>
    <d v="2019-09-06T00:00:00"/>
    <x v="583"/>
    <x v="0"/>
    <d v="2019-09-11T00:00:00"/>
    <x v="0"/>
    <x v="0"/>
    <n v="1"/>
    <n v="1"/>
  </r>
  <r>
    <d v="2019-09-06T00:00:00"/>
    <n v="12672"/>
    <s v="WHBH"/>
    <s v="Belo Horizonte"/>
    <s v="MG"/>
    <n v="4023"/>
    <x v="20"/>
    <s v="Sao Jose"/>
    <s v="SC"/>
    <x v="0"/>
    <s v="SC"/>
    <n v="336.29"/>
    <n v="1"/>
    <n v="1.1200000000000001"/>
    <n v="6500948"/>
    <x v="0"/>
    <s v="Porto Alegre"/>
    <s v="Convencional"/>
    <n v="8"/>
    <d v="2019-09-06T00:00:00"/>
    <x v="585"/>
    <x v="0"/>
    <d v="2019-09-14T00:00:00"/>
    <x v="0"/>
    <x v="0"/>
    <n v="1"/>
    <n v="1"/>
  </r>
  <r>
    <d v="2019-09-06T00:00:00"/>
    <n v="12673"/>
    <s v="WHSAO"/>
    <s v="Sao Paulo"/>
    <s v="SP"/>
    <n v="4022"/>
    <x v="19"/>
    <s v="Maringa"/>
    <s v="PR"/>
    <x v="0"/>
    <s v="PR"/>
    <n v="1016.61"/>
    <n v="1"/>
    <n v="15.18"/>
    <n v="6500948"/>
    <x v="0"/>
    <s v="Porto Alegre"/>
    <s v="Convencional"/>
    <n v="10"/>
    <d v="2019-09-06T00:00:00"/>
    <x v="583"/>
    <x v="0"/>
    <d v="2019-09-16T00:00:00"/>
    <x v="0"/>
    <x v="0"/>
    <n v="1"/>
    <n v="1"/>
  </r>
  <r>
    <d v="2019-09-07T00:00:00"/>
    <n v="12674"/>
    <s v="WHPOA"/>
    <s v="Porto Alegre"/>
    <s v="RS"/>
    <n v="4068"/>
    <x v="4"/>
    <s v="Campo Grande"/>
    <s v="MS"/>
    <x v="1"/>
    <s v="MS"/>
    <n v="1016.61"/>
    <n v="1"/>
    <n v="15.18"/>
    <n v="6100231"/>
    <x v="1"/>
    <s v="Goiania"/>
    <s v="Convencional"/>
    <n v="3"/>
    <d v="2019-09-07T00:00:00"/>
    <x v="586"/>
    <x v="0"/>
    <d v="2019-09-10T00:00:00"/>
    <x v="1"/>
    <x v="0"/>
    <n v="0"/>
    <n v="1"/>
  </r>
  <r>
    <d v="2019-09-10T00:00:00"/>
    <n v="12675"/>
    <s v="WHPOA"/>
    <s v="Porto Alegre"/>
    <s v="RS"/>
    <n v="4096"/>
    <x v="84"/>
    <s v="Rio De Janeiro"/>
    <s v="RJ"/>
    <x v="2"/>
    <s v="RJ"/>
    <n v="14297.47"/>
    <n v="16"/>
    <n v="104.70399999999999"/>
    <n v="6140092"/>
    <x v="4"/>
    <s v="Rio de Janeiro"/>
    <s v="Convencional"/>
    <n v="7"/>
    <d v="2019-09-10T00:00:00"/>
    <x v="587"/>
    <x v="0"/>
    <d v="2019-09-17T00:00:00"/>
    <x v="0"/>
    <x v="0"/>
    <n v="1"/>
    <n v="1"/>
  </r>
  <r>
    <d v="2019-09-10T00:00:00"/>
    <n v="12676"/>
    <s v="WHBH"/>
    <s v="Belo Horizonte"/>
    <s v="MG"/>
    <n v="4096"/>
    <x v="84"/>
    <s v="Rio De Janeiro"/>
    <s v="RJ"/>
    <x v="2"/>
    <s v="RJ"/>
    <n v="2899.09"/>
    <n v="1"/>
    <n v="1.1200000000000001"/>
    <n v="6140092"/>
    <x v="4"/>
    <s v="Rio de Janeiro"/>
    <s v="Convencional"/>
    <n v="10"/>
    <d v="2019-09-10T00:00:00"/>
    <x v="587"/>
    <x v="0"/>
    <d v="2019-09-20T00:00:00"/>
    <x v="0"/>
    <x v="0"/>
    <n v="1"/>
    <n v="1"/>
  </r>
  <r>
    <d v="2019-09-10T00:00:00"/>
    <n v="12677"/>
    <s v="WHSJC"/>
    <s v="Sao Jose dos Campos"/>
    <s v="SP"/>
    <n v="4230"/>
    <x v="218"/>
    <s v="Belo Horizonte"/>
    <s v="MG"/>
    <x v="2"/>
    <s v="MG"/>
    <n v="31.75"/>
    <n v="7"/>
    <n v="60.84"/>
    <n v="6600879"/>
    <x v="2"/>
    <s v="Belo Horizonte"/>
    <s v="Convencional"/>
    <n v="12"/>
    <d v="2019-09-10T00:00:00"/>
    <x v="584"/>
    <x v="0"/>
    <d v="2019-09-22T00:00:00"/>
    <x v="0"/>
    <x v="0"/>
    <n v="1"/>
    <n v="1"/>
  </r>
  <r>
    <d v="2019-09-10T00:00:00"/>
    <n v="12678"/>
    <s v="WHSJC"/>
    <s v="Sao Jose dos Campos"/>
    <s v="SP"/>
    <n v="4068"/>
    <x v="4"/>
    <s v="Campo Grande"/>
    <s v="MS"/>
    <x v="1"/>
    <s v="MS"/>
    <n v="6775.78"/>
    <n v="1"/>
    <n v="1.1200000000000001"/>
    <n v="6100231"/>
    <x v="1"/>
    <s v="Goiania"/>
    <s v="Urgente"/>
    <n v="9"/>
    <d v="2019-09-10T00:00:00"/>
    <x v="583"/>
    <x v="0"/>
    <d v="2019-09-19T00:00:00"/>
    <x v="0"/>
    <x v="0"/>
    <n v="1"/>
    <n v="1"/>
  </r>
  <r>
    <d v="2019-09-10T00:00:00"/>
    <n v="12679"/>
    <s v="WHBH"/>
    <s v="Belo Horizonte"/>
    <s v="MG"/>
    <n v="4023"/>
    <x v="20"/>
    <s v="Sao Jose"/>
    <s v="SC"/>
    <x v="0"/>
    <s v="SC"/>
    <n v="90.75"/>
    <n v="1"/>
    <n v="1.1200000000000001"/>
    <n v="6500948"/>
    <x v="0"/>
    <s v="Porto Alegre"/>
    <s v="Convencional"/>
    <n v="9"/>
    <d v="2019-09-10T00:00:00"/>
    <x v="586"/>
    <x v="0"/>
    <d v="2019-09-19T00:00:00"/>
    <x v="0"/>
    <x v="0"/>
    <n v="1"/>
    <n v="1"/>
  </r>
  <r>
    <d v="2019-09-10T00:00:00"/>
    <n v="12680"/>
    <s v="WHSAO"/>
    <s v="Sao Paulo"/>
    <s v="SP"/>
    <n v="4032"/>
    <x v="34"/>
    <s v="Goiania"/>
    <s v="GO"/>
    <x v="1"/>
    <s v="GO"/>
    <n v="1574.68"/>
    <n v="1"/>
    <n v="16.5"/>
    <n v="6100231"/>
    <x v="1"/>
    <s v="Goiania"/>
    <s v="Convencional"/>
    <n v="7"/>
    <d v="2019-09-10T00:00:00"/>
    <x v="582"/>
    <x v="0"/>
    <d v="2019-09-17T00:00:00"/>
    <x v="0"/>
    <x v="0"/>
    <n v="1"/>
    <n v="1"/>
  </r>
  <r>
    <d v="2019-09-11T00:00:00"/>
    <n v="12681"/>
    <s v="WHRJ"/>
    <s v="Rio De Janeiro"/>
    <s v="RJ"/>
    <n v="4164"/>
    <x v="152"/>
    <s v="Rio Grande do Sul"/>
    <s v="RS"/>
    <x v="0"/>
    <s v="RS"/>
    <n v="2196.39"/>
    <n v="4"/>
    <n v="20.36"/>
    <n v="6500948"/>
    <x v="0"/>
    <s v="Porto Alegre"/>
    <s v="Convencional"/>
    <n v="9"/>
    <d v="2019-09-11T00:00:00"/>
    <x v="588"/>
    <x v="0"/>
    <d v="2019-09-20T00:00:00"/>
    <x v="0"/>
    <x v="0"/>
    <n v="1"/>
    <n v="1"/>
  </r>
  <r>
    <d v="2019-09-11T00:00:00"/>
    <n v="12682"/>
    <s v="WHVIT"/>
    <s v="Vitoria"/>
    <s v="ES"/>
    <n v="4128"/>
    <x v="116"/>
    <s v="Recife"/>
    <s v="PE"/>
    <x v="3"/>
    <s v="PE"/>
    <n v="40.33"/>
    <n v="1"/>
    <n v="1.1200000000000001"/>
    <n v="6900304"/>
    <x v="5"/>
    <s v="Fortaleza"/>
    <s v="Convencional"/>
    <n v="12"/>
    <d v="2019-09-11T00:00:00"/>
    <x v="585"/>
    <x v="0"/>
    <d v="2019-09-23T00:00:00"/>
    <x v="0"/>
    <x v="0"/>
    <n v="1"/>
    <n v="1"/>
  </r>
  <r>
    <d v="2019-09-12T00:00:00"/>
    <n v="12683"/>
    <s v="WHPOA"/>
    <s v="Porto Alegre"/>
    <s v="RS"/>
    <n v="4233"/>
    <x v="221"/>
    <s v="Belo Horizonte"/>
    <s v="MG"/>
    <x v="2"/>
    <s v="MG"/>
    <n v="439.66"/>
    <n v="1"/>
    <n v="0.44"/>
    <n v="6600879"/>
    <x v="2"/>
    <s v="Belo Horizonte"/>
    <s v="Convencional"/>
    <n v="11"/>
    <d v="2019-09-12T00:00:00"/>
    <x v="588"/>
    <x v="0"/>
    <d v="2019-09-23T00:00:00"/>
    <x v="0"/>
    <x v="0"/>
    <n v="1"/>
    <n v="1"/>
  </r>
  <r>
    <d v="2019-09-12T00:00:00"/>
    <n v="12684"/>
    <s v="WHCPQ"/>
    <s v="Campinas"/>
    <s v="SP"/>
    <n v="4219"/>
    <x v="207"/>
    <s v="Belo Horizonte"/>
    <s v="MG"/>
    <x v="2"/>
    <s v="MG"/>
    <n v="160.43"/>
    <n v="1"/>
    <n v="9.9000000000000005E-2"/>
    <n v="6600879"/>
    <x v="2"/>
    <s v="Belo Horizonte"/>
    <s v="Convencional"/>
    <n v="7"/>
    <d v="2019-09-12T00:00:00"/>
    <x v="589"/>
    <x v="0"/>
    <d v="2019-09-19T00:00:00"/>
    <x v="0"/>
    <x v="0"/>
    <n v="1"/>
    <n v="1"/>
  </r>
  <r>
    <d v="2019-09-12T00:00:00"/>
    <n v="12685"/>
    <s v="WHPOA"/>
    <s v="Porto Alegre"/>
    <s v="RS"/>
    <n v="4013"/>
    <x v="1"/>
    <s v="Blumenau"/>
    <s v="SC"/>
    <x v="0"/>
    <s v="SC"/>
    <n v="2818.32"/>
    <n v="8"/>
    <n v="38.265000000000001"/>
    <n v="6500948"/>
    <x v="0"/>
    <s v="Porto Alegre"/>
    <s v="Convencional"/>
    <n v="8"/>
    <d v="2019-09-12T00:00:00"/>
    <x v="582"/>
    <x v="0"/>
    <d v="2019-09-20T00:00:00"/>
    <x v="0"/>
    <x v="0"/>
    <n v="1"/>
    <n v="1"/>
  </r>
  <r>
    <d v="2019-09-12T00:00:00"/>
    <n v="12686"/>
    <s v="WHPOA"/>
    <s v="Porto Alegre"/>
    <s v="RS"/>
    <n v="4013"/>
    <x v="1"/>
    <s v="Blumenau"/>
    <s v="SC"/>
    <x v="0"/>
    <s v="SC"/>
    <n v="67.38"/>
    <n v="1"/>
    <n v="1.1200000000000001"/>
    <n v="6500948"/>
    <x v="0"/>
    <s v="Porto Alegre"/>
    <s v="Convencional"/>
    <n v="6"/>
    <d v="2019-09-12T00:00:00"/>
    <x v="586"/>
    <x v="0"/>
    <d v="2019-09-18T00:00:00"/>
    <x v="0"/>
    <x v="0"/>
    <n v="1"/>
    <n v="1"/>
  </r>
  <r>
    <d v="2019-09-12T00:00:00"/>
    <n v="12687"/>
    <s v="WHSAO"/>
    <s v="Sao Paulo"/>
    <s v="SP"/>
    <n v="4119"/>
    <x v="107"/>
    <s v="Recife"/>
    <s v="PE"/>
    <x v="3"/>
    <s v="PE"/>
    <n v="3033.73"/>
    <n v="1"/>
    <n v="1.1200000000000001"/>
    <n v="6900304"/>
    <x v="5"/>
    <s v="Fortaleza"/>
    <s v="Convencional"/>
    <n v="10"/>
    <d v="2019-09-12T00:00:00"/>
    <x v="590"/>
    <x v="0"/>
    <d v="2019-09-22T00:00:00"/>
    <x v="0"/>
    <x v="0"/>
    <n v="1"/>
    <n v="1"/>
  </r>
  <r>
    <d v="2019-09-12T00:00:00"/>
    <n v="12688"/>
    <s v="WHVIT"/>
    <s v="Vitoria"/>
    <s v="ES"/>
    <n v="4119"/>
    <x v="107"/>
    <s v="Recife"/>
    <s v="PE"/>
    <x v="3"/>
    <s v="PE"/>
    <n v="18.18"/>
    <n v="1"/>
    <n v="1.1200000000000001"/>
    <n v="6900304"/>
    <x v="5"/>
    <s v="Fortaleza"/>
    <s v="Convencional"/>
    <n v="11"/>
    <d v="2019-09-12T00:00:00"/>
    <x v="590"/>
    <x v="0"/>
    <d v="2019-09-23T00:00:00"/>
    <x v="0"/>
    <x v="0"/>
    <n v="1"/>
    <n v="1"/>
  </r>
  <r>
    <d v="2019-09-12T00:00:00"/>
    <n v="12689"/>
    <s v="WHBH"/>
    <s v="Belo Horizonte"/>
    <s v="MG"/>
    <n v="4119"/>
    <x v="107"/>
    <s v="Recife"/>
    <s v="PE"/>
    <x v="3"/>
    <s v="PE"/>
    <n v="2954.9"/>
    <n v="4"/>
    <n v="16.489000000000001"/>
    <n v="6900304"/>
    <x v="5"/>
    <s v="Fortaleza"/>
    <s v="Convencional"/>
    <n v="4"/>
    <d v="2019-09-12T00:00:00"/>
    <x v="589"/>
    <x v="0"/>
    <d v="2019-09-16T00:00:00"/>
    <x v="1"/>
    <x v="0"/>
    <n v="0"/>
    <n v="1"/>
  </r>
  <r>
    <d v="2019-09-12T00:00:00"/>
    <n v="12690"/>
    <s v="WHRJ"/>
    <s v="Rio De Janeiro"/>
    <s v="RJ"/>
    <n v="4119"/>
    <x v="107"/>
    <s v="Recife"/>
    <s v="PE"/>
    <x v="3"/>
    <s v="PE"/>
    <n v="583.91999999999996"/>
    <n v="1"/>
    <n v="1.1200000000000001"/>
    <n v="6900304"/>
    <x v="5"/>
    <s v="Fortaleza"/>
    <s v="Convencional"/>
    <n v="2"/>
    <d v="2019-09-12T00:00:00"/>
    <x v="582"/>
    <x v="0"/>
    <d v="2019-09-14T00:00:00"/>
    <x v="0"/>
    <x v="0"/>
    <n v="1"/>
    <n v="1"/>
  </r>
  <r>
    <d v="2019-09-12T00:00:00"/>
    <n v="12691"/>
    <s v="WHPOA"/>
    <s v="Porto Alegre"/>
    <s v="RS"/>
    <n v="4119"/>
    <x v="107"/>
    <s v="Recife"/>
    <s v="PE"/>
    <x v="3"/>
    <s v="PE"/>
    <n v="27.8"/>
    <n v="4"/>
    <n v="29.734999999999999"/>
    <n v="6900304"/>
    <x v="5"/>
    <s v="Fortaleza"/>
    <s v="Convencional"/>
    <n v="4"/>
    <d v="2019-09-12T00:00:00"/>
    <x v="590"/>
    <x v="0"/>
    <d v="2019-09-16T00:00:00"/>
    <x v="1"/>
    <x v="0"/>
    <n v="0"/>
    <n v="1"/>
  </r>
  <r>
    <d v="2019-09-13T00:00:00"/>
    <n v="12692"/>
    <s v="WHSAO"/>
    <s v="Sao Paulo"/>
    <s v="SP"/>
    <n v="4172"/>
    <x v="160"/>
    <s v="Santos"/>
    <s v="SP"/>
    <x v="2"/>
    <s v="SP"/>
    <n v="5801.39"/>
    <n v="1"/>
    <n v="1.1200000000000001"/>
    <n v="6400835"/>
    <x v="3"/>
    <s v="Guarulhos"/>
    <s v="Convencional"/>
    <n v="7"/>
    <d v="2019-09-13T00:00:00"/>
    <x v="591"/>
    <x v="0"/>
    <d v="2019-09-20T00:00:00"/>
    <x v="0"/>
    <x v="0"/>
    <n v="1"/>
    <n v="1"/>
  </r>
  <r>
    <d v="2019-09-13T00:00:00"/>
    <n v="12693"/>
    <s v="WHPOA"/>
    <s v="Porto Alegre"/>
    <s v="RS"/>
    <n v="4168"/>
    <x v="156"/>
    <s v="Santos"/>
    <s v="SP"/>
    <x v="2"/>
    <s v="SP"/>
    <n v="329.72"/>
    <n v="5"/>
    <n v="33.003999999999998"/>
    <n v="6400835"/>
    <x v="3"/>
    <s v="Guarulhos"/>
    <s v="Convencional"/>
    <n v="7"/>
    <d v="2019-09-13T00:00:00"/>
    <x v="589"/>
    <x v="0"/>
    <d v="2019-09-20T00:00:00"/>
    <x v="0"/>
    <x v="0"/>
    <n v="1"/>
    <n v="1"/>
  </r>
  <r>
    <d v="2019-09-13T00:00:00"/>
    <n v="12694"/>
    <s v="WHRJ"/>
    <s v="Rio De Janeiro"/>
    <s v="RJ"/>
    <n v="4171"/>
    <x v="159"/>
    <s v="Manaus"/>
    <s v="AM"/>
    <x v="4"/>
    <s v="AM"/>
    <n v="4542.24"/>
    <n v="1"/>
    <n v="1.1200000000000001"/>
    <n v="6700091"/>
    <x v="6"/>
    <s v="Manaus"/>
    <s v="Convencional"/>
    <n v="11"/>
    <d v="2019-09-13T00:00:00"/>
    <x v="592"/>
    <x v="1"/>
    <d v="2019-09-24T00:00:00"/>
    <x v="0"/>
    <x v="1"/>
    <n v="0"/>
    <n v="1"/>
  </r>
  <r>
    <d v="2019-09-13T00:00:00"/>
    <n v="12695"/>
    <s v="WHSJC"/>
    <s v="Sao Jose dos Campos"/>
    <s v="SP"/>
    <n v="4234"/>
    <x v="222"/>
    <s v="Santos"/>
    <s v="SP"/>
    <x v="2"/>
    <s v="SP"/>
    <n v="2805.78"/>
    <n v="5"/>
    <n v="20.614999999999998"/>
    <n v="6400835"/>
    <x v="3"/>
    <s v="Guarulhos"/>
    <s v="Convencional"/>
    <n v="6"/>
    <d v="2019-09-13T00:00:00"/>
    <x v="593"/>
    <x v="0"/>
    <d v="2019-09-19T00:00:00"/>
    <x v="1"/>
    <x v="0"/>
    <n v="0"/>
    <n v="1"/>
  </r>
  <r>
    <d v="2019-09-13T00:00:00"/>
    <n v="12696"/>
    <s v="WHBH"/>
    <s v="Belo Horizonte"/>
    <s v="MG"/>
    <n v="4191"/>
    <x v="179"/>
    <s v="Manaus"/>
    <s v="AM"/>
    <x v="4"/>
    <s v="AM"/>
    <n v="247.88"/>
    <n v="1"/>
    <n v="1.1200000000000001"/>
    <n v="6700091"/>
    <x v="6"/>
    <s v="Manaus"/>
    <s v="Convencional"/>
    <n v="8"/>
    <d v="2019-09-13T00:00:00"/>
    <x v="591"/>
    <x v="0"/>
    <d v="2019-09-21T00:00:00"/>
    <x v="0"/>
    <x v="0"/>
    <n v="1"/>
    <n v="1"/>
  </r>
  <r>
    <d v="2019-09-13T00:00:00"/>
    <n v="12697"/>
    <s v="WHBH"/>
    <s v="Belo Horizonte"/>
    <s v="MG"/>
    <n v="4218"/>
    <x v="206"/>
    <s v="Santos"/>
    <s v="SP"/>
    <x v="2"/>
    <s v="SP"/>
    <n v="714.58"/>
    <n v="1"/>
    <n v="4.18"/>
    <n v="6400835"/>
    <x v="3"/>
    <s v="Guarulhos"/>
    <s v="Convencional"/>
    <n v="7"/>
    <d v="2019-09-13T00:00:00"/>
    <x v="593"/>
    <x v="0"/>
    <d v="2019-09-20T00:00:00"/>
    <x v="1"/>
    <x v="0"/>
    <n v="0"/>
    <n v="1"/>
  </r>
  <r>
    <d v="2019-09-13T00:00:00"/>
    <n v="12698"/>
    <s v="WHSJC"/>
    <s v="Sao Jose dos Campos"/>
    <s v="SP"/>
    <n v="4205"/>
    <x v="193"/>
    <s v="Belo Horizonte"/>
    <s v="MG"/>
    <x v="2"/>
    <s v="MG"/>
    <n v="12949.5"/>
    <n v="17"/>
    <n v="74.114000000000004"/>
    <n v="6600879"/>
    <x v="2"/>
    <s v="Belo Horizonte"/>
    <s v="Convencional"/>
    <n v="1"/>
    <d v="2019-09-13T00:00:00"/>
    <x v="584"/>
    <x v="1"/>
    <d v="2019-09-14T00:00:00"/>
    <x v="1"/>
    <x v="1"/>
    <n v="0"/>
    <n v="1"/>
  </r>
  <r>
    <d v="2019-09-13T00:00:00"/>
    <n v="12699"/>
    <s v="WHSJC"/>
    <s v="Sao Jose dos Campos"/>
    <s v="SP"/>
    <n v="4205"/>
    <x v="193"/>
    <s v="Belo Horizonte"/>
    <s v="MG"/>
    <x v="2"/>
    <s v="MG"/>
    <n v="1972.7"/>
    <n v="3"/>
    <n v="13.298"/>
    <n v="6600879"/>
    <x v="2"/>
    <s v="Belo Horizonte"/>
    <s v="Convencional"/>
    <n v="12"/>
    <d v="2019-09-13T00:00:00"/>
    <x v="592"/>
    <x v="0"/>
    <d v="2019-09-25T00:00:00"/>
    <x v="0"/>
    <x v="0"/>
    <n v="1"/>
    <n v="1"/>
  </r>
  <r>
    <d v="2019-09-13T00:00:00"/>
    <n v="12700"/>
    <s v="WHPOA"/>
    <s v="Porto Alegre"/>
    <s v="RS"/>
    <n v="4024"/>
    <x v="21"/>
    <s v="Porto Alegre"/>
    <s v="RS"/>
    <x v="0"/>
    <s v="RS"/>
    <n v="36.22"/>
    <n v="1"/>
    <n v="1.1200000000000001"/>
    <n v="6500948"/>
    <x v="0"/>
    <s v="Porto Alegre"/>
    <s v="Convencional"/>
    <n v="10"/>
    <d v="2019-09-13T00:00:00"/>
    <x v="589"/>
    <x v="0"/>
    <d v="2019-09-23T00:00:00"/>
    <x v="0"/>
    <x v="0"/>
    <n v="1"/>
    <n v="1"/>
  </r>
  <r>
    <d v="2019-09-13T00:00:00"/>
    <n v="12701"/>
    <s v="WHCPQ"/>
    <s v="Campinas"/>
    <s v="SP"/>
    <n v="4165"/>
    <x v="153"/>
    <s v="Recife"/>
    <s v="PE"/>
    <x v="3"/>
    <s v="PE"/>
    <n v="36.04"/>
    <n v="1"/>
    <n v="1.1200000000000001"/>
    <n v="6900304"/>
    <x v="5"/>
    <s v="Fortaleza"/>
    <s v="Convencional"/>
    <n v="3"/>
    <d v="2019-09-13T00:00:00"/>
    <x v="589"/>
    <x v="0"/>
    <d v="2019-09-16T00:00:00"/>
    <x v="1"/>
    <x v="0"/>
    <n v="0"/>
    <n v="1"/>
  </r>
  <r>
    <d v="2019-09-13T00:00:00"/>
    <n v="12702"/>
    <s v="WHBH"/>
    <s v="Belo Horizonte"/>
    <s v="MG"/>
    <n v="4149"/>
    <x v="137"/>
    <s v="Santos"/>
    <s v="SP"/>
    <x v="2"/>
    <s v="SP"/>
    <n v="106.81"/>
    <n v="1"/>
    <n v="0.378"/>
    <n v="6400835"/>
    <x v="3"/>
    <s v="Guarulhos"/>
    <s v="Convencional"/>
    <n v="7"/>
    <d v="2019-09-13T00:00:00"/>
    <x v="589"/>
    <x v="0"/>
    <d v="2019-09-20T00:00:00"/>
    <x v="0"/>
    <x v="0"/>
    <n v="1"/>
    <n v="1"/>
  </r>
  <r>
    <d v="2019-09-13T00:00:00"/>
    <n v="12703"/>
    <s v="WHVIT"/>
    <s v="Vitoria"/>
    <s v="ES"/>
    <n v="4194"/>
    <x v="182"/>
    <s v="Manaus"/>
    <s v="AM"/>
    <x v="4"/>
    <s v="AM"/>
    <n v="1114.3599999999999"/>
    <n v="2"/>
    <n v="12.355"/>
    <n v="6700091"/>
    <x v="6"/>
    <s v="Manaus"/>
    <s v="Convencional"/>
    <n v="4"/>
    <d v="2019-09-13T00:00:00"/>
    <x v="584"/>
    <x v="0"/>
    <d v="2019-09-17T00:00:00"/>
    <x v="0"/>
    <x v="0"/>
    <n v="1"/>
    <n v="1"/>
  </r>
  <r>
    <d v="2019-09-14T00:00:00"/>
    <n v="12704"/>
    <s v="WHBH"/>
    <s v="Belo Horizonte"/>
    <s v="MG"/>
    <n v="4193"/>
    <x v="181"/>
    <s v="Sao Paulo"/>
    <s v="SP"/>
    <x v="2"/>
    <s v="SP"/>
    <n v="793.18"/>
    <n v="1"/>
    <n v="1.1200000000000001"/>
    <n v="6400835"/>
    <x v="3"/>
    <s v="Guarulhos"/>
    <s v="Urgente"/>
    <n v="10"/>
    <d v="2019-09-14T00:00:00"/>
    <x v="592"/>
    <x v="0"/>
    <d v="2019-09-24T00:00:00"/>
    <x v="0"/>
    <x v="0"/>
    <n v="1"/>
    <n v="1"/>
  </r>
  <r>
    <d v="2019-09-14T00:00:00"/>
    <n v="12705"/>
    <s v="WHSAO"/>
    <s v="Sao Paulo"/>
    <s v="SP"/>
    <n v="4176"/>
    <x v="164"/>
    <s v="Rio Grande do Sul"/>
    <s v="RS"/>
    <x v="0"/>
    <s v="RS"/>
    <n v="5122.29"/>
    <n v="7"/>
    <n v="43.362000000000002"/>
    <n v="6500948"/>
    <x v="0"/>
    <s v="Porto Alegre"/>
    <s v="Convencional"/>
    <n v="8"/>
    <d v="2019-09-14T00:00:00"/>
    <x v="593"/>
    <x v="0"/>
    <d v="2019-09-22T00:00:00"/>
    <x v="0"/>
    <x v="0"/>
    <n v="1"/>
    <n v="1"/>
  </r>
  <r>
    <d v="2019-09-14T00:00:00"/>
    <n v="12706"/>
    <s v="WHSAO"/>
    <s v="Sao Paulo"/>
    <s v="SP"/>
    <n v="4159"/>
    <x v="147"/>
    <s v="Manaus"/>
    <s v="AM"/>
    <x v="4"/>
    <s v="AM"/>
    <n v="3034.4"/>
    <n v="3"/>
    <n v="13.91"/>
    <n v="6700091"/>
    <x v="6"/>
    <s v="Manaus"/>
    <s v="Convencional"/>
    <n v="10"/>
    <d v="2019-09-14T00:00:00"/>
    <x v="593"/>
    <x v="0"/>
    <d v="2019-09-24T00:00:00"/>
    <x v="0"/>
    <x v="0"/>
    <n v="1"/>
    <n v="1"/>
  </r>
  <r>
    <d v="2019-09-14T00:00:00"/>
    <n v="12707"/>
    <s v="WHCPQ"/>
    <s v="Campinas"/>
    <s v="SP"/>
    <n v="4045"/>
    <x v="49"/>
    <s v="Belo Horizonte"/>
    <s v="MG"/>
    <x v="2"/>
    <s v="MG"/>
    <n v="443.13"/>
    <n v="1"/>
    <n v="1.1200000000000001"/>
    <n v="6600879"/>
    <x v="2"/>
    <s v="Belo Horizonte"/>
    <s v="Convencional"/>
    <n v="5"/>
    <d v="2019-09-14T00:00:00"/>
    <x v="594"/>
    <x v="0"/>
    <d v="2019-09-19T00:00:00"/>
    <x v="1"/>
    <x v="0"/>
    <n v="0"/>
    <n v="1"/>
  </r>
  <r>
    <d v="2019-09-14T00:00:00"/>
    <n v="12708"/>
    <s v="WHVIT"/>
    <s v="Vitoria"/>
    <s v="ES"/>
    <n v="4045"/>
    <x v="49"/>
    <s v="Belo Horizonte"/>
    <s v="MG"/>
    <x v="2"/>
    <s v="MG"/>
    <n v="1917.07"/>
    <n v="5"/>
    <n v="25.844999999999999"/>
    <n v="6600879"/>
    <x v="2"/>
    <s v="Belo Horizonte"/>
    <s v="Convencional"/>
    <n v="9"/>
    <d v="2019-09-14T00:00:00"/>
    <x v="588"/>
    <x v="0"/>
    <d v="2019-09-23T00:00:00"/>
    <x v="0"/>
    <x v="0"/>
    <n v="1"/>
    <n v="1"/>
  </r>
  <r>
    <d v="2019-09-14T00:00:00"/>
    <n v="12709"/>
    <s v="WHBH"/>
    <s v="Belo Horizonte"/>
    <s v="MG"/>
    <n v="4045"/>
    <x v="49"/>
    <s v="Belo Horizonte"/>
    <s v="MG"/>
    <x v="2"/>
    <s v="MG"/>
    <n v="11256.19"/>
    <n v="13"/>
    <n v="71.001000000000005"/>
    <n v="6600879"/>
    <x v="2"/>
    <s v="Belo Horizonte"/>
    <s v="Convencional"/>
    <n v="10"/>
    <d v="2019-09-14T00:00:00"/>
    <x v="590"/>
    <x v="0"/>
    <d v="2019-09-24T00:00:00"/>
    <x v="0"/>
    <x v="0"/>
    <n v="1"/>
    <n v="1"/>
  </r>
  <r>
    <d v="2019-09-14T00:00:00"/>
    <n v="12710"/>
    <s v="WHVIT"/>
    <s v="Vitoria"/>
    <s v="ES"/>
    <n v="4022"/>
    <x v="19"/>
    <s v="Maringa"/>
    <s v="PR"/>
    <x v="0"/>
    <s v="PR"/>
    <n v="254.81"/>
    <n v="1"/>
    <n v="1.1200000000000001"/>
    <n v="6500948"/>
    <x v="0"/>
    <s v="Porto Alegre"/>
    <s v="Convencional"/>
    <n v="10"/>
    <d v="2019-09-14T00:00:00"/>
    <x v="590"/>
    <x v="0"/>
    <d v="2019-09-24T00:00:00"/>
    <x v="0"/>
    <x v="0"/>
    <n v="1"/>
    <n v="1"/>
  </r>
  <r>
    <d v="2019-09-14T00:00:00"/>
    <n v="12711"/>
    <s v="WHSAO"/>
    <s v="Sao Paulo"/>
    <s v="SP"/>
    <n v="4045"/>
    <x v="49"/>
    <s v="Belo Horizonte"/>
    <s v="MG"/>
    <x v="2"/>
    <s v="MG"/>
    <n v="179.24"/>
    <n v="8"/>
    <n v="39.274000000000001"/>
    <n v="6600879"/>
    <x v="2"/>
    <s v="Belo Horizonte"/>
    <s v="Convencional"/>
    <n v="12"/>
    <d v="2019-09-14T00:00:00"/>
    <x v="588"/>
    <x v="0"/>
    <d v="2019-09-26T00:00:00"/>
    <x v="0"/>
    <x v="0"/>
    <n v="1"/>
    <n v="1"/>
  </r>
  <r>
    <d v="2019-09-14T00:00:00"/>
    <n v="12712"/>
    <s v="WHPOA"/>
    <s v="Porto Alegre"/>
    <s v="RS"/>
    <n v="4045"/>
    <x v="49"/>
    <s v="Belo Horizonte"/>
    <s v="MG"/>
    <x v="2"/>
    <s v="MG"/>
    <n v="6744.18"/>
    <n v="1"/>
    <n v="1.1200000000000001"/>
    <n v="6600879"/>
    <x v="2"/>
    <s v="Belo Horizonte"/>
    <s v="Convencional"/>
    <n v="2"/>
    <d v="2019-09-14T00:00:00"/>
    <x v="592"/>
    <x v="2"/>
    <d v="2019-09-16T00:00:00"/>
    <x v="1"/>
    <x v="1"/>
    <n v="0"/>
    <n v="1"/>
  </r>
  <r>
    <d v="2019-09-17T00:00:00"/>
    <n v="12713"/>
    <s v="WHVIT"/>
    <s v="Vitoria"/>
    <s v="ES"/>
    <n v="4235"/>
    <x v="223"/>
    <s v="Belo Horizonte"/>
    <s v="MG"/>
    <x v="2"/>
    <s v="MG"/>
    <n v="766.46"/>
    <n v="1"/>
    <n v="1.071"/>
    <n v="6600879"/>
    <x v="2"/>
    <s v="Belo Horizonte"/>
    <s v="Convencional"/>
    <n v="11"/>
    <d v="2019-09-17T00:00:00"/>
    <x v="595"/>
    <x v="0"/>
    <d v="2019-09-28T00:00:00"/>
    <x v="0"/>
    <x v="0"/>
    <n v="1"/>
    <n v="1"/>
  </r>
  <r>
    <d v="2019-09-17T00:00:00"/>
    <n v="12714"/>
    <s v="WHCPQ"/>
    <s v="Campinas"/>
    <s v="SP"/>
    <n v="4236"/>
    <x v="224"/>
    <s v="Manaus"/>
    <s v="AM"/>
    <x v="4"/>
    <s v="AM"/>
    <n v="243.76"/>
    <n v="1"/>
    <n v="1.1200000000000001"/>
    <n v="6700091"/>
    <x v="6"/>
    <s v="Manaus"/>
    <s v="Convencional"/>
    <n v="1"/>
    <d v="2019-09-17T00:00:00"/>
    <x v="595"/>
    <x v="0"/>
    <d v="2019-09-18T00:00:00"/>
    <x v="1"/>
    <x v="0"/>
    <n v="0"/>
    <n v="1"/>
  </r>
  <r>
    <d v="2019-09-17T00:00:00"/>
    <n v="12715"/>
    <s v="WHVIT"/>
    <s v="Vitoria"/>
    <s v="ES"/>
    <n v="4237"/>
    <x v="225"/>
    <s v="Santos"/>
    <s v="SP"/>
    <x v="2"/>
    <s v="SP"/>
    <n v="684.55"/>
    <n v="1"/>
    <n v="1.9990000000000001"/>
    <n v="6400835"/>
    <x v="3"/>
    <s v="Guarulhos"/>
    <s v="Convencional"/>
    <n v="9"/>
    <d v="2019-09-17T00:00:00"/>
    <x v="593"/>
    <x v="0"/>
    <d v="2019-09-26T00:00:00"/>
    <x v="0"/>
    <x v="0"/>
    <n v="1"/>
    <n v="1"/>
  </r>
  <r>
    <d v="2019-09-17T00:00:00"/>
    <n v="12716"/>
    <s v="WHCPQ"/>
    <s v="Campinas"/>
    <s v="SP"/>
    <n v="4238"/>
    <x v="226"/>
    <s v="Recife"/>
    <s v="PE"/>
    <x v="3"/>
    <s v="PE"/>
    <n v="948.77"/>
    <n v="1"/>
    <n v="1.1200000000000001"/>
    <n v="6900304"/>
    <x v="5"/>
    <s v="Fortaleza"/>
    <s v="Convencional"/>
    <n v="8"/>
    <d v="2019-09-17T00:00:00"/>
    <x v="593"/>
    <x v="2"/>
    <d v="2019-09-25T00:00:00"/>
    <x v="0"/>
    <x v="1"/>
    <n v="0"/>
    <n v="1"/>
  </r>
  <r>
    <d v="2019-09-17T00:00:00"/>
    <n v="12717"/>
    <s v="WHVIT"/>
    <s v="Vitoria"/>
    <s v="ES"/>
    <n v="4239"/>
    <x v="227"/>
    <s v="Santos"/>
    <s v="SP"/>
    <x v="2"/>
    <s v="SP"/>
    <n v="740.44"/>
    <n v="1"/>
    <n v="4.18"/>
    <n v="6400835"/>
    <x v="3"/>
    <s v="Guarulhos"/>
    <s v="Convencional"/>
    <n v="2"/>
    <d v="2019-09-17T00:00:00"/>
    <x v="596"/>
    <x v="0"/>
    <d v="2019-09-19T00:00:00"/>
    <x v="1"/>
    <x v="0"/>
    <n v="0"/>
    <n v="1"/>
  </r>
  <r>
    <d v="2019-09-17T00:00:00"/>
    <n v="12718"/>
    <s v="WHSJC"/>
    <s v="Sao Jose dos Campos"/>
    <s v="SP"/>
    <n v="4088"/>
    <x v="76"/>
    <s v="Atibaia"/>
    <s v="SP"/>
    <x v="2"/>
    <s v="SP"/>
    <n v="442.96"/>
    <n v="8"/>
    <n v="38.030999999999999"/>
    <n v="6400835"/>
    <x v="3"/>
    <s v="Guarulhos"/>
    <s v="Convencional"/>
    <n v="12"/>
    <d v="2019-09-17T00:00:00"/>
    <x v="593"/>
    <x v="0"/>
    <d v="2019-09-29T00:00:00"/>
    <x v="0"/>
    <x v="0"/>
    <n v="1"/>
    <n v="1"/>
  </r>
  <r>
    <d v="2019-09-17T00:00:00"/>
    <n v="12719"/>
    <s v="WHSJC"/>
    <s v="Sao Jose dos Campos"/>
    <s v="SP"/>
    <n v="4240"/>
    <x v="228"/>
    <s v="Rio De Janeiro"/>
    <s v="RJ"/>
    <x v="2"/>
    <s v="RJ"/>
    <n v="5860.14"/>
    <n v="1"/>
    <n v="1.1200000000000001"/>
    <n v="6140092"/>
    <x v="4"/>
    <s v="Rio de Janeiro"/>
    <s v="Convencional"/>
    <n v="7"/>
    <d v="2019-09-17T00:00:00"/>
    <x v="597"/>
    <x v="0"/>
    <d v="2019-09-24T00:00:00"/>
    <x v="1"/>
    <x v="0"/>
    <n v="0"/>
    <n v="1"/>
  </r>
  <r>
    <d v="2019-09-17T00:00:00"/>
    <n v="12720"/>
    <s v="WHPOA"/>
    <s v="Porto Alegre"/>
    <s v="RS"/>
    <n v="4241"/>
    <x v="229"/>
    <s v="Recife"/>
    <s v="PE"/>
    <x v="3"/>
    <s v="PE"/>
    <n v="12057.99"/>
    <n v="15"/>
    <n v="58.468000000000004"/>
    <n v="6900304"/>
    <x v="5"/>
    <s v="Fortaleza"/>
    <s v="Convencional"/>
    <n v="2"/>
    <d v="2019-09-17T00:00:00"/>
    <x v="596"/>
    <x v="0"/>
    <d v="2019-09-19T00:00:00"/>
    <x v="1"/>
    <x v="0"/>
    <n v="0"/>
    <n v="1"/>
  </r>
  <r>
    <d v="2019-09-17T00:00:00"/>
    <n v="12721"/>
    <s v="WHRJ"/>
    <s v="Rio De Janeiro"/>
    <s v="RJ"/>
    <n v="4242"/>
    <x v="230"/>
    <s v="Recife"/>
    <s v="PE"/>
    <x v="3"/>
    <s v="PE"/>
    <n v="438.09"/>
    <n v="1"/>
    <n v="1.1200000000000001"/>
    <n v="6900304"/>
    <x v="5"/>
    <s v="Fortaleza"/>
    <s v="Convencional"/>
    <n v="4"/>
    <d v="2019-09-17T00:00:00"/>
    <x v="598"/>
    <x v="0"/>
    <d v="2019-09-21T00:00:00"/>
    <x v="1"/>
    <x v="0"/>
    <n v="0"/>
    <n v="1"/>
  </r>
  <r>
    <d v="2019-09-17T00:00:00"/>
    <n v="12722"/>
    <s v="WHRJ"/>
    <s v="Rio De Janeiro"/>
    <s v="RJ"/>
    <n v="4243"/>
    <x v="231"/>
    <s v="Recife"/>
    <s v="PE"/>
    <x v="3"/>
    <s v="PE"/>
    <n v="3228.15"/>
    <n v="3"/>
    <n v="11.051"/>
    <n v="6900304"/>
    <x v="5"/>
    <s v="Fortaleza"/>
    <s v="Convencional"/>
    <n v="6"/>
    <d v="2019-09-17T00:00:00"/>
    <x v="590"/>
    <x v="0"/>
    <d v="2019-09-23T00:00:00"/>
    <x v="0"/>
    <x v="0"/>
    <n v="1"/>
    <n v="1"/>
  </r>
  <r>
    <d v="2019-09-17T00:00:00"/>
    <n v="12723"/>
    <s v="WHSAO"/>
    <s v="Sao Paulo"/>
    <s v="SP"/>
    <n v="4244"/>
    <x v="232"/>
    <s v="Santos"/>
    <s v="SP"/>
    <x v="2"/>
    <s v="SP"/>
    <n v="79.930000000000007"/>
    <n v="1"/>
    <n v="1.1200000000000001"/>
    <n v="6400835"/>
    <x v="3"/>
    <s v="Guarulhos"/>
    <s v="Convencional"/>
    <n v="10"/>
    <d v="2019-09-17T00:00:00"/>
    <x v="594"/>
    <x v="0"/>
    <d v="2019-09-27T00:00:00"/>
    <x v="0"/>
    <x v="0"/>
    <n v="1"/>
    <n v="1"/>
  </r>
  <r>
    <d v="2019-09-17T00:00:00"/>
    <n v="12724"/>
    <s v="WHSJC"/>
    <s v="Sao Jose dos Campos"/>
    <s v="SP"/>
    <n v="4245"/>
    <x v="233"/>
    <s v="Santos"/>
    <s v="SP"/>
    <x v="2"/>
    <s v="SP"/>
    <n v="2795.24"/>
    <n v="4"/>
    <n v="27.321000000000002"/>
    <n v="6400835"/>
    <x v="3"/>
    <s v="Guarulhos"/>
    <s v="Convencional"/>
    <n v="4"/>
    <d v="2019-09-17T00:00:00"/>
    <x v="593"/>
    <x v="0"/>
    <d v="2019-09-21T00:00:00"/>
    <x v="0"/>
    <x v="0"/>
    <n v="1"/>
    <n v="1"/>
  </r>
  <r>
    <d v="2019-09-17T00:00:00"/>
    <n v="12725"/>
    <s v="WHCPQ"/>
    <s v="Campinas"/>
    <s v="SP"/>
    <n v="4246"/>
    <x v="234"/>
    <s v="Santos"/>
    <s v="SP"/>
    <x v="2"/>
    <s v="SP"/>
    <n v="88.61"/>
    <n v="3"/>
    <n v="10.769"/>
    <n v="6400835"/>
    <x v="3"/>
    <s v="Guarulhos"/>
    <s v="Convencional"/>
    <n v="12"/>
    <d v="2019-09-17T00:00:00"/>
    <x v="598"/>
    <x v="0"/>
    <d v="2019-09-29T00:00:00"/>
    <x v="0"/>
    <x v="0"/>
    <n v="1"/>
    <n v="1"/>
  </r>
  <r>
    <d v="2019-09-17T00:00:00"/>
    <n v="12726"/>
    <s v="WHBH"/>
    <s v="Belo Horizonte"/>
    <s v="MG"/>
    <n v="4247"/>
    <x v="235"/>
    <s v="Recife"/>
    <s v="PE"/>
    <x v="3"/>
    <s v="PE"/>
    <n v="2481.61"/>
    <n v="1"/>
    <n v="1.1200000000000001"/>
    <n v="6900304"/>
    <x v="5"/>
    <s v="Fortaleza"/>
    <s v="Convencional"/>
    <n v="10"/>
    <d v="2019-09-17T00:00:00"/>
    <x v="595"/>
    <x v="0"/>
    <d v="2019-09-27T00:00:00"/>
    <x v="0"/>
    <x v="0"/>
    <n v="1"/>
    <n v="1"/>
  </r>
  <r>
    <d v="2019-09-17T00:00:00"/>
    <n v="12727"/>
    <s v="WHVIT"/>
    <s v="Vitoria"/>
    <s v="ES"/>
    <n v="4248"/>
    <x v="236"/>
    <s v="Recife"/>
    <s v="PE"/>
    <x v="3"/>
    <s v="PE"/>
    <n v="18.28"/>
    <n v="1"/>
    <n v="1.1200000000000001"/>
    <n v="6900304"/>
    <x v="5"/>
    <s v="Fortaleza"/>
    <s v="Convencional"/>
    <n v="11"/>
    <d v="2019-09-17T00:00:00"/>
    <x v="598"/>
    <x v="0"/>
    <d v="2019-09-28T00:00:00"/>
    <x v="0"/>
    <x v="0"/>
    <n v="1"/>
    <n v="1"/>
  </r>
  <r>
    <d v="2019-09-17T00:00:00"/>
    <n v="12728"/>
    <s v="WHCPQ"/>
    <s v="Campinas"/>
    <s v="SP"/>
    <n v="4147"/>
    <x v="135"/>
    <s v="Belo Horizonte"/>
    <s v="MG"/>
    <x v="2"/>
    <s v="MG"/>
    <n v="3151.55"/>
    <n v="3"/>
    <n v="19.446000000000002"/>
    <n v="6600879"/>
    <x v="2"/>
    <s v="Belo Horizonte"/>
    <s v="Convencional"/>
    <n v="11"/>
    <d v="2019-09-17T00:00:00"/>
    <x v="597"/>
    <x v="0"/>
    <d v="2019-09-28T00:00:00"/>
    <x v="0"/>
    <x v="0"/>
    <n v="1"/>
    <n v="1"/>
  </r>
  <r>
    <d v="2019-09-17T00:00:00"/>
    <n v="12729"/>
    <s v="WHVIT"/>
    <s v="Vitoria"/>
    <s v="ES"/>
    <n v="4142"/>
    <x v="130"/>
    <s v="Manaus"/>
    <s v="AM"/>
    <x v="4"/>
    <s v="AM"/>
    <n v="702.35"/>
    <n v="1"/>
    <n v="1.1200000000000001"/>
    <n v="6700091"/>
    <x v="6"/>
    <s v="Manaus"/>
    <s v="Convencional"/>
    <n v="3"/>
    <d v="2019-09-17T00:00:00"/>
    <x v="597"/>
    <x v="0"/>
    <d v="2019-09-20T00:00:00"/>
    <x v="1"/>
    <x v="0"/>
    <n v="0"/>
    <n v="1"/>
  </r>
  <r>
    <d v="2019-09-17T00:00:00"/>
    <n v="12730"/>
    <s v="WHPOA"/>
    <s v="Porto Alegre"/>
    <s v="RS"/>
    <n v="4127"/>
    <x v="115"/>
    <s v="Rio De Janeiro"/>
    <s v="RJ"/>
    <x v="2"/>
    <s v="RJ"/>
    <n v="2987.09"/>
    <n v="3"/>
    <n v="10.324999999999999"/>
    <n v="6140092"/>
    <x v="4"/>
    <s v="Rio de Janeiro"/>
    <s v="Convencional"/>
    <n v="6"/>
    <d v="2019-09-17T00:00:00"/>
    <x v="595"/>
    <x v="0"/>
    <d v="2019-09-23T00:00:00"/>
    <x v="1"/>
    <x v="0"/>
    <n v="0"/>
    <n v="1"/>
  </r>
  <r>
    <d v="2019-09-18T00:00:00"/>
    <n v="12731"/>
    <s v="WHPOA"/>
    <s v="Porto Alegre"/>
    <s v="RS"/>
    <n v="4172"/>
    <x v="160"/>
    <s v="Santos"/>
    <s v="SP"/>
    <x v="2"/>
    <s v="SP"/>
    <n v="84.35"/>
    <n v="1"/>
    <n v="1.1200000000000001"/>
    <n v="6400835"/>
    <x v="3"/>
    <s v="Guarulhos"/>
    <s v="Convencional"/>
    <n v="6"/>
    <d v="2019-09-18T00:00:00"/>
    <x v="598"/>
    <x v="0"/>
    <d v="2019-09-24T00:00:00"/>
    <x v="0"/>
    <x v="0"/>
    <n v="1"/>
    <n v="1"/>
  </r>
  <r>
    <d v="2019-09-18T00:00:00"/>
    <n v="12732"/>
    <s v="WHPOA"/>
    <s v="Porto Alegre"/>
    <s v="RS"/>
    <n v="4060"/>
    <x v="56"/>
    <s v="Sinop"/>
    <s v="MT"/>
    <x v="1"/>
    <s v="MT"/>
    <n v="195.75"/>
    <n v="1"/>
    <n v="8.7999999999999995E-2"/>
    <n v="6100231"/>
    <x v="1"/>
    <s v="Goiania"/>
    <s v="Convencional"/>
    <n v="8"/>
    <d v="2019-09-18T00:00:00"/>
    <x v="599"/>
    <x v="0"/>
    <d v="2019-09-26T00:00:00"/>
    <x v="1"/>
    <x v="0"/>
    <n v="0"/>
    <n v="1"/>
  </r>
  <r>
    <d v="2019-09-18T00:00:00"/>
    <n v="12733"/>
    <s v="WHBH"/>
    <s v="Belo Horizonte"/>
    <s v="MG"/>
    <n v="4047"/>
    <x v="50"/>
    <s v="Belo Horizonte"/>
    <s v="MG"/>
    <x v="2"/>
    <s v="MG"/>
    <n v="32433.3"/>
    <n v="29"/>
    <n v="251.785"/>
    <n v="6600879"/>
    <x v="2"/>
    <s v="Belo Horizonte"/>
    <s v="Convencional"/>
    <n v="12"/>
    <d v="2019-09-18T00:00:00"/>
    <x v="590"/>
    <x v="0"/>
    <d v="2019-09-30T00:00:00"/>
    <x v="0"/>
    <x v="0"/>
    <n v="1"/>
    <n v="1"/>
  </r>
  <r>
    <d v="2019-09-20T00:00:00"/>
    <n v="12734"/>
    <s v="WHSJC"/>
    <s v="Sao Jose dos Campos"/>
    <s v="SP"/>
    <n v="4249"/>
    <x v="237"/>
    <s v="Recife"/>
    <s v="PE"/>
    <x v="3"/>
    <s v="PE"/>
    <n v="3307.05"/>
    <n v="1"/>
    <n v="1.1200000000000001"/>
    <n v="6900304"/>
    <x v="5"/>
    <s v="Fortaleza"/>
    <s v="Convencional"/>
    <n v="2"/>
    <d v="2019-09-20T00:00:00"/>
    <x v="593"/>
    <x v="0"/>
    <d v="2019-09-22T00:00:00"/>
    <x v="0"/>
    <x v="0"/>
    <n v="1"/>
    <n v="1"/>
  </r>
  <r>
    <d v="2019-09-20T00:00:00"/>
    <n v="12735"/>
    <s v="WHRJ"/>
    <s v="Rio De Janeiro"/>
    <s v="RJ"/>
    <n v="4250"/>
    <x v="238"/>
    <s v="Rio De Janeiro"/>
    <s v="RJ"/>
    <x v="2"/>
    <s v="RJ"/>
    <n v="629.37"/>
    <n v="1"/>
    <n v="4.18"/>
    <n v="6140092"/>
    <x v="4"/>
    <s v="Rio de Janeiro"/>
    <s v="Convencional"/>
    <n v="7"/>
    <d v="2019-09-20T00:00:00"/>
    <x v="590"/>
    <x v="0"/>
    <d v="2019-09-27T00:00:00"/>
    <x v="0"/>
    <x v="0"/>
    <n v="1"/>
    <n v="1"/>
  </r>
  <r>
    <d v="2019-09-20T00:00:00"/>
    <n v="12736"/>
    <s v="WHVIT"/>
    <s v="Vitoria"/>
    <s v="ES"/>
    <n v="4013"/>
    <x v="1"/>
    <s v="Blumenau"/>
    <s v="SC"/>
    <x v="0"/>
    <s v="SC"/>
    <n v="1114.3599999999999"/>
    <n v="1"/>
    <n v="11.837999999999999"/>
    <n v="6500948"/>
    <x v="0"/>
    <s v="Porto Alegre"/>
    <s v="Convencional"/>
    <n v="5"/>
    <d v="2019-09-20T00:00:00"/>
    <x v="597"/>
    <x v="0"/>
    <d v="2019-09-25T00:00:00"/>
    <x v="1"/>
    <x v="0"/>
    <n v="0"/>
    <n v="1"/>
  </r>
  <r>
    <d v="2019-09-21T00:00:00"/>
    <n v="12737"/>
    <s v="WHSJC"/>
    <s v="Sao Jose dos Campos"/>
    <s v="SP"/>
    <n v="4166"/>
    <x v="154"/>
    <s v="Manaus"/>
    <s v="AM"/>
    <x v="4"/>
    <s v="AM"/>
    <n v="1858.07"/>
    <n v="3"/>
    <n v="10.186999999999999"/>
    <n v="6700091"/>
    <x v="6"/>
    <s v="Manaus"/>
    <s v="Convencional"/>
    <n v="4"/>
    <d v="2019-09-21T00:00:00"/>
    <x v="599"/>
    <x v="0"/>
    <d v="2019-09-25T00:00:00"/>
    <x v="1"/>
    <x v="0"/>
    <n v="0"/>
    <n v="1"/>
  </r>
  <r>
    <d v="2019-09-21T00:00:00"/>
    <n v="12738"/>
    <s v="WHPOA"/>
    <s v="Porto Alegre"/>
    <s v="RS"/>
    <n v="4123"/>
    <x v="111"/>
    <s v="Rio De Janeiro"/>
    <s v="RJ"/>
    <x v="2"/>
    <s v="RJ"/>
    <n v="186.3"/>
    <n v="6"/>
    <n v="50.723999999999997"/>
    <n v="6140092"/>
    <x v="4"/>
    <s v="Rio de Janeiro"/>
    <s v="Convencional"/>
    <n v="6"/>
    <d v="2019-09-21T00:00:00"/>
    <x v="595"/>
    <x v="0"/>
    <d v="2019-09-27T00:00:00"/>
    <x v="0"/>
    <x v="0"/>
    <n v="1"/>
    <n v="1"/>
  </r>
  <r>
    <d v="2019-09-21T00:00:00"/>
    <n v="12739"/>
    <s v="WHCPQ"/>
    <s v="Campinas"/>
    <s v="SP"/>
    <n v="4251"/>
    <x v="239"/>
    <s v="Recife"/>
    <s v="PE"/>
    <x v="3"/>
    <s v="PE"/>
    <n v="10747.44"/>
    <n v="1"/>
    <n v="1.1200000000000001"/>
    <n v="6900304"/>
    <x v="5"/>
    <s v="Fortaleza"/>
    <s v="Convencional"/>
    <n v="6"/>
    <d v="2019-09-21T00:00:00"/>
    <x v="595"/>
    <x v="0"/>
    <d v="2019-09-27T00:00:00"/>
    <x v="0"/>
    <x v="0"/>
    <n v="1"/>
    <n v="1"/>
  </r>
  <r>
    <d v="2019-09-21T00:00:00"/>
    <n v="12740"/>
    <s v="WHVIT"/>
    <s v="Vitoria"/>
    <s v="ES"/>
    <n v="4118"/>
    <x v="106"/>
    <s v="Santos"/>
    <s v="SP"/>
    <x v="2"/>
    <s v="SP"/>
    <n v="892.17"/>
    <n v="1"/>
    <n v="4.84"/>
    <n v="6400835"/>
    <x v="3"/>
    <s v="Guarulhos"/>
    <s v="Convencional"/>
    <n v="2"/>
    <d v="2019-09-21T00:00:00"/>
    <x v="596"/>
    <x v="0"/>
    <d v="2019-09-23T00:00:00"/>
    <x v="1"/>
    <x v="0"/>
    <n v="0"/>
    <n v="1"/>
  </r>
  <r>
    <d v="2019-09-24T00:00:00"/>
    <n v="12741"/>
    <s v="WHSJC"/>
    <s v="Sao Jose dos Campos"/>
    <s v="SP"/>
    <n v="4210"/>
    <x v="198"/>
    <s v="Belo Horizonte"/>
    <s v="MG"/>
    <x v="2"/>
    <s v="MG"/>
    <n v="4779.66"/>
    <n v="5"/>
    <n v="42.558"/>
    <n v="6600879"/>
    <x v="2"/>
    <s v="Belo Horizonte"/>
    <s v="Convencional"/>
    <n v="1"/>
    <d v="2019-09-24T00:00:00"/>
    <x v="600"/>
    <x v="0"/>
    <d v="2019-09-25T00:00:00"/>
    <x v="1"/>
    <x v="0"/>
    <n v="0"/>
    <n v="1"/>
  </r>
  <r>
    <d v="2019-09-24T00:00:00"/>
    <n v="12742"/>
    <s v="WHSJC"/>
    <s v="Sao Jose dos Campos"/>
    <s v="SP"/>
    <n v="4211"/>
    <x v="199"/>
    <s v="Santos"/>
    <s v="SP"/>
    <x v="2"/>
    <s v="SP"/>
    <n v="165.5"/>
    <n v="2"/>
    <n v="1.37"/>
    <n v="6400835"/>
    <x v="3"/>
    <s v="Guarulhos"/>
    <s v="Convencional"/>
    <n v="1"/>
    <d v="2019-09-24T00:00:00"/>
    <x v="595"/>
    <x v="0"/>
    <d v="2019-09-25T00:00:00"/>
    <x v="1"/>
    <x v="0"/>
    <n v="0"/>
    <n v="1"/>
  </r>
  <r>
    <d v="2019-09-24T00:00:00"/>
    <n v="12743"/>
    <s v="WHSJC"/>
    <s v="Sao Jose dos Campos"/>
    <s v="SP"/>
    <n v="4212"/>
    <x v="200"/>
    <s v="Rio Grande do Sul"/>
    <s v="RS"/>
    <x v="0"/>
    <s v="RS"/>
    <n v="65.3"/>
    <n v="1"/>
    <n v="1.1200000000000001"/>
    <n v="6500948"/>
    <x v="0"/>
    <s v="Porto Alegre"/>
    <s v="Convencional"/>
    <n v="7"/>
    <d v="2019-09-24T00:00:00"/>
    <x v="599"/>
    <x v="0"/>
    <d v="2019-10-01T00:00:00"/>
    <x v="0"/>
    <x v="0"/>
    <n v="1"/>
    <n v="1"/>
  </r>
  <r>
    <d v="2019-09-24T00:00:00"/>
    <n v="12744"/>
    <s v="WHPOA"/>
    <s v="Porto Alegre"/>
    <s v="RS"/>
    <n v="4213"/>
    <x v="201"/>
    <s v="Sao Paulo"/>
    <s v="SP"/>
    <x v="2"/>
    <s v="SP"/>
    <n v="300.5"/>
    <n v="5"/>
    <n v="3.9140000000000001"/>
    <n v="6400835"/>
    <x v="3"/>
    <s v="Guarulhos"/>
    <s v="Convencional"/>
    <n v="2"/>
    <d v="2019-09-24T00:00:00"/>
    <x v="601"/>
    <x v="0"/>
    <d v="2019-09-26T00:00:00"/>
    <x v="1"/>
    <x v="0"/>
    <n v="0"/>
    <n v="1"/>
  </r>
  <r>
    <d v="2019-09-24T00:00:00"/>
    <n v="12745"/>
    <s v="WHBH"/>
    <s v="Belo Horizonte"/>
    <s v="MG"/>
    <n v="4216"/>
    <x v="204"/>
    <s v="Santos"/>
    <s v="SP"/>
    <x v="2"/>
    <s v="SP"/>
    <n v="1735.4"/>
    <n v="1"/>
    <n v="1.1200000000000001"/>
    <n v="6400835"/>
    <x v="3"/>
    <s v="Guarulhos"/>
    <s v="Convencional"/>
    <n v="10"/>
    <d v="2019-09-24T00:00:00"/>
    <x v="599"/>
    <x v="0"/>
    <d v="2019-10-04T00:00:00"/>
    <x v="0"/>
    <x v="0"/>
    <n v="1"/>
    <n v="1"/>
  </r>
  <r>
    <d v="2019-09-24T00:00:00"/>
    <n v="12746"/>
    <s v="WHRJ"/>
    <s v="Rio De Janeiro"/>
    <s v="RJ"/>
    <n v="4209"/>
    <x v="197"/>
    <s v="Belo Horizonte"/>
    <s v="MG"/>
    <x v="2"/>
    <s v="MG"/>
    <n v="12317.98"/>
    <n v="14"/>
    <n v="104.73"/>
    <n v="6600879"/>
    <x v="2"/>
    <s v="Belo Horizonte"/>
    <s v="Convencional"/>
    <n v="4"/>
    <d v="2019-09-24T00:00:00"/>
    <x v="599"/>
    <x v="0"/>
    <d v="2019-09-28T00:00:00"/>
    <x v="0"/>
    <x v="0"/>
    <n v="1"/>
    <n v="1"/>
  </r>
  <r>
    <d v="2019-09-24T00:00:00"/>
    <n v="12747"/>
    <s v="WHVIT"/>
    <s v="Vitoria"/>
    <s v="ES"/>
    <n v="4215"/>
    <x v="203"/>
    <s v="Recife"/>
    <s v="PE"/>
    <x v="3"/>
    <s v="PE"/>
    <n v="2033.39"/>
    <n v="1"/>
    <n v="1.1200000000000001"/>
    <n v="6900304"/>
    <x v="5"/>
    <s v="Fortaleza"/>
    <s v="Convencional"/>
    <n v="8"/>
    <d v="2019-09-24T00:00:00"/>
    <x v="596"/>
    <x v="0"/>
    <d v="2019-10-02T00:00:00"/>
    <x v="0"/>
    <x v="0"/>
    <n v="1"/>
    <n v="1"/>
  </r>
  <r>
    <d v="2019-09-24T00:00:00"/>
    <n v="12748"/>
    <s v="WHCPQ"/>
    <s v="Campinas"/>
    <s v="SP"/>
    <n v="4068"/>
    <x v="4"/>
    <s v="Campo Grande"/>
    <s v="MS"/>
    <x v="1"/>
    <s v="MS"/>
    <n v="249.04"/>
    <n v="2"/>
    <n v="12.01"/>
    <n v="6100231"/>
    <x v="1"/>
    <s v="Goiania"/>
    <s v="Convencional"/>
    <n v="5"/>
    <d v="2019-09-24T00:00:00"/>
    <x v="602"/>
    <x v="0"/>
    <d v="2019-09-29T00:00:00"/>
    <x v="1"/>
    <x v="0"/>
    <n v="0"/>
    <n v="1"/>
  </r>
  <r>
    <d v="2019-09-24T00:00:00"/>
    <n v="12749"/>
    <s v="WHVIT"/>
    <s v="Vitoria"/>
    <s v="ES"/>
    <n v="4013"/>
    <x v="1"/>
    <s v="Blumenau"/>
    <s v="SC"/>
    <x v="0"/>
    <s v="SC"/>
    <n v="1262.54"/>
    <n v="1"/>
    <n v="1.1200000000000001"/>
    <n v="6500948"/>
    <x v="0"/>
    <s v="Porto Alegre"/>
    <s v="Convencional"/>
    <n v="11"/>
    <d v="2019-09-24T00:00:00"/>
    <x v="596"/>
    <x v="0"/>
    <d v="2019-10-05T00:00:00"/>
    <x v="0"/>
    <x v="0"/>
    <n v="1"/>
    <n v="1"/>
  </r>
  <r>
    <d v="2019-09-24T00:00:00"/>
    <n v="12750"/>
    <s v="WHRJ"/>
    <s v="Rio De Janeiro"/>
    <s v="RJ"/>
    <n v="4035"/>
    <x v="37"/>
    <s v="Brasilia"/>
    <s v="DF"/>
    <x v="1"/>
    <s v="DF"/>
    <n v="92.36"/>
    <n v="2"/>
    <n v="6.1150000000000002"/>
    <n v="6100231"/>
    <x v="1"/>
    <s v="Goiania"/>
    <s v="Convencional"/>
    <n v="12"/>
    <d v="2019-09-24T00:00:00"/>
    <x v="603"/>
    <x v="0"/>
    <d v="2019-10-06T00:00:00"/>
    <x v="0"/>
    <x v="0"/>
    <n v="1"/>
    <n v="1"/>
  </r>
  <r>
    <d v="2019-09-24T00:00:00"/>
    <n v="12751"/>
    <s v="WHSJC"/>
    <s v="Sao Jose dos Campos"/>
    <s v="SP"/>
    <n v="4035"/>
    <x v="37"/>
    <s v="Brasilia"/>
    <s v="DF"/>
    <x v="1"/>
    <s v="DF"/>
    <n v="755.83"/>
    <n v="1"/>
    <n v="1.1200000000000001"/>
    <n v="6100231"/>
    <x v="1"/>
    <s v="Goiania"/>
    <s v="Convencional"/>
    <n v="12"/>
    <d v="2019-09-24T00:00:00"/>
    <x v="601"/>
    <x v="0"/>
    <d v="2019-10-06T00:00:00"/>
    <x v="0"/>
    <x v="0"/>
    <n v="1"/>
    <n v="1"/>
  </r>
  <r>
    <d v="2019-09-24T00:00:00"/>
    <n v="12752"/>
    <s v="WHVIT"/>
    <s v="Vitoria"/>
    <s v="ES"/>
    <n v="4032"/>
    <x v="34"/>
    <s v="Goiania"/>
    <s v="GO"/>
    <x v="1"/>
    <s v="GO"/>
    <n v="1455.06"/>
    <n v="1"/>
    <n v="1.1200000000000001"/>
    <n v="6100231"/>
    <x v="1"/>
    <s v="Goiania"/>
    <s v="Convencional"/>
    <n v="6"/>
    <d v="2019-09-24T00:00:00"/>
    <x v="601"/>
    <x v="2"/>
    <d v="2019-09-30T00:00:00"/>
    <x v="0"/>
    <x v="1"/>
    <n v="0"/>
    <n v="1"/>
  </r>
  <r>
    <d v="2019-09-24T00:00:00"/>
    <n v="12753"/>
    <s v="WHVIT"/>
    <s v="Vitoria"/>
    <s v="ES"/>
    <n v="4035"/>
    <x v="37"/>
    <s v="Brasilia"/>
    <s v="DF"/>
    <x v="1"/>
    <s v="DF"/>
    <n v="319.33"/>
    <n v="1"/>
    <n v="2.7050000000000001"/>
    <n v="6100231"/>
    <x v="1"/>
    <s v="Goiania"/>
    <s v="Convencional"/>
    <n v="7"/>
    <d v="2019-09-24T00:00:00"/>
    <x v="600"/>
    <x v="0"/>
    <d v="2019-10-01T00:00:00"/>
    <x v="0"/>
    <x v="0"/>
    <n v="1"/>
    <n v="1"/>
  </r>
  <r>
    <d v="2019-09-25T00:00:00"/>
    <n v="12754"/>
    <s v="WHSJC"/>
    <s v="Sao Jose dos Campos"/>
    <s v="SP"/>
    <n v="4033"/>
    <x v="35"/>
    <s v="Goiania"/>
    <s v="GO"/>
    <x v="1"/>
    <s v="GO"/>
    <n v="789.47"/>
    <n v="1"/>
    <n v="1.1200000000000001"/>
    <n v="6100231"/>
    <x v="1"/>
    <s v="Goiania"/>
    <s v="Convencional"/>
    <n v="10"/>
    <d v="2019-09-25T00:00:00"/>
    <x v="604"/>
    <x v="2"/>
    <d v="2019-10-05T00:00:00"/>
    <x v="0"/>
    <x v="1"/>
    <n v="0"/>
    <n v="1"/>
  </r>
  <r>
    <d v="2019-09-25T00:00:00"/>
    <n v="12755"/>
    <s v="WHPOA"/>
    <s v="Porto Alegre"/>
    <s v="RS"/>
    <n v="4166"/>
    <x v="154"/>
    <s v="Manaus"/>
    <s v="AM"/>
    <x v="4"/>
    <s v="AM"/>
    <n v="396.58"/>
    <n v="1"/>
    <n v="13.42"/>
    <n v="6700091"/>
    <x v="6"/>
    <s v="Manaus"/>
    <s v="Convencional"/>
    <n v="3"/>
    <d v="2019-09-25T00:00:00"/>
    <x v="602"/>
    <x v="0"/>
    <d v="2019-09-28T00:00:00"/>
    <x v="1"/>
    <x v="0"/>
    <n v="0"/>
    <n v="1"/>
  </r>
  <r>
    <d v="2019-09-25T00:00:00"/>
    <n v="12756"/>
    <s v="WHSAO"/>
    <s v="Sao Paulo"/>
    <s v="SP"/>
    <n v="4252"/>
    <x v="240"/>
    <s v="Sao Paulo"/>
    <s v="SP"/>
    <x v="2"/>
    <s v="SP"/>
    <n v="22852.560000000001"/>
    <n v="6"/>
    <n v="122.66800000000001"/>
    <n v="6400835"/>
    <x v="3"/>
    <s v="Guarulhos"/>
    <s v="Convencional"/>
    <n v="12"/>
    <d v="2019-09-25T00:00:00"/>
    <x v="600"/>
    <x v="2"/>
    <d v="2019-10-07T00:00:00"/>
    <x v="0"/>
    <x v="1"/>
    <n v="0"/>
    <n v="1"/>
  </r>
  <r>
    <d v="2019-09-25T00:00:00"/>
    <n v="12757"/>
    <s v="WHSJC"/>
    <s v="Sao Jose dos Campos"/>
    <s v="SP"/>
    <n v="4191"/>
    <x v="179"/>
    <s v="Manaus"/>
    <s v="AM"/>
    <x v="4"/>
    <s v="AM"/>
    <n v="1959.07"/>
    <n v="1"/>
    <n v="1.1200000000000001"/>
    <n v="6700091"/>
    <x v="6"/>
    <s v="Manaus"/>
    <s v="Convencional"/>
    <n v="12"/>
    <d v="2019-09-25T00:00:00"/>
    <x v="603"/>
    <x v="0"/>
    <d v="2019-10-07T00:00:00"/>
    <x v="0"/>
    <x v="0"/>
    <n v="1"/>
    <n v="1"/>
  </r>
  <r>
    <d v="2019-09-25T00:00:00"/>
    <n v="12758"/>
    <s v="WHSAO"/>
    <s v="Sao Paulo"/>
    <s v="SP"/>
    <n v="4128"/>
    <x v="116"/>
    <s v="Recife"/>
    <s v="PE"/>
    <x v="3"/>
    <s v="PE"/>
    <n v="5983.65"/>
    <n v="5"/>
    <n v="28.459"/>
    <n v="6900304"/>
    <x v="5"/>
    <s v="Fortaleza"/>
    <s v="Convencional"/>
    <n v="10"/>
    <d v="2019-09-25T00:00:00"/>
    <x v="601"/>
    <x v="0"/>
    <d v="2019-10-05T00:00:00"/>
    <x v="0"/>
    <x v="0"/>
    <n v="1"/>
    <n v="1"/>
  </r>
  <r>
    <d v="2019-09-26T00:00:00"/>
    <n v="12759"/>
    <s v="WHCPQ"/>
    <s v="Campinas"/>
    <s v="SP"/>
    <n v="4157"/>
    <x v="145"/>
    <s v="Belo Horizonte"/>
    <s v="MG"/>
    <x v="2"/>
    <s v="MG"/>
    <n v="1832.05"/>
    <n v="1"/>
    <n v="1.1200000000000001"/>
    <n v="6600879"/>
    <x v="2"/>
    <s v="Belo Horizonte"/>
    <s v="Convencional"/>
    <n v="2"/>
    <d v="2019-09-26T00:00:00"/>
    <x v="605"/>
    <x v="0"/>
    <d v="2019-09-28T00:00:00"/>
    <x v="1"/>
    <x v="0"/>
    <n v="0"/>
    <n v="1"/>
  </r>
  <r>
    <d v="2019-09-26T00:00:00"/>
    <n v="12760"/>
    <s v="WHCPQ"/>
    <s v="Campinas"/>
    <s v="SP"/>
    <n v="4154"/>
    <x v="142"/>
    <s v="Recife"/>
    <s v="PE"/>
    <x v="3"/>
    <s v="PE"/>
    <n v="896.13"/>
    <n v="1"/>
    <n v="7.5270000000000001"/>
    <n v="6900304"/>
    <x v="5"/>
    <s v="Fortaleza"/>
    <s v="Convencional"/>
    <n v="2"/>
    <d v="2019-09-26T00:00:00"/>
    <x v="599"/>
    <x v="2"/>
    <d v="2019-09-28T00:00:00"/>
    <x v="0"/>
    <x v="1"/>
    <n v="0"/>
    <n v="1"/>
  </r>
  <r>
    <d v="2019-09-26T00:00:00"/>
    <n v="12761"/>
    <s v="WHSAO"/>
    <s v="Sao Paulo"/>
    <s v="SP"/>
    <n v="4196"/>
    <x v="184"/>
    <s v="Manaus"/>
    <s v="AM"/>
    <x v="4"/>
    <s v="AM"/>
    <n v="1574.68"/>
    <n v="1"/>
    <n v="16.5"/>
    <n v="6700091"/>
    <x v="6"/>
    <s v="Manaus"/>
    <s v="Convencional"/>
    <n v="4"/>
    <d v="2019-09-26T00:00:00"/>
    <x v="601"/>
    <x v="0"/>
    <d v="2019-09-30T00:00:00"/>
    <x v="0"/>
    <x v="0"/>
    <n v="1"/>
    <n v="1"/>
  </r>
  <r>
    <d v="2019-09-26T00:00:00"/>
    <n v="12762"/>
    <s v="WHCPQ"/>
    <s v="Campinas"/>
    <s v="SP"/>
    <n v="4162"/>
    <x v="150"/>
    <s v="Recife"/>
    <s v="PE"/>
    <x v="3"/>
    <s v="PE"/>
    <n v="1080.8900000000001"/>
    <n v="2"/>
    <n v="14.74"/>
    <n v="6900304"/>
    <x v="5"/>
    <s v="Fortaleza"/>
    <s v="Convencional"/>
    <n v="11"/>
    <d v="2019-09-26T00:00:00"/>
    <x v="603"/>
    <x v="0"/>
    <d v="2019-10-07T00:00:00"/>
    <x v="0"/>
    <x v="0"/>
    <n v="1"/>
    <n v="1"/>
  </r>
  <r>
    <d v="2019-09-26T00:00:00"/>
    <n v="12763"/>
    <s v="WHBH"/>
    <s v="Belo Horizonte"/>
    <s v="MG"/>
    <n v="4134"/>
    <x v="122"/>
    <s v="Rio Grande do Sul"/>
    <s v="RS"/>
    <x v="0"/>
    <s v="RS"/>
    <n v="71.98"/>
    <n v="1"/>
    <n v="1.3089999999999999"/>
    <n v="6500948"/>
    <x v="0"/>
    <s v="Porto Alegre"/>
    <s v="Convencional"/>
    <n v="5"/>
    <d v="2019-09-26T00:00:00"/>
    <x v="606"/>
    <x v="0"/>
    <d v="2019-10-01T00:00:00"/>
    <x v="1"/>
    <x v="0"/>
    <n v="0"/>
    <n v="1"/>
  </r>
  <r>
    <d v="2019-09-26T00:00:00"/>
    <n v="12764"/>
    <s v="WHPOA"/>
    <s v="Porto Alegre"/>
    <s v="RS"/>
    <n v="4013"/>
    <x v="1"/>
    <s v="Blumenau"/>
    <s v="SC"/>
    <x v="0"/>
    <s v="SC"/>
    <n v="694.87"/>
    <n v="1"/>
    <n v="0.11"/>
    <n v="6500948"/>
    <x v="0"/>
    <s v="Porto Alegre"/>
    <s v="Convencional"/>
    <n v="2"/>
    <d v="2019-09-26T00:00:00"/>
    <x v="606"/>
    <x v="0"/>
    <d v="2019-09-28T00:00:00"/>
    <x v="1"/>
    <x v="0"/>
    <n v="0"/>
    <n v="1"/>
  </r>
  <r>
    <d v="2019-09-26T00:00:00"/>
    <n v="12765"/>
    <s v="WHSAO"/>
    <s v="Sao Paulo"/>
    <s v="SP"/>
    <n v="4013"/>
    <x v="1"/>
    <s v="Blumenau"/>
    <s v="SC"/>
    <x v="0"/>
    <s v="SC"/>
    <n v="1423.85"/>
    <n v="1"/>
    <n v="11"/>
    <n v="6500948"/>
    <x v="0"/>
    <s v="Porto Alegre"/>
    <s v="Convencional"/>
    <n v="7"/>
    <d v="2019-09-26T00:00:00"/>
    <x v="595"/>
    <x v="0"/>
    <d v="2019-10-03T00:00:00"/>
    <x v="0"/>
    <x v="0"/>
    <n v="1"/>
    <n v="1"/>
  </r>
  <r>
    <d v="2019-09-26T00:00:00"/>
    <n v="12766"/>
    <s v="WHBH"/>
    <s v="Belo Horizonte"/>
    <s v="MG"/>
    <n v="4022"/>
    <x v="19"/>
    <s v="Maringa"/>
    <s v="PR"/>
    <x v="0"/>
    <s v="PR"/>
    <n v="1002.26"/>
    <n v="1"/>
    <n v="4.4960000000000004"/>
    <n v="6500948"/>
    <x v="0"/>
    <s v="Porto Alegre"/>
    <s v="Convencional"/>
    <n v="5"/>
    <d v="2019-09-26T00:00:00"/>
    <x v="606"/>
    <x v="0"/>
    <d v="2019-10-01T00:00:00"/>
    <x v="1"/>
    <x v="0"/>
    <n v="0"/>
    <n v="1"/>
  </r>
  <r>
    <d v="2019-09-27T00:00:00"/>
    <n v="12767"/>
    <s v="WHSJC"/>
    <s v="Sao Jose dos Campos"/>
    <s v="SP"/>
    <n v="4049"/>
    <x v="43"/>
    <s v="Taguatinga"/>
    <s v="DF"/>
    <x v="1"/>
    <s v="DF"/>
    <n v="211.76"/>
    <n v="1"/>
    <n v="1.1200000000000001"/>
    <n v="6100231"/>
    <x v="1"/>
    <s v="Goiania"/>
    <s v="Convencional"/>
    <n v="6"/>
    <d v="2019-09-27T00:00:00"/>
    <x v="600"/>
    <x v="0"/>
    <d v="2019-10-03T00:00:00"/>
    <x v="0"/>
    <x v="0"/>
    <n v="1"/>
    <n v="1"/>
  </r>
  <r>
    <d v="2019-09-27T00:00:00"/>
    <n v="12768"/>
    <s v="WHSAO"/>
    <s v="Sao Paulo"/>
    <s v="SP"/>
    <n v="4058"/>
    <x v="2"/>
    <s v="Brasilia"/>
    <s v="DF"/>
    <x v="1"/>
    <s v="DF"/>
    <n v="1126.57"/>
    <n v="2"/>
    <n v="5.2249999999999996"/>
    <n v="6100231"/>
    <x v="1"/>
    <s v="Goiania"/>
    <s v="Convencional"/>
    <n v="12"/>
    <d v="2019-09-27T00:00:00"/>
    <x v="599"/>
    <x v="0"/>
    <d v="2019-10-09T00:00:00"/>
    <x v="0"/>
    <x v="0"/>
    <n v="1"/>
    <n v="1"/>
  </r>
  <r>
    <d v="2019-09-27T00:00:00"/>
    <n v="12769"/>
    <s v="WHVIT"/>
    <s v="Vitoria"/>
    <s v="ES"/>
    <n v="4049"/>
    <x v="43"/>
    <s v="Taguatinga"/>
    <s v="DF"/>
    <x v="1"/>
    <s v="DF"/>
    <n v="1007.98"/>
    <n v="1"/>
    <n v="1.1200000000000001"/>
    <n v="6100231"/>
    <x v="1"/>
    <s v="Goiania"/>
    <s v="Convencional"/>
    <n v="12"/>
    <d v="2019-09-27T00:00:00"/>
    <x v="602"/>
    <x v="0"/>
    <d v="2019-10-09T00:00:00"/>
    <x v="0"/>
    <x v="0"/>
    <n v="1"/>
    <n v="1"/>
  </r>
  <r>
    <d v="2019-09-27T00:00:00"/>
    <n v="12770"/>
    <s v="WHRJ"/>
    <s v="Rio De Janeiro"/>
    <s v="RJ"/>
    <n v="4049"/>
    <x v="43"/>
    <s v="Taguatinga"/>
    <s v="DF"/>
    <x v="1"/>
    <s v="DF"/>
    <n v="238.43"/>
    <n v="1"/>
    <n v="2.5190000000000001"/>
    <n v="6100231"/>
    <x v="1"/>
    <s v="Goiania"/>
    <s v="Convencional"/>
    <n v="6"/>
    <d v="2019-09-27T00:00:00"/>
    <x v="604"/>
    <x v="0"/>
    <d v="2019-10-03T00:00:00"/>
    <x v="0"/>
    <x v="0"/>
    <n v="1"/>
    <n v="1"/>
  </r>
  <r>
    <d v="2019-09-27T00:00:00"/>
    <n v="12771"/>
    <s v="WHSAO"/>
    <s v="Sao Paulo"/>
    <s v="SP"/>
    <n v="4049"/>
    <x v="43"/>
    <s v="Taguatinga"/>
    <s v="DF"/>
    <x v="1"/>
    <s v="DF"/>
    <n v="2778.91"/>
    <n v="1"/>
    <n v="1.1200000000000001"/>
    <n v="6100231"/>
    <x v="1"/>
    <s v="Goiania"/>
    <s v="Convencional"/>
    <n v="5"/>
    <d v="2019-09-27T00:00:00"/>
    <x v="605"/>
    <x v="0"/>
    <d v="2019-10-02T00:00:00"/>
    <x v="1"/>
    <x v="0"/>
    <n v="0"/>
    <n v="1"/>
  </r>
  <r>
    <d v="2019-09-27T00:00:00"/>
    <n v="12772"/>
    <s v="WHBH"/>
    <s v="Belo Horizonte"/>
    <s v="MG"/>
    <n v="4049"/>
    <x v="43"/>
    <s v="Taguatinga"/>
    <s v="DF"/>
    <x v="1"/>
    <s v="DF"/>
    <n v="7578.1"/>
    <n v="4"/>
    <n v="22.911000000000001"/>
    <n v="6100231"/>
    <x v="1"/>
    <s v="Goiania"/>
    <s v="Convencional"/>
    <n v="2"/>
    <d v="2019-09-27T00:00:00"/>
    <x v="600"/>
    <x v="0"/>
    <d v="2019-09-29T00:00:00"/>
    <x v="1"/>
    <x v="0"/>
    <n v="0"/>
    <n v="1"/>
  </r>
  <r>
    <d v="2019-09-27T00:00:00"/>
    <n v="12773"/>
    <s v="WHSAO"/>
    <s v="Sao Paulo"/>
    <s v="SP"/>
    <n v="4049"/>
    <x v="43"/>
    <s v="Taguatinga"/>
    <s v="DF"/>
    <x v="1"/>
    <s v="DF"/>
    <n v="1974.18"/>
    <n v="1"/>
    <n v="3.85"/>
    <n v="6100231"/>
    <x v="1"/>
    <s v="Goiania"/>
    <s v="Convencional"/>
    <n v="7"/>
    <d v="2019-09-27T00:00:00"/>
    <x v="602"/>
    <x v="0"/>
    <d v="2019-10-04T00:00:00"/>
    <x v="0"/>
    <x v="0"/>
    <n v="1"/>
    <n v="1"/>
  </r>
  <r>
    <d v="2019-09-27T00:00:00"/>
    <n v="12774"/>
    <s v="WHPOA"/>
    <s v="Porto Alegre"/>
    <s v="RS"/>
    <n v="4049"/>
    <x v="43"/>
    <s v="Taguatinga"/>
    <s v="DF"/>
    <x v="1"/>
    <s v="DF"/>
    <n v="33.700000000000003"/>
    <n v="1"/>
    <n v="6.6000000000000003E-2"/>
    <n v="6100231"/>
    <x v="1"/>
    <s v="Goiania"/>
    <s v="Convencional"/>
    <n v="5"/>
    <d v="2019-09-27T00:00:00"/>
    <x v="607"/>
    <x v="0"/>
    <d v="2019-10-02T00:00:00"/>
    <x v="1"/>
    <x v="0"/>
    <n v="0"/>
    <n v="1"/>
  </r>
  <r>
    <d v="2019-09-27T00:00:00"/>
    <n v="12775"/>
    <s v="WHSJC"/>
    <s v="Sao Jose dos Campos"/>
    <s v="SP"/>
    <n v="4049"/>
    <x v="43"/>
    <s v="Taguatinga"/>
    <s v="DF"/>
    <x v="1"/>
    <s v="DF"/>
    <n v="11.56"/>
    <n v="1"/>
    <n v="2.1999999999999999E-2"/>
    <n v="6100231"/>
    <x v="1"/>
    <s v="Goiania"/>
    <s v="Convencional"/>
    <n v="7"/>
    <d v="2019-09-27T00:00:00"/>
    <x v="604"/>
    <x v="0"/>
    <d v="2019-10-04T00:00:00"/>
    <x v="0"/>
    <x v="0"/>
    <n v="1"/>
    <n v="1"/>
  </r>
  <r>
    <d v="2019-09-27T00:00:00"/>
    <n v="12776"/>
    <s v="WHPOA"/>
    <s v="Porto Alegre"/>
    <s v="RS"/>
    <n v="4049"/>
    <x v="43"/>
    <s v="Taguatinga"/>
    <s v="DF"/>
    <x v="1"/>
    <s v="DF"/>
    <n v="426.22"/>
    <n v="1"/>
    <n v="16.5"/>
    <n v="6100231"/>
    <x v="1"/>
    <s v="Goiania"/>
    <s v="Convencional"/>
    <n v="4"/>
    <d v="2019-09-27T00:00:00"/>
    <x v="604"/>
    <x v="0"/>
    <d v="2019-10-01T00:00:00"/>
    <x v="1"/>
    <x v="0"/>
    <n v="0"/>
    <n v="1"/>
  </r>
  <r>
    <d v="2019-09-27T00:00:00"/>
    <n v="12777"/>
    <s v="WHVIT"/>
    <s v="Vitoria"/>
    <s v="ES"/>
    <n v="4049"/>
    <x v="43"/>
    <s v="Taguatinga"/>
    <s v="DF"/>
    <x v="1"/>
    <s v="DF"/>
    <n v="5138.55"/>
    <n v="18"/>
    <n v="197.28700000000001"/>
    <n v="6100231"/>
    <x v="1"/>
    <s v="Goiania"/>
    <s v="Convencional"/>
    <n v="2"/>
    <d v="2019-09-27T00:00:00"/>
    <x v="601"/>
    <x v="0"/>
    <d v="2019-09-29T00:00:00"/>
    <x v="0"/>
    <x v="0"/>
    <n v="1"/>
    <n v="1"/>
  </r>
  <r>
    <d v="2019-09-28T00:00:00"/>
    <n v="12778"/>
    <s v="WHCPQ"/>
    <s v="Campinas"/>
    <s v="SP"/>
    <n v="4136"/>
    <x v="124"/>
    <s v="Belo Horizonte"/>
    <s v="MG"/>
    <x v="2"/>
    <s v="MG"/>
    <n v="1987.7"/>
    <n v="1"/>
    <n v="1.1200000000000001"/>
    <n v="6600879"/>
    <x v="2"/>
    <s v="Belo Horizonte"/>
    <s v="Urgente"/>
    <n v="6"/>
    <d v="2019-09-28T00:00:00"/>
    <x v="602"/>
    <x v="0"/>
    <d v="2019-10-04T00:00:00"/>
    <x v="0"/>
    <x v="0"/>
    <n v="1"/>
    <n v="1"/>
  </r>
  <r>
    <d v="2019-09-28T00:00:00"/>
    <n v="12779"/>
    <s v="WHSJC"/>
    <s v="Sao Jose dos Campos"/>
    <s v="SP"/>
    <n v="4056"/>
    <x v="44"/>
    <s v="Goiania"/>
    <s v="GO"/>
    <x v="1"/>
    <s v="GO"/>
    <n v="2062.6799999999998"/>
    <n v="1"/>
    <n v="2.86"/>
    <n v="6100231"/>
    <x v="1"/>
    <s v="Goiania"/>
    <s v="Convencional"/>
    <n v="9"/>
    <d v="2019-09-28T00:00:00"/>
    <x v="602"/>
    <x v="0"/>
    <d v="2019-10-07T00:00:00"/>
    <x v="0"/>
    <x v="0"/>
    <n v="1"/>
    <n v="1"/>
  </r>
  <r>
    <d v="2019-09-28T00:00:00"/>
    <n v="12780"/>
    <s v="WHSAO"/>
    <s v="Sao Paulo"/>
    <s v="SP"/>
    <n v="4022"/>
    <x v="19"/>
    <s v="Maringa"/>
    <s v="PR"/>
    <x v="0"/>
    <s v="PR"/>
    <n v="2821.88"/>
    <n v="3"/>
    <n v="34.622999999999998"/>
    <n v="6500948"/>
    <x v="0"/>
    <s v="Porto Alegre"/>
    <s v="Convencional"/>
    <n v="8"/>
    <d v="2019-09-28T00:00:00"/>
    <x v="601"/>
    <x v="0"/>
    <d v="2019-10-06T00:00:00"/>
    <x v="0"/>
    <x v="0"/>
    <n v="1"/>
    <n v="1"/>
  </r>
  <r>
    <d v="2019-09-28T00:00:00"/>
    <n v="12781"/>
    <s v="WHRJ"/>
    <s v="Rio De Janeiro"/>
    <s v="RJ"/>
    <n v="4056"/>
    <x v="44"/>
    <s v="Goiania"/>
    <s v="GO"/>
    <x v="1"/>
    <s v="GO"/>
    <n v="2521.6"/>
    <n v="1"/>
    <n v="1.1200000000000001"/>
    <n v="6100231"/>
    <x v="1"/>
    <s v="Goiania"/>
    <s v="Convencional"/>
    <n v="10"/>
    <d v="2019-09-28T00:00:00"/>
    <x v="600"/>
    <x v="0"/>
    <d v="2019-10-08T00:00:00"/>
    <x v="0"/>
    <x v="0"/>
    <n v="1"/>
    <n v="1"/>
  </r>
  <r>
    <d v="2019-09-28T00:00:00"/>
    <n v="12782"/>
    <s v="WHVIT"/>
    <s v="Vitoria"/>
    <s v="ES"/>
    <n v="4056"/>
    <x v="44"/>
    <s v="Goiania"/>
    <s v="GO"/>
    <x v="1"/>
    <s v="GO"/>
    <n v="2228.5700000000002"/>
    <n v="1"/>
    <n v="3.41"/>
    <n v="6100231"/>
    <x v="1"/>
    <s v="Goiania"/>
    <s v="Convencional"/>
    <n v="4"/>
    <d v="2019-09-28T00:00:00"/>
    <x v="604"/>
    <x v="0"/>
    <d v="2019-10-02T00:00:00"/>
    <x v="1"/>
    <x v="0"/>
    <n v="0"/>
    <n v="1"/>
  </r>
  <r>
    <d v="2019-09-29T00:00:00"/>
    <n v="12783"/>
    <s v="WHSAO"/>
    <s v="Sao Paulo"/>
    <s v="SP"/>
    <n v="4018"/>
    <x v="12"/>
    <s v="Sao Jose"/>
    <s v="SC"/>
    <x v="0"/>
    <s v="SC"/>
    <n v="1002.42"/>
    <n v="1"/>
    <n v="1.1000000000000001"/>
    <n v="6500948"/>
    <x v="0"/>
    <s v="Porto Alegre"/>
    <s v="Convencional"/>
    <n v="11"/>
    <d v="2019-09-29T00:00:00"/>
    <x v="605"/>
    <x v="0"/>
    <d v="2019-10-10T00:00:00"/>
    <x v="0"/>
    <x v="0"/>
    <n v="1"/>
    <n v="1"/>
  </r>
  <r>
    <d v="2019-09-29T00:00:00"/>
    <n v="12784"/>
    <s v="WHSJC"/>
    <s v="Sao Jose dos Campos"/>
    <s v="SP"/>
    <n v="4018"/>
    <x v="12"/>
    <s v="Sao Jose"/>
    <s v="SC"/>
    <x v="0"/>
    <s v="SC"/>
    <n v="1621.91"/>
    <n v="1"/>
    <n v="16.5"/>
    <n v="6500948"/>
    <x v="0"/>
    <s v="Porto Alegre"/>
    <s v="Convencional"/>
    <n v="11"/>
    <d v="2019-09-29T00:00:00"/>
    <x v="602"/>
    <x v="0"/>
    <d v="2019-10-10T00:00:00"/>
    <x v="0"/>
    <x v="0"/>
    <n v="1"/>
    <n v="1"/>
  </r>
  <r>
    <d v="2019-09-29T00:00:00"/>
    <n v="12785"/>
    <s v="WHPOA"/>
    <s v="Porto Alegre"/>
    <s v="RS"/>
    <n v="4119"/>
    <x v="107"/>
    <s v="Recife"/>
    <s v="PE"/>
    <x v="3"/>
    <s v="PE"/>
    <n v="1404.39"/>
    <n v="4"/>
    <n v="2.7280000000000002"/>
    <n v="6900304"/>
    <x v="5"/>
    <s v="Fortaleza"/>
    <s v="Convencional"/>
    <n v="12"/>
    <d v="2019-09-29T00:00:00"/>
    <x v="605"/>
    <x v="0"/>
    <d v="2019-10-11T00:00:00"/>
    <x v="0"/>
    <x v="0"/>
    <n v="1"/>
    <n v="1"/>
  </r>
  <r>
    <d v="2019-09-29T00:00:00"/>
    <n v="12786"/>
    <s v="WHPOA"/>
    <s v="Porto Alegre"/>
    <s v="RS"/>
    <n v="4064"/>
    <x v="53"/>
    <s v="Presidente Prudente"/>
    <s v="SP"/>
    <x v="2"/>
    <s v="SP"/>
    <n v="362.23"/>
    <n v="1"/>
    <n v="0.68200000000000005"/>
    <n v="6400835"/>
    <x v="3"/>
    <s v="Guarulhos"/>
    <s v="Convencional"/>
    <n v="7"/>
    <d v="2019-09-29T00:00:00"/>
    <x v="602"/>
    <x v="0"/>
    <d v="2019-10-06T00:00:00"/>
    <x v="0"/>
    <x v="0"/>
    <n v="1"/>
    <n v="1"/>
  </r>
  <r>
    <d v="2019-09-29T00:00:00"/>
    <n v="12787"/>
    <s v="WHSAO"/>
    <s v="Sao Paulo"/>
    <s v="SP"/>
    <n v="4119"/>
    <x v="107"/>
    <s v="Recife"/>
    <s v="PE"/>
    <x v="3"/>
    <s v="PE"/>
    <n v="347.09"/>
    <n v="1"/>
    <n v="0.68200000000000005"/>
    <n v="6900304"/>
    <x v="5"/>
    <s v="Fortaleza"/>
    <s v="Convencional"/>
    <n v="11"/>
    <d v="2019-09-29T00:00:00"/>
    <x v="606"/>
    <x v="0"/>
    <d v="2019-10-10T00:00:00"/>
    <x v="0"/>
    <x v="0"/>
    <n v="1"/>
    <n v="1"/>
  </r>
  <r>
    <d v="2019-09-29T00:00:00"/>
    <n v="12788"/>
    <s v="WHPOA"/>
    <s v="Porto Alegre"/>
    <s v="RS"/>
    <n v="4064"/>
    <x v="53"/>
    <s v="Presidente Prudente"/>
    <s v="SP"/>
    <x v="2"/>
    <s v="SP"/>
    <n v="725.3"/>
    <n v="3"/>
    <n v="2.0459999999999998"/>
    <n v="6400835"/>
    <x v="3"/>
    <s v="Guarulhos"/>
    <s v="Convencional"/>
    <n v="5"/>
    <d v="2019-09-29T00:00:00"/>
    <x v="607"/>
    <x v="0"/>
    <d v="2019-10-04T00:00:00"/>
    <x v="1"/>
    <x v="0"/>
    <n v="0"/>
    <n v="1"/>
  </r>
  <r>
    <d v="2019-09-29T00:00:00"/>
    <n v="12789"/>
    <s v="WHVIT"/>
    <s v="Vitoria"/>
    <s v="ES"/>
    <n v="4119"/>
    <x v="107"/>
    <s v="Recife"/>
    <s v="PE"/>
    <x v="3"/>
    <s v="PE"/>
    <n v="714.05"/>
    <n v="2"/>
    <n v="1.3640000000000001"/>
    <n v="6900304"/>
    <x v="5"/>
    <s v="Fortaleza"/>
    <s v="Convencional"/>
    <n v="6"/>
    <d v="2019-09-29T00:00:00"/>
    <x v="602"/>
    <x v="0"/>
    <d v="2019-10-05T00:00:00"/>
    <x v="0"/>
    <x v="0"/>
    <n v="1"/>
    <n v="1"/>
  </r>
  <r>
    <d v="2019-09-29T00:00:00"/>
    <n v="12790"/>
    <s v="WHCPQ"/>
    <s v="Campinas"/>
    <s v="SP"/>
    <n v="4083"/>
    <x v="71"/>
    <s v="Sao Jose Do Rio Preto"/>
    <s v="SP"/>
    <x v="2"/>
    <s v="SP"/>
    <n v="345.18"/>
    <n v="1"/>
    <n v="0.68200000000000005"/>
    <n v="6400835"/>
    <x v="3"/>
    <s v="Guarulhos"/>
    <s v="Convencional"/>
    <n v="8"/>
    <d v="2019-09-29T00:00:00"/>
    <x v="606"/>
    <x v="0"/>
    <d v="2019-10-07T00:00:00"/>
    <x v="0"/>
    <x v="0"/>
    <n v="1"/>
    <n v="1"/>
  </r>
  <r>
    <d v="2019-09-29T00:00:00"/>
    <n v="12791"/>
    <s v="WHPOA"/>
    <s v="Porto Alegre"/>
    <s v="RS"/>
    <n v="4064"/>
    <x v="53"/>
    <s v="Presidente Prudente"/>
    <s v="SP"/>
    <x v="2"/>
    <s v="SP"/>
    <n v="682.53"/>
    <n v="2"/>
    <n v="1.3640000000000001"/>
    <n v="6400835"/>
    <x v="3"/>
    <s v="Guarulhos"/>
    <s v="Convencional"/>
    <n v="12"/>
    <d v="2019-09-29T00:00:00"/>
    <x v="608"/>
    <x v="0"/>
    <d v="2019-10-11T00:00:00"/>
    <x v="0"/>
    <x v="0"/>
    <n v="1"/>
    <n v="1"/>
  </r>
  <r>
    <d v="2019-09-29T00:00:00"/>
    <n v="12792"/>
    <s v="WHSJC"/>
    <s v="Sao Jose dos Campos"/>
    <s v="SP"/>
    <n v="4119"/>
    <x v="107"/>
    <s v="Recife"/>
    <s v="PE"/>
    <x v="3"/>
    <s v="PE"/>
    <n v="2419.11"/>
    <n v="2"/>
    <n v="4.774"/>
    <n v="6900304"/>
    <x v="5"/>
    <s v="Fortaleza"/>
    <s v="Convencional"/>
    <n v="7"/>
    <d v="2019-09-29T00:00:00"/>
    <x v="609"/>
    <x v="0"/>
    <d v="2019-10-06T00:00:00"/>
    <x v="0"/>
    <x v="0"/>
    <n v="1"/>
    <n v="1"/>
  </r>
  <r>
    <d v="2019-09-29T00:00:00"/>
    <n v="12793"/>
    <s v="WHPOA"/>
    <s v="Porto Alegre"/>
    <s v="RS"/>
    <n v="4083"/>
    <x v="71"/>
    <s v="Sao Jose Do Rio Preto"/>
    <s v="SP"/>
    <x v="2"/>
    <s v="SP"/>
    <n v="362.23"/>
    <n v="1"/>
    <n v="0.68200000000000005"/>
    <n v="6400835"/>
    <x v="3"/>
    <s v="Guarulhos"/>
    <s v="Convencional"/>
    <n v="7"/>
    <d v="2019-09-29T00:00:00"/>
    <x v="608"/>
    <x v="0"/>
    <d v="2019-10-06T00:00:00"/>
    <x v="1"/>
    <x v="0"/>
    <n v="0"/>
    <n v="1"/>
  </r>
  <r>
    <d v="2019-09-29T00:00:00"/>
    <n v="12794"/>
    <s v="WHPOA"/>
    <s v="Porto Alegre"/>
    <s v="RS"/>
    <n v="4083"/>
    <x v="71"/>
    <s v="Sao Jose Do Rio Preto"/>
    <s v="SP"/>
    <x v="2"/>
    <s v="SP"/>
    <n v="6237.32"/>
    <n v="3"/>
    <n v="12.276"/>
    <n v="6400835"/>
    <x v="3"/>
    <s v="Guarulhos"/>
    <s v="Convencional"/>
    <n v="8"/>
    <d v="2019-09-29T00:00:00"/>
    <x v="604"/>
    <x v="0"/>
    <d v="2019-10-07T00:00:00"/>
    <x v="0"/>
    <x v="0"/>
    <n v="1"/>
    <n v="1"/>
  </r>
  <r>
    <d v="2019-09-29T00:00:00"/>
    <n v="12795"/>
    <s v="WHBH"/>
    <s v="Belo Horizonte"/>
    <s v="MG"/>
    <n v="4064"/>
    <x v="53"/>
    <s v="Presidente Prudente"/>
    <s v="SP"/>
    <x v="2"/>
    <s v="SP"/>
    <n v="2776.72"/>
    <n v="1"/>
    <n v="5.4560000000000004"/>
    <n v="6400835"/>
    <x v="3"/>
    <s v="Guarulhos"/>
    <s v="Convencional"/>
    <n v="9"/>
    <d v="2019-09-29T00:00:00"/>
    <x v="608"/>
    <x v="2"/>
    <d v="2019-10-08T00:00:00"/>
    <x v="0"/>
    <x v="1"/>
    <n v="0"/>
    <n v="1"/>
  </r>
  <r>
    <d v="2019-09-29T00:00:00"/>
    <n v="12796"/>
    <s v="WHRJ"/>
    <s v="Rio De Janeiro"/>
    <s v="RJ"/>
    <n v="4119"/>
    <x v="107"/>
    <s v="Recife"/>
    <s v="PE"/>
    <x v="3"/>
    <s v="PE"/>
    <n v="3545.45"/>
    <n v="1"/>
    <n v="6.82"/>
    <n v="6900304"/>
    <x v="5"/>
    <s v="Fortaleza"/>
    <s v="Convencional"/>
    <n v="12"/>
    <d v="2019-09-29T00:00:00"/>
    <x v="610"/>
    <x v="0"/>
    <d v="2019-10-11T00:00:00"/>
    <x v="0"/>
    <x v="0"/>
    <n v="1"/>
    <n v="1"/>
  </r>
  <r>
    <d v="2019-09-29T00:00:00"/>
    <n v="12797"/>
    <s v="WHPOA"/>
    <s v="Porto Alegre"/>
    <s v="RS"/>
    <n v="4064"/>
    <x v="53"/>
    <s v="Presidente Prudente"/>
    <s v="SP"/>
    <x v="2"/>
    <s v="SP"/>
    <n v="724.47"/>
    <n v="2"/>
    <n v="1.3640000000000001"/>
    <n v="6400835"/>
    <x v="3"/>
    <s v="Guarulhos"/>
    <s v="Convencional"/>
    <n v="9"/>
    <d v="2019-09-29T00:00:00"/>
    <x v="608"/>
    <x v="0"/>
    <d v="2019-10-08T00:00:00"/>
    <x v="0"/>
    <x v="0"/>
    <n v="1"/>
    <n v="1"/>
  </r>
  <r>
    <d v="2019-09-29T00:00:00"/>
    <n v="12798"/>
    <s v="WHCPQ"/>
    <s v="Campinas"/>
    <s v="SP"/>
    <n v="4083"/>
    <x v="71"/>
    <s v="Sao Jose Do Rio Preto"/>
    <s v="SP"/>
    <x v="2"/>
    <s v="SP"/>
    <n v="762.33"/>
    <n v="1"/>
    <n v="5.72"/>
    <n v="6400835"/>
    <x v="3"/>
    <s v="Guarulhos"/>
    <s v="Convencional"/>
    <n v="4"/>
    <d v="2019-09-29T00:00:00"/>
    <x v="605"/>
    <x v="0"/>
    <d v="2019-10-03T00:00:00"/>
    <x v="1"/>
    <x v="0"/>
    <n v="0"/>
    <n v="1"/>
  </r>
  <r>
    <d v="2019-09-29T00:00:00"/>
    <n v="12799"/>
    <s v="WHVIT"/>
    <s v="Vitoria"/>
    <s v="ES"/>
    <n v="4083"/>
    <x v="71"/>
    <s v="Sao Jose Do Rio Preto"/>
    <s v="SP"/>
    <x v="2"/>
    <s v="SP"/>
    <n v="1139.3699999999999"/>
    <n v="3"/>
    <n v="2.0459999999999998"/>
    <n v="6400835"/>
    <x v="3"/>
    <s v="Guarulhos"/>
    <s v="Convencional"/>
    <n v="12"/>
    <d v="2019-09-29T00:00:00"/>
    <x v="606"/>
    <x v="0"/>
    <d v="2019-10-11T00:00:00"/>
    <x v="0"/>
    <x v="0"/>
    <n v="1"/>
    <n v="1"/>
  </r>
  <r>
    <d v="2019-09-29T00:00:00"/>
    <n v="12800"/>
    <s v="WHVIT"/>
    <s v="Vitoria"/>
    <s v="ES"/>
    <n v="4064"/>
    <x v="53"/>
    <s v="Presidente Prudente"/>
    <s v="SP"/>
    <x v="2"/>
    <s v="SP"/>
    <n v="1404.39"/>
    <n v="4"/>
    <n v="2.7280000000000002"/>
    <n v="6400835"/>
    <x v="3"/>
    <s v="Guarulhos"/>
    <s v="Convencional"/>
    <n v="12"/>
    <d v="2019-09-29T00:00:00"/>
    <x v="604"/>
    <x v="0"/>
    <d v="2019-10-11T00:00:00"/>
    <x v="0"/>
    <x v="0"/>
    <n v="1"/>
    <n v="1"/>
  </r>
  <r>
    <d v="2019-09-29T00:00:00"/>
    <n v="12801"/>
    <s v="WHVIT"/>
    <s v="Vitoria"/>
    <s v="ES"/>
    <n v="4064"/>
    <x v="53"/>
    <s v="Presidente Prudente"/>
    <s v="SP"/>
    <x v="2"/>
    <s v="SP"/>
    <n v="711.71"/>
    <n v="2"/>
    <n v="1.3640000000000001"/>
    <n v="6400835"/>
    <x v="3"/>
    <s v="Guarulhos"/>
    <s v="Convencional"/>
    <n v="11"/>
    <d v="2019-09-29T00:00:00"/>
    <x v="607"/>
    <x v="0"/>
    <d v="2019-10-10T00:00:00"/>
    <x v="0"/>
    <x v="0"/>
    <n v="1"/>
    <n v="1"/>
  </r>
  <r>
    <d v="2019-09-29T00:00:00"/>
    <n v="12802"/>
    <s v="WHPOA"/>
    <s v="Porto Alegre"/>
    <s v="RS"/>
    <n v="4083"/>
    <x v="71"/>
    <s v="Sao Jose Do Rio Preto"/>
    <s v="SP"/>
    <x v="2"/>
    <s v="SP"/>
    <n v="1061.69"/>
    <n v="3"/>
    <n v="2.0459999999999998"/>
    <n v="6400835"/>
    <x v="3"/>
    <s v="Guarulhos"/>
    <s v="Convencional"/>
    <n v="8"/>
    <d v="2019-09-29T00:00:00"/>
    <x v="600"/>
    <x v="0"/>
    <d v="2019-10-07T00:00:00"/>
    <x v="0"/>
    <x v="0"/>
    <n v="1"/>
    <n v="1"/>
  </r>
  <r>
    <d v="2019-09-29T00:00:00"/>
    <n v="12803"/>
    <s v="WHBH"/>
    <s v="Belo Horizonte"/>
    <s v="MG"/>
    <n v="4083"/>
    <x v="71"/>
    <s v="Sao Jose Do Rio Preto"/>
    <s v="SP"/>
    <x v="2"/>
    <s v="SP"/>
    <n v="3925.71"/>
    <n v="5"/>
    <n v="7.5019999999999998"/>
    <n v="6400835"/>
    <x v="3"/>
    <s v="Guarulhos"/>
    <s v="Convencional"/>
    <n v="5"/>
    <d v="2019-09-29T00:00:00"/>
    <x v="606"/>
    <x v="0"/>
    <d v="2019-10-04T00:00:00"/>
    <x v="1"/>
    <x v="0"/>
    <n v="0"/>
    <n v="1"/>
  </r>
  <r>
    <d v="2019-09-29T00:00:00"/>
    <n v="12804"/>
    <s v="WHBH"/>
    <s v="Belo Horizonte"/>
    <s v="MG"/>
    <n v="4083"/>
    <x v="71"/>
    <s v="Sao Jose Do Rio Preto"/>
    <s v="SP"/>
    <x v="2"/>
    <s v="SP"/>
    <n v="5481.59"/>
    <n v="2"/>
    <n v="10.912000000000001"/>
    <n v="6400835"/>
    <x v="3"/>
    <s v="Guarulhos"/>
    <s v="Convencional"/>
    <n v="11"/>
    <d v="2019-09-29T00:00:00"/>
    <x v="600"/>
    <x v="0"/>
    <d v="2019-10-10T00:00:00"/>
    <x v="0"/>
    <x v="0"/>
    <n v="1"/>
    <n v="1"/>
  </r>
  <r>
    <d v="2019-10-01T00:00:00"/>
    <n v="12805"/>
    <s v="WHVIT"/>
    <s v="Vitoria"/>
    <s v="ES"/>
    <n v="4190"/>
    <x v="178"/>
    <s v="Belo Horizonte"/>
    <s v="MG"/>
    <x v="2"/>
    <s v="MG"/>
    <n v="2139.58"/>
    <n v="1"/>
    <n v="4.0919999999999996"/>
    <n v="6600879"/>
    <x v="2"/>
    <s v="Belo Horizonte"/>
    <s v="Convencional"/>
    <n v="4"/>
    <d v="2019-10-01T00:00:00"/>
    <x v="604"/>
    <x v="0"/>
    <d v="2019-10-05T00:00:00"/>
    <x v="0"/>
    <x v="0"/>
    <n v="1"/>
    <n v="1"/>
  </r>
  <r>
    <d v="2019-10-01T00:00:00"/>
    <n v="12806"/>
    <s v="WHVIT"/>
    <s v="Vitoria"/>
    <s v="ES"/>
    <n v="4157"/>
    <x v="145"/>
    <s v="Belo Horizonte"/>
    <s v="MG"/>
    <x v="2"/>
    <s v="MG"/>
    <n v="8696.14"/>
    <n v="15"/>
    <n v="114.828"/>
    <n v="6600879"/>
    <x v="2"/>
    <s v="Belo Horizonte"/>
    <s v="Convencional"/>
    <n v="9"/>
    <d v="2019-10-01T00:00:00"/>
    <x v="611"/>
    <x v="0"/>
    <d v="2019-10-10T00:00:00"/>
    <x v="1"/>
    <x v="0"/>
    <n v="0"/>
    <n v="1"/>
  </r>
  <r>
    <d v="2019-10-01T00:00:00"/>
    <n v="12807"/>
    <s v="WHCPQ"/>
    <s v="Campinas"/>
    <s v="SP"/>
    <n v="4023"/>
    <x v="20"/>
    <s v="Sao Jose"/>
    <s v="SC"/>
    <x v="0"/>
    <s v="SC"/>
    <n v="3248.58"/>
    <n v="1"/>
    <n v="1.1200000000000001"/>
    <n v="6500948"/>
    <x v="0"/>
    <s v="Porto Alegre"/>
    <s v="Convencional"/>
    <n v="10"/>
    <d v="2019-10-01T00:00:00"/>
    <x v="610"/>
    <x v="0"/>
    <d v="2019-10-11T00:00:00"/>
    <x v="0"/>
    <x v="0"/>
    <n v="1"/>
    <n v="1"/>
  </r>
  <r>
    <d v="2019-10-02T00:00:00"/>
    <n v="12808"/>
    <s v="WHVIT"/>
    <s v="Vitoria"/>
    <s v="ES"/>
    <n v="4056"/>
    <x v="44"/>
    <s v="Goiania"/>
    <s v="GO"/>
    <x v="1"/>
    <s v="GO"/>
    <n v="723.32"/>
    <n v="7"/>
    <n v="21.280999999999999"/>
    <n v="6100231"/>
    <x v="1"/>
    <s v="Goiania"/>
    <s v="Convencional"/>
    <n v="8"/>
    <d v="2019-10-02T00:00:00"/>
    <x v="607"/>
    <x v="0"/>
    <d v="2019-10-10T00:00:00"/>
    <x v="0"/>
    <x v="0"/>
    <n v="1"/>
    <n v="1"/>
  </r>
  <r>
    <d v="2019-10-02T00:00:00"/>
    <n v="12809"/>
    <s v="WHBH"/>
    <s v="Belo Horizonte"/>
    <s v="MG"/>
    <n v="4143"/>
    <x v="131"/>
    <s v="Manaus"/>
    <s v="AM"/>
    <x v="4"/>
    <s v="AM"/>
    <n v="3417.87"/>
    <n v="1"/>
    <n v="1.1200000000000001"/>
    <n v="6700091"/>
    <x v="6"/>
    <s v="Manaus"/>
    <s v="Urgente"/>
    <n v="8"/>
    <d v="2019-10-02T00:00:00"/>
    <x v="606"/>
    <x v="0"/>
    <d v="2019-10-10T00:00:00"/>
    <x v="0"/>
    <x v="0"/>
    <n v="1"/>
    <n v="1"/>
  </r>
  <r>
    <d v="2019-10-02T00:00:00"/>
    <n v="12810"/>
    <s v="WHPOA"/>
    <s v="Porto Alegre"/>
    <s v="RS"/>
    <n v="4148"/>
    <x v="136"/>
    <s v="Sao Paulo"/>
    <s v="SP"/>
    <x v="2"/>
    <s v="SP"/>
    <n v="84.03"/>
    <n v="1"/>
    <n v="8.7999999999999995E-2"/>
    <n v="6400835"/>
    <x v="3"/>
    <s v="Guarulhos"/>
    <s v="Convencional"/>
    <n v="7"/>
    <d v="2019-10-02T00:00:00"/>
    <x v="609"/>
    <x v="0"/>
    <d v="2019-10-09T00:00:00"/>
    <x v="0"/>
    <x v="0"/>
    <n v="1"/>
    <n v="1"/>
  </r>
  <r>
    <d v="2019-10-02T00:00:00"/>
    <n v="12811"/>
    <s v="WHVIT"/>
    <s v="Vitoria"/>
    <s v="ES"/>
    <n v="4141"/>
    <x v="129"/>
    <s v="Rio De Janeiro"/>
    <s v="RJ"/>
    <x v="2"/>
    <s v="RJ"/>
    <n v="2159.77"/>
    <n v="2"/>
    <n v="3.08"/>
    <n v="6140092"/>
    <x v="4"/>
    <s v="Rio de Janeiro"/>
    <s v="Urgente"/>
    <n v="4"/>
    <d v="2019-10-02T00:00:00"/>
    <x v="604"/>
    <x v="0"/>
    <d v="2019-10-06T00:00:00"/>
    <x v="0"/>
    <x v="0"/>
    <n v="1"/>
    <n v="1"/>
  </r>
  <r>
    <d v="2019-10-02T00:00:00"/>
    <n v="12812"/>
    <s v="WHSAO"/>
    <s v="Sao Paulo"/>
    <s v="SP"/>
    <n v="4068"/>
    <x v="4"/>
    <s v="Campo Grande"/>
    <s v="MS"/>
    <x v="1"/>
    <s v="MS"/>
    <n v="7639.69"/>
    <n v="15"/>
    <n v="45.811999999999998"/>
    <n v="6100231"/>
    <x v="1"/>
    <s v="Goiania"/>
    <s v="Convencional"/>
    <n v="10"/>
    <d v="2019-10-02T00:00:00"/>
    <x v="605"/>
    <x v="0"/>
    <d v="2019-10-12T00:00:00"/>
    <x v="0"/>
    <x v="0"/>
    <n v="1"/>
    <n v="1"/>
  </r>
  <r>
    <d v="2019-10-03T00:00:00"/>
    <n v="12813"/>
    <s v="WHBH"/>
    <s v="Belo Horizonte"/>
    <s v="MG"/>
    <n v="4156"/>
    <x v="144"/>
    <s v="Rio Grande do Sul"/>
    <s v="RS"/>
    <x v="0"/>
    <s v="RS"/>
    <n v="4844.75"/>
    <n v="13"/>
    <n v="45.865000000000002"/>
    <n v="6500948"/>
    <x v="0"/>
    <s v="Porto Alegre"/>
    <s v="Convencional"/>
    <n v="3"/>
    <d v="2019-10-03T00:00:00"/>
    <x v="607"/>
    <x v="0"/>
    <d v="2019-10-06T00:00:00"/>
    <x v="1"/>
    <x v="0"/>
    <n v="0"/>
    <n v="1"/>
  </r>
  <r>
    <d v="2019-10-03T00:00:00"/>
    <n v="12814"/>
    <s v="WHVIT"/>
    <s v="Vitoria"/>
    <s v="ES"/>
    <n v="4161"/>
    <x v="149"/>
    <s v="Recife"/>
    <s v="PE"/>
    <x v="3"/>
    <s v="PE"/>
    <n v="547.75"/>
    <n v="1"/>
    <n v="1.76"/>
    <n v="6900304"/>
    <x v="5"/>
    <s v="Fortaleza"/>
    <s v="Convencional"/>
    <n v="12"/>
    <d v="2019-10-03T00:00:00"/>
    <x v="605"/>
    <x v="0"/>
    <d v="2019-10-15T00:00:00"/>
    <x v="0"/>
    <x v="0"/>
    <n v="1"/>
    <n v="1"/>
  </r>
  <r>
    <d v="2019-10-03T00:00:00"/>
    <n v="12815"/>
    <s v="WHBH"/>
    <s v="Belo Horizonte"/>
    <s v="MG"/>
    <n v="4173"/>
    <x v="161"/>
    <s v="Belo Horizonte"/>
    <s v="MG"/>
    <x v="2"/>
    <s v="MG"/>
    <n v="7028.78"/>
    <n v="15"/>
    <n v="22.262"/>
    <n v="6600879"/>
    <x v="2"/>
    <s v="Belo Horizonte"/>
    <s v="Convencional"/>
    <n v="1"/>
    <d v="2019-10-03T00:00:00"/>
    <x v="611"/>
    <x v="0"/>
    <d v="2019-10-04T00:00:00"/>
    <x v="1"/>
    <x v="0"/>
    <n v="0"/>
    <n v="1"/>
  </r>
  <r>
    <d v="2019-10-03T00:00:00"/>
    <n v="12816"/>
    <s v="WHCPQ"/>
    <s v="Campinas"/>
    <s v="SP"/>
    <n v="4023"/>
    <x v="20"/>
    <s v="Sao Jose"/>
    <s v="SC"/>
    <x v="0"/>
    <s v="SC"/>
    <n v="1038.1400000000001"/>
    <n v="3"/>
    <n v="21.722999999999999"/>
    <n v="6500948"/>
    <x v="0"/>
    <s v="Porto Alegre"/>
    <s v="Urgente"/>
    <n v="10"/>
    <d v="2019-10-03T00:00:00"/>
    <x v="609"/>
    <x v="0"/>
    <d v="2019-10-13T00:00:00"/>
    <x v="0"/>
    <x v="0"/>
    <n v="1"/>
    <n v="1"/>
  </r>
  <r>
    <d v="2019-10-04T00:00:00"/>
    <n v="12817"/>
    <s v="WHRJ"/>
    <s v="Rio De Janeiro"/>
    <s v="RJ"/>
    <n v="4231"/>
    <x v="219"/>
    <s v="Rio De Janeiro"/>
    <s v="RJ"/>
    <x v="2"/>
    <s v="RJ"/>
    <n v="993.44"/>
    <n v="1"/>
    <n v="1.101"/>
    <n v="6140092"/>
    <x v="4"/>
    <s v="Rio de Janeiro"/>
    <s v="Convencional"/>
    <n v="2"/>
    <d v="2019-10-04T00:00:00"/>
    <x v="610"/>
    <x v="0"/>
    <d v="2019-10-06T00:00:00"/>
    <x v="1"/>
    <x v="0"/>
    <n v="0"/>
    <n v="1"/>
  </r>
  <r>
    <d v="2019-10-04T00:00:00"/>
    <n v="12818"/>
    <s v="WHCPQ"/>
    <s v="Campinas"/>
    <s v="SP"/>
    <n v="4132"/>
    <x v="120"/>
    <s v="Santos"/>
    <s v="SP"/>
    <x v="2"/>
    <s v="SP"/>
    <n v="23781.119999999999"/>
    <n v="32"/>
    <n v="164.32900000000001"/>
    <n v="6400835"/>
    <x v="3"/>
    <s v="Guarulhos"/>
    <s v="Convencional"/>
    <n v="1"/>
    <d v="2019-10-04T00:00:00"/>
    <x v="606"/>
    <x v="0"/>
    <d v="2019-10-05T00:00:00"/>
    <x v="0"/>
    <x v="0"/>
    <n v="1"/>
    <n v="1"/>
  </r>
  <r>
    <d v="2019-10-04T00:00:00"/>
    <n v="12819"/>
    <s v="WHSAO"/>
    <s v="Sao Paulo"/>
    <s v="SP"/>
    <n v="4253"/>
    <x v="241"/>
    <s v="Recife"/>
    <s v="PE"/>
    <x v="3"/>
    <s v="PE"/>
    <n v="421.72"/>
    <n v="1"/>
    <n v="0.749"/>
    <n v="6900304"/>
    <x v="5"/>
    <s v="Fortaleza"/>
    <s v="Urgente"/>
    <n v="2"/>
    <d v="2019-10-04T00:00:00"/>
    <x v="607"/>
    <x v="0"/>
    <d v="2019-10-06T00:00:00"/>
    <x v="1"/>
    <x v="0"/>
    <n v="0"/>
    <n v="1"/>
  </r>
  <r>
    <d v="2019-10-04T00:00:00"/>
    <n v="12820"/>
    <s v="WHSJC"/>
    <s v="Sao Jose dos Campos"/>
    <s v="SP"/>
    <n v="4159"/>
    <x v="147"/>
    <s v="Manaus"/>
    <s v="AM"/>
    <x v="4"/>
    <s v="AM"/>
    <n v="174.8"/>
    <n v="1"/>
    <n v="1.111"/>
    <n v="6700091"/>
    <x v="6"/>
    <s v="Manaus"/>
    <s v="Convencional"/>
    <n v="2"/>
    <d v="2019-10-04T00:00:00"/>
    <x v="606"/>
    <x v="0"/>
    <d v="2019-10-06T00:00:00"/>
    <x v="0"/>
    <x v="0"/>
    <n v="1"/>
    <n v="1"/>
  </r>
  <r>
    <d v="2019-10-04T00:00:00"/>
    <n v="12821"/>
    <s v="WHRJ"/>
    <s v="Rio De Janeiro"/>
    <s v="RJ"/>
    <n v="4127"/>
    <x v="115"/>
    <s v="Rio De Janeiro"/>
    <s v="RJ"/>
    <x v="2"/>
    <s v="RJ"/>
    <n v="905.14"/>
    <n v="3"/>
    <n v="4.4029999999999996"/>
    <n v="6140092"/>
    <x v="4"/>
    <s v="Rio de Janeiro"/>
    <s v="Urgente"/>
    <n v="4"/>
    <d v="2019-10-04T00:00:00"/>
    <x v="606"/>
    <x v="0"/>
    <d v="2019-10-08T00:00:00"/>
    <x v="0"/>
    <x v="0"/>
    <n v="1"/>
    <n v="1"/>
  </r>
  <r>
    <d v="2019-10-04T00:00:00"/>
    <n v="12822"/>
    <s v="WHSJC"/>
    <s v="Sao Jose dos Campos"/>
    <s v="SP"/>
    <n v="4127"/>
    <x v="115"/>
    <s v="Rio De Janeiro"/>
    <s v="RJ"/>
    <x v="2"/>
    <s v="RJ"/>
    <n v="496.79"/>
    <n v="1"/>
    <n v="1.1200000000000001"/>
    <n v="6140092"/>
    <x v="4"/>
    <s v="Rio de Janeiro"/>
    <s v="Convencional"/>
    <n v="6"/>
    <d v="2019-10-04T00:00:00"/>
    <x v="610"/>
    <x v="0"/>
    <d v="2019-10-10T00:00:00"/>
    <x v="0"/>
    <x v="0"/>
    <n v="1"/>
    <n v="1"/>
  </r>
  <r>
    <d v="2019-10-05T00:00:00"/>
    <n v="12823"/>
    <s v="WHVIT"/>
    <s v="Vitoria"/>
    <s v="ES"/>
    <n v="4208"/>
    <x v="196"/>
    <s v="Sao Paulo"/>
    <s v="SP"/>
    <x v="2"/>
    <s v="SP"/>
    <n v="113610.98"/>
    <n v="230"/>
    <n v="789.74"/>
    <n v="6400835"/>
    <x v="3"/>
    <s v="Guarulhos"/>
    <s v="Convencional"/>
    <n v="8"/>
    <d v="2019-10-05T00:00:00"/>
    <x v="609"/>
    <x v="0"/>
    <d v="2019-10-13T00:00:00"/>
    <x v="0"/>
    <x v="0"/>
    <n v="1"/>
    <n v="1"/>
  </r>
  <r>
    <d v="2019-10-05T00:00:00"/>
    <n v="12824"/>
    <s v="WHRJ"/>
    <s v="Rio De Janeiro"/>
    <s v="RJ"/>
    <n v="4230"/>
    <x v="218"/>
    <s v="Belo Horizonte"/>
    <s v="MG"/>
    <x v="2"/>
    <s v="MG"/>
    <n v="627.21"/>
    <n v="1"/>
    <n v="3.3"/>
    <n v="6600879"/>
    <x v="2"/>
    <s v="Belo Horizonte"/>
    <s v="Convencional"/>
    <n v="1"/>
    <d v="2019-10-05T00:00:00"/>
    <x v="612"/>
    <x v="0"/>
    <d v="2019-10-06T00:00:00"/>
    <x v="1"/>
    <x v="0"/>
    <n v="0"/>
    <n v="1"/>
  </r>
  <r>
    <d v="2019-10-05T00:00:00"/>
    <n v="12825"/>
    <s v="WHVIT"/>
    <s v="Vitoria"/>
    <s v="ES"/>
    <n v="4068"/>
    <x v="4"/>
    <s v="Campo Grande"/>
    <s v="MS"/>
    <x v="1"/>
    <s v="MS"/>
    <n v="5500.2"/>
    <n v="13"/>
    <n v="9.8699999999999992"/>
    <n v="6100231"/>
    <x v="1"/>
    <s v="Goiania"/>
    <s v="Convencional"/>
    <n v="4"/>
    <d v="2019-10-05T00:00:00"/>
    <x v="613"/>
    <x v="2"/>
    <d v="2019-10-09T00:00:00"/>
    <x v="1"/>
    <x v="1"/>
    <n v="0"/>
    <n v="1"/>
  </r>
  <r>
    <d v="2019-10-08T00:00:00"/>
    <n v="12826"/>
    <s v="WHBH"/>
    <s v="Belo Horizonte"/>
    <s v="MG"/>
    <n v="4165"/>
    <x v="153"/>
    <s v="Recife"/>
    <s v="PE"/>
    <x v="3"/>
    <s v="PE"/>
    <n v="884.55"/>
    <n v="1"/>
    <n v="11.837999999999999"/>
    <n v="6900304"/>
    <x v="5"/>
    <s v="Fortaleza"/>
    <s v="Convencional"/>
    <n v="11"/>
    <d v="2019-10-08T00:00:00"/>
    <x v="614"/>
    <x v="0"/>
    <d v="2019-10-19T00:00:00"/>
    <x v="0"/>
    <x v="0"/>
    <n v="1"/>
    <n v="1"/>
  </r>
  <r>
    <d v="2019-10-08T00:00:00"/>
    <n v="12827"/>
    <s v="WHSAO"/>
    <s v="Sao Paulo"/>
    <s v="SP"/>
    <n v="4033"/>
    <x v="35"/>
    <s v="Goiania"/>
    <s v="GO"/>
    <x v="1"/>
    <s v="GO"/>
    <n v="291.19"/>
    <n v="1"/>
    <n v="4.4039999999999999"/>
    <n v="6100231"/>
    <x v="1"/>
    <s v="Goiania"/>
    <s v="Convencional"/>
    <n v="12"/>
    <d v="2019-10-08T00:00:00"/>
    <x v="615"/>
    <x v="0"/>
    <d v="2019-10-20T00:00:00"/>
    <x v="0"/>
    <x v="0"/>
    <n v="1"/>
    <n v="1"/>
  </r>
  <r>
    <d v="2019-10-08T00:00:00"/>
    <n v="12828"/>
    <s v="WHCPQ"/>
    <s v="Campinas"/>
    <s v="SP"/>
    <n v="4096"/>
    <x v="84"/>
    <s v="Rio De Janeiro"/>
    <s v="RJ"/>
    <x v="2"/>
    <s v="RJ"/>
    <n v="6597.58"/>
    <n v="7"/>
    <n v="22.242999999999999"/>
    <n v="6140092"/>
    <x v="4"/>
    <s v="Rio de Janeiro"/>
    <s v="Convencional"/>
    <n v="12"/>
    <d v="2019-10-08T00:00:00"/>
    <x v="614"/>
    <x v="0"/>
    <d v="2019-10-20T00:00:00"/>
    <x v="0"/>
    <x v="0"/>
    <n v="1"/>
    <n v="1"/>
  </r>
  <r>
    <d v="2019-10-08T00:00:00"/>
    <n v="12829"/>
    <s v="WHCPQ"/>
    <s v="Campinas"/>
    <s v="SP"/>
    <n v="4133"/>
    <x v="121"/>
    <s v="Belo Horizonte"/>
    <s v="MG"/>
    <x v="2"/>
    <s v="MG"/>
    <n v="1457.97"/>
    <n v="2"/>
    <n v="1.272"/>
    <n v="6600879"/>
    <x v="2"/>
    <s v="Belo Horizonte"/>
    <s v="Convencional"/>
    <n v="6"/>
    <d v="2019-10-08T00:00:00"/>
    <x v="616"/>
    <x v="0"/>
    <d v="2019-10-14T00:00:00"/>
    <x v="1"/>
    <x v="0"/>
    <n v="0"/>
    <n v="1"/>
  </r>
  <r>
    <d v="2019-10-08T00:00:00"/>
    <n v="12830"/>
    <s v="WHSAO"/>
    <s v="Sao Paulo"/>
    <s v="SP"/>
    <n v="4068"/>
    <x v="4"/>
    <s v="Campo Grande"/>
    <s v="MS"/>
    <x v="1"/>
    <s v="MS"/>
    <n v="3619.98"/>
    <n v="7"/>
    <n v="47.5"/>
    <n v="6100231"/>
    <x v="1"/>
    <s v="Goiania"/>
    <s v="Convencional"/>
    <n v="12"/>
    <d v="2019-10-08T00:00:00"/>
    <x v="614"/>
    <x v="2"/>
    <d v="2019-10-20T00:00:00"/>
    <x v="0"/>
    <x v="1"/>
    <n v="0"/>
    <n v="1"/>
  </r>
  <r>
    <d v="2019-10-08T00:00:00"/>
    <n v="12831"/>
    <s v="WHSJC"/>
    <s v="Sao Jose dos Campos"/>
    <s v="SP"/>
    <n v="4013"/>
    <x v="1"/>
    <s v="Blumenau"/>
    <s v="SC"/>
    <x v="0"/>
    <s v="SC"/>
    <n v="469.04"/>
    <n v="1"/>
    <n v="1.1200000000000001"/>
    <n v="6500948"/>
    <x v="0"/>
    <s v="Porto Alegre"/>
    <s v="Convencional"/>
    <n v="10"/>
    <d v="2019-10-08T00:00:00"/>
    <x v="617"/>
    <x v="0"/>
    <d v="2019-10-18T00:00:00"/>
    <x v="0"/>
    <x v="0"/>
    <n v="1"/>
    <n v="1"/>
  </r>
  <r>
    <d v="2019-10-08T00:00:00"/>
    <n v="12832"/>
    <s v="WHSJC"/>
    <s v="Sao Jose dos Campos"/>
    <s v="SP"/>
    <n v="4032"/>
    <x v="34"/>
    <s v="Goiania"/>
    <s v="GO"/>
    <x v="1"/>
    <s v="GO"/>
    <n v="914.22"/>
    <n v="2"/>
    <n v="11.22"/>
    <n v="6100231"/>
    <x v="1"/>
    <s v="Goiania"/>
    <s v="Convencional"/>
    <n v="10"/>
    <d v="2019-10-08T00:00:00"/>
    <x v="611"/>
    <x v="0"/>
    <d v="2019-10-18T00:00:00"/>
    <x v="0"/>
    <x v="0"/>
    <n v="1"/>
    <n v="1"/>
  </r>
  <r>
    <d v="2019-10-08T00:00:00"/>
    <n v="12833"/>
    <s v="WHBH"/>
    <s v="Belo Horizonte"/>
    <s v="MG"/>
    <n v="4126"/>
    <x v="114"/>
    <s v="Belo Horizonte"/>
    <s v="MG"/>
    <x v="2"/>
    <s v="MG"/>
    <n v="1581.57"/>
    <n v="7"/>
    <n v="40.954000000000001"/>
    <n v="6600879"/>
    <x v="2"/>
    <s v="Belo Horizonte"/>
    <s v="Convencional"/>
    <n v="5"/>
    <d v="2019-10-08T00:00:00"/>
    <x v="611"/>
    <x v="1"/>
    <d v="2019-10-13T00:00:00"/>
    <x v="0"/>
    <x v="1"/>
    <n v="0"/>
    <n v="1"/>
  </r>
  <r>
    <d v="2019-10-09T00:00:00"/>
    <n v="12834"/>
    <s v="WHSAO"/>
    <s v="Sao Paulo"/>
    <s v="SP"/>
    <n v="4194"/>
    <x v="182"/>
    <s v="Manaus"/>
    <s v="AM"/>
    <x v="4"/>
    <s v="AM"/>
    <n v="5686.65"/>
    <n v="1"/>
    <n v="1.1200000000000001"/>
    <n v="6700091"/>
    <x v="6"/>
    <s v="Manaus"/>
    <s v="Convencional"/>
    <n v="10"/>
    <d v="2019-10-09T00:00:00"/>
    <x v="615"/>
    <x v="0"/>
    <d v="2019-10-19T00:00:00"/>
    <x v="0"/>
    <x v="0"/>
    <n v="1"/>
    <n v="1"/>
  </r>
  <r>
    <d v="2019-10-09T00:00:00"/>
    <n v="12835"/>
    <s v="WHSJC"/>
    <s v="Sao Jose dos Campos"/>
    <s v="SP"/>
    <n v="4254"/>
    <x v="242"/>
    <s v="Sao Paulo"/>
    <s v="SP"/>
    <x v="2"/>
    <s v="SP"/>
    <n v="6702.21"/>
    <n v="13"/>
    <n v="24.725000000000001"/>
    <n v="6400835"/>
    <x v="3"/>
    <s v="Guarulhos"/>
    <s v="Convencional"/>
    <n v="1"/>
    <d v="2019-10-09T00:00:00"/>
    <x v="612"/>
    <x v="0"/>
    <d v="2019-10-10T00:00:00"/>
    <x v="1"/>
    <x v="0"/>
    <n v="0"/>
    <n v="1"/>
  </r>
  <r>
    <d v="2019-10-09T00:00:00"/>
    <n v="12836"/>
    <s v="WHSJC"/>
    <s v="Sao Jose dos Campos"/>
    <s v="SP"/>
    <n v="4255"/>
    <x v="243"/>
    <s v="Belo Horizonte"/>
    <s v="MG"/>
    <x v="2"/>
    <s v="MG"/>
    <n v="405.12"/>
    <n v="8"/>
    <n v="27.675000000000001"/>
    <n v="6600879"/>
    <x v="2"/>
    <s v="Belo Horizonte"/>
    <s v="Convencional"/>
    <n v="10"/>
    <d v="2019-10-09T00:00:00"/>
    <x v="618"/>
    <x v="1"/>
    <d v="2019-10-19T00:00:00"/>
    <x v="0"/>
    <x v="1"/>
    <n v="0"/>
    <n v="1"/>
  </r>
  <r>
    <d v="2019-10-09T00:00:00"/>
    <n v="12837"/>
    <s v="WHCPQ"/>
    <s v="Campinas"/>
    <s v="SP"/>
    <n v="4142"/>
    <x v="130"/>
    <s v="Manaus"/>
    <s v="AM"/>
    <x v="4"/>
    <s v="AM"/>
    <n v="2446.0100000000002"/>
    <n v="1"/>
    <n v="1.1200000000000001"/>
    <n v="6700091"/>
    <x v="6"/>
    <s v="Manaus"/>
    <s v="Convencional"/>
    <n v="3"/>
    <d v="2019-10-09T00:00:00"/>
    <x v="614"/>
    <x v="1"/>
    <d v="2019-10-12T00:00:00"/>
    <x v="1"/>
    <x v="1"/>
    <n v="0"/>
    <n v="1"/>
  </r>
  <r>
    <d v="2019-10-09T00:00:00"/>
    <n v="12838"/>
    <s v="WHSAO"/>
    <s v="Sao Paulo"/>
    <s v="SP"/>
    <n v="4171"/>
    <x v="159"/>
    <s v="Manaus"/>
    <s v="AM"/>
    <x v="4"/>
    <s v="AM"/>
    <n v="99.38"/>
    <n v="1"/>
    <n v="0.14099999999999999"/>
    <n v="6700091"/>
    <x v="6"/>
    <s v="Manaus"/>
    <s v="Convencional"/>
    <n v="8"/>
    <d v="2019-10-09T00:00:00"/>
    <x v="614"/>
    <x v="0"/>
    <d v="2019-10-17T00:00:00"/>
    <x v="0"/>
    <x v="0"/>
    <n v="1"/>
    <n v="1"/>
  </r>
  <r>
    <d v="2019-10-09T00:00:00"/>
    <n v="12839"/>
    <s v="WHCPQ"/>
    <s v="Campinas"/>
    <s v="SP"/>
    <n v="4147"/>
    <x v="135"/>
    <s v="Belo Horizonte"/>
    <s v="MG"/>
    <x v="2"/>
    <s v="MG"/>
    <n v="1529.62"/>
    <n v="2"/>
    <n v="3.5289999999999999"/>
    <n v="6600879"/>
    <x v="2"/>
    <s v="Belo Horizonte"/>
    <s v="Convencional"/>
    <n v="5"/>
    <d v="2019-10-09T00:00:00"/>
    <x v="614"/>
    <x v="0"/>
    <d v="2019-10-14T00:00:00"/>
    <x v="1"/>
    <x v="0"/>
    <n v="0"/>
    <n v="1"/>
  </r>
  <r>
    <d v="2019-10-09T00:00:00"/>
    <n v="12840"/>
    <s v="WHSAO"/>
    <s v="Sao Paulo"/>
    <s v="SP"/>
    <n v="4155"/>
    <x v="143"/>
    <s v="Sao Paulo"/>
    <s v="SP"/>
    <x v="2"/>
    <s v="SP"/>
    <n v="447.47"/>
    <n v="1"/>
    <n v="0.749"/>
    <n v="6400835"/>
    <x v="3"/>
    <s v="Guarulhos"/>
    <s v="Convencional"/>
    <n v="9"/>
    <d v="2019-10-09T00:00:00"/>
    <x v="614"/>
    <x v="0"/>
    <d v="2019-10-18T00:00:00"/>
    <x v="0"/>
    <x v="0"/>
    <n v="1"/>
    <n v="1"/>
  </r>
  <r>
    <d v="2019-10-09T00:00:00"/>
    <n v="12841"/>
    <s v="WHCPQ"/>
    <s v="Campinas"/>
    <s v="SP"/>
    <n v="4205"/>
    <x v="193"/>
    <s v="Belo Horizonte"/>
    <s v="MG"/>
    <x v="2"/>
    <s v="MG"/>
    <n v="2493.14"/>
    <n v="4"/>
    <n v="25.207000000000001"/>
    <n v="6600879"/>
    <x v="2"/>
    <s v="Belo Horizonte"/>
    <s v="Convencional"/>
    <n v="10"/>
    <d v="2019-10-09T00:00:00"/>
    <x v="616"/>
    <x v="0"/>
    <d v="2019-10-19T00:00:00"/>
    <x v="0"/>
    <x v="0"/>
    <n v="1"/>
    <n v="1"/>
  </r>
  <r>
    <d v="2019-10-09T00:00:00"/>
    <n v="12842"/>
    <s v="WHPOA"/>
    <s v="Porto Alegre"/>
    <s v="RS"/>
    <n v="4218"/>
    <x v="206"/>
    <s v="Santos"/>
    <s v="SP"/>
    <x v="2"/>
    <s v="SP"/>
    <n v="5804.56"/>
    <n v="14"/>
    <n v="61.433"/>
    <n v="6400835"/>
    <x v="3"/>
    <s v="Guarulhos"/>
    <s v="Convencional"/>
    <n v="6"/>
    <d v="2019-10-09T00:00:00"/>
    <x v="618"/>
    <x v="0"/>
    <d v="2019-10-15T00:00:00"/>
    <x v="1"/>
    <x v="0"/>
    <n v="0"/>
    <n v="1"/>
  </r>
  <r>
    <d v="2019-10-09T00:00:00"/>
    <n v="12843"/>
    <s v="WHSAO"/>
    <s v="Sao Paulo"/>
    <s v="SP"/>
    <n v="4142"/>
    <x v="130"/>
    <s v="Manaus"/>
    <s v="AM"/>
    <x v="4"/>
    <s v="AM"/>
    <n v="2093"/>
    <n v="1"/>
    <n v="1.1200000000000001"/>
    <n v="6700091"/>
    <x v="6"/>
    <s v="Manaus"/>
    <s v="Convencional"/>
    <n v="7"/>
    <d v="2019-10-09T00:00:00"/>
    <x v="619"/>
    <x v="0"/>
    <d v="2019-10-16T00:00:00"/>
    <x v="0"/>
    <x v="0"/>
    <n v="1"/>
    <n v="1"/>
  </r>
  <r>
    <d v="2019-10-09T00:00:00"/>
    <n v="12844"/>
    <s v="WHCPQ"/>
    <s v="Campinas"/>
    <s v="SP"/>
    <n v="4060"/>
    <x v="56"/>
    <s v="Sinop"/>
    <s v="MT"/>
    <x v="1"/>
    <s v="MT"/>
    <n v="321.17"/>
    <n v="4"/>
    <n v="7.8159999999999998"/>
    <n v="6100231"/>
    <x v="1"/>
    <s v="Goiania"/>
    <s v="Convencional"/>
    <n v="3"/>
    <d v="2019-10-09T00:00:00"/>
    <x v="618"/>
    <x v="0"/>
    <d v="2019-10-12T00:00:00"/>
    <x v="1"/>
    <x v="0"/>
    <n v="0"/>
    <n v="1"/>
  </r>
  <r>
    <d v="2019-10-10T00:00:00"/>
    <n v="12845"/>
    <s v="WHSAO"/>
    <s v="Sao Paulo"/>
    <s v="SP"/>
    <n v="4024"/>
    <x v="21"/>
    <s v="Porto Alegre"/>
    <s v="RS"/>
    <x v="0"/>
    <s v="RS"/>
    <n v="763.07"/>
    <n v="1"/>
    <n v="1.1200000000000001"/>
    <n v="6500948"/>
    <x v="0"/>
    <s v="Porto Alegre"/>
    <s v="Convencional"/>
    <n v="1"/>
    <d v="2019-10-10T00:00:00"/>
    <x v="613"/>
    <x v="0"/>
    <d v="2019-10-11T00:00:00"/>
    <x v="1"/>
    <x v="0"/>
    <n v="0"/>
    <n v="1"/>
  </r>
  <r>
    <d v="2019-10-10T00:00:00"/>
    <n v="12846"/>
    <s v="WHRJ"/>
    <s v="Rio De Janeiro"/>
    <s v="RJ"/>
    <n v="4128"/>
    <x v="116"/>
    <s v="Recife"/>
    <s v="PE"/>
    <x v="3"/>
    <s v="PE"/>
    <n v="22174.98"/>
    <n v="34"/>
    <n v="147.429"/>
    <n v="6900304"/>
    <x v="5"/>
    <s v="Fortaleza"/>
    <s v="Convencional"/>
    <n v="2"/>
    <d v="2019-10-10T00:00:00"/>
    <x v="616"/>
    <x v="0"/>
    <d v="2019-10-12T00:00:00"/>
    <x v="1"/>
    <x v="0"/>
    <n v="0"/>
    <n v="1"/>
  </r>
  <r>
    <d v="2019-10-10T00:00:00"/>
    <n v="12847"/>
    <s v="WHVIT"/>
    <s v="Vitoria"/>
    <s v="ES"/>
    <n v="4069"/>
    <x v="57"/>
    <s v="Brasilia"/>
    <s v="DF"/>
    <x v="1"/>
    <s v="DF"/>
    <n v="1153.22"/>
    <n v="1"/>
    <n v="11.837999999999999"/>
    <n v="6100231"/>
    <x v="1"/>
    <s v="Goiania"/>
    <s v="Convencional"/>
    <n v="8"/>
    <d v="2019-10-10T00:00:00"/>
    <x v="611"/>
    <x v="0"/>
    <d v="2019-10-18T00:00:00"/>
    <x v="0"/>
    <x v="0"/>
    <n v="1"/>
    <n v="1"/>
  </r>
  <r>
    <d v="2019-10-10T00:00:00"/>
    <n v="12848"/>
    <s v="WHSJC"/>
    <s v="Sao Jose dos Campos"/>
    <s v="SP"/>
    <n v="4022"/>
    <x v="19"/>
    <s v="Maringa"/>
    <s v="PR"/>
    <x v="0"/>
    <s v="PR"/>
    <n v="321.17"/>
    <n v="1"/>
    <n v="4.4039999999999999"/>
    <n v="6500948"/>
    <x v="0"/>
    <s v="Porto Alegre"/>
    <s v="Convencional"/>
    <n v="8"/>
    <d v="2019-10-10T00:00:00"/>
    <x v="618"/>
    <x v="0"/>
    <d v="2019-10-18T00:00:00"/>
    <x v="1"/>
    <x v="0"/>
    <n v="0"/>
    <n v="1"/>
  </r>
  <r>
    <d v="2019-10-11T00:00:00"/>
    <n v="12849"/>
    <s v="WHPOA"/>
    <s v="Porto Alegre"/>
    <s v="RS"/>
    <n v="4164"/>
    <x v="152"/>
    <s v="Rio Grande do Sul"/>
    <s v="RS"/>
    <x v="0"/>
    <s v="RS"/>
    <n v="351.66"/>
    <n v="1"/>
    <n v="0.749"/>
    <n v="6500948"/>
    <x v="0"/>
    <s v="Porto Alegre"/>
    <s v="Convencional"/>
    <n v="7"/>
    <d v="2019-10-11T00:00:00"/>
    <x v="612"/>
    <x v="0"/>
    <d v="2019-10-18T00:00:00"/>
    <x v="0"/>
    <x v="0"/>
    <n v="1"/>
    <n v="1"/>
  </r>
  <r>
    <d v="2019-10-11T00:00:00"/>
    <n v="12850"/>
    <s v="WHCPQ"/>
    <s v="Campinas"/>
    <s v="SP"/>
    <n v="4205"/>
    <x v="193"/>
    <s v="Belo Horizonte"/>
    <s v="MG"/>
    <x v="2"/>
    <s v="MG"/>
    <n v="712.35"/>
    <n v="9"/>
    <n v="18.901"/>
    <n v="6600879"/>
    <x v="2"/>
    <s v="Belo Horizonte"/>
    <s v="Convencional"/>
    <n v="2"/>
    <d v="2019-10-11T00:00:00"/>
    <x v="613"/>
    <x v="0"/>
    <d v="2019-10-13T00:00:00"/>
    <x v="0"/>
    <x v="0"/>
    <n v="1"/>
    <n v="1"/>
  </r>
  <r>
    <d v="2019-10-15T00:00:00"/>
    <n v="12851"/>
    <s v="WHSAO"/>
    <s v="Sao Paulo"/>
    <s v="SP"/>
    <n v="4193"/>
    <x v="181"/>
    <s v="Sao Paulo"/>
    <s v="SP"/>
    <x v="2"/>
    <s v="SP"/>
    <n v="292.42"/>
    <n v="1"/>
    <n v="1.1200000000000001"/>
    <n v="6400835"/>
    <x v="3"/>
    <s v="Guarulhos"/>
    <s v="Convencional"/>
    <n v="11"/>
    <d v="2019-10-15T00:00:00"/>
    <x v="620"/>
    <x v="0"/>
    <d v="2019-10-26T00:00:00"/>
    <x v="0"/>
    <x v="0"/>
    <n v="1"/>
    <n v="1"/>
  </r>
  <r>
    <d v="2019-10-15T00:00:00"/>
    <n v="12852"/>
    <s v="WHPOA"/>
    <s v="Porto Alegre"/>
    <s v="RS"/>
    <n v="4020"/>
    <x v="15"/>
    <s v="Londrina"/>
    <s v="PR"/>
    <x v="0"/>
    <s v="PR"/>
    <n v="1600.38"/>
    <n v="1"/>
    <n v="1.1200000000000001"/>
    <n v="6500948"/>
    <x v="0"/>
    <s v="Porto Alegre"/>
    <s v="Convencional"/>
    <n v="4"/>
    <d v="2019-10-15T00:00:00"/>
    <x v="621"/>
    <x v="0"/>
    <d v="2019-10-19T00:00:00"/>
    <x v="1"/>
    <x v="0"/>
    <n v="0"/>
    <n v="1"/>
  </r>
  <r>
    <d v="2019-10-15T00:00:00"/>
    <n v="12853"/>
    <s v="WHRJ"/>
    <s v="Rio De Janeiro"/>
    <s v="RJ"/>
    <n v="4146"/>
    <x v="134"/>
    <s v="Belo Horizonte"/>
    <s v="MG"/>
    <x v="2"/>
    <s v="MG"/>
    <n v="304.99"/>
    <n v="1"/>
    <n v="4.4039999999999999"/>
    <n v="6600879"/>
    <x v="2"/>
    <s v="Belo Horizonte"/>
    <s v="Convencional"/>
    <n v="4"/>
    <d v="2019-10-15T00:00:00"/>
    <x v="617"/>
    <x v="0"/>
    <d v="2019-10-19T00:00:00"/>
    <x v="0"/>
    <x v="0"/>
    <n v="1"/>
    <n v="1"/>
  </r>
  <r>
    <d v="2019-10-15T00:00:00"/>
    <n v="12854"/>
    <s v="WHRJ"/>
    <s v="Rio De Janeiro"/>
    <s v="RJ"/>
    <n v="4219"/>
    <x v="207"/>
    <s v="Belo Horizonte"/>
    <s v="MG"/>
    <x v="2"/>
    <s v="MG"/>
    <n v="7944.85"/>
    <n v="3"/>
    <n v="20.68"/>
    <n v="6600879"/>
    <x v="2"/>
    <s v="Belo Horizonte"/>
    <s v="Convencional"/>
    <n v="12"/>
    <d v="2019-10-15T00:00:00"/>
    <x v="622"/>
    <x v="0"/>
    <d v="2019-10-27T00:00:00"/>
    <x v="0"/>
    <x v="0"/>
    <n v="1"/>
    <n v="1"/>
  </r>
  <r>
    <d v="2019-10-15T00:00:00"/>
    <n v="12855"/>
    <s v="WHSJC"/>
    <s v="Sao Jose dos Campos"/>
    <s v="SP"/>
    <n v="4205"/>
    <x v="193"/>
    <s v="Belo Horizonte"/>
    <s v="MG"/>
    <x v="2"/>
    <s v="MG"/>
    <n v="11964.12"/>
    <n v="19"/>
    <n v="79.525000000000006"/>
    <n v="6600879"/>
    <x v="2"/>
    <s v="Belo Horizonte"/>
    <s v="Convencional"/>
    <n v="8"/>
    <d v="2019-10-15T00:00:00"/>
    <x v="622"/>
    <x v="0"/>
    <d v="2019-10-23T00:00:00"/>
    <x v="0"/>
    <x v="0"/>
    <n v="1"/>
    <n v="1"/>
  </r>
  <r>
    <d v="2019-10-15T00:00:00"/>
    <n v="12856"/>
    <s v="WHPOA"/>
    <s v="Porto Alegre"/>
    <s v="RS"/>
    <n v="4218"/>
    <x v="206"/>
    <s v="Santos"/>
    <s v="SP"/>
    <x v="2"/>
    <s v="SP"/>
    <n v="2595.42"/>
    <n v="1"/>
    <n v="16.5"/>
    <n v="6400835"/>
    <x v="3"/>
    <s v="Guarulhos"/>
    <s v="Convencional"/>
    <n v="11"/>
    <d v="2019-10-15T00:00:00"/>
    <x v="617"/>
    <x v="0"/>
    <d v="2019-10-26T00:00:00"/>
    <x v="0"/>
    <x v="0"/>
    <n v="1"/>
    <n v="1"/>
  </r>
  <r>
    <d v="2019-10-15T00:00:00"/>
    <n v="12857"/>
    <s v="WHBH"/>
    <s v="Belo Horizonte"/>
    <s v="MG"/>
    <n v="4013"/>
    <x v="1"/>
    <s v="Blumenau"/>
    <s v="SC"/>
    <x v="0"/>
    <s v="SC"/>
    <n v="7816.7"/>
    <n v="13"/>
    <n v="29.852"/>
    <n v="6500948"/>
    <x v="0"/>
    <s v="Porto Alegre"/>
    <s v="Convencional"/>
    <n v="11"/>
    <d v="2019-10-15T00:00:00"/>
    <x v="618"/>
    <x v="0"/>
    <d v="2019-10-26T00:00:00"/>
    <x v="0"/>
    <x v="0"/>
    <n v="1"/>
    <n v="1"/>
  </r>
  <r>
    <d v="2019-10-15T00:00:00"/>
    <n v="12858"/>
    <s v="WHVIT"/>
    <s v="Vitoria"/>
    <s v="ES"/>
    <n v="4019"/>
    <x v="13"/>
    <s v="Florianopolis"/>
    <s v="SC"/>
    <x v="0"/>
    <s v="SC"/>
    <n v="1895.81"/>
    <n v="7"/>
    <n v="7.2670000000000003"/>
    <n v="6500948"/>
    <x v="0"/>
    <s v="Porto Alegre"/>
    <s v="Convencional"/>
    <n v="7"/>
    <d v="2019-10-15T00:00:00"/>
    <x v="621"/>
    <x v="1"/>
    <d v="2019-10-22T00:00:00"/>
    <x v="1"/>
    <x v="1"/>
    <n v="0"/>
    <n v="1"/>
  </r>
  <r>
    <d v="2019-10-15T00:00:00"/>
    <n v="12859"/>
    <s v="WHSAO"/>
    <s v="Sao Paulo"/>
    <s v="SP"/>
    <n v="4019"/>
    <x v="13"/>
    <s v="Florianopolis"/>
    <s v="SC"/>
    <x v="0"/>
    <s v="SC"/>
    <n v="2096.5"/>
    <n v="1"/>
    <n v="1.1200000000000001"/>
    <n v="6500948"/>
    <x v="0"/>
    <s v="Porto Alegre"/>
    <s v="Convencional"/>
    <n v="8"/>
    <d v="2019-10-15T00:00:00"/>
    <x v="622"/>
    <x v="0"/>
    <d v="2019-10-23T00:00:00"/>
    <x v="0"/>
    <x v="0"/>
    <n v="1"/>
    <n v="1"/>
  </r>
  <r>
    <d v="2019-10-15T00:00:00"/>
    <n v="12860"/>
    <s v="WHVIT"/>
    <s v="Vitoria"/>
    <s v="ES"/>
    <n v="4032"/>
    <x v="34"/>
    <s v="Goiania"/>
    <s v="GO"/>
    <x v="1"/>
    <s v="GO"/>
    <n v="460.02"/>
    <n v="1"/>
    <n v="0.44"/>
    <n v="6100231"/>
    <x v="1"/>
    <s v="Goiania"/>
    <s v="Convencional"/>
    <n v="5"/>
    <d v="2019-10-15T00:00:00"/>
    <x v="618"/>
    <x v="0"/>
    <d v="2019-10-20T00:00:00"/>
    <x v="0"/>
    <x v="0"/>
    <n v="1"/>
    <n v="1"/>
  </r>
  <r>
    <d v="2019-10-15T00:00:00"/>
    <n v="12861"/>
    <s v="WHBH"/>
    <s v="Belo Horizonte"/>
    <s v="MG"/>
    <n v="4019"/>
    <x v="13"/>
    <s v="Florianopolis"/>
    <s v="SC"/>
    <x v="0"/>
    <s v="SC"/>
    <n v="1802.15"/>
    <n v="3"/>
    <n v="15.798"/>
    <n v="6500948"/>
    <x v="0"/>
    <s v="Porto Alegre"/>
    <s v="Convencional"/>
    <n v="3"/>
    <d v="2019-10-15T00:00:00"/>
    <x v="622"/>
    <x v="0"/>
    <d v="2019-10-18T00:00:00"/>
    <x v="1"/>
    <x v="0"/>
    <n v="0"/>
    <n v="1"/>
  </r>
  <r>
    <d v="2019-10-15T00:00:00"/>
    <n v="12862"/>
    <s v="WHRJ"/>
    <s v="Rio De Janeiro"/>
    <s v="RJ"/>
    <n v="4019"/>
    <x v="13"/>
    <s v="Florianopolis"/>
    <s v="SC"/>
    <x v="0"/>
    <s v="SC"/>
    <n v="9834.93"/>
    <n v="18"/>
    <n v="62.427"/>
    <n v="6500948"/>
    <x v="0"/>
    <s v="Porto Alegre"/>
    <s v="Convencional"/>
    <n v="2"/>
    <d v="2019-10-15T00:00:00"/>
    <x v="617"/>
    <x v="0"/>
    <d v="2019-10-17T00:00:00"/>
    <x v="0"/>
    <x v="0"/>
    <n v="1"/>
    <n v="1"/>
  </r>
  <r>
    <d v="2019-10-15T00:00:00"/>
    <n v="12863"/>
    <s v="WHCPQ"/>
    <s v="Campinas"/>
    <s v="SP"/>
    <n v="4019"/>
    <x v="13"/>
    <s v="Florianopolis"/>
    <s v="SC"/>
    <x v="0"/>
    <s v="SC"/>
    <n v="91.76"/>
    <n v="1"/>
    <n v="0.316"/>
    <n v="6500948"/>
    <x v="0"/>
    <s v="Porto Alegre"/>
    <s v="Convencional"/>
    <n v="8"/>
    <d v="2019-10-15T00:00:00"/>
    <x v="622"/>
    <x v="0"/>
    <d v="2019-10-23T00:00:00"/>
    <x v="0"/>
    <x v="0"/>
    <n v="1"/>
    <n v="1"/>
  </r>
  <r>
    <d v="2019-10-15T00:00:00"/>
    <n v="12864"/>
    <s v="WHBH"/>
    <s v="Belo Horizonte"/>
    <s v="MG"/>
    <n v="4019"/>
    <x v="13"/>
    <s v="Florianopolis"/>
    <s v="SC"/>
    <x v="0"/>
    <s v="SC"/>
    <n v="177.53"/>
    <n v="1"/>
    <n v="1.111"/>
    <n v="6500948"/>
    <x v="0"/>
    <s v="Porto Alegre"/>
    <s v="Convencional"/>
    <n v="9"/>
    <d v="2019-10-15T00:00:00"/>
    <x v="617"/>
    <x v="0"/>
    <d v="2019-10-24T00:00:00"/>
    <x v="0"/>
    <x v="0"/>
    <n v="1"/>
    <n v="1"/>
  </r>
  <r>
    <d v="2019-10-15T00:00:00"/>
    <n v="12865"/>
    <s v="WHSAO"/>
    <s v="Sao Paulo"/>
    <s v="SP"/>
    <n v="4019"/>
    <x v="13"/>
    <s v="Florianopolis"/>
    <s v="SC"/>
    <x v="0"/>
    <s v="SC"/>
    <n v="177.85"/>
    <n v="1"/>
    <n v="0.31900000000000001"/>
    <n v="6500948"/>
    <x v="0"/>
    <s v="Porto Alegre"/>
    <s v="Convencional"/>
    <n v="4"/>
    <d v="2019-10-15T00:00:00"/>
    <x v="617"/>
    <x v="0"/>
    <d v="2019-10-19T00:00:00"/>
    <x v="0"/>
    <x v="0"/>
    <n v="1"/>
    <n v="1"/>
  </r>
  <r>
    <d v="2019-10-16T00:00:00"/>
    <n v="12866"/>
    <s v="WHCPQ"/>
    <s v="Campinas"/>
    <s v="SP"/>
    <n v="4190"/>
    <x v="178"/>
    <s v="Belo Horizonte"/>
    <s v="MG"/>
    <x v="2"/>
    <s v="MG"/>
    <n v="1027.33"/>
    <n v="1"/>
    <n v="15.18"/>
    <n v="6600879"/>
    <x v="2"/>
    <s v="Belo Horizonte"/>
    <s v="Convencional"/>
    <n v="1"/>
    <d v="2019-10-16T00:00:00"/>
    <x v="623"/>
    <x v="0"/>
    <d v="2019-10-17T00:00:00"/>
    <x v="1"/>
    <x v="0"/>
    <n v="0"/>
    <n v="1"/>
  </r>
  <r>
    <d v="2019-10-16T00:00:00"/>
    <n v="12867"/>
    <s v="WHSJC"/>
    <s v="Sao Jose dos Campos"/>
    <s v="SP"/>
    <n v="4182"/>
    <x v="170"/>
    <s v="Sao Paulo"/>
    <s v="SP"/>
    <x v="2"/>
    <s v="SP"/>
    <n v="11366.12"/>
    <n v="11"/>
    <n v="95.010999999999996"/>
    <n v="6400835"/>
    <x v="3"/>
    <s v="Guarulhos"/>
    <s v="Convencional"/>
    <n v="5"/>
    <d v="2019-10-16T00:00:00"/>
    <x v="614"/>
    <x v="0"/>
    <d v="2019-10-21T00:00:00"/>
    <x v="0"/>
    <x v="0"/>
    <n v="1"/>
    <n v="1"/>
  </r>
  <r>
    <d v="2019-10-16T00:00:00"/>
    <n v="12868"/>
    <s v="WHCPQ"/>
    <s v="Campinas"/>
    <s v="SP"/>
    <n v="4231"/>
    <x v="219"/>
    <s v="Rio De Janeiro"/>
    <s v="RJ"/>
    <x v="2"/>
    <s v="RJ"/>
    <n v="1424.42"/>
    <n v="10"/>
    <n v="6.4020000000000001"/>
    <n v="6140092"/>
    <x v="4"/>
    <s v="Rio de Janeiro"/>
    <s v="Convencional"/>
    <n v="10"/>
    <d v="2019-10-16T00:00:00"/>
    <x v="618"/>
    <x v="1"/>
    <d v="2019-10-26T00:00:00"/>
    <x v="0"/>
    <x v="1"/>
    <n v="0"/>
    <n v="1"/>
  </r>
  <r>
    <d v="2019-10-17T00:00:00"/>
    <n v="12869"/>
    <s v="WHBH"/>
    <s v="Belo Horizonte"/>
    <s v="MG"/>
    <n v="4256"/>
    <x v="244"/>
    <s v="Recife"/>
    <s v="PE"/>
    <x v="3"/>
    <s v="PE"/>
    <n v="349.76"/>
    <n v="1"/>
    <n v="0.45200000000000001"/>
    <n v="6900304"/>
    <x v="5"/>
    <s v="Fortaleza"/>
    <s v="Convencional"/>
    <n v="11"/>
    <d v="2019-10-17T00:00:00"/>
    <x v="616"/>
    <x v="0"/>
    <d v="2019-10-28T00:00:00"/>
    <x v="0"/>
    <x v="0"/>
    <n v="1"/>
    <n v="1"/>
  </r>
  <r>
    <d v="2019-10-17T00:00:00"/>
    <n v="12870"/>
    <s v="WHCPQ"/>
    <s v="Campinas"/>
    <s v="SP"/>
    <n v="4257"/>
    <x v="245"/>
    <s v="Rio Grande do Sul"/>
    <s v="RS"/>
    <x v="0"/>
    <s v="RS"/>
    <n v="58.49"/>
    <n v="1"/>
    <n v="0.32100000000000001"/>
    <n v="6500948"/>
    <x v="0"/>
    <s v="Porto Alegre"/>
    <s v="Convencional"/>
    <n v="9"/>
    <d v="2019-10-17T00:00:00"/>
    <x v="622"/>
    <x v="0"/>
    <d v="2019-10-26T00:00:00"/>
    <x v="0"/>
    <x v="0"/>
    <n v="1"/>
    <n v="1"/>
  </r>
  <r>
    <d v="2019-10-18T00:00:00"/>
    <n v="12871"/>
    <s v="WHSJC"/>
    <s v="Sao Jose dos Campos"/>
    <s v="SP"/>
    <n v="4022"/>
    <x v="19"/>
    <s v="Maringa"/>
    <s v="PR"/>
    <x v="0"/>
    <s v="PR"/>
    <n v="4829.1099999999997"/>
    <n v="7"/>
    <n v="54.247999999999998"/>
    <n v="6500948"/>
    <x v="0"/>
    <s v="Porto Alegre"/>
    <s v="Convencional"/>
    <n v="9"/>
    <d v="2019-10-18T00:00:00"/>
    <x v="624"/>
    <x v="0"/>
    <d v="2019-10-27T00:00:00"/>
    <x v="0"/>
    <x v="0"/>
    <n v="1"/>
    <n v="1"/>
  </r>
  <r>
    <d v="2019-10-18T00:00:00"/>
    <n v="12872"/>
    <s v="WHRJ"/>
    <s v="Rio De Janeiro"/>
    <s v="RJ"/>
    <n v="4022"/>
    <x v="19"/>
    <s v="Maringa"/>
    <s v="PR"/>
    <x v="0"/>
    <s v="PR"/>
    <n v="1156.96"/>
    <n v="3"/>
    <n v="40.26"/>
    <n v="6500948"/>
    <x v="0"/>
    <s v="Porto Alegre"/>
    <s v="Convencional"/>
    <n v="5"/>
    <d v="2019-10-18T00:00:00"/>
    <x v="622"/>
    <x v="0"/>
    <d v="2019-10-23T00:00:00"/>
    <x v="0"/>
    <x v="0"/>
    <n v="1"/>
    <n v="1"/>
  </r>
  <r>
    <d v="2019-10-19T00:00:00"/>
    <n v="12873"/>
    <s v="WHVIT"/>
    <s v="Vitoria"/>
    <s v="ES"/>
    <n v="4173"/>
    <x v="161"/>
    <s v="Belo Horizonte"/>
    <s v="MG"/>
    <x v="2"/>
    <s v="MG"/>
    <n v="3721.2"/>
    <n v="4"/>
    <n v="26.132000000000001"/>
    <n v="6600879"/>
    <x v="2"/>
    <s v="Belo Horizonte"/>
    <s v="Convencional"/>
    <n v="10"/>
    <d v="2019-10-19T00:00:00"/>
    <x v="623"/>
    <x v="0"/>
    <d v="2019-10-29T00:00:00"/>
    <x v="0"/>
    <x v="0"/>
    <n v="1"/>
    <n v="1"/>
  </r>
  <r>
    <d v="2019-10-19T00:00:00"/>
    <n v="12874"/>
    <s v="WHBH"/>
    <s v="Belo Horizonte"/>
    <s v="MG"/>
    <n v="4172"/>
    <x v="160"/>
    <s v="Santos"/>
    <s v="SP"/>
    <x v="2"/>
    <s v="SP"/>
    <n v="4606.1899999999996"/>
    <n v="2"/>
    <n v="2.0979999999999999"/>
    <n v="6400835"/>
    <x v="3"/>
    <s v="Guarulhos"/>
    <s v="Convencional"/>
    <n v="10"/>
    <d v="2019-10-19T00:00:00"/>
    <x v="622"/>
    <x v="0"/>
    <d v="2019-10-29T00:00:00"/>
    <x v="0"/>
    <x v="0"/>
    <n v="1"/>
    <n v="1"/>
  </r>
  <r>
    <d v="2019-10-19T00:00:00"/>
    <n v="12875"/>
    <s v="WHSAO"/>
    <s v="Sao Paulo"/>
    <s v="SP"/>
    <n v="4128"/>
    <x v="116"/>
    <s v="Recife"/>
    <s v="PE"/>
    <x v="3"/>
    <s v="PE"/>
    <n v="3495.31"/>
    <n v="1"/>
    <n v="11.253"/>
    <n v="6900304"/>
    <x v="5"/>
    <s v="Fortaleza"/>
    <s v="Convencional"/>
    <n v="9"/>
    <d v="2019-10-19T00:00:00"/>
    <x v="625"/>
    <x v="0"/>
    <d v="2019-10-28T00:00:00"/>
    <x v="0"/>
    <x v="0"/>
    <n v="1"/>
    <n v="1"/>
  </r>
  <r>
    <d v="2019-10-22T00:00:00"/>
    <n v="12876"/>
    <s v="WHBH"/>
    <s v="Belo Horizonte"/>
    <s v="MG"/>
    <n v="4033"/>
    <x v="35"/>
    <s v="Goiania"/>
    <s v="GO"/>
    <x v="1"/>
    <s v="GO"/>
    <n v="259.64999999999998"/>
    <n v="1"/>
    <n v="13.42"/>
    <n v="6100231"/>
    <x v="1"/>
    <s v="Goiania"/>
    <s v="Convencional"/>
    <n v="7"/>
    <d v="2019-10-22T00:00:00"/>
    <x v="626"/>
    <x v="0"/>
    <d v="2019-10-29T00:00:00"/>
    <x v="0"/>
    <x v="0"/>
    <n v="1"/>
    <n v="1"/>
  </r>
  <r>
    <d v="2019-10-22T00:00:00"/>
    <n v="12877"/>
    <s v="WHVIT"/>
    <s v="Vitoria"/>
    <s v="ES"/>
    <n v="4168"/>
    <x v="156"/>
    <s v="Santos"/>
    <s v="SP"/>
    <x v="2"/>
    <s v="SP"/>
    <n v="282.58"/>
    <n v="1"/>
    <n v="1.2649999999999999"/>
    <n v="6400835"/>
    <x v="3"/>
    <s v="Guarulhos"/>
    <s v="Convencional"/>
    <n v="4"/>
    <d v="2019-10-22T00:00:00"/>
    <x v="624"/>
    <x v="0"/>
    <d v="2019-10-26T00:00:00"/>
    <x v="0"/>
    <x v="0"/>
    <n v="1"/>
    <n v="1"/>
  </r>
  <r>
    <d v="2019-10-22T00:00:00"/>
    <n v="12878"/>
    <s v="WHCPQ"/>
    <s v="Campinas"/>
    <s v="SP"/>
    <n v="4161"/>
    <x v="149"/>
    <s v="Recife"/>
    <s v="PE"/>
    <x v="3"/>
    <s v="PE"/>
    <n v="1506.78"/>
    <n v="2"/>
    <n v="3.218"/>
    <n v="6900304"/>
    <x v="5"/>
    <s v="Fortaleza"/>
    <s v="Convencional"/>
    <n v="7"/>
    <d v="2019-10-22T00:00:00"/>
    <x v="627"/>
    <x v="0"/>
    <d v="2019-10-29T00:00:00"/>
    <x v="1"/>
    <x v="0"/>
    <n v="0"/>
    <n v="1"/>
  </r>
  <r>
    <d v="2019-10-22T00:00:00"/>
    <n v="12879"/>
    <s v="WHSAO"/>
    <s v="Sao Paulo"/>
    <s v="SP"/>
    <n v="4218"/>
    <x v="206"/>
    <s v="Santos"/>
    <s v="SP"/>
    <x v="2"/>
    <s v="SP"/>
    <n v="2318.54"/>
    <n v="4"/>
    <n v="24.116"/>
    <n v="6400835"/>
    <x v="3"/>
    <s v="Guarulhos"/>
    <s v="Convencional"/>
    <n v="9"/>
    <d v="2019-10-22T00:00:00"/>
    <x v="623"/>
    <x v="0"/>
    <d v="2019-10-31T00:00:00"/>
    <x v="0"/>
    <x v="0"/>
    <n v="1"/>
    <n v="1"/>
  </r>
  <r>
    <d v="2019-10-22T00:00:00"/>
    <n v="12880"/>
    <s v="WHCPQ"/>
    <s v="Campinas"/>
    <s v="SP"/>
    <n v="4068"/>
    <x v="4"/>
    <s v="Campo Grande"/>
    <s v="MS"/>
    <x v="1"/>
    <s v="MS"/>
    <n v="71.849999999999994"/>
    <n v="1"/>
    <n v="0.11"/>
    <n v="6100231"/>
    <x v="1"/>
    <s v="Goiania"/>
    <s v="Convencional"/>
    <n v="6"/>
    <d v="2019-10-22T00:00:00"/>
    <x v="628"/>
    <x v="0"/>
    <d v="2019-10-28T00:00:00"/>
    <x v="1"/>
    <x v="0"/>
    <n v="0"/>
    <n v="1"/>
  </r>
  <r>
    <d v="2019-10-22T00:00:00"/>
    <n v="12881"/>
    <s v="WHPOA"/>
    <s v="Porto Alegre"/>
    <s v="RS"/>
    <n v="4060"/>
    <x v="56"/>
    <s v="Sinop"/>
    <s v="MT"/>
    <x v="1"/>
    <s v="MT"/>
    <n v="1589.83"/>
    <n v="1"/>
    <n v="19.821999999999999"/>
    <n v="6100231"/>
    <x v="1"/>
    <s v="Goiania"/>
    <s v="Convencional"/>
    <n v="4"/>
    <d v="2019-10-22T00:00:00"/>
    <x v="629"/>
    <x v="0"/>
    <d v="2019-10-26T00:00:00"/>
    <x v="1"/>
    <x v="0"/>
    <n v="0"/>
    <n v="1"/>
  </r>
  <r>
    <d v="2019-10-22T00:00:00"/>
    <n v="12882"/>
    <s v="WHBH"/>
    <s v="Belo Horizonte"/>
    <s v="MG"/>
    <n v="4013"/>
    <x v="1"/>
    <s v="Blumenau"/>
    <s v="SC"/>
    <x v="0"/>
    <s v="SC"/>
    <n v="1927.05"/>
    <n v="1"/>
    <n v="9.9"/>
    <n v="6500948"/>
    <x v="0"/>
    <s v="Porto Alegre"/>
    <s v="Convencional"/>
    <n v="9"/>
    <d v="2019-10-22T00:00:00"/>
    <x v="626"/>
    <x v="0"/>
    <d v="2019-10-31T00:00:00"/>
    <x v="0"/>
    <x v="0"/>
    <n v="1"/>
    <n v="1"/>
  </r>
  <r>
    <d v="2019-10-23T00:00:00"/>
    <n v="12883"/>
    <s v="WHPOA"/>
    <s v="Porto Alegre"/>
    <s v="RS"/>
    <n v="4143"/>
    <x v="131"/>
    <s v="Manaus"/>
    <s v="AM"/>
    <x v="4"/>
    <s v="AM"/>
    <n v="1331.11"/>
    <n v="2"/>
    <n v="21.297999999999998"/>
    <n v="6700091"/>
    <x v="6"/>
    <s v="Manaus"/>
    <s v="Convencional"/>
    <n v="7"/>
    <d v="2019-10-23T00:00:00"/>
    <x v="630"/>
    <x v="0"/>
    <d v="2019-10-30T00:00:00"/>
    <x v="0"/>
    <x v="0"/>
    <n v="1"/>
    <n v="1"/>
  </r>
  <r>
    <d v="2019-10-23T00:00:00"/>
    <n v="12884"/>
    <s v="WHSAO"/>
    <s v="Sao Paulo"/>
    <s v="SP"/>
    <n v="4035"/>
    <x v="37"/>
    <s v="Brasilia"/>
    <s v="DF"/>
    <x v="1"/>
    <s v="DF"/>
    <n v="1360.3"/>
    <n v="2"/>
    <n v="20.262"/>
    <n v="6100231"/>
    <x v="1"/>
    <s v="Goiania"/>
    <s v="Convencional"/>
    <n v="8"/>
    <d v="2019-10-23T00:00:00"/>
    <x v="631"/>
    <x v="0"/>
    <d v="2019-10-31T00:00:00"/>
    <x v="1"/>
    <x v="0"/>
    <n v="0"/>
    <n v="1"/>
  </r>
  <r>
    <d v="2019-10-23T00:00:00"/>
    <n v="12885"/>
    <s v="WHSAO"/>
    <s v="Sao Paulo"/>
    <s v="SP"/>
    <n v="4035"/>
    <x v="37"/>
    <s v="Brasilia"/>
    <s v="DF"/>
    <x v="1"/>
    <s v="DF"/>
    <n v="6546.21"/>
    <n v="9"/>
    <n v="42.761000000000003"/>
    <n v="6100231"/>
    <x v="1"/>
    <s v="Goiania"/>
    <s v="Convencional"/>
    <n v="11"/>
    <d v="2019-10-23T00:00:00"/>
    <x v="620"/>
    <x v="1"/>
    <d v="2019-11-03T00:00:00"/>
    <x v="0"/>
    <x v="1"/>
    <n v="0"/>
    <n v="1"/>
  </r>
  <r>
    <d v="2019-10-22T00:00:00"/>
    <n v="12886"/>
    <s v="WHSAO"/>
    <s v="Sao Paulo"/>
    <s v="SP"/>
    <n v="4035"/>
    <x v="37"/>
    <s v="Brasilia"/>
    <s v="DF"/>
    <x v="1"/>
    <s v="DF"/>
    <n v="5420.93"/>
    <n v="7"/>
    <n v="60.201999999999998"/>
    <n v="6100231"/>
    <x v="1"/>
    <s v="Goiania"/>
    <s v="Convencional"/>
    <n v="12"/>
    <d v="2019-10-23T00:00:00"/>
    <x v="629"/>
    <x v="0"/>
    <d v="2019-11-04T00:00:00"/>
    <x v="0"/>
    <x v="0"/>
    <n v="1"/>
    <n v="1"/>
  </r>
  <r>
    <d v="2019-10-23T00:00:00"/>
    <n v="12887"/>
    <s v="WHPOA"/>
    <s v="Porto Alegre"/>
    <s v="RS"/>
    <n v="4172"/>
    <x v="160"/>
    <s v="Santos"/>
    <s v="SP"/>
    <x v="2"/>
    <s v="SP"/>
    <n v="451.5"/>
    <n v="1"/>
    <n v="1.1200000000000001"/>
    <n v="6400835"/>
    <x v="3"/>
    <s v="Guarulhos"/>
    <s v="Convencional"/>
    <n v="3"/>
    <d v="2019-10-24T00:00:00"/>
    <x v="632"/>
    <x v="0"/>
    <d v="2019-10-27T00:00:00"/>
    <x v="1"/>
    <x v="0"/>
    <n v="0"/>
    <n v="1"/>
  </r>
  <r>
    <d v="2019-10-23T00:00:00"/>
    <n v="12888"/>
    <s v="WHPOA"/>
    <s v="Porto Alegre"/>
    <s v="RS"/>
    <n v="4210"/>
    <x v="198"/>
    <s v="Belo Horizonte"/>
    <s v="MG"/>
    <x v="2"/>
    <s v="MG"/>
    <n v="4267.3599999999997"/>
    <n v="4"/>
    <n v="47.353000000000002"/>
    <n v="6600879"/>
    <x v="2"/>
    <s v="Belo Horizonte"/>
    <s v="Convencional"/>
    <n v="4"/>
    <d v="2019-10-24T00:00:00"/>
    <x v="631"/>
    <x v="0"/>
    <d v="2019-10-28T00:00:00"/>
    <x v="1"/>
    <x v="0"/>
    <n v="0"/>
    <n v="1"/>
  </r>
  <r>
    <d v="2019-10-23T00:00:00"/>
    <n v="12889"/>
    <s v="WHSAO"/>
    <s v="Sao Paulo"/>
    <s v="SP"/>
    <n v="4211"/>
    <x v="199"/>
    <s v="Santos"/>
    <s v="SP"/>
    <x v="2"/>
    <s v="SP"/>
    <n v="1456.09"/>
    <n v="2"/>
    <n v="1.617"/>
    <n v="6400835"/>
    <x v="3"/>
    <s v="Guarulhos"/>
    <s v="Convencional"/>
    <n v="7"/>
    <d v="2019-10-24T00:00:00"/>
    <x v="631"/>
    <x v="0"/>
    <d v="2019-10-31T00:00:00"/>
    <x v="1"/>
    <x v="0"/>
    <n v="0"/>
    <n v="1"/>
  </r>
  <r>
    <d v="2019-10-23T00:00:00"/>
    <n v="12890"/>
    <s v="WHCPQ"/>
    <s v="Campinas"/>
    <s v="SP"/>
    <n v="4212"/>
    <x v="200"/>
    <s v="Rio Grande do Sul"/>
    <s v="RS"/>
    <x v="0"/>
    <s v="RS"/>
    <n v="967.41"/>
    <n v="1"/>
    <n v="3.1819999999999999"/>
    <n v="6500948"/>
    <x v="0"/>
    <s v="Porto Alegre"/>
    <s v="Convencional"/>
    <n v="4"/>
    <d v="2019-10-24T00:00:00"/>
    <x v="633"/>
    <x v="1"/>
    <d v="2019-10-28T00:00:00"/>
    <x v="0"/>
    <x v="1"/>
    <n v="0"/>
    <n v="1"/>
  </r>
  <r>
    <d v="2019-10-23T00:00:00"/>
    <n v="12891"/>
    <s v="WHSAO"/>
    <s v="Sao Paulo"/>
    <s v="SP"/>
    <n v="4213"/>
    <x v="201"/>
    <s v="Sao Paulo"/>
    <s v="SP"/>
    <x v="2"/>
    <s v="SP"/>
    <n v="5572.78"/>
    <n v="6"/>
    <n v="28.693999999999999"/>
    <n v="6400835"/>
    <x v="3"/>
    <s v="Guarulhos"/>
    <s v="Convencional"/>
    <n v="11"/>
    <d v="2019-10-24T00:00:00"/>
    <x v="628"/>
    <x v="0"/>
    <d v="2019-11-04T00:00:00"/>
    <x v="0"/>
    <x v="0"/>
    <n v="1"/>
    <n v="1"/>
  </r>
  <r>
    <d v="2019-10-23T00:00:00"/>
    <n v="12892"/>
    <s v="WHBH"/>
    <s v="Belo Horizonte"/>
    <s v="MG"/>
    <n v="4216"/>
    <x v="204"/>
    <s v="Santos"/>
    <s v="SP"/>
    <x v="2"/>
    <s v="SP"/>
    <n v="20415.77"/>
    <n v="36"/>
    <n v="170.30199999999999"/>
    <n v="6400835"/>
    <x v="3"/>
    <s v="Guarulhos"/>
    <s v="Convencional"/>
    <n v="10"/>
    <d v="2019-10-24T00:00:00"/>
    <x v="628"/>
    <x v="0"/>
    <d v="2019-11-03T00:00:00"/>
    <x v="0"/>
    <x v="0"/>
    <n v="1"/>
    <n v="1"/>
  </r>
  <r>
    <d v="2019-10-23T00:00:00"/>
    <n v="12893"/>
    <s v="WHVIT"/>
    <s v="Vitoria"/>
    <s v="ES"/>
    <n v="4208"/>
    <x v="196"/>
    <s v="Sao Paulo"/>
    <s v="SP"/>
    <x v="2"/>
    <s v="SP"/>
    <n v="182.22"/>
    <n v="1"/>
    <n v="0.30599999999999999"/>
    <n v="6400835"/>
    <x v="3"/>
    <s v="Guarulhos"/>
    <s v="Convencional"/>
    <n v="7"/>
    <d v="2019-10-24T00:00:00"/>
    <x v="628"/>
    <x v="0"/>
    <d v="2019-10-31T00:00:00"/>
    <x v="0"/>
    <x v="0"/>
    <n v="1"/>
    <n v="1"/>
  </r>
  <r>
    <d v="2019-10-23T00:00:00"/>
    <n v="12894"/>
    <s v="WHRJ"/>
    <s v="Rio De Janeiro"/>
    <s v="RJ"/>
    <n v="4209"/>
    <x v="197"/>
    <s v="Belo Horizonte"/>
    <s v="MG"/>
    <x v="2"/>
    <s v="MG"/>
    <n v="671.38"/>
    <n v="1"/>
    <n v="0.64600000000000002"/>
    <n v="6600879"/>
    <x v="2"/>
    <s v="Belo Horizonte"/>
    <s v="Convencional"/>
    <n v="12"/>
    <d v="2019-10-24T00:00:00"/>
    <x v="630"/>
    <x v="0"/>
    <d v="2019-11-05T00:00:00"/>
    <x v="0"/>
    <x v="0"/>
    <n v="1"/>
    <n v="1"/>
  </r>
  <r>
    <d v="2019-10-23T00:00:00"/>
    <n v="12895"/>
    <s v="WHPOA"/>
    <s v="Porto Alegre"/>
    <s v="RS"/>
    <n v="4215"/>
    <x v="203"/>
    <s v="Recife"/>
    <s v="PE"/>
    <x v="3"/>
    <s v="PE"/>
    <n v="2421.62"/>
    <n v="5"/>
    <n v="3.948"/>
    <n v="6900304"/>
    <x v="5"/>
    <s v="Fortaleza"/>
    <s v="Convencional"/>
    <n v="5"/>
    <d v="2019-10-24T00:00:00"/>
    <x v="629"/>
    <x v="0"/>
    <d v="2019-10-29T00:00:00"/>
    <x v="1"/>
    <x v="0"/>
    <n v="0"/>
    <n v="1"/>
  </r>
  <r>
    <d v="2019-10-23T00:00:00"/>
    <n v="12896"/>
    <s v="WHVIT"/>
    <s v="Vitoria"/>
    <s v="ES"/>
    <n v="4252"/>
    <x v="240"/>
    <s v="Sao Paulo"/>
    <s v="SP"/>
    <x v="2"/>
    <s v="SP"/>
    <n v="573.11"/>
    <n v="2"/>
    <n v="0.94299999999999995"/>
    <n v="6400835"/>
    <x v="3"/>
    <s v="Guarulhos"/>
    <s v="Convencional"/>
    <n v="7"/>
    <d v="2019-10-24T00:00:00"/>
    <x v="626"/>
    <x v="0"/>
    <d v="2019-10-31T00:00:00"/>
    <x v="0"/>
    <x v="0"/>
    <n v="1"/>
    <n v="1"/>
  </r>
  <r>
    <d v="2019-10-23T00:00:00"/>
    <n v="12897"/>
    <s v="WHSAO"/>
    <s v="Sao Paulo"/>
    <s v="SP"/>
    <n v="4023"/>
    <x v="20"/>
    <s v="Sao Jose"/>
    <s v="SC"/>
    <x v="0"/>
    <s v="SC"/>
    <n v="233.4"/>
    <n v="1"/>
    <n v="1.1200000000000001"/>
    <n v="6500948"/>
    <x v="0"/>
    <s v="Porto Alegre"/>
    <s v="Convencional"/>
    <n v="9"/>
    <d v="2019-10-24T00:00:00"/>
    <x v="632"/>
    <x v="0"/>
    <d v="2019-11-02T00:00:00"/>
    <x v="1"/>
    <x v="0"/>
    <n v="0"/>
    <n v="1"/>
  </r>
  <r>
    <d v="2019-10-23T00:00:00"/>
    <n v="12898"/>
    <s v="WHVIT"/>
    <s v="Vitoria"/>
    <s v="ES"/>
    <n v="4013"/>
    <x v="1"/>
    <s v="Blumenau"/>
    <s v="SC"/>
    <x v="0"/>
    <s v="SC"/>
    <n v="1334.15"/>
    <n v="4"/>
    <n v="53.68"/>
    <n v="6500948"/>
    <x v="0"/>
    <s v="Porto Alegre"/>
    <s v="Convencional"/>
    <n v="2"/>
    <d v="2019-10-24T00:00:00"/>
    <x v="629"/>
    <x v="0"/>
    <d v="2019-10-26T00:00:00"/>
    <x v="1"/>
    <x v="0"/>
    <n v="0"/>
    <n v="1"/>
  </r>
  <r>
    <d v="2019-10-24T00:00:00"/>
    <n v="12899"/>
    <s v="WHRJ"/>
    <s v="Rio De Janeiro"/>
    <s v="RJ"/>
    <n v="4205"/>
    <x v="193"/>
    <s v="Belo Horizonte"/>
    <s v="MG"/>
    <x v="2"/>
    <s v="MG"/>
    <n v="1844.29"/>
    <n v="1"/>
    <n v="9.91"/>
    <n v="6600879"/>
    <x v="2"/>
    <s v="Belo Horizonte"/>
    <s v="Convencional"/>
    <n v="5"/>
    <d v="2019-10-25T00:00:00"/>
    <x v="633"/>
    <x v="0"/>
    <d v="2019-10-30T00:00:00"/>
    <x v="0"/>
    <x v="0"/>
    <n v="1"/>
    <n v="1"/>
  </r>
  <r>
    <d v="2019-10-24T00:00:00"/>
    <n v="12900"/>
    <s v="WHPOA"/>
    <s v="Porto Alegre"/>
    <s v="RS"/>
    <n v="4069"/>
    <x v="57"/>
    <s v="Brasilia"/>
    <s v="DF"/>
    <x v="1"/>
    <s v="DF"/>
    <n v="7677.7"/>
    <n v="8"/>
    <n v="56.177999999999997"/>
    <n v="6100231"/>
    <x v="1"/>
    <s v="Goiania"/>
    <s v="Convencional"/>
    <n v="6"/>
    <d v="2019-10-25T00:00:00"/>
    <x v="631"/>
    <x v="0"/>
    <d v="2019-10-31T00:00:00"/>
    <x v="1"/>
    <x v="0"/>
    <n v="0"/>
    <n v="1"/>
  </r>
  <r>
    <d v="2019-10-24T00:00:00"/>
    <n v="12901"/>
    <s v="WHSJC"/>
    <s v="Sao Jose dos Campos"/>
    <s v="SP"/>
    <n v="4022"/>
    <x v="19"/>
    <s v="Maringa"/>
    <s v="PR"/>
    <x v="0"/>
    <s v="PR"/>
    <n v="2153.83"/>
    <n v="2"/>
    <n v="6.4790000000000001"/>
    <n v="6500948"/>
    <x v="0"/>
    <s v="Porto Alegre"/>
    <s v="Convencional"/>
    <n v="9"/>
    <d v="2019-10-25T00:00:00"/>
    <x v="632"/>
    <x v="0"/>
    <d v="2019-11-03T00:00:00"/>
    <x v="0"/>
    <x v="0"/>
    <n v="1"/>
    <n v="1"/>
  </r>
  <r>
    <d v="2019-10-24T00:00:00"/>
    <n v="12902"/>
    <s v="WHCPQ"/>
    <s v="Campinas"/>
    <s v="SP"/>
    <n v="4022"/>
    <x v="19"/>
    <s v="Maringa"/>
    <s v="PR"/>
    <x v="0"/>
    <s v="PR"/>
    <n v="726.84"/>
    <n v="2"/>
    <n v="26.84"/>
    <n v="6500948"/>
    <x v="0"/>
    <s v="Porto Alegre"/>
    <s v="Convencional"/>
    <n v="1"/>
    <d v="2019-10-25T00:00:00"/>
    <x v="623"/>
    <x v="0"/>
    <d v="2019-10-26T00:00:00"/>
    <x v="0"/>
    <x v="0"/>
    <n v="1"/>
    <n v="1"/>
  </r>
  <r>
    <d v="2019-10-24T00:00:00"/>
    <n v="12903"/>
    <s v="WHCPQ"/>
    <s v="Campinas"/>
    <s v="SP"/>
    <n v="4119"/>
    <x v="107"/>
    <s v="Recife"/>
    <s v="PE"/>
    <x v="3"/>
    <s v="PE"/>
    <n v="2113.2800000000002"/>
    <n v="2"/>
    <n v="8.6739999999999995"/>
    <n v="6900304"/>
    <x v="5"/>
    <s v="Fortaleza"/>
    <s v="Convencional"/>
    <n v="9"/>
    <d v="2019-10-25T00:00:00"/>
    <x v="634"/>
    <x v="0"/>
    <d v="2019-11-03T00:00:00"/>
    <x v="1"/>
    <x v="0"/>
    <n v="0"/>
    <n v="1"/>
  </r>
  <r>
    <d v="2019-10-24T00:00:00"/>
    <n v="12904"/>
    <s v="WHSJC"/>
    <s v="Sao Jose dos Campos"/>
    <s v="SP"/>
    <n v="4119"/>
    <x v="107"/>
    <s v="Recife"/>
    <s v="PE"/>
    <x v="3"/>
    <s v="PE"/>
    <n v="508.8"/>
    <n v="6"/>
    <n v="36.069000000000003"/>
    <n v="6900304"/>
    <x v="5"/>
    <s v="Fortaleza"/>
    <s v="Convencional"/>
    <n v="8"/>
    <d v="2019-10-25T00:00:00"/>
    <x v="631"/>
    <x v="0"/>
    <d v="2019-11-02T00:00:00"/>
    <x v="0"/>
    <x v="0"/>
    <n v="1"/>
    <n v="1"/>
  </r>
  <r>
    <d v="2019-10-24T00:00:00"/>
    <n v="12905"/>
    <s v="WHSJC"/>
    <s v="Sao Jose dos Campos"/>
    <s v="SP"/>
    <n v="4119"/>
    <x v="107"/>
    <s v="Recife"/>
    <s v="PE"/>
    <x v="3"/>
    <s v="PE"/>
    <n v="6166.58"/>
    <n v="1"/>
    <n v="1.1200000000000001"/>
    <n v="6900304"/>
    <x v="5"/>
    <s v="Fortaleza"/>
    <s v="Convencional"/>
    <n v="4"/>
    <d v="2019-10-25T00:00:00"/>
    <x v="631"/>
    <x v="0"/>
    <d v="2019-10-29T00:00:00"/>
    <x v="1"/>
    <x v="0"/>
    <n v="0"/>
    <n v="1"/>
  </r>
  <r>
    <d v="2019-10-25T00:00:00"/>
    <n v="12906"/>
    <s v="WHSJC"/>
    <s v="Sao Jose dos Campos"/>
    <s v="SP"/>
    <n v="4168"/>
    <x v="156"/>
    <s v="Santos"/>
    <s v="SP"/>
    <x v="2"/>
    <s v="SP"/>
    <n v="513.91"/>
    <n v="2"/>
    <n v="1.4359999999999999"/>
    <n v="6400835"/>
    <x v="3"/>
    <s v="Guarulhos"/>
    <s v="Convencional"/>
    <n v="3"/>
    <d v="2019-10-26T00:00:00"/>
    <x v="627"/>
    <x v="0"/>
    <d v="2019-10-29T00:00:00"/>
    <x v="1"/>
    <x v="0"/>
    <n v="0"/>
    <n v="1"/>
  </r>
  <r>
    <d v="2019-10-25T00:00:00"/>
    <n v="12907"/>
    <s v="WHVIT"/>
    <s v="Vitoria"/>
    <s v="ES"/>
    <n v="4157"/>
    <x v="145"/>
    <s v="Belo Horizonte"/>
    <s v="MG"/>
    <x v="2"/>
    <s v="MG"/>
    <n v="71.849999999999994"/>
    <n v="1"/>
    <n v="0.11"/>
    <n v="6600879"/>
    <x v="2"/>
    <s v="Belo Horizonte"/>
    <s v="Convencional"/>
    <n v="7"/>
    <d v="2019-10-26T00:00:00"/>
    <x v="633"/>
    <x v="0"/>
    <d v="2019-11-02T00:00:00"/>
    <x v="0"/>
    <x v="0"/>
    <n v="1"/>
    <n v="1"/>
  </r>
  <r>
    <d v="2019-10-25T00:00:00"/>
    <n v="12908"/>
    <s v="WHCPQ"/>
    <s v="Campinas"/>
    <s v="SP"/>
    <n v="4230"/>
    <x v="218"/>
    <s v="Belo Horizonte"/>
    <s v="MG"/>
    <x v="2"/>
    <s v="MG"/>
    <n v="137.30000000000001"/>
    <n v="1"/>
    <n v="8.6059999999999999"/>
    <n v="6600879"/>
    <x v="2"/>
    <s v="Belo Horizonte"/>
    <s v="Convencional"/>
    <n v="2"/>
    <d v="2019-10-26T00:00:00"/>
    <x v="626"/>
    <x v="0"/>
    <d v="2019-10-28T00:00:00"/>
    <x v="1"/>
    <x v="0"/>
    <n v="0"/>
    <n v="1"/>
  </r>
  <r>
    <d v="2019-10-28T00:00:00"/>
    <n v="12909"/>
    <s v="WHCPQ"/>
    <s v="Campinas"/>
    <s v="SP"/>
    <n v="4190"/>
    <x v="178"/>
    <s v="Belo Horizonte"/>
    <s v="MG"/>
    <x v="2"/>
    <s v="MG"/>
    <n v="1314.6"/>
    <n v="2"/>
    <n v="1.6020000000000001"/>
    <n v="6600879"/>
    <x v="2"/>
    <s v="Belo Horizonte"/>
    <s v="Convencional"/>
    <n v="12"/>
    <d v="2019-10-29T00:00:00"/>
    <x v="635"/>
    <x v="0"/>
    <d v="2019-11-10T00:00:00"/>
    <x v="0"/>
    <x v="0"/>
    <n v="1"/>
    <n v="1"/>
  </r>
  <r>
    <d v="2019-10-28T00:00:00"/>
    <n v="12910"/>
    <s v="WHSJC"/>
    <s v="Sao Jose dos Campos"/>
    <s v="SP"/>
    <n v="4154"/>
    <x v="142"/>
    <s v="Recife"/>
    <s v="PE"/>
    <x v="3"/>
    <s v="PE"/>
    <n v="272.04000000000002"/>
    <n v="3"/>
    <n v="0.66"/>
    <n v="6900304"/>
    <x v="5"/>
    <s v="Fortaleza"/>
    <s v="Convencional"/>
    <n v="7"/>
    <d v="2019-10-29T00:00:00"/>
    <x v="636"/>
    <x v="2"/>
    <d v="2019-11-05T00:00:00"/>
    <x v="1"/>
    <x v="1"/>
    <n v="0"/>
    <n v="1"/>
  </r>
  <r>
    <d v="2019-10-28T00:00:00"/>
    <n v="12911"/>
    <s v="WHPOA"/>
    <s v="Porto Alegre"/>
    <s v="RS"/>
    <n v="4166"/>
    <x v="154"/>
    <s v="Manaus"/>
    <s v="AM"/>
    <x v="4"/>
    <s v="AM"/>
    <n v="613.05999999999995"/>
    <n v="5"/>
    <n v="3.597"/>
    <n v="6700091"/>
    <x v="6"/>
    <s v="Manaus"/>
    <s v="Convencional"/>
    <n v="10"/>
    <d v="2019-10-29T00:00:00"/>
    <x v="637"/>
    <x v="0"/>
    <d v="2019-11-08T00:00:00"/>
    <x v="0"/>
    <x v="0"/>
    <n v="1"/>
    <n v="1"/>
  </r>
  <r>
    <d v="2019-10-28T00:00:00"/>
    <n v="12912"/>
    <s v="WHCPQ"/>
    <s v="Campinas"/>
    <s v="SP"/>
    <n v="4068"/>
    <x v="4"/>
    <s v="Campo Grande"/>
    <s v="MS"/>
    <x v="1"/>
    <s v="MS"/>
    <n v="1762.17"/>
    <n v="5"/>
    <n v="6.7709999999999999"/>
    <n v="6100231"/>
    <x v="1"/>
    <s v="Goiania"/>
    <s v="Convencional"/>
    <n v="2"/>
    <d v="2019-10-29T00:00:00"/>
    <x v="636"/>
    <x v="0"/>
    <d v="2019-10-31T00:00:00"/>
    <x v="1"/>
    <x v="0"/>
    <n v="0"/>
    <n v="1"/>
  </r>
  <r>
    <d v="2019-10-28T00:00:00"/>
    <n v="12913"/>
    <s v="WHSAO"/>
    <s v="Sao Paulo"/>
    <s v="SP"/>
    <n v="4013"/>
    <x v="1"/>
    <s v="Blumenau"/>
    <s v="SC"/>
    <x v="0"/>
    <s v="SC"/>
    <n v="1437.36"/>
    <n v="1"/>
    <n v="1.1200000000000001"/>
    <n v="6500948"/>
    <x v="0"/>
    <s v="Porto Alegre"/>
    <s v="Convencional"/>
    <n v="1"/>
    <d v="2019-10-29T00:00:00"/>
    <x v="638"/>
    <x v="2"/>
    <d v="2019-10-30T00:00:00"/>
    <x v="1"/>
    <x v="1"/>
    <n v="0"/>
    <n v="1"/>
  </r>
  <r>
    <d v="2019-10-28T00:00:00"/>
    <n v="12914"/>
    <s v="WHSAO"/>
    <s v="Sao Paulo"/>
    <s v="SP"/>
    <n v="4032"/>
    <x v="34"/>
    <s v="Goiania"/>
    <s v="GO"/>
    <x v="1"/>
    <s v="GO"/>
    <n v="744.65"/>
    <n v="2"/>
    <n v="5.5549999999999997"/>
    <n v="6100231"/>
    <x v="1"/>
    <s v="Goiania"/>
    <s v="Convencional"/>
    <n v="11"/>
    <d v="2019-10-29T00:00:00"/>
    <x v="627"/>
    <x v="0"/>
    <d v="2019-11-09T00:00:00"/>
    <x v="0"/>
    <x v="0"/>
    <n v="1"/>
    <n v="1"/>
  </r>
  <r>
    <d v="2019-10-29T00:00:00"/>
    <n v="12915"/>
    <s v="WHPOA"/>
    <s v="Porto Alegre"/>
    <s v="RS"/>
    <n v="4172"/>
    <x v="160"/>
    <s v="Santos"/>
    <s v="SP"/>
    <x v="2"/>
    <s v="SP"/>
    <n v="1004.13"/>
    <n v="1"/>
    <n v="1.32"/>
    <n v="6400835"/>
    <x v="3"/>
    <s v="Guarulhos"/>
    <s v="Convencional"/>
    <n v="9"/>
    <d v="2019-10-30T00:00:00"/>
    <x v="628"/>
    <x v="0"/>
    <d v="2019-11-08T00:00:00"/>
    <x v="0"/>
    <x v="0"/>
    <n v="1"/>
    <n v="1"/>
  </r>
  <r>
    <d v="2019-10-29T00:00:00"/>
    <n v="12916"/>
    <s v="WHBH"/>
    <s v="Belo Horizonte"/>
    <s v="MG"/>
    <n v="4168"/>
    <x v="156"/>
    <s v="Santos"/>
    <s v="SP"/>
    <x v="2"/>
    <s v="SP"/>
    <n v="347.66"/>
    <n v="1"/>
    <n v="1.177"/>
    <n v="6400835"/>
    <x v="3"/>
    <s v="Guarulhos"/>
    <s v="Convencional"/>
    <n v="8"/>
    <d v="2019-10-30T00:00:00"/>
    <x v="638"/>
    <x v="0"/>
    <d v="2019-11-07T00:00:00"/>
    <x v="0"/>
    <x v="0"/>
    <n v="1"/>
    <n v="1"/>
  </r>
  <r>
    <d v="2019-10-29T00:00:00"/>
    <n v="12917"/>
    <s v="WHCPQ"/>
    <s v="Campinas"/>
    <s v="SP"/>
    <n v="4023"/>
    <x v="20"/>
    <s v="Sao Jose"/>
    <s v="SC"/>
    <x v="0"/>
    <s v="SC"/>
    <n v="4311.2299999999996"/>
    <n v="5"/>
    <n v="49.5"/>
    <n v="6500948"/>
    <x v="0"/>
    <s v="Porto Alegre"/>
    <s v="Convencional"/>
    <n v="10"/>
    <d v="2019-10-30T00:00:00"/>
    <x v="637"/>
    <x v="1"/>
    <d v="2019-11-09T00:00:00"/>
    <x v="0"/>
    <x v="1"/>
    <n v="0"/>
    <n v="1"/>
  </r>
  <r>
    <d v="2019-10-29T00:00:00"/>
    <n v="12918"/>
    <s v="WHBH"/>
    <s v="Belo Horizonte"/>
    <s v="MG"/>
    <n v="4045"/>
    <x v="49"/>
    <s v="Belo Horizonte"/>
    <s v="MG"/>
    <x v="2"/>
    <s v="MG"/>
    <n v="416.34"/>
    <n v="1"/>
    <n v="1.177"/>
    <n v="6600879"/>
    <x v="2"/>
    <s v="Belo Horizonte"/>
    <s v="Convencional"/>
    <n v="4"/>
    <d v="2019-10-30T00:00:00"/>
    <x v="634"/>
    <x v="0"/>
    <d v="2019-11-03T00:00:00"/>
    <x v="1"/>
    <x v="0"/>
    <n v="0"/>
    <n v="1"/>
  </r>
  <r>
    <d v="2019-10-29T00:00:00"/>
    <n v="12919"/>
    <s v="WHVIT"/>
    <s v="Vitoria"/>
    <s v="ES"/>
    <n v="4044"/>
    <x v="48"/>
    <s v="Belo Horizonte"/>
    <s v="MG"/>
    <x v="2"/>
    <s v="MG"/>
    <n v="44.22"/>
    <n v="2"/>
    <n v="0.13200000000000001"/>
    <n v="6600879"/>
    <x v="2"/>
    <s v="Belo Horizonte"/>
    <s v="Convencional"/>
    <n v="8"/>
    <d v="2019-10-30T00:00:00"/>
    <x v="636"/>
    <x v="0"/>
    <d v="2019-11-07T00:00:00"/>
    <x v="0"/>
    <x v="0"/>
    <n v="1"/>
    <n v="1"/>
  </r>
  <r>
    <d v="2019-10-29T00:00:00"/>
    <n v="12920"/>
    <s v="WHSAO"/>
    <s v="Sao Paulo"/>
    <s v="SP"/>
    <n v="4044"/>
    <x v="48"/>
    <s v="Belo Horizonte"/>
    <s v="MG"/>
    <x v="2"/>
    <s v="MG"/>
    <n v="2790.83"/>
    <n v="1"/>
    <n v="16.5"/>
    <n v="6600879"/>
    <x v="2"/>
    <s v="Belo Horizonte"/>
    <s v="Convencional"/>
    <n v="11"/>
    <d v="2019-10-30T00:00:00"/>
    <x v="631"/>
    <x v="1"/>
    <d v="2019-11-10T00:00:00"/>
    <x v="0"/>
    <x v="1"/>
    <n v="0"/>
    <n v="1"/>
  </r>
  <r>
    <d v="2019-10-29T00:00:00"/>
    <n v="12921"/>
    <s v="WHPOA"/>
    <s v="Porto Alegre"/>
    <s v="RS"/>
    <n v="4045"/>
    <x v="49"/>
    <s v="Belo Horizonte"/>
    <s v="MG"/>
    <x v="2"/>
    <s v="MG"/>
    <n v="348.04"/>
    <n v="1"/>
    <n v="0.48399999999999999"/>
    <n v="6600879"/>
    <x v="2"/>
    <s v="Belo Horizonte"/>
    <s v="Convencional"/>
    <n v="2"/>
    <d v="2019-10-30T00:00:00"/>
    <x v="639"/>
    <x v="0"/>
    <d v="2019-11-01T00:00:00"/>
    <x v="1"/>
    <x v="0"/>
    <n v="0"/>
    <n v="1"/>
  </r>
  <r>
    <d v="2019-10-29T00:00:00"/>
    <n v="12922"/>
    <s v="WHVIT"/>
    <s v="Vitoria"/>
    <s v="ES"/>
    <n v="4035"/>
    <x v="37"/>
    <s v="Brasilia"/>
    <s v="DF"/>
    <x v="1"/>
    <s v="DF"/>
    <n v="1483.32"/>
    <n v="2"/>
    <n v="3.3980000000000001"/>
    <n v="6100231"/>
    <x v="1"/>
    <s v="Goiania"/>
    <s v="Convencional"/>
    <n v="11"/>
    <d v="2019-10-30T00:00:00"/>
    <x v="639"/>
    <x v="2"/>
    <d v="2019-11-10T00:00:00"/>
    <x v="0"/>
    <x v="1"/>
    <n v="0"/>
    <n v="1"/>
  </r>
  <r>
    <d v="2019-10-30T00:00:00"/>
    <n v="12923"/>
    <s v="WHRJ"/>
    <s v="Rio De Janeiro"/>
    <s v="RJ"/>
    <n v="4044"/>
    <x v="48"/>
    <s v="Belo Horizonte"/>
    <s v="MG"/>
    <x v="2"/>
    <s v="MG"/>
    <n v="494.51"/>
    <n v="1"/>
    <n v="4.1790000000000003"/>
    <n v="6600879"/>
    <x v="2"/>
    <s v="Belo Horizonte"/>
    <s v="Convencional"/>
    <n v="2"/>
    <d v="2019-10-30T00:00:00"/>
    <x v="638"/>
    <x v="0"/>
    <d v="2019-11-01T00:00:00"/>
    <x v="1"/>
    <x v="0"/>
    <n v="0"/>
    <n v="1"/>
  </r>
  <r>
    <d v="2019-10-29T00:00:00"/>
    <n v="12924"/>
    <s v="WHCPQ"/>
    <s v="Campinas"/>
    <s v="SP"/>
    <n v="4045"/>
    <x v="49"/>
    <s v="Belo Horizonte"/>
    <s v="MG"/>
    <x v="2"/>
    <s v="MG"/>
    <n v="2538.8200000000002"/>
    <n v="2"/>
    <n v="2.8820000000000001"/>
    <n v="6600879"/>
    <x v="2"/>
    <s v="Belo Horizonte"/>
    <s v="Convencional"/>
    <n v="5"/>
    <d v="2019-10-30T00:00:00"/>
    <x v="635"/>
    <x v="0"/>
    <d v="2019-11-04T00:00:00"/>
    <x v="1"/>
    <x v="0"/>
    <n v="0"/>
    <n v="1"/>
  </r>
  <r>
    <d v="2019-10-29T00:00:00"/>
    <n v="12925"/>
    <s v="WHPOA"/>
    <s v="Porto Alegre"/>
    <s v="RS"/>
    <n v="4035"/>
    <x v="37"/>
    <s v="Brasilia"/>
    <s v="DF"/>
    <x v="1"/>
    <s v="DF"/>
    <n v="3325.51"/>
    <n v="4"/>
    <n v="16.96"/>
    <n v="6100231"/>
    <x v="1"/>
    <s v="Goiania"/>
    <s v="Convencional"/>
    <n v="11"/>
    <d v="2019-10-30T00:00:00"/>
    <x v="636"/>
    <x v="0"/>
    <d v="2019-11-10T00:00:00"/>
    <x v="0"/>
    <x v="0"/>
    <n v="1"/>
    <n v="1"/>
  </r>
  <r>
    <d v="2019-10-29T00:00:00"/>
    <n v="12926"/>
    <s v="WHBH"/>
    <s v="Belo Horizonte"/>
    <s v="MG"/>
    <n v="4044"/>
    <x v="48"/>
    <s v="Belo Horizonte"/>
    <s v="MG"/>
    <x v="2"/>
    <s v="MG"/>
    <n v="2081.61"/>
    <n v="2"/>
    <n v="6.1070000000000002"/>
    <n v="6600879"/>
    <x v="2"/>
    <s v="Belo Horizonte"/>
    <s v="Convencional"/>
    <n v="1"/>
    <d v="2019-10-30T00:00:00"/>
    <x v="632"/>
    <x v="0"/>
    <d v="2019-10-31T00:00:00"/>
    <x v="1"/>
    <x v="0"/>
    <n v="0"/>
    <n v="1"/>
  </r>
  <r>
    <d v="2019-10-29T00:00:00"/>
    <n v="12927"/>
    <s v="WHSAO"/>
    <s v="Sao Paulo"/>
    <s v="SP"/>
    <n v="4035"/>
    <x v="37"/>
    <s v="Brasilia"/>
    <s v="DF"/>
    <x v="1"/>
    <s v="DF"/>
    <n v="2239.58"/>
    <n v="2"/>
    <n v="11.752000000000001"/>
    <n v="6100231"/>
    <x v="1"/>
    <s v="Goiania"/>
    <s v="Convencional"/>
    <n v="11"/>
    <d v="2019-10-30T00:00:00"/>
    <x v="629"/>
    <x v="0"/>
    <d v="2019-11-10T00:00:00"/>
    <x v="0"/>
    <x v="0"/>
    <n v="1"/>
    <n v="1"/>
  </r>
  <r>
    <d v="2019-10-29T00:00:00"/>
    <n v="12928"/>
    <s v="WHPOA"/>
    <s v="Porto Alegre"/>
    <s v="RS"/>
    <n v="4044"/>
    <x v="48"/>
    <s v="Belo Horizonte"/>
    <s v="MG"/>
    <x v="2"/>
    <s v="MG"/>
    <n v="65.78"/>
    <n v="2"/>
    <n v="0.29799999999999999"/>
    <n v="6600879"/>
    <x v="2"/>
    <s v="Belo Horizonte"/>
    <s v="Convencional"/>
    <n v="4"/>
    <d v="2019-10-30T00:00:00"/>
    <x v="637"/>
    <x v="0"/>
    <d v="2019-11-03T00:00:00"/>
    <x v="1"/>
    <x v="0"/>
    <n v="0"/>
    <n v="1"/>
  </r>
  <r>
    <d v="2019-10-29T00:00:00"/>
    <n v="12929"/>
    <s v="WHVIT"/>
    <s v="Vitoria"/>
    <s v="ES"/>
    <n v="4045"/>
    <x v="49"/>
    <s v="Belo Horizonte"/>
    <s v="MG"/>
    <x v="2"/>
    <s v="MG"/>
    <n v="24.88"/>
    <n v="1"/>
    <n v="2.1999999999999999E-2"/>
    <n v="6600879"/>
    <x v="2"/>
    <s v="Belo Horizonte"/>
    <s v="Convencional"/>
    <n v="5"/>
    <d v="2019-10-30T00:00:00"/>
    <x v="631"/>
    <x v="0"/>
    <d v="2019-11-04T00:00:00"/>
    <x v="0"/>
    <x v="0"/>
    <n v="1"/>
    <n v="1"/>
  </r>
  <r>
    <d v="2019-10-29T00:00:00"/>
    <n v="12930"/>
    <s v="WHVIT"/>
    <s v="Vitoria"/>
    <s v="ES"/>
    <n v="4045"/>
    <x v="49"/>
    <s v="Belo Horizonte"/>
    <s v="MG"/>
    <x v="2"/>
    <s v="MG"/>
    <n v="285.04000000000002"/>
    <n v="2"/>
    <n v="1.1879999999999999"/>
    <n v="6600879"/>
    <x v="2"/>
    <s v="Belo Horizonte"/>
    <s v="Convencional"/>
    <n v="9"/>
    <d v="2019-10-30T00:00:00"/>
    <x v="629"/>
    <x v="0"/>
    <d v="2019-11-08T00:00:00"/>
    <x v="0"/>
    <x v="0"/>
    <n v="1"/>
    <n v="1"/>
  </r>
  <r>
    <d v="2019-10-30T00:00:00"/>
    <n v="12931"/>
    <s v="WHRJ"/>
    <s v="Rio De Janeiro"/>
    <s v="RJ"/>
    <n v="4155"/>
    <x v="143"/>
    <s v="Sao Paulo"/>
    <s v="SP"/>
    <x v="2"/>
    <s v="SP"/>
    <n v="5.83"/>
    <n v="1"/>
    <n v="0.16"/>
    <n v="6400835"/>
    <x v="3"/>
    <s v="Guarulhos"/>
    <s v="Convencional"/>
    <n v="1"/>
    <d v="2019-10-31T00:00:00"/>
    <x v="636"/>
    <x v="0"/>
    <d v="2019-11-01T00:00:00"/>
    <x v="1"/>
    <x v="0"/>
    <n v="0"/>
    <n v="1"/>
  </r>
  <r>
    <d v="2019-10-30T00:00:00"/>
    <n v="12932"/>
    <s v="WHRJ"/>
    <s v="Rio De Janeiro"/>
    <s v="RJ"/>
    <n v="4173"/>
    <x v="161"/>
    <s v="Belo Horizonte"/>
    <s v="MG"/>
    <x v="2"/>
    <s v="MG"/>
    <n v="45.21"/>
    <n v="1"/>
    <n v="0.56399999999999995"/>
    <n v="6600879"/>
    <x v="2"/>
    <s v="Belo Horizonte"/>
    <s v="Convencional"/>
    <n v="5"/>
    <d v="2019-10-31T00:00:00"/>
    <x v="629"/>
    <x v="0"/>
    <d v="2019-11-05T00:00:00"/>
    <x v="0"/>
    <x v="0"/>
    <n v="1"/>
    <n v="1"/>
  </r>
  <r>
    <d v="2019-10-30T00:00:00"/>
    <n v="12933"/>
    <s v="WHCPQ"/>
    <s v="Campinas"/>
    <s v="SP"/>
    <n v="4219"/>
    <x v="207"/>
    <s v="Belo Horizonte"/>
    <s v="MG"/>
    <x v="2"/>
    <s v="MG"/>
    <n v="623.99"/>
    <n v="2"/>
    <n v="5.03"/>
    <n v="6600879"/>
    <x v="2"/>
    <s v="Belo Horizonte"/>
    <s v="Convencional"/>
    <n v="1"/>
    <d v="2019-10-31T00:00:00"/>
    <x v="635"/>
    <x v="0"/>
    <d v="2019-11-01T00:00:00"/>
    <x v="1"/>
    <x v="0"/>
    <n v="0"/>
    <n v="1"/>
  </r>
  <r>
    <d v="2019-10-30T00:00:00"/>
    <n v="12934"/>
    <s v="WHCPQ"/>
    <s v="Campinas"/>
    <s v="SP"/>
    <n v="4205"/>
    <x v="193"/>
    <s v="Belo Horizonte"/>
    <s v="MG"/>
    <x v="2"/>
    <s v="MG"/>
    <n v="225.43"/>
    <n v="1"/>
    <n v="1.1200000000000001"/>
    <n v="6600879"/>
    <x v="2"/>
    <s v="Belo Horizonte"/>
    <s v="Convencional"/>
    <n v="5"/>
    <d v="2019-10-31T00:00:00"/>
    <x v="637"/>
    <x v="0"/>
    <d v="2019-11-05T00:00:00"/>
    <x v="1"/>
    <x v="0"/>
    <n v="0"/>
    <n v="1"/>
  </r>
  <r>
    <d v="2019-10-30T00:00:00"/>
    <n v="12935"/>
    <s v="WHVIT"/>
    <s v="Vitoria"/>
    <s v="ES"/>
    <n v="4218"/>
    <x v="206"/>
    <s v="Santos"/>
    <s v="SP"/>
    <x v="2"/>
    <s v="SP"/>
    <n v="770.82"/>
    <n v="2"/>
    <n v="4.2"/>
    <n v="6400835"/>
    <x v="3"/>
    <s v="Guarulhos"/>
    <s v="Convencional"/>
    <n v="8"/>
    <d v="2019-10-31T00:00:00"/>
    <x v="636"/>
    <x v="0"/>
    <d v="2019-11-08T00:00:00"/>
    <x v="0"/>
    <x v="0"/>
    <n v="1"/>
    <n v="1"/>
  </r>
  <r>
    <d v="2019-10-30T00:00:00"/>
    <n v="12936"/>
    <s v="WHPOA"/>
    <s v="Porto Alegre"/>
    <s v="RS"/>
    <n v="4161"/>
    <x v="149"/>
    <s v="Recife"/>
    <s v="PE"/>
    <x v="3"/>
    <s v="PE"/>
    <n v="3397.01"/>
    <n v="2"/>
    <n v="1.5680000000000001"/>
    <n v="6900304"/>
    <x v="5"/>
    <s v="Fortaleza"/>
    <s v="Convencional"/>
    <n v="5"/>
    <d v="2019-10-31T00:00:00"/>
    <x v="636"/>
    <x v="0"/>
    <d v="2019-11-05T00:00:00"/>
    <x v="1"/>
    <x v="0"/>
    <n v="0"/>
    <n v="1"/>
  </r>
  <r>
    <d v="2019-10-30T00:00:00"/>
    <n v="12937"/>
    <s v="WHRJ"/>
    <s v="Rio De Janeiro"/>
    <s v="RJ"/>
    <n v="4258"/>
    <x v="246"/>
    <s v="Manaus"/>
    <s v="AM"/>
    <x v="4"/>
    <s v="AM"/>
    <n v="2343.4"/>
    <n v="4"/>
    <n v="16.97"/>
    <n v="6700091"/>
    <x v="6"/>
    <s v="Manaus"/>
    <s v="Convencional"/>
    <n v="6"/>
    <d v="2019-10-31T00:00:00"/>
    <x v="632"/>
    <x v="0"/>
    <d v="2019-11-06T00:00:00"/>
    <x v="0"/>
    <x v="0"/>
    <n v="1"/>
    <n v="1"/>
  </r>
  <r>
    <d v="2019-10-30T00:00:00"/>
    <n v="12938"/>
    <s v="WHSAO"/>
    <s v="Sao Paulo"/>
    <s v="SP"/>
    <n v="4233"/>
    <x v="221"/>
    <s v="Belo Horizonte"/>
    <s v="MG"/>
    <x v="2"/>
    <s v="MG"/>
    <n v="1424.41"/>
    <n v="4"/>
    <n v="5.5830000000000002"/>
    <n v="6600879"/>
    <x v="2"/>
    <s v="Belo Horizonte"/>
    <s v="Convencional"/>
    <n v="12"/>
    <d v="2019-10-31T00:00:00"/>
    <x v="640"/>
    <x v="0"/>
    <d v="2019-11-12T00:00:00"/>
    <x v="0"/>
    <x v="0"/>
    <n v="1"/>
    <n v="1"/>
  </r>
  <r>
    <d v="2019-10-30T00:00:00"/>
    <n v="12939"/>
    <s v="WHRJ"/>
    <s v="Rio De Janeiro"/>
    <s v="RJ"/>
    <n v="4013"/>
    <x v="1"/>
    <s v="Blumenau"/>
    <s v="SC"/>
    <x v="0"/>
    <s v="SC"/>
    <n v="119.05"/>
    <n v="1"/>
    <n v="0.42799999999999999"/>
    <n v="6500948"/>
    <x v="0"/>
    <s v="Porto Alegre"/>
    <s v="Convencional"/>
    <n v="8"/>
    <d v="2019-10-31T00:00:00"/>
    <x v="640"/>
    <x v="0"/>
    <d v="2019-11-08T00:00:00"/>
    <x v="1"/>
    <x v="0"/>
    <n v="0"/>
    <n v="1"/>
  </r>
  <r>
    <d v="2019-10-30T00:00:00"/>
    <n v="12940"/>
    <s v="WHSAO"/>
    <s v="Sao Paulo"/>
    <s v="SP"/>
    <n v="4233"/>
    <x v="221"/>
    <s v="Belo Horizonte"/>
    <s v="MG"/>
    <x v="2"/>
    <s v="MG"/>
    <n v="58.77"/>
    <n v="1"/>
    <n v="2.2850000000000001"/>
    <n v="6600879"/>
    <x v="2"/>
    <s v="Belo Horizonte"/>
    <s v="Convencional"/>
    <n v="9"/>
    <d v="2019-10-31T00:00:00"/>
    <x v="637"/>
    <x v="0"/>
    <d v="2019-11-09T00:00:00"/>
    <x v="0"/>
    <x v="0"/>
    <n v="1"/>
    <n v="1"/>
  </r>
  <r>
    <d v="2019-10-30T00:00:00"/>
    <n v="12941"/>
    <s v="WHCPQ"/>
    <s v="Campinas"/>
    <s v="SP"/>
    <n v="4034"/>
    <x v="36"/>
    <s v="Goiania"/>
    <s v="GO"/>
    <x v="1"/>
    <s v="GO"/>
    <n v="865.47"/>
    <n v="1"/>
    <n v="2.9580000000000002"/>
    <n v="6100231"/>
    <x v="1"/>
    <s v="Goiania"/>
    <s v="Convencional"/>
    <n v="1"/>
    <d v="2019-10-31T00:00:00"/>
    <x v="635"/>
    <x v="0"/>
    <d v="2019-11-01T00:00:00"/>
    <x v="1"/>
    <x v="0"/>
    <n v="0"/>
    <n v="1"/>
  </r>
  <r>
    <d v="2019-10-30T00:00:00"/>
    <n v="12942"/>
    <s v="WHVIT"/>
    <s v="Vitoria"/>
    <s v="ES"/>
    <n v="4013"/>
    <x v="1"/>
    <s v="Blumenau"/>
    <s v="SC"/>
    <x v="0"/>
    <s v="SC"/>
    <n v="1791.61"/>
    <n v="3"/>
    <n v="4.827"/>
    <n v="6500948"/>
    <x v="0"/>
    <s v="Porto Alegre"/>
    <s v="Convencional"/>
    <n v="7"/>
    <d v="2019-10-31T00:00:00"/>
    <x v="635"/>
    <x v="0"/>
    <d v="2019-11-07T00:00:00"/>
    <x v="0"/>
    <x v="0"/>
    <n v="1"/>
    <n v="1"/>
  </r>
  <r>
    <d v="2019-10-30T00:00:00"/>
    <n v="12943"/>
    <s v="WHVIT"/>
    <s v="Vitoria"/>
    <s v="ES"/>
    <n v="4014"/>
    <x v="3"/>
    <s v="Ipatinga"/>
    <s v="MG"/>
    <x v="2"/>
    <s v="MG"/>
    <n v="43.68"/>
    <n v="1"/>
    <n v="0.24"/>
    <n v="6600879"/>
    <x v="2"/>
    <s v="Belo Horizonte"/>
    <s v="Convencional"/>
    <n v="6"/>
    <d v="2019-10-31T00:00:00"/>
    <x v="640"/>
    <x v="0"/>
    <d v="2019-11-06T00:00:00"/>
    <x v="1"/>
    <x v="0"/>
    <n v="0"/>
    <n v="1"/>
  </r>
  <r>
    <d v="2019-10-30T00:00:00"/>
    <n v="12944"/>
    <s v="WHRJ"/>
    <s v="Rio De Janeiro"/>
    <s v="RJ"/>
    <n v="4064"/>
    <x v="53"/>
    <s v="Presidente Prudente"/>
    <s v="SP"/>
    <x v="2"/>
    <s v="SP"/>
    <n v="210.89"/>
    <n v="1"/>
    <n v="0.13900000000000001"/>
    <n v="6400835"/>
    <x v="3"/>
    <s v="Guarulhos"/>
    <s v="Convencional"/>
    <n v="5"/>
    <d v="2019-10-31T00:00:00"/>
    <x v="637"/>
    <x v="0"/>
    <d v="2019-11-05T00:00:00"/>
    <x v="1"/>
    <x v="0"/>
    <n v="0"/>
    <n v="1"/>
  </r>
  <r>
    <d v="2019-10-30T00:00:00"/>
    <n v="12945"/>
    <s v="WHVIT"/>
    <s v="Vitoria"/>
    <s v="ES"/>
    <n v="4064"/>
    <x v="53"/>
    <s v="Presidente Prudente"/>
    <s v="SP"/>
    <x v="2"/>
    <s v="SP"/>
    <n v="638.72"/>
    <n v="2"/>
    <n v="1.1000000000000001"/>
    <n v="6400835"/>
    <x v="3"/>
    <s v="Guarulhos"/>
    <s v="Convencional"/>
    <n v="8"/>
    <d v="2019-10-31T00:00:00"/>
    <x v="629"/>
    <x v="0"/>
    <d v="2019-11-08T00:00:00"/>
    <x v="0"/>
    <x v="0"/>
    <n v="1"/>
    <n v="1"/>
  </r>
  <r>
    <d v="2019-10-30T00:00:00"/>
    <n v="12946"/>
    <s v="WHSJC"/>
    <s v="Sao Jose dos Campos"/>
    <s v="SP"/>
    <n v="4259"/>
    <x v="247"/>
    <s v="Recife"/>
    <s v="PE"/>
    <x v="3"/>
    <s v="PE"/>
    <n v="2159.86"/>
    <n v="1"/>
    <n v="5.2359999999999998"/>
    <n v="6900304"/>
    <x v="5"/>
    <s v="Fortaleza"/>
    <s v="Convencional"/>
    <n v="5"/>
    <d v="2019-10-31T00:00:00"/>
    <x v="629"/>
    <x v="0"/>
    <d v="2019-11-05T00:00:00"/>
    <x v="0"/>
    <x v="0"/>
    <n v="1"/>
    <n v="1"/>
  </r>
  <r>
    <d v="2019-10-30T00:00:00"/>
    <n v="12947"/>
    <s v="WHPOA"/>
    <s v="Porto Alegre"/>
    <s v="RS"/>
    <n v="4014"/>
    <x v="3"/>
    <s v="Ipatinga"/>
    <s v="MG"/>
    <x v="2"/>
    <s v="MG"/>
    <n v="199.3"/>
    <n v="1"/>
    <n v="1.32"/>
    <n v="6600879"/>
    <x v="2"/>
    <s v="Belo Horizonte"/>
    <s v="Convencional"/>
    <n v="8"/>
    <d v="2019-10-31T00:00:00"/>
    <x v="640"/>
    <x v="0"/>
    <d v="2019-11-08T00:00:00"/>
    <x v="1"/>
    <x v="0"/>
    <n v="0"/>
    <n v="1"/>
  </r>
  <r>
    <d v="2019-10-30T00:00:00"/>
    <n v="12948"/>
    <s v="WHVIT"/>
    <s v="Vitoria"/>
    <s v="ES"/>
    <n v="4056"/>
    <x v="44"/>
    <s v="Goiania"/>
    <s v="GO"/>
    <x v="1"/>
    <s v="GO"/>
    <n v="1066.8399999999999"/>
    <n v="2"/>
    <n v="12.048"/>
    <n v="6100231"/>
    <x v="1"/>
    <s v="Goiania"/>
    <s v="Convencional"/>
    <n v="3"/>
    <d v="2019-10-31T00:00:00"/>
    <x v="634"/>
    <x v="0"/>
    <d v="2019-11-03T00:00:00"/>
    <x v="1"/>
    <x v="0"/>
    <n v="0"/>
    <n v="1"/>
  </r>
  <r>
    <d v="2019-10-30T00:00:00"/>
    <n v="12949"/>
    <s v="WHCPQ"/>
    <s v="Campinas"/>
    <s v="SP"/>
    <n v="4049"/>
    <x v="43"/>
    <s v="Taguatinga"/>
    <s v="DF"/>
    <x v="1"/>
    <s v="DF"/>
    <n v="2189.06"/>
    <n v="1"/>
    <n v="9.548"/>
    <n v="6100231"/>
    <x v="1"/>
    <s v="Goiania"/>
    <s v="Convencional"/>
    <n v="1"/>
    <d v="2019-10-31T00:00:00"/>
    <x v="632"/>
    <x v="0"/>
    <d v="2019-11-01T00:00:00"/>
    <x v="1"/>
    <x v="0"/>
    <n v="0"/>
    <n v="1"/>
  </r>
  <r>
    <d v="2019-10-30T00:00:00"/>
    <n v="12950"/>
    <s v="WHPOA"/>
    <s v="Porto Alegre"/>
    <s v="RS"/>
    <n v="4049"/>
    <x v="43"/>
    <s v="Taguatinga"/>
    <s v="DF"/>
    <x v="1"/>
    <s v="DF"/>
    <n v="30013.8"/>
    <n v="15"/>
    <n v="207.11199999999999"/>
    <n v="6100231"/>
    <x v="1"/>
    <s v="Goiania"/>
    <s v="Convencional"/>
    <n v="2"/>
    <d v="2019-10-31T00:00:00"/>
    <x v="632"/>
    <x v="0"/>
    <d v="2019-11-02T00:00:00"/>
    <x v="1"/>
    <x v="0"/>
    <n v="0"/>
    <n v="1"/>
  </r>
  <r>
    <d v="2019-10-31T00:00:00"/>
    <n v="12951"/>
    <s v="WHRJ"/>
    <s v="Rio De Janeiro"/>
    <s v="RJ"/>
    <n v="4259"/>
    <x v="247"/>
    <s v="Recife"/>
    <s v="PE"/>
    <x v="3"/>
    <s v="PE"/>
    <n v="382.72"/>
    <n v="1"/>
    <n v="1.1200000000000001"/>
    <n v="6900304"/>
    <x v="5"/>
    <s v="Fortaleza"/>
    <s v="Convencional"/>
    <n v="10"/>
    <d v="2019-10-31T00:00:00"/>
    <x v="639"/>
    <x v="0"/>
    <d v="2019-11-10T00:00:00"/>
    <x v="0"/>
    <x v="0"/>
    <n v="1"/>
    <n v="1"/>
  </r>
  <r>
    <d v="2019-10-31T00:00:00"/>
    <n v="12952"/>
    <s v="WHPOA"/>
    <s v="Porto Alegre"/>
    <s v="RS"/>
    <n v="4014"/>
    <x v="3"/>
    <s v="Ipatinga"/>
    <s v="MG"/>
    <x v="2"/>
    <s v="MG"/>
    <n v="17034.939999999999"/>
    <n v="1"/>
    <n v="1.1200000000000001"/>
    <n v="6600879"/>
    <x v="2"/>
    <s v="Belo Horizonte"/>
    <s v="Convencional"/>
    <n v="1"/>
    <d v="2019-10-31T00:00:00"/>
    <x v="635"/>
    <x v="0"/>
    <d v="2019-11-01T00:00:00"/>
    <x v="1"/>
    <x v="0"/>
    <n v="0"/>
    <n v="1"/>
  </r>
  <r>
    <d v="2019-10-31T00:00:00"/>
    <n v="12953"/>
    <s v="WHSJC"/>
    <s v="Sao Jose dos Campos"/>
    <s v="SP"/>
    <n v="4058"/>
    <x v="2"/>
    <s v="Brasilia"/>
    <s v="DF"/>
    <x v="1"/>
    <s v="DF"/>
    <n v="403.04"/>
    <n v="1"/>
    <n v="1.0109999999999999"/>
    <n v="6100231"/>
    <x v="1"/>
    <s v="Goiania"/>
    <s v="Convencional"/>
    <n v="2"/>
    <d v="2019-10-31T00:00:00"/>
    <x v="635"/>
    <x v="0"/>
    <d v="2019-11-02T00:00:00"/>
    <x v="1"/>
    <x v="0"/>
    <n v="0"/>
    <n v="1"/>
  </r>
  <r>
    <d v="2019-10-31T00:00:00"/>
    <n v="12954"/>
    <s v="WHSJC"/>
    <s v="Sao Jose dos Campos"/>
    <s v="SP"/>
    <n v="4056"/>
    <x v="44"/>
    <s v="Goiania"/>
    <s v="GO"/>
    <x v="1"/>
    <s v="GO"/>
    <n v="2791.65"/>
    <n v="3"/>
    <n v="3.4940000000000002"/>
    <n v="6100231"/>
    <x v="1"/>
    <s v="Goiania"/>
    <s v="Convencional"/>
    <n v="4"/>
    <d v="2019-10-31T00:00:00"/>
    <x v="636"/>
    <x v="0"/>
    <d v="2019-11-04T00:00:00"/>
    <x v="1"/>
    <x v="0"/>
    <n v="0"/>
    <n v="1"/>
  </r>
  <r>
    <d v="2019-10-31T00:00:00"/>
    <n v="12955"/>
    <s v="WHCPQ"/>
    <s v="Campinas"/>
    <s v="SP"/>
    <n v="4064"/>
    <x v="53"/>
    <s v="Presidente Prudente"/>
    <s v="SP"/>
    <x v="2"/>
    <s v="SP"/>
    <n v="14998.11"/>
    <n v="4"/>
    <n v="47.982999999999997"/>
    <n v="6400835"/>
    <x v="3"/>
    <s v="Guarulhos"/>
    <s v="Convencional"/>
    <n v="7"/>
    <d v="2019-10-31T00:00:00"/>
    <x v="639"/>
    <x v="0"/>
    <d v="2019-11-07T00:00:00"/>
    <x v="1"/>
    <x v="0"/>
    <n v="0"/>
    <n v="1"/>
  </r>
  <r>
    <d v="2019-10-31T00:00:00"/>
    <n v="12956"/>
    <s v="WHBH"/>
    <s v="Belo Horizonte"/>
    <s v="MG"/>
    <n v="4049"/>
    <x v="43"/>
    <s v="Taguatinga"/>
    <s v="DF"/>
    <x v="1"/>
    <s v="DF"/>
    <n v="1454.01"/>
    <n v="2"/>
    <n v="14.304"/>
    <n v="6100231"/>
    <x v="1"/>
    <s v="Goiania"/>
    <s v="Convencional"/>
    <n v="6"/>
    <d v="2019-10-31T00:00:00"/>
    <x v="640"/>
    <x v="0"/>
    <d v="2019-11-06T00:00:00"/>
    <x v="1"/>
    <x v="0"/>
    <n v="0"/>
    <n v="1"/>
  </r>
  <r>
    <d v="2019-10-31T00:00:00"/>
    <n v="12957"/>
    <s v="WHRJ"/>
    <s v="Rio De Janeiro"/>
    <s v="RJ"/>
    <n v="4049"/>
    <x v="43"/>
    <s v="Taguatinga"/>
    <s v="DF"/>
    <x v="1"/>
    <s v="DF"/>
    <n v="1336.49"/>
    <n v="2"/>
    <n v="1.73"/>
    <n v="6100231"/>
    <x v="1"/>
    <s v="Goiania"/>
    <s v="Convencional"/>
    <n v="10"/>
    <d v="2019-10-31T00:00:00"/>
    <x v="639"/>
    <x v="0"/>
    <d v="2019-11-10T00:00:00"/>
    <x v="0"/>
    <x v="0"/>
    <n v="1"/>
    <n v="1"/>
  </r>
  <r>
    <d v="2019-10-31T00:00:00"/>
    <n v="12958"/>
    <s v="WHSAO"/>
    <s v="Sao Paulo"/>
    <s v="SP"/>
    <n v="4259"/>
    <x v="247"/>
    <s v="Recife"/>
    <s v="PE"/>
    <x v="3"/>
    <s v="PE"/>
    <n v="533.84"/>
    <n v="3"/>
    <n v="1.8979999999999999"/>
    <n v="6900304"/>
    <x v="5"/>
    <s v="Fortaleza"/>
    <s v="Convencional"/>
    <n v="11"/>
    <d v="2019-10-31T00:00:00"/>
    <x v="637"/>
    <x v="0"/>
    <d v="2019-11-11T00:00:00"/>
    <x v="0"/>
    <x v="0"/>
    <n v="1"/>
    <n v="1"/>
  </r>
  <r>
    <d v="2019-10-31T00:00:00"/>
    <n v="12959"/>
    <s v="WHPOA"/>
    <s v="Porto Alegre"/>
    <s v="RS"/>
    <n v="4064"/>
    <x v="53"/>
    <s v="Presidente Prudente"/>
    <s v="SP"/>
    <x v="2"/>
    <s v="SP"/>
    <n v="364.92"/>
    <n v="5"/>
    <n v="27.652999999999999"/>
    <n v="6400835"/>
    <x v="3"/>
    <s v="Guarulhos"/>
    <s v="Convencional"/>
    <n v="4"/>
    <d v="2019-10-31T00:00:00"/>
    <x v="635"/>
    <x v="0"/>
    <d v="2019-11-04T00:00:00"/>
    <x v="1"/>
    <x v="0"/>
    <n v="0"/>
    <n v="1"/>
  </r>
  <r>
    <d v="2019-10-31T00:00:00"/>
    <n v="12960"/>
    <s v="WHCPQ"/>
    <s v="Campinas"/>
    <s v="SP"/>
    <n v="4056"/>
    <x v="44"/>
    <s v="Goiania"/>
    <s v="GO"/>
    <x v="1"/>
    <s v="GO"/>
    <n v="2579.46"/>
    <n v="1"/>
    <n v="1.1200000000000001"/>
    <n v="6100231"/>
    <x v="1"/>
    <s v="Goiania"/>
    <s v="Convencional"/>
    <n v="5"/>
    <d v="2019-10-31T00:00:00"/>
    <x v="635"/>
    <x v="0"/>
    <d v="2019-11-05T00:00:00"/>
    <x v="1"/>
    <x v="0"/>
    <n v="0"/>
    <n v="1"/>
  </r>
  <r>
    <d v="2019-10-31T00:00:00"/>
    <n v="12961"/>
    <s v="WHBH"/>
    <s v="Belo Horizonte"/>
    <s v="MG"/>
    <n v="4049"/>
    <x v="43"/>
    <s v="Taguatinga"/>
    <s v="DF"/>
    <x v="1"/>
    <s v="DF"/>
    <n v="230.63"/>
    <n v="1"/>
    <n v="1.1200000000000001"/>
    <n v="6100231"/>
    <x v="1"/>
    <s v="Goiania"/>
    <s v="Convencional"/>
    <n v="9"/>
    <d v="2019-10-31T00:00:00"/>
    <x v="637"/>
    <x v="1"/>
    <d v="2019-11-09T00:00:00"/>
    <x v="0"/>
    <x v="1"/>
    <n v="0"/>
    <n v="1"/>
  </r>
  <r>
    <d v="2019-10-31T00:00:00"/>
    <n v="12962"/>
    <s v="WHVIT"/>
    <s v="Vitoria"/>
    <s v="ES"/>
    <n v="4049"/>
    <x v="43"/>
    <s v="Taguatinga"/>
    <s v="DF"/>
    <x v="1"/>
    <s v="DF"/>
    <n v="728.97"/>
    <n v="1"/>
    <n v="0.63600000000000001"/>
    <n v="6100231"/>
    <x v="1"/>
    <s v="Goiania"/>
    <s v="Convencional"/>
    <n v="5"/>
    <d v="2019-10-31T00:00:00"/>
    <x v="637"/>
    <x v="2"/>
    <d v="2019-11-05T00:00:00"/>
    <x v="1"/>
    <x v="1"/>
    <n v="0"/>
    <n v="1"/>
  </r>
  <r>
    <d v="2019-10-31T00:00:00"/>
    <n v="12963"/>
    <s v="WHPOA"/>
    <s v="Porto Alegre"/>
    <s v="RS"/>
    <n v="4049"/>
    <x v="43"/>
    <s v="Taguatinga"/>
    <s v="DF"/>
    <x v="1"/>
    <s v="DF"/>
    <n v="4890.82"/>
    <n v="6"/>
    <n v="30.059000000000001"/>
    <n v="6100231"/>
    <x v="1"/>
    <s v="Goiania"/>
    <s v="Convencional"/>
    <n v="1"/>
    <d v="2019-10-31T00:00:00"/>
    <x v="636"/>
    <x v="0"/>
    <d v="2019-11-01T00:00:00"/>
    <x v="1"/>
    <x v="0"/>
    <n v="0"/>
    <n v="1"/>
  </r>
  <r>
    <d v="2019-10-31T00:00:00"/>
    <n v="12964"/>
    <s v="WHCPQ"/>
    <s v="Campinas"/>
    <s v="SP"/>
    <n v="4049"/>
    <x v="43"/>
    <s v="Taguatinga"/>
    <s v="DF"/>
    <x v="1"/>
    <s v="DF"/>
    <n v="1124.48"/>
    <n v="2"/>
    <n v="19.481000000000002"/>
    <n v="6100231"/>
    <x v="1"/>
    <s v="Goiania"/>
    <s v="Convencional"/>
    <n v="4"/>
    <d v="2019-10-31T00:00:00"/>
    <x v="629"/>
    <x v="0"/>
    <d v="2019-11-04T00:00:00"/>
    <x v="0"/>
    <x v="0"/>
    <n v="1"/>
    <n v="1"/>
  </r>
  <r>
    <d v="2019-10-31T00:00:00"/>
    <n v="12965"/>
    <s v="WHPOA"/>
    <s v="Porto Alegre"/>
    <s v="RS"/>
    <n v="4049"/>
    <x v="43"/>
    <s v="Taguatinga"/>
    <s v="DF"/>
    <x v="1"/>
    <s v="DF"/>
    <n v="4500.7"/>
    <n v="7"/>
    <n v="126.5"/>
    <n v="6100231"/>
    <x v="1"/>
    <s v="Goiania"/>
    <s v="Convencional"/>
    <n v="4"/>
    <d v="2019-10-31T00:00:00"/>
    <x v="636"/>
    <x v="2"/>
    <d v="2019-11-04T00:00:00"/>
    <x v="1"/>
    <x v="1"/>
    <n v="0"/>
    <n v="1"/>
  </r>
  <r>
    <d v="2019-10-31T00:00:00"/>
    <n v="12966"/>
    <s v="WHPOA"/>
    <s v="Porto Alegre"/>
    <s v="RS"/>
    <n v="4049"/>
    <x v="43"/>
    <s v="Taguatinga"/>
    <s v="DF"/>
    <x v="1"/>
    <s v="DF"/>
    <n v="4348.12"/>
    <n v="10"/>
    <n v="92.344999999999999"/>
    <n v="6100231"/>
    <x v="1"/>
    <s v="Goiania"/>
    <s v="Convencional"/>
    <n v="6"/>
    <d v="2019-10-31T00:00:00"/>
    <x v="640"/>
    <x v="0"/>
    <d v="2019-11-06T00:00:00"/>
    <x v="1"/>
    <x v="0"/>
    <n v="0"/>
    <n v="1"/>
  </r>
  <r>
    <d v="2019-11-05T00:00:00"/>
    <n v="12967"/>
    <s v="WHVIT"/>
    <s v="Vitoria"/>
    <s v="ES"/>
    <n v="4032"/>
    <x v="34"/>
    <s v="Goiania"/>
    <s v="GO"/>
    <x v="1"/>
    <s v="GO"/>
    <n v="1336.5"/>
    <n v="3"/>
    <n v="50.6"/>
    <n v="6100231"/>
    <x v="1"/>
    <s v="Goiania"/>
    <s v="Convencional"/>
    <n v="2"/>
    <d v="2019-11-05T00:00:00"/>
    <x v="641"/>
    <x v="0"/>
    <d v="2019-11-07T00:00:00"/>
    <x v="1"/>
    <x v="0"/>
    <n v="0"/>
    <n v="1"/>
  </r>
  <r>
    <d v="2019-11-06T00:00:00"/>
    <n v="12968"/>
    <s v="WHCPQ"/>
    <s v="Campinas"/>
    <s v="SP"/>
    <n v="4146"/>
    <x v="134"/>
    <s v="Belo Horizonte"/>
    <s v="MG"/>
    <x v="2"/>
    <s v="MG"/>
    <n v="2053.48"/>
    <n v="5"/>
    <n v="82.5"/>
    <n v="6600879"/>
    <x v="2"/>
    <s v="Belo Horizonte"/>
    <s v="Convencional"/>
    <n v="3"/>
    <d v="2019-11-06T00:00:00"/>
    <x v="639"/>
    <x v="0"/>
    <d v="2019-11-09T00:00:00"/>
    <x v="0"/>
    <x v="0"/>
    <n v="1"/>
    <n v="1"/>
  </r>
  <r>
    <d v="2019-11-06T00:00:00"/>
    <n v="12969"/>
    <s v="WHSAO"/>
    <s v="Sao Paulo"/>
    <s v="SP"/>
    <n v="4191"/>
    <x v="179"/>
    <s v="Manaus"/>
    <s v="AM"/>
    <x v="4"/>
    <s v="AM"/>
    <n v="1298.53"/>
    <n v="1"/>
    <n v="16.72"/>
    <n v="6700091"/>
    <x v="6"/>
    <s v="Manaus"/>
    <s v="Convencional"/>
    <n v="8"/>
    <d v="2019-11-06T00:00:00"/>
    <x v="642"/>
    <x v="0"/>
    <d v="2019-11-14T00:00:00"/>
    <x v="1"/>
    <x v="0"/>
    <n v="0"/>
    <n v="1"/>
  </r>
  <r>
    <d v="2019-11-06T00:00:00"/>
    <n v="12970"/>
    <s v="WHCPQ"/>
    <s v="Campinas"/>
    <s v="SP"/>
    <n v="4068"/>
    <x v="4"/>
    <s v="Campo Grande"/>
    <s v="MS"/>
    <x v="1"/>
    <s v="MS"/>
    <n v="642.91999999999996"/>
    <n v="4"/>
    <n v="12.711"/>
    <n v="6100231"/>
    <x v="1"/>
    <s v="Goiania"/>
    <s v="Convencional"/>
    <n v="4"/>
    <d v="2019-11-06T00:00:00"/>
    <x v="636"/>
    <x v="0"/>
    <d v="2019-11-10T00:00:00"/>
    <x v="0"/>
    <x v="0"/>
    <n v="1"/>
    <n v="1"/>
  </r>
  <r>
    <d v="2019-11-06T00:00:00"/>
    <n v="12971"/>
    <s v="WHBH"/>
    <s v="Belo Horizonte"/>
    <s v="MG"/>
    <n v="4060"/>
    <x v="56"/>
    <s v="Sinop"/>
    <s v="MT"/>
    <x v="1"/>
    <s v="MT"/>
    <n v="170.56"/>
    <n v="1"/>
    <n v="0.17799999999999999"/>
    <n v="6100231"/>
    <x v="1"/>
    <s v="Goiania"/>
    <s v="Convencional"/>
    <n v="7"/>
    <d v="2019-11-06T00:00:00"/>
    <x v="640"/>
    <x v="0"/>
    <d v="2019-11-13T00:00:00"/>
    <x v="0"/>
    <x v="0"/>
    <n v="1"/>
    <n v="1"/>
  </r>
  <r>
    <d v="2019-11-07T00:00:00"/>
    <n v="12972"/>
    <s v="WHSJC"/>
    <s v="Sao Jose dos Campos"/>
    <s v="SP"/>
    <n v="4171"/>
    <x v="159"/>
    <s v="Manaus"/>
    <s v="AM"/>
    <x v="4"/>
    <s v="AM"/>
    <n v="2584.87"/>
    <n v="1"/>
    <n v="16.5"/>
    <n v="6700091"/>
    <x v="6"/>
    <s v="Manaus"/>
    <s v="Convencional"/>
    <n v="6"/>
    <d v="2019-11-07T00:00:00"/>
    <x v="640"/>
    <x v="0"/>
    <d v="2019-11-13T00:00:00"/>
    <x v="0"/>
    <x v="0"/>
    <n v="1"/>
    <n v="1"/>
  </r>
  <r>
    <d v="2019-11-07T00:00:00"/>
    <n v="12973"/>
    <s v="WHBH"/>
    <s v="Belo Horizonte"/>
    <s v="MG"/>
    <n v="4156"/>
    <x v="144"/>
    <s v="Rio Grande do Sul"/>
    <s v="RS"/>
    <x v="0"/>
    <s v="RS"/>
    <n v="2153.73"/>
    <n v="1"/>
    <n v="22"/>
    <n v="6500948"/>
    <x v="0"/>
    <s v="Porto Alegre"/>
    <s v="Convencional"/>
    <n v="11"/>
    <d v="2019-11-07T00:00:00"/>
    <x v="643"/>
    <x v="0"/>
    <d v="2019-11-18T00:00:00"/>
    <x v="0"/>
    <x v="0"/>
    <n v="1"/>
    <n v="1"/>
  </r>
  <r>
    <d v="2019-11-07T00:00:00"/>
    <n v="12974"/>
    <s v="WHBH"/>
    <s v="Belo Horizonte"/>
    <s v="MG"/>
    <n v="4068"/>
    <x v="4"/>
    <s v="Campo Grande"/>
    <s v="MS"/>
    <x v="1"/>
    <s v="MS"/>
    <n v="440.45"/>
    <n v="1"/>
    <n v="1.177"/>
    <n v="6100231"/>
    <x v="1"/>
    <s v="Goiania"/>
    <s v="Convencional"/>
    <n v="11"/>
    <d v="2019-11-07T00:00:00"/>
    <x v="643"/>
    <x v="0"/>
    <d v="2019-11-18T00:00:00"/>
    <x v="0"/>
    <x v="0"/>
    <n v="1"/>
    <n v="1"/>
  </r>
  <r>
    <d v="2019-11-07T00:00:00"/>
    <n v="12975"/>
    <s v="WHBH"/>
    <s v="Belo Horizonte"/>
    <s v="MG"/>
    <n v="4056"/>
    <x v="44"/>
    <s v="Goiania"/>
    <s v="GO"/>
    <x v="1"/>
    <s v="GO"/>
    <n v="50.16"/>
    <n v="1"/>
    <n v="0.22700000000000001"/>
    <n v="6100231"/>
    <x v="1"/>
    <s v="Goiania"/>
    <s v="Convencional"/>
    <n v="11"/>
    <d v="2019-11-07T00:00:00"/>
    <x v="637"/>
    <x v="0"/>
    <d v="2019-11-18T00:00:00"/>
    <x v="0"/>
    <x v="0"/>
    <n v="1"/>
    <n v="1"/>
  </r>
  <r>
    <d v="2019-11-07T00:00:00"/>
    <n v="12976"/>
    <s v="WHBH"/>
    <s v="Belo Horizonte"/>
    <s v="MG"/>
    <n v="4056"/>
    <x v="44"/>
    <s v="Goiania"/>
    <s v="GO"/>
    <x v="1"/>
    <s v="GO"/>
    <n v="1271.17"/>
    <n v="1"/>
    <n v="1.1879999999999999"/>
    <n v="6100231"/>
    <x v="1"/>
    <s v="Goiania"/>
    <s v="Convencional"/>
    <n v="4"/>
    <d v="2019-11-07T00:00:00"/>
    <x v="637"/>
    <x v="0"/>
    <d v="2019-11-11T00:00:00"/>
    <x v="0"/>
    <x v="0"/>
    <n v="1"/>
    <n v="1"/>
  </r>
  <r>
    <d v="2019-11-07T00:00:00"/>
    <n v="12977"/>
    <s v="WHCPQ"/>
    <s v="Campinas"/>
    <s v="SP"/>
    <n v="4056"/>
    <x v="44"/>
    <s v="Goiania"/>
    <s v="GO"/>
    <x v="1"/>
    <s v="GO"/>
    <n v="49.3"/>
    <n v="1"/>
    <n v="0.22700000000000001"/>
    <n v="6100231"/>
    <x v="1"/>
    <s v="Goiania"/>
    <s v="Convencional"/>
    <n v="11"/>
    <d v="2019-11-07T00:00:00"/>
    <x v="641"/>
    <x v="0"/>
    <d v="2019-11-18T00:00:00"/>
    <x v="0"/>
    <x v="0"/>
    <n v="1"/>
    <n v="1"/>
  </r>
  <r>
    <d v="2019-11-08T00:00:00"/>
    <n v="12978"/>
    <s v="WHCPQ"/>
    <s v="Campinas"/>
    <s v="SP"/>
    <n v="4233"/>
    <x v="221"/>
    <s v="Belo Horizonte"/>
    <s v="MG"/>
    <x v="2"/>
    <s v="MG"/>
    <n v="1071.29"/>
    <n v="1"/>
    <n v="17.16"/>
    <n v="6600879"/>
    <x v="2"/>
    <s v="Belo Horizonte"/>
    <s v="Convencional"/>
    <n v="7"/>
    <d v="2019-11-08T00:00:00"/>
    <x v="642"/>
    <x v="0"/>
    <d v="2019-11-15T00:00:00"/>
    <x v="0"/>
    <x v="0"/>
    <n v="1"/>
    <n v="1"/>
  </r>
  <r>
    <d v="2019-11-08T00:00:00"/>
    <n v="12979"/>
    <s v="WHBH"/>
    <s v="Belo Horizonte"/>
    <s v="MG"/>
    <n v="4233"/>
    <x v="221"/>
    <s v="Belo Horizonte"/>
    <s v="MG"/>
    <x v="2"/>
    <s v="MG"/>
    <n v="1589.19"/>
    <n v="3"/>
    <n v="16.998000000000001"/>
    <n v="6600879"/>
    <x v="2"/>
    <s v="Belo Horizonte"/>
    <s v="Convencional"/>
    <n v="10"/>
    <d v="2019-11-08T00:00:00"/>
    <x v="644"/>
    <x v="0"/>
    <d v="2019-11-18T00:00:00"/>
    <x v="0"/>
    <x v="0"/>
    <n v="1"/>
    <n v="1"/>
  </r>
  <r>
    <d v="2019-11-08T00:00:00"/>
    <n v="12980"/>
    <s v="WHSAO"/>
    <s v="Sao Paulo"/>
    <s v="SP"/>
    <n v="4019"/>
    <x v="13"/>
    <s v="Florianopolis"/>
    <s v="SC"/>
    <x v="0"/>
    <s v="SC"/>
    <n v="227.29"/>
    <n v="1"/>
    <n v="1.1200000000000001"/>
    <n v="6500948"/>
    <x v="0"/>
    <s v="Porto Alegre"/>
    <s v="Convencional"/>
    <n v="10"/>
    <d v="2019-11-08T00:00:00"/>
    <x v="641"/>
    <x v="0"/>
    <d v="2019-11-18T00:00:00"/>
    <x v="0"/>
    <x v="0"/>
    <n v="1"/>
    <n v="1"/>
  </r>
  <r>
    <d v="2019-11-08T00:00:00"/>
    <n v="12981"/>
    <s v="WHBH"/>
    <s v="Belo Horizonte"/>
    <s v="MG"/>
    <n v="4019"/>
    <x v="13"/>
    <s v="Florianopolis"/>
    <s v="SC"/>
    <x v="0"/>
    <s v="SC"/>
    <n v="565.80999999999995"/>
    <n v="1"/>
    <n v="1.65"/>
    <n v="6500948"/>
    <x v="0"/>
    <s v="Porto Alegre"/>
    <s v="Convencional"/>
    <n v="10"/>
    <d v="2019-11-08T00:00:00"/>
    <x v="645"/>
    <x v="0"/>
    <d v="2019-11-18T00:00:00"/>
    <x v="0"/>
    <x v="0"/>
    <n v="1"/>
    <n v="1"/>
  </r>
  <r>
    <d v="2019-11-08T00:00:00"/>
    <n v="12982"/>
    <s v="WHSJC"/>
    <s v="Sao Jose dos Campos"/>
    <s v="SP"/>
    <n v="4022"/>
    <x v="19"/>
    <s v="Maringa"/>
    <s v="PR"/>
    <x v="0"/>
    <s v="PR"/>
    <n v="545.95000000000005"/>
    <n v="2"/>
    <n v="10.45"/>
    <n v="6500948"/>
    <x v="0"/>
    <s v="Porto Alegre"/>
    <s v="Convencional"/>
    <n v="4"/>
    <d v="2019-11-08T00:00:00"/>
    <x v="645"/>
    <x v="1"/>
    <d v="2019-11-12T00:00:00"/>
    <x v="1"/>
    <x v="1"/>
    <n v="0"/>
    <n v="1"/>
  </r>
  <r>
    <d v="2019-11-08T00:00:00"/>
    <n v="12983"/>
    <s v="WHBH"/>
    <s v="Belo Horizonte"/>
    <s v="MG"/>
    <n v="4019"/>
    <x v="13"/>
    <s v="Florianopolis"/>
    <s v="SC"/>
    <x v="0"/>
    <s v="SC"/>
    <n v="1078.6099999999999"/>
    <n v="1"/>
    <n v="1.1200000000000001"/>
    <n v="6500948"/>
    <x v="0"/>
    <s v="Porto Alegre"/>
    <s v="Convencional"/>
    <n v="7"/>
    <d v="2019-11-08T00:00:00"/>
    <x v="639"/>
    <x v="1"/>
    <d v="2019-11-15T00:00:00"/>
    <x v="0"/>
    <x v="1"/>
    <n v="0"/>
    <n v="1"/>
  </r>
  <r>
    <d v="2019-11-08T00:00:00"/>
    <n v="12984"/>
    <s v="WHBH"/>
    <s v="Belo Horizonte"/>
    <s v="MG"/>
    <n v="4019"/>
    <x v="13"/>
    <s v="Florianopolis"/>
    <s v="SC"/>
    <x v="0"/>
    <s v="SC"/>
    <n v="1142.82"/>
    <n v="1"/>
    <n v="11.837999999999999"/>
    <n v="6500948"/>
    <x v="0"/>
    <s v="Porto Alegre"/>
    <s v="Convencional"/>
    <n v="5"/>
    <d v="2019-11-08T00:00:00"/>
    <x v="646"/>
    <x v="0"/>
    <d v="2019-11-13T00:00:00"/>
    <x v="0"/>
    <x v="0"/>
    <n v="1"/>
    <n v="1"/>
  </r>
  <r>
    <d v="2019-11-09T00:00:00"/>
    <n v="12985"/>
    <s v="WHBH"/>
    <s v="Belo Horizonte"/>
    <s v="MG"/>
    <n v="4132"/>
    <x v="120"/>
    <s v="Santos"/>
    <s v="SP"/>
    <x v="2"/>
    <s v="SP"/>
    <n v="310.33999999999997"/>
    <n v="2"/>
    <n v="10.461"/>
    <n v="6400835"/>
    <x v="3"/>
    <s v="Guarulhos"/>
    <s v="Convencional"/>
    <n v="6"/>
    <d v="2019-11-09T00:00:00"/>
    <x v="647"/>
    <x v="1"/>
    <d v="2019-11-15T00:00:00"/>
    <x v="1"/>
    <x v="1"/>
    <n v="0"/>
    <n v="1"/>
  </r>
  <r>
    <d v="2019-11-09T00:00:00"/>
    <n v="12986"/>
    <s v="WHCPQ"/>
    <s v="Campinas"/>
    <s v="SP"/>
    <n v="4133"/>
    <x v="121"/>
    <s v="Belo Horizonte"/>
    <s v="MG"/>
    <x v="2"/>
    <s v="MG"/>
    <n v="3214.98"/>
    <n v="1"/>
    <n v="1.1200000000000001"/>
    <n v="6600879"/>
    <x v="2"/>
    <s v="Belo Horizonte"/>
    <s v="Convencional"/>
    <n v="4"/>
    <d v="2019-11-09T00:00:00"/>
    <x v="640"/>
    <x v="0"/>
    <d v="2019-11-13T00:00:00"/>
    <x v="0"/>
    <x v="0"/>
    <n v="1"/>
    <n v="1"/>
  </r>
  <r>
    <d v="2019-11-09T00:00:00"/>
    <n v="12987"/>
    <s v="WHCPQ"/>
    <s v="Campinas"/>
    <s v="SP"/>
    <n v="4164"/>
    <x v="152"/>
    <s v="Rio Grande do Sul"/>
    <s v="RS"/>
    <x v="0"/>
    <s v="RS"/>
    <n v="1326.52"/>
    <n v="3"/>
    <n v="12.605"/>
    <n v="6500948"/>
    <x v="0"/>
    <s v="Porto Alegre"/>
    <s v="Convencional"/>
    <n v="4"/>
    <d v="2019-11-09T00:00:00"/>
    <x v="641"/>
    <x v="0"/>
    <d v="2019-11-13T00:00:00"/>
    <x v="0"/>
    <x v="0"/>
    <n v="1"/>
    <n v="1"/>
  </r>
  <r>
    <d v="2019-11-09T00:00:00"/>
    <n v="12988"/>
    <s v="WHPOA"/>
    <s v="Porto Alegre"/>
    <s v="RS"/>
    <n v="4096"/>
    <x v="84"/>
    <s v="Rio De Janeiro"/>
    <s v="RJ"/>
    <x v="2"/>
    <s v="RJ"/>
    <n v="456.01"/>
    <n v="4"/>
    <n v="3.6819999999999999"/>
    <n v="6140092"/>
    <x v="4"/>
    <s v="Rio de Janeiro"/>
    <s v="Convencional"/>
    <n v="10"/>
    <d v="2019-11-09T00:00:00"/>
    <x v="642"/>
    <x v="1"/>
    <d v="2019-11-19T00:00:00"/>
    <x v="0"/>
    <x v="1"/>
    <n v="0"/>
    <n v="1"/>
  </r>
  <r>
    <d v="2019-11-09T00:00:00"/>
    <n v="12989"/>
    <s v="WHBH"/>
    <s v="Belo Horizonte"/>
    <s v="MG"/>
    <n v="4218"/>
    <x v="206"/>
    <s v="Santos"/>
    <s v="SP"/>
    <x v="2"/>
    <s v="SP"/>
    <n v="336.19"/>
    <n v="1"/>
    <n v="1.1200000000000001"/>
    <n v="6400835"/>
    <x v="3"/>
    <s v="Guarulhos"/>
    <s v="Convencional"/>
    <n v="6"/>
    <d v="2019-11-09T00:00:00"/>
    <x v="648"/>
    <x v="0"/>
    <d v="2019-11-15T00:00:00"/>
    <x v="1"/>
    <x v="0"/>
    <n v="0"/>
    <n v="1"/>
  </r>
  <r>
    <d v="2019-11-09T00:00:00"/>
    <n v="12990"/>
    <s v="WHCPQ"/>
    <s v="Campinas"/>
    <s v="SP"/>
    <n v="4260"/>
    <x v="248"/>
    <s v="Rio De Janeiro"/>
    <s v="RJ"/>
    <x v="2"/>
    <s v="RJ"/>
    <n v="1458.32"/>
    <n v="1"/>
    <n v="14.3"/>
    <n v="6140092"/>
    <x v="4"/>
    <s v="Rio de Janeiro"/>
    <s v="Convencional"/>
    <n v="7"/>
    <d v="2019-11-09T00:00:00"/>
    <x v="648"/>
    <x v="1"/>
    <d v="2019-11-16T00:00:00"/>
    <x v="1"/>
    <x v="1"/>
    <n v="0"/>
    <n v="1"/>
  </r>
  <r>
    <d v="2019-11-09T00:00:00"/>
    <n v="12991"/>
    <s v="WHCPQ"/>
    <s v="Campinas"/>
    <s v="SP"/>
    <n v="4128"/>
    <x v="116"/>
    <s v="Recife"/>
    <s v="PE"/>
    <x v="3"/>
    <s v="PE"/>
    <n v="3152.21"/>
    <n v="1"/>
    <n v="0.88"/>
    <n v="6900304"/>
    <x v="5"/>
    <s v="Fortaleza"/>
    <s v="Convencional"/>
    <n v="4"/>
    <d v="2019-11-09T00:00:00"/>
    <x v="645"/>
    <x v="0"/>
    <d v="2019-11-13T00:00:00"/>
    <x v="1"/>
    <x v="0"/>
    <n v="0"/>
    <n v="1"/>
  </r>
  <r>
    <d v="2019-11-09T00:00:00"/>
    <n v="12992"/>
    <s v="WHBH"/>
    <s v="Belo Horizonte"/>
    <s v="MG"/>
    <n v="4233"/>
    <x v="221"/>
    <s v="Belo Horizonte"/>
    <s v="MG"/>
    <x v="2"/>
    <s v="MG"/>
    <n v="1579.81"/>
    <n v="2"/>
    <n v="2.0550000000000002"/>
    <n v="6600879"/>
    <x v="2"/>
    <s v="Belo Horizonte"/>
    <s v="Convencional"/>
    <n v="8"/>
    <d v="2019-11-09T00:00:00"/>
    <x v="641"/>
    <x v="0"/>
    <d v="2019-11-17T00:00:00"/>
    <x v="0"/>
    <x v="0"/>
    <n v="1"/>
    <n v="1"/>
  </r>
  <r>
    <d v="2019-11-09T00:00:00"/>
    <n v="12993"/>
    <s v="WHSJC"/>
    <s v="Sao Jose dos Campos"/>
    <s v="SP"/>
    <n v="4032"/>
    <x v="34"/>
    <s v="Goiania"/>
    <s v="GO"/>
    <x v="1"/>
    <s v="GO"/>
    <n v="2148.6"/>
    <n v="4"/>
    <n v="5.8760000000000003"/>
    <n v="6100231"/>
    <x v="1"/>
    <s v="Goiania"/>
    <s v="Convencional"/>
    <n v="4"/>
    <d v="2019-11-09T00:00:00"/>
    <x v="642"/>
    <x v="0"/>
    <d v="2019-11-13T00:00:00"/>
    <x v="1"/>
    <x v="0"/>
    <n v="0"/>
    <n v="1"/>
  </r>
  <r>
    <d v="2019-11-12T00:00:00"/>
    <n v="12994"/>
    <s v="WHCPQ"/>
    <s v="Campinas"/>
    <s v="SP"/>
    <n v="4165"/>
    <x v="153"/>
    <s v="Recife"/>
    <s v="PE"/>
    <x v="3"/>
    <s v="PE"/>
    <n v="197.27"/>
    <n v="2"/>
    <n v="5.3920000000000003"/>
    <n v="6900304"/>
    <x v="5"/>
    <s v="Fortaleza"/>
    <s v="Convencional"/>
    <n v="4"/>
    <d v="2019-11-12T00:00:00"/>
    <x v="644"/>
    <x v="0"/>
    <d v="2019-11-16T00:00:00"/>
    <x v="0"/>
    <x v="0"/>
    <n v="1"/>
    <n v="1"/>
  </r>
  <r>
    <d v="2019-11-12T00:00:00"/>
    <n v="12995"/>
    <s v="WHSAO"/>
    <s v="Sao Paulo"/>
    <s v="SP"/>
    <n v="4155"/>
    <x v="143"/>
    <s v="Sao Paulo"/>
    <s v="SP"/>
    <x v="2"/>
    <s v="SP"/>
    <n v="1769.77"/>
    <n v="1"/>
    <n v="1.1200000000000001"/>
    <n v="6400835"/>
    <x v="3"/>
    <s v="Guarulhos"/>
    <s v="Convencional"/>
    <n v="6"/>
    <d v="2019-11-12T00:00:00"/>
    <x v="649"/>
    <x v="0"/>
    <d v="2019-11-18T00:00:00"/>
    <x v="1"/>
    <x v="0"/>
    <n v="0"/>
    <n v="1"/>
  </r>
  <r>
    <d v="2019-11-12T00:00:00"/>
    <n v="12996"/>
    <s v="WHCPQ"/>
    <s v="Campinas"/>
    <s v="SP"/>
    <n v="4173"/>
    <x v="161"/>
    <s v="Belo Horizonte"/>
    <s v="MG"/>
    <x v="2"/>
    <s v="MG"/>
    <n v="957.72"/>
    <n v="3"/>
    <n v="4.5970000000000004"/>
    <n v="6600879"/>
    <x v="2"/>
    <s v="Belo Horizonte"/>
    <s v="Convencional"/>
    <n v="5"/>
    <d v="2019-11-12T00:00:00"/>
    <x v="642"/>
    <x v="0"/>
    <d v="2019-11-17T00:00:00"/>
    <x v="0"/>
    <x v="0"/>
    <n v="1"/>
    <n v="1"/>
  </r>
  <r>
    <d v="2019-11-12T00:00:00"/>
    <n v="12997"/>
    <s v="WHSJC"/>
    <s v="Sao Jose dos Campos"/>
    <s v="SP"/>
    <n v="4231"/>
    <x v="219"/>
    <s v="Rio De Janeiro"/>
    <s v="RJ"/>
    <x v="2"/>
    <s v="RJ"/>
    <n v="2324.84"/>
    <n v="4"/>
    <n v="4.774"/>
    <n v="6140092"/>
    <x v="4"/>
    <s v="Rio de Janeiro"/>
    <s v="Convencional"/>
    <n v="10"/>
    <d v="2019-11-12T00:00:00"/>
    <x v="650"/>
    <x v="0"/>
    <d v="2019-11-22T00:00:00"/>
    <x v="0"/>
    <x v="0"/>
    <n v="1"/>
    <n v="1"/>
  </r>
  <r>
    <d v="2019-11-12T00:00:00"/>
    <n v="12998"/>
    <s v="WHSJC"/>
    <s v="Sao Jose dos Campos"/>
    <s v="SP"/>
    <n v="4068"/>
    <x v="4"/>
    <s v="Campo Grande"/>
    <s v="MS"/>
    <x v="1"/>
    <s v="MS"/>
    <n v="764.6"/>
    <n v="2"/>
    <n v="1.3640000000000001"/>
    <n v="6100231"/>
    <x v="1"/>
    <s v="Goiania"/>
    <s v="Convencional"/>
    <n v="3"/>
    <d v="2019-11-12T00:00:00"/>
    <x v="651"/>
    <x v="0"/>
    <d v="2019-11-15T00:00:00"/>
    <x v="1"/>
    <x v="0"/>
    <n v="0"/>
    <n v="1"/>
  </r>
  <r>
    <d v="2019-11-13T00:00:00"/>
    <n v="12999"/>
    <s v="WHRJ"/>
    <s v="Rio De Janeiro"/>
    <s v="RJ"/>
    <n v="4190"/>
    <x v="178"/>
    <s v="Belo Horizonte"/>
    <s v="MG"/>
    <x v="2"/>
    <s v="MG"/>
    <n v="2818.45"/>
    <n v="4"/>
    <n v="6.5449999999999999"/>
    <n v="6600879"/>
    <x v="2"/>
    <s v="Belo Horizonte"/>
    <s v="Convencional"/>
    <n v="4"/>
    <d v="2019-11-13T00:00:00"/>
    <x v="651"/>
    <x v="0"/>
    <d v="2019-11-17T00:00:00"/>
    <x v="1"/>
    <x v="0"/>
    <n v="0"/>
    <n v="1"/>
  </r>
  <r>
    <d v="2019-11-13T00:00:00"/>
    <n v="13000"/>
    <s v="WHPOA"/>
    <s v="Porto Alegre"/>
    <s v="RS"/>
    <n v="4261"/>
    <x v="249"/>
    <s v="Rio De Janeiro"/>
    <s v="RJ"/>
    <x v="2"/>
    <s v="RJ"/>
    <n v="1318.94"/>
    <n v="1"/>
    <n v="0.66"/>
    <n v="6140092"/>
    <x v="4"/>
    <s v="Rio de Janeiro"/>
    <s v="Convencional"/>
    <n v="4"/>
    <d v="2019-11-13T00:00:00"/>
    <x v="650"/>
    <x v="0"/>
    <d v="2019-11-17T00:00:00"/>
    <x v="1"/>
    <x v="0"/>
    <n v="0"/>
    <n v="1"/>
  </r>
  <r>
    <d v="2019-11-14T00:00:00"/>
    <n v="13001"/>
    <s v="WHCPQ"/>
    <s v="Campinas"/>
    <s v="SP"/>
    <n v="4262"/>
    <x v="250"/>
    <s v="Sao Paulo"/>
    <s v="SP"/>
    <x v="2"/>
    <s v="SP"/>
    <n v="21.71"/>
    <n v="1"/>
    <n v="1.0999999999999999E-2"/>
    <n v="6400835"/>
    <x v="3"/>
    <s v="Guarulhos"/>
    <s v="Convencional"/>
    <n v="5"/>
    <d v="2019-11-14T00:00:00"/>
    <x v="652"/>
    <x v="0"/>
    <d v="2019-11-19T00:00:00"/>
    <x v="1"/>
    <x v="0"/>
    <n v="0"/>
    <n v="1"/>
  </r>
  <r>
    <d v="2019-11-14T00:00:00"/>
    <n v="13002"/>
    <s v="WHBH"/>
    <s v="Belo Horizonte"/>
    <s v="MG"/>
    <n v="4038"/>
    <x v="9"/>
    <s v="Goiania"/>
    <s v="GO"/>
    <x v="1"/>
    <s v="GO"/>
    <n v="23853.21"/>
    <n v="22"/>
    <n v="82.245000000000005"/>
    <n v="6100231"/>
    <x v="1"/>
    <s v="Goiania"/>
    <s v="Convencional"/>
    <n v="1"/>
    <d v="2019-11-14T00:00:00"/>
    <x v="648"/>
    <x v="0"/>
    <d v="2019-11-15T00:00:00"/>
    <x v="1"/>
    <x v="0"/>
    <n v="0"/>
    <n v="1"/>
  </r>
  <r>
    <d v="2019-11-14T00:00:00"/>
    <n v="13003"/>
    <s v="WHRJ"/>
    <s v="Rio De Janeiro"/>
    <s v="RJ"/>
    <n v="4141"/>
    <x v="129"/>
    <s v="Rio De Janeiro"/>
    <s v="RJ"/>
    <x v="2"/>
    <s v="RJ"/>
    <n v="47.48"/>
    <n v="2"/>
    <n v="1.7709999999999999"/>
    <n v="6140092"/>
    <x v="4"/>
    <s v="Rio de Janeiro"/>
    <s v="Convencional"/>
    <n v="7"/>
    <d v="2019-11-14T00:00:00"/>
    <x v="648"/>
    <x v="0"/>
    <d v="2019-11-21T00:00:00"/>
    <x v="0"/>
    <x v="0"/>
    <n v="1"/>
    <n v="1"/>
  </r>
  <r>
    <d v="2019-11-14T00:00:00"/>
    <n v="13004"/>
    <s v="WHRJ"/>
    <s v="Rio De Janeiro"/>
    <s v="RJ"/>
    <n v="4140"/>
    <x v="128"/>
    <s v="Recife"/>
    <s v="PE"/>
    <x v="3"/>
    <s v="PE"/>
    <n v="936.62"/>
    <n v="1"/>
    <n v="1.1200000000000001"/>
    <n v="6900304"/>
    <x v="5"/>
    <s v="Fortaleza"/>
    <s v="Convencional"/>
    <n v="12"/>
    <d v="2019-11-14T00:00:00"/>
    <x v="647"/>
    <x v="0"/>
    <d v="2019-11-26T00:00:00"/>
    <x v="0"/>
    <x v="0"/>
    <n v="1"/>
    <n v="1"/>
  </r>
  <r>
    <d v="2019-11-14T00:00:00"/>
    <n v="13005"/>
    <s v="WHRJ"/>
    <s v="Rio De Janeiro"/>
    <s v="RJ"/>
    <n v="4154"/>
    <x v="142"/>
    <s v="Recife"/>
    <s v="PE"/>
    <x v="3"/>
    <s v="PE"/>
    <n v="3808.64"/>
    <n v="2"/>
    <n v="10.304"/>
    <n v="6900304"/>
    <x v="5"/>
    <s v="Fortaleza"/>
    <s v="Convencional"/>
    <n v="6"/>
    <d v="2019-11-14T00:00:00"/>
    <x v="648"/>
    <x v="0"/>
    <d v="2019-11-20T00:00:00"/>
    <x v="0"/>
    <x v="0"/>
    <n v="1"/>
    <n v="1"/>
  </r>
  <r>
    <d v="2019-11-14T00:00:00"/>
    <n v="13006"/>
    <s v="WHCPQ"/>
    <s v="Campinas"/>
    <s v="SP"/>
    <n v="4197"/>
    <x v="185"/>
    <s v="Sao Paulo"/>
    <s v="SP"/>
    <x v="2"/>
    <s v="SP"/>
    <n v="923.71"/>
    <n v="1"/>
    <n v="1.4470000000000001"/>
    <n v="6400835"/>
    <x v="3"/>
    <s v="Guarulhos"/>
    <s v="Convencional"/>
    <n v="8"/>
    <d v="2019-11-14T00:00:00"/>
    <x v="650"/>
    <x v="0"/>
    <d v="2019-11-22T00:00:00"/>
    <x v="0"/>
    <x v="0"/>
    <n v="1"/>
    <n v="1"/>
  </r>
  <r>
    <d v="2019-11-14T00:00:00"/>
    <n v="13007"/>
    <s v="WHBH"/>
    <s v="Belo Horizonte"/>
    <s v="MG"/>
    <n v="4263"/>
    <x v="251"/>
    <s v="Belo Horizonte"/>
    <s v="MG"/>
    <x v="2"/>
    <s v="MG"/>
    <n v="1084.79"/>
    <n v="3"/>
    <n v="2.0459999999999998"/>
    <n v="6600879"/>
    <x v="2"/>
    <s v="Belo Horizonte"/>
    <s v="Convencional"/>
    <n v="9"/>
    <d v="2019-11-14T00:00:00"/>
    <x v="643"/>
    <x v="0"/>
    <d v="2019-11-23T00:00:00"/>
    <x v="0"/>
    <x v="0"/>
    <n v="1"/>
    <n v="1"/>
  </r>
  <r>
    <d v="2019-11-14T00:00:00"/>
    <n v="13008"/>
    <s v="WHSJC"/>
    <s v="Sao Jose dos Campos"/>
    <s v="SP"/>
    <n v="4068"/>
    <x v="4"/>
    <s v="Campo Grande"/>
    <s v="MS"/>
    <x v="1"/>
    <s v="MS"/>
    <n v="893.24"/>
    <n v="3"/>
    <n v="9.24"/>
    <n v="6100231"/>
    <x v="1"/>
    <s v="Goiania"/>
    <s v="Convencional"/>
    <n v="1"/>
    <d v="2019-11-14T00:00:00"/>
    <x v="643"/>
    <x v="0"/>
    <d v="2019-11-15T00:00:00"/>
    <x v="1"/>
    <x v="0"/>
    <n v="0"/>
    <n v="1"/>
  </r>
  <r>
    <d v="2019-11-14T00:00:00"/>
    <n v="13009"/>
    <s v="WHBH"/>
    <s v="Belo Horizonte"/>
    <s v="MG"/>
    <n v="4060"/>
    <x v="56"/>
    <s v="Sinop"/>
    <s v="MT"/>
    <x v="1"/>
    <s v="MT"/>
    <n v="6279.22"/>
    <n v="18"/>
    <n v="41.052"/>
    <n v="6100231"/>
    <x v="1"/>
    <s v="Goiania"/>
    <s v="Convencional"/>
    <n v="6"/>
    <d v="2019-11-14T00:00:00"/>
    <x v="650"/>
    <x v="0"/>
    <d v="2019-11-20T00:00:00"/>
    <x v="1"/>
    <x v="0"/>
    <n v="0"/>
    <n v="1"/>
  </r>
  <r>
    <d v="2019-11-14T00:00:00"/>
    <n v="13010"/>
    <s v="WHPOA"/>
    <s v="Porto Alegre"/>
    <s v="RS"/>
    <n v="4233"/>
    <x v="221"/>
    <s v="Belo Horizonte"/>
    <s v="MG"/>
    <x v="2"/>
    <s v="MG"/>
    <n v="362.01"/>
    <n v="1"/>
    <n v="0.68200000000000005"/>
    <n v="6600879"/>
    <x v="2"/>
    <s v="Belo Horizonte"/>
    <s v="Convencional"/>
    <n v="1"/>
    <d v="2019-11-14T00:00:00"/>
    <x v="650"/>
    <x v="0"/>
    <d v="2019-11-15T00:00:00"/>
    <x v="1"/>
    <x v="0"/>
    <n v="0"/>
    <n v="1"/>
  </r>
  <r>
    <d v="2019-11-14T00:00:00"/>
    <n v="13011"/>
    <s v="WHPOA"/>
    <s v="Porto Alegre"/>
    <s v="RS"/>
    <n v="4233"/>
    <x v="221"/>
    <s v="Belo Horizonte"/>
    <s v="MG"/>
    <x v="2"/>
    <s v="MG"/>
    <n v="356.38"/>
    <n v="1"/>
    <n v="0.68200000000000005"/>
    <n v="6600879"/>
    <x v="2"/>
    <s v="Belo Horizonte"/>
    <s v="Convencional"/>
    <n v="11"/>
    <d v="2019-11-14T00:00:00"/>
    <x v="653"/>
    <x v="0"/>
    <d v="2019-11-25T00:00:00"/>
    <x v="0"/>
    <x v="0"/>
    <n v="1"/>
    <n v="1"/>
  </r>
  <r>
    <d v="2019-11-14T00:00:00"/>
    <n v="13012"/>
    <s v="WHBH"/>
    <s v="Belo Horizonte"/>
    <s v="MG"/>
    <n v="4018"/>
    <x v="12"/>
    <s v="Sao Jose"/>
    <s v="SC"/>
    <x v="0"/>
    <s v="SC"/>
    <n v="239.68"/>
    <n v="1"/>
    <n v="0.246"/>
    <n v="6500948"/>
    <x v="0"/>
    <s v="Porto Alegre"/>
    <s v="Convencional"/>
    <n v="4"/>
    <d v="2019-11-14T00:00:00"/>
    <x v="648"/>
    <x v="0"/>
    <d v="2019-11-18T00:00:00"/>
    <x v="0"/>
    <x v="0"/>
    <n v="1"/>
    <n v="1"/>
  </r>
  <r>
    <d v="2019-11-14T00:00:00"/>
    <n v="13013"/>
    <s v="WHSAO"/>
    <s v="Sao Paulo"/>
    <s v="SP"/>
    <n v="4018"/>
    <x v="12"/>
    <s v="Sao Jose"/>
    <s v="SC"/>
    <x v="0"/>
    <s v="SC"/>
    <n v="255.31"/>
    <n v="2"/>
    <n v="0.55100000000000005"/>
    <n v="6500948"/>
    <x v="0"/>
    <s v="Porto Alegre"/>
    <s v="Convencional"/>
    <n v="2"/>
    <d v="2019-11-14T00:00:00"/>
    <x v="651"/>
    <x v="0"/>
    <d v="2019-11-16T00:00:00"/>
    <x v="1"/>
    <x v="0"/>
    <n v="0"/>
    <n v="1"/>
  </r>
  <r>
    <d v="2019-11-14T00:00:00"/>
    <n v="13014"/>
    <s v="WHSAO"/>
    <s v="Sao Paulo"/>
    <s v="SP"/>
    <n v="4022"/>
    <x v="19"/>
    <s v="Maringa"/>
    <s v="PR"/>
    <x v="0"/>
    <s v="PR"/>
    <n v="762.56"/>
    <n v="1"/>
    <n v="1.6970000000000001"/>
    <n v="6500948"/>
    <x v="0"/>
    <s v="Porto Alegre"/>
    <s v="Convencional"/>
    <n v="4"/>
    <d v="2019-11-14T00:00:00"/>
    <x v="647"/>
    <x v="0"/>
    <d v="2019-11-18T00:00:00"/>
    <x v="0"/>
    <x v="0"/>
    <n v="1"/>
    <n v="1"/>
  </r>
  <r>
    <d v="2019-11-19T00:00:00"/>
    <n v="13015"/>
    <s v="WHSJC"/>
    <s v="Sao Jose dos Campos"/>
    <s v="SP"/>
    <n v="4147"/>
    <x v="135"/>
    <s v="Belo Horizonte"/>
    <s v="MG"/>
    <x v="2"/>
    <s v="MG"/>
    <n v="7402"/>
    <n v="2"/>
    <n v="35.104999999999997"/>
    <n v="6600879"/>
    <x v="2"/>
    <s v="Belo Horizonte"/>
    <s v="Convencional"/>
    <n v="6"/>
    <d v="2019-11-19T00:00:00"/>
    <x v="652"/>
    <x v="0"/>
    <d v="2019-11-25T00:00:00"/>
    <x v="0"/>
    <x v="0"/>
    <n v="1"/>
    <n v="1"/>
  </r>
  <r>
    <d v="2019-11-19T00:00:00"/>
    <n v="13016"/>
    <s v="WHBH"/>
    <s v="Belo Horizonte"/>
    <s v="MG"/>
    <n v="4264"/>
    <x v="252"/>
    <s v="Santos"/>
    <s v="SP"/>
    <x v="2"/>
    <s v="SP"/>
    <n v="1819.75"/>
    <n v="1"/>
    <n v="3.41"/>
    <n v="6400835"/>
    <x v="3"/>
    <s v="Guarulhos"/>
    <s v="Convencional"/>
    <n v="5"/>
    <d v="2019-11-19T00:00:00"/>
    <x v="653"/>
    <x v="0"/>
    <d v="2019-11-24T00:00:00"/>
    <x v="0"/>
    <x v="0"/>
    <n v="1"/>
    <n v="1"/>
  </r>
  <r>
    <d v="2019-11-20T00:00:00"/>
    <n v="13017"/>
    <s v="WHSAO"/>
    <s v="Sao Paulo"/>
    <s v="SP"/>
    <n v="4172"/>
    <x v="160"/>
    <s v="Santos"/>
    <s v="SP"/>
    <x v="2"/>
    <s v="SP"/>
    <n v="823.01"/>
    <n v="2"/>
    <n v="2.399"/>
    <n v="6400835"/>
    <x v="3"/>
    <s v="Guarulhos"/>
    <s v="Convencional"/>
    <n v="12"/>
    <d v="2019-11-20T00:00:00"/>
    <x v="654"/>
    <x v="0"/>
    <d v="2019-12-02T00:00:00"/>
    <x v="0"/>
    <x v="0"/>
    <n v="1"/>
    <n v="1"/>
  </r>
  <r>
    <d v="2019-11-20T00:00:00"/>
    <n v="13018"/>
    <s v="WHPOA"/>
    <s v="Porto Alegre"/>
    <s v="RS"/>
    <n v="4033"/>
    <x v="35"/>
    <s v="Goiania"/>
    <s v="GO"/>
    <x v="1"/>
    <s v="GO"/>
    <n v="12078.93"/>
    <n v="17"/>
    <n v="61.457000000000001"/>
    <n v="6100231"/>
    <x v="1"/>
    <s v="Goiania"/>
    <s v="Urgente"/>
    <n v="8"/>
    <d v="2019-11-20T00:00:00"/>
    <x v="652"/>
    <x v="0"/>
    <d v="2019-11-28T00:00:00"/>
    <x v="0"/>
    <x v="0"/>
    <n v="1"/>
    <n v="1"/>
  </r>
  <r>
    <d v="2019-11-20T00:00:00"/>
    <n v="13019"/>
    <s v="WHSJC"/>
    <s v="Sao Jose dos Campos"/>
    <s v="SP"/>
    <n v="4161"/>
    <x v="149"/>
    <s v="Recife"/>
    <s v="PE"/>
    <x v="3"/>
    <s v="PE"/>
    <n v="41.07"/>
    <n v="1"/>
    <n v="1.1200000000000001"/>
    <n v="6900304"/>
    <x v="5"/>
    <s v="Fortaleza"/>
    <s v="Convencional"/>
    <n v="1"/>
    <d v="2019-11-20T00:00:00"/>
    <x v="649"/>
    <x v="0"/>
    <d v="2019-11-21T00:00:00"/>
    <x v="1"/>
    <x v="0"/>
    <n v="0"/>
    <n v="1"/>
  </r>
  <r>
    <d v="2019-11-20T00:00:00"/>
    <n v="13020"/>
    <s v="WHCPQ"/>
    <s v="Campinas"/>
    <s v="SP"/>
    <n v="4173"/>
    <x v="161"/>
    <s v="Belo Horizonte"/>
    <s v="MG"/>
    <x v="2"/>
    <s v="MG"/>
    <n v="177.53"/>
    <n v="1"/>
    <n v="1.111"/>
    <n v="6600879"/>
    <x v="2"/>
    <s v="Belo Horizonte"/>
    <s v="Convencional"/>
    <n v="4"/>
    <d v="2019-11-20T00:00:00"/>
    <x v="650"/>
    <x v="2"/>
    <d v="2019-11-24T00:00:00"/>
    <x v="0"/>
    <x v="1"/>
    <n v="0"/>
    <n v="1"/>
  </r>
  <r>
    <d v="2019-11-20T00:00:00"/>
    <n v="13021"/>
    <s v="WHRJ"/>
    <s v="Rio De Janeiro"/>
    <s v="RJ"/>
    <n v="4072"/>
    <x v="60"/>
    <s v="Sao Jose Do Rio Preto"/>
    <s v="SP"/>
    <x v="2"/>
    <s v="SP"/>
    <n v="527.02"/>
    <n v="1"/>
    <n v="0.51200000000000001"/>
    <n v="6400835"/>
    <x v="3"/>
    <s v="Guarulhos"/>
    <s v="Convencional"/>
    <n v="2"/>
    <d v="2019-11-20T00:00:00"/>
    <x v="655"/>
    <x v="0"/>
    <d v="2019-11-22T00:00:00"/>
    <x v="1"/>
    <x v="0"/>
    <n v="0"/>
    <n v="1"/>
  </r>
  <r>
    <d v="2019-11-20T00:00:00"/>
    <n v="13022"/>
    <s v="WHVIT"/>
    <s v="Vitoria"/>
    <s v="ES"/>
    <n v="4265"/>
    <x v="253"/>
    <s v="Rio De Janeiro"/>
    <s v="RJ"/>
    <x v="2"/>
    <s v="RJ"/>
    <n v="1113.7"/>
    <n v="1"/>
    <n v="11.837999999999999"/>
    <n v="6140092"/>
    <x v="4"/>
    <s v="Rio de Janeiro"/>
    <s v="Convencional"/>
    <n v="3"/>
    <d v="2019-11-20T00:00:00"/>
    <x v="656"/>
    <x v="0"/>
    <d v="2019-11-23T00:00:00"/>
    <x v="1"/>
    <x v="0"/>
    <n v="0"/>
    <n v="1"/>
  </r>
  <r>
    <d v="2019-11-20T00:00:00"/>
    <n v="13023"/>
    <s v="WHPOA"/>
    <s v="Porto Alegre"/>
    <s v="RS"/>
    <n v="4266"/>
    <x v="254"/>
    <s v="Sao Paulo"/>
    <s v="SP"/>
    <x v="2"/>
    <s v="SP"/>
    <n v="256.27"/>
    <n v="1"/>
    <n v="1.1200000000000001"/>
    <n v="6400835"/>
    <x v="3"/>
    <s v="Guarulhos"/>
    <s v="Convencional"/>
    <n v="6"/>
    <d v="2019-11-20T00:00:00"/>
    <x v="654"/>
    <x v="0"/>
    <d v="2019-11-26T00:00:00"/>
    <x v="1"/>
    <x v="0"/>
    <n v="0"/>
    <n v="1"/>
  </r>
  <r>
    <d v="2019-11-20T00:00:00"/>
    <n v="13024"/>
    <s v="WHVIT"/>
    <s v="Vitoria"/>
    <s v="ES"/>
    <n v="4058"/>
    <x v="2"/>
    <s v="Brasilia"/>
    <s v="DF"/>
    <x v="1"/>
    <s v="DF"/>
    <n v="271.04000000000002"/>
    <n v="1"/>
    <n v="1.1200000000000001"/>
    <n v="6100231"/>
    <x v="1"/>
    <s v="Goiania"/>
    <s v="Convencional"/>
    <n v="5"/>
    <d v="2019-11-20T00:00:00"/>
    <x v="654"/>
    <x v="0"/>
    <d v="2019-11-25T00:00:00"/>
    <x v="1"/>
    <x v="0"/>
    <n v="0"/>
    <n v="1"/>
  </r>
  <r>
    <d v="2019-11-20T00:00:00"/>
    <n v="13025"/>
    <s v="WHBH"/>
    <s v="Belo Horizonte"/>
    <s v="MG"/>
    <n v="4056"/>
    <x v="44"/>
    <s v="Goiania"/>
    <s v="GO"/>
    <x v="1"/>
    <s v="GO"/>
    <n v="1486.94"/>
    <n v="5"/>
    <n v="12.516999999999999"/>
    <n v="6100231"/>
    <x v="1"/>
    <s v="Goiania"/>
    <s v="Convencional"/>
    <n v="7"/>
    <d v="2019-11-20T00:00:00"/>
    <x v="657"/>
    <x v="0"/>
    <d v="2019-11-27T00:00:00"/>
    <x v="0"/>
    <x v="0"/>
    <n v="1"/>
    <n v="1"/>
  </r>
  <r>
    <d v="2019-11-20T00:00:00"/>
    <n v="13026"/>
    <s v="WHCPQ"/>
    <s v="Campinas"/>
    <s v="SP"/>
    <n v="4056"/>
    <x v="44"/>
    <s v="Goiania"/>
    <s v="GO"/>
    <x v="1"/>
    <s v="GO"/>
    <n v="764.99"/>
    <n v="2"/>
    <n v="7.702"/>
    <n v="6100231"/>
    <x v="1"/>
    <s v="Goiania"/>
    <s v="Convencional"/>
    <n v="6"/>
    <d v="2019-11-20T00:00:00"/>
    <x v="655"/>
    <x v="0"/>
    <d v="2019-11-26T00:00:00"/>
    <x v="1"/>
    <x v="0"/>
    <n v="0"/>
    <n v="1"/>
  </r>
  <r>
    <d v="2019-11-21T00:00:00"/>
    <n v="13027"/>
    <s v="WHBH"/>
    <s v="Belo Horizonte"/>
    <s v="MG"/>
    <n v="4140"/>
    <x v="128"/>
    <s v="Recife"/>
    <s v="PE"/>
    <x v="3"/>
    <s v="PE"/>
    <n v="1822.6"/>
    <n v="1"/>
    <n v="4.51"/>
    <n v="6900304"/>
    <x v="5"/>
    <s v="Fortaleza"/>
    <s v="Convencional"/>
    <n v="3"/>
    <d v="2019-11-21T00:00:00"/>
    <x v="656"/>
    <x v="0"/>
    <d v="2019-11-24T00:00:00"/>
    <x v="1"/>
    <x v="0"/>
    <n v="0"/>
    <n v="1"/>
  </r>
  <r>
    <d v="2019-11-21T00:00:00"/>
    <n v="13028"/>
    <s v="WHBH"/>
    <s v="Belo Horizonte"/>
    <s v="MG"/>
    <n v="4208"/>
    <x v="196"/>
    <s v="Sao Paulo"/>
    <s v="SP"/>
    <x v="2"/>
    <s v="SP"/>
    <n v="4243.72"/>
    <n v="5"/>
    <n v="8.1839999999999993"/>
    <n v="6400835"/>
    <x v="3"/>
    <s v="Guarulhos"/>
    <s v="Convencional"/>
    <n v="8"/>
    <d v="2019-11-21T00:00:00"/>
    <x v="657"/>
    <x v="0"/>
    <d v="2019-11-29T00:00:00"/>
    <x v="0"/>
    <x v="0"/>
    <n v="1"/>
    <n v="1"/>
  </r>
  <r>
    <d v="2019-11-21T00:00:00"/>
    <n v="13029"/>
    <s v="WHRJ"/>
    <s v="Rio De Janeiro"/>
    <s v="RJ"/>
    <n v="4209"/>
    <x v="197"/>
    <s v="Belo Horizonte"/>
    <s v="MG"/>
    <x v="2"/>
    <s v="MG"/>
    <n v="27.63"/>
    <n v="1"/>
    <n v="1.0999999999999999E-2"/>
    <n v="6600879"/>
    <x v="2"/>
    <s v="Belo Horizonte"/>
    <s v="Convencional"/>
    <n v="8"/>
    <d v="2019-11-21T00:00:00"/>
    <x v="654"/>
    <x v="0"/>
    <d v="2019-11-29T00:00:00"/>
    <x v="0"/>
    <x v="0"/>
    <n v="1"/>
    <n v="1"/>
  </r>
  <r>
    <d v="2019-11-21T00:00:00"/>
    <n v="13030"/>
    <s v="WHBH"/>
    <s v="Belo Horizonte"/>
    <s v="MG"/>
    <n v="4252"/>
    <x v="240"/>
    <s v="Sao Paulo"/>
    <s v="SP"/>
    <x v="2"/>
    <s v="SP"/>
    <n v="12061.74"/>
    <n v="7"/>
    <n v="23.187999999999999"/>
    <n v="6400835"/>
    <x v="3"/>
    <s v="Guarulhos"/>
    <s v="Convencional"/>
    <n v="7"/>
    <d v="2019-11-21T00:00:00"/>
    <x v="658"/>
    <x v="0"/>
    <d v="2019-11-28T00:00:00"/>
    <x v="0"/>
    <x v="0"/>
    <n v="1"/>
    <n v="1"/>
  </r>
  <r>
    <d v="2019-11-21T00:00:00"/>
    <n v="13031"/>
    <s v="WHVIT"/>
    <s v="Vitoria"/>
    <s v="ES"/>
    <n v="4210"/>
    <x v="198"/>
    <s v="Belo Horizonte"/>
    <s v="MG"/>
    <x v="2"/>
    <s v="MG"/>
    <n v="1833.01"/>
    <n v="3"/>
    <n v="19.395"/>
    <n v="6600879"/>
    <x v="2"/>
    <s v="Belo Horizonte"/>
    <s v="Convencional"/>
    <n v="3"/>
    <d v="2019-11-21T00:00:00"/>
    <x v="659"/>
    <x v="0"/>
    <d v="2019-11-24T00:00:00"/>
    <x v="1"/>
    <x v="0"/>
    <n v="0"/>
    <n v="1"/>
  </r>
  <r>
    <d v="2019-11-21T00:00:00"/>
    <n v="13032"/>
    <s v="WHSJC"/>
    <s v="Sao Jose dos Campos"/>
    <s v="SP"/>
    <n v="4211"/>
    <x v="199"/>
    <s v="Santos"/>
    <s v="SP"/>
    <x v="2"/>
    <s v="SP"/>
    <n v="1317.44"/>
    <n v="2"/>
    <n v="3.2469999999999999"/>
    <n v="6400835"/>
    <x v="3"/>
    <s v="Guarulhos"/>
    <s v="Convencional"/>
    <n v="2"/>
    <d v="2019-11-21T00:00:00"/>
    <x v="658"/>
    <x v="0"/>
    <d v="2019-11-23T00:00:00"/>
    <x v="1"/>
    <x v="0"/>
    <n v="0"/>
    <n v="1"/>
  </r>
  <r>
    <d v="2019-11-21T00:00:00"/>
    <n v="13033"/>
    <s v="WHBH"/>
    <s v="Belo Horizonte"/>
    <s v="MG"/>
    <n v="4212"/>
    <x v="200"/>
    <s v="Rio Grande do Sul"/>
    <s v="RS"/>
    <x v="0"/>
    <s v="RS"/>
    <n v="540.65"/>
    <n v="1"/>
    <n v="3.96"/>
    <n v="6500948"/>
    <x v="0"/>
    <s v="Porto Alegre"/>
    <s v="Convencional"/>
    <n v="10"/>
    <d v="2019-11-21T00:00:00"/>
    <x v="659"/>
    <x v="0"/>
    <d v="2019-12-01T00:00:00"/>
    <x v="0"/>
    <x v="0"/>
    <n v="1"/>
    <n v="1"/>
  </r>
  <r>
    <d v="2019-11-21T00:00:00"/>
    <n v="13034"/>
    <s v="WHVIT"/>
    <s v="Vitoria"/>
    <s v="ES"/>
    <n v="4213"/>
    <x v="201"/>
    <s v="Sao Paulo"/>
    <s v="SP"/>
    <x v="2"/>
    <s v="SP"/>
    <n v="605.24"/>
    <n v="1"/>
    <n v="5.7640000000000002"/>
    <n v="6400835"/>
    <x v="3"/>
    <s v="Guarulhos"/>
    <s v="Convencional"/>
    <n v="5"/>
    <d v="2019-11-21T00:00:00"/>
    <x v="656"/>
    <x v="0"/>
    <d v="2019-11-26T00:00:00"/>
    <x v="0"/>
    <x v="0"/>
    <n v="1"/>
    <n v="1"/>
  </r>
  <r>
    <d v="2019-11-21T00:00:00"/>
    <n v="13035"/>
    <s v="WHCPQ"/>
    <s v="Campinas"/>
    <s v="SP"/>
    <n v="4216"/>
    <x v="204"/>
    <s v="Santos"/>
    <s v="SP"/>
    <x v="2"/>
    <s v="SP"/>
    <n v="2557.13"/>
    <n v="3"/>
    <n v="11.88"/>
    <n v="6400835"/>
    <x v="3"/>
    <s v="Guarulhos"/>
    <s v="Convencional"/>
    <n v="5"/>
    <d v="2019-11-21T00:00:00"/>
    <x v="649"/>
    <x v="1"/>
    <d v="2019-11-26T00:00:00"/>
    <x v="0"/>
    <x v="1"/>
    <n v="0"/>
    <n v="1"/>
  </r>
  <r>
    <d v="2019-11-21T00:00:00"/>
    <n v="13036"/>
    <s v="WHBH"/>
    <s v="Belo Horizonte"/>
    <s v="MG"/>
    <n v="4215"/>
    <x v="203"/>
    <s v="Recife"/>
    <s v="PE"/>
    <x v="3"/>
    <s v="PE"/>
    <n v="701.38"/>
    <n v="11"/>
    <n v="20.57"/>
    <n v="6900304"/>
    <x v="5"/>
    <s v="Fortaleza"/>
    <s v="Convencional"/>
    <n v="5"/>
    <d v="2019-11-21T00:00:00"/>
    <x v="658"/>
    <x v="0"/>
    <d v="2019-11-26T00:00:00"/>
    <x v="1"/>
    <x v="0"/>
    <n v="0"/>
    <n v="1"/>
  </r>
  <r>
    <d v="2019-11-22T00:00:00"/>
    <n v="13037"/>
    <s v="WHVIT"/>
    <s v="Vitoria"/>
    <s v="ES"/>
    <n v="4154"/>
    <x v="142"/>
    <s v="Recife"/>
    <s v="PE"/>
    <x v="3"/>
    <s v="PE"/>
    <n v="3002.5"/>
    <n v="5"/>
    <n v="23.381"/>
    <n v="6900304"/>
    <x v="5"/>
    <s v="Fortaleza"/>
    <s v="Convencional"/>
    <n v="10"/>
    <d v="2019-11-22T00:00:00"/>
    <x v="655"/>
    <x v="1"/>
    <d v="2019-12-02T00:00:00"/>
    <x v="0"/>
    <x v="1"/>
    <n v="0"/>
    <n v="1"/>
  </r>
  <r>
    <d v="2019-11-23T00:00:00"/>
    <n v="13038"/>
    <s v="WHBH"/>
    <s v="Belo Horizonte"/>
    <s v="MG"/>
    <n v="4033"/>
    <x v="35"/>
    <s v="Goiania"/>
    <s v="GO"/>
    <x v="1"/>
    <s v="GO"/>
    <n v="428.9"/>
    <n v="1"/>
    <n v="5.5060000000000002"/>
    <n v="6100231"/>
    <x v="1"/>
    <s v="Goiania"/>
    <s v="Convencional"/>
    <n v="10"/>
    <d v="2019-11-23T00:00:00"/>
    <x v="660"/>
    <x v="0"/>
    <d v="2019-12-03T00:00:00"/>
    <x v="0"/>
    <x v="0"/>
    <n v="1"/>
    <n v="1"/>
  </r>
  <r>
    <d v="2019-11-23T00:00:00"/>
    <n v="13039"/>
    <s v="WHBH"/>
    <s v="Belo Horizonte"/>
    <s v="MG"/>
    <n v="4056"/>
    <x v="44"/>
    <s v="Goiania"/>
    <s v="GO"/>
    <x v="1"/>
    <s v="GO"/>
    <n v="8294.65"/>
    <n v="12"/>
    <n v="50.328000000000003"/>
    <n v="6100231"/>
    <x v="1"/>
    <s v="Goiania"/>
    <s v="Convencional"/>
    <n v="1"/>
    <d v="2019-11-23T00:00:00"/>
    <x v="656"/>
    <x v="1"/>
    <d v="2019-11-24T00:00:00"/>
    <x v="1"/>
    <x v="1"/>
    <n v="0"/>
    <n v="1"/>
  </r>
  <r>
    <d v="2019-11-23T00:00:00"/>
    <n v="13040"/>
    <s v="WHBH"/>
    <s v="Belo Horizonte"/>
    <s v="MG"/>
    <n v="4143"/>
    <x v="131"/>
    <s v="Manaus"/>
    <s v="AM"/>
    <x v="4"/>
    <s v="AM"/>
    <n v="1137.3399999999999"/>
    <n v="2"/>
    <n v="10.182"/>
    <n v="6700091"/>
    <x v="6"/>
    <s v="Manaus"/>
    <s v="Convencional"/>
    <n v="8"/>
    <d v="2019-11-23T00:00:00"/>
    <x v="660"/>
    <x v="0"/>
    <d v="2019-12-01T00:00:00"/>
    <x v="1"/>
    <x v="0"/>
    <n v="0"/>
    <n v="1"/>
  </r>
  <r>
    <d v="2019-11-26T00:00:00"/>
    <n v="13041"/>
    <s v="WHRJ"/>
    <s v="Rio De Janeiro"/>
    <s v="RJ"/>
    <n v="4166"/>
    <x v="154"/>
    <s v="Manaus"/>
    <s v="AM"/>
    <x v="4"/>
    <s v="AM"/>
    <n v="5245.84"/>
    <n v="9"/>
    <n v="38.875999999999998"/>
    <n v="6700091"/>
    <x v="6"/>
    <s v="Manaus"/>
    <s v="Convencional"/>
    <n v="2"/>
    <d v="2019-11-26T00:00:00"/>
    <x v="654"/>
    <x v="1"/>
    <d v="2019-11-28T00:00:00"/>
    <x v="1"/>
    <x v="1"/>
    <n v="0"/>
    <n v="1"/>
  </r>
  <r>
    <d v="2019-11-26T00:00:00"/>
    <n v="13042"/>
    <s v="WHBH"/>
    <s v="Belo Horizonte"/>
    <s v="MG"/>
    <n v="4157"/>
    <x v="145"/>
    <s v="Belo Horizonte"/>
    <s v="MG"/>
    <x v="2"/>
    <s v="MG"/>
    <n v="84.53"/>
    <n v="1"/>
    <n v="1.87"/>
    <n v="6600879"/>
    <x v="2"/>
    <s v="Belo Horizonte"/>
    <s v="Convencional"/>
    <n v="11"/>
    <d v="2019-11-26T00:00:00"/>
    <x v="660"/>
    <x v="0"/>
    <d v="2019-12-07T00:00:00"/>
    <x v="0"/>
    <x v="0"/>
    <n v="1"/>
    <n v="1"/>
  </r>
  <r>
    <d v="2019-11-26T00:00:00"/>
    <n v="13043"/>
    <s v="WHSAO"/>
    <s v="Sao Paulo"/>
    <s v="SP"/>
    <n v="4068"/>
    <x v="4"/>
    <s v="Campo Grande"/>
    <s v="MS"/>
    <x v="1"/>
    <s v="MS"/>
    <n v="1453.94"/>
    <n v="2"/>
    <n v="9.68"/>
    <n v="6100231"/>
    <x v="1"/>
    <s v="Goiania"/>
    <s v="Convencional"/>
    <n v="4"/>
    <d v="2019-11-26T00:00:00"/>
    <x v="661"/>
    <x v="1"/>
    <d v="2019-11-30T00:00:00"/>
    <x v="1"/>
    <x v="1"/>
    <n v="0"/>
    <n v="1"/>
  </r>
  <r>
    <d v="2019-11-26T00:00:00"/>
    <n v="13044"/>
    <s v="WHSAO"/>
    <s v="Sao Paulo"/>
    <s v="SP"/>
    <n v="4018"/>
    <x v="12"/>
    <s v="Sao Jose"/>
    <s v="SC"/>
    <x v="0"/>
    <s v="SC"/>
    <n v="510.6"/>
    <n v="1"/>
    <n v="3.96"/>
    <n v="6500948"/>
    <x v="0"/>
    <s v="Porto Alegre"/>
    <s v="Convencional"/>
    <n v="3"/>
    <d v="2019-11-26T00:00:00"/>
    <x v="659"/>
    <x v="0"/>
    <d v="2019-11-29T00:00:00"/>
    <x v="1"/>
    <x v="0"/>
    <n v="0"/>
    <n v="1"/>
  </r>
  <r>
    <d v="2019-11-26T00:00:00"/>
    <n v="13045"/>
    <s v="WHVIT"/>
    <s v="Vitoria"/>
    <s v="ES"/>
    <n v="4018"/>
    <x v="12"/>
    <s v="Sao Jose"/>
    <s v="SC"/>
    <x v="0"/>
    <s v="SC"/>
    <n v="583.28"/>
    <n v="2"/>
    <n v="5.83"/>
    <n v="6500948"/>
    <x v="0"/>
    <s v="Porto Alegre"/>
    <s v="Convencional"/>
    <n v="1"/>
    <d v="2019-11-26T00:00:00"/>
    <x v="659"/>
    <x v="0"/>
    <d v="2019-11-27T00:00:00"/>
    <x v="1"/>
    <x v="0"/>
    <n v="0"/>
    <n v="1"/>
  </r>
  <r>
    <d v="2019-11-27T00:00:00"/>
    <n v="13046"/>
    <s v="WHBH"/>
    <s v="Belo Horizonte"/>
    <s v="MG"/>
    <n v="4017"/>
    <x v="10"/>
    <s v="Itajai"/>
    <s v="SC"/>
    <x v="0"/>
    <s v="SC"/>
    <n v="1897.73"/>
    <n v="3"/>
    <n v="13.532"/>
    <n v="6500948"/>
    <x v="0"/>
    <s v="Porto Alegre"/>
    <s v="Convencional"/>
    <n v="11"/>
    <d v="2019-11-27T00:00:00"/>
    <x v="662"/>
    <x v="0"/>
    <d v="2019-12-08T00:00:00"/>
    <x v="0"/>
    <x v="0"/>
    <n v="1"/>
    <n v="1"/>
  </r>
  <r>
    <d v="2019-11-27T00:00:00"/>
    <n v="13047"/>
    <s v="WHPOA"/>
    <s v="Porto Alegre"/>
    <s v="RS"/>
    <n v="4159"/>
    <x v="147"/>
    <s v="Manaus"/>
    <s v="AM"/>
    <x v="4"/>
    <s v="AM"/>
    <n v="703.41"/>
    <n v="1"/>
    <n v="4.18"/>
    <n v="6700091"/>
    <x v="6"/>
    <s v="Manaus"/>
    <s v="Convencional"/>
    <n v="7"/>
    <d v="2019-11-27T00:00:00"/>
    <x v="662"/>
    <x v="0"/>
    <d v="2019-12-04T00:00:00"/>
    <x v="0"/>
    <x v="0"/>
    <n v="1"/>
    <n v="1"/>
  </r>
  <r>
    <d v="2019-11-28T00:00:00"/>
    <n v="13048"/>
    <s v="WHPOA"/>
    <s v="Porto Alegre"/>
    <s v="RS"/>
    <n v="4014"/>
    <x v="3"/>
    <s v="Ipatinga"/>
    <s v="MG"/>
    <x v="2"/>
    <s v="MG"/>
    <n v="721.66"/>
    <n v="1"/>
    <n v="5.5"/>
    <n v="6600879"/>
    <x v="2"/>
    <s v="Belo Horizonte"/>
    <s v="Convencional"/>
    <n v="10"/>
    <d v="2019-11-28T00:00:00"/>
    <x v="663"/>
    <x v="0"/>
    <d v="2019-12-08T00:00:00"/>
    <x v="0"/>
    <x v="0"/>
    <n v="1"/>
    <n v="1"/>
  </r>
  <r>
    <d v="2019-11-28T00:00:00"/>
    <n v="13049"/>
    <s v="WHBH"/>
    <s v="Belo Horizonte"/>
    <s v="MG"/>
    <n v="4064"/>
    <x v="53"/>
    <s v="Presidente Prudente"/>
    <s v="SP"/>
    <x v="2"/>
    <s v="SP"/>
    <n v="567.21"/>
    <n v="1"/>
    <n v="4.18"/>
    <n v="6400835"/>
    <x v="3"/>
    <s v="Guarulhos"/>
    <s v="Convencional"/>
    <n v="12"/>
    <d v="2019-11-28T00:00:00"/>
    <x v="664"/>
    <x v="0"/>
    <d v="2019-12-10T00:00:00"/>
    <x v="0"/>
    <x v="0"/>
    <n v="1"/>
    <n v="1"/>
  </r>
  <r>
    <d v="2019-11-28T00:00:00"/>
    <n v="13050"/>
    <s v="WHSAO"/>
    <s v="Sao Paulo"/>
    <s v="SP"/>
    <n v="4049"/>
    <x v="43"/>
    <s v="Taguatinga"/>
    <s v="DF"/>
    <x v="1"/>
    <s v="DF"/>
    <n v="696.7"/>
    <n v="1"/>
    <n v="2.2000000000000002"/>
    <n v="6100231"/>
    <x v="1"/>
    <s v="Goiania"/>
    <s v="Convencional"/>
    <n v="10"/>
    <d v="2019-11-28T00:00:00"/>
    <x v="664"/>
    <x v="0"/>
    <d v="2019-12-08T00:00:00"/>
    <x v="0"/>
    <x v="0"/>
    <n v="1"/>
    <n v="1"/>
  </r>
  <r>
    <d v="2019-11-29T00:00:00"/>
    <n v="13051"/>
    <s v="WHSAO"/>
    <s v="Sao Paulo"/>
    <s v="SP"/>
    <n v="4146"/>
    <x v="134"/>
    <s v="Belo Horizonte"/>
    <s v="MG"/>
    <x v="2"/>
    <s v="MG"/>
    <n v="267.32"/>
    <n v="1"/>
    <n v="0.26400000000000001"/>
    <n v="6600879"/>
    <x v="2"/>
    <s v="Belo Horizonte"/>
    <s v="Convencional"/>
    <n v="4"/>
    <d v="2019-11-29T00:00:00"/>
    <x v="660"/>
    <x v="0"/>
    <d v="2019-12-03T00:00:00"/>
    <x v="0"/>
    <x v="0"/>
    <n v="1"/>
    <n v="1"/>
  </r>
  <r>
    <d v="2019-11-29T00:00:00"/>
    <n v="13052"/>
    <s v="WHSJC"/>
    <s v="Sao Jose dos Campos"/>
    <s v="SP"/>
    <n v="4190"/>
    <x v="178"/>
    <s v="Belo Horizonte"/>
    <s v="MG"/>
    <x v="2"/>
    <s v="MG"/>
    <n v="375.87"/>
    <n v="3"/>
    <n v="2.2440000000000002"/>
    <n v="6600879"/>
    <x v="2"/>
    <s v="Belo Horizonte"/>
    <s v="Convencional"/>
    <n v="9"/>
    <d v="2019-11-29T00:00:00"/>
    <x v="665"/>
    <x v="0"/>
    <d v="2019-12-08T00:00:00"/>
    <x v="1"/>
    <x v="0"/>
    <n v="0"/>
    <n v="1"/>
  </r>
  <r>
    <d v="2019-11-29T00:00:00"/>
    <n v="13053"/>
    <s v="WHBH"/>
    <s v="Belo Horizonte"/>
    <s v="MG"/>
    <n v="4171"/>
    <x v="159"/>
    <s v="Manaus"/>
    <s v="AM"/>
    <x v="4"/>
    <s v="AM"/>
    <n v="254.67"/>
    <n v="1"/>
    <n v="0.19400000000000001"/>
    <n v="6700091"/>
    <x v="6"/>
    <s v="Manaus"/>
    <s v="Convencional"/>
    <n v="12"/>
    <d v="2019-11-29T00:00:00"/>
    <x v="664"/>
    <x v="0"/>
    <d v="2019-12-11T00:00:00"/>
    <x v="0"/>
    <x v="0"/>
    <n v="1"/>
    <n v="1"/>
  </r>
  <r>
    <d v="2019-11-30T00:00:00"/>
    <n v="13054"/>
    <s v="WHSJC"/>
    <s v="Sao Jose dos Campos"/>
    <s v="SP"/>
    <n v="4164"/>
    <x v="152"/>
    <s v="Rio Grande do Sul"/>
    <s v="RS"/>
    <x v="0"/>
    <s v="RS"/>
    <n v="234.55"/>
    <n v="1"/>
    <n v="2.42"/>
    <n v="6500948"/>
    <x v="0"/>
    <s v="Porto Alegre"/>
    <s v="Convencional"/>
    <n v="8"/>
    <d v="2019-11-30T00:00:00"/>
    <x v="666"/>
    <x v="0"/>
    <d v="2019-12-08T00:00:00"/>
    <x v="0"/>
    <x v="0"/>
    <n v="1"/>
    <n v="1"/>
  </r>
  <r>
    <d v="2019-11-30T00:00:00"/>
    <n v="13055"/>
    <s v="WHPOA"/>
    <s v="Porto Alegre"/>
    <s v="RS"/>
    <n v="4146"/>
    <x v="134"/>
    <s v="Belo Horizonte"/>
    <s v="MG"/>
    <x v="2"/>
    <s v="MG"/>
    <n v="1581.57"/>
    <n v="1"/>
    <n v="14.08"/>
    <n v="6600879"/>
    <x v="2"/>
    <s v="Belo Horizonte"/>
    <s v="Convencional"/>
    <n v="6"/>
    <d v="2019-11-30T00:00:00"/>
    <x v="659"/>
    <x v="0"/>
    <d v="2019-12-06T00:00:00"/>
    <x v="0"/>
    <x v="0"/>
    <n v="1"/>
    <n v="1"/>
  </r>
  <r>
    <d v="2019-11-29T00:00:00"/>
    <n v="13056"/>
    <s v="WHPOA"/>
    <s v="Porto Alegre"/>
    <s v="RS"/>
    <n v="4018"/>
    <x v="12"/>
    <s v="Sao Jose"/>
    <s v="SC"/>
    <x v="0"/>
    <s v="SC"/>
    <n v="3667.39"/>
    <n v="1"/>
    <n v="26.4"/>
    <n v="6500948"/>
    <x v="0"/>
    <s v="Porto Alegre"/>
    <s v="Convencional"/>
    <n v="12"/>
    <d v="2019-11-30T00:00:00"/>
    <x v="667"/>
    <x v="0"/>
    <d v="2019-12-12T00:00:00"/>
    <x v="0"/>
    <x v="0"/>
    <n v="1"/>
    <n v="1"/>
  </r>
  <r>
    <d v="2019-11-29T00:00:00"/>
    <n v="13057"/>
    <s v="WHSJC"/>
    <s v="Sao Jose dos Campos"/>
    <s v="SP"/>
    <n v="4018"/>
    <x v="12"/>
    <s v="Sao Jose"/>
    <s v="SC"/>
    <x v="0"/>
    <s v="SC"/>
    <n v="209.57"/>
    <n v="2"/>
    <n v="0.35"/>
    <n v="6500948"/>
    <x v="0"/>
    <s v="Porto Alegre"/>
    <s v="Convencional"/>
    <n v="7"/>
    <d v="2019-11-30T00:00:00"/>
    <x v="664"/>
    <x v="0"/>
    <d v="2019-12-07T00:00:00"/>
    <x v="0"/>
    <x v="0"/>
    <n v="1"/>
    <n v="1"/>
  </r>
  <r>
    <d v="2019-11-29T00:00:00"/>
    <n v="13058"/>
    <s v="WHSAO"/>
    <s v="Sao Paulo"/>
    <s v="SP"/>
    <n v="4044"/>
    <x v="48"/>
    <s v="Belo Horizonte"/>
    <s v="MG"/>
    <x v="2"/>
    <s v="MG"/>
    <n v="54.51"/>
    <n v="1"/>
    <n v="0.248"/>
    <n v="6600879"/>
    <x v="2"/>
    <s v="Belo Horizonte"/>
    <s v="Convencional"/>
    <n v="4"/>
    <d v="2019-11-30T00:00:00"/>
    <x v="660"/>
    <x v="0"/>
    <d v="2019-12-04T00:00:00"/>
    <x v="0"/>
    <x v="0"/>
    <n v="1"/>
    <n v="1"/>
  </r>
  <r>
    <d v="2019-11-29T00:00:00"/>
    <n v="13059"/>
    <s v="WHSJC"/>
    <s v="Sao Jose dos Campos"/>
    <s v="SP"/>
    <n v="4045"/>
    <x v="49"/>
    <s v="Belo Horizonte"/>
    <s v="MG"/>
    <x v="2"/>
    <s v="MG"/>
    <n v="3684.39"/>
    <n v="3"/>
    <n v="53.9"/>
    <n v="6600879"/>
    <x v="2"/>
    <s v="Belo Horizonte"/>
    <s v="Convencional"/>
    <n v="7"/>
    <d v="2019-11-30T00:00:00"/>
    <x v="665"/>
    <x v="0"/>
    <d v="2019-12-07T00:00:00"/>
    <x v="1"/>
    <x v="0"/>
    <n v="0"/>
    <n v="1"/>
  </r>
  <r>
    <d v="2019-11-29T00:00:00"/>
    <n v="13060"/>
    <s v="WHRJ"/>
    <s v="Rio De Janeiro"/>
    <s v="RJ"/>
    <n v="4119"/>
    <x v="107"/>
    <s v="Recife"/>
    <s v="PE"/>
    <x v="3"/>
    <s v="PE"/>
    <n v="205.35"/>
    <n v="1"/>
    <n v="1.1200000000000001"/>
    <n v="6900304"/>
    <x v="5"/>
    <s v="Fortaleza"/>
    <s v="Convencional"/>
    <n v="1"/>
    <d v="2019-11-30T00:00:00"/>
    <x v="659"/>
    <x v="0"/>
    <d v="2019-12-01T00:00:00"/>
    <x v="0"/>
    <x v="0"/>
    <n v="1"/>
    <n v="1"/>
  </r>
  <r>
    <d v="2019-11-29T00:00:00"/>
    <n v="13061"/>
    <s v="WHSJC"/>
    <s v="Sao Jose dos Campos"/>
    <s v="SP"/>
    <n v="4019"/>
    <x v="13"/>
    <s v="Florianopolis"/>
    <s v="SC"/>
    <x v="0"/>
    <s v="SC"/>
    <n v="1083.5"/>
    <n v="1"/>
    <n v="1.101"/>
    <n v="6500948"/>
    <x v="0"/>
    <s v="Porto Alegre"/>
    <s v="Convencional"/>
    <n v="2"/>
    <d v="2019-11-30T00:00:00"/>
    <x v="662"/>
    <x v="0"/>
    <d v="2019-12-02T00:00:00"/>
    <x v="1"/>
    <x v="0"/>
    <n v="0"/>
    <n v="1"/>
  </r>
  <r>
    <d v="2019-11-29T00:00:00"/>
    <n v="13062"/>
    <s v="WHBH"/>
    <s v="Belo Horizonte"/>
    <s v="MG"/>
    <n v="4044"/>
    <x v="48"/>
    <s v="Belo Horizonte"/>
    <s v="MG"/>
    <x v="2"/>
    <s v="MG"/>
    <n v="239.19"/>
    <n v="1"/>
    <n v="0.63800000000000001"/>
    <n v="6600879"/>
    <x v="2"/>
    <s v="Belo Horizonte"/>
    <s v="Convencional"/>
    <n v="12"/>
    <d v="2019-11-30T00:00:00"/>
    <x v="662"/>
    <x v="0"/>
    <d v="2019-12-12T00:00:00"/>
    <x v="0"/>
    <x v="0"/>
    <n v="1"/>
    <n v="1"/>
  </r>
  <r>
    <d v="2019-11-29T00:00:00"/>
    <n v="13063"/>
    <s v="WHRJ"/>
    <s v="Rio De Janeiro"/>
    <s v="RJ"/>
    <n v="4045"/>
    <x v="49"/>
    <s v="Belo Horizonte"/>
    <s v="MG"/>
    <x v="2"/>
    <s v="MG"/>
    <n v="1760.4"/>
    <n v="1"/>
    <n v="15.84"/>
    <n v="6600879"/>
    <x v="2"/>
    <s v="Belo Horizonte"/>
    <s v="Convencional"/>
    <n v="6"/>
    <d v="2019-11-30T00:00:00"/>
    <x v="660"/>
    <x v="0"/>
    <d v="2019-12-06T00:00:00"/>
    <x v="0"/>
    <x v="0"/>
    <n v="1"/>
    <n v="1"/>
  </r>
  <r>
    <d v="2019-12-02T00:00:00"/>
    <n v="13064"/>
    <s v="WHBH"/>
    <s v="Belo Horizonte"/>
    <s v="MG"/>
    <n v="4161"/>
    <x v="149"/>
    <s v="Recife"/>
    <s v="PE"/>
    <x v="3"/>
    <s v="PE"/>
    <n v="11.08"/>
    <n v="1"/>
    <n v="0.02"/>
    <n v="6900304"/>
    <x v="5"/>
    <s v="Fortaleza"/>
    <s v="Convencional"/>
    <n v="11"/>
    <d v="2019-12-03T00:00:00"/>
    <x v="665"/>
    <x v="0"/>
    <d v="2019-12-14T00:00:00"/>
    <x v="0"/>
    <x v="0"/>
    <n v="1"/>
    <n v="1"/>
  </r>
  <r>
    <d v="2019-12-02T00:00:00"/>
    <n v="13065"/>
    <s v="WHVIT"/>
    <s v="Vitoria"/>
    <s v="ES"/>
    <n v="4219"/>
    <x v="207"/>
    <s v="Belo Horizonte"/>
    <s v="MG"/>
    <x v="2"/>
    <s v="MG"/>
    <n v="207.61"/>
    <n v="1"/>
    <n v="0.24199999999999999"/>
    <n v="6600879"/>
    <x v="2"/>
    <s v="Belo Horizonte"/>
    <s v="Convencional"/>
    <n v="4"/>
    <d v="2019-12-03T00:00:00"/>
    <x v="665"/>
    <x v="0"/>
    <d v="2019-12-07T00:00:00"/>
    <x v="1"/>
    <x v="0"/>
    <n v="0"/>
    <n v="1"/>
  </r>
  <r>
    <d v="2019-12-02T00:00:00"/>
    <n v="13066"/>
    <s v="WHBH"/>
    <s v="Belo Horizonte"/>
    <s v="MG"/>
    <n v="4260"/>
    <x v="248"/>
    <s v="Rio De Janeiro"/>
    <s v="RJ"/>
    <x v="2"/>
    <s v="RJ"/>
    <n v="35.880000000000003"/>
    <n v="1"/>
    <n v="0.33"/>
    <n v="6140092"/>
    <x v="4"/>
    <s v="Rio de Janeiro"/>
    <s v="Convencional"/>
    <n v="4"/>
    <d v="2019-12-03T00:00:00"/>
    <x v="665"/>
    <x v="0"/>
    <d v="2019-12-07T00:00:00"/>
    <x v="1"/>
    <x v="0"/>
    <n v="0"/>
    <n v="1"/>
  </r>
  <r>
    <d v="2019-12-03T00:00:00"/>
    <n v="13067"/>
    <s v="WHBH"/>
    <s v="Belo Horizonte"/>
    <s v="MG"/>
    <n v="4168"/>
    <x v="156"/>
    <s v="Santos"/>
    <s v="SP"/>
    <x v="2"/>
    <s v="SP"/>
    <n v="150.59"/>
    <n v="1"/>
    <n v="0.14099999999999999"/>
    <n v="6400835"/>
    <x v="3"/>
    <s v="Guarulhos"/>
    <s v="Convencional"/>
    <n v="4"/>
    <d v="2019-12-04T00:00:00"/>
    <x v="661"/>
    <x v="0"/>
    <d v="2019-12-08T00:00:00"/>
    <x v="0"/>
    <x v="0"/>
    <n v="1"/>
    <n v="1"/>
  </r>
  <r>
    <d v="2019-12-03T00:00:00"/>
    <n v="13068"/>
    <s v="WHBH"/>
    <s v="Belo Horizonte"/>
    <s v="MG"/>
    <n v="4205"/>
    <x v="193"/>
    <s v="Belo Horizonte"/>
    <s v="MG"/>
    <x v="2"/>
    <s v="MG"/>
    <n v="280.43"/>
    <n v="1"/>
    <n v="0.105"/>
    <n v="6600879"/>
    <x v="2"/>
    <s v="Belo Horizonte"/>
    <s v="Convencional"/>
    <n v="10"/>
    <d v="2019-12-04T00:00:00"/>
    <x v="663"/>
    <x v="0"/>
    <d v="2019-12-14T00:00:00"/>
    <x v="0"/>
    <x v="0"/>
    <n v="1"/>
    <n v="1"/>
  </r>
  <r>
    <d v="2019-12-03T00:00:00"/>
    <n v="13069"/>
    <s v="WHBH"/>
    <s v="Belo Horizonte"/>
    <s v="MG"/>
    <n v="4148"/>
    <x v="136"/>
    <s v="Sao Paulo"/>
    <s v="SP"/>
    <x v="2"/>
    <s v="SP"/>
    <n v="60.8"/>
    <n v="1"/>
    <n v="0.14299999999999999"/>
    <n v="6400835"/>
    <x v="3"/>
    <s v="Guarulhos"/>
    <s v="Convencional"/>
    <n v="10"/>
    <d v="2019-12-04T00:00:00"/>
    <x v="668"/>
    <x v="0"/>
    <d v="2019-12-14T00:00:00"/>
    <x v="0"/>
    <x v="0"/>
    <n v="1"/>
    <n v="1"/>
  </r>
  <r>
    <d v="2019-12-04T00:00:00"/>
    <n v="13070"/>
    <s v="WHVIT"/>
    <s v="Vitoria"/>
    <s v="ES"/>
    <n v="4156"/>
    <x v="144"/>
    <s v="Rio Grande do Sul"/>
    <s v="RS"/>
    <x v="0"/>
    <s v="RS"/>
    <n v="102.73"/>
    <n v="2"/>
    <n v="0.50800000000000001"/>
    <n v="6500948"/>
    <x v="0"/>
    <s v="Porto Alegre"/>
    <s v="Convencional"/>
    <n v="7"/>
    <d v="2019-12-05T00:00:00"/>
    <x v="667"/>
    <x v="0"/>
    <d v="2019-12-12T00:00:00"/>
    <x v="0"/>
    <x v="0"/>
    <n v="1"/>
    <n v="1"/>
  </r>
  <r>
    <d v="2019-12-04T00:00:00"/>
    <n v="13071"/>
    <s v="WHCPQ"/>
    <s v="Campinas"/>
    <s v="SP"/>
    <n v="4267"/>
    <x v="255"/>
    <s v="Belo Horizonte"/>
    <s v="MG"/>
    <x v="2"/>
    <s v="MG"/>
    <n v="924.36"/>
    <n v="1"/>
    <n v="0.14399999999999999"/>
    <n v="6600879"/>
    <x v="2"/>
    <s v="Belo Horizonte"/>
    <s v="Convencional"/>
    <n v="1"/>
    <d v="2019-12-05T00:00:00"/>
    <x v="665"/>
    <x v="0"/>
    <d v="2019-12-06T00:00:00"/>
    <x v="1"/>
    <x v="0"/>
    <n v="0"/>
    <n v="1"/>
  </r>
  <r>
    <d v="2019-12-04T00:00:00"/>
    <n v="13072"/>
    <s v="WHSAO"/>
    <s v="Sao Paulo"/>
    <s v="SP"/>
    <n v="4230"/>
    <x v="218"/>
    <s v="Belo Horizonte"/>
    <s v="MG"/>
    <x v="2"/>
    <s v="MG"/>
    <n v="214.01"/>
    <n v="1"/>
    <n v="1.137"/>
    <n v="6600879"/>
    <x v="2"/>
    <s v="Belo Horizonte"/>
    <s v="Convencional"/>
    <n v="1"/>
    <d v="2019-12-05T00:00:00"/>
    <x v="669"/>
    <x v="0"/>
    <d v="2019-12-06T00:00:00"/>
    <x v="1"/>
    <x v="0"/>
    <n v="0"/>
    <n v="1"/>
  </r>
  <r>
    <d v="2019-12-06T00:00:00"/>
    <n v="13073"/>
    <s v="WHPOA"/>
    <s v="Porto Alegre"/>
    <s v="RS"/>
    <n v="4155"/>
    <x v="143"/>
    <s v="Sao Paulo"/>
    <s v="SP"/>
    <x v="2"/>
    <s v="SP"/>
    <n v="151.31"/>
    <n v="1"/>
    <n v="0.51700000000000002"/>
    <n v="6400835"/>
    <x v="3"/>
    <s v="Guarulhos"/>
    <s v="Convencional"/>
    <n v="2"/>
    <d v="2019-12-07T00:00:00"/>
    <x v="665"/>
    <x v="0"/>
    <d v="2019-12-09T00:00:00"/>
    <x v="0"/>
    <x v="0"/>
    <n v="1"/>
    <n v="1"/>
  </r>
  <r>
    <d v="2019-12-06T00:00:00"/>
    <n v="13074"/>
    <s v="WHSAO"/>
    <s v="Sao Paulo"/>
    <s v="SP"/>
    <n v="4218"/>
    <x v="206"/>
    <s v="Santos"/>
    <s v="SP"/>
    <x v="2"/>
    <s v="SP"/>
    <n v="151.31"/>
    <n v="1"/>
    <n v="0.42799999999999999"/>
    <n v="6400835"/>
    <x v="3"/>
    <s v="Guarulhos"/>
    <s v="Convencional"/>
    <n v="2"/>
    <d v="2019-12-07T00:00:00"/>
    <x v="670"/>
    <x v="0"/>
    <d v="2019-12-09T00:00:00"/>
    <x v="1"/>
    <x v="0"/>
    <n v="0"/>
    <n v="1"/>
  </r>
  <r>
    <d v="2019-12-06T00:00:00"/>
    <n v="13075"/>
    <s v="WHSAO"/>
    <s v="Sao Paulo"/>
    <s v="SP"/>
    <n v="4165"/>
    <x v="153"/>
    <s v="Recife"/>
    <s v="PE"/>
    <x v="3"/>
    <s v="PE"/>
    <n v="2146.71"/>
    <n v="8"/>
    <n v="11.593999999999999"/>
    <n v="6900304"/>
    <x v="5"/>
    <s v="Fortaleza"/>
    <s v="Convencional"/>
    <n v="12"/>
    <d v="2019-12-07T00:00:00"/>
    <x v="669"/>
    <x v="2"/>
    <d v="2019-12-19T00:00:00"/>
    <x v="0"/>
    <x v="1"/>
    <n v="0"/>
    <n v="1"/>
  </r>
  <r>
    <d v="2019-12-06T00:00:00"/>
    <n v="13076"/>
    <s v="WHBH"/>
    <s v="Belo Horizonte"/>
    <s v="MG"/>
    <n v="4096"/>
    <x v="84"/>
    <s v="Rio De Janeiro"/>
    <s v="RJ"/>
    <x v="2"/>
    <s v="RJ"/>
    <n v="1053.03"/>
    <n v="2"/>
    <n v="3.4740000000000002"/>
    <n v="6140092"/>
    <x v="4"/>
    <s v="Rio de Janeiro"/>
    <s v="Convencional"/>
    <n v="12"/>
    <d v="2019-12-07T00:00:00"/>
    <x v="671"/>
    <x v="0"/>
    <d v="2019-12-19T00:00:00"/>
    <x v="0"/>
    <x v="0"/>
    <n v="1"/>
    <n v="1"/>
  </r>
  <r>
    <d v="2019-12-06T00:00:00"/>
    <n v="13077"/>
    <s v="WHSAO"/>
    <s v="Sao Paulo"/>
    <s v="SP"/>
    <n v="4132"/>
    <x v="120"/>
    <s v="Santos"/>
    <s v="SP"/>
    <x v="2"/>
    <s v="SP"/>
    <n v="187.28"/>
    <n v="11"/>
    <n v="35.841999999999999"/>
    <n v="6400835"/>
    <x v="3"/>
    <s v="Guarulhos"/>
    <s v="Convencional"/>
    <n v="5"/>
    <d v="2019-12-07T00:00:00"/>
    <x v="672"/>
    <x v="0"/>
    <d v="2019-12-12T00:00:00"/>
    <x v="0"/>
    <x v="0"/>
    <n v="1"/>
    <n v="1"/>
  </r>
  <r>
    <d v="2019-12-06T00:00:00"/>
    <n v="13078"/>
    <s v="WHVIT"/>
    <s v="Vitoria"/>
    <s v="ES"/>
    <n v="4133"/>
    <x v="121"/>
    <s v="Belo Horizonte"/>
    <s v="MG"/>
    <x v="2"/>
    <s v="MG"/>
    <n v="4700.83"/>
    <n v="1"/>
    <n v="1.1200000000000001"/>
    <n v="6600879"/>
    <x v="2"/>
    <s v="Belo Horizonte"/>
    <s v="Convencional"/>
    <n v="5"/>
    <d v="2019-12-07T00:00:00"/>
    <x v="673"/>
    <x v="0"/>
    <d v="2019-12-12T00:00:00"/>
    <x v="1"/>
    <x v="0"/>
    <n v="0"/>
    <n v="1"/>
  </r>
  <r>
    <d v="2019-12-06T00:00:00"/>
    <n v="13079"/>
    <s v="WHBH"/>
    <s v="Belo Horizonte"/>
    <s v="MG"/>
    <n v="4159"/>
    <x v="147"/>
    <s v="Manaus"/>
    <s v="AM"/>
    <x v="4"/>
    <s v="AM"/>
    <n v="275.98"/>
    <n v="1"/>
    <n v="0.16200000000000001"/>
    <n v="6700091"/>
    <x v="6"/>
    <s v="Manaus"/>
    <s v="Convencional"/>
    <n v="7"/>
    <d v="2019-12-07T00:00:00"/>
    <x v="672"/>
    <x v="0"/>
    <d v="2019-12-14T00:00:00"/>
    <x v="0"/>
    <x v="0"/>
    <n v="1"/>
    <n v="1"/>
  </r>
  <r>
    <d v="2019-12-06T00:00:00"/>
    <n v="13080"/>
    <s v="WHVIT"/>
    <s v="Vitoria"/>
    <s v="ES"/>
    <n v="4267"/>
    <x v="255"/>
    <s v="Belo Horizonte"/>
    <s v="MG"/>
    <x v="2"/>
    <s v="MG"/>
    <n v="121.2"/>
    <n v="1"/>
    <n v="1.01"/>
    <n v="6600879"/>
    <x v="2"/>
    <s v="Belo Horizonte"/>
    <s v="Convencional"/>
    <n v="11"/>
    <d v="2019-12-07T00:00:00"/>
    <x v="665"/>
    <x v="0"/>
    <d v="2019-12-18T00:00:00"/>
    <x v="0"/>
    <x v="0"/>
    <n v="1"/>
    <n v="1"/>
  </r>
  <r>
    <d v="2019-12-07T00:00:00"/>
    <n v="13081"/>
    <s v="WHSJC"/>
    <s v="Sao Jose dos Campos"/>
    <s v="SP"/>
    <n v="4233"/>
    <x v="221"/>
    <s v="Belo Horizonte"/>
    <s v="MG"/>
    <x v="2"/>
    <s v="MG"/>
    <n v="189.06"/>
    <n v="1"/>
    <n v="1.6830000000000001"/>
    <n v="6600879"/>
    <x v="2"/>
    <s v="Belo Horizonte"/>
    <s v="Convencional"/>
    <n v="2"/>
    <d v="2019-12-08T00:00:00"/>
    <x v="673"/>
    <x v="0"/>
    <d v="2019-12-10T00:00:00"/>
    <x v="1"/>
    <x v="0"/>
    <n v="0"/>
    <n v="1"/>
  </r>
  <r>
    <d v="2019-12-09T00:00:00"/>
    <n v="13082"/>
    <s v="WHRJ"/>
    <s v="Rio De Janeiro"/>
    <s v="RJ"/>
    <n v="4147"/>
    <x v="135"/>
    <s v="Belo Horizonte"/>
    <s v="MG"/>
    <x v="2"/>
    <s v="MG"/>
    <n v="82.86"/>
    <n v="1"/>
    <n v="5.5E-2"/>
    <n v="6600879"/>
    <x v="2"/>
    <s v="Belo Horizonte"/>
    <s v="Convencional"/>
    <n v="5"/>
    <d v="2019-12-10T00:00:00"/>
    <x v="674"/>
    <x v="0"/>
    <d v="2019-12-15T00:00:00"/>
    <x v="0"/>
    <x v="0"/>
    <n v="1"/>
    <n v="1"/>
  </r>
  <r>
    <d v="2019-12-09T00:00:00"/>
    <n v="13083"/>
    <s v="WHPOA"/>
    <s v="Porto Alegre"/>
    <s v="RS"/>
    <n v="4173"/>
    <x v="161"/>
    <s v="Belo Horizonte"/>
    <s v="MG"/>
    <x v="2"/>
    <s v="MG"/>
    <n v="100.83"/>
    <n v="1"/>
    <n v="0.89800000000000002"/>
    <n v="6600879"/>
    <x v="2"/>
    <s v="Belo Horizonte"/>
    <s v="Convencional"/>
    <n v="3"/>
    <d v="2019-12-10T00:00:00"/>
    <x v="675"/>
    <x v="0"/>
    <d v="2019-12-13T00:00:00"/>
    <x v="1"/>
    <x v="0"/>
    <n v="0"/>
    <n v="1"/>
  </r>
  <r>
    <d v="2019-12-09T00:00:00"/>
    <n v="13084"/>
    <s v="WHSJC"/>
    <s v="Sao Jose dos Campos"/>
    <s v="SP"/>
    <n v="4193"/>
    <x v="181"/>
    <s v="Sao Paulo"/>
    <s v="SP"/>
    <x v="2"/>
    <s v="SP"/>
    <n v="41.55"/>
    <n v="1"/>
    <n v="6.0000000000000001E-3"/>
    <n v="6400835"/>
    <x v="3"/>
    <s v="Guarulhos"/>
    <s v="Convencional"/>
    <n v="4"/>
    <d v="2019-12-10T00:00:00"/>
    <x v="670"/>
    <x v="0"/>
    <d v="2019-12-14T00:00:00"/>
    <x v="1"/>
    <x v="0"/>
    <n v="0"/>
    <n v="1"/>
  </r>
  <r>
    <d v="2019-12-09T00:00:00"/>
    <n v="13085"/>
    <s v="WHPOA"/>
    <s v="Porto Alegre"/>
    <s v="RS"/>
    <n v="4033"/>
    <x v="35"/>
    <s v="Goiania"/>
    <s v="GO"/>
    <x v="1"/>
    <s v="GO"/>
    <n v="29.39"/>
    <n v="1"/>
    <n v="1.0999999999999999E-2"/>
    <n v="6100231"/>
    <x v="1"/>
    <s v="Goiania"/>
    <s v="Convencional"/>
    <n v="10"/>
    <d v="2019-12-10T00:00:00"/>
    <x v="671"/>
    <x v="0"/>
    <d v="2019-12-20T00:00:00"/>
    <x v="0"/>
    <x v="0"/>
    <n v="1"/>
    <n v="1"/>
  </r>
  <r>
    <d v="2019-12-09T00:00:00"/>
    <n v="13086"/>
    <s v="WHBH"/>
    <s v="Belo Horizonte"/>
    <s v="MG"/>
    <n v="4233"/>
    <x v="221"/>
    <s v="Belo Horizonte"/>
    <s v="MG"/>
    <x v="2"/>
    <s v="MG"/>
    <n v="30.71"/>
    <n v="1"/>
    <n v="0.33"/>
    <n v="6600879"/>
    <x v="2"/>
    <s v="Belo Horizonte"/>
    <s v="Convencional"/>
    <n v="11"/>
    <d v="2019-12-10T00:00:00"/>
    <x v="670"/>
    <x v="0"/>
    <d v="2019-12-21T00:00:00"/>
    <x v="0"/>
    <x v="0"/>
    <n v="1"/>
    <n v="1"/>
  </r>
  <r>
    <d v="2019-12-10T00:00:00"/>
    <n v="13087"/>
    <s v="WHBH"/>
    <s v="Belo Horizonte"/>
    <s v="MG"/>
    <n v="4137"/>
    <x v="125"/>
    <s v="Sao Paulo"/>
    <s v="SP"/>
    <x v="2"/>
    <s v="SP"/>
    <n v="51.9"/>
    <n v="1"/>
    <n v="2.1999999999999999E-2"/>
    <n v="6400835"/>
    <x v="3"/>
    <s v="Guarulhos"/>
    <s v="Convencional"/>
    <n v="8"/>
    <d v="2019-12-11T00:00:00"/>
    <x v="669"/>
    <x v="0"/>
    <d v="2019-12-19T00:00:00"/>
    <x v="0"/>
    <x v="0"/>
    <n v="1"/>
    <n v="1"/>
  </r>
  <r>
    <d v="2019-12-10T00:00:00"/>
    <n v="13088"/>
    <s v="WHSAO"/>
    <s v="Sao Paulo"/>
    <s v="SP"/>
    <n v="4137"/>
    <x v="125"/>
    <s v="Sao Paulo"/>
    <s v="SP"/>
    <x v="2"/>
    <s v="SP"/>
    <n v="2035.41"/>
    <n v="1"/>
    <n v="1.3640000000000001"/>
    <n v="6400835"/>
    <x v="3"/>
    <s v="Guarulhos"/>
    <s v="Urgente"/>
    <n v="12"/>
    <d v="2019-12-11T00:00:00"/>
    <x v="671"/>
    <x v="0"/>
    <d v="2019-12-23T00:00:00"/>
    <x v="0"/>
    <x v="0"/>
    <n v="1"/>
    <n v="1"/>
  </r>
  <r>
    <d v="2019-12-10T00:00:00"/>
    <n v="13089"/>
    <s v="WHRJ"/>
    <s v="Rio De Janeiro"/>
    <s v="RJ"/>
    <n v="4231"/>
    <x v="219"/>
    <s v="Rio De Janeiro"/>
    <s v="RJ"/>
    <x v="2"/>
    <s v="RJ"/>
    <n v="1408.94"/>
    <n v="1"/>
    <n v="13.984"/>
    <n v="6140092"/>
    <x v="4"/>
    <s v="Rio de Janeiro"/>
    <s v="Convencional"/>
    <n v="10"/>
    <d v="2019-12-11T00:00:00"/>
    <x v="670"/>
    <x v="0"/>
    <d v="2019-12-21T00:00:00"/>
    <x v="0"/>
    <x v="0"/>
    <n v="1"/>
    <n v="1"/>
  </r>
  <r>
    <d v="2019-12-10T00:00:00"/>
    <n v="13090"/>
    <s v="WHSAO"/>
    <s v="Sao Paulo"/>
    <s v="SP"/>
    <n v="4190"/>
    <x v="178"/>
    <s v="Belo Horizonte"/>
    <s v="MG"/>
    <x v="2"/>
    <s v="MG"/>
    <n v="53.87"/>
    <n v="1"/>
    <n v="0.44900000000000001"/>
    <n v="6600879"/>
    <x v="2"/>
    <s v="Belo Horizonte"/>
    <s v="Convencional"/>
    <n v="2"/>
    <d v="2019-12-11T00:00:00"/>
    <x v="676"/>
    <x v="2"/>
    <d v="2019-12-13T00:00:00"/>
    <x v="1"/>
    <x v="1"/>
    <n v="0"/>
    <n v="1"/>
  </r>
  <r>
    <d v="2019-12-11T00:00:00"/>
    <n v="13091"/>
    <s v="WHCPQ"/>
    <s v="Campinas"/>
    <s v="SP"/>
    <n v="4253"/>
    <x v="241"/>
    <s v="Recife"/>
    <s v="PE"/>
    <x v="3"/>
    <s v="PE"/>
    <n v="21.39"/>
    <n v="1"/>
    <n v="5.5E-2"/>
    <n v="6900304"/>
    <x v="5"/>
    <s v="Fortaleza"/>
    <s v="Convencional"/>
    <n v="8"/>
    <d v="2019-12-12T00:00:00"/>
    <x v="675"/>
    <x v="0"/>
    <d v="2019-12-20T00:00:00"/>
    <x v="0"/>
    <x v="0"/>
    <n v="1"/>
    <n v="1"/>
  </r>
  <r>
    <d v="2019-12-12T00:00:00"/>
    <n v="13092"/>
    <s v="WHCPQ"/>
    <s v="Campinas"/>
    <s v="SP"/>
    <n v="4172"/>
    <x v="160"/>
    <s v="Santos"/>
    <s v="SP"/>
    <x v="2"/>
    <s v="SP"/>
    <n v="85.56"/>
    <n v="1"/>
    <n v="0.22"/>
    <n v="6400835"/>
    <x v="3"/>
    <s v="Guarulhos"/>
    <s v="Convencional"/>
    <n v="10"/>
    <d v="2019-12-13T00:00:00"/>
    <x v="677"/>
    <x v="0"/>
    <d v="2019-12-23T00:00:00"/>
    <x v="0"/>
    <x v="0"/>
    <n v="1"/>
    <n v="1"/>
  </r>
  <r>
    <d v="2019-12-12T00:00:00"/>
    <n v="13093"/>
    <s v="WHSAO"/>
    <s v="Sao Paulo"/>
    <s v="SP"/>
    <n v="4172"/>
    <x v="160"/>
    <s v="Santos"/>
    <s v="SP"/>
    <x v="2"/>
    <s v="SP"/>
    <n v="258.5"/>
    <n v="1"/>
    <n v="1.137"/>
    <n v="6400835"/>
    <x v="3"/>
    <s v="Guarulhos"/>
    <s v="Convencional"/>
    <n v="4"/>
    <d v="2019-12-13T00:00:00"/>
    <x v="678"/>
    <x v="2"/>
    <d v="2019-12-17T00:00:00"/>
    <x v="1"/>
    <x v="1"/>
    <n v="0"/>
    <n v="1"/>
  </r>
  <r>
    <d v="2019-12-12T00:00:00"/>
    <n v="13094"/>
    <s v="WHRJ"/>
    <s v="Rio De Janeiro"/>
    <s v="RJ"/>
    <n v="4172"/>
    <x v="160"/>
    <s v="Santos"/>
    <s v="SP"/>
    <x v="2"/>
    <s v="SP"/>
    <n v="258.5"/>
    <n v="1"/>
    <n v="1.137"/>
    <n v="6400835"/>
    <x v="3"/>
    <s v="Guarulhos"/>
    <s v="Convencional"/>
    <n v="1"/>
    <d v="2019-12-13T00:00:00"/>
    <x v="675"/>
    <x v="0"/>
    <d v="2019-12-14T00:00:00"/>
    <x v="1"/>
    <x v="0"/>
    <n v="0"/>
    <n v="1"/>
  </r>
  <r>
    <d v="2019-12-12T00:00:00"/>
    <n v="13095"/>
    <s v="WHVIT"/>
    <s v="Vitoria"/>
    <s v="ES"/>
    <n v="4172"/>
    <x v="160"/>
    <s v="Santos"/>
    <s v="SP"/>
    <x v="2"/>
    <s v="SP"/>
    <n v="522.09"/>
    <n v="1"/>
    <n v="2.024"/>
    <n v="6400835"/>
    <x v="3"/>
    <s v="Guarulhos"/>
    <s v="Convencional"/>
    <n v="10"/>
    <d v="2019-12-13T00:00:00"/>
    <x v="670"/>
    <x v="0"/>
    <d v="2019-12-23T00:00:00"/>
    <x v="0"/>
    <x v="0"/>
    <n v="1"/>
    <n v="1"/>
  </r>
  <r>
    <d v="2019-12-12T00:00:00"/>
    <n v="13096"/>
    <s v="WHVIT"/>
    <s v="Vitoria"/>
    <s v="ES"/>
    <n v="4191"/>
    <x v="179"/>
    <s v="Manaus"/>
    <s v="AM"/>
    <x v="4"/>
    <s v="AM"/>
    <n v="666.1"/>
    <n v="1"/>
    <n v="0.77600000000000002"/>
    <n v="6700091"/>
    <x v="6"/>
    <s v="Manaus"/>
    <s v="Convencional"/>
    <n v="8"/>
    <d v="2019-12-13T00:00:00"/>
    <x v="676"/>
    <x v="0"/>
    <d v="2019-12-21T00:00:00"/>
    <x v="0"/>
    <x v="0"/>
    <n v="1"/>
    <n v="1"/>
  </r>
  <r>
    <d v="2019-12-12T00:00:00"/>
    <n v="13097"/>
    <s v="WHCPQ"/>
    <s v="Campinas"/>
    <s v="SP"/>
    <n v="4024"/>
    <x v="21"/>
    <s v="Porto Alegre"/>
    <s v="RS"/>
    <x v="0"/>
    <s v="RS"/>
    <n v="6231.74"/>
    <n v="11"/>
    <n v="50.387"/>
    <n v="6500948"/>
    <x v="0"/>
    <s v="Porto Alegre"/>
    <s v="Convencional"/>
    <n v="8"/>
    <d v="2019-12-13T00:00:00"/>
    <x v="678"/>
    <x v="0"/>
    <d v="2019-12-21T00:00:00"/>
    <x v="0"/>
    <x v="0"/>
    <n v="1"/>
    <n v="1"/>
  </r>
  <r>
    <d v="2019-12-12T00:00:00"/>
    <n v="13098"/>
    <s v="WHVIT"/>
    <s v="Vitoria"/>
    <s v="ES"/>
    <n v="4017"/>
    <x v="10"/>
    <s v="Itajai"/>
    <s v="SC"/>
    <x v="0"/>
    <s v="SC"/>
    <n v="966.14"/>
    <n v="1"/>
    <n v="5.3680000000000003"/>
    <n v="6500948"/>
    <x v="0"/>
    <s v="Porto Alegre"/>
    <s v="Convencional"/>
    <n v="12"/>
    <d v="2019-12-13T00:00:00"/>
    <x v="679"/>
    <x v="0"/>
    <d v="2019-12-25T00:00:00"/>
    <x v="0"/>
    <x v="0"/>
    <n v="1"/>
    <n v="1"/>
  </r>
  <r>
    <d v="2019-12-12T00:00:00"/>
    <n v="13099"/>
    <s v="WHCPQ"/>
    <s v="Campinas"/>
    <s v="SP"/>
    <n v="4017"/>
    <x v="10"/>
    <s v="Itajai"/>
    <s v="SC"/>
    <x v="0"/>
    <s v="SC"/>
    <n v="3193.72"/>
    <n v="4"/>
    <n v="33.430999999999997"/>
    <n v="6500948"/>
    <x v="0"/>
    <s v="Porto Alegre"/>
    <s v="Convencional"/>
    <n v="4"/>
    <d v="2019-12-13T00:00:00"/>
    <x v="671"/>
    <x v="0"/>
    <d v="2019-12-17T00:00:00"/>
    <x v="0"/>
    <x v="0"/>
    <n v="1"/>
    <n v="1"/>
  </r>
  <r>
    <d v="2019-12-12T00:00:00"/>
    <n v="13100"/>
    <s v="WHVIT"/>
    <s v="Vitoria"/>
    <s v="ES"/>
    <n v="4137"/>
    <x v="125"/>
    <s v="Sao Paulo"/>
    <s v="SP"/>
    <x v="2"/>
    <s v="SP"/>
    <n v="649.29999999999995"/>
    <n v="1"/>
    <n v="1.1000000000000001"/>
    <n v="6400835"/>
    <x v="3"/>
    <s v="Guarulhos"/>
    <s v="Convencional"/>
    <n v="5"/>
    <d v="2019-12-13T00:00:00"/>
    <x v="675"/>
    <x v="0"/>
    <d v="2019-12-18T00:00:00"/>
    <x v="0"/>
    <x v="0"/>
    <n v="1"/>
    <n v="1"/>
  </r>
  <r>
    <d v="2019-12-13T00:00:00"/>
    <n v="13101"/>
    <s v="WHPOA"/>
    <s v="Porto Alegre"/>
    <s v="RS"/>
    <n v="4149"/>
    <x v="137"/>
    <s v="Santos"/>
    <s v="SP"/>
    <x v="2"/>
    <s v="SP"/>
    <n v="1085.02"/>
    <n v="1"/>
    <n v="11.837999999999999"/>
    <n v="6400835"/>
    <x v="3"/>
    <s v="Guarulhos"/>
    <s v="Convencional"/>
    <n v="8"/>
    <d v="2019-12-14T00:00:00"/>
    <x v="673"/>
    <x v="0"/>
    <d v="2019-12-22T00:00:00"/>
    <x v="0"/>
    <x v="0"/>
    <n v="1"/>
    <n v="1"/>
  </r>
  <r>
    <d v="2019-12-14T00:00:00"/>
    <n v="13102"/>
    <s v="WHCPQ"/>
    <s v="Campinas"/>
    <s v="SP"/>
    <n v="4233"/>
    <x v="221"/>
    <s v="Belo Horizonte"/>
    <s v="MG"/>
    <x v="2"/>
    <s v="MG"/>
    <n v="96.18"/>
    <n v="1"/>
    <n v="0.316"/>
    <n v="6600879"/>
    <x v="2"/>
    <s v="Belo Horizonte"/>
    <s v="Convencional"/>
    <n v="5"/>
    <d v="2019-12-15T00:00:00"/>
    <x v="678"/>
    <x v="0"/>
    <d v="2019-12-20T00:00:00"/>
    <x v="0"/>
    <x v="0"/>
    <n v="1"/>
    <n v="1"/>
  </r>
  <r>
    <d v="2019-12-16T00:00:00"/>
    <n v="13103"/>
    <s v="WHPOA"/>
    <s v="Porto Alegre"/>
    <s v="RS"/>
    <n v="4146"/>
    <x v="134"/>
    <s v="Belo Horizonte"/>
    <s v="MG"/>
    <x v="2"/>
    <s v="MG"/>
    <n v="606.70000000000005"/>
    <n v="5"/>
    <n v="13.212"/>
    <n v="6600879"/>
    <x v="2"/>
    <s v="Belo Horizonte"/>
    <s v="Convencional"/>
    <n v="8"/>
    <d v="2019-12-17T00:00:00"/>
    <x v="677"/>
    <x v="0"/>
    <d v="2019-12-25T00:00:00"/>
    <x v="0"/>
    <x v="0"/>
    <n v="1"/>
    <n v="1"/>
  </r>
  <r>
    <d v="2019-12-16T00:00:00"/>
    <n v="13104"/>
    <s v="WHCPQ"/>
    <s v="Campinas"/>
    <s v="SP"/>
    <n v="4196"/>
    <x v="184"/>
    <s v="Manaus"/>
    <s v="AM"/>
    <x v="4"/>
    <s v="AM"/>
    <n v="3002.74"/>
    <n v="1"/>
    <n v="1.1200000000000001"/>
    <n v="6700091"/>
    <x v="6"/>
    <s v="Manaus"/>
    <s v="Convencional"/>
    <n v="7"/>
    <d v="2019-12-17T00:00:00"/>
    <x v="676"/>
    <x v="0"/>
    <d v="2019-12-24T00:00:00"/>
    <x v="0"/>
    <x v="0"/>
    <n v="1"/>
    <n v="1"/>
  </r>
  <r>
    <d v="2019-12-16T00:00:00"/>
    <n v="13105"/>
    <s v="WHCPQ"/>
    <s v="Campinas"/>
    <s v="SP"/>
    <n v="4233"/>
    <x v="221"/>
    <s v="Belo Horizonte"/>
    <s v="MG"/>
    <x v="2"/>
    <s v="MG"/>
    <n v="1337.24"/>
    <n v="4"/>
    <n v="4.2919999999999998"/>
    <n v="6600879"/>
    <x v="2"/>
    <s v="Belo Horizonte"/>
    <s v="Convencional"/>
    <n v="7"/>
    <d v="2019-12-17T00:00:00"/>
    <x v="680"/>
    <x v="0"/>
    <d v="2019-12-24T00:00:00"/>
    <x v="1"/>
    <x v="0"/>
    <n v="0"/>
    <n v="1"/>
  </r>
  <r>
    <d v="2019-12-16T00:00:00"/>
    <n v="13106"/>
    <s v="WHSAO"/>
    <s v="Sao Paulo"/>
    <s v="SP"/>
    <n v="4233"/>
    <x v="221"/>
    <s v="Belo Horizonte"/>
    <s v="MG"/>
    <x v="2"/>
    <s v="MG"/>
    <n v="17178.27"/>
    <n v="27"/>
    <n v="110.667"/>
    <n v="6600879"/>
    <x v="2"/>
    <s v="Belo Horizonte"/>
    <s v="Convencional"/>
    <n v="9"/>
    <d v="2019-12-17T00:00:00"/>
    <x v="681"/>
    <x v="1"/>
    <d v="2019-12-26T00:00:00"/>
    <x v="0"/>
    <x v="1"/>
    <n v="0"/>
    <n v="1"/>
  </r>
  <r>
    <d v="2019-12-18T00:00:00"/>
    <n v="13107"/>
    <s v="WHCPQ"/>
    <s v="Campinas"/>
    <s v="SP"/>
    <n v="4050"/>
    <x v="52"/>
    <s v="Campo Grande"/>
    <s v="MS"/>
    <x v="1"/>
    <s v="MS"/>
    <n v="216.93"/>
    <n v="8"/>
    <n v="14.712999999999999"/>
    <n v="6100231"/>
    <x v="1"/>
    <s v="Goiania"/>
    <s v="Convencional"/>
    <n v="2"/>
    <d v="2019-12-18T00:00:00"/>
    <x v="679"/>
    <x v="0"/>
    <d v="2019-12-20T00:00:00"/>
    <x v="0"/>
    <x v="0"/>
    <n v="1"/>
    <n v="1"/>
  </r>
  <r>
    <d v="2019-12-17T00:00:00"/>
    <n v="13108"/>
    <s v="WHSJC"/>
    <s v="Sao Jose dos Campos"/>
    <s v="SP"/>
    <n v="4268"/>
    <x v="256"/>
    <s v="Recife"/>
    <s v="PE"/>
    <x v="3"/>
    <s v="PE"/>
    <n v="2910.47"/>
    <n v="1"/>
    <n v="1.1200000000000001"/>
    <n v="6900304"/>
    <x v="5"/>
    <s v="Fortaleza"/>
    <s v="Convencional"/>
    <n v="10"/>
    <d v="2019-12-18T00:00:00"/>
    <x v="682"/>
    <x v="0"/>
    <d v="2019-12-28T00:00:00"/>
    <x v="0"/>
    <x v="0"/>
    <n v="1"/>
    <n v="1"/>
  </r>
  <r>
    <d v="2019-12-17T00:00:00"/>
    <n v="13109"/>
    <s v="WHVIT"/>
    <s v="Vitoria"/>
    <s v="ES"/>
    <n v="4269"/>
    <x v="257"/>
    <s v="Sao Paulo"/>
    <s v="SP"/>
    <x v="2"/>
    <s v="SP"/>
    <n v="2576.9499999999998"/>
    <n v="14"/>
    <n v="54.921999999999997"/>
    <n v="6400835"/>
    <x v="3"/>
    <s v="Guarulhos"/>
    <s v="Convencional"/>
    <n v="1"/>
    <d v="2019-12-18T00:00:00"/>
    <x v="681"/>
    <x v="0"/>
    <d v="2019-12-19T00:00:00"/>
    <x v="1"/>
    <x v="0"/>
    <n v="0"/>
    <n v="1"/>
  </r>
  <r>
    <d v="2019-12-17T00:00:00"/>
    <n v="13110"/>
    <s v="WHSJC"/>
    <s v="Sao Jose dos Campos"/>
    <s v="SP"/>
    <n v="4106"/>
    <x v="94"/>
    <s v="Rio De Janeiro"/>
    <s v="RJ"/>
    <x v="2"/>
    <s v="RJ"/>
    <n v="6072.25"/>
    <n v="1"/>
    <n v="1.1200000000000001"/>
    <n v="6140092"/>
    <x v="4"/>
    <s v="Rio de Janeiro"/>
    <s v="Convencional"/>
    <n v="8"/>
    <d v="2019-12-18T00:00:00"/>
    <x v="678"/>
    <x v="0"/>
    <d v="2019-12-26T00:00:00"/>
    <x v="0"/>
    <x v="0"/>
    <n v="1"/>
    <n v="1"/>
  </r>
  <r>
    <d v="2019-12-17T00:00:00"/>
    <n v="13111"/>
    <s v="WHBH"/>
    <s v="Belo Horizonte"/>
    <s v="MG"/>
    <n v="4270"/>
    <x v="258"/>
    <s v="Belo Horizonte"/>
    <s v="MG"/>
    <x v="2"/>
    <s v="MG"/>
    <n v="21552.92"/>
    <n v="26"/>
    <n v="99.718000000000004"/>
    <n v="6600879"/>
    <x v="2"/>
    <s v="Belo Horizonte"/>
    <s v="Convencional"/>
    <n v="8"/>
    <d v="2019-12-18T00:00:00"/>
    <x v="677"/>
    <x v="0"/>
    <d v="2019-12-26T00:00:00"/>
    <x v="0"/>
    <x v="0"/>
    <n v="1"/>
    <n v="1"/>
  </r>
  <r>
    <d v="2019-12-17T00:00:00"/>
    <n v="13112"/>
    <s v="WHBH"/>
    <s v="Belo Horizonte"/>
    <s v="MG"/>
    <n v="4271"/>
    <x v="259"/>
    <s v="Rio De Janeiro"/>
    <s v="RJ"/>
    <x v="2"/>
    <s v="RJ"/>
    <n v="59.55"/>
    <n v="1"/>
    <n v="0.11"/>
    <n v="6140092"/>
    <x v="4"/>
    <s v="Rio de Janeiro"/>
    <s v="Convencional"/>
    <n v="1"/>
    <d v="2019-12-18T00:00:00"/>
    <x v="683"/>
    <x v="0"/>
    <d v="2019-12-19T00:00:00"/>
    <x v="1"/>
    <x v="0"/>
    <n v="0"/>
    <n v="1"/>
  </r>
  <r>
    <d v="2019-12-17T00:00:00"/>
    <n v="13113"/>
    <s v="WHSAO"/>
    <s v="Sao Paulo"/>
    <s v="SP"/>
    <n v="4272"/>
    <x v="260"/>
    <s v="Rio Grande do Sul"/>
    <s v="RS"/>
    <x v="0"/>
    <s v="RS"/>
    <n v="2394.23"/>
    <n v="3"/>
    <n v="24.332000000000001"/>
    <n v="6500948"/>
    <x v="0"/>
    <s v="Porto Alegre"/>
    <s v="Convencional"/>
    <n v="11"/>
    <d v="2019-12-18T00:00:00"/>
    <x v="678"/>
    <x v="0"/>
    <d v="2019-12-29T00:00:00"/>
    <x v="0"/>
    <x v="0"/>
    <n v="1"/>
    <n v="1"/>
  </r>
  <r>
    <d v="2019-12-17T00:00:00"/>
    <n v="13114"/>
    <s v="WHBH"/>
    <s v="Belo Horizonte"/>
    <s v="MG"/>
    <n v="4273"/>
    <x v="261"/>
    <s v="Sao Paulo"/>
    <s v="SP"/>
    <x v="2"/>
    <s v="SP"/>
    <n v="459.11"/>
    <n v="2"/>
    <n v="0.55000000000000004"/>
    <n v="6400835"/>
    <x v="3"/>
    <s v="Guarulhos"/>
    <s v="Convencional"/>
    <n v="6"/>
    <d v="2019-12-18T00:00:00"/>
    <x v="677"/>
    <x v="0"/>
    <d v="2019-12-24T00:00:00"/>
    <x v="0"/>
    <x v="0"/>
    <n v="1"/>
    <n v="1"/>
  </r>
  <r>
    <d v="2019-12-17T00:00:00"/>
    <n v="13115"/>
    <s v="WHPOA"/>
    <s v="Porto Alegre"/>
    <s v="RS"/>
    <n v="4274"/>
    <x v="262"/>
    <s v="Santos"/>
    <s v="SP"/>
    <x v="2"/>
    <s v="SP"/>
    <n v="1068.3699999999999"/>
    <n v="1"/>
    <n v="11.837999999999999"/>
    <n v="6400835"/>
    <x v="3"/>
    <s v="Guarulhos"/>
    <s v="Convencional"/>
    <n v="2"/>
    <d v="2019-12-18T00:00:00"/>
    <x v="681"/>
    <x v="0"/>
    <d v="2019-12-20T00:00:00"/>
    <x v="1"/>
    <x v="0"/>
    <n v="0"/>
    <n v="1"/>
  </r>
  <r>
    <d v="2019-12-18T00:00:00"/>
    <n v="13116"/>
    <s v="WHCPQ"/>
    <s v="Campinas"/>
    <s v="SP"/>
    <n v="4141"/>
    <x v="129"/>
    <s v="Rio De Janeiro"/>
    <s v="RJ"/>
    <x v="2"/>
    <s v="RJ"/>
    <n v="8485.81"/>
    <n v="10"/>
    <n v="65.468000000000004"/>
    <n v="6140092"/>
    <x v="4"/>
    <s v="Rio de Janeiro"/>
    <s v="Convencional"/>
    <n v="2"/>
    <d v="2019-12-19T00:00:00"/>
    <x v="680"/>
    <x v="0"/>
    <d v="2019-12-21T00:00:00"/>
    <x v="1"/>
    <x v="0"/>
    <n v="0"/>
    <n v="1"/>
  </r>
  <r>
    <d v="2019-12-18T00:00:00"/>
    <n v="13117"/>
    <s v="WHVIT"/>
    <s v="Vitoria"/>
    <s v="ES"/>
    <n v="4165"/>
    <x v="153"/>
    <s v="Recife"/>
    <s v="PE"/>
    <x v="3"/>
    <s v="PE"/>
    <n v="737.85"/>
    <n v="1"/>
    <n v="2.2000000000000002"/>
    <n v="6900304"/>
    <x v="5"/>
    <s v="Fortaleza"/>
    <s v="Convencional"/>
    <n v="10"/>
    <d v="2019-12-19T00:00:00"/>
    <x v="681"/>
    <x v="0"/>
    <d v="2019-12-29T00:00:00"/>
    <x v="0"/>
    <x v="0"/>
    <n v="1"/>
    <n v="1"/>
  </r>
  <r>
    <d v="2019-12-18T00:00:00"/>
    <n v="13118"/>
    <s v="WHSAO"/>
    <s v="Sao Paulo"/>
    <s v="SP"/>
    <n v="4061"/>
    <x v="31"/>
    <s v="Goiania"/>
    <s v="GO"/>
    <x v="1"/>
    <s v="GO"/>
    <n v="843.45"/>
    <n v="1"/>
    <n v="4.84"/>
    <n v="6100231"/>
    <x v="1"/>
    <s v="Goiania"/>
    <s v="Convencional"/>
    <n v="2"/>
    <d v="2019-12-19T00:00:00"/>
    <x v="681"/>
    <x v="0"/>
    <d v="2019-12-21T00:00:00"/>
    <x v="1"/>
    <x v="0"/>
    <n v="0"/>
    <n v="1"/>
  </r>
  <r>
    <d v="2019-12-18T00:00:00"/>
    <n v="13119"/>
    <s v="WHPOA"/>
    <s v="Porto Alegre"/>
    <s v="RS"/>
    <n v="4260"/>
    <x v="248"/>
    <s v="Rio De Janeiro"/>
    <s v="RJ"/>
    <x v="2"/>
    <s v="RJ"/>
    <n v="3143.75"/>
    <n v="8"/>
    <n v="25.552"/>
    <n v="6140092"/>
    <x v="4"/>
    <s v="Rio de Janeiro"/>
    <s v="Convencional"/>
    <n v="6"/>
    <d v="2019-12-19T00:00:00"/>
    <x v="684"/>
    <x v="0"/>
    <d v="2019-12-25T00:00:00"/>
    <x v="0"/>
    <x v="0"/>
    <n v="1"/>
    <n v="1"/>
  </r>
  <r>
    <d v="2019-12-18T00:00:00"/>
    <n v="13120"/>
    <s v="WHRJ"/>
    <s v="Rio De Janeiro"/>
    <s v="RJ"/>
    <n v="4233"/>
    <x v="221"/>
    <s v="Belo Horizonte"/>
    <s v="MG"/>
    <x v="2"/>
    <s v="MG"/>
    <n v="5589.48"/>
    <n v="6"/>
    <n v="41.976999999999997"/>
    <n v="6600879"/>
    <x v="2"/>
    <s v="Belo Horizonte"/>
    <s v="Convencional"/>
    <n v="10"/>
    <d v="2019-12-19T00:00:00"/>
    <x v="685"/>
    <x v="2"/>
    <d v="2019-12-29T00:00:00"/>
    <x v="0"/>
    <x v="1"/>
    <n v="0"/>
    <n v="1"/>
  </r>
  <r>
    <d v="2019-12-19T00:00:00"/>
    <n v="13121"/>
    <s v="WHRJ"/>
    <s v="Rio De Janeiro"/>
    <s v="RJ"/>
    <n v="4161"/>
    <x v="149"/>
    <s v="Recife"/>
    <s v="PE"/>
    <x v="3"/>
    <s v="PE"/>
    <n v="1867.72"/>
    <n v="2"/>
    <n v="13.186"/>
    <n v="6900304"/>
    <x v="5"/>
    <s v="Fortaleza"/>
    <s v="Convencional"/>
    <n v="2"/>
    <d v="2019-12-20T00:00:00"/>
    <x v="683"/>
    <x v="0"/>
    <d v="2019-12-22T00:00:00"/>
    <x v="1"/>
    <x v="0"/>
    <n v="0"/>
    <n v="1"/>
  </r>
  <r>
    <d v="2019-12-19T00:00:00"/>
    <n v="13122"/>
    <s v="WHSAO"/>
    <s v="Sao Paulo"/>
    <s v="SP"/>
    <n v="4173"/>
    <x v="161"/>
    <s v="Belo Horizonte"/>
    <s v="MG"/>
    <x v="2"/>
    <s v="MG"/>
    <n v="425.83"/>
    <n v="1"/>
    <n v="0.749"/>
    <n v="6600879"/>
    <x v="2"/>
    <s v="Belo Horizonte"/>
    <s v="Convencional"/>
    <n v="5"/>
    <d v="2019-12-20T00:00:00"/>
    <x v="685"/>
    <x v="0"/>
    <d v="2019-12-25T00:00:00"/>
    <x v="1"/>
    <x v="0"/>
    <n v="0"/>
    <n v="1"/>
  </r>
  <r>
    <d v="2019-12-20T00:00:00"/>
    <n v="13123"/>
    <s v="WHCPQ"/>
    <s v="Campinas"/>
    <s v="SP"/>
    <n v="4233"/>
    <x v="221"/>
    <s v="Belo Horizonte"/>
    <s v="MG"/>
    <x v="2"/>
    <s v="MG"/>
    <n v="431.36"/>
    <n v="1"/>
    <n v="0.749"/>
    <n v="6600879"/>
    <x v="2"/>
    <s v="Belo Horizonte"/>
    <s v="Convencional"/>
    <n v="3"/>
    <d v="2019-12-21T00:00:00"/>
    <x v="686"/>
    <x v="0"/>
    <d v="2019-12-24T00:00:00"/>
    <x v="1"/>
    <x v="0"/>
    <n v="0"/>
    <n v="1"/>
  </r>
  <r>
    <d v="2019-12-20T00:00:00"/>
    <n v="13124"/>
    <s v="WHPOA"/>
    <s v="Porto Alegre"/>
    <s v="RS"/>
    <n v="4233"/>
    <x v="221"/>
    <s v="Belo Horizonte"/>
    <s v="MG"/>
    <x v="2"/>
    <s v="MG"/>
    <n v="8613.89"/>
    <n v="13"/>
    <n v="86.325000000000003"/>
    <n v="6600879"/>
    <x v="2"/>
    <s v="Belo Horizonte"/>
    <s v="Convencional"/>
    <n v="5"/>
    <d v="2019-12-21T00:00:00"/>
    <x v="686"/>
    <x v="0"/>
    <d v="2019-12-26T00:00:00"/>
    <x v="1"/>
    <x v="0"/>
    <n v="0"/>
    <n v="1"/>
  </r>
  <r>
    <d v="2019-12-25T00:00:00"/>
    <n v="13125"/>
    <s v="WHPOA"/>
    <s v="Porto Alegre"/>
    <s v="RS"/>
    <n v="4061"/>
    <x v="31"/>
    <s v="Goiania"/>
    <s v="GO"/>
    <x v="1"/>
    <s v="GO"/>
    <n v="638.52"/>
    <n v="1"/>
    <n v="1.1200000000000001"/>
    <n v="6100231"/>
    <x v="1"/>
    <s v="Goiania"/>
    <s v="Convencional"/>
    <n v="4"/>
    <d v="2019-12-26T00:00:00"/>
    <x v="687"/>
    <x v="0"/>
    <d v="2019-12-30T00:00:00"/>
    <x v="1"/>
    <x v="0"/>
    <n v="0"/>
    <n v="1"/>
  </r>
  <r>
    <d v="2019-12-25T00:00:00"/>
    <n v="13126"/>
    <s v="WHPOA"/>
    <s v="Porto Alegre"/>
    <s v="RS"/>
    <n v="4138"/>
    <x v="126"/>
    <s v="Manaus"/>
    <s v="AM"/>
    <x v="4"/>
    <s v="AM"/>
    <n v="6880.57"/>
    <n v="12"/>
    <n v="56.216999999999999"/>
    <n v="6700091"/>
    <x v="6"/>
    <s v="Manaus"/>
    <s v="Convencional"/>
    <n v="4"/>
    <d v="2019-12-26T00:00:00"/>
    <x v="688"/>
    <x v="0"/>
    <d v="2019-12-30T00:00:00"/>
    <x v="1"/>
    <x v="0"/>
    <n v="0"/>
    <n v="1"/>
  </r>
  <r>
    <d v="2019-12-26T00:00:00"/>
    <n v="13127"/>
    <s v="WHSAO"/>
    <s v="Sao Paulo"/>
    <s v="SP"/>
    <n v="4132"/>
    <x v="120"/>
    <s v="Santos"/>
    <s v="SP"/>
    <x v="2"/>
    <s v="SP"/>
    <n v="1668.76"/>
    <n v="1"/>
    <n v="1.1200000000000001"/>
    <n v="6400835"/>
    <x v="3"/>
    <s v="Guarulhos"/>
    <s v="Convencional"/>
    <n v="8"/>
    <d v="2019-12-27T00:00:00"/>
    <x v="688"/>
    <x v="0"/>
    <d v="2020-01-04T00:00:00"/>
    <x v="1"/>
    <x v="0"/>
    <n v="0"/>
    <n v="1"/>
  </r>
  <r>
    <d v="2019-12-27T00:00:00"/>
    <n v="13128"/>
    <s v="WHVIT"/>
    <s v="Vitoria"/>
    <s v="ES"/>
    <n v="4131"/>
    <x v="119"/>
    <s v="Recife"/>
    <s v="PE"/>
    <x v="3"/>
    <s v="PE"/>
    <n v="2901.36"/>
    <n v="7"/>
    <n v="14.176"/>
    <n v="6900304"/>
    <x v="5"/>
    <s v="Fortaleza"/>
    <s v="Convencional"/>
    <n v="2"/>
    <d v="2019-12-27T00:00:00"/>
    <x v="689"/>
    <x v="0"/>
    <d v="2019-12-29T00:00:00"/>
    <x v="1"/>
    <x v="0"/>
    <n v="0"/>
    <n v="1"/>
  </r>
  <r>
    <d v="2019-12-27T00:00:00"/>
    <n v="13129"/>
    <s v="WHRJ"/>
    <s v="Rio De Janeiro"/>
    <s v="RJ"/>
    <n v="4157"/>
    <x v="145"/>
    <s v="Belo Horizonte"/>
    <s v="MG"/>
    <x v="2"/>
    <s v="MG"/>
    <n v="1902.58"/>
    <n v="1"/>
    <n v="1.1200000000000001"/>
    <n v="6600879"/>
    <x v="2"/>
    <s v="Belo Horizonte"/>
    <s v="Convencional"/>
    <n v="5"/>
    <d v="2019-12-27T00:00:00"/>
    <x v="687"/>
    <x v="2"/>
    <d v="2020-01-01T00:00:00"/>
    <x v="1"/>
    <x v="1"/>
    <n v="0"/>
    <n v="1"/>
  </r>
  <r>
    <d v="2019-12-27T00:00:00"/>
    <n v="13130"/>
    <s v="WHRJ"/>
    <s v="Rio De Janeiro"/>
    <s v="RJ"/>
    <n v="4189"/>
    <x v="177"/>
    <s v="Rio Grande do Sul"/>
    <s v="RS"/>
    <x v="0"/>
    <s v="RS"/>
    <n v="1362.46"/>
    <n v="1"/>
    <n v="10.164"/>
    <n v="6500948"/>
    <x v="0"/>
    <s v="Porto Alegre"/>
    <s v="Convencional"/>
    <n v="12"/>
    <d v="2019-12-27T00:00:00"/>
    <x v="687"/>
    <x v="0"/>
    <d v="2020-01-08T00:00:00"/>
    <x v="0"/>
    <x v="0"/>
    <n v="1"/>
    <n v="1"/>
  </r>
  <r>
    <d v="2019-12-27T00:00:00"/>
    <n v="13131"/>
    <s v="WHRJ"/>
    <s v="Rio De Janeiro"/>
    <s v="RJ"/>
    <n v="4213"/>
    <x v="201"/>
    <s v="Sao Paulo"/>
    <s v="SP"/>
    <x v="2"/>
    <s v="SP"/>
    <n v="507.16"/>
    <n v="8"/>
    <n v="54.145000000000003"/>
    <n v="6400835"/>
    <x v="3"/>
    <s v="Guarulhos"/>
    <s v="Convencional"/>
    <n v="1"/>
    <d v="2019-12-27T00:00:00"/>
    <x v="689"/>
    <x v="1"/>
    <d v="2019-12-28T00:00:00"/>
    <x v="1"/>
    <x v="1"/>
    <n v="0"/>
    <n v="1"/>
  </r>
  <r>
    <d v="2019-12-27T00:00:00"/>
    <n v="13132"/>
    <s v="WHSAO"/>
    <s v="Sao Paulo"/>
    <s v="SP"/>
    <n v="4230"/>
    <x v="218"/>
    <s v="Belo Horizonte"/>
    <s v="MG"/>
    <x v="2"/>
    <s v="MG"/>
    <n v="6334.37"/>
    <n v="1"/>
    <n v="1.1200000000000001"/>
    <n v="6600879"/>
    <x v="2"/>
    <s v="Belo Horizonte"/>
    <s v="Convencional"/>
    <n v="9"/>
    <d v="2019-12-27T00:00:00"/>
    <x v="690"/>
    <x v="0"/>
    <d v="2020-01-05T00:00:00"/>
    <x v="0"/>
    <x v="0"/>
    <n v="1"/>
    <n v="1"/>
  </r>
  <r>
    <d v="2019-12-27T00:00:00"/>
    <n v="13133"/>
    <s v="WHBH"/>
    <s v="Belo Horizonte"/>
    <s v="MG"/>
    <n v="4033"/>
    <x v="35"/>
    <s v="Goiania"/>
    <s v="GO"/>
    <x v="1"/>
    <s v="GO"/>
    <n v="4047.56"/>
    <n v="7"/>
    <n v="28.596"/>
    <n v="6100231"/>
    <x v="1"/>
    <s v="Goiania"/>
    <s v="Convencional"/>
    <n v="5"/>
    <d v="2019-12-27T00:00:00"/>
    <x v="685"/>
    <x v="0"/>
    <d v="2020-01-01T00:00:00"/>
    <x v="0"/>
    <x v="0"/>
    <n v="1"/>
    <n v="1"/>
  </r>
  <r>
    <d v="2019-12-28T00:00:00"/>
    <n v="13134"/>
    <s v="WHPOA"/>
    <s v="Porto Alegre"/>
    <s v="RS"/>
    <n v="4275"/>
    <x v="263"/>
    <s v="Rio De Janeiro"/>
    <s v="RJ"/>
    <x v="2"/>
    <s v="RJ"/>
    <n v="164.73"/>
    <n v="1"/>
    <n v="4.4039999999999999"/>
    <n v="6140092"/>
    <x v="4"/>
    <s v="Rio de Janeiro"/>
    <s v="Convencional"/>
    <n v="4"/>
    <d v="2019-12-28T00:00:00"/>
    <x v="691"/>
    <x v="2"/>
    <d v="2020-01-01T00:00:00"/>
    <x v="1"/>
    <x v="1"/>
    <n v="0"/>
    <n v="1"/>
  </r>
  <r>
    <d v="2019-12-28T00:00:00"/>
    <n v="13135"/>
    <s v="WHSAO"/>
    <s v="Sao Paulo"/>
    <s v="SP"/>
    <n v="4012"/>
    <x v="0"/>
    <s v="Sao Jose Dos Pinhais"/>
    <s v="PR"/>
    <x v="0"/>
    <s v="PR"/>
    <n v="740.52"/>
    <n v="3"/>
    <n v="22.11"/>
    <n v="6500948"/>
    <x v="0"/>
    <s v="Porto Alegre"/>
    <s v="Convencional"/>
    <n v="5"/>
    <d v="2019-12-28T00:00:00"/>
    <x v="692"/>
    <x v="0"/>
    <d v="2020-01-02T00:00:00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C2828-B2C1-4A37-B474-B4D5FC9D2F64}" name="Tabela dinâ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C3:AE8" firstHeaderRow="0" firstDataRow="1" firstDataCol="1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h="1" x="1"/>
        <item x="2"/>
        <item h="1" x="3"/>
        <item x="4"/>
      </items>
    </pivotField>
    <pivotField dataField="1" dragToRow="0" dragToCol="0" dragToPage="0" showAll="0" defaultSubtotal="0"/>
  </pivotFields>
  <rowFields count="1">
    <field x="3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On Time In Full" fld="25" baseField="0" baseItem="0"/>
    <dataField name="Soma de Perdas (OTIF)" fld="33" baseField="0" baseItem="0"/>
  </dataFields>
  <formats count="1">
    <format dxfId="195">
      <pivotArea outline="0" collapsedLevelsAreSubtotals="1" fieldPosition="0"/>
    </format>
  </formats>
  <chartFormats count="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8A044-56C3-46D5-87DF-AE8A15B08D01}" name="Tabela dinâmica10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Z3:AA9" firstHeaderRow="1" firstDataRow="1" firstDataCol="1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h="1" x="1"/>
        <item x="2"/>
        <item h="1" x="3"/>
        <item x="4"/>
      </items>
    </pivotField>
    <pivotField dragToRow="0" dragToCol="0" dragToPage="0" showAll="0" defaultSubtotal="0"/>
  </pivotFields>
  <rowFields count="1">
    <field x="9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Soma de Qtd de Volumes" fld="12" baseField="0" baseItem="0"/>
  </dataFields>
  <formats count="1">
    <format dxfId="1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4C27C-320E-4432-AA88-8E5ECE6E9348}" name="Tabela dinâ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W3:X7" firstHeaderRow="1" firstDataRow="1" firstDataCol="1"/>
  <pivotFields count="34">
    <pivotField numFmtId="14" showAll="0"/>
    <pivotField dataField="1"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h="1" x="1"/>
        <item x="2"/>
        <item h="1" x="3"/>
        <item x="4"/>
      </items>
    </pivotField>
    <pivotField dragToRow="0" dragToCol="0" dragToPage="0" showAll="0" defaultSubtota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ota Fiscal" fld="1" subtotal="count" baseField="21" baseItem="0" numFmtId="3"/>
  </dataFields>
  <formats count="1">
    <format dxfId="197">
      <pivotArea outline="0" collapsedLevelsAreSubtotals="1" fieldPosition="0"/>
    </format>
  </format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FB3F4-DE12-4073-B25B-483E0016A0FC}" name="Tabela dinâ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P3:Q6" firstHeaderRow="1" firstDataRow="1" firstDataCol="1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h="1" x="1"/>
        <item x="2"/>
        <item h="1" x="3"/>
        <item x="4"/>
      </items>
    </pivotField>
    <pivotField dragToRow="0" dragToCol="0" dragToPage="0" showAll="0" defaultSubtota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Soma de Contador" fld="26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AE14F-15A6-452B-B1E4-8E64CFB4377F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:C4" firstHeaderRow="1" firstDataRow="1" firstDataCol="0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h="1" x="1"/>
        <item x="2"/>
        <item h="1" x="3"/>
        <item x="4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oma de Peso bruto (kg)" fld="13" baseField="0" baseItem="0" numFmtId="3"/>
  </dataFields>
  <formats count="1">
    <format dxfId="1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4A5CD-5969-436C-8139-53B282115694}" name="Tabela dinâ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M3:N6" firstHeaderRow="1" firstDataRow="1" firstDataCol="1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h="1" x="1"/>
        <item x="2"/>
        <item h="1" x="3"/>
        <item x="4"/>
      </items>
    </pivotField>
    <pivotField dragToRow="0" dragToCol="0" dragToPage="0" showAll="0" defaultSubtota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Soma de Contador" fld="26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0856B-7502-4D5B-A284-96EE383ED893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h="1" x="1"/>
        <item x="2"/>
        <item h="1" x="3"/>
        <item x="4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oma de Qtd de Volumes" fld="12" baseField="0" baseItem="0" numFmtId="3"/>
  </dataFields>
  <formats count="1">
    <format dxfId="1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16725-086A-424D-B9CE-00638DF6C41A}" name="Tabela dinâ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I3:K17" firstHeaderRow="0" firstDataRow="1" firstDataCol="1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axis="axisRow"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h="1" x="1"/>
        <item x="2"/>
        <item h="1" x="3"/>
        <item sd="0" x="4"/>
        <item t="default"/>
      </items>
    </pivotField>
    <pivotField dragToRow="0" dragToCol="0" dragToPage="0" showAll="0" defaultSubtotal="0"/>
  </pivotFields>
  <rowFields count="3">
    <field x="32"/>
    <field x="30"/>
    <field x="20"/>
  </rowFields>
  <rowItems count="14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On Time In Full (%)" fld="29" baseField="0" baseItem="0"/>
    <dataField name="Soma de Qtd de Volumes" fld="12" baseField="0" baseItem="0" numFmtId="3"/>
  </dataFields>
  <formats count="30">
    <format dxfId="227">
      <pivotArea outline="0" collapsedLevelsAreSubtotals="1" fieldPosition="0"/>
    </format>
    <format dxfId="2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5">
      <pivotArea collapsedLevelsAreSubtotals="1" fieldPosition="0">
        <references count="1">
          <reference field="32" count="1">
            <x v="1"/>
          </reference>
        </references>
      </pivotArea>
    </format>
    <format dxfId="224">
      <pivotArea collapsedLevelsAreSubtotals="1" fieldPosition="0">
        <references count="2">
          <reference field="30" count="1">
            <x v="1"/>
          </reference>
          <reference field="32" count="1" selected="0">
            <x v="1"/>
          </reference>
        </references>
      </pivotArea>
    </format>
    <format dxfId="223">
      <pivotArea collapsedLevelsAreSubtotals="1" fieldPosition="0">
        <references count="2">
          <reference field="30" count="1">
            <x v="2"/>
          </reference>
          <reference field="32" count="1" selected="0">
            <x v="1"/>
          </reference>
        </references>
      </pivotArea>
    </format>
    <format dxfId="222">
      <pivotArea collapsedLevelsAreSubtotals="1" fieldPosition="0">
        <references count="2">
          <reference field="30" count="1">
            <x v="3"/>
          </reference>
          <reference field="32" count="1" selected="0">
            <x v="1"/>
          </reference>
        </references>
      </pivotArea>
    </format>
    <format dxfId="221">
      <pivotArea collapsedLevelsAreSubtotals="1" fieldPosition="0">
        <references count="2">
          <reference field="30" count="1">
            <x v="4"/>
          </reference>
          <reference field="32" count="1" selected="0">
            <x v="1"/>
          </reference>
        </references>
      </pivotArea>
    </format>
    <format dxfId="220">
      <pivotArea collapsedLevelsAreSubtotals="1" fieldPosition="0">
        <references count="2">
          <reference field="30" count="1">
            <x v="5"/>
          </reference>
          <reference field="32" count="1" selected="0">
            <x v="1"/>
          </reference>
        </references>
      </pivotArea>
    </format>
    <format dxfId="219">
      <pivotArea collapsedLevelsAreSubtotals="1" fieldPosition="0">
        <references count="2">
          <reference field="30" count="1">
            <x v="6"/>
          </reference>
          <reference field="32" count="1" selected="0">
            <x v="1"/>
          </reference>
        </references>
      </pivotArea>
    </format>
    <format dxfId="218">
      <pivotArea collapsedLevelsAreSubtotals="1" fieldPosition="0">
        <references count="2">
          <reference field="30" count="1">
            <x v="7"/>
          </reference>
          <reference field="32" count="1" selected="0">
            <x v="1"/>
          </reference>
        </references>
      </pivotArea>
    </format>
    <format dxfId="217">
      <pivotArea collapsedLevelsAreSubtotals="1" fieldPosition="0">
        <references count="2">
          <reference field="30" count="1">
            <x v="8"/>
          </reference>
          <reference field="32" count="1" selected="0">
            <x v="1"/>
          </reference>
        </references>
      </pivotArea>
    </format>
    <format dxfId="216">
      <pivotArea collapsedLevelsAreSubtotals="1" fieldPosition="0">
        <references count="2">
          <reference field="30" count="1">
            <x v="9"/>
          </reference>
          <reference field="32" count="1" selected="0">
            <x v="1"/>
          </reference>
        </references>
      </pivotArea>
    </format>
    <format dxfId="215">
      <pivotArea collapsedLevelsAreSubtotals="1" fieldPosition="0">
        <references count="2">
          <reference field="30" count="1">
            <x v="10"/>
          </reference>
          <reference field="32" count="1" selected="0">
            <x v="1"/>
          </reference>
        </references>
      </pivotArea>
    </format>
    <format dxfId="214">
      <pivotArea collapsedLevelsAreSubtotals="1" fieldPosition="0">
        <references count="2">
          <reference field="30" count="1">
            <x v="11"/>
          </reference>
          <reference field="32" count="1" selected="0">
            <x v="1"/>
          </reference>
        </references>
      </pivotArea>
    </format>
    <format dxfId="213">
      <pivotArea collapsedLevelsAreSubtotals="1" fieldPosition="0">
        <references count="2">
          <reference field="30" count="1">
            <x v="12"/>
          </reference>
          <reference field="32" count="1" selected="0">
            <x v="1"/>
          </reference>
        </references>
      </pivotArea>
    </format>
    <format dxfId="212">
      <pivotArea collapsedLevelsAreSubtotals="1" fieldPosition="0">
        <references count="1">
          <reference field="32" count="1">
            <x v="2"/>
          </reference>
        </references>
      </pivotArea>
    </format>
    <format dxfId="211">
      <pivotArea collapsedLevelsAreSubtotals="1" fieldPosition="0">
        <references count="2">
          <reference field="30" count="1">
            <x v="1"/>
          </reference>
          <reference field="32" count="1" selected="0">
            <x v="2"/>
          </reference>
        </references>
      </pivotArea>
    </format>
    <format dxfId="210">
      <pivotArea collapsedLevelsAreSubtotals="1" fieldPosition="0">
        <references count="2">
          <reference field="30" count="1">
            <x v="2"/>
          </reference>
          <reference field="32" count="1" selected="0">
            <x v="2"/>
          </reference>
        </references>
      </pivotArea>
    </format>
    <format dxfId="209">
      <pivotArea collapsedLevelsAreSubtotals="1" fieldPosition="0">
        <references count="2">
          <reference field="30" count="1">
            <x v="3"/>
          </reference>
          <reference field="32" count="1" selected="0">
            <x v="2"/>
          </reference>
        </references>
      </pivotArea>
    </format>
    <format dxfId="208">
      <pivotArea collapsedLevelsAreSubtotals="1" fieldPosition="0">
        <references count="2">
          <reference field="30" count="1">
            <x v="4"/>
          </reference>
          <reference field="32" count="1" selected="0">
            <x v="2"/>
          </reference>
        </references>
      </pivotArea>
    </format>
    <format dxfId="207">
      <pivotArea collapsedLevelsAreSubtotals="1" fieldPosition="0">
        <references count="2">
          <reference field="30" count="1">
            <x v="5"/>
          </reference>
          <reference field="32" count="1" selected="0">
            <x v="2"/>
          </reference>
        </references>
      </pivotArea>
    </format>
    <format dxfId="206">
      <pivotArea collapsedLevelsAreSubtotals="1" fieldPosition="0">
        <references count="2">
          <reference field="30" count="1">
            <x v="6"/>
          </reference>
          <reference field="32" count="1" selected="0">
            <x v="2"/>
          </reference>
        </references>
      </pivotArea>
    </format>
    <format dxfId="205">
      <pivotArea collapsedLevelsAreSubtotals="1" fieldPosition="0">
        <references count="2">
          <reference field="30" count="1">
            <x v="7"/>
          </reference>
          <reference field="32" count="1" selected="0">
            <x v="2"/>
          </reference>
        </references>
      </pivotArea>
    </format>
    <format dxfId="204">
      <pivotArea collapsedLevelsAreSubtotals="1" fieldPosition="0">
        <references count="2">
          <reference field="30" count="1">
            <x v="8"/>
          </reference>
          <reference field="32" count="1" selected="0">
            <x v="2"/>
          </reference>
        </references>
      </pivotArea>
    </format>
    <format dxfId="203">
      <pivotArea collapsedLevelsAreSubtotals="1" fieldPosition="0">
        <references count="2">
          <reference field="30" count="1">
            <x v="9"/>
          </reference>
          <reference field="32" count="1" selected="0">
            <x v="2"/>
          </reference>
        </references>
      </pivotArea>
    </format>
    <format dxfId="202">
      <pivotArea collapsedLevelsAreSubtotals="1" fieldPosition="0">
        <references count="2">
          <reference field="30" count="1">
            <x v="10"/>
          </reference>
          <reference field="32" count="1" selected="0">
            <x v="2"/>
          </reference>
        </references>
      </pivotArea>
    </format>
    <format dxfId="201">
      <pivotArea collapsedLevelsAreSubtotals="1" fieldPosition="0">
        <references count="2">
          <reference field="30" count="1">
            <x v="11"/>
          </reference>
          <reference field="32" count="1" selected="0">
            <x v="2"/>
          </reference>
        </references>
      </pivotArea>
    </format>
    <format dxfId="200">
      <pivotArea collapsedLevelsAreSubtotals="1" fieldPosition="0">
        <references count="2">
          <reference field="30" count="1">
            <x v="12"/>
          </reference>
          <reference field="32" count="1" selected="0">
            <x v="2"/>
          </reference>
        </references>
      </pivotArea>
    </format>
    <format dxfId="199">
      <pivotArea collapsedLevelsAreSubtotals="1" fieldPosition="0">
        <references count="1">
          <reference field="32" count="1">
            <x v="3"/>
          </reference>
        </references>
      </pivotArea>
    </format>
    <format dxfId="198">
      <pivotArea collapsedLevelsAreSubtotals="1" fieldPosition="0">
        <references count="2">
          <reference field="30" count="1">
            <x v="1"/>
          </reference>
          <reference field="32" count="1" selected="0">
            <x v="3"/>
          </reference>
        </references>
      </pivotArea>
    </format>
  </formats>
  <chartFormats count="3"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1"/>
          </reference>
          <reference field="30" count="1" selected="0">
            <x v="3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85BEA-6E93-4BBF-9E69-1CAB9331DA35}" name="Tabela dinâ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G4" firstHeaderRow="1" firstDataRow="1" firstDataCol="0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h="1" x="1"/>
        <item x="2"/>
        <item h="1" x="3"/>
        <item x="4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oma de Valor Nota Fiscal" fld="11" baseField="0" baseItem="0" numFmtId="42"/>
  </dataFields>
  <formats count="1">
    <format dxfId="1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EE8BA-10E2-4C2D-8DBE-1DDC3A80609C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E4" firstHeaderRow="1" firstDataRow="1" firstDataCol="0"/>
  <pivotFields count="34">
    <pivotField numFmtId="14" showAll="0"/>
    <pivotField dataField="1"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h="1" x="1"/>
        <item x="2"/>
        <item h="1" x="3"/>
        <item x="4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Contagem de Nota Fiscal" fld="1" subtotal="count" baseField="0" baseItem="0" numFmtId="3"/>
  </dataFields>
  <formats count="1">
    <format dxfId="1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03F48-ED1B-4E95-BC7A-88E483AE6C32}" name="Tabela dinâmica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S3:U11" firstHeaderRow="0" firstDataRow="1" firstDataCol="1"/>
  <pivotFields count="34">
    <pivotField numFmtId="14" showAll="0"/>
    <pivotField showAll="0"/>
    <pivotField showAll="0"/>
    <pivotField showAll="0"/>
    <pivotField showAll="0"/>
    <pivotField showAll="0"/>
    <pivotField showAll="0">
      <items count="265">
        <item x="2"/>
        <item x="191"/>
        <item x="190"/>
        <item x="172"/>
        <item x="4"/>
        <item x="109"/>
        <item x="168"/>
        <item x="7"/>
        <item x="8"/>
        <item x="78"/>
        <item x="260"/>
        <item x="9"/>
        <item x="164"/>
        <item x="0"/>
        <item x="11"/>
        <item x="198"/>
        <item x="205"/>
        <item x="14"/>
        <item x="80"/>
        <item x="16"/>
        <item x="17"/>
        <item x="59"/>
        <item x="226"/>
        <item x="95"/>
        <item x="67"/>
        <item x="180"/>
        <item x="254"/>
        <item x="239"/>
        <item x="111"/>
        <item x="70"/>
        <item x="134"/>
        <item x="145"/>
        <item x="133"/>
        <item x="22"/>
        <item x="71"/>
        <item x="25"/>
        <item x="165"/>
        <item x="27"/>
        <item x="28"/>
        <item x="244"/>
        <item x="213"/>
        <item x="229"/>
        <item x="201"/>
        <item x="68"/>
        <item x="248"/>
        <item x="31"/>
        <item x="91"/>
        <item x="256"/>
        <item x="232"/>
        <item x="33"/>
        <item x="155"/>
        <item x="219"/>
        <item x="148"/>
        <item x="159"/>
        <item x="138"/>
        <item x="161"/>
        <item x="120"/>
        <item x="127"/>
        <item x="124"/>
        <item x="123"/>
        <item x="141"/>
        <item x="110"/>
        <item x="119"/>
        <item x="237"/>
        <item x="166"/>
        <item x="38"/>
        <item x="107"/>
        <item x="39"/>
        <item x="209"/>
        <item x="94"/>
        <item x="253"/>
        <item x="182"/>
        <item x="242"/>
        <item x="250"/>
        <item x="117"/>
        <item x="5"/>
        <item x="178"/>
        <item x="40"/>
        <item x="121"/>
        <item x="249"/>
        <item x="227"/>
        <item x="230"/>
        <item x="93"/>
        <item x="200"/>
        <item x="195"/>
        <item x="262"/>
        <item x="258"/>
        <item x="257"/>
        <item x="34"/>
        <item x="18"/>
        <item x="251"/>
        <item x="220"/>
        <item x="114"/>
        <item x="129"/>
        <item x="43"/>
        <item x="44"/>
        <item x="1"/>
        <item x="241"/>
        <item x="224"/>
        <item x="162"/>
        <item x="45"/>
        <item x="154"/>
        <item x="116"/>
        <item x="137"/>
        <item x="47"/>
        <item x="115"/>
        <item x="217"/>
        <item x="125"/>
        <item x="194"/>
        <item x="163"/>
        <item x="160"/>
        <item x="147"/>
        <item x="136"/>
        <item x="236"/>
        <item x="100"/>
        <item x="122"/>
        <item x="130"/>
        <item x="149"/>
        <item x="181"/>
        <item x="176"/>
        <item x="170"/>
        <item x="113"/>
        <item x="150"/>
        <item x="139"/>
        <item x="223"/>
        <item x="90"/>
        <item x="188"/>
        <item x="128"/>
        <item x="151"/>
        <item x="156"/>
        <item x="131"/>
        <item x="167"/>
        <item x="126"/>
        <item x="102"/>
        <item x="189"/>
        <item x="30"/>
        <item x="235"/>
        <item x="238"/>
        <item x="19"/>
        <item x="88"/>
        <item x="89"/>
        <item x="261"/>
        <item x="259"/>
        <item x="106"/>
        <item x="86"/>
        <item x="24"/>
        <item x="99"/>
        <item x="21"/>
        <item x="208"/>
        <item x="252"/>
        <item x="228"/>
        <item x="13"/>
        <item x="77"/>
        <item x="206"/>
        <item x="105"/>
        <item x="183"/>
        <item x="207"/>
        <item x="222"/>
        <item x="255"/>
        <item x="50"/>
        <item x="199"/>
        <item x="108"/>
        <item x="73"/>
        <item x="84"/>
        <item x="53"/>
        <item x="54"/>
        <item x="87"/>
        <item x="76"/>
        <item x="65"/>
        <item x="234"/>
        <item x="79"/>
        <item x="192"/>
        <item x="247"/>
        <item x="49"/>
        <item x="74"/>
        <item x="263"/>
        <item x="98"/>
        <item x="112"/>
        <item x="20"/>
        <item x="240"/>
        <item x="63"/>
        <item x="202"/>
        <item x="3"/>
        <item x="246"/>
        <item x="103"/>
        <item x="245"/>
        <item x="66"/>
        <item x="51"/>
        <item x="197"/>
        <item x="32"/>
        <item x="92"/>
        <item x="61"/>
        <item x="64"/>
        <item x="243"/>
        <item x="72"/>
        <item x="186"/>
        <item x="211"/>
        <item x="82"/>
        <item x="62"/>
        <item x="104"/>
        <item x="69"/>
        <item x="52"/>
        <item x="144"/>
        <item x="6"/>
        <item x="184"/>
        <item x="85"/>
        <item x="215"/>
        <item x="36"/>
        <item x="15"/>
        <item x="196"/>
        <item x="118"/>
        <item x="26"/>
        <item x="140"/>
        <item x="142"/>
        <item x="143"/>
        <item x="135"/>
        <item x="177"/>
        <item x="185"/>
        <item x="35"/>
        <item x="48"/>
        <item x="218"/>
        <item x="96"/>
        <item x="225"/>
        <item x="221"/>
        <item x="187"/>
        <item x="146"/>
        <item x="153"/>
        <item x="216"/>
        <item x="23"/>
        <item x="210"/>
        <item x="41"/>
        <item x="158"/>
        <item x="101"/>
        <item x="231"/>
        <item x="29"/>
        <item x="60"/>
        <item x="58"/>
        <item x="174"/>
        <item x="233"/>
        <item x="179"/>
        <item x="42"/>
        <item x="46"/>
        <item x="212"/>
        <item x="56"/>
        <item x="203"/>
        <item x="10"/>
        <item x="214"/>
        <item x="83"/>
        <item x="12"/>
        <item x="57"/>
        <item x="171"/>
        <item x="169"/>
        <item x="152"/>
        <item x="175"/>
        <item x="173"/>
        <item x="157"/>
        <item x="75"/>
        <item x="81"/>
        <item x="132"/>
        <item x="193"/>
        <item x="204"/>
        <item x="55"/>
        <item x="97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3"/>
        <item x="4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>
      <items count="694">
        <item x="0"/>
        <item x="36"/>
        <item x="30"/>
        <item x="44"/>
        <item x="3"/>
        <item x="7"/>
        <item x="6"/>
        <item x="9"/>
        <item x="31"/>
        <item x="37"/>
        <item x="10"/>
        <item x="12"/>
        <item x="33"/>
        <item x="65"/>
        <item x="8"/>
        <item x="32"/>
        <item x="11"/>
        <item x="38"/>
        <item x="13"/>
        <item x="39"/>
        <item x="64"/>
        <item x="43"/>
        <item x="59"/>
        <item x="14"/>
        <item x="47"/>
        <item x="45"/>
        <item x="46"/>
        <item x="16"/>
        <item x="66"/>
        <item x="15"/>
        <item x="18"/>
        <item x="1"/>
        <item x="17"/>
        <item x="51"/>
        <item x="20"/>
        <item x="2"/>
        <item x="42"/>
        <item x="48"/>
        <item x="40"/>
        <item x="41"/>
        <item x="55"/>
        <item x="19"/>
        <item x="24"/>
        <item x="25"/>
        <item x="4"/>
        <item x="68"/>
        <item x="54"/>
        <item x="22"/>
        <item x="21"/>
        <item x="5"/>
        <item x="23"/>
        <item x="49"/>
        <item x="27"/>
        <item x="53"/>
        <item x="52"/>
        <item x="61"/>
        <item x="58"/>
        <item x="26"/>
        <item x="28"/>
        <item x="69"/>
        <item x="34"/>
        <item x="67"/>
        <item x="35"/>
        <item x="60"/>
        <item x="50"/>
        <item x="29"/>
        <item x="63"/>
        <item x="57"/>
        <item x="56"/>
        <item x="62"/>
        <item x="72"/>
        <item x="70"/>
        <item x="71"/>
        <item x="76"/>
        <item x="75"/>
        <item x="74"/>
        <item x="73"/>
        <item x="78"/>
        <item x="80"/>
        <item x="77"/>
        <item x="79"/>
        <item x="82"/>
        <item x="83"/>
        <item x="86"/>
        <item x="81"/>
        <item x="84"/>
        <item x="85"/>
        <item x="87"/>
        <item x="88"/>
        <item x="91"/>
        <item x="89"/>
        <item x="92"/>
        <item x="90"/>
        <item x="93"/>
        <item x="99"/>
        <item x="95"/>
        <item x="94"/>
        <item x="98"/>
        <item x="96"/>
        <item x="97"/>
        <item x="102"/>
        <item x="100"/>
        <item x="101"/>
        <item x="107"/>
        <item x="104"/>
        <item x="105"/>
        <item x="103"/>
        <item x="106"/>
        <item x="109"/>
        <item x="112"/>
        <item x="111"/>
        <item x="108"/>
        <item x="110"/>
        <item x="113"/>
        <item x="114"/>
        <item x="117"/>
        <item x="115"/>
        <item x="121"/>
        <item x="118"/>
        <item x="124"/>
        <item x="119"/>
        <item x="116"/>
        <item x="122"/>
        <item x="123"/>
        <item x="120"/>
        <item x="125"/>
        <item x="128"/>
        <item x="127"/>
        <item x="129"/>
        <item x="126"/>
        <item x="130"/>
        <item x="133"/>
        <item x="131"/>
        <item x="132"/>
        <item x="134"/>
        <item x="140"/>
        <item x="135"/>
        <item x="136"/>
        <item x="137"/>
        <item x="138"/>
        <item x="139"/>
        <item x="143"/>
        <item x="141"/>
        <item x="144"/>
        <item x="142"/>
        <item x="153"/>
        <item x="146"/>
        <item x="147"/>
        <item x="145"/>
        <item x="149"/>
        <item x="148"/>
        <item x="152"/>
        <item x="151"/>
        <item x="150"/>
        <item x="156"/>
        <item x="155"/>
        <item x="154"/>
        <item x="158"/>
        <item x="157"/>
        <item x="159"/>
        <item x="161"/>
        <item x="162"/>
        <item x="166"/>
        <item x="160"/>
        <item x="165"/>
        <item x="163"/>
        <item x="164"/>
        <item x="168"/>
        <item x="167"/>
        <item x="173"/>
        <item x="171"/>
        <item x="170"/>
        <item x="169"/>
        <item x="175"/>
        <item x="178"/>
        <item x="174"/>
        <item x="172"/>
        <item x="182"/>
        <item x="176"/>
        <item x="177"/>
        <item x="183"/>
        <item x="179"/>
        <item x="181"/>
        <item x="180"/>
        <item x="184"/>
        <item x="187"/>
        <item x="191"/>
        <item x="190"/>
        <item x="192"/>
        <item x="185"/>
        <item x="188"/>
        <item x="186"/>
        <item x="189"/>
        <item x="194"/>
        <item x="193"/>
        <item x="200"/>
        <item x="202"/>
        <item x="196"/>
        <item x="195"/>
        <item x="198"/>
        <item x="197"/>
        <item x="204"/>
        <item x="199"/>
        <item x="201"/>
        <item x="203"/>
        <item x="205"/>
        <item x="207"/>
        <item x="209"/>
        <item x="206"/>
        <item x="208"/>
        <item x="210"/>
        <item x="212"/>
        <item x="211"/>
        <item x="213"/>
        <item x="214"/>
        <item x="216"/>
        <item x="215"/>
        <item x="219"/>
        <item x="217"/>
        <item x="218"/>
        <item x="220"/>
        <item x="222"/>
        <item x="224"/>
        <item x="223"/>
        <item x="221"/>
        <item x="229"/>
        <item x="228"/>
        <item x="231"/>
        <item x="226"/>
        <item x="225"/>
        <item x="227"/>
        <item x="230"/>
        <item x="234"/>
        <item x="233"/>
        <item x="232"/>
        <item x="235"/>
        <item x="236"/>
        <item x="237"/>
        <item x="241"/>
        <item x="238"/>
        <item x="240"/>
        <item x="246"/>
        <item x="245"/>
        <item x="243"/>
        <item x="239"/>
        <item x="242"/>
        <item x="251"/>
        <item x="244"/>
        <item x="249"/>
        <item x="247"/>
        <item x="248"/>
        <item x="250"/>
        <item x="252"/>
        <item x="253"/>
        <item x="256"/>
        <item x="255"/>
        <item x="258"/>
        <item x="254"/>
        <item x="257"/>
        <item x="259"/>
        <item x="261"/>
        <item x="260"/>
        <item x="262"/>
        <item x="263"/>
        <item x="264"/>
        <item x="267"/>
        <item x="265"/>
        <item x="266"/>
        <item x="272"/>
        <item x="274"/>
        <item x="270"/>
        <item x="268"/>
        <item x="271"/>
        <item x="269"/>
        <item x="276"/>
        <item x="275"/>
        <item x="273"/>
        <item x="278"/>
        <item x="279"/>
        <item x="277"/>
        <item x="281"/>
        <item x="280"/>
        <item x="282"/>
        <item x="284"/>
        <item x="283"/>
        <item x="285"/>
        <item x="291"/>
        <item x="295"/>
        <item x="293"/>
        <item x="292"/>
        <item x="289"/>
        <item x="288"/>
        <item x="286"/>
        <item x="287"/>
        <item x="294"/>
        <item x="290"/>
        <item x="296"/>
        <item x="300"/>
        <item x="303"/>
        <item x="297"/>
        <item x="298"/>
        <item x="302"/>
        <item x="299"/>
        <item x="301"/>
        <item x="305"/>
        <item x="306"/>
        <item x="304"/>
        <item x="307"/>
        <item x="308"/>
        <item x="313"/>
        <item x="311"/>
        <item x="310"/>
        <item x="309"/>
        <item x="316"/>
        <item x="312"/>
        <item x="315"/>
        <item x="314"/>
        <item x="317"/>
        <item x="320"/>
        <item x="321"/>
        <item x="323"/>
        <item x="318"/>
        <item x="319"/>
        <item x="327"/>
        <item x="325"/>
        <item x="322"/>
        <item x="332"/>
        <item x="324"/>
        <item x="328"/>
        <item x="326"/>
        <item x="329"/>
        <item x="330"/>
        <item x="331"/>
        <item x="334"/>
        <item x="333"/>
        <item x="335"/>
        <item x="336"/>
        <item x="345"/>
        <item x="341"/>
        <item x="338"/>
        <item x="337"/>
        <item x="340"/>
        <item x="339"/>
        <item x="344"/>
        <item x="342"/>
        <item x="343"/>
        <item x="347"/>
        <item x="348"/>
        <item x="346"/>
        <item x="351"/>
        <item x="349"/>
        <item x="352"/>
        <item x="350"/>
        <item x="353"/>
        <item x="354"/>
        <item x="355"/>
        <item x="356"/>
        <item x="357"/>
        <item x="358"/>
        <item x="360"/>
        <item x="359"/>
        <item x="365"/>
        <item x="364"/>
        <item x="361"/>
        <item x="363"/>
        <item x="362"/>
        <item x="367"/>
        <item x="366"/>
        <item x="369"/>
        <item x="368"/>
        <item x="377"/>
        <item x="372"/>
        <item x="371"/>
        <item x="370"/>
        <item x="378"/>
        <item x="374"/>
        <item x="373"/>
        <item x="376"/>
        <item x="380"/>
        <item x="375"/>
        <item x="379"/>
        <item x="381"/>
        <item x="384"/>
        <item x="382"/>
        <item x="388"/>
        <item x="385"/>
        <item x="383"/>
        <item x="386"/>
        <item x="389"/>
        <item x="387"/>
        <item x="392"/>
        <item x="391"/>
        <item x="390"/>
        <item x="393"/>
        <item x="394"/>
        <item x="395"/>
        <item x="398"/>
        <item x="397"/>
        <item x="396"/>
        <item x="401"/>
        <item x="406"/>
        <item x="400"/>
        <item x="404"/>
        <item x="399"/>
        <item x="412"/>
        <item x="402"/>
        <item x="403"/>
        <item x="405"/>
        <item x="409"/>
        <item x="407"/>
        <item x="408"/>
        <item x="411"/>
        <item x="410"/>
        <item x="413"/>
        <item x="414"/>
        <item x="418"/>
        <item x="415"/>
        <item x="416"/>
        <item x="421"/>
        <item x="417"/>
        <item x="419"/>
        <item x="420"/>
        <item x="423"/>
        <item x="424"/>
        <item x="422"/>
        <item x="427"/>
        <item x="425"/>
        <item x="426"/>
        <item x="428"/>
        <item x="433"/>
        <item x="429"/>
        <item x="430"/>
        <item x="431"/>
        <item x="432"/>
        <item x="434"/>
        <item x="435"/>
        <item x="437"/>
        <item x="439"/>
        <item x="436"/>
        <item x="438"/>
        <item x="444"/>
        <item x="449"/>
        <item x="445"/>
        <item x="446"/>
        <item x="443"/>
        <item x="441"/>
        <item x="440"/>
        <item x="442"/>
        <item x="448"/>
        <item x="447"/>
        <item x="451"/>
        <item x="452"/>
        <item x="450"/>
        <item x="454"/>
        <item x="453"/>
        <item x="455"/>
        <item x="457"/>
        <item x="456"/>
        <item x="458"/>
        <item x="459"/>
        <item x="460"/>
        <item x="465"/>
        <item x="461"/>
        <item x="462"/>
        <item x="463"/>
        <item x="466"/>
        <item x="468"/>
        <item x="467"/>
        <item x="464"/>
        <item x="472"/>
        <item x="469"/>
        <item x="475"/>
        <item x="470"/>
        <item x="477"/>
        <item x="471"/>
        <item x="474"/>
        <item x="473"/>
        <item x="476"/>
        <item x="481"/>
        <item x="478"/>
        <item x="479"/>
        <item x="480"/>
        <item x="482"/>
        <item x="483"/>
        <item x="490"/>
        <item x="486"/>
        <item x="485"/>
        <item x="484"/>
        <item x="489"/>
        <item x="488"/>
        <item x="487"/>
        <item x="491"/>
        <item x="494"/>
        <item x="492"/>
        <item x="493"/>
        <item x="496"/>
        <item x="495"/>
        <item x="499"/>
        <item x="498"/>
        <item x="500"/>
        <item x="497"/>
        <item x="501"/>
        <item x="503"/>
        <item x="502"/>
        <item x="506"/>
        <item x="508"/>
        <item x="505"/>
        <item x="504"/>
        <item x="507"/>
        <item x="509"/>
        <item x="510"/>
        <item x="511"/>
        <item x="512"/>
        <item x="513"/>
        <item x="514"/>
        <item x="515"/>
        <item x="518"/>
        <item x="516"/>
        <item x="519"/>
        <item x="517"/>
        <item x="521"/>
        <item x="524"/>
        <item x="520"/>
        <item x="522"/>
        <item x="523"/>
        <item x="528"/>
        <item x="529"/>
        <item x="527"/>
        <item x="525"/>
        <item x="526"/>
        <item x="530"/>
        <item x="531"/>
        <item x="532"/>
        <item x="534"/>
        <item x="540"/>
        <item x="537"/>
        <item x="535"/>
        <item x="533"/>
        <item x="536"/>
        <item x="538"/>
        <item x="542"/>
        <item x="539"/>
        <item x="541"/>
        <item x="543"/>
        <item x="546"/>
        <item x="548"/>
        <item x="547"/>
        <item x="544"/>
        <item x="545"/>
        <item x="549"/>
        <item x="550"/>
        <item x="555"/>
        <item x="551"/>
        <item x="552"/>
        <item x="553"/>
        <item x="556"/>
        <item x="554"/>
        <item x="557"/>
        <item x="558"/>
        <item x="559"/>
        <item x="561"/>
        <item x="564"/>
        <item x="560"/>
        <item x="562"/>
        <item x="565"/>
        <item x="563"/>
        <item x="566"/>
        <item x="567"/>
        <item x="569"/>
        <item x="570"/>
        <item x="568"/>
        <item x="571"/>
        <item x="573"/>
        <item x="574"/>
        <item x="572"/>
        <item x="575"/>
        <item x="576"/>
        <item x="577"/>
        <item x="578"/>
        <item x="580"/>
        <item x="579"/>
        <item x="581"/>
        <item x="583"/>
        <item x="587"/>
        <item x="585"/>
        <item x="582"/>
        <item x="586"/>
        <item x="584"/>
        <item x="592"/>
        <item x="589"/>
        <item x="588"/>
        <item x="591"/>
        <item x="593"/>
        <item x="590"/>
        <item x="598"/>
        <item x="594"/>
        <item x="596"/>
        <item x="597"/>
        <item x="595"/>
        <item x="599"/>
        <item x="601"/>
        <item x="600"/>
        <item x="602"/>
        <item x="603"/>
        <item x="604"/>
        <item x="605"/>
        <item x="606"/>
        <item x="609"/>
        <item x="607"/>
        <item x="608"/>
        <item x="610"/>
        <item x="615"/>
        <item x="611"/>
        <item x="613"/>
        <item x="612"/>
        <item x="619"/>
        <item x="617"/>
        <item x="614"/>
        <item x="616"/>
        <item x="618"/>
        <item x="625"/>
        <item x="622"/>
        <item x="621"/>
        <item x="624"/>
        <item x="620"/>
        <item x="623"/>
        <item x="630"/>
        <item x="633"/>
        <item x="626"/>
        <item x="627"/>
        <item x="628"/>
        <item x="629"/>
        <item x="631"/>
        <item x="632"/>
        <item x="634"/>
        <item x="638"/>
        <item x="635"/>
        <item x="636"/>
        <item x="637"/>
        <item x="639"/>
        <item x="640"/>
        <item x="641"/>
        <item x="646"/>
        <item x="644"/>
        <item x="645"/>
        <item x="642"/>
        <item x="643"/>
        <item x="648"/>
        <item x="647"/>
        <item x="651"/>
        <item x="653"/>
        <item x="650"/>
        <item x="649"/>
        <item x="652"/>
        <item x="657"/>
        <item x="656"/>
        <item x="655"/>
        <item x="658"/>
        <item x="654"/>
        <item x="659"/>
        <item x="660"/>
        <item x="664"/>
        <item x="662"/>
        <item x="666"/>
        <item x="661"/>
        <item x="668"/>
        <item x="663"/>
        <item x="665"/>
        <item x="667"/>
        <item x="672"/>
        <item x="669"/>
        <item x="674"/>
        <item x="671"/>
        <item x="675"/>
        <item x="673"/>
        <item x="670"/>
        <item x="676"/>
        <item x="678"/>
        <item x="679"/>
        <item x="677"/>
        <item x="681"/>
        <item x="684"/>
        <item x="682"/>
        <item x="680"/>
        <item x="683"/>
        <item x="686"/>
        <item x="685"/>
        <item x="690"/>
        <item x="689"/>
        <item x="687"/>
        <item x="688"/>
        <item x="692"/>
        <item x="69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h="1" x="1"/>
        <item x="2"/>
        <item h="1" x="3"/>
        <item x="4"/>
      </items>
    </pivotField>
    <pivotField dragToRow="0" dragToCol="0" dragToPage="0" showAll="0" defaultSubtota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On Time (%)" fld="27" baseField="0" baseItem="0"/>
    <dataField name="Soma de In Full (%)" fld="28" baseField="0" baseItem="0"/>
  </dataFields>
  <formats count="1">
    <format dxfId="228">
      <pivotArea outline="0" collapsedLevelsAreSubtotals="1" fieldPosition="0"/>
    </format>
  </format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873ADAF5-72D5-4D0F-B1A7-0AAA17BA3B01}" autoFormatId="16" applyNumberFormats="0" applyBorderFormats="0" applyFontFormats="0" applyPatternFormats="0" applyAlignmentFormats="0" applyWidthHeightFormats="0">
  <queryTableRefresh nextId="4">
    <queryTableFields count="3">
      <queryTableField id="1" name="Cod. Transportadora " tableColumnId="1"/>
      <queryTableField id="2" name="Transportadora" tableColumnId="2"/>
      <queryTableField id="3" name="Centro de Distribuiçã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0A1F2039-16CE-4A60-84FD-48EA529BA72F}" autoFormatId="16" applyNumberFormats="0" applyBorderFormats="0" applyFontFormats="0" applyPatternFormats="0" applyAlignmentFormats="0" applyWidthHeightFormats="0">
  <queryTableRefresh nextId="6">
    <queryTableFields count="5">
      <queryTableField id="1" name="Cod. Cliente" tableColumnId="1"/>
      <queryTableField id="2" name="Nome do Cliente" tableColumnId="2"/>
      <queryTableField id="3" name="Cidade" tableColumnId="3"/>
      <queryTableField id="4" name="UF" tableColumnId="4"/>
      <queryTableField id="5" name="Regiã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27AAC739-F904-4DAE-9381-FB180E24075C}" autoFormatId="16" applyNumberFormats="0" applyBorderFormats="0" applyFontFormats="0" applyPatternFormats="0" applyAlignmentFormats="0" applyWidthHeightFormats="0">
  <queryTableRefresh nextId="28" unboundColumnsRight="5">
    <queryTableFields count="27">
      <queryTableField id="1" name="Data Faturamento" tableColumnId="1"/>
      <queryTableField id="2" name="Nota Fiscal" tableColumnId="2"/>
      <queryTableField id="3" name="Warehouse Origem" tableColumnId="3"/>
      <queryTableField id="4" name="Cidade" tableColumnId="4"/>
      <queryTableField id="5" name="UF" tableColumnId="5"/>
      <queryTableField id="6" name="Cod. Cliente" tableColumnId="6"/>
      <queryTableField id="7" name="Nome do Cliente" tableColumnId="7"/>
      <queryTableField id="8" name="Cidade Destino" tableColumnId="8"/>
      <queryTableField id="9" name="Estado Destino" tableColumnId="9"/>
      <queryTableField id="10" name="Região Destino" tableColumnId="10"/>
      <queryTableField id="11" name="UF Cliente" tableColumnId="11"/>
      <queryTableField id="12" name="Valor Nota Fiscal" tableColumnId="12"/>
      <queryTableField id="13" name="Qtd de Volumes" tableColumnId="13"/>
      <queryTableField id="14" name="Peso bruto (kg)" tableColumnId="14"/>
      <queryTableField id="15" name="Cod. Transportadora" tableColumnId="15"/>
      <queryTableField id="16" name="Transportadora" tableColumnId="16"/>
      <queryTableField id="17" name="Centro de Distribuição" tableColumnId="17"/>
      <queryTableField id="18" name="Tipo de transporte" tableColumnId="18"/>
      <queryTableField id="19" name="Prazo Contratado" tableColumnId="19"/>
      <queryTableField id="20" name="Data da Coleta" tableColumnId="20"/>
      <queryTableField id="21" name="Data da Entrega" tableColumnId="21"/>
      <queryTableField id="22" name="Ocorrência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da_Entrega" xr10:uid="{7A334187-9778-4930-8C57-388D21F27FE3}" sourceName="Data da Entrega">
  <pivotTables>
    <pivotTable tabId="5" name="Tabela dinâmica5"/>
    <pivotTable tabId="5" name="Tabela dinâmica1"/>
    <pivotTable tabId="5" name="Tabela dinâmica10"/>
    <pivotTable tabId="5" name="Tabela dinâmica11"/>
    <pivotTable tabId="5" name="Tabela dinâmica2"/>
    <pivotTable tabId="5" name="Tabela dinâmica3"/>
    <pivotTable tabId="5" name="Tabela dinâmica4"/>
    <pivotTable tabId="5" name="Tabela dinâmica6"/>
    <pivotTable tabId="5" name="Tabela dinâmica7"/>
    <pivotTable tabId="5" name="Tabela dinâmica8"/>
    <pivotTable tabId="5" name="Tabela dinâmica9"/>
  </pivotTables>
  <data>
    <tabular pivotCacheId="170362654">
      <items count="693">
        <i x="345" s="1"/>
        <i x="341" s="1"/>
        <i x="338" s="1"/>
        <i x="337" s="1"/>
        <i x="340" s="1"/>
        <i x="339" s="1"/>
        <i x="344" s="1"/>
        <i x="342" s="1"/>
        <i x="343" s="1"/>
        <i x="347" s="1"/>
        <i x="348" s="1"/>
        <i x="346" s="1"/>
        <i x="351" s="1"/>
        <i x="349" s="1"/>
        <i x="352" s="1"/>
        <i x="350" s="1"/>
        <i x="353" s="1"/>
        <i x="354" s="1"/>
        <i x="355" s="1"/>
        <i x="356" s="1"/>
        <i x="357" s="1"/>
        <i x="358" s="1"/>
        <i x="360" s="1"/>
        <i x="359" s="1"/>
        <i x="365" s="1"/>
        <i x="364" s="1"/>
        <i x="361" s="1"/>
        <i x="363" s="1"/>
        <i x="362" s="1"/>
        <i x="367" s="1"/>
        <i x="366" s="1"/>
        <i x="369" s="1"/>
        <i x="368" s="1"/>
        <i x="377" s="1"/>
        <i x="372" s="1"/>
        <i x="371" s="1"/>
        <i x="370" s="1"/>
        <i x="378" s="1"/>
        <i x="374" s="1"/>
        <i x="373" s="1"/>
        <i x="376" s="1"/>
        <i x="380" s="1"/>
        <i x="375" s="1"/>
        <i x="379" s="1"/>
        <i x="381" s="1"/>
        <i x="384" s="1"/>
        <i x="382" s="1"/>
        <i x="388" s="1"/>
        <i x="385" s="1"/>
        <i x="383" s="1"/>
        <i x="386" s="1"/>
        <i x="389" s="1"/>
        <i x="387" s="1"/>
        <i x="392" s="1"/>
        <i x="391" s="1"/>
        <i x="390" s="1"/>
        <i x="393" s="1"/>
        <i x="394" s="1"/>
        <i x="395" s="1"/>
        <i x="398" s="1"/>
        <i x="397" s="1"/>
        <i x="396" s="1"/>
        <i x="401" s="1"/>
        <i x="406" s="1"/>
        <i x="400" s="1"/>
        <i x="404" s="1"/>
        <i x="399" s="1"/>
        <i x="412" s="1"/>
        <i x="402" s="1"/>
        <i x="403" s="1"/>
        <i x="405" s="1"/>
        <i x="409" s="1"/>
        <i x="407" s="1"/>
        <i x="408" s="1"/>
        <i x="411" s="1"/>
        <i x="410" s="1"/>
        <i x="413" s="1"/>
        <i x="414" s="1"/>
        <i x="418" s="1"/>
        <i x="415" s="1"/>
        <i x="416" s="1"/>
        <i x="421" s="1"/>
        <i x="417" s="1"/>
        <i x="419" s="1"/>
        <i x="420" s="1"/>
        <i x="423" s="1"/>
        <i x="424" s="1"/>
        <i x="422" s="1"/>
        <i x="427" s="1"/>
        <i x="425" s="1"/>
        <i x="426" s="1"/>
        <i x="428" s="1"/>
        <i x="433" s="1"/>
        <i x="429" s="1"/>
        <i x="430" s="1"/>
        <i x="431" s="1"/>
        <i x="432" s="1"/>
        <i x="434" s="1"/>
        <i x="435" s="1"/>
        <i x="437" s="1"/>
        <i x="439" s="1"/>
        <i x="436" s="1"/>
        <i x="438" s="1"/>
        <i x="444" s="1"/>
        <i x="449" s="1"/>
        <i x="445" s="1"/>
        <i x="446" s="1"/>
        <i x="443" s="1"/>
        <i x="441" s="1"/>
        <i x="440" s="1"/>
        <i x="442" s="1"/>
        <i x="448" s="1"/>
        <i x="447" s="1"/>
        <i x="451" s="1"/>
        <i x="452" s="1"/>
        <i x="450" s="1"/>
        <i x="454" s="1"/>
        <i x="453" s="1"/>
        <i x="455" s="1"/>
        <i x="457" s="1"/>
        <i x="456" s="1"/>
        <i x="458" s="1"/>
        <i x="459" s="1"/>
        <i x="460" s="1"/>
        <i x="465" s="1"/>
        <i x="461" s="1"/>
        <i x="462" s="1"/>
        <i x="463" s="1"/>
        <i x="466" s="1"/>
        <i x="468" s="1"/>
        <i x="467" s="1"/>
        <i x="464" s="1"/>
        <i x="472" s="1"/>
        <i x="469" s="1"/>
        <i x="475" s="1"/>
        <i x="470" s="1"/>
        <i x="477" s="1"/>
        <i x="471" s="1"/>
        <i x="474" s="1"/>
        <i x="473" s="1"/>
        <i x="476" s="1"/>
        <i x="481" s="1"/>
        <i x="478" s="1"/>
        <i x="479" s="1"/>
        <i x="480" s="1"/>
        <i x="482" s="1"/>
        <i x="483" s="1"/>
        <i x="490" s="1"/>
        <i x="486" s="1"/>
        <i x="485" s="1"/>
        <i x="484" s="1"/>
        <i x="489" s="1"/>
        <i x="488" s="1"/>
        <i x="487" s="1"/>
        <i x="491" s="1"/>
        <i x="494" s="1"/>
        <i x="492" s="1"/>
        <i x="493" s="1"/>
        <i x="496" s="1"/>
        <i x="495" s="1"/>
        <i x="499" s="1"/>
        <i x="498" s="1"/>
        <i x="500" s="1"/>
        <i x="497" s="1"/>
        <i x="501" s="1"/>
        <i x="503" s="1"/>
        <i x="502" s="1"/>
        <i x="506" s="1"/>
        <i x="508" s="1"/>
        <i x="505" s="1"/>
        <i x="504" s="1"/>
        <i x="507" s="1"/>
        <i x="509" s="1"/>
        <i x="510" s="1"/>
        <i x="511" s="1"/>
        <i x="512" s="1"/>
        <i x="513" s="1"/>
        <i x="514" s="1"/>
        <i x="515" s="1"/>
        <i x="518" s="1"/>
        <i x="516" s="1"/>
        <i x="519" s="1"/>
        <i x="517" s="1"/>
        <i x="521" s="1"/>
        <i x="524" s="1"/>
        <i x="520" s="1"/>
        <i x="522" s="1"/>
        <i x="523" s="1"/>
        <i x="528" s="1"/>
        <i x="529" s="1"/>
        <i x="527" s="1"/>
        <i x="525" s="1"/>
        <i x="526" s="1"/>
        <i x="530" s="1"/>
        <i x="531" s="1"/>
        <i x="532" s="1"/>
        <i x="534" s="1"/>
        <i x="540" s="1"/>
        <i x="537" s="1"/>
        <i x="535" s="1"/>
        <i x="533" s="1"/>
        <i x="536" s="1"/>
        <i x="538" s="1"/>
        <i x="542" s="1"/>
        <i x="539" s="1"/>
        <i x="541" s="1"/>
        <i x="543" s="1"/>
        <i x="546" s="1"/>
        <i x="548" s="1"/>
        <i x="547" s="1"/>
        <i x="544" s="1"/>
        <i x="545" s="1"/>
        <i x="549" s="1"/>
        <i x="550" s="1"/>
        <i x="555" s="1"/>
        <i x="551" s="1"/>
        <i x="552" s="1"/>
        <i x="553" s="1"/>
        <i x="556" s="1"/>
        <i x="554" s="1"/>
        <i x="557" s="1"/>
        <i x="558" s="1"/>
        <i x="559" s="1"/>
        <i x="561" s="1"/>
        <i x="564" s="1"/>
        <i x="560" s="1"/>
        <i x="562" s="1"/>
        <i x="565" s="1"/>
        <i x="563" s="1"/>
        <i x="566" s="1"/>
        <i x="567" s="1"/>
        <i x="569" s="1"/>
        <i x="570" s="1"/>
        <i x="568" s="1"/>
        <i x="571" s="1"/>
        <i x="573" s="1"/>
        <i x="574" s="1"/>
        <i x="572" s="1"/>
        <i x="575" s="1"/>
        <i x="576" s="1"/>
        <i x="577" s="1"/>
        <i x="578" s="1"/>
        <i x="580" s="1"/>
        <i x="579" s="1"/>
        <i x="581" s="1"/>
        <i x="583" s="1"/>
        <i x="587" s="1"/>
        <i x="585" s="1"/>
        <i x="582" s="1"/>
        <i x="586" s="1"/>
        <i x="584" s="1"/>
        <i x="592" s="1"/>
        <i x="589" s="1"/>
        <i x="588" s="1"/>
        <i x="591" s="1"/>
        <i x="593" s="1"/>
        <i x="590" s="1"/>
        <i x="598" s="1"/>
        <i x="594" s="1"/>
        <i x="596" s="1"/>
        <i x="597" s="1"/>
        <i x="595" s="1"/>
        <i x="599" s="1"/>
        <i x="601" s="1"/>
        <i x="600" s="1"/>
        <i x="602" s="1"/>
        <i x="603" s="1"/>
        <i x="604" s="1"/>
        <i x="605" s="1"/>
        <i x="606" s="1"/>
        <i x="609" s="1"/>
        <i x="607" s="1"/>
        <i x="608" s="1"/>
        <i x="610" s="1"/>
        <i x="615" s="1"/>
        <i x="611" s="1"/>
        <i x="613" s="1"/>
        <i x="612" s="1"/>
        <i x="619" s="1"/>
        <i x="617" s="1"/>
        <i x="614" s="1"/>
        <i x="616" s="1"/>
        <i x="618" s="1"/>
        <i x="625" s="1"/>
        <i x="622" s="1"/>
        <i x="621" s="1"/>
        <i x="624" s="1"/>
        <i x="620" s="1"/>
        <i x="623" s="1"/>
        <i x="630" s="1"/>
        <i x="633" s="1"/>
        <i x="626" s="1"/>
        <i x="627" s="1"/>
        <i x="628" s="1"/>
        <i x="629" s="1"/>
        <i x="631" s="1"/>
        <i x="632" s="1"/>
        <i x="634" s="1"/>
        <i x="638" s="1"/>
        <i x="635" s="1"/>
        <i x="636" s="1"/>
        <i x="637" s="1"/>
        <i x="639" s="1"/>
        <i x="640" s="1"/>
        <i x="641" s="1"/>
        <i x="646" s="1"/>
        <i x="644" s="1"/>
        <i x="645" s="1"/>
        <i x="642" s="1"/>
        <i x="643" s="1"/>
        <i x="648" s="1"/>
        <i x="647" s="1"/>
        <i x="651" s="1"/>
        <i x="653" s="1"/>
        <i x="650" s="1"/>
        <i x="649" s="1"/>
        <i x="652" s="1"/>
        <i x="657" s="1"/>
        <i x="656" s="1"/>
        <i x="655" s="1"/>
        <i x="658" s="1"/>
        <i x="654" s="1"/>
        <i x="659" s="1"/>
        <i x="660" s="1"/>
        <i x="664" s="1"/>
        <i x="662" s="1"/>
        <i x="666" s="1"/>
        <i x="661" s="1"/>
        <i x="668" s="1"/>
        <i x="663" s="1"/>
        <i x="665" s="1"/>
        <i x="667" s="1"/>
        <i x="672" s="1"/>
        <i x="669" s="1"/>
        <i x="674" s="1"/>
        <i x="671" s="1"/>
        <i x="675" s="1"/>
        <i x="673" s="1"/>
        <i x="670" s="1"/>
        <i x="676" s="1"/>
        <i x="678" s="1"/>
        <i x="679" s="1"/>
        <i x="677" s="1"/>
        <i x="681" s="1"/>
        <i x="684" s="1"/>
        <i x="682" s="1"/>
        <i x="680" s="1"/>
        <i x="683" s="1"/>
        <i x="686" s="1"/>
        <i x="685" s="1"/>
        <i x="690" s="1"/>
        <i x="0" s="1" nd="1"/>
        <i x="36" s="1" nd="1"/>
        <i x="30" s="1" nd="1"/>
        <i x="44" s="1" nd="1"/>
        <i x="3" s="1" nd="1"/>
        <i x="7" s="1" nd="1"/>
        <i x="6" s="1" nd="1"/>
        <i x="9" s="1" nd="1"/>
        <i x="31" s="1" nd="1"/>
        <i x="37" s="1" nd="1"/>
        <i x="10" s="1" nd="1"/>
        <i x="12" s="1" nd="1"/>
        <i x="33" s="1" nd="1"/>
        <i x="65" s="1" nd="1"/>
        <i x="8" s="1" nd="1"/>
        <i x="32" s="1" nd="1"/>
        <i x="11" s="1" nd="1"/>
        <i x="38" s="1" nd="1"/>
        <i x="13" s="1" nd="1"/>
        <i x="39" s="1" nd="1"/>
        <i x="64" s="1" nd="1"/>
        <i x="43" s="1" nd="1"/>
        <i x="59" s="1" nd="1"/>
        <i x="14" s="1" nd="1"/>
        <i x="47" s="1" nd="1"/>
        <i x="45" s="1" nd="1"/>
        <i x="46" s="1" nd="1"/>
        <i x="16" s="1" nd="1"/>
        <i x="66" s="1" nd="1"/>
        <i x="15" s="1" nd="1"/>
        <i x="18" s="1" nd="1"/>
        <i x="1" s="1" nd="1"/>
        <i x="17" s="1" nd="1"/>
        <i x="51" s="1" nd="1"/>
        <i x="20" s="1" nd="1"/>
        <i x="2" s="1" nd="1"/>
        <i x="42" s="1" nd="1"/>
        <i x="48" s="1" nd="1"/>
        <i x="40" s="1" nd="1"/>
        <i x="41" s="1" nd="1"/>
        <i x="55" s="1" nd="1"/>
        <i x="19" s="1" nd="1"/>
        <i x="24" s="1" nd="1"/>
        <i x="25" s="1" nd="1"/>
        <i x="4" s="1" nd="1"/>
        <i x="68" s="1" nd="1"/>
        <i x="54" s="1" nd="1"/>
        <i x="22" s="1" nd="1"/>
        <i x="21" s="1" nd="1"/>
        <i x="5" s="1" nd="1"/>
        <i x="23" s="1" nd="1"/>
        <i x="49" s="1" nd="1"/>
        <i x="27" s="1" nd="1"/>
        <i x="53" s="1" nd="1"/>
        <i x="52" s="1" nd="1"/>
        <i x="61" s="1" nd="1"/>
        <i x="58" s="1" nd="1"/>
        <i x="26" s="1" nd="1"/>
        <i x="28" s="1" nd="1"/>
        <i x="69" s="1" nd="1"/>
        <i x="34" s="1" nd="1"/>
        <i x="67" s="1" nd="1"/>
        <i x="35" s="1" nd="1"/>
        <i x="60" s="1" nd="1"/>
        <i x="50" s="1" nd="1"/>
        <i x="29" s="1" nd="1"/>
        <i x="63" s="1" nd="1"/>
        <i x="57" s="1" nd="1"/>
        <i x="56" s="1" nd="1"/>
        <i x="62" s="1" nd="1"/>
        <i x="72" s="1" nd="1"/>
        <i x="70" s="1" nd="1"/>
        <i x="71" s="1" nd="1"/>
        <i x="76" s="1" nd="1"/>
        <i x="75" s="1" nd="1"/>
        <i x="74" s="1" nd="1"/>
        <i x="73" s="1" nd="1"/>
        <i x="78" s="1" nd="1"/>
        <i x="80" s="1" nd="1"/>
        <i x="77" s="1" nd="1"/>
        <i x="79" s="1" nd="1"/>
        <i x="82" s="1" nd="1"/>
        <i x="83" s="1" nd="1"/>
        <i x="86" s="1" nd="1"/>
        <i x="81" s="1" nd="1"/>
        <i x="84" s="1" nd="1"/>
        <i x="85" s="1" nd="1"/>
        <i x="87" s="1" nd="1"/>
        <i x="88" s="1" nd="1"/>
        <i x="91" s="1" nd="1"/>
        <i x="89" s="1" nd="1"/>
        <i x="92" s="1" nd="1"/>
        <i x="90" s="1" nd="1"/>
        <i x="93" s="1" nd="1"/>
        <i x="99" s="1" nd="1"/>
        <i x="95" s="1" nd="1"/>
        <i x="94" s="1" nd="1"/>
        <i x="98" s="1" nd="1"/>
        <i x="96" s="1" nd="1"/>
        <i x="97" s="1" nd="1"/>
        <i x="102" s="1" nd="1"/>
        <i x="100" s="1" nd="1"/>
        <i x="101" s="1" nd="1"/>
        <i x="107" s="1" nd="1"/>
        <i x="104" s="1" nd="1"/>
        <i x="105" s="1" nd="1"/>
        <i x="103" s="1" nd="1"/>
        <i x="106" s="1" nd="1"/>
        <i x="109" s="1" nd="1"/>
        <i x="112" s="1" nd="1"/>
        <i x="111" s="1" nd="1"/>
        <i x="108" s="1" nd="1"/>
        <i x="110" s="1" nd="1"/>
        <i x="113" s="1" nd="1"/>
        <i x="114" s="1" nd="1"/>
        <i x="117" s="1" nd="1"/>
        <i x="115" s="1" nd="1"/>
        <i x="121" s="1" nd="1"/>
        <i x="118" s="1" nd="1"/>
        <i x="124" s="1" nd="1"/>
        <i x="119" s="1" nd="1"/>
        <i x="116" s="1" nd="1"/>
        <i x="122" s="1" nd="1"/>
        <i x="123" s="1" nd="1"/>
        <i x="120" s="1" nd="1"/>
        <i x="125" s="1" nd="1"/>
        <i x="128" s="1" nd="1"/>
        <i x="127" s="1" nd="1"/>
        <i x="129" s="1" nd="1"/>
        <i x="126" s="1" nd="1"/>
        <i x="130" s="1" nd="1"/>
        <i x="133" s="1" nd="1"/>
        <i x="131" s="1" nd="1"/>
        <i x="132" s="1" nd="1"/>
        <i x="134" s="1" nd="1"/>
        <i x="140" s="1" nd="1"/>
        <i x="135" s="1" nd="1"/>
        <i x="136" s="1" nd="1"/>
        <i x="137" s="1" nd="1"/>
        <i x="138" s="1" nd="1"/>
        <i x="139" s="1" nd="1"/>
        <i x="143" s="1" nd="1"/>
        <i x="141" s="1" nd="1"/>
        <i x="144" s="1" nd="1"/>
        <i x="142" s="1" nd="1"/>
        <i x="153" s="1" nd="1"/>
        <i x="146" s="1" nd="1"/>
        <i x="147" s="1" nd="1"/>
        <i x="145" s="1" nd="1"/>
        <i x="149" s="1" nd="1"/>
        <i x="148" s="1" nd="1"/>
        <i x="152" s="1" nd="1"/>
        <i x="151" s="1" nd="1"/>
        <i x="150" s="1" nd="1"/>
        <i x="156" s="1" nd="1"/>
        <i x="155" s="1" nd="1"/>
        <i x="154" s="1" nd="1"/>
        <i x="158" s="1" nd="1"/>
        <i x="157" s="1" nd="1"/>
        <i x="159" s="1" nd="1"/>
        <i x="161" s="1" nd="1"/>
        <i x="162" s="1" nd="1"/>
        <i x="166" s="1" nd="1"/>
        <i x="160" s="1" nd="1"/>
        <i x="165" s="1" nd="1"/>
        <i x="163" s="1" nd="1"/>
        <i x="164" s="1" nd="1"/>
        <i x="168" s="1" nd="1"/>
        <i x="167" s="1" nd="1"/>
        <i x="173" s="1" nd="1"/>
        <i x="171" s="1" nd="1"/>
        <i x="170" s="1" nd="1"/>
        <i x="169" s="1" nd="1"/>
        <i x="175" s="1" nd="1"/>
        <i x="178" s="1" nd="1"/>
        <i x="174" s="1" nd="1"/>
        <i x="172" s="1" nd="1"/>
        <i x="182" s="1" nd="1"/>
        <i x="176" s="1" nd="1"/>
        <i x="177" s="1" nd="1"/>
        <i x="183" s="1" nd="1"/>
        <i x="179" s="1" nd="1"/>
        <i x="181" s="1" nd="1"/>
        <i x="180" s="1" nd="1"/>
        <i x="184" s="1" nd="1"/>
        <i x="187" s="1" nd="1"/>
        <i x="191" s="1" nd="1"/>
        <i x="190" s="1" nd="1"/>
        <i x="192" s="1" nd="1"/>
        <i x="185" s="1" nd="1"/>
        <i x="188" s="1" nd="1"/>
        <i x="186" s="1" nd="1"/>
        <i x="189" s="1" nd="1"/>
        <i x="194" s="1" nd="1"/>
        <i x="193" s="1" nd="1"/>
        <i x="200" s="1" nd="1"/>
        <i x="202" s="1" nd="1"/>
        <i x="196" s="1" nd="1"/>
        <i x="195" s="1" nd="1"/>
        <i x="198" s="1" nd="1"/>
        <i x="197" s="1" nd="1"/>
        <i x="204" s="1" nd="1"/>
        <i x="199" s="1" nd="1"/>
        <i x="201" s="1" nd="1"/>
        <i x="203" s="1" nd="1"/>
        <i x="205" s="1" nd="1"/>
        <i x="207" s="1" nd="1"/>
        <i x="209" s="1" nd="1"/>
        <i x="206" s="1" nd="1"/>
        <i x="208" s="1" nd="1"/>
        <i x="210" s="1" nd="1"/>
        <i x="212" s="1" nd="1"/>
        <i x="211" s="1" nd="1"/>
        <i x="213" s="1" nd="1"/>
        <i x="214" s="1" nd="1"/>
        <i x="216" s="1" nd="1"/>
        <i x="215" s="1" nd="1"/>
        <i x="219" s="1" nd="1"/>
        <i x="217" s="1" nd="1"/>
        <i x="218" s="1" nd="1"/>
        <i x="220" s="1" nd="1"/>
        <i x="222" s="1" nd="1"/>
        <i x="224" s="1" nd="1"/>
        <i x="223" s="1" nd="1"/>
        <i x="221" s="1" nd="1"/>
        <i x="229" s="1" nd="1"/>
        <i x="228" s="1" nd="1"/>
        <i x="231" s="1" nd="1"/>
        <i x="226" s="1" nd="1"/>
        <i x="225" s="1" nd="1"/>
        <i x="227" s="1" nd="1"/>
        <i x="230" s="1" nd="1"/>
        <i x="234" s="1" nd="1"/>
        <i x="233" s="1" nd="1"/>
        <i x="232" s="1" nd="1"/>
        <i x="235" s="1" nd="1"/>
        <i x="236" s="1" nd="1"/>
        <i x="237" s="1" nd="1"/>
        <i x="241" s="1" nd="1"/>
        <i x="238" s="1" nd="1"/>
        <i x="240" s="1" nd="1"/>
        <i x="246" s="1" nd="1"/>
        <i x="245" s="1" nd="1"/>
        <i x="243" s="1" nd="1"/>
        <i x="239" s="1" nd="1"/>
        <i x="242" s="1" nd="1"/>
        <i x="251" s="1" nd="1"/>
        <i x="244" s="1" nd="1"/>
        <i x="249" s="1" nd="1"/>
        <i x="247" s="1" nd="1"/>
        <i x="248" s="1" nd="1"/>
        <i x="250" s="1" nd="1"/>
        <i x="252" s="1" nd="1"/>
        <i x="253" s="1" nd="1"/>
        <i x="256" s="1" nd="1"/>
        <i x="255" s="1" nd="1"/>
        <i x="258" s="1" nd="1"/>
        <i x="254" s="1" nd="1"/>
        <i x="257" s="1" nd="1"/>
        <i x="259" s="1" nd="1"/>
        <i x="261" s="1" nd="1"/>
        <i x="260" s="1" nd="1"/>
        <i x="262" s="1" nd="1"/>
        <i x="263" s="1" nd="1"/>
        <i x="264" s="1" nd="1"/>
        <i x="267" s="1" nd="1"/>
        <i x="265" s="1" nd="1"/>
        <i x="266" s="1" nd="1"/>
        <i x="272" s="1" nd="1"/>
        <i x="274" s="1" nd="1"/>
        <i x="270" s="1" nd="1"/>
        <i x="268" s="1" nd="1"/>
        <i x="271" s="1" nd="1"/>
        <i x="269" s="1" nd="1"/>
        <i x="276" s="1" nd="1"/>
        <i x="275" s="1" nd="1"/>
        <i x="273" s="1" nd="1"/>
        <i x="278" s="1" nd="1"/>
        <i x="279" s="1" nd="1"/>
        <i x="277" s="1" nd="1"/>
        <i x="281" s="1" nd="1"/>
        <i x="280" s="1" nd="1"/>
        <i x="282" s="1" nd="1"/>
        <i x="284" s="1" nd="1"/>
        <i x="283" s="1" nd="1"/>
        <i x="285" s="1" nd="1"/>
        <i x="291" s="1" nd="1"/>
        <i x="295" s="1" nd="1"/>
        <i x="293" s="1" nd="1"/>
        <i x="292" s="1" nd="1"/>
        <i x="289" s="1" nd="1"/>
        <i x="288" s="1" nd="1"/>
        <i x="286" s="1" nd="1"/>
        <i x="287" s="1" nd="1"/>
        <i x="294" s="1" nd="1"/>
        <i x="290" s="1" nd="1"/>
        <i x="296" s="1" nd="1"/>
        <i x="300" s="1" nd="1"/>
        <i x="303" s="1" nd="1"/>
        <i x="297" s="1" nd="1"/>
        <i x="298" s="1" nd="1"/>
        <i x="302" s="1" nd="1"/>
        <i x="299" s="1" nd="1"/>
        <i x="301" s="1" nd="1"/>
        <i x="305" s="1" nd="1"/>
        <i x="306" s="1" nd="1"/>
        <i x="304" s="1" nd="1"/>
        <i x="307" s="1" nd="1"/>
        <i x="308" s="1" nd="1"/>
        <i x="313" s="1" nd="1"/>
        <i x="311" s="1" nd="1"/>
        <i x="310" s="1" nd="1"/>
        <i x="309" s="1" nd="1"/>
        <i x="316" s="1" nd="1"/>
        <i x="312" s="1" nd="1"/>
        <i x="315" s="1" nd="1"/>
        <i x="314" s="1" nd="1"/>
        <i x="317" s="1" nd="1"/>
        <i x="320" s="1" nd="1"/>
        <i x="321" s="1" nd="1"/>
        <i x="323" s="1" nd="1"/>
        <i x="318" s="1" nd="1"/>
        <i x="319" s="1" nd="1"/>
        <i x="327" s="1" nd="1"/>
        <i x="325" s="1" nd="1"/>
        <i x="322" s="1" nd="1"/>
        <i x="332" s="1" nd="1"/>
        <i x="324" s="1" nd="1"/>
        <i x="328" s="1" nd="1"/>
        <i x="326" s="1" nd="1"/>
        <i x="329" s="1" nd="1"/>
        <i x="330" s="1" nd="1"/>
        <i x="331" s="1" nd="1"/>
        <i x="334" s="1" nd="1"/>
        <i x="333" s="1" nd="1"/>
        <i x="335" s="1" nd="1"/>
        <i x="336" s="1" nd="1"/>
        <i x="689" s="1" nd="1"/>
        <i x="687" s="1" nd="1"/>
        <i x="688" s="1" nd="1"/>
        <i x="692" s="1" nd="1"/>
        <i x="69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_da_Entrega" xr10:uid="{14F62192-7817-4F69-87B5-026586B6AF24}" sourceName="Anos (Data da Entrega)">
  <pivotTables>
    <pivotTable tabId="5" name="Tabela dinâmica5"/>
    <pivotTable tabId="5" name="Tabela dinâmica1"/>
    <pivotTable tabId="5" name="Tabela dinâmica10"/>
    <pivotTable tabId="5" name="Tabela dinâmica11"/>
    <pivotTable tabId="5" name="Tabela dinâmica2"/>
    <pivotTable tabId="5" name="Tabela dinâmica3"/>
    <pivotTable tabId="5" name="Tabela dinâmica4"/>
    <pivotTable tabId="5" name="Tabela dinâmica6"/>
    <pivotTable tabId="5" name="Tabela dinâmica7"/>
    <pivotTable tabId="5" name="Tabela dinâmica8"/>
    <pivotTable tabId="5" name="Tabela dinâmica9"/>
  </pivotTables>
  <data>
    <tabular pivotCacheId="170362654">
      <items count="5">
        <i x="1"/>
        <i x="2" s="1"/>
        <i x="3"/>
        <i x="0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ansportadora" xr10:uid="{3435E96D-A561-442F-9ED7-032B258C0F70}" sourceName="Transportadora">
  <pivotTables>
    <pivotTable tabId="5" name="Tabela dinâmica5"/>
    <pivotTable tabId="5" name="Tabela dinâmica1"/>
    <pivotTable tabId="5" name="Tabela dinâmica10"/>
    <pivotTable tabId="5" name="Tabela dinâmica11"/>
    <pivotTable tabId="5" name="Tabela dinâmica2"/>
    <pivotTable tabId="5" name="Tabela dinâmica3"/>
    <pivotTable tabId="5" name="Tabela dinâmica4"/>
    <pivotTable tabId="5" name="Tabela dinâmica6"/>
    <pivotTable tabId="5" name="Tabela dinâmica7"/>
    <pivotTable tabId="5" name="Tabela dinâmica8"/>
    <pivotTable tabId="5" name="Tabela dinâmica9"/>
  </pivotTables>
  <data>
    <tabular pivotCacheId="170362654">
      <items count="7">
        <i x="1" s="1"/>
        <i x="0" s="1"/>
        <i x="3" s="1"/>
        <i x="4" s="1"/>
        <i x="5" s="1"/>
        <i x="6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o_Cliente" xr10:uid="{D709B64A-1F81-47CD-9380-E036EB014FE6}" sourceName="Nome do Cliente">
  <pivotTables>
    <pivotTable tabId="5" name="Tabela dinâmica5"/>
    <pivotTable tabId="5" name="Tabela dinâmica1"/>
    <pivotTable tabId="5" name="Tabela dinâmica10"/>
    <pivotTable tabId="5" name="Tabela dinâmica11"/>
    <pivotTable tabId="5" name="Tabela dinâmica2"/>
    <pivotTable tabId="5" name="Tabela dinâmica3"/>
    <pivotTable tabId="5" name="Tabela dinâmica4"/>
    <pivotTable tabId="5" name="Tabela dinâmica6"/>
    <pivotTable tabId="5" name="Tabela dinâmica7"/>
    <pivotTable tabId="5" name="Tabela dinâmica8"/>
    <pivotTable tabId="5" name="Tabela dinâmica9"/>
  </pivotTables>
  <data>
    <tabular pivotCacheId="170362654">
      <items count="264">
        <i x="2" s="1"/>
        <i x="191" s="1"/>
        <i x="190" s="1"/>
        <i x="172" s="1"/>
        <i x="4" s="1"/>
        <i x="168" s="1"/>
        <i x="260" s="1"/>
        <i x="9" s="1"/>
        <i x="164" s="1"/>
        <i x="0" s="1"/>
        <i x="198" s="1"/>
        <i x="205" s="1"/>
        <i x="16" s="1"/>
        <i x="226" s="1"/>
        <i x="95" s="1"/>
        <i x="180" s="1"/>
        <i x="254" s="1"/>
        <i x="239" s="1"/>
        <i x="111" s="1"/>
        <i x="134" s="1"/>
        <i x="145" s="1"/>
        <i x="133" s="1"/>
        <i x="71" s="1"/>
        <i x="165" s="1"/>
        <i x="27" s="1"/>
        <i x="244" s="1"/>
        <i x="213" s="1"/>
        <i x="229" s="1"/>
        <i x="201" s="1"/>
        <i x="248" s="1"/>
        <i x="31" s="1"/>
        <i x="256" s="1"/>
        <i x="232" s="1"/>
        <i x="155" s="1"/>
        <i x="219" s="1"/>
        <i x="148" s="1"/>
        <i x="159" s="1"/>
        <i x="138" s="1"/>
        <i x="161" s="1"/>
        <i x="120" s="1"/>
        <i x="127" s="1"/>
        <i x="124" s="1"/>
        <i x="123" s="1"/>
        <i x="141" s="1"/>
        <i x="119" s="1"/>
        <i x="237" s="1"/>
        <i x="166" s="1"/>
        <i x="107" s="1"/>
        <i x="39" s="1"/>
        <i x="209" s="1"/>
        <i x="94" s="1"/>
        <i x="253" s="1"/>
        <i x="182" s="1"/>
        <i x="242" s="1"/>
        <i x="250" s="1"/>
        <i x="178" s="1"/>
        <i x="121" s="1"/>
        <i x="249" s="1"/>
        <i x="227" s="1"/>
        <i x="230" s="1"/>
        <i x="93" s="1"/>
        <i x="200" s="1"/>
        <i x="195" s="1"/>
        <i x="262" s="1"/>
        <i x="258" s="1"/>
        <i x="257" s="1"/>
        <i x="34" s="1"/>
        <i x="251" s="1"/>
        <i x="220" s="1"/>
        <i x="114" s="1"/>
        <i x="129" s="1"/>
        <i x="43" s="1"/>
        <i x="44" s="1"/>
        <i x="1" s="1"/>
        <i x="241" s="1"/>
        <i x="224" s="1"/>
        <i x="162" s="1"/>
        <i x="45" s="1"/>
        <i x="154" s="1"/>
        <i x="116" s="1"/>
        <i x="137" s="1"/>
        <i x="115" s="1"/>
        <i x="217" s="1"/>
        <i x="125" s="1"/>
        <i x="194" s="1"/>
        <i x="163" s="1"/>
        <i x="160" s="1"/>
        <i x="147" s="1"/>
        <i x="136" s="1"/>
        <i x="236" s="1"/>
        <i x="100" s="1"/>
        <i x="122" s="1"/>
        <i x="130" s="1"/>
        <i x="149" s="1"/>
        <i x="181" s="1"/>
        <i x="176" s="1"/>
        <i x="170" s="1"/>
        <i x="150" s="1"/>
        <i x="139" s="1"/>
        <i x="223" s="1"/>
        <i x="90" s="1"/>
        <i x="188" s="1"/>
        <i x="128" s="1"/>
        <i x="151" s="1"/>
        <i x="156" s="1"/>
        <i x="131" s="1"/>
        <i x="167" s="1"/>
        <i x="126" s="1"/>
        <i x="102" s="1"/>
        <i x="189" s="1"/>
        <i x="30" s="1"/>
        <i x="235" s="1"/>
        <i x="238" s="1"/>
        <i x="19" s="1"/>
        <i x="88" s="1"/>
        <i x="261" s="1"/>
        <i x="259" s="1"/>
        <i x="106" s="1"/>
        <i x="24" s="1"/>
        <i x="99" s="1"/>
        <i x="21" s="1"/>
        <i x="208" s="1"/>
        <i x="252" s="1"/>
        <i x="228" s="1"/>
        <i x="13" s="1"/>
        <i x="206" s="1"/>
        <i x="105" s="1"/>
        <i x="183" s="1"/>
        <i x="207" s="1"/>
        <i x="222" s="1"/>
        <i x="255" s="1"/>
        <i x="50" s="1"/>
        <i x="199" s="1"/>
        <i x="73" s="1"/>
        <i x="84" s="1"/>
        <i x="53" s="1"/>
        <i x="54" s="1"/>
        <i x="87" s="1"/>
        <i x="76" s="1"/>
        <i x="234" s="1"/>
        <i x="192" s="1"/>
        <i x="247" s="1"/>
        <i x="49" s="1"/>
        <i x="20" s="1"/>
        <i x="240" s="1"/>
        <i x="202" s="1"/>
        <i x="3" s="1"/>
        <i x="246" s="1"/>
        <i x="245" s="1"/>
        <i x="51" s="1"/>
        <i x="197" s="1"/>
        <i x="243" s="1"/>
        <i x="72" s="1"/>
        <i x="186" s="1"/>
        <i x="211" s="1"/>
        <i x="52" s="1"/>
        <i x="144" s="1"/>
        <i x="184" s="1"/>
        <i x="215" s="1"/>
        <i x="36" s="1"/>
        <i x="15" s="1"/>
        <i x="196" s="1"/>
        <i x="118" s="1"/>
        <i x="26" s="1"/>
        <i x="140" s="1"/>
        <i x="142" s="1"/>
        <i x="143" s="1"/>
        <i x="135" s="1"/>
        <i x="177" s="1"/>
        <i x="185" s="1"/>
        <i x="35" s="1"/>
        <i x="48" s="1"/>
        <i x="218" s="1"/>
        <i x="96" s="1"/>
        <i x="225" s="1"/>
        <i x="221" s="1"/>
        <i x="187" s="1"/>
        <i x="146" s="1"/>
        <i x="153" s="1"/>
        <i x="216" s="1"/>
        <i x="210" s="1"/>
        <i x="158" s="1"/>
        <i x="101" s="1"/>
        <i x="231" s="1"/>
        <i x="60" s="1"/>
        <i x="174" s="1"/>
        <i x="233" s="1"/>
        <i x="179" s="1"/>
        <i x="42" s="1"/>
        <i x="212" s="1"/>
        <i x="56" s="1"/>
        <i x="203" s="1"/>
        <i x="10" s="1"/>
        <i x="214" s="1"/>
        <i x="12" s="1"/>
        <i x="57" s="1"/>
        <i x="171" s="1"/>
        <i x="169" s="1"/>
        <i x="152" s="1"/>
        <i x="175" s="1"/>
        <i x="173" s="1"/>
        <i x="157" s="1"/>
        <i x="81" s="1"/>
        <i x="132" s="1"/>
        <i x="193" s="1"/>
        <i x="204" s="1"/>
        <i x="55" s="1"/>
        <i x="97" s="1"/>
        <i x="37" s="1"/>
        <i x="109" s="1" nd="1"/>
        <i x="7" s="1" nd="1"/>
        <i x="8" s="1" nd="1"/>
        <i x="78" s="1" nd="1"/>
        <i x="11" s="1" nd="1"/>
        <i x="14" s="1" nd="1"/>
        <i x="80" s="1" nd="1"/>
        <i x="17" s="1" nd="1"/>
        <i x="59" s="1" nd="1"/>
        <i x="67" s="1" nd="1"/>
        <i x="70" s="1" nd="1"/>
        <i x="22" s="1" nd="1"/>
        <i x="25" s="1" nd="1"/>
        <i x="28" s="1" nd="1"/>
        <i x="68" s="1" nd="1"/>
        <i x="91" s="1" nd="1"/>
        <i x="33" s="1" nd="1"/>
        <i x="110" s="1" nd="1"/>
        <i x="38" s="1" nd="1"/>
        <i x="117" s="1" nd="1"/>
        <i x="5" s="1" nd="1"/>
        <i x="40" s="1" nd="1"/>
        <i x="18" s="1" nd="1"/>
        <i x="47" s="1" nd="1"/>
        <i x="113" s="1" nd="1"/>
        <i x="89" s="1" nd="1"/>
        <i x="86" s="1" nd="1"/>
        <i x="77" s="1" nd="1"/>
        <i x="108" s="1" nd="1"/>
        <i x="65" s="1" nd="1"/>
        <i x="79" s="1" nd="1"/>
        <i x="74" s="1" nd="1"/>
        <i x="263" s="1" nd="1"/>
        <i x="98" s="1" nd="1"/>
        <i x="112" s="1" nd="1"/>
        <i x="63" s="1" nd="1"/>
        <i x="103" s="1" nd="1"/>
        <i x="66" s="1" nd="1"/>
        <i x="32" s="1" nd="1"/>
        <i x="92" s="1" nd="1"/>
        <i x="61" s="1" nd="1"/>
        <i x="64" s="1" nd="1"/>
        <i x="82" s="1" nd="1"/>
        <i x="62" s="1" nd="1"/>
        <i x="104" s="1" nd="1"/>
        <i x="69" s="1" nd="1"/>
        <i x="6" s="1" nd="1"/>
        <i x="85" s="1" nd="1"/>
        <i x="23" s="1" nd="1"/>
        <i x="41" s="1" nd="1"/>
        <i x="29" s="1" nd="1"/>
        <i x="58" s="1" nd="1"/>
        <i x="46" s="1" nd="1"/>
        <i x="83" s="1" nd="1"/>
        <i x="7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da Entrega" xr10:uid="{BEBC08CD-3AC5-4658-BF25-CB0E72E2DABA}" cache="SegmentaçãodeDados_Data_da_Entrega" caption="Data da Entrega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 da Entrega)" xr10:uid="{306CE386-E27A-4738-822B-3C25291EE90E}" cache="SegmentaçãodeDados_Anos__Data_da_Entrega" caption="Anos" columnCount="3" style="DashBoard" rowHeight="257175"/>
  <slicer name="Transportadora" xr10:uid="{F3328944-82F5-4972-88A5-7569D4969992}" cache="SegmentaçãodeDados_Transportadora" caption="Transportadora" style="DashBoard" rowHeight="257175"/>
  <slicer name="Nome do Cliente" xr10:uid="{14351BCE-25E4-4288-A418-673D39AD6CD0}" cache="SegmentaçãodeDados_Nome_do_Cliente" caption="Nome do Cliente" style="DashBoard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392616-0F55-44AA-A7A4-F75D5F87B036}" name="CadTransportadoras" displayName="CadTransportadoras" ref="A1:C8" tableType="queryTable" totalsRowShown="0">
  <autoFilter ref="A1:C8" xr:uid="{9E392616-0F55-44AA-A7A4-F75D5F87B036}"/>
  <tableColumns count="3">
    <tableColumn id="1" xr3:uid="{F48D1E38-15B1-4AA5-98ED-0BA871044E45}" uniqueName="1" name="Cod. Transportadora " queryTableFieldId="1"/>
    <tableColumn id="2" xr3:uid="{64A4AC4C-8C24-4504-BDFC-8B92CEDD6142}" uniqueName="2" name="Transportadora" queryTableFieldId="2" dataDxfId="254"/>
    <tableColumn id="3" xr3:uid="{EEDA8F8C-1A12-4215-A72E-250882F38D9C}" uniqueName="3" name="Centro de Distribuição" queryTableFieldId="3" dataDxfId="25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FB5BE-96F0-451E-9B74-F325EC489A54}" name="dimCliente" displayName="dimCliente" ref="A1:E265" tableType="queryTable" totalsRowShown="0">
  <autoFilter ref="A1:E265" xr:uid="{6BAFB5BE-96F0-451E-9B74-F325EC489A54}"/>
  <tableColumns count="5">
    <tableColumn id="1" xr3:uid="{4D55AA3C-2799-4593-9C7C-1BCFDA3EC0F0}" uniqueName="1" name="Cod. Cliente" queryTableFieldId="1"/>
    <tableColumn id="2" xr3:uid="{EBE355CA-3AE4-47A7-A4B0-EEC7E536F2E8}" uniqueName="2" name="Nome do Cliente" queryTableFieldId="2" dataDxfId="252"/>
    <tableColumn id="3" xr3:uid="{63AA67F6-4337-44BB-9112-60CD706E51E3}" uniqueName="3" name="Cidade" queryTableFieldId="3" dataDxfId="251"/>
    <tableColumn id="4" xr3:uid="{4F7D9C4C-4FA4-45D4-896A-6276E1D0FDC6}" uniqueName="4" name="UF" queryTableFieldId="4" dataDxfId="250"/>
    <tableColumn id="5" xr3:uid="{B5A0DB1E-C74E-48E6-8A15-51213623A189}" uniqueName="5" name="Região" queryTableFieldId="5" dataDxfId="2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F49C7-CF59-41F4-B3A2-0F9A8B5C4D2D}" name="fNotasFiscais" displayName="fNotasFiscais" ref="A1:AA2726" tableType="queryTable" totalsRowShown="0">
  <autoFilter ref="A1:AA2726" xr:uid="{75CF49C7-CF59-41F4-B3A2-0F9A8B5C4D2D}"/>
  <tableColumns count="27">
    <tableColumn id="1" xr3:uid="{8111DC41-1F42-485F-9F08-9E823CAFF81F}" uniqueName="1" name="Data Faturamento" queryTableFieldId="1" dataDxfId="248"/>
    <tableColumn id="2" xr3:uid="{21E29092-3BFE-4D02-A71E-197628FCC9AC}" uniqueName="2" name="Nota Fiscal" queryTableFieldId="2"/>
    <tableColumn id="3" xr3:uid="{555BD2CC-B547-4985-9BFB-789D85EF020A}" uniqueName="3" name="Warehouse Origem" queryTableFieldId="3" dataDxfId="247"/>
    <tableColumn id="4" xr3:uid="{F8A7470A-B1CA-4E26-A5B6-1A0E31973D71}" uniqueName="4" name="Cidade" queryTableFieldId="4" dataDxfId="246"/>
    <tableColumn id="5" xr3:uid="{D6428641-7FE5-4529-9B72-92C91EB3128B}" uniqueName="5" name="UF" queryTableFieldId="5" dataDxfId="245"/>
    <tableColumn id="6" xr3:uid="{D38866F8-FA3F-4B96-8A34-DDCB08CD4797}" uniqueName="6" name="Cod. Cliente" queryTableFieldId="6"/>
    <tableColumn id="7" xr3:uid="{34219DF1-539C-456D-AA3C-428EAC2967E0}" uniqueName="7" name="Nome do Cliente" queryTableFieldId="7" dataDxfId="244"/>
    <tableColumn id="8" xr3:uid="{05044046-A9BB-4B30-9860-B09A4C713EB9}" uniqueName="8" name="Cidade Destino" queryTableFieldId="8" dataDxfId="243"/>
    <tableColumn id="9" xr3:uid="{2C62D67F-C6EC-4437-9A45-48EC2D46187B}" uniqueName="9" name="Estado Destino" queryTableFieldId="9" dataDxfId="242"/>
    <tableColumn id="10" xr3:uid="{97F529E2-0A83-42A9-A5FD-0D9B7E144D5E}" uniqueName="10" name="Região Destino" queryTableFieldId="10" dataDxfId="241"/>
    <tableColumn id="11" xr3:uid="{63D20940-7FE4-4A4D-B6E4-0DD051D44352}" uniqueName="11" name="UF Cliente" queryTableFieldId="11" dataDxfId="240"/>
    <tableColumn id="12" xr3:uid="{1F1DD020-A63A-4059-99B0-128C7FB3192C}" uniqueName="12" name="Valor Nota Fiscal" queryTableFieldId="12"/>
    <tableColumn id="13" xr3:uid="{CD25768D-7B24-4F0D-B1B3-50AD60CDA908}" uniqueName="13" name="Qtd de Volumes" queryTableFieldId="13"/>
    <tableColumn id="14" xr3:uid="{562CF5D1-D06E-4A70-AB0F-722A56C6BAC5}" uniqueName="14" name="Peso bruto (kg)" queryTableFieldId="14"/>
    <tableColumn id="15" xr3:uid="{D1E68309-8237-482F-9D41-B8014BC74230}" uniqueName="15" name="Cod. Transportadora" queryTableFieldId="15"/>
    <tableColumn id="16" xr3:uid="{1C547860-ECDC-4DE1-BBEA-86F3BB79F265}" uniqueName="16" name="Transportadora" queryTableFieldId="16" dataDxfId="239"/>
    <tableColumn id="17" xr3:uid="{B1380689-E21B-4FBF-B32A-7F363170C0AD}" uniqueName="17" name="Centro de Distribuição" queryTableFieldId="17" dataDxfId="238"/>
    <tableColumn id="18" xr3:uid="{BF3845EA-CDAB-47B8-8AB0-9BAB5FBF7D11}" uniqueName="18" name="Tipo de transporte" queryTableFieldId="18" dataDxfId="237"/>
    <tableColumn id="19" xr3:uid="{F35C00E7-B2C2-4C7D-9E50-9268183972DE}" uniqueName="19" name="Prazo Contratado" queryTableFieldId="19"/>
    <tableColumn id="20" xr3:uid="{11970232-3644-4F9F-B965-AB0AC7A7528C}" uniqueName="20" name="Data da Coleta" queryTableFieldId="20" dataDxfId="236"/>
    <tableColumn id="21" xr3:uid="{01FEFA83-44DC-4492-91CA-8FA724B2D2E0}" uniqueName="21" name="Data da Entrega" queryTableFieldId="21" dataDxfId="235"/>
    <tableColumn id="22" xr3:uid="{8A43B002-4F0F-4F26-81E1-7F4BB2E762F4}" uniqueName="22" name="Ocorrência" queryTableFieldId="22" dataDxfId="234"/>
    <tableColumn id="23" xr3:uid="{0E888B0D-3DC4-4BA6-8479-96EEA5216771}" uniqueName="23" name="Data Contratada" queryTableFieldId="23" dataDxfId="233">
      <calculatedColumnFormula>fNotasFiscais[[#This Row],[Data da Coleta]]+fNotasFiscais[[#This Row],[Prazo Contratado]]</calculatedColumnFormula>
    </tableColumn>
    <tableColumn id="24" xr3:uid="{E2D4BE49-CE15-48EE-95BE-51AD39798CC4}" uniqueName="24" name="On Time" queryTableFieldId="24" dataDxfId="232">
      <calculatedColumnFormula>IF(fNotasFiscais[[#This Row],[Data da Entrega]]&gt;fNotasFiscais[[#This Row],[Data Contratada]],0,1)</calculatedColumnFormula>
    </tableColumn>
    <tableColumn id="25" xr3:uid="{87C23061-887E-4954-A3D6-316C7EDEA97F}" uniqueName="25" name="In Full" queryTableFieldId="25" dataDxfId="231">
      <calculatedColumnFormula>IF(fNotasFiscais[[#This Row],[Ocorrência]]="",1,0)</calculatedColumnFormula>
    </tableColumn>
    <tableColumn id="26" xr3:uid="{75B78A12-59C0-4528-81E4-ABC4A533BB24}" uniqueName="26" name="On Time In Full" queryTableFieldId="26" dataDxfId="230">
      <calculatedColumnFormula>fNotasFiscais[[#This Row],[On Time]]*fNotasFiscais[[#This Row],[In Full]]</calculatedColumnFormula>
    </tableColumn>
    <tableColumn id="27" xr3:uid="{8368EE00-2DF3-41FA-9FDE-5A9F15791F22}" uniqueName="27" name="Contador" queryTableFieldId="27" dataDxfId="229">
      <calculatedColumnFormula>IF(fNotasFiscais[[#This Row],[Nota Fiscal]]&lt;&gt;"",1,0)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1A9A-CCAC-48A9-8938-C67540C09BF0}">
  <dimension ref="A1:C8"/>
  <sheetViews>
    <sheetView workbookViewId="0"/>
  </sheetViews>
  <sheetFormatPr defaultRowHeight="15" x14ac:dyDescent="0.25"/>
  <cols>
    <col min="1" max="1" width="22.28515625" bestFit="1" customWidth="1"/>
    <col min="2" max="2" width="22.42578125" bestFit="1" customWidth="1"/>
    <col min="3" max="3" width="24.140625" bestFit="1" customWidth="1"/>
  </cols>
  <sheetData>
    <row r="1" spans="1:3" x14ac:dyDescent="0.25">
      <c r="A1" t="s">
        <v>359</v>
      </c>
      <c r="B1" t="s">
        <v>15</v>
      </c>
      <c r="C1" t="s">
        <v>16</v>
      </c>
    </row>
    <row r="2" spans="1:3" x14ac:dyDescent="0.25">
      <c r="A2">
        <v>6700091</v>
      </c>
      <c r="B2" s="2" t="s">
        <v>176</v>
      </c>
      <c r="C2" s="2" t="s">
        <v>173</v>
      </c>
    </row>
    <row r="3" spans="1:3" x14ac:dyDescent="0.25">
      <c r="A3">
        <v>6900304</v>
      </c>
      <c r="B3" s="2" t="s">
        <v>170</v>
      </c>
      <c r="C3" s="2" t="s">
        <v>171</v>
      </c>
    </row>
    <row r="4" spans="1:3" x14ac:dyDescent="0.25">
      <c r="A4">
        <v>6600879</v>
      </c>
      <c r="B4" s="2" t="s">
        <v>61</v>
      </c>
      <c r="C4" s="2" t="s">
        <v>35</v>
      </c>
    </row>
    <row r="5" spans="1:3" x14ac:dyDescent="0.25">
      <c r="A5">
        <v>6140092</v>
      </c>
      <c r="B5" s="2" t="s">
        <v>137</v>
      </c>
      <c r="C5" s="2" t="s">
        <v>138</v>
      </c>
    </row>
    <row r="6" spans="1:3" x14ac:dyDescent="0.25">
      <c r="A6">
        <v>6400835</v>
      </c>
      <c r="B6" s="2" t="s">
        <v>130</v>
      </c>
      <c r="C6" s="2" t="s">
        <v>131</v>
      </c>
    </row>
    <row r="7" spans="1:3" x14ac:dyDescent="0.25">
      <c r="A7">
        <v>6500948</v>
      </c>
      <c r="B7" s="2" t="s">
        <v>29</v>
      </c>
      <c r="C7" s="2" t="s">
        <v>23</v>
      </c>
    </row>
    <row r="8" spans="1:3" x14ac:dyDescent="0.25">
      <c r="A8">
        <v>6100231</v>
      </c>
      <c r="B8" s="2" t="s">
        <v>50</v>
      </c>
      <c r="C8" s="2" t="s">
        <v>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4377-1B52-4B55-8FEB-A3FB6A9DC068}">
  <dimension ref="A1:E265"/>
  <sheetViews>
    <sheetView workbookViewId="0"/>
  </sheetViews>
  <sheetFormatPr defaultRowHeight="15" x14ac:dyDescent="0.25"/>
  <cols>
    <col min="1" max="1" width="14.7109375" bestFit="1" customWidth="1"/>
    <col min="2" max="2" width="30.42578125" bestFit="1" customWidth="1"/>
    <col min="3" max="3" width="20" bestFit="1" customWidth="1"/>
    <col min="4" max="4" width="5.5703125" bestFit="1" customWidth="1"/>
    <col min="5" max="5" width="12.42578125" bestFit="1" customWidth="1"/>
  </cols>
  <sheetData>
    <row r="1" spans="1:5" x14ac:dyDescent="0.25">
      <c r="A1" t="s">
        <v>5</v>
      </c>
      <c r="B1" t="s">
        <v>6</v>
      </c>
      <c r="C1" t="s">
        <v>3</v>
      </c>
      <c r="D1" t="s">
        <v>4</v>
      </c>
      <c r="E1" t="s">
        <v>360</v>
      </c>
    </row>
    <row r="2" spans="1:5" x14ac:dyDescent="0.25">
      <c r="A2">
        <v>4058</v>
      </c>
      <c r="B2" s="2" t="s">
        <v>46</v>
      </c>
      <c r="C2" s="2" t="s">
        <v>47</v>
      </c>
      <c r="D2" s="2" t="s">
        <v>48</v>
      </c>
      <c r="E2" s="2" t="s">
        <v>49</v>
      </c>
    </row>
    <row r="3" spans="1:5" x14ac:dyDescent="0.25">
      <c r="A3">
        <v>4203</v>
      </c>
      <c r="B3" s="2" t="s">
        <v>286</v>
      </c>
      <c r="C3" s="2" t="s">
        <v>173</v>
      </c>
      <c r="D3" s="2" t="s">
        <v>174</v>
      </c>
      <c r="E3" s="2" t="s">
        <v>175</v>
      </c>
    </row>
    <row r="4" spans="1:5" x14ac:dyDescent="0.25">
      <c r="A4">
        <v>4202</v>
      </c>
      <c r="B4" s="2" t="s">
        <v>285</v>
      </c>
      <c r="C4" s="2" t="s">
        <v>44</v>
      </c>
      <c r="D4" s="2" t="s">
        <v>45</v>
      </c>
      <c r="E4" s="2" t="s">
        <v>60</v>
      </c>
    </row>
    <row r="5" spans="1:5" x14ac:dyDescent="0.25">
      <c r="A5">
        <v>4184</v>
      </c>
      <c r="B5" s="2" t="s">
        <v>267</v>
      </c>
      <c r="C5" s="2" t="s">
        <v>173</v>
      </c>
      <c r="D5" s="2" t="s">
        <v>174</v>
      </c>
      <c r="E5" s="2" t="s">
        <v>175</v>
      </c>
    </row>
    <row r="6" spans="1:5" x14ac:dyDescent="0.25">
      <c r="A6">
        <v>4068</v>
      </c>
      <c r="B6" s="2" t="s">
        <v>63</v>
      </c>
      <c r="C6" s="2" t="s">
        <v>64</v>
      </c>
      <c r="D6" s="2" t="s">
        <v>65</v>
      </c>
      <c r="E6" s="2" t="s">
        <v>49</v>
      </c>
    </row>
    <row r="7" spans="1:5" x14ac:dyDescent="0.25">
      <c r="A7">
        <v>4121</v>
      </c>
      <c r="B7" s="2" t="s">
        <v>204</v>
      </c>
      <c r="C7" s="2" t="s">
        <v>165</v>
      </c>
      <c r="D7" s="2" t="s">
        <v>24</v>
      </c>
      <c r="E7" s="2" t="s">
        <v>28</v>
      </c>
    </row>
    <row r="8" spans="1:5" x14ac:dyDescent="0.25">
      <c r="A8">
        <v>4180</v>
      </c>
      <c r="B8" s="2" t="s">
        <v>263</v>
      </c>
      <c r="C8" s="2" t="s">
        <v>44</v>
      </c>
      <c r="D8" s="2" t="s">
        <v>45</v>
      </c>
      <c r="E8" s="2" t="s">
        <v>60</v>
      </c>
    </row>
    <row r="9" spans="1:5" x14ac:dyDescent="0.25">
      <c r="A9">
        <v>4036</v>
      </c>
      <c r="B9" s="2" t="s">
        <v>70</v>
      </c>
      <c r="C9" s="2" t="s">
        <v>47</v>
      </c>
      <c r="D9" s="2" t="s">
        <v>48</v>
      </c>
      <c r="E9" s="2" t="s">
        <v>49</v>
      </c>
    </row>
    <row r="10" spans="1:5" x14ac:dyDescent="0.25">
      <c r="A10">
        <v>4051</v>
      </c>
      <c r="B10" s="2" t="s">
        <v>71</v>
      </c>
      <c r="C10" s="2" t="s">
        <v>64</v>
      </c>
      <c r="D10" s="2" t="s">
        <v>65</v>
      </c>
      <c r="E10" s="2" t="s">
        <v>49</v>
      </c>
    </row>
    <row r="11" spans="1:5" x14ac:dyDescent="0.25">
      <c r="A11">
        <v>4090</v>
      </c>
      <c r="B11" s="2" t="s">
        <v>162</v>
      </c>
      <c r="C11" s="2" t="s">
        <v>32</v>
      </c>
      <c r="D11" s="2" t="s">
        <v>33</v>
      </c>
      <c r="E11" s="2" t="s">
        <v>60</v>
      </c>
    </row>
    <row r="12" spans="1:5" x14ac:dyDescent="0.25">
      <c r="A12">
        <v>4272</v>
      </c>
      <c r="B12" s="2" t="s">
        <v>355</v>
      </c>
      <c r="C12" s="2" t="s">
        <v>165</v>
      </c>
      <c r="D12" s="2" t="s">
        <v>24</v>
      </c>
      <c r="E12" s="2" t="s">
        <v>28</v>
      </c>
    </row>
    <row r="13" spans="1:5" x14ac:dyDescent="0.25">
      <c r="A13">
        <v>4038</v>
      </c>
      <c r="B13" s="2" t="s">
        <v>72</v>
      </c>
      <c r="C13" s="2" t="s">
        <v>51</v>
      </c>
      <c r="D13" s="2" t="s">
        <v>73</v>
      </c>
      <c r="E13" s="2" t="s">
        <v>49</v>
      </c>
    </row>
    <row r="14" spans="1:5" x14ac:dyDescent="0.25">
      <c r="A14">
        <v>4176</v>
      </c>
      <c r="B14" s="2" t="s">
        <v>259</v>
      </c>
      <c r="C14" s="2" t="s">
        <v>165</v>
      </c>
      <c r="D14" s="2" t="s">
        <v>24</v>
      </c>
      <c r="E14" s="2" t="s">
        <v>28</v>
      </c>
    </row>
    <row r="15" spans="1:5" x14ac:dyDescent="0.25">
      <c r="A15">
        <v>4012</v>
      </c>
      <c r="B15" s="2" t="s">
        <v>25</v>
      </c>
      <c r="C15" s="2" t="s">
        <v>26</v>
      </c>
      <c r="D15" s="2" t="s">
        <v>27</v>
      </c>
      <c r="E15" s="2" t="s">
        <v>28</v>
      </c>
    </row>
    <row r="16" spans="1:5" x14ac:dyDescent="0.25">
      <c r="A16">
        <v>4065</v>
      </c>
      <c r="B16" s="2" t="s">
        <v>76</v>
      </c>
      <c r="C16" s="2" t="s">
        <v>47</v>
      </c>
      <c r="D16" s="2" t="s">
        <v>48</v>
      </c>
      <c r="E16" s="2" t="s">
        <v>49</v>
      </c>
    </row>
    <row r="17" spans="1:5" x14ac:dyDescent="0.25">
      <c r="A17">
        <v>4210</v>
      </c>
      <c r="B17" s="2" t="s">
        <v>293</v>
      </c>
      <c r="C17" s="2" t="s">
        <v>35</v>
      </c>
      <c r="D17" s="2" t="s">
        <v>36</v>
      </c>
      <c r="E17" s="2" t="s">
        <v>60</v>
      </c>
    </row>
    <row r="18" spans="1:5" x14ac:dyDescent="0.25">
      <c r="A18">
        <v>4217</v>
      </c>
      <c r="B18" s="2" t="s">
        <v>300</v>
      </c>
      <c r="C18" s="2" t="s">
        <v>165</v>
      </c>
      <c r="D18" s="2" t="s">
        <v>24</v>
      </c>
      <c r="E18" s="2" t="s">
        <v>28</v>
      </c>
    </row>
    <row r="19" spans="1:5" x14ac:dyDescent="0.25">
      <c r="A19">
        <v>4052</v>
      </c>
      <c r="B19" s="2" t="s">
        <v>81</v>
      </c>
      <c r="C19" s="2" t="s">
        <v>51</v>
      </c>
      <c r="D19" s="2" t="s">
        <v>73</v>
      </c>
      <c r="E19" s="2" t="s">
        <v>49</v>
      </c>
    </row>
    <row r="20" spans="1:5" x14ac:dyDescent="0.25">
      <c r="A20">
        <v>4092</v>
      </c>
      <c r="B20" s="2" t="s">
        <v>164</v>
      </c>
      <c r="C20" s="2" t="s">
        <v>165</v>
      </c>
      <c r="D20" s="2" t="s">
        <v>24</v>
      </c>
      <c r="E20" s="2" t="s">
        <v>28</v>
      </c>
    </row>
    <row r="21" spans="1:5" x14ac:dyDescent="0.25">
      <c r="A21">
        <v>4041</v>
      </c>
      <c r="B21" s="2" t="s">
        <v>83</v>
      </c>
      <c r="C21" s="2" t="s">
        <v>51</v>
      </c>
      <c r="D21" s="2" t="s">
        <v>73</v>
      </c>
      <c r="E21" s="2" t="s">
        <v>49</v>
      </c>
    </row>
    <row r="22" spans="1:5" x14ac:dyDescent="0.25">
      <c r="A22">
        <v>4059</v>
      </c>
      <c r="B22" s="2" t="s">
        <v>84</v>
      </c>
      <c r="C22" s="2" t="s">
        <v>64</v>
      </c>
      <c r="D22" s="2" t="s">
        <v>65</v>
      </c>
      <c r="E22" s="2" t="s">
        <v>49</v>
      </c>
    </row>
    <row r="23" spans="1:5" x14ac:dyDescent="0.25">
      <c r="A23">
        <v>4071</v>
      </c>
      <c r="B23" s="2" t="s">
        <v>139</v>
      </c>
      <c r="C23" s="2" t="s">
        <v>44</v>
      </c>
      <c r="D23" s="2" t="s">
        <v>45</v>
      </c>
      <c r="E23" s="2" t="s">
        <v>60</v>
      </c>
    </row>
    <row r="24" spans="1:5" x14ac:dyDescent="0.25">
      <c r="A24">
        <v>4238</v>
      </c>
      <c r="B24" s="2" t="s">
        <v>321</v>
      </c>
      <c r="C24" s="2" t="s">
        <v>167</v>
      </c>
      <c r="D24" s="2" t="s">
        <v>168</v>
      </c>
      <c r="E24" s="2" t="s">
        <v>169</v>
      </c>
    </row>
    <row r="25" spans="1:5" x14ac:dyDescent="0.25">
      <c r="A25">
        <v>4107</v>
      </c>
      <c r="B25" s="2" t="s">
        <v>190</v>
      </c>
      <c r="C25" s="2" t="s">
        <v>173</v>
      </c>
      <c r="D25" s="2" t="s">
        <v>174</v>
      </c>
      <c r="E25" s="2" t="s">
        <v>175</v>
      </c>
    </row>
    <row r="26" spans="1:5" x14ac:dyDescent="0.25">
      <c r="A26">
        <v>4079</v>
      </c>
      <c r="B26" s="2" t="s">
        <v>150</v>
      </c>
      <c r="C26" s="2" t="s">
        <v>149</v>
      </c>
      <c r="D26" s="2" t="s">
        <v>33</v>
      </c>
      <c r="E26" s="2" t="s">
        <v>60</v>
      </c>
    </row>
    <row r="27" spans="1:5" x14ac:dyDescent="0.25">
      <c r="A27">
        <v>4192</v>
      </c>
      <c r="B27" s="2" t="s">
        <v>275</v>
      </c>
      <c r="C27" s="2" t="s">
        <v>35</v>
      </c>
      <c r="D27" s="2" t="s">
        <v>36</v>
      </c>
      <c r="E27" s="2" t="s">
        <v>60</v>
      </c>
    </row>
    <row r="28" spans="1:5" x14ac:dyDescent="0.25">
      <c r="A28">
        <v>4266</v>
      </c>
      <c r="B28" s="2" t="s">
        <v>349</v>
      </c>
      <c r="C28" s="2" t="s">
        <v>32</v>
      </c>
      <c r="D28" s="2" t="s">
        <v>33</v>
      </c>
      <c r="E28" s="2" t="s">
        <v>60</v>
      </c>
    </row>
    <row r="29" spans="1:5" x14ac:dyDescent="0.25">
      <c r="A29">
        <v>4251</v>
      </c>
      <c r="B29" s="2" t="s">
        <v>334</v>
      </c>
      <c r="C29" s="2" t="s">
        <v>167</v>
      </c>
      <c r="D29" s="2" t="s">
        <v>168</v>
      </c>
      <c r="E29" s="2" t="s">
        <v>169</v>
      </c>
    </row>
    <row r="30" spans="1:5" x14ac:dyDescent="0.25">
      <c r="A30">
        <v>4123</v>
      </c>
      <c r="B30" s="2" t="s">
        <v>206</v>
      </c>
      <c r="C30" s="2" t="s">
        <v>44</v>
      </c>
      <c r="D30" s="2" t="s">
        <v>45</v>
      </c>
      <c r="E30" s="2" t="s">
        <v>60</v>
      </c>
    </row>
    <row r="31" spans="1:5" x14ac:dyDescent="0.25">
      <c r="A31">
        <v>4082</v>
      </c>
      <c r="B31" s="2" t="s">
        <v>153</v>
      </c>
      <c r="C31" s="2" t="s">
        <v>144</v>
      </c>
      <c r="D31" s="2" t="s">
        <v>33</v>
      </c>
      <c r="E31" s="2" t="s">
        <v>60</v>
      </c>
    </row>
    <row r="32" spans="1:5" x14ac:dyDescent="0.25">
      <c r="A32">
        <v>4146</v>
      </c>
      <c r="B32" s="2" t="s">
        <v>229</v>
      </c>
      <c r="C32" s="2" t="s">
        <v>35</v>
      </c>
      <c r="D32" s="2" t="s">
        <v>36</v>
      </c>
      <c r="E32" s="2" t="s">
        <v>60</v>
      </c>
    </row>
    <row r="33" spans="1:5" x14ac:dyDescent="0.25">
      <c r="A33">
        <v>4157</v>
      </c>
      <c r="B33" s="2" t="s">
        <v>240</v>
      </c>
      <c r="C33" s="2" t="s">
        <v>35</v>
      </c>
      <c r="D33" s="2" t="s">
        <v>36</v>
      </c>
      <c r="E33" s="2" t="s">
        <v>60</v>
      </c>
    </row>
    <row r="34" spans="1:5" x14ac:dyDescent="0.25">
      <c r="A34">
        <v>4145</v>
      </c>
      <c r="B34" s="2" t="s">
        <v>228</v>
      </c>
      <c r="C34" s="2" t="s">
        <v>165</v>
      </c>
      <c r="D34" s="2" t="s">
        <v>24</v>
      </c>
      <c r="E34" s="2" t="s">
        <v>28</v>
      </c>
    </row>
    <row r="35" spans="1:5" x14ac:dyDescent="0.25">
      <c r="A35">
        <v>4025</v>
      </c>
      <c r="B35" s="2" t="s">
        <v>90</v>
      </c>
      <c r="C35" s="2" t="s">
        <v>91</v>
      </c>
      <c r="D35" s="2" t="s">
        <v>24</v>
      </c>
      <c r="E35" s="2" t="s">
        <v>28</v>
      </c>
    </row>
    <row r="36" spans="1:5" x14ac:dyDescent="0.25">
      <c r="A36">
        <v>4083</v>
      </c>
      <c r="B36" s="2" t="s">
        <v>154</v>
      </c>
      <c r="C36" s="2" t="s">
        <v>141</v>
      </c>
      <c r="D36" s="2" t="s">
        <v>33</v>
      </c>
      <c r="E36" s="2" t="s">
        <v>60</v>
      </c>
    </row>
    <row r="37" spans="1:5" x14ac:dyDescent="0.25">
      <c r="A37">
        <v>4053</v>
      </c>
      <c r="B37" s="2" t="s">
        <v>94</v>
      </c>
      <c r="C37" s="2" t="s">
        <v>64</v>
      </c>
      <c r="D37" s="2" t="s">
        <v>65</v>
      </c>
      <c r="E37" s="2" t="s">
        <v>49</v>
      </c>
    </row>
    <row r="38" spans="1:5" x14ac:dyDescent="0.25">
      <c r="A38">
        <v>4177</v>
      </c>
      <c r="B38" s="2" t="s">
        <v>260</v>
      </c>
      <c r="C38" s="2" t="s">
        <v>35</v>
      </c>
      <c r="D38" s="2" t="s">
        <v>36</v>
      </c>
      <c r="E38" s="2" t="s">
        <v>60</v>
      </c>
    </row>
    <row r="39" spans="1:5" x14ac:dyDescent="0.25">
      <c r="A39">
        <v>4062</v>
      </c>
      <c r="B39" s="2" t="s">
        <v>96</v>
      </c>
      <c r="C39" s="2" t="s">
        <v>97</v>
      </c>
      <c r="D39" s="2" t="s">
        <v>48</v>
      </c>
      <c r="E39" s="2" t="s">
        <v>49</v>
      </c>
    </row>
    <row r="40" spans="1:5" x14ac:dyDescent="0.25">
      <c r="A40">
        <v>4063</v>
      </c>
      <c r="B40" s="2" t="s">
        <v>98</v>
      </c>
      <c r="C40" s="2" t="s">
        <v>99</v>
      </c>
      <c r="D40" s="2" t="s">
        <v>27</v>
      </c>
      <c r="E40" s="2" t="s">
        <v>28</v>
      </c>
    </row>
    <row r="41" spans="1:5" x14ac:dyDescent="0.25">
      <c r="A41">
        <v>4256</v>
      </c>
      <c r="B41" s="2" t="s">
        <v>339</v>
      </c>
      <c r="C41" s="2" t="s">
        <v>167</v>
      </c>
      <c r="D41" s="2" t="s">
        <v>168</v>
      </c>
      <c r="E41" s="2" t="s">
        <v>169</v>
      </c>
    </row>
    <row r="42" spans="1:5" x14ac:dyDescent="0.25">
      <c r="A42">
        <v>4225</v>
      </c>
      <c r="B42" s="2" t="s">
        <v>308</v>
      </c>
      <c r="C42" s="2" t="s">
        <v>32</v>
      </c>
      <c r="D42" s="2" t="s">
        <v>33</v>
      </c>
      <c r="E42" s="2" t="s">
        <v>60</v>
      </c>
    </row>
    <row r="43" spans="1:5" x14ac:dyDescent="0.25">
      <c r="A43">
        <v>4241</v>
      </c>
      <c r="B43" s="2" t="s">
        <v>324</v>
      </c>
      <c r="C43" s="2" t="s">
        <v>167</v>
      </c>
      <c r="D43" s="2" t="s">
        <v>168</v>
      </c>
      <c r="E43" s="2" t="s">
        <v>169</v>
      </c>
    </row>
    <row r="44" spans="1:5" x14ac:dyDescent="0.25">
      <c r="A44">
        <v>4213</v>
      </c>
      <c r="B44" s="2" t="s">
        <v>296</v>
      </c>
      <c r="C44" s="2" t="s">
        <v>32</v>
      </c>
      <c r="D44" s="2" t="s">
        <v>33</v>
      </c>
      <c r="E44" s="2" t="s">
        <v>60</v>
      </c>
    </row>
    <row r="45" spans="1:5" x14ac:dyDescent="0.25">
      <c r="A45">
        <v>4080</v>
      </c>
      <c r="B45" s="2" t="s">
        <v>151</v>
      </c>
      <c r="C45" s="2" t="s">
        <v>149</v>
      </c>
      <c r="D45" s="2" t="s">
        <v>33</v>
      </c>
      <c r="E45" s="2" t="s">
        <v>60</v>
      </c>
    </row>
    <row r="46" spans="1:5" x14ac:dyDescent="0.25">
      <c r="A46">
        <v>4260</v>
      </c>
      <c r="B46" s="2" t="s">
        <v>343</v>
      </c>
      <c r="C46" s="2" t="s">
        <v>44</v>
      </c>
      <c r="D46" s="2" t="s">
        <v>45</v>
      </c>
      <c r="E46" s="2" t="s">
        <v>60</v>
      </c>
    </row>
    <row r="47" spans="1:5" x14ac:dyDescent="0.25">
      <c r="A47">
        <v>4061</v>
      </c>
      <c r="B47" s="2" t="s">
        <v>103</v>
      </c>
      <c r="C47" s="2" t="s">
        <v>51</v>
      </c>
      <c r="D47" s="2" t="s">
        <v>73</v>
      </c>
      <c r="E47" s="2" t="s">
        <v>49</v>
      </c>
    </row>
    <row r="48" spans="1:5" x14ac:dyDescent="0.25">
      <c r="A48">
        <v>4103</v>
      </c>
      <c r="B48" s="2" t="s">
        <v>186</v>
      </c>
      <c r="C48" s="2" t="s">
        <v>165</v>
      </c>
      <c r="D48" s="2" t="s">
        <v>24</v>
      </c>
      <c r="E48" s="2" t="s">
        <v>28</v>
      </c>
    </row>
    <row r="49" spans="1:5" x14ac:dyDescent="0.25">
      <c r="A49">
        <v>4268</v>
      </c>
      <c r="B49" s="2" t="s">
        <v>351</v>
      </c>
      <c r="C49" s="2" t="s">
        <v>167</v>
      </c>
      <c r="D49" s="2" t="s">
        <v>168</v>
      </c>
      <c r="E49" s="2" t="s">
        <v>169</v>
      </c>
    </row>
    <row r="50" spans="1:5" x14ac:dyDescent="0.25">
      <c r="A50">
        <v>4244</v>
      </c>
      <c r="B50" s="2" t="s">
        <v>327</v>
      </c>
      <c r="C50" s="2" t="s">
        <v>183</v>
      </c>
      <c r="D50" s="2" t="s">
        <v>33</v>
      </c>
      <c r="E50" s="2" t="s">
        <v>60</v>
      </c>
    </row>
    <row r="51" spans="1:5" x14ac:dyDescent="0.25">
      <c r="A51">
        <v>4054</v>
      </c>
      <c r="B51" s="2" t="s">
        <v>105</v>
      </c>
      <c r="C51" s="2" t="s">
        <v>106</v>
      </c>
      <c r="D51" s="2" t="s">
        <v>107</v>
      </c>
      <c r="E51" s="2" t="s">
        <v>49</v>
      </c>
    </row>
    <row r="52" spans="1:5" x14ac:dyDescent="0.25">
      <c r="A52">
        <v>4167</v>
      </c>
      <c r="B52" s="2" t="s">
        <v>250</v>
      </c>
      <c r="C52" s="2" t="s">
        <v>183</v>
      </c>
      <c r="D52" s="2" t="s">
        <v>33</v>
      </c>
      <c r="E52" s="2" t="s">
        <v>60</v>
      </c>
    </row>
    <row r="53" spans="1:5" x14ac:dyDescent="0.25">
      <c r="A53">
        <v>4231</v>
      </c>
      <c r="B53" s="2" t="s">
        <v>314</v>
      </c>
      <c r="C53" s="2" t="s">
        <v>44</v>
      </c>
      <c r="D53" s="2" t="s">
        <v>45</v>
      </c>
      <c r="E53" s="2" t="s">
        <v>60</v>
      </c>
    </row>
    <row r="54" spans="1:5" x14ac:dyDescent="0.25">
      <c r="A54">
        <v>4160</v>
      </c>
      <c r="B54" s="2" t="s">
        <v>243</v>
      </c>
      <c r="C54" s="2" t="s">
        <v>35</v>
      </c>
      <c r="D54" s="2" t="s">
        <v>36</v>
      </c>
      <c r="E54" s="2" t="s">
        <v>60</v>
      </c>
    </row>
    <row r="55" spans="1:5" x14ac:dyDescent="0.25">
      <c r="A55">
        <v>4171</v>
      </c>
      <c r="B55" s="2" t="s">
        <v>254</v>
      </c>
      <c r="C55" s="2" t="s">
        <v>173</v>
      </c>
      <c r="D55" s="2" t="s">
        <v>174</v>
      </c>
      <c r="E55" s="2" t="s">
        <v>175</v>
      </c>
    </row>
    <row r="56" spans="1:5" x14ac:dyDescent="0.25">
      <c r="A56">
        <v>4150</v>
      </c>
      <c r="B56" s="2" t="s">
        <v>233</v>
      </c>
      <c r="C56" s="2" t="s">
        <v>35</v>
      </c>
      <c r="D56" s="2" t="s">
        <v>36</v>
      </c>
      <c r="E56" s="2" t="s">
        <v>60</v>
      </c>
    </row>
    <row r="57" spans="1:5" x14ac:dyDescent="0.25">
      <c r="A57">
        <v>4173</v>
      </c>
      <c r="B57" s="2" t="s">
        <v>256</v>
      </c>
      <c r="C57" s="2" t="s">
        <v>35</v>
      </c>
      <c r="D57" s="2" t="s">
        <v>36</v>
      </c>
      <c r="E57" s="2" t="s">
        <v>60</v>
      </c>
    </row>
    <row r="58" spans="1:5" x14ac:dyDescent="0.25">
      <c r="A58">
        <v>4132</v>
      </c>
      <c r="B58" s="2" t="s">
        <v>215</v>
      </c>
      <c r="C58" s="2" t="s">
        <v>183</v>
      </c>
      <c r="D58" s="2" t="s">
        <v>33</v>
      </c>
      <c r="E58" s="2" t="s">
        <v>60</v>
      </c>
    </row>
    <row r="59" spans="1:5" x14ac:dyDescent="0.25">
      <c r="A59">
        <v>4139</v>
      </c>
      <c r="B59" s="2" t="s">
        <v>222</v>
      </c>
      <c r="C59" s="2" t="s">
        <v>35</v>
      </c>
      <c r="D59" s="2" t="s">
        <v>36</v>
      </c>
      <c r="E59" s="2" t="s">
        <v>60</v>
      </c>
    </row>
    <row r="60" spans="1:5" x14ac:dyDescent="0.25">
      <c r="A60">
        <v>4136</v>
      </c>
      <c r="B60" s="2" t="s">
        <v>219</v>
      </c>
      <c r="C60" s="2" t="s">
        <v>35</v>
      </c>
      <c r="D60" s="2" t="s">
        <v>36</v>
      </c>
      <c r="E60" s="2" t="s">
        <v>60</v>
      </c>
    </row>
    <row r="61" spans="1:5" x14ac:dyDescent="0.25">
      <c r="A61">
        <v>4135</v>
      </c>
      <c r="B61" s="2" t="s">
        <v>218</v>
      </c>
      <c r="C61" s="2" t="s">
        <v>167</v>
      </c>
      <c r="D61" s="2" t="s">
        <v>168</v>
      </c>
      <c r="E61" s="2" t="s">
        <v>169</v>
      </c>
    </row>
    <row r="62" spans="1:5" x14ac:dyDescent="0.25">
      <c r="A62">
        <v>4153</v>
      </c>
      <c r="B62" s="2" t="s">
        <v>236</v>
      </c>
      <c r="C62" s="2" t="s">
        <v>44</v>
      </c>
      <c r="D62" s="2" t="s">
        <v>45</v>
      </c>
      <c r="E62" s="2" t="s">
        <v>60</v>
      </c>
    </row>
    <row r="63" spans="1:5" x14ac:dyDescent="0.25">
      <c r="A63">
        <v>4122</v>
      </c>
      <c r="B63" s="2" t="s">
        <v>205</v>
      </c>
      <c r="C63" s="2" t="s">
        <v>173</v>
      </c>
      <c r="D63" s="2" t="s">
        <v>174</v>
      </c>
      <c r="E63" s="2" t="s">
        <v>175</v>
      </c>
    </row>
    <row r="64" spans="1:5" x14ac:dyDescent="0.25">
      <c r="A64">
        <v>4131</v>
      </c>
      <c r="B64" s="2" t="s">
        <v>214</v>
      </c>
      <c r="C64" s="2" t="s">
        <v>167</v>
      </c>
      <c r="D64" s="2" t="s">
        <v>168</v>
      </c>
      <c r="E64" s="2" t="s">
        <v>169</v>
      </c>
    </row>
    <row r="65" spans="1:5" x14ac:dyDescent="0.25">
      <c r="A65">
        <v>4249</v>
      </c>
      <c r="B65" s="2" t="s">
        <v>332</v>
      </c>
      <c r="C65" s="2" t="s">
        <v>167</v>
      </c>
      <c r="D65" s="2" t="s">
        <v>168</v>
      </c>
      <c r="E65" s="2" t="s">
        <v>169</v>
      </c>
    </row>
    <row r="66" spans="1:5" x14ac:dyDescent="0.25">
      <c r="A66">
        <v>4178</v>
      </c>
      <c r="B66" s="2" t="s">
        <v>261</v>
      </c>
      <c r="C66" s="2" t="s">
        <v>44</v>
      </c>
      <c r="D66" s="2" t="s">
        <v>45</v>
      </c>
      <c r="E66" s="2" t="s">
        <v>60</v>
      </c>
    </row>
    <row r="67" spans="1:5" x14ac:dyDescent="0.25">
      <c r="A67">
        <v>4046</v>
      </c>
      <c r="B67" s="2" t="s">
        <v>112</v>
      </c>
      <c r="C67" s="2" t="s">
        <v>35</v>
      </c>
      <c r="D67" s="2" t="s">
        <v>36</v>
      </c>
      <c r="E67" s="2" t="s">
        <v>60</v>
      </c>
    </row>
    <row r="68" spans="1:5" x14ac:dyDescent="0.25">
      <c r="A68">
        <v>4119</v>
      </c>
      <c r="B68" s="2" t="s">
        <v>202</v>
      </c>
      <c r="C68" s="2" t="s">
        <v>167</v>
      </c>
      <c r="D68" s="2" t="s">
        <v>168</v>
      </c>
      <c r="E68" s="2" t="s">
        <v>169</v>
      </c>
    </row>
    <row r="69" spans="1:5" x14ac:dyDescent="0.25">
      <c r="A69">
        <v>4037</v>
      </c>
      <c r="B69" s="2" t="s">
        <v>113</v>
      </c>
      <c r="C69" s="2" t="s">
        <v>47</v>
      </c>
      <c r="D69" s="2" t="s">
        <v>48</v>
      </c>
      <c r="E69" s="2" t="s">
        <v>49</v>
      </c>
    </row>
    <row r="70" spans="1:5" x14ac:dyDescent="0.25">
      <c r="A70">
        <v>4221</v>
      </c>
      <c r="B70" s="2" t="s">
        <v>304</v>
      </c>
      <c r="C70" s="2" t="s">
        <v>167</v>
      </c>
      <c r="D70" s="2" t="s">
        <v>168</v>
      </c>
      <c r="E70" s="2" t="s">
        <v>169</v>
      </c>
    </row>
    <row r="71" spans="1:5" x14ac:dyDescent="0.25">
      <c r="A71">
        <v>4106</v>
      </c>
      <c r="B71" s="2" t="s">
        <v>189</v>
      </c>
      <c r="C71" s="2" t="s">
        <v>44</v>
      </c>
      <c r="D71" s="2" t="s">
        <v>45</v>
      </c>
      <c r="E71" s="2" t="s">
        <v>60</v>
      </c>
    </row>
    <row r="72" spans="1:5" x14ac:dyDescent="0.25">
      <c r="A72">
        <v>4265</v>
      </c>
      <c r="B72" s="2" t="s">
        <v>348</v>
      </c>
      <c r="C72" s="2" t="s">
        <v>44</v>
      </c>
      <c r="D72" s="2" t="s">
        <v>45</v>
      </c>
      <c r="E72" s="2" t="s">
        <v>60</v>
      </c>
    </row>
    <row r="73" spans="1:5" x14ac:dyDescent="0.25">
      <c r="A73">
        <v>4194</v>
      </c>
      <c r="B73" s="2" t="s">
        <v>277</v>
      </c>
      <c r="C73" s="2" t="s">
        <v>173</v>
      </c>
      <c r="D73" s="2" t="s">
        <v>174</v>
      </c>
      <c r="E73" s="2" t="s">
        <v>175</v>
      </c>
    </row>
    <row r="74" spans="1:5" x14ac:dyDescent="0.25">
      <c r="A74">
        <v>4254</v>
      </c>
      <c r="B74" s="2" t="s">
        <v>337</v>
      </c>
      <c r="C74" s="2" t="s">
        <v>32</v>
      </c>
      <c r="D74" s="2" t="s">
        <v>33</v>
      </c>
      <c r="E74" s="2" t="s">
        <v>60</v>
      </c>
    </row>
    <row r="75" spans="1:5" x14ac:dyDescent="0.25">
      <c r="A75">
        <v>4262</v>
      </c>
      <c r="B75" s="2" t="s">
        <v>345</v>
      </c>
      <c r="C75" s="2" t="s">
        <v>32</v>
      </c>
      <c r="D75" s="2" t="s">
        <v>33</v>
      </c>
      <c r="E75" s="2" t="s">
        <v>60</v>
      </c>
    </row>
    <row r="76" spans="1:5" x14ac:dyDescent="0.25">
      <c r="A76">
        <v>4129</v>
      </c>
      <c r="B76" s="2" t="s">
        <v>212</v>
      </c>
      <c r="C76" s="2" t="s">
        <v>35</v>
      </c>
      <c r="D76" s="2" t="s">
        <v>36</v>
      </c>
      <c r="E76" s="2" t="s">
        <v>60</v>
      </c>
    </row>
    <row r="77" spans="1:5" x14ac:dyDescent="0.25">
      <c r="A77">
        <v>4015</v>
      </c>
      <c r="B77" s="2" t="s">
        <v>66</v>
      </c>
      <c r="C77" s="2" t="s">
        <v>67</v>
      </c>
      <c r="D77" s="2" t="s">
        <v>27</v>
      </c>
      <c r="E77" s="2" t="s">
        <v>28</v>
      </c>
    </row>
    <row r="78" spans="1:5" x14ac:dyDescent="0.25">
      <c r="A78">
        <v>4190</v>
      </c>
      <c r="B78" s="2" t="s">
        <v>273</v>
      </c>
      <c r="C78" s="2" t="s">
        <v>35</v>
      </c>
      <c r="D78" s="2" t="s">
        <v>36</v>
      </c>
      <c r="E78" s="2" t="s">
        <v>60</v>
      </c>
    </row>
    <row r="79" spans="1:5" x14ac:dyDescent="0.25">
      <c r="A79">
        <v>4043</v>
      </c>
      <c r="B79" s="2" t="s">
        <v>114</v>
      </c>
      <c r="C79" s="2" t="s">
        <v>115</v>
      </c>
      <c r="D79" s="2" t="s">
        <v>107</v>
      </c>
      <c r="E79" s="2" t="s">
        <v>49</v>
      </c>
    </row>
    <row r="80" spans="1:5" x14ac:dyDescent="0.25">
      <c r="A80">
        <v>4133</v>
      </c>
      <c r="B80" s="2" t="s">
        <v>216</v>
      </c>
      <c r="C80" s="2" t="s">
        <v>35</v>
      </c>
      <c r="D80" s="2" t="s">
        <v>36</v>
      </c>
      <c r="E80" s="2" t="s">
        <v>60</v>
      </c>
    </row>
    <row r="81" spans="1:5" x14ac:dyDescent="0.25">
      <c r="A81">
        <v>4261</v>
      </c>
      <c r="B81" s="2" t="s">
        <v>344</v>
      </c>
      <c r="C81" s="2" t="s">
        <v>44</v>
      </c>
      <c r="D81" s="2" t="s">
        <v>45</v>
      </c>
      <c r="E81" s="2" t="s">
        <v>60</v>
      </c>
    </row>
    <row r="82" spans="1:5" x14ac:dyDescent="0.25">
      <c r="A82">
        <v>4239</v>
      </c>
      <c r="B82" s="2" t="s">
        <v>322</v>
      </c>
      <c r="C82" s="2" t="s">
        <v>183</v>
      </c>
      <c r="D82" s="2" t="s">
        <v>33</v>
      </c>
      <c r="E82" s="2" t="s">
        <v>60</v>
      </c>
    </row>
    <row r="83" spans="1:5" x14ac:dyDescent="0.25">
      <c r="A83">
        <v>4242</v>
      </c>
      <c r="B83" s="2" t="s">
        <v>325</v>
      </c>
      <c r="C83" s="2" t="s">
        <v>167</v>
      </c>
      <c r="D83" s="2" t="s">
        <v>168</v>
      </c>
      <c r="E83" s="2" t="s">
        <v>169</v>
      </c>
    </row>
    <row r="84" spans="1:5" x14ac:dyDescent="0.25">
      <c r="A84">
        <v>4105</v>
      </c>
      <c r="B84" s="2" t="s">
        <v>188</v>
      </c>
      <c r="C84" s="2" t="s">
        <v>44</v>
      </c>
      <c r="D84" s="2" t="s">
        <v>45</v>
      </c>
      <c r="E84" s="2" t="s">
        <v>60</v>
      </c>
    </row>
    <row r="85" spans="1:5" x14ac:dyDescent="0.25">
      <c r="A85">
        <v>4212</v>
      </c>
      <c r="B85" s="2" t="s">
        <v>295</v>
      </c>
      <c r="C85" s="2" t="s">
        <v>165</v>
      </c>
      <c r="D85" s="2" t="s">
        <v>24</v>
      </c>
      <c r="E85" s="2" t="s">
        <v>28</v>
      </c>
    </row>
    <row r="86" spans="1:5" x14ac:dyDescent="0.25">
      <c r="A86">
        <v>4207</v>
      </c>
      <c r="B86" s="2" t="s">
        <v>290</v>
      </c>
      <c r="C86" s="2" t="s">
        <v>183</v>
      </c>
      <c r="D86" s="2" t="s">
        <v>33</v>
      </c>
      <c r="E86" s="2" t="s">
        <v>60</v>
      </c>
    </row>
    <row r="87" spans="1:5" x14ac:dyDescent="0.25">
      <c r="A87">
        <v>4274</v>
      </c>
      <c r="B87" s="2" t="s">
        <v>357</v>
      </c>
      <c r="C87" s="2" t="s">
        <v>183</v>
      </c>
      <c r="D87" s="2" t="s">
        <v>33</v>
      </c>
      <c r="E87" s="2" t="s">
        <v>60</v>
      </c>
    </row>
    <row r="88" spans="1:5" x14ac:dyDescent="0.25">
      <c r="A88">
        <v>4270</v>
      </c>
      <c r="B88" s="2" t="s">
        <v>353</v>
      </c>
      <c r="C88" s="2" t="s">
        <v>35</v>
      </c>
      <c r="D88" s="2" t="s">
        <v>36</v>
      </c>
      <c r="E88" s="2" t="s">
        <v>60</v>
      </c>
    </row>
    <row r="89" spans="1:5" x14ac:dyDescent="0.25">
      <c r="A89">
        <v>4269</v>
      </c>
      <c r="B89" s="2" t="s">
        <v>352</v>
      </c>
      <c r="C89" s="2" t="s">
        <v>32</v>
      </c>
      <c r="D89" s="2" t="s">
        <v>33</v>
      </c>
      <c r="E89" s="2" t="s">
        <v>60</v>
      </c>
    </row>
    <row r="90" spans="1:5" x14ac:dyDescent="0.25">
      <c r="A90">
        <v>4032</v>
      </c>
      <c r="B90" s="2" t="s">
        <v>108</v>
      </c>
      <c r="C90" s="2" t="s">
        <v>51</v>
      </c>
      <c r="D90" s="2" t="s">
        <v>73</v>
      </c>
      <c r="E90" s="2" t="s">
        <v>49</v>
      </c>
    </row>
    <row r="91" spans="1:5" x14ac:dyDescent="0.25">
      <c r="A91">
        <v>4021</v>
      </c>
      <c r="B91" s="2" t="s">
        <v>85</v>
      </c>
      <c r="C91" s="2" t="s">
        <v>75</v>
      </c>
      <c r="D91" s="2" t="s">
        <v>39</v>
      </c>
      <c r="E91" s="2" t="s">
        <v>28</v>
      </c>
    </row>
    <row r="92" spans="1:5" x14ac:dyDescent="0.25">
      <c r="A92">
        <v>4263</v>
      </c>
      <c r="B92" s="2" t="s">
        <v>346</v>
      </c>
      <c r="C92" s="2" t="s">
        <v>35</v>
      </c>
      <c r="D92" s="2" t="s">
        <v>36</v>
      </c>
      <c r="E92" s="2" t="s">
        <v>60</v>
      </c>
    </row>
    <row r="93" spans="1:5" x14ac:dyDescent="0.25">
      <c r="A93">
        <v>4232</v>
      </c>
      <c r="B93" s="2" t="s">
        <v>315</v>
      </c>
      <c r="C93" s="2" t="s">
        <v>32</v>
      </c>
      <c r="D93" s="2" t="s">
        <v>33</v>
      </c>
      <c r="E93" s="2" t="s">
        <v>60</v>
      </c>
    </row>
    <row r="94" spans="1:5" x14ac:dyDescent="0.25">
      <c r="A94">
        <v>4126</v>
      </c>
      <c r="B94" s="2" t="s">
        <v>209</v>
      </c>
      <c r="C94" s="2" t="s">
        <v>35</v>
      </c>
      <c r="D94" s="2" t="s">
        <v>36</v>
      </c>
      <c r="E94" s="2" t="s">
        <v>60</v>
      </c>
    </row>
    <row r="95" spans="1:5" x14ac:dyDescent="0.25">
      <c r="A95">
        <v>4141</v>
      </c>
      <c r="B95" s="2" t="s">
        <v>224</v>
      </c>
      <c r="C95" s="2" t="s">
        <v>44</v>
      </c>
      <c r="D95" s="2" t="s">
        <v>45</v>
      </c>
      <c r="E95" s="2" t="s">
        <v>60</v>
      </c>
    </row>
    <row r="96" spans="1:5" x14ac:dyDescent="0.25">
      <c r="A96">
        <v>4049</v>
      </c>
      <c r="B96" s="2" t="s">
        <v>118</v>
      </c>
      <c r="C96" s="2" t="s">
        <v>97</v>
      </c>
      <c r="D96" s="2" t="s">
        <v>48</v>
      </c>
      <c r="E96" s="2" t="s">
        <v>49</v>
      </c>
    </row>
    <row r="97" spans="1:5" x14ac:dyDescent="0.25">
      <c r="A97">
        <v>4056</v>
      </c>
      <c r="B97" s="2" t="s">
        <v>119</v>
      </c>
      <c r="C97" s="2" t="s">
        <v>51</v>
      </c>
      <c r="D97" s="2" t="s">
        <v>73</v>
      </c>
      <c r="E97" s="2" t="s">
        <v>49</v>
      </c>
    </row>
    <row r="98" spans="1:5" x14ac:dyDescent="0.25">
      <c r="A98">
        <v>4013</v>
      </c>
      <c r="B98" s="2" t="s">
        <v>37</v>
      </c>
      <c r="C98" s="2" t="s">
        <v>38</v>
      </c>
      <c r="D98" s="2" t="s">
        <v>39</v>
      </c>
      <c r="E98" s="2" t="s">
        <v>28</v>
      </c>
    </row>
    <row r="99" spans="1:5" x14ac:dyDescent="0.25">
      <c r="A99">
        <v>4253</v>
      </c>
      <c r="B99" s="2" t="s">
        <v>336</v>
      </c>
      <c r="C99" s="2" t="s">
        <v>167</v>
      </c>
      <c r="D99" s="2" t="s">
        <v>168</v>
      </c>
      <c r="E99" s="2" t="s">
        <v>169</v>
      </c>
    </row>
    <row r="100" spans="1:5" x14ac:dyDescent="0.25">
      <c r="A100">
        <v>4236</v>
      </c>
      <c r="B100" s="2" t="s">
        <v>319</v>
      </c>
      <c r="C100" s="2" t="s">
        <v>173</v>
      </c>
      <c r="D100" s="2" t="s">
        <v>174</v>
      </c>
      <c r="E100" s="2" t="s">
        <v>175</v>
      </c>
    </row>
    <row r="101" spans="1:5" x14ac:dyDescent="0.25">
      <c r="A101">
        <v>4174</v>
      </c>
      <c r="B101" s="2" t="s">
        <v>257</v>
      </c>
      <c r="C101" s="2" t="s">
        <v>173</v>
      </c>
      <c r="D101" s="2" t="s">
        <v>174</v>
      </c>
      <c r="E101" s="2" t="s">
        <v>175</v>
      </c>
    </row>
    <row r="102" spans="1:5" x14ac:dyDescent="0.25">
      <c r="A102">
        <v>4055</v>
      </c>
      <c r="B102" s="2" t="s">
        <v>120</v>
      </c>
      <c r="C102" s="2" t="s">
        <v>47</v>
      </c>
      <c r="D102" s="2" t="s">
        <v>48</v>
      </c>
      <c r="E102" s="2" t="s">
        <v>49</v>
      </c>
    </row>
    <row r="103" spans="1:5" x14ac:dyDescent="0.25">
      <c r="A103">
        <v>4166</v>
      </c>
      <c r="B103" s="2" t="s">
        <v>249</v>
      </c>
      <c r="C103" s="2" t="s">
        <v>173</v>
      </c>
      <c r="D103" s="2" t="s">
        <v>174</v>
      </c>
      <c r="E103" s="2" t="s">
        <v>175</v>
      </c>
    </row>
    <row r="104" spans="1:5" x14ac:dyDescent="0.25">
      <c r="A104">
        <v>4128</v>
      </c>
      <c r="B104" s="2" t="s">
        <v>211</v>
      </c>
      <c r="C104" s="2" t="s">
        <v>167</v>
      </c>
      <c r="D104" s="2" t="s">
        <v>168</v>
      </c>
      <c r="E104" s="2" t="s">
        <v>169</v>
      </c>
    </row>
    <row r="105" spans="1:5" x14ac:dyDescent="0.25">
      <c r="A105">
        <v>4149</v>
      </c>
      <c r="B105" s="2" t="s">
        <v>232</v>
      </c>
      <c r="C105" s="2" t="s">
        <v>183</v>
      </c>
      <c r="D105" s="2" t="s">
        <v>33</v>
      </c>
      <c r="E105" s="2" t="s">
        <v>60</v>
      </c>
    </row>
    <row r="106" spans="1:5" x14ac:dyDescent="0.25">
      <c r="A106">
        <v>4067</v>
      </c>
      <c r="B106" s="2" t="s">
        <v>122</v>
      </c>
      <c r="C106" s="2" t="s">
        <v>47</v>
      </c>
      <c r="D106" s="2" t="s">
        <v>48</v>
      </c>
      <c r="E106" s="2" t="s">
        <v>49</v>
      </c>
    </row>
    <row r="107" spans="1:5" x14ac:dyDescent="0.25">
      <c r="A107">
        <v>4127</v>
      </c>
      <c r="B107" s="2" t="s">
        <v>210</v>
      </c>
      <c r="C107" s="2" t="s">
        <v>44</v>
      </c>
      <c r="D107" s="2" t="s">
        <v>45</v>
      </c>
      <c r="E107" s="2" t="s">
        <v>60</v>
      </c>
    </row>
    <row r="108" spans="1:5" x14ac:dyDescent="0.25">
      <c r="A108">
        <v>4229</v>
      </c>
      <c r="B108" s="2" t="s">
        <v>312</v>
      </c>
      <c r="C108" s="2" t="s">
        <v>165</v>
      </c>
      <c r="D108" s="2" t="s">
        <v>24</v>
      </c>
      <c r="E108" s="2" t="s">
        <v>28</v>
      </c>
    </row>
    <row r="109" spans="1:5" x14ac:dyDescent="0.25">
      <c r="A109">
        <v>4206</v>
      </c>
      <c r="B109" s="2" t="s">
        <v>289</v>
      </c>
      <c r="C109" s="2" t="s">
        <v>183</v>
      </c>
      <c r="D109" s="2" t="s">
        <v>33</v>
      </c>
      <c r="E109" s="2" t="s">
        <v>60</v>
      </c>
    </row>
    <row r="110" spans="1:5" x14ac:dyDescent="0.25">
      <c r="A110">
        <v>4175</v>
      </c>
      <c r="B110" s="2" t="s">
        <v>258</v>
      </c>
      <c r="C110" s="2" t="s">
        <v>35</v>
      </c>
      <c r="D110" s="2" t="s">
        <v>36</v>
      </c>
      <c r="E110" s="2" t="s">
        <v>60</v>
      </c>
    </row>
    <row r="111" spans="1:5" x14ac:dyDescent="0.25">
      <c r="A111">
        <v>4172</v>
      </c>
      <c r="B111" s="2" t="s">
        <v>255</v>
      </c>
      <c r="C111" s="2" t="s">
        <v>183</v>
      </c>
      <c r="D111" s="2" t="s">
        <v>33</v>
      </c>
      <c r="E111" s="2" t="s">
        <v>60</v>
      </c>
    </row>
    <row r="112" spans="1:5" x14ac:dyDescent="0.25">
      <c r="A112">
        <v>4159</v>
      </c>
      <c r="B112" s="2" t="s">
        <v>242</v>
      </c>
      <c r="C112" s="2" t="s">
        <v>173</v>
      </c>
      <c r="D112" s="2" t="s">
        <v>174</v>
      </c>
      <c r="E112" s="2" t="s">
        <v>175</v>
      </c>
    </row>
    <row r="113" spans="1:5" x14ac:dyDescent="0.25">
      <c r="A113">
        <v>4148</v>
      </c>
      <c r="B113" s="2" t="s">
        <v>231</v>
      </c>
      <c r="C113" s="2" t="s">
        <v>32</v>
      </c>
      <c r="D113" s="2" t="s">
        <v>33</v>
      </c>
      <c r="E113" s="2" t="s">
        <v>60</v>
      </c>
    </row>
    <row r="114" spans="1:5" x14ac:dyDescent="0.25">
      <c r="A114">
        <v>4248</v>
      </c>
      <c r="B114" s="2" t="s">
        <v>331</v>
      </c>
      <c r="C114" s="2" t="s">
        <v>167</v>
      </c>
      <c r="D114" s="2" t="s">
        <v>168</v>
      </c>
      <c r="E114" s="2" t="s">
        <v>169</v>
      </c>
    </row>
    <row r="115" spans="1:5" x14ac:dyDescent="0.25">
      <c r="A115">
        <v>4112</v>
      </c>
      <c r="B115" s="2" t="s">
        <v>195</v>
      </c>
      <c r="C115" s="2" t="s">
        <v>35</v>
      </c>
      <c r="D115" s="2" t="s">
        <v>36</v>
      </c>
      <c r="E115" s="2" t="s">
        <v>60</v>
      </c>
    </row>
    <row r="116" spans="1:5" x14ac:dyDescent="0.25">
      <c r="A116">
        <v>4134</v>
      </c>
      <c r="B116" s="2" t="s">
        <v>217</v>
      </c>
      <c r="C116" s="2" t="s">
        <v>165</v>
      </c>
      <c r="D116" s="2" t="s">
        <v>24</v>
      </c>
      <c r="E116" s="2" t="s">
        <v>28</v>
      </c>
    </row>
    <row r="117" spans="1:5" x14ac:dyDescent="0.25">
      <c r="A117">
        <v>4142</v>
      </c>
      <c r="B117" s="2" t="s">
        <v>225</v>
      </c>
      <c r="C117" s="2" t="s">
        <v>173</v>
      </c>
      <c r="D117" s="2" t="s">
        <v>174</v>
      </c>
      <c r="E117" s="2" t="s">
        <v>175</v>
      </c>
    </row>
    <row r="118" spans="1:5" x14ac:dyDescent="0.25">
      <c r="A118">
        <v>4161</v>
      </c>
      <c r="B118" s="2" t="s">
        <v>244</v>
      </c>
      <c r="C118" s="2" t="s">
        <v>167</v>
      </c>
      <c r="D118" s="2" t="s">
        <v>168</v>
      </c>
      <c r="E118" s="2" t="s">
        <v>169</v>
      </c>
    </row>
    <row r="119" spans="1:5" x14ac:dyDescent="0.25">
      <c r="A119">
        <v>4193</v>
      </c>
      <c r="B119" s="2" t="s">
        <v>276</v>
      </c>
      <c r="C119" s="2" t="s">
        <v>32</v>
      </c>
      <c r="D119" s="2" t="s">
        <v>33</v>
      </c>
      <c r="E119" s="2" t="s">
        <v>60</v>
      </c>
    </row>
    <row r="120" spans="1:5" x14ac:dyDescent="0.25">
      <c r="A120">
        <v>4188</v>
      </c>
      <c r="B120" s="2" t="s">
        <v>271</v>
      </c>
      <c r="C120" s="2" t="s">
        <v>35</v>
      </c>
      <c r="D120" s="2" t="s">
        <v>36</v>
      </c>
      <c r="E120" s="2" t="s">
        <v>60</v>
      </c>
    </row>
    <row r="121" spans="1:5" x14ac:dyDescent="0.25">
      <c r="A121">
        <v>4182</v>
      </c>
      <c r="B121" s="2" t="s">
        <v>265</v>
      </c>
      <c r="C121" s="2" t="s">
        <v>32</v>
      </c>
      <c r="D121" s="2" t="s">
        <v>33</v>
      </c>
      <c r="E121" s="2" t="s">
        <v>60</v>
      </c>
    </row>
    <row r="122" spans="1:5" x14ac:dyDescent="0.25">
      <c r="A122">
        <v>4125</v>
      </c>
      <c r="B122" s="2" t="s">
        <v>208</v>
      </c>
      <c r="C122" s="2" t="s">
        <v>32</v>
      </c>
      <c r="D122" s="2" t="s">
        <v>33</v>
      </c>
      <c r="E122" s="2" t="s">
        <v>60</v>
      </c>
    </row>
    <row r="123" spans="1:5" x14ac:dyDescent="0.25">
      <c r="A123">
        <v>4162</v>
      </c>
      <c r="B123" s="2" t="s">
        <v>245</v>
      </c>
      <c r="C123" s="2" t="s">
        <v>167</v>
      </c>
      <c r="D123" s="2" t="s">
        <v>168</v>
      </c>
      <c r="E123" s="2" t="s">
        <v>169</v>
      </c>
    </row>
    <row r="124" spans="1:5" x14ac:dyDescent="0.25">
      <c r="A124">
        <v>4151</v>
      </c>
      <c r="B124" s="2" t="s">
        <v>234</v>
      </c>
      <c r="C124" s="2" t="s">
        <v>173</v>
      </c>
      <c r="D124" s="2" t="s">
        <v>174</v>
      </c>
      <c r="E124" s="2" t="s">
        <v>175</v>
      </c>
    </row>
    <row r="125" spans="1:5" x14ac:dyDescent="0.25">
      <c r="A125">
        <v>4235</v>
      </c>
      <c r="B125" s="2" t="s">
        <v>318</v>
      </c>
      <c r="C125" s="2" t="s">
        <v>35</v>
      </c>
      <c r="D125" s="2" t="s">
        <v>36</v>
      </c>
      <c r="E125" s="2" t="s">
        <v>60</v>
      </c>
    </row>
    <row r="126" spans="1:5" x14ac:dyDescent="0.25">
      <c r="A126">
        <v>4102</v>
      </c>
      <c r="B126" s="2" t="s">
        <v>185</v>
      </c>
      <c r="C126" s="2" t="s">
        <v>173</v>
      </c>
      <c r="D126" s="2" t="s">
        <v>174</v>
      </c>
      <c r="E126" s="2" t="s">
        <v>175</v>
      </c>
    </row>
    <row r="127" spans="1:5" x14ac:dyDescent="0.25">
      <c r="A127">
        <v>4200</v>
      </c>
      <c r="B127" s="2" t="s">
        <v>283</v>
      </c>
      <c r="C127" s="2" t="s">
        <v>173</v>
      </c>
      <c r="D127" s="2" t="s">
        <v>174</v>
      </c>
      <c r="E127" s="2" t="s">
        <v>175</v>
      </c>
    </row>
    <row r="128" spans="1:5" x14ac:dyDescent="0.25">
      <c r="A128">
        <v>4140</v>
      </c>
      <c r="B128" s="2" t="s">
        <v>223</v>
      </c>
      <c r="C128" s="2" t="s">
        <v>167</v>
      </c>
      <c r="D128" s="2" t="s">
        <v>168</v>
      </c>
      <c r="E128" s="2" t="s">
        <v>169</v>
      </c>
    </row>
    <row r="129" spans="1:5" x14ac:dyDescent="0.25">
      <c r="A129">
        <v>4137</v>
      </c>
      <c r="B129" s="2" t="s">
        <v>220</v>
      </c>
      <c r="C129" s="2" t="s">
        <v>32</v>
      </c>
      <c r="D129" s="2" t="s">
        <v>33</v>
      </c>
      <c r="E129" s="2" t="s">
        <v>60</v>
      </c>
    </row>
    <row r="130" spans="1:5" x14ac:dyDescent="0.25">
      <c r="A130">
        <v>4163</v>
      </c>
      <c r="B130" s="2" t="s">
        <v>246</v>
      </c>
      <c r="C130" s="2" t="s">
        <v>173</v>
      </c>
      <c r="D130" s="2" t="s">
        <v>174</v>
      </c>
      <c r="E130" s="2" t="s">
        <v>175</v>
      </c>
    </row>
    <row r="131" spans="1:5" x14ac:dyDescent="0.25">
      <c r="A131">
        <v>4168</v>
      </c>
      <c r="B131" s="2" t="s">
        <v>251</v>
      </c>
      <c r="C131" s="2" t="s">
        <v>183</v>
      </c>
      <c r="D131" s="2" t="s">
        <v>33</v>
      </c>
      <c r="E131" s="2" t="s">
        <v>60</v>
      </c>
    </row>
    <row r="132" spans="1:5" x14ac:dyDescent="0.25">
      <c r="A132">
        <v>4143</v>
      </c>
      <c r="B132" s="2" t="s">
        <v>226</v>
      </c>
      <c r="C132" s="2" t="s">
        <v>173</v>
      </c>
      <c r="D132" s="2" t="s">
        <v>174</v>
      </c>
      <c r="E132" s="2" t="s">
        <v>175</v>
      </c>
    </row>
    <row r="133" spans="1:5" x14ac:dyDescent="0.25">
      <c r="A133">
        <v>4179</v>
      </c>
      <c r="B133" s="2" t="s">
        <v>262</v>
      </c>
      <c r="C133" s="2" t="s">
        <v>32</v>
      </c>
      <c r="D133" s="2" t="s">
        <v>33</v>
      </c>
      <c r="E133" s="2" t="s">
        <v>60</v>
      </c>
    </row>
    <row r="134" spans="1:5" x14ac:dyDescent="0.25">
      <c r="A134">
        <v>4138</v>
      </c>
      <c r="B134" s="2" t="s">
        <v>221</v>
      </c>
      <c r="C134" s="2" t="s">
        <v>173</v>
      </c>
      <c r="D134" s="2" t="s">
        <v>174</v>
      </c>
      <c r="E134" s="2" t="s">
        <v>175</v>
      </c>
    </row>
    <row r="135" spans="1:5" x14ac:dyDescent="0.25">
      <c r="A135">
        <v>4114</v>
      </c>
      <c r="B135" s="2" t="s">
        <v>197</v>
      </c>
      <c r="C135" s="2" t="s">
        <v>44</v>
      </c>
      <c r="D135" s="2" t="s">
        <v>45</v>
      </c>
      <c r="E135" s="2" t="s">
        <v>60</v>
      </c>
    </row>
    <row r="136" spans="1:5" x14ac:dyDescent="0.25">
      <c r="A136">
        <v>4201</v>
      </c>
      <c r="B136" s="2" t="s">
        <v>284</v>
      </c>
      <c r="C136" s="2" t="s">
        <v>32</v>
      </c>
      <c r="D136" s="2" t="s">
        <v>33</v>
      </c>
      <c r="E136" s="2" t="s">
        <v>60</v>
      </c>
    </row>
    <row r="137" spans="1:5" x14ac:dyDescent="0.25">
      <c r="A137">
        <v>4030</v>
      </c>
      <c r="B137" s="2" t="s">
        <v>102</v>
      </c>
      <c r="C137" s="2" t="s">
        <v>35</v>
      </c>
      <c r="D137" s="2" t="s">
        <v>36</v>
      </c>
      <c r="E137" s="2" t="s">
        <v>60</v>
      </c>
    </row>
    <row r="138" spans="1:5" x14ac:dyDescent="0.25">
      <c r="A138">
        <v>4247</v>
      </c>
      <c r="B138" s="2" t="s">
        <v>330</v>
      </c>
      <c r="C138" s="2" t="s">
        <v>167</v>
      </c>
      <c r="D138" s="2" t="s">
        <v>168</v>
      </c>
      <c r="E138" s="2" t="s">
        <v>169</v>
      </c>
    </row>
    <row r="139" spans="1:5" x14ac:dyDescent="0.25">
      <c r="A139">
        <v>4250</v>
      </c>
      <c r="B139" s="2" t="s">
        <v>333</v>
      </c>
      <c r="C139" s="2" t="s">
        <v>44</v>
      </c>
      <c r="D139" s="2" t="s">
        <v>45</v>
      </c>
      <c r="E139" s="2" t="s">
        <v>60</v>
      </c>
    </row>
    <row r="140" spans="1:5" x14ac:dyDescent="0.25">
      <c r="A140">
        <v>4022</v>
      </c>
      <c r="B140" s="2" t="s">
        <v>86</v>
      </c>
      <c r="C140" s="2" t="s">
        <v>87</v>
      </c>
      <c r="D140" s="2" t="s">
        <v>27</v>
      </c>
      <c r="E140" s="2" t="s">
        <v>28</v>
      </c>
    </row>
    <row r="141" spans="1:5" x14ac:dyDescent="0.25">
      <c r="A141">
        <v>4100</v>
      </c>
      <c r="B141" s="2" t="s">
        <v>182</v>
      </c>
      <c r="C141" s="2" t="s">
        <v>183</v>
      </c>
      <c r="D141" s="2" t="s">
        <v>33</v>
      </c>
      <c r="E141" s="2" t="s">
        <v>60</v>
      </c>
    </row>
    <row r="142" spans="1:5" x14ac:dyDescent="0.25">
      <c r="A142">
        <v>4101</v>
      </c>
      <c r="B142" s="2" t="s">
        <v>184</v>
      </c>
      <c r="C142" s="2" t="s">
        <v>183</v>
      </c>
      <c r="D142" s="2" t="s">
        <v>33</v>
      </c>
      <c r="E142" s="2" t="s">
        <v>60</v>
      </c>
    </row>
    <row r="143" spans="1:5" x14ac:dyDescent="0.25">
      <c r="A143">
        <v>4273</v>
      </c>
      <c r="B143" s="2" t="s">
        <v>356</v>
      </c>
      <c r="C143" s="2" t="s">
        <v>32</v>
      </c>
      <c r="D143" s="2" t="s">
        <v>33</v>
      </c>
      <c r="E143" s="2" t="s">
        <v>60</v>
      </c>
    </row>
    <row r="144" spans="1:5" x14ac:dyDescent="0.25">
      <c r="A144">
        <v>4271</v>
      </c>
      <c r="B144" s="2" t="s">
        <v>354</v>
      </c>
      <c r="C144" s="2" t="s">
        <v>44</v>
      </c>
      <c r="D144" s="2" t="s">
        <v>45</v>
      </c>
      <c r="E144" s="2" t="s">
        <v>60</v>
      </c>
    </row>
    <row r="145" spans="1:5" x14ac:dyDescent="0.25">
      <c r="A145">
        <v>4118</v>
      </c>
      <c r="B145" s="2" t="s">
        <v>201</v>
      </c>
      <c r="C145" s="2" t="s">
        <v>183</v>
      </c>
      <c r="D145" s="2" t="s">
        <v>33</v>
      </c>
      <c r="E145" s="2" t="s">
        <v>60</v>
      </c>
    </row>
    <row r="146" spans="1:5" x14ac:dyDescent="0.25">
      <c r="A146">
        <v>4098</v>
      </c>
      <c r="B146" s="2" t="s">
        <v>180</v>
      </c>
      <c r="C146" s="2" t="s">
        <v>167</v>
      </c>
      <c r="D146" s="2" t="s">
        <v>168</v>
      </c>
      <c r="E146" s="2" t="s">
        <v>169</v>
      </c>
    </row>
    <row r="147" spans="1:5" x14ac:dyDescent="0.25">
      <c r="A147">
        <v>4027</v>
      </c>
      <c r="B147" s="2" t="s">
        <v>93</v>
      </c>
      <c r="C147" s="2" t="s">
        <v>91</v>
      </c>
      <c r="D147" s="2" t="s">
        <v>24</v>
      </c>
      <c r="E147" s="2" t="s">
        <v>28</v>
      </c>
    </row>
    <row r="148" spans="1:5" x14ac:dyDescent="0.25">
      <c r="A148">
        <v>4111</v>
      </c>
      <c r="B148" s="2" t="s">
        <v>194</v>
      </c>
      <c r="C148" s="2" t="s">
        <v>32</v>
      </c>
      <c r="D148" s="2" t="s">
        <v>33</v>
      </c>
      <c r="E148" s="2" t="s">
        <v>60</v>
      </c>
    </row>
    <row r="149" spans="1:5" x14ac:dyDescent="0.25">
      <c r="A149">
        <v>4024</v>
      </c>
      <c r="B149" s="2" t="s">
        <v>89</v>
      </c>
      <c r="C149" s="2" t="s">
        <v>23</v>
      </c>
      <c r="D149" s="2" t="s">
        <v>24</v>
      </c>
      <c r="E149" s="2" t="s">
        <v>28</v>
      </c>
    </row>
    <row r="150" spans="1:5" x14ac:dyDescent="0.25">
      <c r="A150">
        <v>4220</v>
      </c>
      <c r="B150" s="2" t="s">
        <v>303</v>
      </c>
      <c r="C150" s="2" t="s">
        <v>35</v>
      </c>
      <c r="D150" s="2" t="s">
        <v>36</v>
      </c>
      <c r="E150" s="2" t="s">
        <v>60</v>
      </c>
    </row>
    <row r="151" spans="1:5" x14ac:dyDescent="0.25">
      <c r="A151">
        <v>4264</v>
      </c>
      <c r="B151" s="2" t="s">
        <v>347</v>
      </c>
      <c r="C151" s="2" t="s">
        <v>183</v>
      </c>
      <c r="D151" s="2" t="s">
        <v>33</v>
      </c>
      <c r="E151" s="2" t="s">
        <v>60</v>
      </c>
    </row>
    <row r="152" spans="1:5" x14ac:dyDescent="0.25">
      <c r="A152">
        <v>4240</v>
      </c>
      <c r="B152" s="2" t="s">
        <v>323</v>
      </c>
      <c r="C152" s="2" t="s">
        <v>44</v>
      </c>
      <c r="D152" s="2" t="s">
        <v>45</v>
      </c>
      <c r="E152" s="2" t="s">
        <v>60</v>
      </c>
    </row>
    <row r="153" spans="1:5" x14ac:dyDescent="0.25">
      <c r="A153">
        <v>4019</v>
      </c>
      <c r="B153" s="2" t="s">
        <v>79</v>
      </c>
      <c r="C153" s="2" t="s">
        <v>80</v>
      </c>
      <c r="D153" s="2" t="s">
        <v>39</v>
      </c>
      <c r="E153" s="2" t="s">
        <v>28</v>
      </c>
    </row>
    <row r="154" spans="1:5" x14ac:dyDescent="0.25">
      <c r="A154">
        <v>4089</v>
      </c>
      <c r="B154" s="2" t="s">
        <v>161</v>
      </c>
      <c r="C154" s="2" t="s">
        <v>32</v>
      </c>
      <c r="D154" s="2" t="s">
        <v>33</v>
      </c>
      <c r="E154" s="2" t="s">
        <v>60</v>
      </c>
    </row>
    <row r="155" spans="1:5" x14ac:dyDescent="0.25">
      <c r="A155">
        <v>4218</v>
      </c>
      <c r="B155" s="2" t="s">
        <v>301</v>
      </c>
      <c r="C155" s="2" t="s">
        <v>183</v>
      </c>
      <c r="D155" s="2" t="s">
        <v>33</v>
      </c>
      <c r="E155" s="2" t="s">
        <v>60</v>
      </c>
    </row>
    <row r="156" spans="1:5" x14ac:dyDescent="0.25">
      <c r="A156">
        <v>4117</v>
      </c>
      <c r="B156" s="2" t="s">
        <v>200</v>
      </c>
      <c r="C156" s="2" t="s">
        <v>32</v>
      </c>
      <c r="D156" s="2" t="s">
        <v>33</v>
      </c>
      <c r="E156" s="2" t="s">
        <v>60</v>
      </c>
    </row>
    <row r="157" spans="1:5" x14ac:dyDescent="0.25">
      <c r="A157">
        <v>4195</v>
      </c>
      <c r="B157" s="2" t="s">
        <v>278</v>
      </c>
      <c r="C157" s="2" t="s">
        <v>173</v>
      </c>
      <c r="D157" s="2" t="s">
        <v>174</v>
      </c>
      <c r="E157" s="2" t="s">
        <v>175</v>
      </c>
    </row>
    <row r="158" spans="1:5" x14ac:dyDescent="0.25">
      <c r="A158">
        <v>4219</v>
      </c>
      <c r="B158" s="2" t="s">
        <v>302</v>
      </c>
      <c r="C158" s="2" t="s">
        <v>35</v>
      </c>
      <c r="D158" s="2" t="s">
        <v>36</v>
      </c>
      <c r="E158" s="2" t="s">
        <v>60</v>
      </c>
    </row>
    <row r="159" spans="1:5" x14ac:dyDescent="0.25">
      <c r="A159">
        <v>4234</v>
      </c>
      <c r="B159" s="2" t="s">
        <v>317</v>
      </c>
      <c r="C159" s="2" t="s">
        <v>183</v>
      </c>
      <c r="D159" s="2" t="s">
        <v>33</v>
      </c>
      <c r="E159" s="2" t="s">
        <v>60</v>
      </c>
    </row>
    <row r="160" spans="1:5" x14ac:dyDescent="0.25">
      <c r="A160">
        <v>4267</v>
      </c>
      <c r="B160" s="2" t="s">
        <v>350</v>
      </c>
      <c r="C160" s="2" t="s">
        <v>35</v>
      </c>
      <c r="D160" s="2" t="s">
        <v>36</v>
      </c>
      <c r="E160" s="2" t="s">
        <v>60</v>
      </c>
    </row>
    <row r="161" spans="1:5" x14ac:dyDescent="0.25">
      <c r="A161">
        <v>4047</v>
      </c>
      <c r="B161" s="2" t="s">
        <v>125</v>
      </c>
      <c r="C161" s="2" t="s">
        <v>35</v>
      </c>
      <c r="D161" s="2" t="s">
        <v>36</v>
      </c>
      <c r="E161" s="2" t="s">
        <v>60</v>
      </c>
    </row>
    <row r="162" spans="1:5" x14ac:dyDescent="0.25">
      <c r="A162">
        <v>4211</v>
      </c>
      <c r="B162" s="2" t="s">
        <v>294</v>
      </c>
      <c r="C162" s="2" t="s">
        <v>183</v>
      </c>
      <c r="D162" s="2" t="s">
        <v>33</v>
      </c>
      <c r="E162" s="2" t="s">
        <v>60</v>
      </c>
    </row>
    <row r="163" spans="1:5" x14ac:dyDescent="0.25">
      <c r="A163">
        <v>4120</v>
      </c>
      <c r="B163" s="2" t="s">
        <v>203</v>
      </c>
      <c r="C163" s="2" t="s">
        <v>183</v>
      </c>
      <c r="D163" s="2" t="s">
        <v>33</v>
      </c>
      <c r="E163" s="2" t="s">
        <v>60</v>
      </c>
    </row>
    <row r="164" spans="1:5" x14ac:dyDescent="0.25">
      <c r="A164">
        <v>4085</v>
      </c>
      <c r="B164" s="2" t="s">
        <v>156</v>
      </c>
      <c r="C164" s="2" t="s">
        <v>141</v>
      </c>
      <c r="D164" s="2" t="s">
        <v>33</v>
      </c>
      <c r="E164" s="2" t="s">
        <v>60</v>
      </c>
    </row>
    <row r="165" spans="1:5" x14ac:dyDescent="0.25">
      <c r="A165">
        <v>4096</v>
      </c>
      <c r="B165" s="2" t="s">
        <v>178</v>
      </c>
      <c r="C165" s="2" t="s">
        <v>44</v>
      </c>
      <c r="D165" s="2" t="s">
        <v>45</v>
      </c>
      <c r="E165" s="2" t="s">
        <v>60</v>
      </c>
    </row>
    <row r="166" spans="1:5" x14ac:dyDescent="0.25">
      <c r="A166">
        <v>4064</v>
      </c>
      <c r="B166" s="2" t="s">
        <v>128</v>
      </c>
      <c r="C166" s="2" t="s">
        <v>129</v>
      </c>
      <c r="D166" s="2" t="s">
        <v>33</v>
      </c>
      <c r="E166" s="2" t="s">
        <v>60</v>
      </c>
    </row>
    <row r="167" spans="1:5" x14ac:dyDescent="0.25">
      <c r="A167">
        <v>4066</v>
      </c>
      <c r="B167" s="2" t="s">
        <v>132</v>
      </c>
      <c r="C167" s="2" t="s">
        <v>47</v>
      </c>
      <c r="D167" s="2" t="s">
        <v>48</v>
      </c>
      <c r="E167" s="2" t="s">
        <v>49</v>
      </c>
    </row>
    <row r="168" spans="1:5" x14ac:dyDescent="0.25">
      <c r="A168">
        <v>4099</v>
      </c>
      <c r="B168" s="2" t="s">
        <v>181</v>
      </c>
      <c r="C168" s="2" t="s">
        <v>165</v>
      </c>
      <c r="D168" s="2" t="s">
        <v>24</v>
      </c>
      <c r="E168" s="2" t="s">
        <v>28</v>
      </c>
    </row>
    <row r="169" spans="1:5" x14ac:dyDescent="0.25">
      <c r="A169">
        <v>4088</v>
      </c>
      <c r="B169" s="2" t="s">
        <v>159</v>
      </c>
      <c r="C169" s="2" t="s">
        <v>160</v>
      </c>
      <c r="D169" s="2" t="s">
        <v>33</v>
      </c>
      <c r="E169" s="2" t="s">
        <v>60</v>
      </c>
    </row>
    <row r="170" spans="1:5" x14ac:dyDescent="0.25">
      <c r="A170">
        <v>4077</v>
      </c>
      <c r="B170" s="2" t="s">
        <v>147</v>
      </c>
      <c r="C170" s="2" t="s">
        <v>144</v>
      </c>
      <c r="D170" s="2" t="s">
        <v>33</v>
      </c>
      <c r="E170" s="2" t="s">
        <v>60</v>
      </c>
    </row>
    <row r="171" spans="1:5" x14ac:dyDescent="0.25">
      <c r="A171">
        <v>4246</v>
      </c>
      <c r="B171" s="2" t="s">
        <v>329</v>
      </c>
      <c r="C171" s="2" t="s">
        <v>183</v>
      </c>
      <c r="D171" s="2" t="s">
        <v>33</v>
      </c>
      <c r="E171" s="2" t="s">
        <v>60</v>
      </c>
    </row>
    <row r="172" spans="1:5" x14ac:dyDescent="0.25">
      <c r="A172">
        <v>4091</v>
      </c>
      <c r="B172" s="2" t="s">
        <v>163</v>
      </c>
      <c r="C172" s="2" t="s">
        <v>32</v>
      </c>
      <c r="D172" s="2" t="s">
        <v>33</v>
      </c>
      <c r="E172" s="2" t="s">
        <v>60</v>
      </c>
    </row>
    <row r="173" spans="1:5" x14ac:dyDescent="0.25">
      <c r="A173">
        <v>4204</v>
      </c>
      <c r="B173" s="2" t="s">
        <v>287</v>
      </c>
      <c r="C173" s="2" t="s">
        <v>165</v>
      </c>
      <c r="D173" s="2" t="s">
        <v>24</v>
      </c>
      <c r="E173" s="2" t="s">
        <v>28</v>
      </c>
    </row>
    <row r="174" spans="1:5" x14ac:dyDescent="0.25">
      <c r="A174">
        <v>4259</v>
      </c>
      <c r="B174" s="2" t="s">
        <v>342</v>
      </c>
      <c r="C174" s="2" t="s">
        <v>167</v>
      </c>
      <c r="D174" s="2" t="s">
        <v>168</v>
      </c>
      <c r="E174" s="2" t="s">
        <v>169</v>
      </c>
    </row>
    <row r="175" spans="1:5" x14ac:dyDescent="0.25">
      <c r="A175">
        <v>4045</v>
      </c>
      <c r="B175" s="2" t="s">
        <v>124</v>
      </c>
      <c r="C175" s="2" t="s">
        <v>35</v>
      </c>
      <c r="D175" s="2" t="s">
        <v>36</v>
      </c>
      <c r="E175" s="2" t="s">
        <v>60</v>
      </c>
    </row>
    <row r="176" spans="1:5" x14ac:dyDescent="0.25">
      <c r="A176">
        <v>4086</v>
      </c>
      <c r="B176" s="2" t="s">
        <v>157</v>
      </c>
      <c r="C176" s="2" t="s">
        <v>149</v>
      </c>
      <c r="D176" s="2" t="s">
        <v>33</v>
      </c>
      <c r="E176" s="2" t="s">
        <v>60</v>
      </c>
    </row>
    <row r="177" spans="1:5" x14ac:dyDescent="0.25">
      <c r="A177">
        <v>4275</v>
      </c>
      <c r="B177" s="2" t="s">
        <v>358</v>
      </c>
      <c r="C177" s="2" t="s">
        <v>44</v>
      </c>
      <c r="D177" s="2" t="s">
        <v>45</v>
      </c>
      <c r="E177" s="2" t="s">
        <v>60</v>
      </c>
    </row>
    <row r="178" spans="1:5" x14ac:dyDescent="0.25">
      <c r="A178">
        <v>4110</v>
      </c>
      <c r="B178" s="2" t="s">
        <v>193</v>
      </c>
      <c r="C178" s="2" t="s">
        <v>167</v>
      </c>
      <c r="D178" s="2" t="s">
        <v>168</v>
      </c>
      <c r="E178" s="2" t="s">
        <v>169</v>
      </c>
    </row>
    <row r="179" spans="1:5" x14ac:dyDescent="0.25">
      <c r="A179">
        <v>4124</v>
      </c>
      <c r="B179" s="2" t="s">
        <v>207</v>
      </c>
      <c r="C179" s="2" t="s">
        <v>173</v>
      </c>
      <c r="D179" s="2" t="s">
        <v>174</v>
      </c>
      <c r="E179" s="2" t="s">
        <v>175</v>
      </c>
    </row>
    <row r="180" spans="1:5" x14ac:dyDescent="0.25">
      <c r="A180">
        <v>4023</v>
      </c>
      <c r="B180" s="2" t="s">
        <v>88</v>
      </c>
      <c r="C180" s="2" t="s">
        <v>78</v>
      </c>
      <c r="D180" s="2" t="s">
        <v>39</v>
      </c>
      <c r="E180" s="2" t="s">
        <v>28</v>
      </c>
    </row>
    <row r="181" spans="1:5" x14ac:dyDescent="0.25">
      <c r="A181">
        <v>4252</v>
      </c>
      <c r="B181" s="2" t="s">
        <v>335</v>
      </c>
      <c r="C181" s="2" t="s">
        <v>32</v>
      </c>
      <c r="D181" s="2" t="s">
        <v>33</v>
      </c>
      <c r="E181" s="2" t="s">
        <v>60</v>
      </c>
    </row>
    <row r="182" spans="1:5" x14ac:dyDescent="0.25">
      <c r="A182">
        <v>4075</v>
      </c>
      <c r="B182" s="2" t="s">
        <v>145</v>
      </c>
      <c r="C182" s="2" t="s">
        <v>129</v>
      </c>
      <c r="D182" s="2" t="s">
        <v>33</v>
      </c>
      <c r="E182" s="2" t="s">
        <v>60</v>
      </c>
    </row>
    <row r="183" spans="1:5" x14ac:dyDescent="0.25">
      <c r="A183">
        <v>4214</v>
      </c>
      <c r="B183" s="2" t="s">
        <v>297</v>
      </c>
      <c r="C183" s="2" t="s">
        <v>183</v>
      </c>
      <c r="D183" s="2" t="s">
        <v>33</v>
      </c>
      <c r="E183" s="2" t="s">
        <v>60</v>
      </c>
    </row>
    <row r="184" spans="1:5" x14ac:dyDescent="0.25">
      <c r="A184">
        <v>4014</v>
      </c>
      <c r="B184" s="2" t="s">
        <v>58</v>
      </c>
      <c r="C184" s="2" t="s">
        <v>59</v>
      </c>
      <c r="D184" s="2" t="s">
        <v>36</v>
      </c>
      <c r="E184" s="2" t="s">
        <v>60</v>
      </c>
    </row>
    <row r="185" spans="1:5" x14ac:dyDescent="0.25">
      <c r="A185">
        <v>4258</v>
      </c>
      <c r="B185" s="2" t="s">
        <v>341</v>
      </c>
      <c r="C185" s="2" t="s">
        <v>173</v>
      </c>
      <c r="D185" s="2" t="s">
        <v>174</v>
      </c>
      <c r="E185" s="2" t="s">
        <v>175</v>
      </c>
    </row>
    <row r="186" spans="1:5" x14ac:dyDescent="0.25">
      <c r="A186">
        <v>4115</v>
      </c>
      <c r="B186" s="2" t="s">
        <v>198</v>
      </c>
      <c r="C186" s="2" t="s">
        <v>44</v>
      </c>
      <c r="D186" s="2" t="s">
        <v>45</v>
      </c>
      <c r="E186" s="2" t="s">
        <v>60</v>
      </c>
    </row>
    <row r="187" spans="1:5" x14ac:dyDescent="0.25">
      <c r="A187">
        <v>4257</v>
      </c>
      <c r="B187" s="2" t="s">
        <v>340</v>
      </c>
      <c r="C187" s="2" t="s">
        <v>165</v>
      </c>
      <c r="D187" s="2" t="s">
        <v>24</v>
      </c>
      <c r="E187" s="2" t="s">
        <v>28</v>
      </c>
    </row>
    <row r="188" spans="1:5" x14ac:dyDescent="0.25">
      <c r="A188">
        <v>4078</v>
      </c>
      <c r="B188" s="2" t="s">
        <v>148</v>
      </c>
      <c r="C188" s="2" t="s">
        <v>149</v>
      </c>
      <c r="D188" s="2" t="s">
        <v>33</v>
      </c>
      <c r="E188" s="2" t="s">
        <v>60</v>
      </c>
    </row>
    <row r="189" spans="1:5" x14ac:dyDescent="0.25">
      <c r="A189">
        <v>4048</v>
      </c>
      <c r="B189" s="2" t="s">
        <v>126</v>
      </c>
      <c r="C189" s="2" t="s">
        <v>47</v>
      </c>
      <c r="D189" s="2" t="s">
        <v>48</v>
      </c>
      <c r="E189" s="2" t="s">
        <v>49</v>
      </c>
    </row>
    <row r="190" spans="1:5" x14ac:dyDescent="0.25">
      <c r="A190">
        <v>4209</v>
      </c>
      <c r="B190" s="2" t="s">
        <v>292</v>
      </c>
      <c r="C190" s="2" t="s">
        <v>35</v>
      </c>
      <c r="D190" s="2" t="s">
        <v>36</v>
      </c>
      <c r="E190" s="2" t="s">
        <v>60</v>
      </c>
    </row>
    <row r="191" spans="1:5" x14ac:dyDescent="0.25">
      <c r="A191">
        <v>4031</v>
      </c>
      <c r="B191" s="2" t="s">
        <v>104</v>
      </c>
      <c r="C191" s="2" t="s">
        <v>99</v>
      </c>
      <c r="D191" s="2" t="s">
        <v>27</v>
      </c>
      <c r="E191" s="2" t="s">
        <v>28</v>
      </c>
    </row>
    <row r="192" spans="1:5" x14ac:dyDescent="0.25">
      <c r="A192">
        <v>4104</v>
      </c>
      <c r="B192" s="2" t="s">
        <v>187</v>
      </c>
      <c r="C192" s="2" t="s">
        <v>35</v>
      </c>
      <c r="D192" s="2" t="s">
        <v>36</v>
      </c>
      <c r="E192" s="2" t="s">
        <v>60</v>
      </c>
    </row>
    <row r="193" spans="1:5" x14ac:dyDescent="0.25">
      <c r="A193">
        <v>4073</v>
      </c>
      <c r="B193" s="2" t="s">
        <v>142</v>
      </c>
      <c r="C193" s="2" t="s">
        <v>141</v>
      </c>
      <c r="D193" s="2" t="s">
        <v>33</v>
      </c>
      <c r="E193" s="2" t="s">
        <v>60</v>
      </c>
    </row>
    <row r="194" spans="1:5" x14ac:dyDescent="0.25">
      <c r="A194">
        <v>4076</v>
      </c>
      <c r="B194" s="2" t="s">
        <v>146</v>
      </c>
      <c r="C194" s="2" t="s">
        <v>141</v>
      </c>
      <c r="D194" s="2" t="s">
        <v>33</v>
      </c>
      <c r="E194" s="2" t="s">
        <v>60</v>
      </c>
    </row>
    <row r="195" spans="1:5" x14ac:dyDescent="0.25">
      <c r="A195">
        <v>4255</v>
      </c>
      <c r="B195" s="2" t="s">
        <v>338</v>
      </c>
      <c r="C195" s="2" t="s">
        <v>35</v>
      </c>
      <c r="D195" s="2" t="s">
        <v>36</v>
      </c>
      <c r="E195" s="2" t="s">
        <v>60</v>
      </c>
    </row>
    <row r="196" spans="1:5" x14ac:dyDescent="0.25">
      <c r="A196">
        <v>4084</v>
      </c>
      <c r="B196" s="2" t="s">
        <v>155</v>
      </c>
      <c r="C196" s="2" t="s">
        <v>149</v>
      </c>
      <c r="D196" s="2" t="s">
        <v>33</v>
      </c>
      <c r="E196" s="2" t="s">
        <v>60</v>
      </c>
    </row>
    <row r="197" spans="1:5" x14ac:dyDescent="0.25">
      <c r="A197">
        <v>4198</v>
      </c>
      <c r="B197" s="2" t="s">
        <v>281</v>
      </c>
      <c r="C197" s="2" t="s">
        <v>173</v>
      </c>
      <c r="D197" s="2" t="s">
        <v>174</v>
      </c>
      <c r="E197" s="2" t="s">
        <v>175</v>
      </c>
    </row>
    <row r="198" spans="1:5" x14ac:dyDescent="0.25">
      <c r="A198">
        <v>4223</v>
      </c>
      <c r="B198" s="2" t="s">
        <v>306</v>
      </c>
      <c r="C198" s="2" t="s">
        <v>32</v>
      </c>
      <c r="D198" s="2" t="s">
        <v>33</v>
      </c>
      <c r="E198" s="2" t="s">
        <v>60</v>
      </c>
    </row>
    <row r="199" spans="1:5" x14ac:dyDescent="0.25">
      <c r="A199">
        <v>4094</v>
      </c>
      <c r="B199" s="2" t="s">
        <v>172</v>
      </c>
      <c r="C199" s="2" t="s">
        <v>173</v>
      </c>
      <c r="D199" s="2" t="s">
        <v>174</v>
      </c>
      <c r="E199" s="2" t="s">
        <v>175</v>
      </c>
    </row>
    <row r="200" spans="1:5" x14ac:dyDescent="0.25">
      <c r="A200">
        <v>4074</v>
      </c>
      <c r="B200" s="2" t="s">
        <v>143</v>
      </c>
      <c r="C200" s="2" t="s">
        <v>144</v>
      </c>
      <c r="D200" s="2" t="s">
        <v>33</v>
      </c>
      <c r="E200" s="2" t="s">
        <v>60</v>
      </c>
    </row>
    <row r="201" spans="1:5" x14ac:dyDescent="0.25">
      <c r="A201">
        <v>4116</v>
      </c>
      <c r="B201" s="2" t="s">
        <v>199</v>
      </c>
      <c r="C201" s="2" t="s">
        <v>44</v>
      </c>
      <c r="D201" s="2" t="s">
        <v>45</v>
      </c>
      <c r="E201" s="2" t="s">
        <v>60</v>
      </c>
    </row>
    <row r="202" spans="1:5" x14ac:dyDescent="0.25">
      <c r="A202">
        <v>4081</v>
      </c>
      <c r="B202" s="2" t="s">
        <v>152</v>
      </c>
      <c r="C202" s="2" t="s">
        <v>141</v>
      </c>
      <c r="D202" s="2" t="s">
        <v>33</v>
      </c>
      <c r="E202" s="2" t="s">
        <v>60</v>
      </c>
    </row>
    <row r="203" spans="1:5" x14ac:dyDescent="0.25">
      <c r="A203">
        <v>4050</v>
      </c>
      <c r="B203" s="2" t="s">
        <v>127</v>
      </c>
      <c r="C203" s="2" t="s">
        <v>64</v>
      </c>
      <c r="D203" s="2" t="s">
        <v>65</v>
      </c>
      <c r="E203" s="2" t="s">
        <v>49</v>
      </c>
    </row>
    <row r="204" spans="1:5" x14ac:dyDescent="0.25">
      <c r="A204">
        <v>4156</v>
      </c>
      <c r="B204" s="2" t="s">
        <v>239</v>
      </c>
      <c r="C204" s="2" t="s">
        <v>165</v>
      </c>
      <c r="D204" s="2" t="s">
        <v>24</v>
      </c>
      <c r="E204" s="2" t="s">
        <v>28</v>
      </c>
    </row>
    <row r="205" spans="1:5" x14ac:dyDescent="0.25">
      <c r="A205">
        <v>4016</v>
      </c>
      <c r="B205" s="2" t="s">
        <v>68</v>
      </c>
      <c r="C205" s="2" t="s">
        <v>69</v>
      </c>
      <c r="D205" s="2" t="s">
        <v>36</v>
      </c>
      <c r="E205" s="2" t="s">
        <v>60</v>
      </c>
    </row>
    <row r="206" spans="1:5" x14ac:dyDescent="0.25">
      <c r="A206">
        <v>4196</v>
      </c>
      <c r="B206" s="2" t="s">
        <v>279</v>
      </c>
      <c r="C206" s="2" t="s">
        <v>173</v>
      </c>
      <c r="D206" s="2" t="s">
        <v>174</v>
      </c>
      <c r="E206" s="2" t="s">
        <v>175</v>
      </c>
    </row>
    <row r="207" spans="1:5" x14ac:dyDescent="0.25">
      <c r="A207">
        <v>4097</v>
      </c>
      <c r="B207" s="2" t="s">
        <v>179</v>
      </c>
      <c r="C207" s="2" t="s">
        <v>165</v>
      </c>
      <c r="D207" s="2" t="s">
        <v>24</v>
      </c>
      <c r="E207" s="2" t="s">
        <v>28</v>
      </c>
    </row>
    <row r="208" spans="1:5" x14ac:dyDescent="0.25">
      <c r="A208">
        <v>4227</v>
      </c>
      <c r="B208" s="2" t="s">
        <v>310</v>
      </c>
      <c r="C208" s="2" t="s">
        <v>44</v>
      </c>
      <c r="D208" s="2" t="s">
        <v>45</v>
      </c>
      <c r="E208" s="2" t="s">
        <v>60</v>
      </c>
    </row>
    <row r="209" spans="1:5" x14ac:dyDescent="0.25">
      <c r="A209">
        <v>4034</v>
      </c>
      <c r="B209" s="2" t="s">
        <v>110</v>
      </c>
      <c r="C209" s="2" t="s">
        <v>51</v>
      </c>
      <c r="D209" s="2" t="s">
        <v>73</v>
      </c>
      <c r="E209" s="2" t="s">
        <v>49</v>
      </c>
    </row>
    <row r="210" spans="1:5" x14ac:dyDescent="0.25">
      <c r="A210">
        <v>4020</v>
      </c>
      <c r="B210" s="2" t="s">
        <v>82</v>
      </c>
      <c r="C210" s="2" t="s">
        <v>67</v>
      </c>
      <c r="D210" s="2" t="s">
        <v>27</v>
      </c>
      <c r="E210" s="2" t="s">
        <v>28</v>
      </c>
    </row>
    <row r="211" spans="1:5" x14ac:dyDescent="0.25">
      <c r="A211">
        <v>4208</v>
      </c>
      <c r="B211" s="2" t="s">
        <v>291</v>
      </c>
      <c r="C211" s="2" t="s">
        <v>32</v>
      </c>
      <c r="D211" s="2" t="s">
        <v>33</v>
      </c>
      <c r="E211" s="2" t="s">
        <v>60</v>
      </c>
    </row>
    <row r="212" spans="1:5" x14ac:dyDescent="0.25">
      <c r="A212">
        <v>4130</v>
      </c>
      <c r="B212" s="2" t="s">
        <v>213</v>
      </c>
      <c r="C212" s="2" t="s">
        <v>165</v>
      </c>
      <c r="D212" s="2" t="s">
        <v>24</v>
      </c>
      <c r="E212" s="2" t="s">
        <v>28</v>
      </c>
    </row>
    <row r="213" spans="1:5" x14ac:dyDescent="0.25">
      <c r="A213">
        <v>4028</v>
      </c>
      <c r="B213" s="2" t="s">
        <v>95</v>
      </c>
      <c r="C213" s="2" t="s">
        <v>26</v>
      </c>
      <c r="D213" s="2" t="s">
        <v>27</v>
      </c>
      <c r="E213" s="2" t="s">
        <v>28</v>
      </c>
    </row>
    <row r="214" spans="1:5" x14ac:dyDescent="0.25">
      <c r="A214">
        <v>4152</v>
      </c>
      <c r="B214" s="2" t="s">
        <v>235</v>
      </c>
      <c r="C214" s="2" t="s">
        <v>167</v>
      </c>
      <c r="D214" s="2" t="s">
        <v>168</v>
      </c>
      <c r="E214" s="2" t="s">
        <v>169</v>
      </c>
    </row>
    <row r="215" spans="1:5" x14ac:dyDescent="0.25">
      <c r="A215">
        <v>4154</v>
      </c>
      <c r="B215" s="2" t="s">
        <v>237</v>
      </c>
      <c r="C215" s="2" t="s">
        <v>167</v>
      </c>
      <c r="D215" s="2" t="s">
        <v>168</v>
      </c>
      <c r="E215" s="2" t="s">
        <v>169</v>
      </c>
    </row>
    <row r="216" spans="1:5" x14ac:dyDescent="0.25">
      <c r="A216">
        <v>4155</v>
      </c>
      <c r="B216" s="2" t="s">
        <v>238</v>
      </c>
      <c r="C216" s="2" t="s">
        <v>32</v>
      </c>
      <c r="D216" s="2" t="s">
        <v>33</v>
      </c>
      <c r="E216" s="2" t="s">
        <v>60</v>
      </c>
    </row>
    <row r="217" spans="1:5" x14ac:dyDescent="0.25">
      <c r="A217">
        <v>4147</v>
      </c>
      <c r="B217" s="2" t="s">
        <v>230</v>
      </c>
      <c r="C217" s="2" t="s">
        <v>35</v>
      </c>
      <c r="D217" s="2" t="s">
        <v>36</v>
      </c>
      <c r="E217" s="2" t="s">
        <v>60</v>
      </c>
    </row>
    <row r="218" spans="1:5" x14ac:dyDescent="0.25">
      <c r="A218">
        <v>4189</v>
      </c>
      <c r="B218" s="2" t="s">
        <v>272</v>
      </c>
      <c r="C218" s="2" t="s">
        <v>165</v>
      </c>
      <c r="D218" s="2" t="s">
        <v>24</v>
      </c>
      <c r="E218" s="2" t="s">
        <v>28</v>
      </c>
    </row>
    <row r="219" spans="1:5" x14ac:dyDescent="0.25">
      <c r="A219">
        <v>4197</v>
      </c>
      <c r="B219" s="2" t="s">
        <v>280</v>
      </c>
      <c r="C219" s="2" t="s">
        <v>32</v>
      </c>
      <c r="D219" s="2" t="s">
        <v>33</v>
      </c>
      <c r="E219" s="2" t="s">
        <v>60</v>
      </c>
    </row>
    <row r="220" spans="1:5" x14ac:dyDescent="0.25">
      <c r="A220">
        <v>4033</v>
      </c>
      <c r="B220" s="2" t="s">
        <v>109</v>
      </c>
      <c r="C220" s="2" t="s">
        <v>51</v>
      </c>
      <c r="D220" s="2" t="s">
        <v>73</v>
      </c>
      <c r="E220" s="2" t="s">
        <v>49</v>
      </c>
    </row>
    <row r="221" spans="1:5" x14ac:dyDescent="0.25">
      <c r="A221">
        <v>4044</v>
      </c>
      <c r="B221" s="2" t="s">
        <v>123</v>
      </c>
      <c r="C221" s="2" t="s">
        <v>35</v>
      </c>
      <c r="D221" s="2" t="s">
        <v>36</v>
      </c>
      <c r="E221" s="2" t="s">
        <v>60</v>
      </c>
    </row>
    <row r="222" spans="1:5" x14ac:dyDescent="0.25">
      <c r="A222">
        <v>4230</v>
      </c>
      <c r="B222" s="2" t="s">
        <v>313</v>
      </c>
      <c r="C222" s="2" t="s">
        <v>35</v>
      </c>
      <c r="D222" s="2" t="s">
        <v>36</v>
      </c>
      <c r="E222" s="2" t="s">
        <v>60</v>
      </c>
    </row>
    <row r="223" spans="1:5" x14ac:dyDescent="0.25">
      <c r="A223">
        <v>4108</v>
      </c>
      <c r="B223" s="2" t="s">
        <v>191</v>
      </c>
      <c r="C223" s="2" t="s">
        <v>44</v>
      </c>
      <c r="D223" s="2" t="s">
        <v>45</v>
      </c>
      <c r="E223" s="2" t="s">
        <v>60</v>
      </c>
    </row>
    <row r="224" spans="1:5" x14ac:dyDescent="0.25">
      <c r="A224">
        <v>4237</v>
      </c>
      <c r="B224" s="2" t="s">
        <v>320</v>
      </c>
      <c r="C224" s="2" t="s">
        <v>183</v>
      </c>
      <c r="D224" s="2" t="s">
        <v>33</v>
      </c>
      <c r="E224" s="2" t="s">
        <v>60</v>
      </c>
    </row>
    <row r="225" spans="1:5" x14ac:dyDescent="0.25">
      <c r="A225">
        <v>4233</v>
      </c>
      <c r="B225" s="2" t="s">
        <v>316</v>
      </c>
      <c r="C225" s="2" t="s">
        <v>35</v>
      </c>
      <c r="D225" s="2" t="s">
        <v>36</v>
      </c>
      <c r="E225" s="2" t="s">
        <v>60</v>
      </c>
    </row>
    <row r="226" spans="1:5" x14ac:dyDescent="0.25">
      <c r="A226">
        <v>4199</v>
      </c>
      <c r="B226" s="2" t="s">
        <v>282</v>
      </c>
      <c r="C226" s="2" t="s">
        <v>183</v>
      </c>
      <c r="D226" s="2" t="s">
        <v>33</v>
      </c>
      <c r="E226" s="2" t="s">
        <v>60</v>
      </c>
    </row>
    <row r="227" spans="1:5" x14ac:dyDescent="0.25">
      <c r="A227">
        <v>4158</v>
      </c>
      <c r="B227" s="2" t="s">
        <v>241</v>
      </c>
      <c r="C227" s="2" t="s">
        <v>173</v>
      </c>
      <c r="D227" s="2" t="s">
        <v>174</v>
      </c>
      <c r="E227" s="2" t="s">
        <v>175</v>
      </c>
    </row>
    <row r="228" spans="1:5" x14ac:dyDescent="0.25">
      <c r="A228">
        <v>4165</v>
      </c>
      <c r="B228" s="2" t="s">
        <v>248</v>
      </c>
      <c r="C228" s="2" t="s">
        <v>167</v>
      </c>
      <c r="D228" s="2" t="s">
        <v>168</v>
      </c>
      <c r="E228" s="2" t="s">
        <v>169</v>
      </c>
    </row>
    <row r="229" spans="1:5" x14ac:dyDescent="0.25">
      <c r="A229">
        <v>4228</v>
      </c>
      <c r="B229" s="2" t="s">
        <v>311</v>
      </c>
      <c r="C229" s="2" t="s">
        <v>165</v>
      </c>
      <c r="D229" s="2" t="s">
        <v>24</v>
      </c>
      <c r="E229" s="2" t="s">
        <v>28</v>
      </c>
    </row>
    <row r="230" spans="1:5" x14ac:dyDescent="0.25">
      <c r="A230">
        <v>4026</v>
      </c>
      <c r="B230" s="2" t="s">
        <v>92</v>
      </c>
      <c r="C230" s="2" t="s">
        <v>35</v>
      </c>
      <c r="D230" s="2" t="s">
        <v>36</v>
      </c>
      <c r="E230" s="2" t="s">
        <v>60</v>
      </c>
    </row>
    <row r="231" spans="1:5" x14ac:dyDescent="0.25">
      <c r="A231">
        <v>4222</v>
      </c>
      <c r="B231" s="2" t="s">
        <v>305</v>
      </c>
      <c r="C231" s="2" t="s">
        <v>173</v>
      </c>
      <c r="D231" s="2" t="s">
        <v>174</v>
      </c>
      <c r="E231" s="2" t="s">
        <v>175</v>
      </c>
    </row>
    <row r="232" spans="1:5" x14ac:dyDescent="0.25">
      <c r="A232">
        <v>4039</v>
      </c>
      <c r="B232" s="2" t="s">
        <v>116</v>
      </c>
      <c r="C232" s="2" t="s">
        <v>106</v>
      </c>
      <c r="D232" s="2" t="s">
        <v>107</v>
      </c>
      <c r="E232" s="2" t="s">
        <v>49</v>
      </c>
    </row>
    <row r="233" spans="1:5" x14ac:dyDescent="0.25">
      <c r="A233">
        <v>4170</v>
      </c>
      <c r="B233" s="2" t="s">
        <v>253</v>
      </c>
      <c r="C233" s="2" t="s">
        <v>35</v>
      </c>
      <c r="D233" s="2" t="s">
        <v>36</v>
      </c>
      <c r="E233" s="2" t="s">
        <v>60</v>
      </c>
    </row>
    <row r="234" spans="1:5" x14ac:dyDescent="0.25">
      <c r="A234">
        <v>4113</v>
      </c>
      <c r="B234" s="2" t="s">
        <v>196</v>
      </c>
      <c r="C234" s="2" t="s">
        <v>44</v>
      </c>
      <c r="D234" s="2" t="s">
        <v>45</v>
      </c>
      <c r="E234" s="2" t="s">
        <v>60</v>
      </c>
    </row>
    <row r="235" spans="1:5" x14ac:dyDescent="0.25">
      <c r="A235">
        <v>4243</v>
      </c>
      <c r="B235" s="2" t="s">
        <v>326</v>
      </c>
      <c r="C235" s="2" t="s">
        <v>167</v>
      </c>
      <c r="D235" s="2" t="s">
        <v>168</v>
      </c>
      <c r="E235" s="2" t="s">
        <v>169</v>
      </c>
    </row>
    <row r="236" spans="1:5" x14ac:dyDescent="0.25">
      <c r="A236">
        <v>4029</v>
      </c>
      <c r="B236" s="2" t="s">
        <v>100</v>
      </c>
      <c r="C236" s="2" t="s">
        <v>101</v>
      </c>
      <c r="D236" s="2" t="s">
        <v>39</v>
      </c>
      <c r="E236" s="2" t="s">
        <v>28</v>
      </c>
    </row>
    <row r="237" spans="1:5" x14ac:dyDescent="0.25">
      <c r="A237">
        <v>4072</v>
      </c>
      <c r="B237" s="2" t="s">
        <v>140</v>
      </c>
      <c r="C237" s="2" t="s">
        <v>141</v>
      </c>
      <c r="D237" s="2" t="s">
        <v>33</v>
      </c>
      <c r="E237" s="2" t="s">
        <v>60</v>
      </c>
    </row>
    <row r="238" spans="1:5" x14ac:dyDescent="0.25">
      <c r="A238">
        <v>4070</v>
      </c>
      <c r="B238" s="2" t="s">
        <v>136</v>
      </c>
      <c r="C238" s="2" t="s">
        <v>44</v>
      </c>
      <c r="D238" s="2" t="s">
        <v>45</v>
      </c>
      <c r="E238" s="2" t="s">
        <v>60</v>
      </c>
    </row>
    <row r="239" spans="1:5" x14ac:dyDescent="0.25">
      <c r="A239">
        <v>4186</v>
      </c>
      <c r="B239" s="2" t="s">
        <v>269</v>
      </c>
      <c r="C239" s="2" t="s">
        <v>32</v>
      </c>
      <c r="D239" s="2" t="s">
        <v>33</v>
      </c>
      <c r="E239" s="2" t="s">
        <v>60</v>
      </c>
    </row>
    <row r="240" spans="1:5" x14ac:dyDescent="0.25">
      <c r="A240">
        <v>4245</v>
      </c>
      <c r="B240" s="2" t="s">
        <v>328</v>
      </c>
      <c r="C240" s="2" t="s">
        <v>183</v>
      </c>
      <c r="D240" s="2" t="s">
        <v>33</v>
      </c>
      <c r="E240" s="2" t="s">
        <v>60</v>
      </c>
    </row>
    <row r="241" spans="1:5" x14ac:dyDescent="0.25">
      <c r="A241">
        <v>4191</v>
      </c>
      <c r="B241" s="2" t="s">
        <v>274</v>
      </c>
      <c r="C241" s="2" t="s">
        <v>173</v>
      </c>
      <c r="D241" s="2" t="s">
        <v>174</v>
      </c>
      <c r="E241" s="2" t="s">
        <v>175</v>
      </c>
    </row>
    <row r="242" spans="1:5" x14ac:dyDescent="0.25">
      <c r="A242">
        <v>4040</v>
      </c>
      <c r="B242" s="2" t="s">
        <v>117</v>
      </c>
      <c r="C242" s="2" t="s">
        <v>47</v>
      </c>
      <c r="D242" s="2" t="s">
        <v>48</v>
      </c>
      <c r="E242" s="2" t="s">
        <v>49</v>
      </c>
    </row>
    <row r="243" spans="1:5" x14ac:dyDescent="0.25">
      <c r="A243">
        <v>4042</v>
      </c>
      <c r="B243" s="2" t="s">
        <v>121</v>
      </c>
      <c r="C243" s="2" t="s">
        <v>64</v>
      </c>
      <c r="D243" s="2" t="s">
        <v>65</v>
      </c>
      <c r="E243" s="2" t="s">
        <v>49</v>
      </c>
    </row>
    <row r="244" spans="1:5" x14ac:dyDescent="0.25">
      <c r="A244">
        <v>4224</v>
      </c>
      <c r="B244" s="2" t="s">
        <v>307</v>
      </c>
      <c r="C244" s="2" t="s">
        <v>183</v>
      </c>
      <c r="D244" s="2" t="s">
        <v>33</v>
      </c>
      <c r="E244" s="2" t="s">
        <v>60</v>
      </c>
    </row>
    <row r="245" spans="1:5" x14ac:dyDescent="0.25">
      <c r="A245">
        <v>4060</v>
      </c>
      <c r="B245" s="2" t="s">
        <v>134</v>
      </c>
      <c r="C245" s="2" t="s">
        <v>115</v>
      </c>
      <c r="D245" s="2" t="s">
        <v>107</v>
      </c>
      <c r="E245" s="2" t="s">
        <v>49</v>
      </c>
    </row>
    <row r="246" spans="1:5" x14ac:dyDescent="0.25">
      <c r="A246">
        <v>4215</v>
      </c>
      <c r="B246" s="2" t="s">
        <v>298</v>
      </c>
      <c r="C246" s="2" t="s">
        <v>167</v>
      </c>
      <c r="D246" s="2" t="s">
        <v>168</v>
      </c>
      <c r="E246" s="2" t="s">
        <v>169</v>
      </c>
    </row>
    <row r="247" spans="1:5" x14ac:dyDescent="0.25">
      <c r="A247">
        <v>4017</v>
      </c>
      <c r="B247" s="2" t="s">
        <v>74</v>
      </c>
      <c r="C247" s="2" t="s">
        <v>75</v>
      </c>
      <c r="D247" s="2" t="s">
        <v>39</v>
      </c>
      <c r="E247" s="2" t="s">
        <v>28</v>
      </c>
    </row>
    <row r="248" spans="1:5" x14ac:dyDescent="0.25">
      <c r="A248">
        <v>4226</v>
      </c>
      <c r="B248" s="2" t="s">
        <v>309</v>
      </c>
      <c r="C248" s="2" t="s">
        <v>35</v>
      </c>
      <c r="D248" s="2" t="s">
        <v>36</v>
      </c>
      <c r="E248" s="2" t="s">
        <v>60</v>
      </c>
    </row>
    <row r="249" spans="1:5" x14ac:dyDescent="0.25">
      <c r="A249">
        <v>4095</v>
      </c>
      <c r="B249" s="2" t="s">
        <v>177</v>
      </c>
      <c r="C249" s="2" t="s">
        <v>44</v>
      </c>
      <c r="D249" s="2" t="s">
        <v>45</v>
      </c>
      <c r="E249" s="2" t="s">
        <v>60</v>
      </c>
    </row>
    <row r="250" spans="1:5" x14ac:dyDescent="0.25">
      <c r="A250">
        <v>4018</v>
      </c>
      <c r="B250" s="2" t="s">
        <v>77</v>
      </c>
      <c r="C250" s="2" t="s">
        <v>78</v>
      </c>
      <c r="D250" s="2" t="s">
        <v>39</v>
      </c>
      <c r="E250" s="2" t="s">
        <v>28</v>
      </c>
    </row>
    <row r="251" spans="1:5" x14ac:dyDescent="0.25">
      <c r="A251">
        <v>4069</v>
      </c>
      <c r="B251" s="2" t="s">
        <v>135</v>
      </c>
      <c r="C251" s="2" t="s">
        <v>47</v>
      </c>
      <c r="D251" s="2" t="s">
        <v>48</v>
      </c>
      <c r="E251" s="2" t="s">
        <v>49</v>
      </c>
    </row>
    <row r="252" spans="1:5" x14ac:dyDescent="0.25">
      <c r="A252">
        <v>4183</v>
      </c>
      <c r="B252" s="2" t="s">
        <v>266</v>
      </c>
      <c r="C252" s="2" t="s">
        <v>35</v>
      </c>
      <c r="D252" s="2" t="s">
        <v>36</v>
      </c>
      <c r="E252" s="2" t="s">
        <v>60</v>
      </c>
    </row>
    <row r="253" spans="1:5" x14ac:dyDescent="0.25">
      <c r="A253">
        <v>4181</v>
      </c>
      <c r="B253" s="2" t="s">
        <v>264</v>
      </c>
      <c r="C253" s="2" t="s">
        <v>44</v>
      </c>
      <c r="D253" s="2" t="s">
        <v>45</v>
      </c>
      <c r="E253" s="2" t="s">
        <v>60</v>
      </c>
    </row>
    <row r="254" spans="1:5" x14ac:dyDescent="0.25">
      <c r="A254">
        <v>4164</v>
      </c>
      <c r="B254" s="2" t="s">
        <v>247</v>
      </c>
      <c r="C254" s="2" t="s">
        <v>165</v>
      </c>
      <c r="D254" s="2" t="s">
        <v>24</v>
      </c>
      <c r="E254" s="2" t="s">
        <v>28</v>
      </c>
    </row>
    <row r="255" spans="1:5" x14ac:dyDescent="0.25">
      <c r="A255">
        <v>4187</v>
      </c>
      <c r="B255" s="2" t="s">
        <v>270</v>
      </c>
      <c r="C255" s="2" t="s">
        <v>35</v>
      </c>
      <c r="D255" s="2" t="s">
        <v>36</v>
      </c>
      <c r="E255" s="2" t="s">
        <v>60</v>
      </c>
    </row>
    <row r="256" spans="1:5" x14ac:dyDescent="0.25">
      <c r="A256">
        <v>4185</v>
      </c>
      <c r="B256" s="2" t="s">
        <v>268</v>
      </c>
      <c r="C256" s="2" t="s">
        <v>173</v>
      </c>
      <c r="D256" s="2" t="s">
        <v>174</v>
      </c>
      <c r="E256" s="2" t="s">
        <v>175</v>
      </c>
    </row>
    <row r="257" spans="1:5" x14ac:dyDescent="0.25">
      <c r="A257">
        <v>4169</v>
      </c>
      <c r="B257" s="2" t="s">
        <v>252</v>
      </c>
      <c r="C257" s="2" t="s">
        <v>173</v>
      </c>
      <c r="D257" s="2" t="s">
        <v>174</v>
      </c>
      <c r="E257" s="2" t="s">
        <v>175</v>
      </c>
    </row>
    <row r="258" spans="1:5" x14ac:dyDescent="0.25">
      <c r="A258">
        <v>4087</v>
      </c>
      <c r="B258" s="2" t="s">
        <v>158</v>
      </c>
      <c r="C258" s="2" t="s">
        <v>149</v>
      </c>
      <c r="D258" s="2" t="s">
        <v>33</v>
      </c>
      <c r="E258" s="2" t="s">
        <v>60</v>
      </c>
    </row>
    <row r="259" spans="1:5" x14ac:dyDescent="0.25">
      <c r="A259">
        <v>4093</v>
      </c>
      <c r="B259" s="2" t="s">
        <v>166</v>
      </c>
      <c r="C259" s="2" t="s">
        <v>167</v>
      </c>
      <c r="D259" s="2" t="s">
        <v>168</v>
      </c>
      <c r="E259" s="2" t="s">
        <v>169</v>
      </c>
    </row>
    <row r="260" spans="1:5" x14ac:dyDescent="0.25">
      <c r="A260">
        <v>4144</v>
      </c>
      <c r="B260" s="2" t="s">
        <v>227</v>
      </c>
      <c r="C260" s="2" t="s">
        <v>183</v>
      </c>
      <c r="D260" s="2" t="s">
        <v>33</v>
      </c>
      <c r="E260" s="2" t="s">
        <v>60</v>
      </c>
    </row>
    <row r="261" spans="1:5" x14ac:dyDescent="0.25">
      <c r="A261">
        <v>4205</v>
      </c>
      <c r="B261" s="2" t="s">
        <v>288</v>
      </c>
      <c r="C261" s="2" t="s">
        <v>35</v>
      </c>
      <c r="D261" s="2" t="s">
        <v>36</v>
      </c>
      <c r="E261" s="2" t="s">
        <v>60</v>
      </c>
    </row>
    <row r="262" spans="1:5" x14ac:dyDescent="0.25">
      <c r="A262">
        <v>4216</v>
      </c>
      <c r="B262" s="2" t="s">
        <v>299</v>
      </c>
      <c r="C262" s="2" t="s">
        <v>183</v>
      </c>
      <c r="D262" s="2" t="s">
        <v>33</v>
      </c>
      <c r="E262" s="2" t="s">
        <v>60</v>
      </c>
    </row>
    <row r="263" spans="1:5" x14ac:dyDescent="0.25">
      <c r="A263">
        <v>4057</v>
      </c>
      <c r="B263" s="2" t="s">
        <v>133</v>
      </c>
      <c r="C263" s="2" t="s">
        <v>97</v>
      </c>
      <c r="D263" s="2" t="s">
        <v>48</v>
      </c>
      <c r="E263" s="2" t="s">
        <v>49</v>
      </c>
    </row>
    <row r="264" spans="1:5" x14ac:dyDescent="0.25">
      <c r="A264">
        <v>4109</v>
      </c>
      <c r="B264" s="2" t="s">
        <v>192</v>
      </c>
      <c r="C264" s="2" t="s">
        <v>167</v>
      </c>
      <c r="D264" s="2" t="s">
        <v>168</v>
      </c>
      <c r="E264" s="2" t="s">
        <v>169</v>
      </c>
    </row>
    <row r="265" spans="1:5" x14ac:dyDescent="0.25">
      <c r="A265">
        <v>4035</v>
      </c>
      <c r="B265" s="2" t="s">
        <v>111</v>
      </c>
      <c r="C265" s="2" t="s">
        <v>47</v>
      </c>
      <c r="D265" s="2" t="s">
        <v>48</v>
      </c>
      <c r="E265" s="2" t="s">
        <v>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B865-A9B5-420A-887E-71C25DA86A72}">
  <dimension ref="A1:AA2726"/>
  <sheetViews>
    <sheetView topLeftCell="A2" workbookViewId="0">
      <selection activeCell="M5" sqref="M5"/>
    </sheetView>
  </sheetViews>
  <sheetFormatPr defaultRowHeight="15" x14ac:dyDescent="0.25"/>
  <cols>
    <col min="1" max="1" width="19.5703125" bestFit="1" customWidth="1"/>
    <col min="2" max="2" width="13.140625" bestFit="1" customWidth="1"/>
    <col min="3" max="3" width="20.85546875" bestFit="1" customWidth="1"/>
    <col min="4" max="4" width="20.28515625" bestFit="1" customWidth="1"/>
    <col min="5" max="5" width="5.5703125" bestFit="1" customWidth="1"/>
    <col min="6" max="6" width="14.7109375" bestFit="1" customWidth="1"/>
    <col min="7" max="7" width="30.42578125" bestFit="1" customWidth="1"/>
    <col min="8" max="8" width="20" bestFit="1" customWidth="1"/>
    <col min="9" max="10" width="17.140625" bestFit="1" customWidth="1"/>
    <col min="11" max="11" width="12.7109375" bestFit="1" customWidth="1"/>
    <col min="12" max="12" width="18.28515625" bestFit="1" customWidth="1"/>
    <col min="13" max="13" width="17.7109375" bestFit="1" customWidth="1"/>
    <col min="14" max="14" width="17" bestFit="1" customWidth="1"/>
    <col min="15" max="15" width="21.85546875" bestFit="1" customWidth="1"/>
    <col min="16" max="16" width="22.42578125" bestFit="1" customWidth="1"/>
    <col min="17" max="17" width="24.140625" bestFit="1" customWidth="1"/>
    <col min="18" max="18" width="20" bestFit="1" customWidth="1"/>
    <col min="19" max="19" width="18.85546875" bestFit="1" customWidth="1"/>
    <col min="20" max="20" width="16.5703125" bestFit="1" customWidth="1"/>
    <col min="21" max="21" width="17.42578125" bestFit="1" customWidth="1"/>
    <col min="22" max="22" width="13.140625" bestFit="1" customWidth="1"/>
    <col min="23" max="23" width="17.7109375" customWidth="1"/>
    <col min="24" max="25" width="10.42578125" style="3" bestFit="1" customWidth="1"/>
    <col min="26" max="26" width="9.140625" style="2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361</v>
      </c>
      <c r="X1" s="3" t="s">
        <v>362</v>
      </c>
      <c r="Y1" s="3" t="s">
        <v>363</v>
      </c>
      <c r="Z1" s="2" t="s">
        <v>364</v>
      </c>
      <c r="AA1" t="s">
        <v>369</v>
      </c>
    </row>
    <row r="2" spans="1:27" x14ac:dyDescent="0.25">
      <c r="A2" s="1">
        <v>43101</v>
      </c>
      <c r="B2">
        <v>10411</v>
      </c>
      <c r="C2" s="2" t="s">
        <v>22</v>
      </c>
      <c r="D2" s="2" t="s">
        <v>23</v>
      </c>
      <c r="E2" s="2" t="s">
        <v>24</v>
      </c>
      <c r="F2">
        <v>4012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>
        <v>1254.03</v>
      </c>
      <c r="M2">
        <v>1</v>
      </c>
      <c r="N2">
        <v>2.2000000000000002</v>
      </c>
      <c r="O2">
        <v>6500948</v>
      </c>
      <c r="P2" s="2" t="s">
        <v>29</v>
      </c>
      <c r="Q2" s="2" t="s">
        <v>23</v>
      </c>
      <c r="R2" s="2" t="s">
        <v>30</v>
      </c>
      <c r="S2">
        <v>3</v>
      </c>
      <c r="T2" s="1">
        <v>43102</v>
      </c>
      <c r="U2" s="1">
        <v>43104</v>
      </c>
      <c r="V2" s="2"/>
      <c r="W2" s="1">
        <f>fNotasFiscais[[#This Row],[Data da Coleta]]+fNotasFiscais[[#This Row],[Prazo Contratado]]</f>
        <v>43105</v>
      </c>
      <c r="X2" s="3">
        <f>IF(fNotasFiscais[[#This Row],[Data da Entrega]]&gt;fNotasFiscais[[#This Row],[Data Contratada]],0,1)</f>
        <v>1</v>
      </c>
      <c r="Y2" s="3">
        <f>IF(fNotasFiscais[[#This Row],[Ocorrência]]="",1,0)</f>
        <v>1</v>
      </c>
      <c r="Z2" s="2">
        <f>fNotasFiscais[[#This Row],[On Time]]*fNotasFiscais[[#This Row],[In Full]]</f>
        <v>1</v>
      </c>
      <c r="AA2">
        <f>IF(fNotasFiscais[[#This Row],[Nota Fiscal]]&lt;&gt;"",1,0)</f>
        <v>1</v>
      </c>
    </row>
    <row r="3" spans="1:27" x14ac:dyDescent="0.25">
      <c r="A3" s="1">
        <v>43131</v>
      </c>
      <c r="B3">
        <v>10542</v>
      </c>
      <c r="C3" s="2" t="s">
        <v>22</v>
      </c>
      <c r="D3" s="2" t="s">
        <v>23</v>
      </c>
      <c r="E3" s="2" t="s">
        <v>24</v>
      </c>
      <c r="F3">
        <v>4012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27</v>
      </c>
      <c r="L3">
        <v>6832.7</v>
      </c>
      <c r="M3">
        <v>4</v>
      </c>
      <c r="N3">
        <v>60.216000000000001</v>
      </c>
      <c r="O3">
        <v>6500948</v>
      </c>
      <c r="P3" s="2" t="s">
        <v>29</v>
      </c>
      <c r="Q3" s="2" t="s">
        <v>23</v>
      </c>
      <c r="R3" s="2" t="s">
        <v>30</v>
      </c>
      <c r="S3">
        <v>11</v>
      </c>
      <c r="T3" s="1">
        <v>43132</v>
      </c>
      <c r="U3" s="1">
        <v>43137</v>
      </c>
      <c r="V3" s="2"/>
      <c r="W3" s="1">
        <f>fNotasFiscais[[#This Row],[Data da Coleta]]+fNotasFiscais[[#This Row],[Prazo Contratado]]</f>
        <v>43143</v>
      </c>
      <c r="X3" s="3">
        <f>IF(fNotasFiscais[[#This Row],[Data da Entrega]]&gt;fNotasFiscais[[#This Row],[Data Contratada]],0,1)</f>
        <v>1</v>
      </c>
      <c r="Y3" s="3">
        <f>IF(fNotasFiscais[[#This Row],[Ocorrência]]="",1,0)</f>
        <v>1</v>
      </c>
      <c r="Z3" s="2">
        <f>fNotasFiscais[[#This Row],[On Time]]*fNotasFiscais[[#This Row],[In Full]]</f>
        <v>1</v>
      </c>
      <c r="AA3">
        <f>IF(fNotasFiscais[[#This Row],[Nota Fiscal]]&lt;&gt;"",1,0)</f>
        <v>1</v>
      </c>
    </row>
    <row r="4" spans="1:27" x14ac:dyDescent="0.25">
      <c r="A4" s="1">
        <v>43140</v>
      </c>
      <c r="B4">
        <v>10573</v>
      </c>
      <c r="C4" s="2" t="s">
        <v>31</v>
      </c>
      <c r="D4" s="2" t="s">
        <v>32</v>
      </c>
      <c r="E4" s="2" t="s">
        <v>33</v>
      </c>
      <c r="F4">
        <v>4012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27</v>
      </c>
      <c r="L4">
        <v>362.39</v>
      </c>
      <c r="M4">
        <v>1</v>
      </c>
      <c r="N4">
        <v>13.42</v>
      </c>
      <c r="O4">
        <v>6500948</v>
      </c>
      <c r="P4" s="2" t="s">
        <v>29</v>
      </c>
      <c r="Q4" s="2" t="s">
        <v>23</v>
      </c>
      <c r="R4" s="2" t="s">
        <v>30</v>
      </c>
      <c r="S4">
        <v>9</v>
      </c>
      <c r="T4" s="1">
        <v>43140</v>
      </c>
      <c r="U4" s="1">
        <v>43141</v>
      </c>
      <c r="V4" s="2"/>
      <c r="W4" s="1">
        <f>fNotasFiscais[[#This Row],[Data da Coleta]]+fNotasFiscais[[#This Row],[Prazo Contratado]]</f>
        <v>43149</v>
      </c>
      <c r="X4" s="3">
        <f>IF(fNotasFiscais[[#This Row],[Data da Entrega]]&gt;fNotasFiscais[[#This Row],[Data Contratada]],0,1)</f>
        <v>1</v>
      </c>
      <c r="Y4" s="3">
        <f>IF(fNotasFiscais[[#This Row],[Ocorrência]]="",1,0)</f>
        <v>1</v>
      </c>
      <c r="Z4" s="2">
        <f>fNotasFiscais[[#This Row],[On Time]]*fNotasFiscais[[#This Row],[In Full]]</f>
        <v>1</v>
      </c>
      <c r="AA4">
        <f>IF(fNotasFiscais[[#This Row],[Nota Fiscal]]&lt;&gt;"",1,0)</f>
        <v>1</v>
      </c>
    </row>
    <row r="5" spans="1:27" x14ac:dyDescent="0.25">
      <c r="A5" s="1">
        <v>43103</v>
      </c>
      <c r="B5">
        <v>10412</v>
      </c>
      <c r="C5" s="2" t="s">
        <v>34</v>
      </c>
      <c r="D5" s="2" t="s">
        <v>35</v>
      </c>
      <c r="E5" s="2" t="s">
        <v>36</v>
      </c>
      <c r="F5">
        <v>4013</v>
      </c>
      <c r="G5" s="2" t="s">
        <v>37</v>
      </c>
      <c r="H5" s="2" t="s">
        <v>38</v>
      </c>
      <c r="I5" s="2" t="s">
        <v>39</v>
      </c>
      <c r="J5" s="2" t="s">
        <v>28</v>
      </c>
      <c r="K5" s="2" t="s">
        <v>39</v>
      </c>
      <c r="L5">
        <v>4217.6499999999996</v>
      </c>
      <c r="M5">
        <v>3</v>
      </c>
      <c r="N5">
        <v>12.538</v>
      </c>
      <c r="O5">
        <v>6500948</v>
      </c>
      <c r="P5" s="2" t="s">
        <v>29</v>
      </c>
      <c r="Q5" s="2" t="s">
        <v>23</v>
      </c>
      <c r="R5" s="2" t="s">
        <v>30</v>
      </c>
      <c r="S5">
        <v>6</v>
      </c>
      <c r="T5" s="1">
        <v>43104</v>
      </c>
      <c r="U5" s="1">
        <v>43110</v>
      </c>
      <c r="V5" s="2"/>
      <c r="W5" s="1">
        <f>fNotasFiscais[[#This Row],[Data da Coleta]]+fNotasFiscais[[#This Row],[Prazo Contratado]]</f>
        <v>43110</v>
      </c>
      <c r="X5" s="3">
        <f>IF(fNotasFiscais[[#This Row],[Data da Entrega]]&gt;fNotasFiscais[[#This Row],[Data Contratada]],0,1)</f>
        <v>1</v>
      </c>
      <c r="Y5" s="3">
        <f>IF(fNotasFiscais[[#This Row],[Ocorrência]]="",1,0)</f>
        <v>1</v>
      </c>
      <c r="Z5" s="2">
        <f>fNotasFiscais[[#This Row],[On Time]]*fNotasFiscais[[#This Row],[In Full]]</f>
        <v>1</v>
      </c>
      <c r="AA5">
        <f>IF(fNotasFiscais[[#This Row],[Nota Fiscal]]&lt;&gt;"",1,0)</f>
        <v>1</v>
      </c>
    </row>
    <row r="6" spans="1:27" x14ac:dyDescent="0.25">
      <c r="A6" s="1">
        <v>43105</v>
      </c>
      <c r="B6">
        <v>10417</v>
      </c>
      <c r="C6" s="2" t="s">
        <v>40</v>
      </c>
      <c r="D6" s="2" t="s">
        <v>41</v>
      </c>
      <c r="E6" s="2" t="s">
        <v>33</v>
      </c>
      <c r="F6">
        <v>4013</v>
      </c>
      <c r="G6" s="2" t="s">
        <v>37</v>
      </c>
      <c r="H6" s="2" t="s">
        <v>38</v>
      </c>
      <c r="I6" s="2" t="s">
        <v>39</v>
      </c>
      <c r="J6" s="2" t="s">
        <v>28</v>
      </c>
      <c r="K6" s="2" t="s">
        <v>39</v>
      </c>
      <c r="L6">
        <v>136.1</v>
      </c>
      <c r="M6">
        <v>1</v>
      </c>
      <c r="N6">
        <v>0.44</v>
      </c>
      <c r="O6">
        <v>6500948</v>
      </c>
      <c r="P6" s="2" t="s">
        <v>29</v>
      </c>
      <c r="Q6" s="2" t="s">
        <v>23</v>
      </c>
      <c r="R6" s="2" t="s">
        <v>30</v>
      </c>
      <c r="S6">
        <v>12</v>
      </c>
      <c r="T6" s="1">
        <v>43105</v>
      </c>
      <c r="U6" s="1">
        <v>43110</v>
      </c>
      <c r="V6" s="2" t="s">
        <v>42</v>
      </c>
      <c r="W6" s="1">
        <f>fNotasFiscais[[#This Row],[Data da Coleta]]+fNotasFiscais[[#This Row],[Prazo Contratado]]</f>
        <v>43117</v>
      </c>
      <c r="X6" s="3">
        <f>IF(fNotasFiscais[[#This Row],[Data da Entrega]]&gt;fNotasFiscais[[#This Row],[Data Contratada]],0,1)</f>
        <v>1</v>
      </c>
      <c r="Y6" s="3">
        <f>IF(fNotasFiscais[[#This Row],[Ocorrência]]="",1,0)</f>
        <v>0</v>
      </c>
      <c r="Z6" s="2">
        <f>fNotasFiscais[[#This Row],[On Time]]*fNotasFiscais[[#This Row],[In Full]]</f>
        <v>0</v>
      </c>
      <c r="AA6">
        <f>IF(fNotasFiscais[[#This Row],[Nota Fiscal]]&lt;&gt;"",1,0)</f>
        <v>1</v>
      </c>
    </row>
    <row r="7" spans="1:27" x14ac:dyDescent="0.25">
      <c r="A7" s="1">
        <v>43146</v>
      </c>
      <c r="B7">
        <v>10597</v>
      </c>
      <c r="C7" s="2" t="s">
        <v>43</v>
      </c>
      <c r="D7" s="2" t="s">
        <v>44</v>
      </c>
      <c r="E7" s="2" t="s">
        <v>45</v>
      </c>
      <c r="F7">
        <v>4058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48</v>
      </c>
      <c r="L7">
        <v>1121.1199999999999</v>
      </c>
      <c r="M7">
        <v>4</v>
      </c>
      <c r="N7">
        <v>4.74</v>
      </c>
      <c r="O7">
        <v>6100231</v>
      </c>
      <c r="P7" s="2" t="s">
        <v>50</v>
      </c>
      <c r="Q7" s="2" t="s">
        <v>51</v>
      </c>
      <c r="R7" s="2" t="s">
        <v>30</v>
      </c>
      <c r="S7">
        <v>12</v>
      </c>
      <c r="T7" s="1">
        <v>43147</v>
      </c>
      <c r="U7" s="1">
        <v>43150</v>
      </c>
      <c r="V7" s="2"/>
      <c r="W7" s="1">
        <f>fNotasFiscais[[#This Row],[Data da Coleta]]+fNotasFiscais[[#This Row],[Prazo Contratado]]</f>
        <v>43159</v>
      </c>
      <c r="X7" s="3">
        <f>IF(fNotasFiscais[[#This Row],[Data da Entrega]]&gt;fNotasFiscais[[#This Row],[Data Contratada]],0,1)</f>
        <v>1</v>
      </c>
      <c r="Y7" s="3">
        <f>IF(fNotasFiscais[[#This Row],[Ocorrência]]="",1,0)</f>
        <v>1</v>
      </c>
      <c r="Z7" s="2">
        <f>fNotasFiscais[[#This Row],[On Time]]*fNotasFiscais[[#This Row],[In Full]]</f>
        <v>1</v>
      </c>
      <c r="AA7">
        <f>IF(fNotasFiscais[[#This Row],[Nota Fiscal]]&lt;&gt;"",1,0)</f>
        <v>1</v>
      </c>
    </row>
    <row r="8" spans="1:27" x14ac:dyDescent="0.25">
      <c r="A8" s="1">
        <v>43146</v>
      </c>
      <c r="B8">
        <v>10598</v>
      </c>
      <c r="C8" s="2" t="s">
        <v>52</v>
      </c>
      <c r="D8" s="2" t="s">
        <v>53</v>
      </c>
      <c r="E8" s="2" t="s">
        <v>33</v>
      </c>
      <c r="F8">
        <v>4058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48</v>
      </c>
      <c r="L8">
        <v>263.89</v>
      </c>
      <c r="M8">
        <v>1</v>
      </c>
      <c r="N8">
        <v>0.98299999999999998</v>
      </c>
      <c r="O8">
        <v>6100231</v>
      </c>
      <c r="P8" s="2" t="s">
        <v>50</v>
      </c>
      <c r="Q8" s="2" t="s">
        <v>51</v>
      </c>
      <c r="R8" s="2" t="s">
        <v>30</v>
      </c>
      <c r="S8">
        <v>7</v>
      </c>
      <c r="T8" s="1">
        <v>43147</v>
      </c>
      <c r="U8" s="1">
        <v>43150</v>
      </c>
      <c r="V8" s="2"/>
      <c r="W8" s="1">
        <f>fNotasFiscais[[#This Row],[Data da Coleta]]+fNotasFiscais[[#This Row],[Prazo Contratado]]</f>
        <v>43154</v>
      </c>
      <c r="X8" s="3">
        <f>IF(fNotasFiscais[[#This Row],[Data da Entrega]]&gt;fNotasFiscais[[#This Row],[Data Contratada]],0,1)</f>
        <v>1</v>
      </c>
      <c r="Y8" s="3">
        <f>IF(fNotasFiscais[[#This Row],[Ocorrência]]="",1,0)</f>
        <v>1</v>
      </c>
      <c r="Z8" s="2">
        <f>fNotasFiscais[[#This Row],[On Time]]*fNotasFiscais[[#This Row],[In Full]]</f>
        <v>1</v>
      </c>
      <c r="AA8">
        <f>IF(fNotasFiscais[[#This Row],[Nota Fiscal]]&lt;&gt;"",1,0)</f>
        <v>1</v>
      </c>
    </row>
    <row r="9" spans="1:27" x14ac:dyDescent="0.25">
      <c r="A9" s="1">
        <v>43146</v>
      </c>
      <c r="B9">
        <v>10600</v>
      </c>
      <c r="C9" s="2" t="s">
        <v>31</v>
      </c>
      <c r="D9" s="2" t="s">
        <v>32</v>
      </c>
      <c r="E9" s="2" t="s">
        <v>33</v>
      </c>
      <c r="F9">
        <v>4058</v>
      </c>
      <c r="G9" s="2" t="s">
        <v>46</v>
      </c>
      <c r="H9" s="2" t="s">
        <v>47</v>
      </c>
      <c r="I9" s="2" t="s">
        <v>48</v>
      </c>
      <c r="J9" s="2" t="s">
        <v>49</v>
      </c>
      <c r="K9" s="2" t="s">
        <v>48</v>
      </c>
      <c r="L9">
        <v>979.49</v>
      </c>
      <c r="M9">
        <v>1</v>
      </c>
      <c r="N9">
        <v>1.1000000000000001</v>
      </c>
      <c r="O9">
        <v>6100231</v>
      </c>
      <c r="P9" s="2" t="s">
        <v>50</v>
      </c>
      <c r="Q9" s="2" t="s">
        <v>51</v>
      </c>
      <c r="R9" s="2" t="s">
        <v>30</v>
      </c>
      <c r="S9">
        <v>11</v>
      </c>
      <c r="T9" s="1">
        <v>43147</v>
      </c>
      <c r="U9" s="1">
        <v>43155</v>
      </c>
      <c r="V9" s="2"/>
      <c r="W9" s="1">
        <f>fNotasFiscais[[#This Row],[Data da Coleta]]+fNotasFiscais[[#This Row],[Prazo Contratado]]</f>
        <v>43158</v>
      </c>
      <c r="X9" s="3">
        <f>IF(fNotasFiscais[[#This Row],[Data da Entrega]]&gt;fNotasFiscais[[#This Row],[Data Contratada]],0,1)</f>
        <v>1</v>
      </c>
      <c r="Y9" s="3">
        <f>IF(fNotasFiscais[[#This Row],[Ocorrência]]="",1,0)</f>
        <v>1</v>
      </c>
      <c r="Z9" s="2">
        <f>fNotasFiscais[[#This Row],[On Time]]*fNotasFiscais[[#This Row],[In Full]]</f>
        <v>1</v>
      </c>
      <c r="AA9">
        <f>IF(fNotasFiscais[[#This Row],[Nota Fiscal]]&lt;&gt;"",1,0)</f>
        <v>1</v>
      </c>
    </row>
    <row r="10" spans="1:27" x14ac:dyDescent="0.25">
      <c r="A10" s="1">
        <v>43105</v>
      </c>
      <c r="B10">
        <v>10424</v>
      </c>
      <c r="C10" s="2" t="s">
        <v>52</v>
      </c>
      <c r="D10" s="2" t="s">
        <v>53</v>
      </c>
      <c r="E10" s="2" t="s">
        <v>33</v>
      </c>
      <c r="F10">
        <v>4013</v>
      </c>
      <c r="G10" s="2" t="s">
        <v>37</v>
      </c>
      <c r="H10" s="2" t="s">
        <v>38</v>
      </c>
      <c r="I10" s="2" t="s">
        <v>39</v>
      </c>
      <c r="J10" s="2" t="s">
        <v>28</v>
      </c>
      <c r="K10" s="2" t="s">
        <v>39</v>
      </c>
      <c r="L10">
        <v>1421.58</v>
      </c>
      <c r="M10">
        <v>1</v>
      </c>
      <c r="N10">
        <v>1.1200000000000001</v>
      </c>
      <c r="O10">
        <v>6500948</v>
      </c>
      <c r="P10" s="2" t="s">
        <v>29</v>
      </c>
      <c r="Q10" s="2" t="s">
        <v>23</v>
      </c>
      <c r="R10" s="2" t="s">
        <v>30</v>
      </c>
      <c r="S10">
        <v>2</v>
      </c>
      <c r="T10" s="1">
        <v>43106</v>
      </c>
      <c r="U10" s="1">
        <v>43112</v>
      </c>
      <c r="V10" s="2" t="s">
        <v>42</v>
      </c>
      <c r="W10" s="1">
        <f>fNotasFiscais[[#This Row],[Data da Coleta]]+fNotasFiscais[[#This Row],[Prazo Contratado]]</f>
        <v>43108</v>
      </c>
      <c r="X10" s="3">
        <f>IF(fNotasFiscais[[#This Row],[Data da Entrega]]&gt;fNotasFiscais[[#This Row],[Data Contratada]],0,1)</f>
        <v>0</v>
      </c>
      <c r="Y10" s="3">
        <f>IF(fNotasFiscais[[#This Row],[Ocorrência]]="",1,0)</f>
        <v>0</v>
      </c>
      <c r="Z10" s="2">
        <f>fNotasFiscais[[#This Row],[On Time]]*fNotasFiscais[[#This Row],[In Full]]</f>
        <v>0</v>
      </c>
      <c r="AA10">
        <f>IF(fNotasFiscais[[#This Row],[Nota Fiscal]]&lt;&gt;"",1,0)</f>
        <v>1</v>
      </c>
    </row>
    <row r="11" spans="1:27" x14ac:dyDescent="0.25">
      <c r="A11" s="1">
        <v>43105</v>
      </c>
      <c r="B11">
        <v>10425</v>
      </c>
      <c r="C11" s="2" t="s">
        <v>22</v>
      </c>
      <c r="D11" s="2" t="s">
        <v>23</v>
      </c>
      <c r="E11" s="2" t="s">
        <v>24</v>
      </c>
      <c r="F11">
        <v>4013</v>
      </c>
      <c r="G11" s="2" t="s">
        <v>37</v>
      </c>
      <c r="H11" s="2" t="s">
        <v>38</v>
      </c>
      <c r="I11" s="2" t="s">
        <v>39</v>
      </c>
      <c r="J11" s="2" t="s">
        <v>28</v>
      </c>
      <c r="K11" s="2" t="s">
        <v>39</v>
      </c>
      <c r="L11">
        <v>232.1</v>
      </c>
      <c r="M11">
        <v>1</v>
      </c>
      <c r="N11">
        <v>1.1879999999999999</v>
      </c>
      <c r="O11">
        <v>6500948</v>
      </c>
      <c r="P11" s="2" t="s">
        <v>29</v>
      </c>
      <c r="Q11" s="2" t="s">
        <v>23</v>
      </c>
      <c r="R11" s="2" t="s">
        <v>30</v>
      </c>
      <c r="S11">
        <v>1</v>
      </c>
      <c r="T11" s="1">
        <v>43106</v>
      </c>
      <c r="U11" s="1">
        <v>43111</v>
      </c>
      <c r="V11" s="2"/>
      <c r="W11" s="1">
        <f>fNotasFiscais[[#This Row],[Data da Coleta]]+fNotasFiscais[[#This Row],[Prazo Contratado]]</f>
        <v>43107</v>
      </c>
      <c r="X11" s="3">
        <f>IF(fNotasFiscais[[#This Row],[Data da Entrega]]&gt;fNotasFiscais[[#This Row],[Data Contratada]],0,1)</f>
        <v>0</v>
      </c>
      <c r="Y11" s="3">
        <f>IF(fNotasFiscais[[#This Row],[Ocorrência]]="",1,0)</f>
        <v>1</v>
      </c>
      <c r="Z11" s="2">
        <f>fNotasFiscais[[#This Row],[On Time]]*fNotasFiscais[[#This Row],[In Full]]</f>
        <v>0</v>
      </c>
      <c r="AA11">
        <f>IF(fNotasFiscais[[#This Row],[Nota Fiscal]]&lt;&gt;"",1,0)</f>
        <v>1</v>
      </c>
    </row>
    <row r="12" spans="1:27" x14ac:dyDescent="0.25">
      <c r="A12" s="1">
        <v>43108</v>
      </c>
      <c r="B12">
        <v>10438</v>
      </c>
      <c r="C12" s="2" t="s">
        <v>54</v>
      </c>
      <c r="D12" s="2" t="s">
        <v>55</v>
      </c>
      <c r="E12" s="2" t="s">
        <v>56</v>
      </c>
      <c r="F12">
        <v>4013</v>
      </c>
      <c r="G12" s="2" t="s">
        <v>37</v>
      </c>
      <c r="H12" s="2" t="s">
        <v>38</v>
      </c>
      <c r="I12" s="2" t="s">
        <v>39</v>
      </c>
      <c r="J12" s="2" t="s">
        <v>28</v>
      </c>
      <c r="K12" s="2" t="s">
        <v>39</v>
      </c>
      <c r="L12">
        <v>433.05</v>
      </c>
      <c r="M12">
        <v>1</v>
      </c>
      <c r="N12">
        <v>1.1200000000000001</v>
      </c>
      <c r="O12">
        <v>6500948</v>
      </c>
      <c r="P12" s="2" t="s">
        <v>29</v>
      </c>
      <c r="Q12" s="2" t="s">
        <v>23</v>
      </c>
      <c r="R12" s="2" t="s">
        <v>30</v>
      </c>
      <c r="S12">
        <v>11</v>
      </c>
      <c r="T12" s="1">
        <v>43109</v>
      </c>
      <c r="U12" s="1">
        <v>43110</v>
      </c>
      <c r="V12" s="2"/>
      <c r="W12" s="1">
        <f>fNotasFiscais[[#This Row],[Data da Coleta]]+fNotasFiscais[[#This Row],[Prazo Contratado]]</f>
        <v>43120</v>
      </c>
      <c r="X12" s="3">
        <f>IF(fNotasFiscais[[#This Row],[Data da Entrega]]&gt;fNotasFiscais[[#This Row],[Data Contratada]],0,1)</f>
        <v>1</v>
      </c>
      <c r="Y12" s="3">
        <f>IF(fNotasFiscais[[#This Row],[Ocorrência]]="",1,0)</f>
        <v>1</v>
      </c>
      <c r="Z12" s="2">
        <f>fNotasFiscais[[#This Row],[On Time]]*fNotasFiscais[[#This Row],[In Full]]</f>
        <v>1</v>
      </c>
      <c r="AA12">
        <f>IF(fNotasFiscais[[#This Row],[Nota Fiscal]]&lt;&gt;"",1,0)</f>
        <v>1</v>
      </c>
    </row>
    <row r="13" spans="1:27" x14ac:dyDescent="0.25">
      <c r="A13" s="1">
        <v>43110</v>
      </c>
      <c r="B13">
        <v>10443</v>
      </c>
      <c r="C13" s="2" t="s">
        <v>52</v>
      </c>
      <c r="D13" s="2" t="s">
        <v>53</v>
      </c>
      <c r="E13" s="2" t="s">
        <v>33</v>
      </c>
      <c r="F13">
        <v>4013</v>
      </c>
      <c r="G13" s="2" t="s">
        <v>37</v>
      </c>
      <c r="H13" s="2" t="s">
        <v>38</v>
      </c>
      <c r="I13" s="2" t="s">
        <v>39</v>
      </c>
      <c r="J13" s="2" t="s">
        <v>28</v>
      </c>
      <c r="K13" s="2" t="s">
        <v>39</v>
      </c>
      <c r="L13">
        <v>1193.29</v>
      </c>
      <c r="M13">
        <v>1</v>
      </c>
      <c r="N13">
        <v>7.8630000000000004</v>
      </c>
      <c r="O13">
        <v>6500948</v>
      </c>
      <c r="P13" s="2" t="s">
        <v>29</v>
      </c>
      <c r="Q13" s="2" t="s">
        <v>23</v>
      </c>
      <c r="R13" s="2" t="s">
        <v>30</v>
      </c>
      <c r="S13">
        <v>4</v>
      </c>
      <c r="T13" s="1">
        <v>43111</v>
      </c>
      <c r="U13" s="1">
        <v>43120</v>
      </c>
      <c r="V13" s="2"/>
      <c r="W13" s="1">
        <f>fNotasFiscais[[#This Row],[Data da Coleta]]+fNotasFiscais[[#This Row],[Prazo Contratado]]</f>
        <v>43115</v>
      </c>
      <c r="X13" s="3">
        <f>IF(fNotasFiscais[[#This Row],[Data da Entrega]]&gt;fNotasFiscais[[#This Row],[Data Contratada]],0,1)</f>
        <v>0</v>
      </c>
      <c r="Y13" s="3">
        <f>IF(fNotasFiscais[[#This Row],[Ocorrência]]="",1,0)</f>
        <v>1</v>
      </c>
      <c r="Z13" s="2">
        <f>fNotasFiscais[[#This Row],[On Time]]*fNotasFiscais[[#This Row],[In Full]]</f>
        <v>0</v>
      </c>
      <c r="AA13">
        <f>IF(fNotasFiscais[[#This Row],[Nota Fiscal]]&lt;&gt;"",1,0)</f>
        <v>1</v>
      </c>
    </row>
    <row r="14" spans="1:27" x14ac:dyDescent="0.25">
      <c r="A14" s="1">
        <v>43111</v>
      </c>
      <c r="B14">
        <v>10457</v>
      </c>
      <c r="C14" s="2" t="s">
        <v>31</v>
      </c>
      <c r="D14" s="2" t="s">
        <v>32</v>
      </c>
      <c r="E14" s="2" t="s">
        <v>33</v>
      </c>
      <c r="F14">
        <v>4013</v>
      </c>
      <c r="G14" s="2" t="s">
        <v>37</v>
      </c>
      <c r="H14" s="2" t="s">
        <v>38</v>
      </c>
      <c r="I14" s="2" t="s">
        <v>39</v>
      </c>
      <c r="J14" s="2" t="s">
        <v>28</v>
      </c>
      <c r="K14" s="2" t="s">
        <v>39</v>
      </c>
      <c r="L14">
        <v>1952.78</v>
      </c>
      <c r="M14">
        <v>1</v>
      </c>
      <c r="N14">
        <v>4.8419999999999996</v>
      </c>
      <c r="O14">
        <v>6500948</v>
      </c>
      <c r="P14" s="2" t="s">
        <v>29</v>
      </c>
      <c r="Q14" s="2" t="s">
        <v>23</v>
      </c>
      <c r="R14" s="2" t="s">
        <v>30</v>
      </c>
      <c r="S14">
        <v>2</v>
      </c>
      <c r="T14" s="1">
        <v>43112</v>
      </c>
      <c r="U14" s="1">
        <v>43113</v>
      </c>
      <c r="V14" s="2" t="s">
        <v>42</v>
      </c>
      <c r="W14" s="1">
        <f>fNotasFiscais[[#This Row],[Data da Coleta]]+fNotasFiscais[[#This Row],[Prazo Contratado]]</f>
        <v>43114</v>
      </c>
      <c r="X14" s="3">
        <f>IF(fNotasFiscais[[#This Row],[Data da Entrega]]&gt;fNotasFiscais[[#This Row],[Data Contratada]],0,1)</f>
        <v>1</v>
      </c>
      <c r="Y14" s="3">
        <f>IF(fNotasFiscais[[#This Row],[Ocorrência]]="",1,0)</f>
        <v>0</v>
      </c>
      <c r="Z14" s="2">
        <f>fNotasFiscais[[#This Row],[On Time]]*fNotasFiscais[[#This Row],[In Full]]</f>
        <v>0</v>
      </c>
      <c r="AA14">
        <f>IF(fNotasFiscais[[#This Row],[Nota Fiscal]]&lt;&gt;"",1,0)</f>
        <v>1</v>
      </c>
    </row>
    <row r="15" spans="1:27" x14ac:dyDescent="0.25">
      <c r="A15" s="1">
        <v>43111</v>
      </c>
      <c r="B15">
        <v>10458</v>
      </c>
      <c r="C15" s="2" t="s">
        <v>52</v>
      </c>
      <c r="D15" s="2" t="s">
        <v>53</v>
      </c>
      <c r="E15" s="2" t="s">
        <v>33</v>
      </c>
      <c r="F15">
        <v>4013</v>
      </c>
      <c r="G15" s="2" t="s">
        <v>37</v>
      </c>
      <c r="H15" s="2" t="s">
        <v>38</v>
      </c>
      <c r="I15" s="2" t="s">
        <v>39</v>
      </c>
      <c r="J15" s="2" t="s">
        <v>28</v>
      </c>
      <c r="K15" s="2" t="s">
        <v>39</v>
      </c>
      <c r="L15">
        <v>380.64</v>
      </c>
      <c r="M15">
        <v>1</v>
      </c>
      <c r="N15">
        <v>10.56</v>
      </c>
      <c r="O15">
        <v>6500948</v>
      </c>
      <c r="P15" s="2" t="s">
        <v>29</v>
      </c>
      <c r="Q15" s="2" t="s">
        <v>23</v>
      </c>
      <c r="R15" s="2" t="s">
        <v>30</v>
      </c>
      <c r="S15">
        <v>12</v>
      </c>
      <c r="T15" s="1">
        <v>43112</v>
      </c>
      <c r="U15" s="1">
        <v>43116</v>
      </c>
      <c r="V15" s="2" t="s">
        <v>42</v>
      </c>
      <c r="W15" s="1">
        <f>fNotasFiscais[[#This Row],[Data da Coleta]]+fNotasFiscais[[#This Row],[Prazo Contratado]]</f>
        <v>43124</v>
      </c>
      <c r="X15" s="3">
        <f>IF(fNotasFiscais[[#This Row],[Data da Entrega]]&gt;fNotasFiscais[[#This Row],[Data Contratada]],0,1)</f>
        <v>1</v>
      </c>
      <c r="Y15" s="3">
        <f>IF(fNotasFiscais[[#This Row],[Ocorrência]]="",1,0)</f>
        <v>0</v>
      </c>
      <c r="Z15" s="2">
        <f>fNotasFiscais[[#This Row],[On Time]]*fNotasFiscais[[#This Row],[In Full]]</f>
        <v>0</v>
      </c>
      <c r="AA15">
        <f>IF(fNotasFiscais[[#This Row],[Nota Fiscal]]&lt;&gt;"",1,0)</f>
        <v>1</v>
      </c>
    </row>
    <row r="16" spans="1:27" x14ac:dyDescent="0.25">
      <c r="A16" s="1">
        <v>43113</v>
      </c>
      <c r="B16">
        <v>10467</v>
      </c>
      <c r="C16" s="2" t="s">
        <v>43</v>
      </c>
      <c r="D16" s="2" t="s">
        <v>44</v>
      </c>
      <c r="E16" s="2" t="s">
        <v>45</v>
      </c>
      <c r="F16">
        <v>4013</v>
      </c>
      <c r="G16" s="2" t="s">
        <v>37</v>
      </c>
      <c r="H16" s="2" t="s">
        <v>38</v>
      </c>
      <c r="I16" s="2" t="s">
        <v>39</v>
      </c>
      <c r="J16" s="2" t="s">
        <v>28</v>
      </c>
      <c r="K16" s="2" t="s">
        <v>39</v>
      </c>
      <c r="L16">
        <v>880.15</v>
      </c>
      <c r="M16">
        <v>1</v>
      </c>
      <c r="N16">
        <v>11.837999999999999</v>
      </c>
      <c r="O16">
        <v>6500948</v>
      </c>
      <c r="P16" s="2" t="s">
        <v>29</v>
      </c>
      <c r="Q16" s="2" t="s">
        <v>23</v>
      </c>
      <c r="R16" s="2" t="s">
        <v>30</v>
      </c>
      <c r="S16">
        <v>12</v>
      </c>
      <c r="T16" s="1">
        <v>43113</v>
      </c>
      <c r="U16" s="1">
        <v>43122</v>
      </c>
      <c r="V16" s="2"/>
      <c r="W16" s="1">
        <f>fNotasFiscais[[#This Row],[Data da Coleta]]+fNotasFiscais[[#This Row],[Prazo Contratado]]</f>
        <v>43125</v>
      </c>
      <c r="X16" s="3">
        <f>IF(fNotasFiscais[[#This Row],[Data da Entrega]]&gt;fNotasFiscais[[#This Row],[Data Contratada]],0,1)</f>
        <v>1</v>
      </c>
      <c r="Y16" s="3">
        <f>IF(fNotasFiscais[[#This Row],[Ocorrência]]="",1,0)</f>
        <v>1</v>
      </c>
      <c r="Z16" s="2">
        <f>fNotasFiscais[[#This Row],[On Time]]*fNotasFiscais[[#This Row],[In Full]]</f>
        <v>1</v>
      </c>
      <c r="AA16">
        <f>IF(fNotasFiscais[[#This Row],[Nota Fiscal]]&lt;&gt;"",1,0)</f>
        <v>1</v>
      </c>
    </row>
    <row r="17" spans="1:27" x14ac:dyDescent="0.25">
      <c r="A17" s="1">
        <v>43113</v>
      </c>
      <c r="B17">
        <v>10468</v>
      </c>
      <c r="C17" s="2" t="s">
        <v>22</v>
      </c>
      <c r="D17" s="2" t="s">
        <v>23</v>
      </c>
      <c r="E17" s="2" t="s">
        <v>24</v>
      </c>
      <c r="F17">
        <v>4013</v>
      </c>
      <c r="G17" s="2" t="s">
        <v>37</v>
      </c>
      <c r="H17" s="2" t="s">
        <v>38</v>
      </c>
      <c r="I17" s="2" t="s">
        <v>39</v>
      </c>
      <c r="J17" s="2" t="s">
        <v>28</v>
      </c>
      <c r="K17" s="2" t="s">
        <v>39</v>
      </c>
      <c r="L17">
        <v>156.68</v>
      </c>
      <c r="M17">
        <v>1</v>
      </c>
      <c r="N17">
        <v>3.3</v>
      </c>
      <c r="O17">
        <v>6500948</v>
      </c>
      <c r="P17" s="2" t="s">
        <v>29</v>
      </c>
      <c r="Q17" s="2" t="s">
        <v>23</v>
      </c>
      <c r="R17" s="2" t="s">
        <v>30</v>
      </c>
      <c r="S17">
        <v>5</v>
      </c>
      <c r="T17" s="1">
        <v>43113</v>
      </c>
      <c r="U17" s="1">
        <v>43116</v>
      </c>
      <c r="V17" s="2"/>
      <c r="W17" s="1">
        <f>fNotasFiscais[[#This Row],[Data da Coleta]]+fNotasFiscais[[#This Row],[Prazo Contratado]]</f>
        <v>43118</v>
      </c>
      <c r="X17" s="3">
        <f>IF(fNotasFiscais[[#This Row],[Data da Entrega]]&gt;fNotasFiscais[[#This Row],[Data Contratada]],0,1)</f>
        <v>1</v>
      </c>
      <c r="Y17" s="3">
        <f>IF(fNotasFiscais[[#This Row],[Ocorrência]]="",1,0)</f>
        <v>1</v>
      </c>
      <c r="Z17" s="2">
        <f>fNotasFiscais[[#This Row],[On Time]]*fNotasFiscais[[#This Row],[In Full]]</f>
        <v>1</v>
      </c>
      <c r="AA17">
        <f>IF(fNotasFiscais[[#This Row],[Nota Fiscal]]&lt;&gt;"",1,0)</f>
        <v>1</v>
      </c>
    </row>
    <row r="18" spans="1:27" x14ac:dyDescent="0.25">
      <c r="A18" s="1">
        <v>43116</v>
      </c>
      <c r="B18">
        <v>10473</v>
      </c>
      <c r="C18" s="2" t="s">
        <v>43</v>
      </c>
      <c r="D18" s="2" t="s">
        <v>44</v>
      </c>
      <c r="E18" s="2" t="s">
        <v>45</v>
      </c>
      <c r="F18">
        <v>4013</v>
      </c>
      <c r="G18" s="2" t="s">
        <v>37</v>
      </c>
      <c r="H18" s="2" t="s">
        <v>38</v>
      </c>
      <c r="I18" s="2" t="s">
        <v>39</v>
      </c>
      <c r="J18" s="2" t="s">
        <v>28</v>
      </c>
      <c r="K18" s="2" t="s">
        <v>39</v>
      </c>
      <c r="L18">
        <v>714.07</v>
      </c>
      <c r="M18">
        <v>3</v>
      </c>
      <c r="N18">
        <v>3.5750000000000002</v>
      </c>
      <c r="O18">
        <v>6500948</v>
      </c>
      <c r="P18" s="2" t="s">
        <v>29</v>
      </c>
      <c r="Q18" s="2" t="s">
        <v>23</v>
      </c>
      <c r="R18" s="2" t="s">
        <v>30</v>
      </c>
      <c r="S18">
        <v>6</v>
      </c>
      <c r="T18" s="1">
        <v>43116</v>
      </c>
      <c r="U18" s="1">
        <v>43117</v>
      </c>
      <c r="V18" s="2"/>
      <c r="W18" s="1">
        <f>fNotasFiscais[[#This Row],[Data da Coleta]]+fNotasFiscais[[#This Row],[Prazo Contratado]]</f>
        <v>43122</v>
      </c>
      <c r="X18" s="3">
        <f>IF(fNotasFiscais[[#This Row],[Data da Entrega]]&gt;fNotasFiscais[[#This Row],[Data Contratada]],0,1)</f>
        <v>1</v>
      </c>
      <c r="Y18" s="3">
        <f>IF(fNotasFiscais[[#This Row],[Ocorrência]]="",1,0)</f>
        <v>1</v>
      </c>
      <c r="Z18" s="2">
        <f>fNotasFiscais[[#This Row],[On Time]]*fNotasFiscais[[#This Row],[In Full]]</f>
        <v>1</v>
      </c>
      <c r="AA18">
        <f>IF(fNotasFiscais[[#This Row],[Nota Fiscal]]&lt;&gt;"",1,0)</f>
        <v>1</v>
      </c>
    </row>
    <row r="19" spans="1:27" x14ac:dyDescent="0.25">
      <c r="A19" s="1">
        <v>43117</v>
      </c>
      <c r="B19">
        <v>10480</v>
      </c>
      <c r="C19" s="2" t="s">
        <v>54</v>
      </c>
      <c r="D19" s="2" t="s">
        <v>55</v>
      </c>
      <c r="E19" s="2" t="s">
        <v>56</v>
      </c>
      <c r="F19">
        <v>4013</v>
      </c>
      <c r="G19" s="2" t="s">
        <v>37</v>
      </c>
      <c r="H19" s="2" t="s">
        <v>38</v>
      </c>
      <c r="I19" s="2" t="s">
        <v>39</v>
      </c>
      <c r="J19" s="2" t="s">
        <v>28</v>
      </c>
      <c r="K19" s="2" t="s">
        <v>39</v>
      </c>
      <c r="L19">
        <v>1760.18</v>
      </c>
      <c r="M19">
        <v>6</v>
      </c>
      <c r="N19">
        <v>1.32</v>
      </c>
      <c r="O19">
        <v>6500948</v>
      </c>
      <c r="P19" s="2" t="s">
        <v>29</v>
      </c>
      <c r="Q19" s="2" t="s">
        <v>23</v>
      </c>
      <c r="R19" s="2" t="s">
        <v>30</v>
      </c>
      <c r="S19">
        <v>11</v>
      </c>
      <c r="T19" s="1">
        <v>43118</v>
      </c>
      <c r="U19" s="1">
        <v>43124</v>
      </c>
      <c r="V19" s="2" t="s">
        <v>57</v>
      </c>
      <c r="W19" s="1">
        <f>fNotasFiscais[[#This Row],[Data da Coleta]]+fNotasFiscais[[#This Row],[Prazo Contratado]]</f>
        <v>43129</v>
      </c>
      <c r="X19" s="3">
        <f>IF(fNotasFiscais[[#This Row],[Data da Entrega]]&gt;fNotasFiscais[[#This Row],[Data Contratada]],0,1)</f>
        <v>1</v>
      </c>
      <c r="Y19" s="3">
        <f>IF(fNotasFiscais[[#This Row],[Ocorrência]]="",1,0)</f>
        <v>0</v>
      </c>
      <c r="Z19" s="2">
        <f>fNotasFiscais[[#This Row],[On Time]]*fNotasFiscais[[#This Row],[In Full]]</f>
        <v>0</v>
      </c>
      <c r="AA19">
        <f>IF(fNotasFiscais[[#This Row],[Nota Fiscal]]&lt;&gt;"",1,0)</f>
        <v>1</v>
      </c>
    </row>
    <row r="20" spans="1:27" x14ac:dyDescent="0.25">
      <c r="A20" s="1">
        <v>43118</v>
      </c>
      <c r="B20">
        <v>10492</v>
      </c>
      <c r="C20" s="2" t="s">
        <v>40</v>
      </c>
      <c r="D20" s="2" t="s">
        <v>41</v>
      </c>
      <c r="E20" s="2" t="s">
        <v>33</v>
      </c>
      <c r="F20">
        <v>4013</v>
      </c>
      <c r="G20" s="2" t="s">
        <v>37</v>
      </c>
      <c r="H20" s="2" t="s">
        <v>38</v>
      </c>
      <c r="I20" s="2" t="s">
        <v>39</v>
      </c>
      <c r="J20" s="2" t="s">
        <v>28</v>
      </c>
      <c r="K20" s="2" t="s">
        <v>39</v>
      </c>
      <c r="L20">
        <v>2356.9</v>
      </c>
      <c r="M20">
        <v>4</v>
      </c>
      <c r="N20">
        <v>5.1349999999999998</v>
      </c>
      <c r="O20">
        <v>6500948</v>
      </c>
      <c r="P20" s="2" t="s">
        <v>29</v>
      </c>
      <c r="Q20" s="2" t="s">
        <v>23</v>
      </c>
      <c r="R20" s="2" t="s">
        <v>30</v>
      </c>
      <c r="S20">
        <v>8</v>
      </c>
      <c r="T20" s="1">
        <v>43119</v>
      </c>
      <c r="U20" s="1">
        <v>43129</v>
      </c>
      <c r="V20" s="2"/>
      <c r="W20" s="1">
        <f>fNotasFiscais[[#This Row],[Data da Coleta]]+fNotasFiscais[[#This Row],[Prazo Contratado]]</f>
        <v>43127</v>
      </c>
      <c r="X20" s="3">
        <f>IF(fNotasFiscais[[#This Row],[Data da Entrega]]&gt;fNotasFiscais[[#This Row],[Data Contratada]],0,1)</f>
        <v>0</v>
      </c>
      <c r="Y20" s="3">
        <f>IF(fNotasFiscais[[#This Row],[Ocorrência]]="",1,0)</f>
        <v>1</v>
      </c>
      <c r="Z20" s="2">
        <f>fNotasFiscais[[#This Row],[On Time]]*fNotasFiscais[[#This Row],[In Full]]</f>
        <v>0</v>
      </c>
      <c r="AA20">
        <f>IF(fNotasFiscais[[#This Row],[Nota Fiscal]]&lt;&gt;"",1,0)</f>
        <v>1</v>
      </c>
    </row>
    <row r="21" spans="1:27" x14ac:dyDescent="0.25">
      <c r="A21" s="1">
        <v>43126</v>
      </c>
      <c r="B21">
        <v>10509</v>
      </c>
      <c r="C21" s="2" t="s">
        <v>43</v>
      </c>
      <c r="D21" s="2" t="s">
        <v>44</v>
      </c>
      <c r="E21" s="2" t="s">
        <v>45</v>
      </c>
      <c r="F21">
        <v>4013</v>
      </c>
      <c r="G21" s="2" t="s">
        <v>37</v>
      </c>
      <c r="H21" s="2" t="s">
        <v>38</v>
      </c>
      <c r="I21" s="2" t="s">
        <v>39</v>
      </c>
      <c r="J21" s="2" t="s">
        <v>28</v>
      </c>
      <c r="K21" s="2" t="s">
        <v>39</v>
      </c>
      <c r="L21">
        <v>738.86</v>
      </c>
      <c r="M21">
        <v>2</v>
      </c>
      <c r="N21">
        <v>10.119999999999999</v>
      </c>
      <c r="O21">
        <v>6500948</v>
      </c>
      <c r="P21" s="2" t="s">
        <v>29</v>
      </c>
      <c r="Q21" s="2" t="s">
        <v>23</v>
      </c>
      <c r="R21" s="2" t="s">
        <v>30</v>
      </c>
      <c r="S21">
        <v>8</v>
      </c>
      <c r="T21" s="1">
        <v>43126</v>
      </c>
      <c r="U21" s="1">
        <v>43135</v>
      </c>
      <c r="V21" s="2"/>
      <c r="W21" s="1">
        <f>fNotasFiscais[[#This Row],[Data da Coleta]]+fNotasFiscais[[#This Row],[Prazo Contratado]]</f>
        <v>43134</v>
      </c>
      <c r="X21" s="3">
        <f>IF(fNotasFiscais[[#This Row],[Data da Entrega]]&gt;fNotasFiscais[[#This Row],[Data Contratada]],0,1)</f>
        <v>0</v>
      </c>
      <c r="Y21" s="3">
        <f>IF(fNotasFiscais[[#This Row],[Ocorrência]]="",1,0)</f>
        <v>1</v>
      </c>
      <c r="Z21" s="2">
        <f>fNotasFiscais[[#This Row],[On Time]]*fNotasFiscais[[#This Row],[In Full]]</f>
        <v>0</v>
      </c>
      <c r="AA21">
        <f>IF(fNotasFiscais[[#This Row],[Nota Fiscal]]&lt;&gt;"",1,0)</f>
        <v>1</v>
      </c>
    </row>
    <row r="22" spans="1:27" x14ac:dyDescent="0.25">
      <c r="A22" s="1">
        <v>43126</v>
      </c>
      <c r="B22">
        <v>10510</v>
      </c>
      <c r="C22" s="2" t="s">
        <v>43</v>
      </c>
      <c r="D22" s="2" t="s">
        <v>44</v>
      </c>
      <c r="E22" s="2" t="s">
        <v>45</v>
      </c>
      <c r="F22">
        <v>4013</v>
      </c>
      <c r="G22" s="2" t="s">
        <v>37</v>
      </c>
      <c r="H22" s="2" t="s">
        <v>38</v>
      </c>
      <c r="I22" s="2" t="s">
        <v>39</v>
      </c>
      <c r="J22" s="2" t="s">
        <v>28</v>
      </c>
      <c r="K22" s="2" t="s">
        <v>39</v>
      </c>
      <c r="L22">
        <v>2962.5</v>
      </c>
      <c r="M22">
        <v>2</v>
      </c>
      <c r="N22">
        <v>9.57</v>
      </c>
      <c r="O22">
        <v>6500948</v>
      </c>
      <c r="P22" s="2" t="s">
        <v>29</v>
      </c>
      <c r="Q22" s="2" t="s">
        <v>23</v>
      </c>
      <c r="R22" s="2" t="s">
        <v>30</v>
      </c>
      <c r="S22">
        <v>4</v>
      </c>
      <c r="T22" s="1">
        <v>43126</v>
      </c>
      <c r="U22" s="1">
        <v>43133</v>
      </c>
      <c r="V22" s="2" t="s">
        <v>57</v>
      </c>
      <c r="W22" s="1">
        <f>fNotasFiscais[[#This Row],[Data da Coleta]]+fNotasFiscais[[#This Row],[Prazo Contratado]]</f>
        <v>43130</v>
      </c>
      <c r="X22" s="3">
        <f>IF(fNotasFiscais[[#This Row],[Data da Entrega]]&gt;fNotasFiscais[[#This Row],[Data Contratada]],0,1)</f>
        <v>0</v>
      </c>
      <c r="Y22" s="3">
        <f>IF(fNotasFiscais[[#This Row],[Ocorrência]]="",1,0)</f>
        <v>0</v>
      </c>
      <c r="Z22" s="2">
        <f>fNotasFiscais[[#This Row],[On Time]]*fNotasFiscais[[#This Row],[In Full]]</f>
        <v>0</v>
      </c>
      <c r="AA22">
        <f>IF(fNotasFiscais[[#This Row],[Nota Fiscal]]&lt;&gt;"",1,0)</f>
        <v>1</v>
      </c>
    </row>
    <row r="23" spans="1:27" x14ac:dyDescent="0.25">
      <c r="A23" s="1">
        <v>43129</v>
      </c>
      <c r="B23">
        <v>10524</v>
      </c>
      <c r="C23" s="2" t="s">
        <v>34</v>
      </c>
      <c r="D23" s="2" t="s">
        <v>35</v>
      </c>
      <c r="E23" s="2" t="s">
        <v>36</v>
      </c>
      <c r="F23">
        <v>4013</v>
      </c>
      <c r="G23" s="2" t="s">
        <v>37</v>
      </c>
      <c r="H23" s="2" t="s">
        <v>38</v>
      </c>
      <c r="I23" s="2" t="s">
        <v>39</v>
      </c>
      <c r="J23" s="2" t="s">
        <v>28</v>
      </c>
      <c r="K23" s="2" t="s">
        <v>39</v>
      </c>
      <c r="L23">
        <v>1947.8</v>
      </c>
      <c r="M23">
        <v>5</v>
      </c>
      <c r="N23">
        <v>5.95</v>
      </c>
      <c r="O23">
        <v>6500948</v>
      </c>
      <c r="P23" s="2" t="s">
        <v>29</v>
      </c>
      <c r="Q23" s="2" t="s">
        <v>23</v>
      </c>
      <c r="R23" s="2" t="s">
        <v>30</v>
      </c>
      <c r="S23">
        <v>10</v>
      </c>
      <c r="T23" s="1">
        <v>43130</v>
      </c>
      <c r="U23" s="1">
        <v>43138</v>
      </c>
      <c r="V23" s="2"/>
      <c r="W23" s="1">
        <f>fNotasFiscais[[#This Row],[Data da Coleta]]+fNotasFiscais[[#This Row],[Prazo Contratado]]</f>
        <v>43140</v>
      </c>
      <c r="X23" s="3">
        <f>IF(fNotasFiscais[[#This Row],[Data da Entrega]]&gt;fNotasFiscais[[#This Row],[Data Contratada]],0,1)</f>
        <v>1</v>
      </c>
      <c r="Y23" s="3">
        <f>IF(fNotasFiscais[[#This Row],[Ocorrência]]="",1,0)</f>
        <v>1</v>
      </c>
      <c r="Z23" s="2">
        <f>fNotasFiscais[[#This Row],[On Time]]*fNotasFiscais[[#This Row],[In Full]]</f>
        <v>1</v>
      </c>
      <c r="AA23">
        <f>IF(fNotasFiscais[[#This Row],[Nota Fiscal]]&lt;&gt;"",1,0)</f>
        <v>1</v>
      </c>
    </row>
    <row r="24" spans="1:27" x14ac:dyDescent="0.25">
      <c r="A24" s="1">
        <v>43131</v>
      </c>
      <c r="B24">
        <v>10543</v>
      </c>
      <c r="C24" s="2" t="s">
        <v>43</v>
      </c>
      <c r="D24" s="2" t="s">
        <v>44</v>
      </c>
      <c r="E24" s="2" t="s">
        <v>45</v>
      </c>
      <c r="F24">
        <v>4013</v>
      </c>
      <c r="G24" s="2" t="s">
        <v>37</v>
      </c>
      <c r="H24" s="2" t="s">
        <v>38</v>
      </c>
      <c r="I24" s="2" t="s">
        <v>39</v>
      </c>
      <c r="J24" s="2" t="s">
        <v>28</v>
      </c>
      <c r="K24" s="2" t="s">
        <v>39</v>
      </c>
      <c r="L24">
        <v>1997.16</v>
      </c>
      <c r="M24">
        <v>6</v>
      </c>
      <c r="N24">
        <v>99</v>
      </c>
      <c r="O24">
        <v>6500948</v>
      </c>
      <c r="P24" s="2" t="s">
        <v>29</v>
      </c>
      <c r="Q24" s="2" t="s">
        <v>23</v>
      </c>
      <c r="R24" s="2" t="s">
        <v>30</v>
      </c>
      <c r="S24">
        <v>6</v>
      </c>
      <c r="T24" s="1">
        <v>43132</v>
      </c>
      <c r="U24" s="1">
        <v>43136</v>
      </c>
      <c r="V24" s="2"/>
      <c r="W24" s="1">
        <f>fNotasFiscais[[#This Row],[Data da Coleta]]+fNotasFiscais[[#This Row],[Prazo Contratado]]</f>
        <v>43138</v>
      </c>
      <c r="X24" s="3">
        <f>IF(fNotasFiscais[[#This Row],[Data da Entrega]]&gt;fNotasFiscais[[#This Row],[Data Contratada]],0,1)</f>
        <v>1</v>
      </c>
      <c r="Y24" s="3">
        <f>IF(fNotasFiscais[[#This Row],[Ocorrência]]="",1,0)</f>
        <v>1</v>
      </c>
      <c r="Z24" s="2">
        <f>fNotasFiscais[[#This Row],[On Time]]*fNotasFiscais[[#This Row],[In Full]]</f>
        <v>1</v>
      </c>
      <c r="AA24">
        <f>IF(fNotasFiscais[[#This Row],[Nota Fiscal]]&lt;&gt;"",1,0)</f>
        <v>1</v>
      </c>
    </row>
    <row r="25" spans="1:27" x14ac:dyDescent="0.25">
      <c r="A25" s="1">
        <v>43132</v>
      </c>
      <c r="B25">
        <v>10546</v>
      </c>
      <c r="C25" s="2" t="s">
        <v>34</v>
      </c>
      <c r="D25" s="2" t="s">
        <v>35</v>
      </c>
      <c r="E25" s="2" t="s">
        <v>36</v>
      </c>
      <c r="F25">
        <v>4013</v>
      </c>
      <c r="G25" s="2" t="s">
        <v>37</v>
      </c>
      <c r="H25" s="2" t="s">
        <v>38</v>
      </c>
      <c r="I25" s="2" t="s">
        <v>39</v>
      </c>
      <c r="J25" s="2" t="s">
        <v>28</v>
      </c>
      <c r="K25" s="2" t="s">
        <v>39</v>
      </c>
      <c r="L25">
        <v>3823.86</v>
      </c>
      <c r="M25">
        <v>12</v>
      </c>
      <c r="N25">
        <v>20.074999999999999</v>
      </c>
      <c r="O25">
        <v>6500948</v>
      </c>
      <c r="P25" s="2" t="s">
        <v>29</v>
      </c>
      <c r="Q25" s="2" t="s">
        <v>23</v>
      </c>
      <c r="R25" s="2" t="s">
        <v>30</v>
      </c>
      <c r="S25">
        <v>1</v>
      </c>
      <c r="T25" s="1">
        <v>43133</v>
      </c>
      <c r="U25" s="1">
        <v>43137</v>
      </c>
      <c r="V25" s="2"/>
      <c r="W25" s="1">
        <f>fNotasFiscais[[#This Row],[Data da Coleta]]+fNotasFiscais[[#This Row],[Prazo Contratado]]</f>
        <v>43134</v>
      </c>
      <c r="X25" s="3">
        <f>IF(fNotasFiscais[[#This Row],[Data da Entrega]]&gt;fNotasFiscais[[#This Row],[Data Contratada]],0,1)</f>
        <v>0</v>
      </c>
      <c r="Y25" s="3">
        <f>IF(fNotasFiscais[[#This Row],[Ocorrência]]="",1,0)</f>
        <v>1</v>
      </c>
      <c r="Z25" s="2">
        <f>fNotasFiscais[[#This Row],[On Time]]*fNotasFiscais[[#This Row],[In Full]]</f>
        <v>0</v>
      </c>
      <c r="AA25">
        <f>IF(fNotasFiscais[[#This Row],[Nota Fiscal]]&lt;&gt;"",1,0)</f>
        <v>1</v>
      </c>
    </row>
    <row r="26" spans="1:27" x14ac:dyDescent="0.25">
      <c r="A26" s="1">
        <v>43132</v>
      </c>
      <c r="B26">
        <v>10547</v>
      </c>
      <c r="C26" s="2" t="s">
        <v>34</v>
      </c>
      <c r="D26" s="2" t="s">
        <v>35</v>
      </c>
      <c r="E26" s="2" t="s">
        <v>36</v>
      </c>
      <c r="F26">
        <v>4013</v>
      </c>
      <c r="G26" s="2" t="s">
        <v>37</v>
      </c>
      <c r="H26" s="2" t="s">
        <v>38</v>
      </c>
      <c r="I26" s="2" t="s">
        <v>39</v>
      </c>
      <c r="J26" s="2" t="s">
        <v>28</v>
      </c>
      <c r="K26" s="2" t="s">
        <v>39</v>
      </c>
      <c r="L26">
        <v>8200.08</v>
      </c>
      <c r="M26">
        <v>13</v>
      </c>
      <c r="N26">
        <v>9.3829999999999991</v>
      </c>
      <c r="O26">
        <v>6500948</v>
      </c>
      <c r="P26" s="2" t="s">
        <v>29</v>
      </c>
      <c r="Q26" s="2" t="s">
        <v>23</v>
      </c>
      <c r="R26" s="2" t="s">
        <v>30</v>
      </c>
      <c r="S26">
        <v>10</v>
      </c>
      <c r="T26" s="1">
        <v>43133</v>
      </c>
      <c r="U26" s="1">
        <v>43141</v>
      </c>
      <c r="V26" s="2"/>
      <c r="W26" s="1">
        <f>fNotasFiscais[[#This Row],[Data da Coleta]]+fNotasFiscais[[#This Row],[Prazo Contratado]]</f>
        <v>43143</v>
      </c>
      <c r="X26" s="3">
        <f>IF(fNotasFiscais[[#This Row],[Data da Entrega]]&gt;fNotasFiscais[[#This Row],[Data Contratada]],0,1)</f>
        <v>1</v>
      </c>
      <c r="Y26" s="3">
        <f>IF(fNotasFiscais[[#This Row],[Ocorrência]]="",1,0)</f>
        <v>1</v>
      </c>
      <c r="Z26" s="2">
        <f>fNotasFiscais[[#This Row],[On Time]]*fNotasFiscais[[#This Row],[In Full]]</f>
        <v>1</v>
      </c>
      <c r="AA26">
        <f>IF(fNotasFiscais[[#This Row],[Nota Fiscal]]&lt;&gt;"",1,0)</f>
        <v>1</v>
      </c>
    </row>
    <row r="27" spans="1:27" x14ac:dyDescent="0.25">
      <c r="A27" s="1">
        <v>43137</v>
      </c>
      <c r="B27">
        <v>10564</v>
      </c>
      <c r="C27" s="2" t="s">
        <v>31</v>
      </c>
      <c r="D27" s="2" t="s">
        <v>32</v>
      </c>
      <c r="E27" s="2" t="s">
        <v>33</v>
      </c>
      <c r="F27">
        <v>4013</v>
      </c>
      <c r="G27" s="2" t="s">
        <v>37</v>
      </c>
      <c r="H27" s="2" t="s">
        <v>38</v>
      </c>
      <c r="I27" s="2" t="s">
        <v>39</v>
      </c>
      <c r="J27" s="2" t="s">
        <v>28</v>
      </c>
      <c r="K27" s="2" t="s">
        <v>39</v>
      </c>
      <c r="L27">
        <v>578.85</v>
      </c>
      <c r="M27">
        <v>1</v>
      </c>
      <c r="N27">
        <v>1.1200000000000001</v>
      </c>
      <c r="O27">
        <v>6500948</v>
      </c>
      <c r="P27" s="2" t="s">
        <v>29</v>
      </c>
      <c r="Q27" s="2" t="s">
        <v>23</v>
      </c>
      <c r="R27" s="2" t="s">
        <v>30</v>
      </c>
      <c r="S27">
        <v>4</v>
      </c>
      <c r="T27" s="1">
        <v>43137</v>
      </c>
      <c r="U27" s="1">
        <v>43147</v>
      </c>
      <c r="V27" s="2"/>
      <c r="W27" s="1">
        <f>fNotasFiscais[[#This Row],[Data da Coleta]]+fNotasFiscais[[#This Row],[Prazo Contratado]]</f>
        <v>43141</v>
      </c>
      <c r="X27" s="3">
        <f>IF(fNotasFiscais[[#This Row],[Data da Entrega]]&gt;fNotasFiscais[[#This Row],[Data Contratada]],0,1)</f>
        <v>0</v>
      </c>
      <c r="Y27" s="3">
        <f>IF(fNotasFiscais[[#This Row],[Ocorrência]]="",1,0)</f>
        <v>1</v>
      </c>
      <c r="Z27" s="2">
        <f>fNotasFiscais[[#This Row],[On Time]]*fNotasFiscais[[#This Row],[In Full]]</f>
        <v>0</v>
      </c>
      <c r="AA27">
        <f>IF(fNotasFiscais[[#This Row],[Nota Fiscal]]&lt;&gt;"",1,0)</f>
        <v>1</v>
      </c>
    </row>
    <row r="28" spans="1:27" x14ac:dyDescent="0.25">
      <c r="A28" s="1">
        <v>43139</v>
      </c>
      <c r="B28">
        <v>10571</v>
      </c>
      <c r="C28" s="2" t="s">
        <v>52</v>
      </c>
      <c r="D28" s="2" t="s">
        <v>53</v>
      </c>
      <c r="E28" s="2" t="s">
        <v>33</v>
      </c>
      <c r="F28">
        <v>4013</v>
      </c>
      <c r="G28" s="2" t="s">
        <v>37</v>
      </c>
      <c r="H28" s="2" t="s">
        <v>38</v>
      </c>
      <c r="I28" s="2" t="s">
        <v>39</v>
      </c>
      <c r="J28" s="2" t="s">
        <v>28</v>
      </c>
      <c r="K28" s="2" t="s">
        <v>39</v>
      </c>
      <c r="L28">
        <v>631.66</v>
      </c>
      <c r="M28">
        <v>1</v>
      </c>
      <c r="N28">
        <v>2.9790000000000001</v>
      </c>
      <c r="O28">
        <v>6500948</v>
      </c>
      <c r="P28" s="2" t="s">
        <v>29</v>
      </c>
      <c r="Q28" s="2" t="s">
        <v>23</v>
      </c>
      <c r="R28" s="2" t="s">
        <v>30</v>
      </c>
      <c r="S28">
        <v>9</v>
      </c>
      <c r="T28" s="1">
        <v>43139</v>
      </c>
      <c r="U28" s="1">
        <v>43140</v>
      </c>
      <c r="V28" s="2"/>
      <c r="W28" s="1">
        <f>fNotasFiscais[[#This Row],[Data da Coleta]]+fNotasFiscais[[#This Row],[Prazo Contratado]]</f>
        <v>43148</v>
      </c>
      <c r="X28" s="3">
        <f>IF(fNotasFiscais[[#This Row],[Data da Entrega]]&gt;fNotasFiscais[[#This Row],[Data Contratada]],0,1)</f>
        <v>1</v>
      </c>
      <c r="Y28" s="3">
        <f>IF(fNotasFiscais[[#This Row],[Ocorrência]]="",1,0)</f>
        <v>1</v>
      </c>
      <c r="Z28" s="2">
        <f>fNotasFiscais[[#This Row],[On Time]]*fNotasFiscais[[#This Row],[In Full]]</f>
        <v>1</v>
      </c>
      <c r="AA28">
        <f>IF(fNotasFiscais[[#This Row],[Nota Fiscal]]&lt;&gt;"",1,0)</f>
        <v>1</v>
      </c>
    </row>
    <row r="29" spans="1:27" x14ac:dyDescent="0.25">
      <c r="A29" s="1">
        <v>43143</v>
      </c>
      <c r="B29">
        <v>10587</v>
      </c>
      <c r="C29" s="2" t="s">
        <v>43</v>
      </c>
      <c r="D29" s="2" t="s">
        <v>44</v>
      </c>
      <c r="E29" s="2" t="s">
        <v>45</v>
      </c>
      <c r="F29">
        <v>4013</v>
      </c>
      <c r="G29" s="2" t="s">
        <v>37</v>
      </c>
      <c r="H29" s="2" t="s">
        <v>38</v>
      </c>
      <c r="I29" s="2" t="s">
        <v>39</v>
      </c>
      <c r="J29" s="2" t="s">
        <v>28</v>
      </c>
      <c r="K29" s="2" t="s">
        <v>39</v>
      </c>
      <c r="L29">
        <v>524.13</v>
      </c>
      <c r="M29">
        <v>1</v>
      </c>
      <c r="N29">
        <v>1.65</v>
      </c>
      <c r="O29">
        <v>6500948</v>
      </c>
      <c r="P29" s="2" t="s">
        <v>29</v>
      </c>
      <c r="Q29" s="2" t="s">
        <v>23</v>
      </c>
      <c r="R29" s="2" t="s">
        <v>30</v>
      </c>
      <c r="S29">
        <v>10</v>
      </c>
      <c r="T29" s="1">
        <v>43144</v>
      </c>
      <c r="U29" s="1">
        <v>43154</v>
      </c>
      <c r="V29" s="2"/>
      <c r="W29" s="1">
        <f>fNotasFiscais[[#This Row],[Data da Coleta]]+fNotasFiscais[[#This Row],[Prazo Contratado]]</f>
        <v>43154</v>
      </c>
      <c r="X29" s="3">
        <f>IF(fNotasFiscais[[#This Row],[Data da Entrega]]&gt;fNotasFiscais[[#This Row],[Data Contratada]],0,1)</f>
        <v>1</v>
      </c>
      <c r="Y29" s="3">
        <f>IF(fNotasFiscais[[#This Row],[Ocorrência]]="",1,0)</f>
        <v>1</v>
      </c>
      <c r="Z29" s="2">
        <f>fNotasFiscais[[#This Row],[On Time]]*fNotasFiscais[[#This Row],[In Full]]</f>
        <v>1</v>
      </c>
      <c r="AA29">
        <f>IF(fNotasFiscais[[#This Row],[Nota Fiscal]]&lt;&gt;"",1,0)</f>
        <v>1</v>
      </c>
    </row>
    <row r="30" spans="1:27" x14ac:dyDescent="0.25">
      <c r="A30" s="1">
        <v>43144</v>
      </c>
      <c r="B30">
        <v>10591</v>
      </c>
      <c r="C30" s="2" t="s">
        <v>31</v>
      </c>
      <c r="D30" s="2" t="s">
        <v>32</v>
      </c>
      <c r="E30" s="2" t="s">
        <v>33</v>
      </c>
      <c r="F30">
        <v>4013</v>
      </c>
      <c r="G30" s="2" t="s">
        <v>37</v>
      </c>
      <c r="H30" s="2" t="s">
        <v>38</v>
      </c>
      <c r="I30" s="2" t="s">
        <v>39</v>
      </c>
      <c r="J30" s="2" t="s">
        <v>28</v>
      </c>
      <c r="K30" s="2" t="s">
        <v>39</v>
      </c>
      <c r="L30">
        <v>1790.56</v>
      </c>
      <c r="M30">
        <v>4</v>
      </c>
      <c r="N30">
        <v>40.557000000000002</v>
      </c>
      <c r="O30">
        <v>6500948</v>
      </c>
      <c r="P30" s="2" t="s">
        <v>29</v>
      </c>
      <c r="Q30" s="2" t="s">
        <v>23</v>
      </c>
      <c r="R30" s="2" t="s">
        <v>30</v>
      </c>
      <c r="S30">
        <v>3</v>
      </c>
      <c r="T30" s="1">
        <v>43145</v>
      </c>
      <c r="U30" s="1">
        <v>43153</v>
      </c>
      <c r="V30" s="2"/>
      <c r="W30" s="1">
        <f>fNotasFiscais[[#This Row],[Data da Coleta]]+fNotasFiscais[[#This Row],[Prazo Contratado]]</f>
        <v>43148</v>
      </c>
      <c r="X30" s="3">
        <f>IF(fNotasFiscais[[#This Row],[Data da Entrega]]&gt;fNotasFiscais[[#This Row],[Data Contratada]],0,1)</f>
        <v>0</v>
      </c>
      <c r="Y30" s="3">
        <f>IF(fNotasFiscais[[#This Row],[Ocorrência]]="",1,0)</f>
        <v>1</v>
      </c>
      <c r="Z30" s="2">
        <f>fNotasFiscais[[#This Row],[On Time]]*fNotasFiscais[[#This Row],[In Full]]</f>
        <v>0</v>
      </c>
      <c r="AA30">
        <f>IF(fNotasFiscais[[#This Row],[Nota Fiscal]]&lt;&gt;"",1,0)</f>
        <v>1</v>
      </c>
    </row>
    <row r="31" spans="1:27" x14ac:dyDescent="0.25">
      <c r="A31" s="1">
        <v>43145</v>
      </c>
      <c r="B31">
        <v>10593</v>
      </c>
      <c r="C31" s="2" t="s">
        <v>34</v>
      </c>
      <c r="D31" s="2" t="s">
        <v>35</v>
      </c>
      <c r="E31" s="2" t="s">
        <v>36</v>
      </c>
      <c r="F31">
        <v>4013</v>
      </c>
      <c r="G31" s="2" t="s">
        <v>37</v>
      </c>
      <c r="H31" s="2" t="s">
        <v>38</v>
      </c>
      <c r="I31" s="2" t="s">
        <v>39</v>
      </c>
      <c r="J31" s="2" t="s">
        <v>28</v>
      </c>
      <c r="K31" s="2" t="s">
        <v>39</v>
      </c>
      <c r="L31">
        <v>709.16</v>
      </c>
      <c r="M31">
        <v>1</v>
      </c>
      <c r="N31">
        <v>1.177</v>
      </c>
      <c r="O31">
        <v>6500948</v>
      </c>
      <c r="P31" s="2" t="s">
        <v>29</v>
      </c>
      <c r="Q31" s="2" t="s">
        <v>23</v>
      </c>
      <c r="R31" s="2" t="s">
        <v>30</v>
      </c>
      <c r="S31">
        <v>10</v>
      </c>
      <c r="T31" s="1">
        <v>43146</v>
      </c>
      <c r="U31" s="1">
        <v>43156</v>
      </c>
      <c r="V31" s="2"/>
      <c r="W31" s="1">
        <f>fNotasFiscais[[#This Row],[Data da Coleta]]+fNotasFiscais[[#This Row],[Prazo Contratado]]</f>
        <v>43156</v>
      </c>
      <c r="X31" s="3">
        <f>IF(fNotasFiscais[[#This Row],[Data da Entrega]]&gt;fNotasFiscais[[#This Row],[Data Contratada]],0,1)</f>
        <v>1</v>
      </c>
      <c r="Y31" s="3">
        <f>IF(fNotasFiscais[[#This Row],[Ocorrência]]="",1,0)</f>
        <v>1</v>
      </c>
      <c r="Z31" s="2">
        <f>fNotasFiscais[[#This Row],[On Time]]*fNotasFiscais[[#This Row],[In Full]]</f>
        <v>1</v>
      </c>
      <c r="AA31">
        <f>IF(fNotasFiscais[[#This Row],[Nota Fiscal]]&lt;&gt;"",1,0)</f>
        <v>1</v>
      </c>
    </row>
    <row r="32" spans="1:27" x14ac:dyDescent="0.25">
      <c r="A32" s="1">
        <v>43146</v>
      </c>
      <c r="B32">
        <v>10594</v>
      </c>
      <c r="C32" s="2" t="s">
        <v>54</v>
      </c>
      <c r="D32" s="2" t="s">
        <v>55</v>
      </c>
      <c r="E32" s="2" t="s">
        <v>56</v>
      </c>
      <c r="F32">
        <v>4013</v>
      </c>
      <c r="G32" s="2" t="s">
        <v>37</v>
      </c>
      <c r="H32" s="2" t="s">
        <v>38</v>
      </c>
      <c r="I32" s="2" t="s">
        <v>39</v>
      </c>
      <c r="J32" s="2" t="s">
        <v>28</v>
      </c>
      <c r="K32" s="2" t="s">
        <v>39</v>
      </c>
      <c r="L32">
        <v>483.56</v>
      </c>
      <c r="M32">
        <v>2</v>
      </c>
      <c r="N32">
        <v>3.3119999999999998</v>
      </c>
      <c r="O32">
        <v>6500948</v>
      </c>
      <c r="P32" s="2" t="s">
        <v>29</v>
      </c>
      <c r="Q32" s="2" t="s">
        <v>23</v>
      </c>
      <c r="R32" s="2" t="s">
        <v>30</v>
      </c>
      <c r="S32">
        <v>12</v>
      </c>
      <c r="T32" s="1">
        <v>43146</v>
      </c>
      <c r="U32" s="1">
        <v>43148</v>
      </c>
      <c r="V32" s="2"/>
      <c r="W32" s="1">
        <f>fNotasFiscais[[#This Row],[Data da Coleta]]+fNotasFiscais[[#This Row],[Prazo Contratado]]</f>
        <v>43158</v>
      </c>
      <c r="X32" s="3">
        <f>IF(fNotasFiscais[[#This Row],[Data da Entrega]]&gt;fNotasFiscais[[#This Row],[Data Contratada]],0,1)</f>
        <v>1</v>
      </c>
      <c r="Y32" s="3">
        <f>IF(fNotasFiscais[[#This Row],[Ocorrência]]="",1,0)</f>
        <v>1</v>
      </c>
      <c r="Z32" s="2">
        <f>fNotasFiscais[[#This Row],[On Time]]*fNotasFiscais[[#This Row],[In Full]]</f>
        <v>1</v>
      </c>
      <c r="AA32">
        <f>IF(fNotasFiscais[[#This Row],[Nota Fiscal]]&lt;&gt;"",1,0)</f>
        <v>1</v>
      </c>
    </row>
    <row r="33" spans="1:27" x14ac:dyDescent="0.25">
      <c r="A33" s="1">
        <v>43147</v>
      </c>
      <c r="B33">
        <v>10604</v>
      </c>
      <c r="C33" s="2" t="s">
        <v>22</v>
      </c>
      <c r="D33" s="2" t="s">
        <v>23</v>
      </c>
      <c r="E33" s="2" t="s">
        <v>24</v>
      </c>
      <c r="F33">
        <v>4013</v>
      </c>
      <c r="G33" s="2" t="s">
        <v>37</v>
      </c>
      <c r="H33" s="2" t="s">
        <v>38</v>
      </c>
      <c r="I33" s="2" t="s">
        <v>39</v>
      </c>
      <c r="J33" s="2" t="s">
        <v>28</v>
      </c>
      <c r="K33" s="2" t="s">
        <v>39</v>
      </c>
      <c r="L33">
        <v>353.84</v>
      </c>
      <c r="M33">
        <v>1</v>
      </c>
      <c r="N33">
        <v>1.1200000000000001</v>
      </c>
      <c r="O33">
        <v>6500948</v>
      </c>
      <c r="P33" s="2" t="s">
        <v>29</v>
      </c>
      <c r="Q33" s="2" t="s">
        <v>23</v>
      </c>
      <c r="R33" s="2" t="s">
        <v>30</v>
      </c>
      <c r="S33">
        <v>11</v>
      </c>
      <c r="T33" s="1">
        <v>43148</v>
      </c>
      <c r="U33" s="1">
        <v>43149</v>
      </c>
      <c r="V33" s="2"/>
      <c r="W33" s="1">
        <f>fNotasFiscais[[#This Row],[Data da Coleta]]+fNotasFiscais[[#This Row],[Prazo Contratado]]</f>
        <v>43159</v>
      </c>
      <c r="X33" s="3">
        <f>IF(fNotasFiscais[[#This Row],[Data da Entrega]]&gt;fNotasFiscais[[#This Row],[Data Contratada]],0,1)</f>
        <v>1</v>
      </c>
      <c r="Y33" s="3">
        <f>IF(fNotasFiscais[[#This Row],[Ocorrência]]="",1,0)</f>
        <v>1</v>
      </c>
      <c r="Z33" s="2">
        <f>fNotasFiscais[[#This Row],[On Time]]*fNotasFiscais[[#This Row],[In Full]]</f>
        <v>1</v>
      </c>
      <c r="AA33">
        <f>IF(fNotasFiscais[[#This Row],[Nota Fiscal]]&lt;&gt;"",1,0)</f>
        <v>1</v>
      </c>
    </row>
    <row r="34" spans="1:27" x14ac:dyDescent="0.25">
      <c r="A34" s="1">
        <v>43153</v>
      </c>
      <c r="B34">
        <v>10614</v>
      </c>
      <c r="C34" s="2" t="s">
        <v>54</v>
      </c>
      <c r="D34" s="2" t="s">
        <v>55</v>
      </c>
      <c r="E34" s="2" t="s">
        <v>56</v>
      </c>
      <c r="F34">
        <v>4013</v>
      </c>
      <c r="G34" s="2" t="s">
        <v>37</v>
      </c>
      <c r="H34" s="2" t="s">
        <v>38</v>
      </c>
      <c r="I34" s="2" t="s">
        <v>39</v>
      </c>
      <c r="J34" s="2" t="s">
        <v>28</v>
      </c>
      <c r="K34" s="2" t="s">
        <v>39</v>
      </c>
      <c r="L34">
        <v>102.48</v>
      </c>
      <c r="M34">
        <v>1</v>
      </c>
      <c r="N34">
        <v>4.4000000000000004</v>
      </c>
      <c r="O34">
        <v>6500948</v>
      </c>
      <c r="P34" s="2" t="s">
        <v>29</v>
      </c>
      <c r="Q34" s="2" t="s">
        <v>23</v>
      </c>
      <c r="R34" s="2" t="s">
        <v>30</v>
      </c>
      <c r="S34">
        <v>8</v>
      </c>
      <c r="T34" s="1">
        <v>43153</v>
      </c>
      <c r="U34" s="1">
        <v>43163</v>
      </c>
      <c r="V34" s="2" t="s">
        <v>42</v>
      </c>
      <c r="W34" s="1">
        <f>fNotasFiscais[[#This Row],[Data da Coleta]]+fNotasFiscais[[#This Row],[Prazo Contratado]]</f>
        <v>43161</v>
      </c>
      <c r="X34" s="3">
        <f>IF(fNotasFiscais[[#This Row],[Data da Entrega]]&gt;fNotasFiscais[[#This Row],[Data Contratada]],0,1)</f>
        <v>0</v>
      </c>
      <c r="Y34" s="3">
        <f>IF(fNotasFiscais[[#This Row],[Ocorrência]]="",1,0)</f>
        <v>0</v>
      </c>
      <c r="Z34" s="2">
        <f>fNotasFiscais[[#This Row],[On Time]]*fNotasFiscais[[#This Row],[In Full]]</f>
        <v>0</v>
      </c>
      <c r="AA34">
        <f>IF(fNotasFiscais[[#This Row],[Nota Fiscal]]&lt;&gt;"",1,0)</f>
        <v>1</v>
      </c>
    </row>
    <row r="35" spans="1:27" x14ac:dyDescent="0.25">
      <c r="A35" s="1">
        <v>43154</v>
      </c>
      <c r="B35">
        <v>10630</v>
      </c>
      <c r="C35" s="2" t="s">
        <v>43</v>
      </c>
      <c r="D35" s="2" t="s">
        <v>44</v>
      </c>
      <c r="E35" s="2" t="s">
        <v>45</v>
      </c>
      <c r="F35">
        <v>4013</v>
      </c>
      <c r="G35" s="2" t="s">
        <v>37</v>
      </c>
      <c r="H35" s="2" t="s">
        <v>38</v>
      </c>
      <c r="I35" s="2" t="s">
        <v>39</v>
      </c>
      <c r="J35" s="2" t="s">
        <v>28</v>
      </c>
      <c r="K35" s="2" t="s">
        <v>39</v>
      </c>
      <c r="L35">
        <v>397.72</v>
      </c>
      <c r="M35">
        <v>3</v>
      </c>
      <c r="N35">
        <v>3.2</v>
      </c>
      <c r="O35">
        <v>6500948</v>
      </c>
      <c r="P35" s="2" t="s">
        <v>29</v>
      </c>
      <c r="Q35" s="2" t="s">
        <v>23</v>
      </c>
      <c r="R35" s="2" t="s">
        <v>30</v>
      </c>
      <c r="S35">
        <v>12</v>
      </c>
      <c r="T35" s="1">
        <v>43155</v>
      </c>
      <c r="U35" s="1">
        <v>43156</v>
      </c>
      <c r="V35" s="2"/>
      <c r="W35" s="1">
        <f>fNotasFiscais[[#This Row],[Data da Coleta]]+fNotasFiscais[[#This Row],[Prazo Contratado]]</f>
        <v>43167</v>
      </c>
      <c r="X35" s="3">
        <f>IF(fNotasFiscais[[#This Row],[Data da Entrega]]&gt;fNotasFiscais[[#This Row],[Data Contratada]],0,1)</f>
        <v>1</v>
      </c>
      <c r="Y35" s="3">
        <f>IF(fNotasFiscais[[#This Row],[Ocorrência]]="",1,0)</f>
        <v>1</v>
      </c>
      <c r="Z35" s="2">
        <f>fNotasFiscais[[#This Row],[On Time]]*fNotasFiscais[[#This Row],[In Full]]</f>
        <v>1</v>
      </c>
      <c r="AA35">
        <f>IF(fNotasFiscais[[#This Row],[Nota Fiscal]]&lt;&gt;"",1,0)</f>
        <v>1</v>
      </c>
    </row>
    <row r="36" spans="1:27" x14ac:dyDescent="0.25">
      <c r="A36" s="1">
        <v>43154</v>
      </c>
      <c r="B36">
        <v>10631</v>
      </c>
      <c r="C36" s="2" t="s">
        <v>34</v>
      </c>
      <c r="D36" s="2" t="s">
        <v>35</v>
      </c>
      <c r="E36" s="2" t="s">
        <v>36</v>
      </c>
      <c r="F36">
        <v>4013</v>
      </c>
      <c r="G36" s="2" t="s">
        <v>37</v>
      </c>
      <c r="H36" s="2" t="s">
        <v>38</v>
      </c>
      <c r="I36" s="2" t="s">
        <v>39</v>
      </c>
      <c r="J36" s="2" t="s">
        <v>28</v>
      </c>
      <c r="K36" s="2" t="s">
        <v>39</v>
      </c>
      <c r="L36">
        <v>6498.92</v>
      </c>
      <c r="M36">
        <v>3</v>
      </c>
      <c r="N36">
        <v>23.286000000000001</v>
      </c>
      <c r="O36">
        <v>6500948</v>
      </c>
      <c r="P36" s="2" t="s">
        <v>29</v>
      </c>
      <c r="Q36" s="2" t="s">
        <v>23</v>
      </c>
      <c r="R36" s="2" t="s">
        <v>30</v>
      </c>
      <c r="S36">
        <v>12</v>
      </c>
      <c r="T36" s="1">
        <v>43155</v>
      </c>
      <c r="U36" s="1">
        <v>43158</v>
      </c>
      <c r="V36" s="2"/>
      <c r="W36" s="1">
        <f>fNotasFiscais[[#This Row],[Data da Coleta]]+fNotasFiscais[[#This Row],[Prazo Contratado]]</f>
        <v>43167</v>
      </c>
      <c r="X36" s="3">
        <f>IF(fNotasFiscais[[#This Row],[Data da Entrega]]&gt;fNotasFiscais[[#This Row],[Data Contratada]],0,1)</f>
        <v>1</v>
      </c>
      <c r="Y36" s="3">
        <f>IF(fNotasFiscais[[#This Row],[Ocorrência]]="",1,0)</f>
        <v>1</v>
      </c>
      <c r="Z36" s="2">
        <f>fNotasFiscais[[#This Row],[On Time]]*fNotasFiscais[[#This Row],[In Full]]</f>
        <v>1</v>
      </c>
      <c r="AA36">
        <f>IF(fNotasFiscais[[#This Row],[Nota Fiscal]]&lt;&gt;"",1,0)</f>
        <v>1</v>
      </c>
    </row>
    <row r="37" spans="1:27" x14ac:dyDescent="0.25">
      <c r="A37" s="1">
        <v>43154</v>
      </c>
      <c r="B37">
        <v>10632</v>
      </c>
      <c r="C37" s="2" t="s">
        <v>34</v>
      </c>
      <c r="D37" s="2" t="s">
        <v>35</v>
      </c>
      <c r="E37" s="2" t="s">
        <v>36</v>
      </c>
      <c r="F37">
        <v>4013</v>
      </c>
      <c r="G37" s="2" t="s">
        <v>37</v>
      </c>
      <c r="H37" s="2" t="s">
        <v>38</v>
      </c>
      <c r="I37" s="2" t="s">
        <v>39</v>
      </c>
      <c r="J37" s="2" t="s">
        <v>28</v>
      </c>
      <c r="K37" s="2" t="s">
        <v>39</v>
      </c>
      <c r="L37">
        <v>314.67</v>
      </c>
      <c r="M37">
        <v>1</v>
      </c>
      <c r="N37">
        <v>0.44</v>
      </c>
      <c r="O37">
        <v>6500948</v>
      </c>
      <c r="P37" s="2" t="s">
        <v>29</v>
      </c>
      <c r="Q37" s="2" t="s">
        <v>23</v>
      </c>
      <c r="R37" s="2" t="s">
        <v>30</v>
      </c>
      <c r="S37">
        <v>4</v>
      </c>
      <c r="T37" s="1">
        <v>43155</v>
      </c>
      <c r="U37" s="1">
        <v>43164</v>
      </c>
      <c r="V37" s="2"/>
      <c r="W37" s="1">
        <f>fNotasFiscais[[#This Row],[Data da Coleta]]+fNotasFiscais[[#This Row],[Prazo Contratado]]</f>
        <v>43159</v>
      </c>
      <c r="X37" s="3">
        <f>IF(fNotasFiscais[[#This Row],[Data da Entrega]]&gt;fNotasFiscais[[#This Row],[Data Contratada]],0,1)</f>
        <v>0</v>
      </c>
      <c r="Y37" s="3">
        <f>IF(fNotasFiscais[[#This Row],[Ocorrência]]="",1,0)</f>
        <v>1</v>
      </c>
      <c r="Z37" s="2">
        <f>fNotasFiscais[[#This Row],[On Time]]*fNotasFiscais[[#This Row],[In Full]]</f>
        <v>0</v>
      </c>
      <c r="AA37">
        <f>IF(fNotasFiscais[[#This Row],[Nota Fiscal]]&lt;&gt;"",1,0)</f>
        <v>1</v>
      </c>
    </row>
    <row r="38" spans="1:27" x14ac:dyDescent="0.25">
      <c r="A38" s="1">
        <v>43162</v>
      </c>
      <c r="B38">
        <v>10653</v>
      </c>
      <c r="C38" s="2" t="s">
        <v>22</v>
      </c>
      <c r="D38" s="2" t="s">
        <v>23</v>
      </c>
      <c r="E38" s="2" t="s">
        <v>24</v>
      </c>
      <c r="F38">
        <v>4013</v>
      </c>
      <c r="G38" s="2" t="s">
        <v>37</v>
      </c>
      <c r="H38" s="2" t="s">
        <v>38</v>
      </c>
      <c r="I38" s="2" t="s">
        <v>39</v>
      </c>
      <c r="J38" s="2" t="s">
        <v>28</v>
      </c>
      <c r="K38" s="2" t="s">
        <v>39</v>
      </c>
      <c r="L38">
        <v>834.86</v>
      </c>
      <c r="M38">
        <v>1</v>
      </c>
      <c r="N38">
        <v>9.35</v>
      </c>
      <c r="O38">
        <v>6500948</v>
      </c>
      <c r="P38" s="2" t="s">
        <v>29</v>
      </c>
      <c r="Q38" s="2" t="s">
        <v>23</v>
      </c>
      <c r="R38" s="2" t="s">
        <v>30</v>
      </c>
      <c r="S38">
        <v>8</v>
      </c>
      <c r="T38" s="1">
        <v>43162</v>
      </c>
      <c r="U38" s="1">
        <v>43172</v>
      </c>
      <c r="V38" s="2"/>
      <c r="W38" s="1">
        <f>fNotasFiscais[[#This Row],[Data da Coleta]]+fNotasFiscais[[#This Row],[Prazo Contratado]]</f>
        <v>43170</v>
      </c>
      <c r="X38" s="3">
        <f>IF(fNotasFiscais[[#This Row],[Data da Entrega]]&gt;fNotasFiscais[[#This Row],[Data Contratada]],0,1)</f>
        <v>0</v>
      </c>
      <c r="Y38" s="3">
        <f>IF(fNotasFiscais[[#This Row],[Ocorrência]]="",1,0)</f>
        <v>1</v>
      </c>
      <c r="Z38" s="2">
        <f>fNotasFiscais[[#This Row],[On Time]]*fNotasFiscais[[#This Row],[In Full]]</f>
        <v>0</v>
      </c>
      <c r="AA38">
        <f>IF(fNotasFiscais[[#This Row],[Nota Fiscal]]&lt;&gt;"",1,0)</f>
        <v>1</v>
      </c>
    </row>
    <row r="39" spans="1:27" x14ac:dyDescent="0.25">
      <c r="A39" s="1">
        <v>43103</v>
      </c>
      <c r="B39">
        <v>10413</v>
      </c>
      <c r="C39" s="2" t="s">
        <v>40</v>
      </c>
      <c r="D39" s="2" t="s">
        <v>41</v>
      </c>
      <c r="E39" s="2" t="s">
        <v>33</v>
      </c>
      <c r="F39">
        <v>4014</v>
      </c>
      <c r="G39" s="2" t="s">
        <v>58</v>
      </c>
      <c r="H39" s="2" t="s">
        <v>59</v>
      </c>
      <c r="I39" s="2" t="s">
        <v>36</v>
      </c>
      <c r="J39" s="2" t="s">
        <v>60</v>
      </c>
      <c r="K39" s="2" t="s">
        <v>36</v>
      </c>
      <c r="L39">
        <v>486.99</v>
      </c>
      <c r="M39">
        <v>1</v>
      </c>
      <c r="N39">
        <v>3.96</v>
      </c>
      <c r="O39">
        <v>6600879</v>
      </c>
      <c r="P39" s="2" t="s">
        <v>61</v>
      </c>
      <c r="Q39" s="2" t="s">
        <v>35</v>
      </c>
      <c r="R39" s="2" t="s">
        <v>30</v>
      </c>
      <c r="S39">
        <v>7</v>
      </c>
      <c r="T39" s="1">
        <v>43104</v>
      </c>
      <c r="U39" s="1">
        <v>43108</v>
      </c>
      <c r="V39" s="2"/>
      <c r="W39" s="1">
        <f>fNotasFiscais[[#This Row],[Data da Coleta]]+fNotasFiscais[[#This Row],[Prazo Contratado]]</f>
        <v>43111</v>
      </c>
      <c r="X39" s="3">
        <f>IF(fNotasFiscais[[#This Row],[Data da Entrega]]&gt;fNotasFiscais[[#This Row],[Data Contratada]],0,1)</f>
        <v>1</v>
      </c>
      <c r="Y39" s="3">
        <f>IF(fNotasFiscais[[#This Row],[Ocorrência]]="",1,0)</f>
        <v>1</v>
      </c>
      <c r="Z39" s="2">
        <f>fNotasFiscais[[#This Row],[On Time]]*fNotasFiscais[[#This Row],[In Full]]</f>
        <v>1</v>
      </c>
      <c r="AA39">
        <f>IF(fNotasFiscais[[#This Row],[Nota Fiscal]]&lt;&gt;"",1,0)</f>
        <v>1</v>
      </c>
    </row>
    <row r="40" spans="1:27" x14ac:dyDescent="0.25">
      <c r="A40" s="1">
        <v>43103</v>
      </c>
      <c r="B40">
        <v>10414</v>
      </c>
      <c r="C40" s="2" t="s">
        <v>40</v>
      </c>
      <c r="D40" s="2" t="s">
        <v>41</v>
      </c>
      <c r="E40" s="2" t="s">
        <v>33</v>
      </c>
      <c r="F40">
        <v>4014</v>
      </c>
      <c r="G40" s="2" t="s">
        <v>58</v>
      </c>
      <c r="H40" s="2" t="s">
        <v>59</v>
      </c>
      <c r="I40" s="2" t="s">
        <v>36</v>
      </c>
      <c r="J40" s="2" t="s">
        <v>60</v>
      </c>
      <c r="K40" s="2" t="s">
        <v>36</v>
      </c>
      <c r="L40">
        <v>1212.8</v>
      </c>
      <c r="M40">
        <v>3</v>
      </c>
      <c r="N40">
        <v>49.5</v>
      </c>
      <c r="O40">
        <v>6600879</v>
      </c>
      <c r="P40" s="2" t="s">
        <v>61</v>
      </c>
      <c r="Q40" s="2" t="s">
        <v>35</v>
      </c>
      <c r="R40" s="2" t="s">
        <v>62</v>
      </c>
      <c r="S40">
        <v>7</v>
      </c>
      <c r="T40" s="1">
        <v>43104</v>
      </c>
      <c r="U40" s="1">
        <v>43114</v>
      </c>
      <c r="V40" s="2" t="s">
        <v>42</v>
      </c>
      <c r="W40" s="1">
        <f>fNotasFiscais[[#This Row],[Data da Coleta]]+fNotasFiscais[[#This Row],[Prazo Contratado]]</f>
        <v>43111</v>
      </c>
      <c r="X40" s="3">
        <f>IF(fNotasFiscais[[#This Row],[Data da Entrega]]&gt;fNotasFiscais[[#This Row],[Data Contratada]],0,1)</f>
        <v>0</v>
      </c>
      <c r="Y40" s="3">
        <f>IF(fNotasFiscais[[#This Row],[Ocorrência]]="",1,0)</f>
        <v>0</v>
      </c>
      <c r="Z40" s="2">
        <f>fNotasFiscais[[#This Row],[On Time]]*fNotasFiscais[[#This Row],[In Full]]</f>
        <v>0</v>
      </c>
      <c r="AA40">
        <f>IF(fNotasFiscais[[#This Row],[Nota Fiscal]]&lt;&gt;"",1,0)</f>
        <v>1</v>
      </c>
    </row>
    <row r="41" spans="1:27" x14ac:dyDescent="0.25">
      <c r="A41" s="1">
        <v>43103</v>
      </c>
      <c r="B41">
        <v>10415</v>
      </c>
      <c r="C41" s="2" t="s">
        <v>34</v>
      </c>
      <c r="D41" s="2" t="s">
        <v>35</v>
      </c>
      <c r="E41" s="2" t="s">
        <v>36</v>
      </c>
      <c r="F41">
        <v>4014</v>
      </c>
      <c r="G41" s="2" t="s">
        <v>58</v>
      </c>
      <c r="H41" s="2" t="s">
        <v>59</v>
      </c>
      <c r="I41" s="2" t="s">
        <v>36</v>
      </c>
      <c r="J41" s="2" t="s">
        <v>60</v>
      </c>
      <c r="K41" s="2" t="s">
        <v>36</v>
      </c>
      <c r="L41">
        <v>203.57</v>
      </c>
      <c r="M41">
        <v>1</v>
      </c>
      <c r="N41">
        <v>0.14199999999999999</v>
      </c>
      <c r="O41">
        <v>6600879</v>
      </c>
      <c r="P41" s="2" t="s">
        <v>61</v>
      </c>
      <c r="Q41" s="2" t="s">
        <v>35</v>
      </c>
      <c r="R41" s="2" t="s">
        <v>30</v>
      </c>
      <c r="S41">
        <v>11</v>
      </c>
      <c r="T41" s="1">
        <v>43104</v>
      </c>
      <c r="U41" s="1">
        <v>43114</v>
      </c>
      <c r="V41" s="2"/>
      <c r="W41" s="1">
        <f>fNotasFiscais[[#This Row],[Data da Coleta]]+fNotasFiscais[[#This Row],[Prazo Contratado]]</f>
        <v>43115</v>
      </c>
      <c r="X41" s="3">
        <f>IF(fNotasFiscais[[#This Row],[Data da Entrega]]&gt;fNotasFiscais[[#This Row],[Data Contratada]],0,1)</f>
        <v>1</v>
      </c>
      <c r="Y41" s="3">
        <f>IF(fNotasFiscais[[#This Row],[Ocorrência]]="",1,0)</f>
        <v>1</v>
      </c>
      <c r="Z41" s="2">
        <f>fNotasFiscais[[#This Row],[On Time]]*fNotasFiscais[[#This Row],[In Full]]</f>
        <v>1</v>
      </c>
      <c r="AA41">
        <f>IF(fNotasFiscais[[#This Row],[Nota Fiscal]]&lt;&gt;"",1,0)</f>
        <v>1</v>
      </c>
    </row>
    <row r="42" spans="1:27" x14ac:dyDescent="0.25">
      <c r="A42" s="1">
        <v>43113</v>
      </c>
      <c r="B42">
        <v>10466</v>
      </c>
      <c r="C42" s="2" t="s">
        <v>40</v>
      </c>
      <c r="D42" s="2" t="s">
        <v>41</v>
      </c>
      <c r="E42" s="2" t="s">
        <v>33</v>
      </c>
      <c r="F42">
        <v>4014</v>
      </c>
      <c r="G42" s="2" t="s">
        <v>58</v>
      </c>
      <c r="H42" s="2" t="s">
        <v>59</v>
      </c>
      <c r="I42" s="2" t="s">
        <v>36</v>
      </c>
      <c r="J42" s="2" t="s">
        <v>60</v>
      </c>
      <c r="K42" s="2" t="s">
        <v>36</v>
      </c>
      <c r="L42">
        <v>334.01</v>
      </c>
      <c r="M42">
        <v>1</v>
      </c>
      <c r="N42">
        <v>4.4409999999999998</v>
      </c>
      <c r="O42">
        <v>6600879</v>
      </c>
      <c r="P42" s="2" t="s">
        <v>61</v>
      </c>
      <c r="Q42" s="2" t="s">
        <v>35</v>
      </c>
      <c r="R42" s="2" t="s">
        <v>30</v>
      </c>
      <c r="S42">
        <v>1</v>
      </c>
      <c r="T42" s="1">
        <v>43113</v>
      </c>
      <c r="U42" s="1">
        <v>43121</v>
      </c>
      <c r="V42" s="2"/>
      <c r="W42" s="1">
        <f>fNotasFiscais[[#This Row],[Data da Coleta]]+fNotasFiscais[[#This Row],[Prazo Contratado]]</f>
        <v>43114</v>
      </c>
      <c r="X42" s="3">
        <f>IF(fNotasFiscais[[#This Row],[Data da Entrega]]&gt;fNotasFiscais[[#This Row],[Data Contratada]],0,1)</f>
        <v>0</v>
      </c>
      <c r="Y42" s="3">
        <f>IF(fNotasFiscais[[#This Row],[Ocorrência]]="",1,0)</f>
        <v>1</v>
      </c>
      <c r="Z42" s="2">
        <f>fNotasFiscais[[#This Row],[On Time]]*fNotasFiscais[[#This Row],[In Full]]</f>
        <v>0</v>
      </c>
      <c r="AA42">
        <f>IF(fNotasFiscais[[#This Row],[Nota Fiscal]]&lt;&gt;"",1,0)</f>
        <v>1</v>
      </c>
    </row>
    <row r="43" spans="1:27" x14ac:dyDescent="0.25">
      <c r="A43" s="1">
        <v>43113</v>
      </c>
      <c r="B43">
        <v>10469</v>
      </c>
      <c r="C43" s="2" t="s">
        <v>54</v>
      </c>
      <c r="D43" s="2" t="s">
        <v>55</v>
      </c>
      <c r="E43" s="2" t="s">
        <v>56</v>
      </c>
      <c r="F43">
        <v>4014</v>
      </c>
      <c r="G43" s="2" t="s">
        <v>58</v>
      </c>
      <c r="H43" s="2" t="s">
        <v>59</v>
      </c>
      <c r="I43" s="2" t="s">
        <v>36</v>
      </c>
      <c r="J43" s="2" t="s">
        <v>60</v>
      </c>
      <c r="K43" s="2" t="s">
        <v>36</v>
      </c>
      <c r="L43">
        <v>8518.89</v>
      </c>
      <c r="M43">
        <v>3</v>
      </c>
      <c r="N43">
        <v>45.593000000000004</v>
      </c>
      <c r="O43">
        <v>6600879</v>
      </c>
      <c r="P43" s="2" t="s">
        <v>61</v>
      </c>
      <c r="Q43" s="2" t="s">
        <v>35</v>
      </c>
      <c r="R43" s="2" t="s">
        <v>30</v>
      </c>
      <c r="S43">
        <v>5</v>
      </c>
      <c r="T43" s="1">
        <v>43113</v>
      </c>
      <c r="U43" s="1">
        <v>43121</v>
      </c>
      <c r="V43" s="2"/>
      <c r="W43" s="1">
        <f>fNotasFiscais[[#This Row],[Data da Coleta]]+fNotasFiscais[[#This Row],[Prazo Contratado]]</f>
        <v>43118</v>
      </c>
      <c r="X43" s="3">
        <f>IF(fNotasFiscais[[#This Row],[Data da Entrega]]&gt;fNotasFiscais[[#This Row],[Data Contratada]],0,1)</f>
        <v>0</v>
      </c>
      <c r="Y43" s="3">
        <f>IF(fNotasFiscais[[#This Row],[Ocorrência]]="",1,0)</f>
        <v>1</v>
      </c>
      <c r="Z43" s="2">
        <f>fNotasFiscais[[#This Row],[On Time]]*fNotasFiscais[[#This Row],[In Full]]</f>
        <v>0</v>
      </c>
      <c r="AA43">
        <f>IF(fNotasFiscais[[#This Row],[Nota Fiscal]]&lt;&gt;"",1,0)</f>
        <v>1</v>
      </c>
    </row>
    <row r="44" spans="1:27" x14ac:dyDescent="0.25">
      <c r="A44" s="1">
        <v>43113</v>
      </c>
      <c r="B44">
        <v>10470</v>
      </c>
      <c r="C44" s="2" t="s">
        <v>54</v>
      </c>
      <c r="D44" s="2" t="s">
        <v>55</v>
      </c>
      <c r="E44" s="2" t="s">
        <v>56</v>
      </c>
      <c r="F44">
        <v>4014</v>
      </c>
      <c r="G44" s="2" t="s">
        <v>58</v>
      </c>
      <c r="H44" s="2" t="s">
        <v>59</v>
      </c>
      <c r="I44" s="2" t="s">
        <v>36</v>
      </c>
      <c r="J44" s="2" t="s">
        <v>60</v>
      </c>
      <c r="K44" s="2" t="s">
        <v>36</v>
      </c>
      <c r="L44">
        <v>141.80000000000001</v>
      </c>
      <c r="M44">
        <v>1</v>
      </c>
      <c r="N44">
        <v>0.55000000000000004</v>
      </c>
      <c r="O44">
        <v>6600879</v>
      </c>
      <c r="P44" s="2" t="s">
        <v>61</v>
      </c>
      <c r="Q44" s="2" t="s">
        <v>35</v>
      </c>
      <c r="R44" s="2" t="s">
        <v>30</v>
      </c>
      <c r="S44">
        <v>2</v>
      </c>
      <c r="T44" s="1">
        <v>43113</v>
      </c>
      <c r="U44" s="1">
        <v>43118</v>
      </c>
      <c r="V44" s="2"/>
      <c r="W44" s="1">
        <f>fNotasFiscais[[#This Row],[Data da Coleta]]+fNotasFiscais[[#This Row],[Prazo Contratado]]</f>
        <v>43115</v>
      </c>
      <c r="X44" s="3">
        <f>IF(fNotasFiscais[[#This Row],[Data da Entrega]]&gt;fNotasFiscais[[#This Row],[Data Contratada]],0,1)</f>
        <v>0</v>
      </c>
      <c r="Y44" s="3">
        <f>IF(fNotasFiscais[[#This Row],[Ocorrência]]="",1,0)</f>
        <v>1</v>
      </c>
      <c r="Z44" s="2">
        <f>fNotasFiscais[[#This Row],[On Time]]*fNotasFiscais[[#This Row],[In Full]]</f>
        <v>0</v>
      </c>
      <c r="AA44">
        <f>IF(fNotasFiscais[[#This Row],[Nota Fiscal]]&lt;&gt;"",1,0)</f>
        <v>1</v>
      </c>
    </row>
    <row r="45" spans="1:27" x14ac:dyDescent="0.25">
      <c r="A45" s="1">
        <v>43113</v>
      </c>
      <c r="B45">
        <v>10471</v>
      </c>
      <c r="C45" s="2" t="s">
        <v>52</v>
      </c>
      <c r="D45" s="2" t="s">
        <v>53</v>
      </c>
      <c r="E45" s="2" t="s">
        <v>33</v>
      </c>
      <c r="F45">
        <v>4014</v>
      </c>
      <c r="G45" s="2" t="s">
        <v>58</v>
      </c>
      <c r="H45" s="2" t="s">
        <v>59</v>
      </c>
      <c r="I45" s="2" t="s">
        <v>36</v>
      </c>
      <c r="J45" s="2" t="s">
        <v>60</v>
      </c>
      <c r="K45" s="2" t="s">
        <v>36</v>
      </c>
      <c r="L45">
        <v>150.04</v>
      </c>
      <c r="M45">
        <v>1</v>
      </c>
      <c r="N45">
        <v>3.3</v>
      </c>
      <c r="O45">
        <v>6600879</v>
      </c>
      <c r="P45" s="2" t="s">
        <v>61</v>
      </c>
      <c r="Q45" s="2" t="s">
        <v>35</v>
      </c>
      <c r="R45" s="2" t="s">
        <v>30</v>
      </c>
      <c r="S45">
        <v>10</v>
      </c>
      <c r="T45" s="1">
        <v>43113</v>
      </c>
      <c r="U45" s="1">
        <v>43114</v>
      </c>
      <c r="V45" s="2"/>
      <c r="W45" s="1">
        <f>fNotasFiscais[[#This Row],[Data da Coleta]]+fNotasFiscais[[#This Row],[Prazo Contratado]]</f>
        <v>43123</v>
      </c>
      <c r="X45" s="3">
        <f>IF(fNotasFiscais[[#This Row],[Data da Entrega]]&gt;fNotasFiscais[[#This Row],[Data Contratada]],0,1)</f>
        <v>1</v>
      </c>
      <c r="Y45" s="3">
        <f>IF(fNotasFiscais[[#This Row],[Ocorrência]]="",1,0)</f>
        <v>1</v>
      </c>
      <c r="Z45" s="2">
        <f>fNotasFiscais[[#This Row],[On Time]]*fNotasFiscais[[#This Row],[In Full]]</f>
        <v>1</v>
      </c>
      <c r="AA45">
        <f>IF(fNotasFiscais[[#This Row],[Nota Fiscal]]&lt;&gt;"",1,0)</f>
        <v>1</v>
      </c>
    </row>
    <row r="46" spans="1:27" x14ac:dyDescent="0.25">
      <c r="A46" s="1">
        <v>43130</v>
      </c>
      <c r="B46">
        <v>10526</v>
      </c>
      <c r="C46" s="2" t="s">
        <v>54</v>
      </c>
      <c r="D46" s="2" t="s">
        <v>55</v>
      </c>
      <c r="E46" s="2" t="s">
        <v>56</v>
      </c>
      <c r="F46">
        <v>4014</v>
      </c>
      <c r="G46" s="2" t="s">
        <v>58</v>
      </c>
      <c r="H46" s="2" t="s">
        <v>59</v>
      </c>
      <c r="I46" s="2" t="s">
        <v>36</v>
      </c>
      <c r="J46" s="2" t="s">
        <v>60</v>
      </c>
      <c r="K46" s="2" t="s">
        <v>36</v>
      </c>
      <c r="L46">
        <v>822.21</v>
      </c>
      <c r="M46">
        <v>2</v>
      </c>
      <c r="N46">
        <v>7.1310000000000002</v>
      </c>
      <c r="O46">
        <v>6600879</v>
      </c>
      <c r="P46" s="2" t="s">
        <v>61</v>
      </c>
      <c r="Q46" s="2" t="s">
        <v>35</v>
      </c>
      <c r="R46" s="2" t="s">
        <v>30</v>
      </c>
      <c r="S46">
        <v>1</v>
      </c>
      <c r="T46" s="1">
        <v>43131</v>
      </c>
      <c r="U46" s="1">
        <v>43141</v>
      </c>
      <c r="V46" s="2"/>
      <c r="W46" s="1">
        <f>fNotasFiscais[[#This Row],[Data da Coleta]]+fNotasFiscais[[#This Row],[Prazo Contratado]]</f>
        <v>43132</v>
      </c>
      <c r="X46" s="3">
        <f>IF(fNotasFiscais[[#This Row],[Data da Entrega]]&gt;fNotasFiscais[[#This Row],[Data Contratada]],0,1)</f>
        <v>0</v>
      </c>
      <c r="Y46" s="3">
        <f>IF(fNotasFiscais[[#This Row],[Ocorrência]]="",1,0)</f>
        <v>1</v>
      </c>
      <c r="Z46" s="2">
        <f>fNotasFiscais[[#This Row],[On Time]]*fNotasFiscais[[#This Row],[In Full]]</f>
        <v>0</v>
      </c>
      <c r="AA46">
        <f>IF(fNotasFiscais[[#This Row],[Nota Fiscal]]&lt;&gt;"",1,0)</f>
        <v>1</v>
      </c>
    </row>
    <row r="47" spans="1:27" x14ac:dyDescent="0.25">
      <c r="A47" s="1">
        <v>43130</v>
      </c>
      <c r="B47">
        <v>10527</v>
      </c>
      <c r="C47" s="2" t="s">
        <v>40</v>
      </c>
      <c r="D47" s="2" t="s">
        <v>41</v>
      </c>
      <c r="E47" s="2" t="s">
        <v>33</v>
      </c>
      <c r="F47">
        <v>4014</v>
      </c>
      <c r="G47" s="2" t="s">
        <v>58</v>
      </c>
      <c r="H47" s="2" t="s">
        <v>59</v>
      </c>
      <c r="I47" s="2" t="s">
        <v>36</v>
      </c>
      <c r="J47" s="2" t="s">
        <v>60</v>
      </c>
      <c r="K47" s="2" t="s">
        <v>36</v>
      </c>
      <c r="L47">
        <v>2101.4899999999998</v>
      </c>
      <c r="M47">
        <v>1</v>
      </c>
      <c r="N47">
        <v>2.2000000000000002</v>
      </c>
      <c r="O47">
        <v>6600879</v>
      </c>
      <c r="P47" s="2" t="s">
        <v>61</v>
      </c>
      <c r="Q47" s="2" t="s">
        <v>35</v>
      </c>
      <c r="R47" s="2" t="s">
        <v>30</v>
      </c>
      <c r="S47">
        <v>9</v>
      </c>
      <c r="T47" s="1">
        <v>43131</v>
      </c>
      <c r="U47" s="1">
        <v>43136</v>
      </c>
      <c r="V47" s="2"/>
      <c r="W47" s="1">
        <f>fNotasFiscais[[#This Row],[Data da Coleta]]+fNotasFiscais[[#This Row],[Prazo Contratado]]</f>
        <v>43140</v>
      </c>
      <c r="X47" s="3">
        <f>IF(fNotasFiscais[[#This Row],[Data da Entrega]]&gt;fNotasFiscais[[#This Row],[Data Contratada]],0,1)</f>
        <v>1</v>
      </c>
      <c r="Y47" s="3">
        <f>IF(fNotasFiscais[[#This Row],[Ocorrência]]="",1,0)</f>
        <v>1</v>
      </c>
      <c r="Z47" s="2">
        <f>fNotasFiscais[[#This Row],[On Time]]*fNotasFiscais[[#This Row],[In Full]]</f>
        <v>1</v>
      </c>
      <c r="AA47">
        <f>IF(fNotasFiscais[[#This Row],[Nota Fiscal]]&lt;&gt;"",1,0)</f>
        <v>1</v>
      </c>
    </row>
    <row r="48" spans="1:27" x14ac:dyDescent="0.25">
      <c r="A48" s="1">
        <v>43130</v>
      </c>
      <c r="B48">
        <v>10531</v>
      </c>
      <c r="C48" s="2" t="s">
        <v>52</v>
      </c>
      <c r="D48" s="2" t="s">
        <v>53</v>
      </c>
      <c r="E48" s="2" t="s">
        <v>33</v>
      </c>
      <c r="F48">
        <v>4014</v>
      </c>
      <c r="G48" s="2" t="s">
        <v>58</v>
      </c>
      <c r="H48" s="2" t="s">
        <v>59</v>
      </c>
      <c r="I48" s="2" t="s">
        <v>36</v>
      </c>
      <c r="J48" s="2" t="s">
        <v>60</v>
      </c>
      <c r="K48" s="2" t="s">
        <v>36</v>
      </c>
      <c r="L48">
        <v>104.28</v>
      </c>
      <c r="M48">
        <v>1</v>
      </c>
      <c r="N48">
        <v>1.21</v>
      </c>
      <c r="O48">
        <v>6600879</v>
      </c>
      <c r="P48" s="2" t="s">
        <v>61</v>
      </c>
      <c r="Q48" s="2" t="s">
        <v>35</v>
      </c>
      <c r="R48" s="2" t="s">
        <v>30</v>
      </c>
      <c r="S48">
        <v>10</v>
      </c>
      <c r="T48" s="1">
        <v>43131</v>
      </c>
      <c r="U48" s="1">
        <v>43133</v>
      </c>
      <c r="V48" s="2"/>
      <c r="W48" s="1">
        <f>fNotasFiscais[[#This Row],[Data da Coleta]]+fNotasFiscais[[#This Row],[Prazo Contratado]]</f>
        <v>43141</v>
      </c>
      <c r="X48" s="3">
        <f>IF(fNotasFiscais[[#This Row],[Data da Entrega]]&gt;fNotasFiscais[[#This Row],[Data Contratada]],0,1)</f>
        <v>1</v>
      </c>
      <c r="Y48" s="3">
        <f>IF(fNotasFiscais[[#This Row],[Ocorrência]]="",1,0)</f>
        <v>1</v>
      </c>
      <c r="Z48" s="2">
        <f>fNotasFiscais[[#This Row],[On Time]]*fNotasFiscais[[#This Row],[In Full]]</f>
        <v>1</v>
      </c>
      <c r="AA48">
        <f>IF(fNotasFiscais[[#This Row],[Nota Fiscal]]&lt;&gt;"",1,0)</f>
        <v>1</v>
      </c>
    </row>
    <row r="49" spans="1:27" x14ac:dyDescent="0.25">
      <c r="A49" s="1">
        <v>43165</v>
      </c>
      <c r="B49">
        <v>10654</v>
      </c>
      <c r="C49" s="2" t="s">
        <v>22</v>
      </c>
      <c r="D49" s="2" t="s">
        <v>23</v>
      </c>
      <c r="E49" s="2" t="s">
        <v>24</v>
      </c>
      <c r="F49">
        <v>4068</v>
      </c>
      <c r="G49" s="2" t="s">
        <v>63</v>
      </c>
      <c r="H49" s="2" t="s">
        <v>64</v>
      </c>
      <c r="I49" s="2" t="s">
        <v>65</v>
      </c>
      <c r="J49" s="2" t="s">
        <v>49</v>
      </c>
      <c r="K49" s="2" t="s">
        <v>65</v>
      </c>
      <c r="L49">
        <v>2414.7199999999998</v>
      </c>
      <c r="M49">
        <v>2</v>
      </c>
      <c r="N49">
        <v>16.792000000000002</v>
      </c>
      <c r="O49">
        <v>6100231</v>
      </c>
      <c r="P49" s="2" t="s">
        <v>50</v>
      </c>
      <c r="Q49" s="2" t="s">
        <v>51</v>
      </c>
      <c r="R49" s="2" t="s">
        <v>30</v>
      </c>
      <c r="S49">
        <v>2</v>
      </c>
      <c r="T49" s="1">
        <v>43165</v>
      </c>
      <c r="U49" s="1">
        <v>43167</v>
      </c>
      <c r="V49" s="2"/>
      <c r="W49" s="1">
        <f>fNotasFiscais[[#This Row],[Data da Coleta]]+fNotasFiscais[[#This Row],[Prazo Contratado]]</f>
        <v>43167</v>
      </c>
      <c r="X49" s="3">
        <f>IF(fNotasFiscais[[#This Row],[Data da Entrega]]&gt;fNotasFiscais[[#This Row],[Data Contratada]],0,1)</f>
        <v>1</v>
      </c>
      <c r="Y49" s="3">
        <f>IF(fNotasFiscais[[#This Row],[Ocorrência]]="",1,0)</f>
        <v>1</v>
      </c>
      <c r="Z49" s="2">
        <f>fNotasFiscais[[#This Row],[On Time]]*fNotasFiscais[[#This Row],[In Full]]</f>
        <v>1</v>
      </c>
      <c r="AA49">
        <f>IF(fNotasFiscais[[#This Row],[Nota Fiscal]]&lt;&gt;"",1,0)</f>
        <v>1</v>
      </c>
    </row>
    <row r="50" spans="1:27" x14ac:dyDescent="0.25">
      <c r="A50" s="1">
        <v>43165</v>
      </c>
      <c r="B50">
        <v>10655</v>
      </c>
      <c r="C50" s="2" t="s">
        <v>43</v>
      </c>
      <c r="D50" s="2" t="s">
        <v>44</v>
      </c>
      <c r="E50" s="2" t="s">
        <v>45</v>
      </c>
      <c r="F50">
        <v>4068</v>
      </c>
      <c r="G50" s="2" t="s">
        <v>63</v>
      </c>
      <c r="H50" s="2" t="s">
        <v>64</v>
      </c>
      <c r="I50" s="2" t="s">
        <v>65</v>
      </c>
      <c r="J50" s="2" t="s">
        <v>49</v>
      </c>
      <c r="K50" s="2" t="s">
        <v>65</v>
      </c>
      <c r="L50">
        <v>2853.3</v>
      </c>
      <c r="M50">
        <v>3</v>
      </c>
      <c r="N50">
        <v>12.54</v>
      </c>
      <c r="O50">
        <v>6100231</v>
      </c>
      <c r="P50" s="2" t="s">
        <v>50</v>
      </c>
      <c r="Q50" s="2" t="s">
        <v>51</v>
      </c>
      <c r="R50" s="2" t="s">
        <v>30</v>
      </c>
      <c r="S50">
        <v>11</v>
      </c>
      <c r="T50" s="1">
        <v>43165</v>
      </c>
      <c r="U50" s="1">
        <v>43169</v>
      </c>
      <c r="V50" s="2"/>
      <c r="W50" s="1">
        <f>fNotasFiscais[[#This Row],[Data da Coleta]]+fNotasFiscais[[#This Row],[Prazo Contratado]]</f>
        <v>43176</v>
      </c>
      <c r="X50" s="3">
        <f>IF(fNotasFiscais[[#This Row],[Data da Entrega]]&gt;fNotasFiscais[[#This Row],[Data Contratada]],0,1)</f>
        <v>1</v>
      </c>
      <c r="Y50" s="3">
        <f>IF(fNotasFiscais[[#This Row],[Ocorrência]]="",1,0)</f>
        <v>1</v>
      </c>
      <c r="Z50" s="2">
        <f>fNotasFiscais[[#This Row],[On Time]]*fNotasFiscais[[#This Row],[In Full]]</f>
        <v>1</v>
      </c>
      <c r="AA50">
        <f>IF(fNotasFiscais[[#This Row],[Nota Fiscal]]&lt;&gt;"",1,0)</f>
        <v>1</v>
      </c>
    </row>
    <row r="51" spans="1:27" x14ac:dyDescent="0.25">
      <c r="A51" s="1">
        <v>43104</v>
      </c>
      <c r="B51">
        <v>10416</v>
      </c>
      <c r="C51" s="2" t="s">
        <v>31</v>
      </c>
      <c r="D51" s="2" t="s">
        <v>32</v>
      </c>
      <c r="E51" s="2" t="s">
        <v>33</v>
      </c>
      <c r="F51">
        <v>4015</v>
      </c>
      <c r="G51" s="2" t="s">
        <v>66</v>
      </c>
      <c r="H51" s="2" t="s">
        <v>67</v>
      </c>
      <c r="I51" s="2" t="s">
        <v>27</v>
      </c>
      <c r="J51" s="2" t="s">
        <v>28</v>
      </c>
      <c r="K51" s="2" t="s">
        <v>27</v>
      </c>
      <c r="L51">
        <v>3133.87</v>
      </c>
      <c r="M51">
        <v>6</v>
      </c>
      <c r="N51">
        <v>23.76</v>
      </c>
      <c r="O51">
        <v>6500948</v>
      </c>
      <c r="P51" s="2" t="s">
        <v>29</v>
      </c>
      <c r="Q51" s="2" t="s">
        <v>23</v>
      </c>
      <c r="R51" s="2" t="s">
        <v>30</v>
      </c>
      <c r="S51">
        <v>4</v>
      </c>
      <c r="T51" s="1">
        <v>43105</v>
      </c>
      <c r="U51" s="1">
        <v>43107</v>
      </c>
      <c r="V51" s="2"/>
      <c r="W51" s="1">
        <f>fNotasFiscais[[#This Row],[Data da Coleta]]+fNotasFiscais[[#This Row],[Prazo Contratado]]</f>
        <v>43109</v>
      </c>
      <c r="X51" s="3">
        <f>IF(fNotasFiscais[[#This Row],[Data da Entrega]]&gt;fNotasFiscais[[#This Row],[Data Contratada]],0,1)</f>
        <v>1</v>
      </c>
      <c r="Y51" s="3">
        <f>IF(fNotasFiscais[[#This Row],[Ocorrência]]="",1,0)</f>
        <v>1</v>
      </c>
      <c r="Z51" s="2">
        <f>fNotasFiscais[[#This Row],[On Time]]*fNotasFiscais[[#This Row],[In Full]]</f>
        <v>1</v>
      </c>
      <c r="AA51">
        <f>IF(fNotasFiscais[[#This Row],[Nota Fiscal]]&lt;&gt;"",1,0)</f>
        <v>1</v>
      </c>
    </row>
    <row r="52" spans="1:27" x14ac:dyDescent="0.25">
      <c r="A52" s="1">
        <v>43118</v>
      </c>
      <c r="B52">
        <v>10491</v>
      </c>
      <c r="C52" s="2" t="s">
        <v>54</v>
      </c>
      <c r="D52" s="2" t="s">
        <v>55</v>
      </c>
      <c r="E52" s="2" t="s">
        <v>56</v>
      </c>
      <c r="F52">
        <v>4015</v>
      </c>
      <c r="G52" s="2" t="s">
        <v>66</v>
      </c>
      <c r="H52" s="2" t="s">
        <v>67</v>
      </c>
      <c r="I52" s="2" t="s">
        <v>27</v>
      </c>
      <c r="J52" s="2" t="s">
        <v>28</v>
      </c>
      <c r="K52" s="2" t="s">
        <v>27</v>
      </c>
      <c r="L52">
        <v>1779.38</v>
      </c>
      <c r="M52">
        <v>2</v>
      </c>
      <c r="N52">
        <v>7.04</v>
      </c>
      <c r="O52">
        <v>6500948</v>
      </c>
      <c r="P52" s="2" t="s">
        <v>29</v>
      </c>
      <c r="Q52" s="2" t="s">
        <v>23</v>
      </c>
      <c r="R52" s="2" t="s">
        <v>30</v>
      </c>
      <c r="S52">
        <v>4</v>
      </c>
      <c r="T52" s="1">
        <v>43119</v>
      </c>
      <c r="U52" s="1">
        <v>43120</v>
      </c>
      <c r="V52" s="2"/>
      <c r="W52" s="1">
        <f>fNotasFiscais[[#This Row],[Data da Coleta]]+fNotasFiscais[[#This Row],[Prazo Contratado]]</f>
        <v>43123</v>
      </c>
      <c r="X52" s="3">
        <f>IF(fNotasFiscais[[#This Row],[Data da Entrega]]&gt;fNotasFiscais[[#This Row],[Data Contratada]],0,1)</f>
        <v>1</v>
      </c>
      <c r="Y52" s="3">
        <f>IF(fNotasFiscais[[#This Row],[Ocorrência]]="",1,0)</f>
        <v>1</v>
      </c>
      <c r="Z52" s="2">
        <f>fNotasFiscais[[#This Row],[On Time]]*fNotasFiscais[[#This Row],[In Full]]</f>
        <v>1</v>
      </c>
      <c r="AA52">
        <f>IF(fNotasFiscais[[#This Row],[Nota Fiscal]]&lt;&gt;"",1,0)</f>
        <v>1</v>
      </c>
    </row>
    <row r="53" spans="1:27" x14ac:dyDescent="0.25">
      <c r="A53" s="1">
        <v>43104</v>
      </c>
      <c r="B53">
        <v>10418</v>
      </c>
      <c r="C53" s="2" t="s">
        <v>43</v>
      </c>
      <c r="D53" s="2" t="s">
        <v>44</v>
      </c>
      <c r="E53" s="2" t="s">
        <v>45</v>
      </c>
      <c r="F53">
        <v>4016</v>
      </c>
      <c r="G53" s="2" t="s">
        <v>68</v>
      </c>
      <c r="H53" s="2" t="s">
        <v>69</v>
      </c>
      <c r="I53" s="2" t="s">
        <v>36</v>
      </c>
      <c r="J53" s="2" t="s">
        <v>60</v>
      </c>
      <c r="K53" s="2" t="s">
        <v>36</v>
      </c>
      <c r="L53">
        <v>1763.03</v>
      </c>
      <c r="M53">
        <v>1</v>
      </c>
      <c r="N53">
        <v>9.91</v>
      </c>
      <c r="O53">
        <v>6600879</v>
      </c>
      <c r="P53" s="2" t="s">
        <v>61</v>
      </c>
      <c r="Q53" s="2" t="s">
        <v>35</v>
      </c>
      <c r="R53" s="2" t="s">
        <v>30</v>
      </c>
      <c r="S53">
        <v>2</v>
      </c>
      <c r="T53" s="1">
        <v>43105</v>
      </c>
      <c r="U53" s="1">
        <v>43114</v>
      </c>
      <c r="V53" s="2" t="s">
        <v>57</v>
      </c>
      <c r="W53" s="1">
        <f>fNotasFiscais[[#This Row],[Data da Coleta]]+fNotasFiscais[[#This Row],[Prazo Contratado]]</f>
        <v>43107</v>
      </c>
      <c r="X53" s="3">
        <f>IF(fNotasFiscais[[#This Row],[Data da Entrega]]&gt;fNotasFiscais[[#This Row],[Data Contratada]],0,1)</f>
        <v>0</v>
      </c>
      <c r="Y53" s="3">
        <f>IF(fNotasFiscais[[#This Row],[Ocorrência]]="",1,0)</f>
        <v>0</v>
      </c>
      <c r="Z53" s="2">
        <f>fNotasFiscais[[#This Row],[On Time]]*fNotasFiscais[[#This Row],[In Full]]</f>
        <v>0</v>
      </c>
      <c r="AA53">
        <f>IF(fNotasFiscais[[#This Row],[Nota Fiscal]]&lt;&gt;"",1,0)</f>
        <v>1</v>
      </c>
    </row>
    <row r="54" spans="1:27" x14ac:dyDescent="0.25">
      <c r="A54" s="1">
        <v>43104</v>
      </c>
      <c r="B54">
        <v>10419</v>
      </c>
      <c r="C54" s="2" t="s">
        <v>40</v>
      </c>
      <c r="D54" s="2" t="s">
        <v>41</v>
      </c>
      <c r="E54" s="2" t="s">
        <v>33</v>
      </c>
      <c r="F54">
        <v>4016</v>
      </c>
      <c r="G54" s="2" t="s">
        <v>68</v>
      </c>
      <c r="H54" s="2" t="s">
        <v>69</v>
      </c>
      <c r="I54" s="2" t="s">
        <v>36</v>
      </c>
      <c r="J54" s="2" t="s">
        <v>60</v>
      </c>
      <c r="K54" s="2" t="s">
        <v>36</v>
      </c>
      <c r="L54">
        <v>579.1</v>
      </c>
      <c r="M54">
        <v>1</v>
      </c>
      <c r="N54">
        <v>3.96</v>
      </c>
      <c r="O54">
        <v>6600879</v>
      </c>
      <c r="P54" s="2" t="s">
        <v>61</v>
      </c>
      <c r="Q54" s="2" t="s">
        <v>35</v>
      </c>
      <c r="R54" s="2" t="s">
        <v>30</v>
      </c>
      <c r="S54">
        <v>1</v>
      </c>
      <c r="T54" s="1">
        <v>43105</v>
      </c>
      <c r="U54" s="1">
        <v>43111</v>
      </c>
      <c r="V54" s="2"/>
      <c r="W54" s="1">
        <f>fNotasFiscais[[#This Row],[Data da Coleta]]+fNotasFiscais[[#This Row],[Prazo Contratado]]</f>
        <v>43106</v>
      </c>
      <c r="X54" s="3">
        <f>IF(fNotasFiscais[[#This Row],[Data da Entrega]]&gt;fNotasFiscais[[#This Row],[Data Contratada]],0,1)</f>
        <v>0</v>
      </c>
      <c r="Y54" s="3">
        <f>IF(fNotasFiscais[[#This Row],[Ocorrência]]="",1,0)</f>
        <v>1</v>
      </c>
      <c r="Z54" s="2">
        <f>fNotasFiscais[[#This Row],[On Time]]*fNotasFiscais[[#This Row],[In Full]]</f>
        <v>0</v>
      </c>
      <c r="AA54">
        <f>IF(fNotasFiscais[[#This Row],[Nota Fiscal]]&lt;&gt;"",1,0)</f>
        <v>1</v>
      </c>
    </row>
    <row r="55" spans="1:27" x14ac:dyDescent="0.25">
      <c r="A55" s="1">
        <v>43104</v>
      </c>
      <c r="B55">
        <v>10420</v>
      </c>
      <c r="C55" s="2" t="s">
        <v>40</v>
      </c>
      <c r="D55" s="2" t="s">
        <v>41</v>
      </c>
      <c r="E55" s="2" t="s">
        <v>33</v>
      </c>
      <c r="F55">
        <v>4016</v>
      </c>
      <c r="G55" s="2" t="s">
        <v>68</v>
      </c>
      <c r="H55" s="2" t="s">
        <v>69</v>
      </c>
      <c r="I55" s="2" t="s">
        <v>36</v>
      </c>
      <c r="J55" s="2" t="s">
        <v>60</v>
      </c>
      <c r="K55" s="2" t="s">
        <v>36</v>
      </c>
      <c r="L55">
        <v>42075.62</v>
      </c>
      <c r="M55">
        <v>8</v>
      </c>
      <c r="N55">
        <v>161.566</v>
      </c>
      <c r="O55">
        <v>6600879</v>
      </c>
      <c r="P55" s="2" t="s">
        <v>61</v>
      </c>
      <c r="Q55" s="2" t="s">
        <v>35</v>
      </c>
      <c r="R55" s="2" t="s">
        <v>30</v>
      </c>
      <c r="S55">
        <v>10</v>
      </c>
      <c r="T55" s="1">
        <v>43105</v>
      </c>
      <c r="U55" s="1">
        <v>43115</v>
      </c>
      <c r="V55" s="2" t="s">
        <v>57</v>
      </c>
      <c r="W55" s="1">
        <f>fNotasFiscais[[#This Row],[Data da Coleta]]+fNotasFiscais[[#This Row],[Prazo Contratado]]</f>
        <v>43115</v>
      </c>
      <c r="X55" s="3">
        <f>IF(fNotasFiscais[[#This Row],[Data da Entrega]]&gt;fNotasFiscais[[#This Row],[Data Contratada]],0,1)</f>
        <v>1</v>
      </c>
      <c r="Y55" s="3">
        <f>IF(fNotasFiscais[[#This Row],[Ocorrência]]="",1,0)</f>
        <v>0</v>
      </c>
      <c r="Z55" s="2">
        <f>fNotasFiscais[[#This Row],[On Time]]*fNotasFiscais[[#This Row],[In Full]]</f>
        <v>0</v>
      </c>
      <c r="AA55">
        <f>IF(fNotasFiscais[[#This Row],[Nota Fiscal]]&lt;&gt;"",1,0)</f>
        <v>1</v>
      </c>
    </row>
    <row r="56" spans="1:27" x14ac:dyDescent="0.25">
      <c r="A56" s="1">
        <v>43104</v>
      </c>
      <c r="B56">
        <v>10421</v>
      </c>
      <c r="C56" s="2" t="s">
        <v>40</v>
      </c>
      <c r="D56" s="2" t="s">
        <v>41</v>
      </c>
      <c r="E56" s="2" t="s">
        <v>33</v>
      </c>
      <c r="F56">
        <v>4016</v>
      </c>
      <c r="G56" s="2" t="s">
        <v>68</v>
      </c>
      <c r="H56" s="2" t="s">
        <v>69</v>
      </c>
      <c r="I56" s="2" t="s">
        <v>36</v>
      </c>
      <c r="J56" s="2" t="s">
        <v>60</v>
      </c>
      <c r="K56" s="2" t="s">
        <v>36</v>
      </c>
      <c r="L56">
        <v>430.9</v>
      </c>
      <c r="M56">
        <v>1</v>
      </c>
      <c r="N56">
        <v>3.96</v>
      </c>
      <c r="O56">
        <v>6600879</v>
      </c>
      <c r="P56" s="2" t="s">
        <v>61</v>
      </c>
      <c r="Q56" s="2" t="s">
        <v>35</v>
      </c>
      <c r="R56" s="2" t="s">
        <v>30</v>
      </c>
      <c r="S56">
        <v>7</v>
      </c>
      <c r="T56" s="1">
        <v>43105</v>
      </c>
      <c r="U56" s="1">
        <v>43113</v>
      </c>
      <c r="V56" s="2"/>
      <c r="W56" s="1">
        <f>fNotasFiscais[[#This Row],[Data da Coleta]]+fNotasFiscais[[#This Row],[Prazo Contratado]]</f>
        <v>43112</v>
      </c>
      <c r="X56" s="3">
        <f>IF(fNotasFiscais[[#This Row],[Data da Entrega]]&gt;fNotasFiscais[[#This Row],[Data Contratada]],0,1)</f>
        <v>0</v>
      </c>
      <c r="Y56" s="3">
        <f>IF(fNotasFiscais[[#This Row],[Ocorrência]]="",1,0)</f>
        <v>1</v>
      </c>
      <c r="Z56" s="2">
        <f>fNotasFiscais[[#This Row],[On Time]]*fNotasFiscais[[#This Row],[In Full]]</f>
        <v>0</v>
      </c>
      <c r="AA56">
        <f>IF(fNotasFiscais[[#This Row],[Nota Fiscal]]&lt;&gt;"",1,0)</f>
        <v>1</v>
      </c>
    </row>
    <row r="57" spans="1:27" x14ac:dyDescent="0.25">
      <c r="A57" s="1">
        <v>43104</v>
      </c>
      <c r="B57">
        <v>10422</v>
      </c>
      <c r="C57" s="2" t="s">
        <v>22</v>
      </c>
      <c r="D57" s="2" t="s">
        <v>23</v>
      </c>
      <c r="E57" s="2" t="s">
        <v>24</v>
      </c>
      <c r="F57">
        <v>4016</v>
      </c>
      <c r="G57" s="2" t="s">
        <v>68</v>
      </c>
      <c r="H57" s="2" t="s">
        <v>69</v>
      </c>
      <c r="I57" s="2" t="s">
        <v>36</v>
      </c>
      <c r="J57" s="2" t="s">
        <v>60</v>
      </c>
      <c r="K57" s="2" t="s">
        <v>36</v>
      </c>
      <c r="L57">
        <v>66.989999999999995</v>
      </c>
      <c r="M57">
        <v>1</v>
      </c>
      <c r="N57">
        <v>0.28100000000000003</v>
      </c>
      <c r="O57">
        <v>6600879</v>
      </c>
      <c r="P57" s="2" t="s">
        <v>61</v>
      </c>
      <c r="Q57" s="2" t="s">
        <v>35</v>
      </c>
      <c r="R57" s="2" t="s">
        <v>30</v>
      </c>
      <c r="S57">
        <v>12</v>
      </c>
      <c r="T57" s="1">
        <v>43105</v>
      </c>
      <c r="U57" s="1">
        <v>43107</v>
      </c>
      <c r="V57" s="2"/>
      <c r="W57" s="1">
        <f>fNotasFiscais[[#This Row],[Data da Coleta]]+fNotasFiscais[[#This Row],[Prazo Contratado]]</f>
        <v>43117</v>
      </c>
      <c r="X57" s="3">
        <f>IF(fNotasFiscais[[#This Row],[Data da Entrega]]&gt;fNotasFiscais[[#This Row],[Data Contratada]],0,1)</f>
        <v>1</v>
      </c>
      <c r="Y57" s="3">
        <f>IF(fNotasFiscais[[#This Row],[Ocorrência]]="",1,0)</f>
        <v>1</v>
      </c>
      <c r="Z57" s="2">
        <f>fNotasFiscais[[#This Row],[On Time]]*fNotasFiscais[[#This Row],[In Full]]</f>
        <v>1</v>
      </c>
      <c r="AA57">
        <f>IF(fNotasFiscais[[#This Row],[Nota Fiscal]]&lt;&gt;"",1,0)</f>
        <v>1</v>
      </c>
    </row>
    <row r="58" spans="1:27" x14ac:dyDescent="0.25">
      <c r="A58" s="1">
        <v>43117</v>
      </c>
      <c r="B58">
        <v>10481</v>
      </c>
      <c r="C58" s="2" t="s">
        <v>40</v>
      </c>
      <c r="D58" s="2" t="s">
        <v>41</v>
      </c>
      <c r="E58" s="2" t="s">
        <v>33</v>
      </c>
      <c r="F58">
        <v>4016</v>
      </c>
      <c r="G58" s="2" t="s">
        <v>68</v>
      </c>
      <c r="H58" s="2" t="s">
        <v>69</v>
      </c>
      <c r="I58" s="2" t="s">
        <v>36</v>
      </c>
      <c r="J58" s="2" t="s">
        <v>60</v>
      </c>
      <c r="K58" s="2" t="s">
        <v>36</v>
      </c>
      <c r="L58">
        <v>1216.82</v>
      </c>
      <c r="M58">
        <v>4</v>
      </c>
      <c r="N58">
        <v>0.88</v>
      </c>
      <c r="O58">
        <v>6600879</v>
      </c>
      <c r="P58" s="2" t="s">
        <v>61</v>
      </c>
      <c r="Q58" s="2" t="s">
        <v>35</v>
      </c>
      <c r="R58" s="2" t="s">
        <v>30</v>
      </c>
      <c r="S58">
        <v>10</v>
      </c>
      <c r="T58" s="1">
        <v>43118</v>
      </c>
      <c r="U58" s="1">
        <v>43123</v>
      </c>
      <c r="V58" s="2"/>
      <c r="W58" s="1">
        <f>fNotasFiscais[[#This Row],[Data da Coleta]]+fNotasFiscais[[#This Row],[Prazo Contratado]]</f>
        <v>43128</v>
      </c>
      <c r="X58" s="3">
        <f>IF(fNotasFiscais[[#This Row],[Data da Entrega]]&gt;fNotasFiscais[[#This Row],[Data Contratada]],0,1)</f>
        <v>1</v>
      </c>
      <c r="Y58" s="3">
        <f>IF(fNotasFiscais[[#This Row],[Ocorrência]]="",1,0)</f>
        <v>1</v>
      </c>
      <c r="Z58" s="2">
        <f>fNotasFiscais[[#This Row],[On Time]]*fNotasFiscais[[#This Row],[In Full]]</f>
        <v>1</v>
      </c>
      <c r="AA58">
        <f>IF(fNotasFiscais[[#This Row],[Nota Fiscal]]&lt;&gt;"",1,0)</f>
        <v>1</v>
      </c>
    </row>
    <row r="59" spans="1:27" x14ac:dyDescent="0.25">
      <c r="A59" s="1">
        <v>43117</v>
      </c>
      <c r="B59">
        <v>10483</v>
      </c>
      <c r="C59" s="2" t="s">
        <v>34</v>
      </c>
      <c r="D59" s="2" t="s">
        <v>35</v>
      </c>
      <c r="E59" s="2" t="s">
        <v>36</v>
      </c>
      <c r="F59">
        <v>4016</v>
      </c>
      <c r="G59" s="2" t="s">
        <v>68</v>
      </c>
      <c r="H59" s="2" t="s">
        <v>69</v>
      </c>
      <c r="I59" s="2" t="s">
        <v>36</v>
      </c>
      <c r="J59" s="2" t="s">
        <v>60</v>
      </c>
      <c r="K59" s="2" t="s">
        <v>36</v>
      </c>
      <c r="L59">
        <v>665.72</v>
      </c>
      <c r="M59">
        <v>2</v>
      </c>
      <c r="N59">
        <v>33</v>
      </c>
      <c r="O59">
        <v>6600879</v>
      </c>
      <c r="P59" s="2" t="s">
        <v>61</v>
      </c>
      <c r="Q59" s="2" t="s">
        <v>35</v>
      </c>
      <c r="R59" s="2" t="s">
        <v>30</v>
      </c>
      <c r="S59">
        <v>9</v>
      </c>
      <c r="T59" s="1">
        <v>43118</v>
      </c>
      <c r="U59" s="1">
        <v>43124</v>
      </c>
      <c r="V59" s="2"/>
      <c r="W59" s="1">
        <f>fNotasFiscais[[#This Row],[Data da Coleta]]+fNotasFiscais[[#This Row],[Prazo Contratado]]</f>
        <v>43127</v>
      </c>
      <c r="X59" s="3">
        <f>IF(fNotasFiscais[[#This Row],[Data da Entrega]]&gt;fNotasFiscais[[#This Row],[Data Contratada]],0,1)</f>
        <v>1</v>
      </c>
      <c r="Y59" s="3">
        <f>IF(fNotasFiscais[[#This Row],[Ocorrência]]="",1,0)</f>
        <v>1</v>
      </c>
      <c r="Z59" s="2">
        <f>fNotasFiscais[[#This Row],[On Time]]*fNotasFiscais[[#This Row],[In Full]]</f>
        <v>1</v>
      </c>
      <c r="AA59">
        <f>IF(fNotasFiscais[[#This Row],[Nota Fiscal]]&lt;&gt;"",1,0)</f>
        <v>1</v>
      </c>
    </row>
    <row r="60" spans="1:27" x14ac:dyDescent="0.25">
      <c r="A60" s="1">
        <v>43117</v>
      </c>
      <c r="B60">
        <v>10485</v>
      </c>
      <c r="C60" s="2" t="s">
        <v>43</v>
      </c>
      <c r="D60" s="2" t="s">
        <v>44</v>
      </c>
      <c r="E60" s="2" t="s">
        <v>45</v>
      </c>
      <c r="F60">
        <v>4016</v>
      </c>
      <c r="G60" s="2" t="s">
        <v>68</v>
      </c>
      <c r="H60" s="2" t="s">
        <v>69</v>
      </c>
      <c r="I60" s="2" t="s">
        <v>36</v>
      </c>
      <c r="J60" s="2" t="s">
        <v>60</v>
      </c>
      <c r="K60" s="2" t="s">
        <v>36</v>
      </c>
      <c r="L60">
        <v>1612.3</v>
      </c>
      <c r="M60">
        <v>4</v>
      </c>
      <c r="N60">
        <v>49.783999999999999</v>
      </c>
      <c r="O60">
        <v>6600879</v>
      </c>
      <c r="P60" s="2" t="s">
        <v>61</v>
      </c>
      <c r="Q60" s="2" t="s">
        <v>35</v>
      </c>
      <c r="R60" s="2" t="s">
        <v>30</v>
      </c>
      <c r="S60">
        <v>11</v>
      </c>
      <c r="T60" s="1">
        <v>43118</v>
      </c>
      <c r="U60" s="1">
        <v>43122</v>
      </c>
      <c r="V60" s="2"/>
      <c r="W60" s="1">
        <f>fNotasFiscais[[#This Row],[Data da Coleta]]+fNotasFiscais[[#This Row],[Prazo Contratado]]</f>
        <v>43129</v>
      </c>
      <c r="X60" s="3">
        <f>IF(fNotasFiscais[[#This Row],[Data da Entrega]]&gt;fNotasFiscais[[#This Row],[Data Contratada]],0,1)</f>
        <v>1</v>
      </c>
      <c r="Y60" s="3">
        <f>IF(fNotasFiscais[[#This Row],[Ocorrência]]="",1,0)</f>
        <v>1</v>
      </c>
      <c r="Z60" s="2">
        <f>fNotasFiscais[[#This Row],[On Time]]*fNotasFiscais[[#This Row],[In Full]]</f>
        <v>1</v>
      </c>
      <c r="AA60">
        <f>IF(fNotasFiscais[[#This Row],[Nota Fiscal]]&lt;&gt;"",1,0)</f>
        <v>1</v>
      </c>
    </row>
    <row r="61" spans="1:27" x14ac:dyDescent="0.25">
      <c r="A61" s="1">
        <v>43117</v>
      </c>
      <c r="B61">
        <v>10488</v>
      </c>
      <c r="C61" s="2" t="s">
        <v>43</v>
      </c>
      <c r="D61" s="2" t="s">
        <v>44</v>
      </c>
      <c r="E61" s="2" t="s">
        <v>45</v>
      </c>
      <c r="F61">
        <v>4016</v>
      </c>
      <c r="G61" s="2" t="s">
        <v>68</v>
      </c>
      <c r="H61" s="2" t="s">
        <v>69</v>
      </c>
      <c r="I61" s="2" t="s">
        <v>36</v>
      </c>
      <c r="J61" s="2" t="s">
        <v>60</v>
      </c>
      <c r="K61" s="2" t="s">
        <v>36</v>
      </c>
      <c r="L61">
        <v>927.7</v>
      </c>
      <c r="M61">
        <v>1</v>
      </c>
      <c r="N61">
        <v>26.4</v>
      </c>
      <c r="O61">
        <v>6600879</v>
      </c>
      <c r="P61" s="2" t="s">
        <v>61</v>
      </c>
      <c r="Q61" s="2" t="s">
        <v>35</v>
      </c>
      <c r="R61" s="2" t="s">
        <v>30</v>
      </c>
      <c r="S61">
        <v>1</v>
      </c>
      <c r="T61" s="1">
        <v>43118</v>
      </c>
      <c r="U61" s="1">
        <v>43125</v>
      </c>
      <c r="V61" s="2"/>
      <c r="W61" s="1">
        <f>fNotasFiscais[[#This Row],[Data da Coleta]]+fNotasFiscais[[#This Row],[Prazo Contratado]]</f>
        <v>43119</v>
      </c>
      <c r="X61" s="3">
        <f>IF(fNotasFiscais[[#This Row],[Data da Entrega]]&gt;fNotasFiscais[[#This Row],[Data Contratada]],0,1)</f>
        <v>0</v>
      </c>
      <c r="Y61" s="3">
        <f>IF(fNotasFiscais[[#This Row],[Ocorrência]]="",1,0)</f>
        <v>1</v>
      </c>
      <c r="Z61" s="2">
        <f>fNotasFiscais[[#This Row],[On Time]]*fNotasFiscais[[#This Row],[In Full]]</f>
        <v>0</v>
      </c>
      <c r="AA61">
        <f>IF(fNotasFiscais[[#This Row],[Nota Fiscal]]&lt;&gt;"",1,0)</f>
        <v>1</v>
      </c>
    </row>
    <row r="62" spans="1:27" x14ac:dyDescent="0.25">
      <c r="A62" s="1">
        <v>43117</v>
      </c>
      <c r="B62">
        <v>10489</v>
      </c>
      <c r="C62" s="2" t="s">
        <v>54</v>
      </c>
      <c r="D62" s="2" t="s">
        <v>55</v>
      </c>
      <c r="E62" s="2" t="s">
        <v>56</v>
      </c>
      <c r="F62">
        <v>4016</v>
      </c>
      <c r="G62" s="2" t="s">
        <v>68</v>
      </c>
      <c r="H62" s="2" t="s">
        <v>69</v>
      </c>
      <c r="I62" s="2" t="s">
        <v>36</v>
      </c>
      <c r="J62" s="2" t="s">
        <v>60</v>
      </c>
      <c r="K62" s="2" t="s">
        <v>36</v>
      </c>
      <c r="L62">
        <v>2252.85</v>
      </c>
      <c r="M62">
        <v>3</v>
      </c>
      <c r="N62">
        <v>37.152999999999999</v>
      </c>
      <c r="O62">
        <v>6600879</v>
      </c>
      <c r="P62" s="2" t="s">
        <v>61</v>
      </c>
      <c r="Q62" s="2" t="s">
        <v>35</v>
      </c>
      <c r="R62" s="2" t="s">
        <v>30</v>
      </c>
      <c r="S62">
        <v>6</v>
      </c>
      <c r="T62" s="1">
        <v>43118</v>
      </c>
      <c r="U62" s="1">
        <v>43122</v>
      </c>
      <c r="V62" s="2"/>
      <c r="W62" s="1">
        <f>fNotasFiscais[[#This Row],[Data da Coleta]]+fNotasFiscais[[#This Row],[Prazo Contratado]]</f>
        <v>43124</v>
      </c>
      <c r="X62" s="3">
        <f>IF(fNotasFiscais[[#This Row],[Data da Entrega]]&gt;fNotasFiscais[[#This Row],[Data Contratada]],0,1)</f>
        <v>1</v>
      </c>
      <c r="Y62" s="3">
        <f>IF(fNotasFiscais[[#This Row],[Ocorrência]]="",1,0)</f>
        <v>1</v>
      </c>
      <c r="Z62" s="2">
        <f>fNotasFiscais[[#This Row],[On Time]]*fNotasFiscais[[#This Row],[In Full]]</f>
        <v>1</v>
      </c>
      <c r="AA62">
        <f>IF(fNotasFiscais[[#This Row],[Nota Fiscal]]&lt;&gt;"",1,0)</f>
        <v>1</v>
      </c>
    </row>
    <row r="63" spans="1:27" x14ac:dyDescent="0.25">
      <c r="A63" s="1">
        <v>43138</v>
      </c>
      <c r="B63">
        <v>10566</v>
      </c>
      <c r="C63" s="2" t="s">
        <v>31</v>
      </c>
      <c r="D63" s="2" t="s">
        <v>32</v>
      </c>
      <c r="E63" s="2" t="s">
        <v>33</v>
      </c>
      <c r="F63">
        <v>4016</v>
      </c>
      <c r="G63" s="2" t="s">
        <v>68</v>
      </c>
      <c r="H63" s="2" t="s">
        <v>69</v>
      </c>
      <c r="I63" s="2" t="s">
        <v>36</v>
      </c>
      <c r="J63" s="2" t="s">
        <v>60</v>
      </c>
      <c r="K63" s="2" t="s">
        <v>36</v>
      </c>
      <c r="L63">
        <v>6216.79</v>
      </c>
      <c r="M63">
        <v>7</v>
      </c>
      <c r="N63">
        <v>35.981000000000002</v>
      </c>
      <c r="O63">
        <v>6600879</v>
      </c>
      <c r="P63" s="2" t="s">
        <v>61</v>
      </c>
      <c r="Q63" s="2" t="s">
        <v>35</v>
      </c>
      <c r="R63" s="2" t="s">
        <v>30</v>
      </c>
      <c r="S63">
        <v>12</v>
      </c>
      <c r="T63" s="1">
        <v>43138</v>
      </c>
      <c r="U63" s="1">
        <v>43144</v>
      </c>
      <c r="V63" s="2"/>
      <c r="W63" s="1">
        <f>fNotasFiscais[[#This Row],[Data da Coleta]]+fNotasFiscais[[#This Row],[Prazo Contratado]]</f>
        <v>43150</v>
      </c>
      <c r="X63" s="3">
        <f>IF(fNotasFiscais[[#This Row],[Data da Entrega]]&gt;fNotasFiscais[[#This Row],[Data Contratada]],0,1)</f>
        <v>1</v>
      </c>
      <c r="Y63" s="3">
        <f>IF(fNotasFiscais[[#This Row],[Ocorrência]]="",1,0)</f>
        <v>1</v>
      </c>
      <c r="Z63" s="2">
        <f>fNotasFiscais[[#This Row],[On Time]]*fNotasFiscais[[#This Row],[In Full]]</f>
        <v>1</v>
      </c>
      <c r="AA63">
        <f>IF(fNotasFiscais[[#This Row],[Nota Fiscal]]&lt;&gt;"",1,0)</f>
        <v>1</v>
      </c>
    </row>
    <row r="64" spans="1:27" x14ac:dyDescent="0.25">
      <c r="A64" s="1">
        <v>43138</v>
      </c>
      <c r="B64">
        <v>10567</v>
      </c>
      <c r="C64" s="2" t="s">
        <v>22</v>
      </c>
      <c r="D64" s="2" t="s">
        <v>23</v>
      </c>
      <c r="E64" s="2" t="s">
        <v>24</v>
      </c>
      <c r="F64">
        <v>4016</v>
      </c>
      <c r="G64" s="2" t="s">
        <v>68</v>
      </c>
      <c r="H64" s="2" t="s">
        <v>69</v>
      </c>
      <c r="I64" s="2" t="s">
        <v>36</v>
      </c>
      <c r="J64" s="2" t="s">
        <v>60</v>
      </c>
      <c r="K64" s="2" t="s">
        <v>36</v>
      </c>
      <c r="L64">
        <v>1272.18</v>
      </c>
      <c r="M64">
        <v>1</v>
      </c>
      <c r="N64">
        <v>16.72</v>
      </c>
      <c r="O64">
        <v>6600879</v>
      </c>
      <c r="P64" s="2" t="s">
        <v>61</v>
      </c>
      <c r="Q64" s="2" t="s">
        <v>35</v>
      </c>
      <c r="R64" s="2" t="s">
        <v>30</v>
      </c>
      <c r="S64">
        <v>3</v>
      </c>
      <c r="T64" s="1">
        <v>43138</v>
      </c>
      <c r="U64" s="1">
        <v>43145</v>
      </c>
      <c r="V64" s="2"/>
      <c r="W64" s="1">
        <f>fNotasFiscais[[#This Row],[Data da Coleta]]+fNotasFiscais[[#This Row],[Prazo Contratado]]</f>
        <v>43141</v>
      </c>
      <c r="X64" s="3">
        <f>IF(fNotasFiscais[[#This Row],[Data da Entrega]]&gt;fNotasFiscais[[#This Row],[Data Contratada]],0,1)</f>
        <v>0</v>
      </c>
      <c r="Y64" s="3">
        <f>IF(fNotasFiscais[[#This Row],[Ocorrência]]="",1,0)</f>
        <v>1</v>
      </c>
      <c r="Z64" s="2">
        <f>fNotasFiscais[[#This Row],[On Time]]*fNotasFiscais[[#This Row],[In Full]]</f>
        <v>0</v>
      </c>
      <c r="AA64">
        <f>IF(fNotasFiscais[[#This Row],[Nota Fiscal]]&lt;&gt;"",1,0)</f>
        <v>1</v>
      </c>
    </row>
    <row r="65" spans="1:27" x14ac:dyDescent="0.25">
      <c r="A65" s="1">
        <v>43138</v>
      </c>
      <c r="B65">
        <v>10568</v>
      </c>
      <c r="C65" s="2" t="s">
        <v>43</v>
      </c>
      <c r="D65" s="2" t="s">
        <v>44</v>
      </c>
      <c r="E65" s="2" t="s">
        <v>45</v>
      </c>
      <c r="F65">
        <v>4016</v>
      </c>
      <c r="G65" s="2" t="s">
        <v>68</v>
      </c>
      <c r="H65" s="2" t="s">
        <v>69</v>
      </c>
      <c r="I65" s="2" t="s">
        <v>36</v>
      </c>
      <c r="J65" s="2" t="s">
        <v>60</v>
      </c>
      <c r="K65" s="2" t="s">
        <v>36</v>
      </c>
      <c r="L65">
        <v>605.67999999999995</v>
      </c>
      <c r="M65">
        <v>2</v>
      </c>
      <c r="N65">
        <v>2.948</v>
      </c>
      <c r="O65">
        <v>6600879</v>
      </c>
      <c r="P65" s="2" t="s">
        <v>61</v>
      </c>
      <c r="Q65" s="2" t="s">
        <v>35</v>
      </c>
      <c r="R65" s="2" t="s">
        <v>30</v>
      </c>
      <c r="S65">
        <v>5</v>
      </c>
      <c r="T65" s="1">
        <v>43138</v>
      </c>
      <c r="U65" s="1">
        <v>43140</v>
      </c>
      <c r="V65" s="2"/>
      <c r="W65" s="1">
        <f>fNotasFiscais[[#This Row],[Data da Coleta]]+fNotasFiscais[[#This Row],[Prazo Contratado]]</f>
        <v>43143</v>
      </c>
      <c r="X65" s="3">
        <f>IF(fNotasFiscais[[#This Row],[Data da Entrega]]&gt;fNotasFiscais[[#This Row],[Data Contratada]],0,1)</f>
        <v>1</v>
      </c>
      <c r="Y65" s="3">
        <f>IF(fNotasFiscais[[#This Row],[Ocorrência]]="",1,0)</f>
        <v>1</v>
      </c>
      <c r="Z65" s="2">
        <f>fNotasFiscais[[#This Row],[On Time]]*fNotasFiscais[[#This Row],[In Full]]</f>
        <v>1</v>
      </c>
      <c r="AA65">
        <f>IF(fNotasFiscais[[#This Row],[Nota Fiscal]]&lt;&gt;"",1,0)</f>
        <v>1</v>
      </c>
    </row>
    <row r="66" spans="1:27" x14ac:dyDescent="0.25">
      <c r="A66" s="1">
        <v>43138</v>
      </c>
      <c r="B66">
        <v>10569</v>
      </c>
      <c r="C66" s="2" t="s">
        <v>54</v>
      </c>
      <c r="D66" s="2" t="s">
        <v>55</v>
      </c>
      <c r="E66" s="2" t="s">
        <v>56</v>
      </c>
      <c r="F66">
        <v>4016</v>
      </c>
      <c r="G66" s="2" t="s">
        <v>68</v>
      </c>
      <c r="H66" s="2" t="s">
        <v>69</v>
      </c>
      <c r="I66" s="2" t="s">
        <v>36</v>
      </c>
      <c r="J66" s="2" t="s">
        <v>60</v>
      </c>
      <c r="K66" s="2" t="s">
        <v>36</v>
      </c>
      <c r="L66">
        <v>693.39</v>
      </c>
      <c r="M66">
        <v>1</v>
      </c>
      <c r="N66">
        <v>0.38300000000000001</v>
      </c>
      <c r="O66">
        <v>6600879</v>
      </c>
      <c r="P66" s="2" t="s">
        <v>61</v>
      </c>
      <c r="Q66" s="2" t="s">
        <v>35</v>
      </c>
      <c r="R66" s="2" t="s">
        <v>30</v>
      </c>
      <c r="S66">
        <v>12</v>
      </c>
      <c r="T66" s="1">
        <v>43138</v>
      </c>
      <c r="U66" s="1">
        <v>43144</v>
      </c>
      <c r="V66" s="2"/>
      <c r="W66" s="1">
        <f>fNotasFiscais[[#This Row],[Data da Coleta]]+fNotasFiscais[[#This Row],[Prazo Contratado]]</f>
        <v>43150</v>
      </c>
      <c r="X66" s="3">
        <f>IF(fNotasFiscais[[#This Row],[Data da Entrega]]&gt;fNotasFiscais[[#This Row],[Data Contratada]],0,1)</f>
        <v>1</v>
      </c>
      <c r="Y66" s="3">
        <f>IF(fNotasFiscais[[#This Row],[Ocorrência]]="",1,0)</f>
        <v>1</v>
      </c>
      <c r="Z66" s="2">
        <f>fNotasFiscais[[#This Row],[On Time]]*fNotasFiscais[[#This Row],[In Full]]</f>
        <v>1</v>
      </c>
      <c r="AA66">
        <f>IF(fNotasFiscais[[#This Row],[Nota Fiscal]]&lt;&gt;"",1,0)</f>
        <v>1</v>
      </c>
    </row>
    <row r="67" spans="1:27" x14ac:dyDescent="0.25">
      <c r="A67" s="1">
        <v>43138</v>
      </c>
      <c r="B67">
        <v>10570</v>
      </c>
      <c r="C67" s="2" t="s">
        <v>31</v>
      </c>
      <c r="D67" s="2" t="s">
        <v>32</v>
      </c>
      <c r="E67" s="2" t="s">
        <v>33</v>
      </c>
      <c r="F67">
        <v>4016</v>
      </c>
      <c r="G67" s="2" t="s">
        <v>68</v>
      </c>
      <c r="H67" s="2" t="s">
        <v>69</v>
      </c>
      <c r="I67" s="2" t="s">
        <v>36</v>
      </c>
      <c r="J67" s="2" t="s">
        <v>60</v>
      </c>
      <c r="K67" s="2" t="s">
        <v>36</v>
      </c>
      <c r="L67">
        <v>4021.45</v>
      </c>
      <c r="M67">
        <v>6</v>
      </c>
      <c r="N67">
        <v>20.757999999999999</v>
      </c>
      <c r="O67">
        <v>6600879</v>
      </c>
      <c r="P67" s="2" t="s">
        <v>61</v>
      </c>
      <c r="Q67" s="2" t="s">
        <v>35</v>
      </c>
      <c r="R67" s="2" t="s">
        <v>30</v>
      </c>
      <c r="S67">
        <v>10</v>
      </c>
      <c r="T67" s="1">
        <v>43138</v>
      </c>
      <c r="U67" s="1">
        <v>43142</v>
      </c>
      <c r="V67" s="2"/>
      <c r="W67" s="1">
        <f>fNotasFiscais[[#This Row],[Data da Coleta]]+fNotasFiscais[[#This Row],[Prazo Contratado]]</f>
        <v>43148</v>
      </c>
      <c r="X67" s="3">
        <f>IF(fNotasFiscais[[#This Row],[Data da Entrega]]&gt;fNotasFiscais[[#This Row],[Data Contratada]],0,1)</f>
        <v>1</v>
      </c>
      <c r="Y67" s="3">
        <f>IF(fNotasFiscais[[#This Row],[Ocorrência]]="",1,0)</f>
        <v>1</v>
      </c>
      <c r="Z67" s="2">
        <f>fNotasFiscais[[#This Row],[On Time]]*fNotasFiscais[[#This Row],[In Full]]</f>
        <v>1</v>
      </c>
      <c r="AA67">
        <f>IF(fNotasFiscais[[#This Row],[Nota Fiscal]]&lt;&gt;"",1,0)</f>
        <v>1</v>
      </c>
    </row>
    <row r="68" spans="1:27" x14ac:dyDescent="0.25">
      <c r="A68" s="1">
        <v>43117</v>
      </c>
      <c r="B68">
        <v>10477</v>
      </c>
      <c r="C68" s="2" t="s">
        <v>40</v>
      </c>
      <c r="D68" s="2" t="s">
        <v>41</v>
      </c>
      <c r="E68" s="2" t="s">
        <v>33</v>
      </c>
      <c r="F68">
        <v>4036</v>
      </c>
      <c r="G68" s="2" t="s">
        <v>70</v>
      </c>
      <c r="H68" s="2" t="s">
        <v>47</v>
      </c>
      <c r="I68" s="2" t="s">
        <v>48</v>
      </c>
      <c r="J68" s="2" t="s">
        <v>49</v>
      </c>
      <c r="K68" s="2" t="s">
        <v>48</v>
      </c>
      <c r="L68">
        <v>1419.55</v>
      </c>
      <c r="M68">
        <v>1</v>
      </c>
      <c r="N68">
        <v>3.3090000000000002</v>
      </c>
      <c r="O68">
        <v>6100231</v>
      </c>
      <c r="P68" s="2" t="s">
        <v>50</v>
      </c>
      <c r="Q68" s="2" t="s">
        <v>51</v>
      </c>
      <c r="R68" s="2" t="s">
        <v>30</v>
      </c>
      <c r="S68">
        <v>7</v>
      </c>
      <c r="T68" s="1">
        <v>43118</v>
      </c>
      <c r="U68" s="1">
        <v>43125</v>
      </c>
      <c r="V68" s="2"/>
      <c r="W68" s="1">
        <f>fNotasFiscais[[#This Row],[Data da Coleta]]+fNotasFiscais[[#This Row],[Prazo Contratado]]</f>
        <v>43125</v>
      </c>
      <c r="X68" s="3">
        <f>IF(fNotasFiscais[[#This Row],[Data da Entrega]]&gt;fNotasFiscais[[#This Row],[Data Contratada]],0,1)</f>
        <v>1</v>
      </c>
      <c r="Y68" s="3">
        <f>IF(fNotasFiscais[[#This Row],[Ocorrência]]="",1,0)</f>
        <v>1</v>
      </c>
      <c r="Z68" s="2">
        <f>fNotasFiscais[[#This Row],[On Time]]*fNotasFiscais[[#This Row],[In Full]]</f>
        <v>1</v>
      </c>
      <c r="AA68">
        <f>IF(fNotasFiscais[[#This Row],[Nota Fiscal]]&lt;&gt;"",1,0)</f>
        <v>1</v>
      </c>
    </row>
    <row r="69" spans="1:27" x14ac:dyDescent="0.25">
      <c r="A69" s="1">
        <v>43136</v>
      </c>
      <c r="B69">
        <v>10560</v>
      </c>
      <c r="C69" s="2" t="s">
        <v>34</v>
      </c>
      <c r="D69" s="2" t="s">
        <v>35</v>
      </c>
      <c r="E69" s="2" t="s">
        <v>36</v>
      </c>
      <c r="F69">
        <v>4051</v>
      </c>
      <c r="G69" s="2" t="s">
        <v>71</v>
      </c>
      <c r="H69" s="2" t="s">
        <v>64</v>
      </c>
      <c r="I69" s="2" t="s">
        <v>65</v>
      </c>
      <c r="J69" s="2" t="s">
        <v>49</v>
      </c>
      <c r="K69" s="2" t="s">
        <v>65</v>
      </c>
      <c r="L69">
        <v>669.1</v>
      </c>
      <c r="M69">
        <v>2</v>
      </c>
      <c r="N69">
        <v>1.1659999999999999</v>
      </c>
      <c r="O69">
        <v>6100231</v>
      </c>
      <c r="P69" s="2" t="s">
        <v>50</v>
      </c>
      <c r="Q69" s="2" t="s">
        <v>51</v>
      </c>
      <c r="R69" s="2" t="s">
        <v>30</v>
      </c>
      <c r="S69">
        <v>9</v>
      </c>
      <c r="T69" s="1">
        <v>43137</v>
      </c>
      <c r="U69" s="1">
        <v>43141</v>
      </c>
      <c r="V69" s="2"/>
      <c r="W69" s="1">
        <f>fNotasFiscais[[#This Row],[Data da Coleta]]+fNotasFiscais[[#This Row],[Prazo Contratado]]</f>
        <v>43146</v>
      </c>
      <c r="X69" s="3">
        <f>IF(fNotasFiscais[[#This Row],[Data da Entrega]]&gt;fNotasFiscais[[#This Row],[Data Contratada]],0,1)</f>
        <v>1</v>
      </c>
      <c r="Y69" s="3">
        <f>IF(fNotasFiscais[[#This Row],[Ocorrência]]="",1,0)</f>
        <v>1</v>
      </c>
      <c r="Z69" s="2">
        <f>fNotasFiscais[[#This Row],[On Time]]*fNotasFiscais[[#This Row],[In Full]]</f>
        <v>1</v>
      </c>
      <c r="AA69">
        <f>IF(fNotasFiscais[[#This Row],[Nota Fiscal]]&lt;&gt;"",1,0)</f>
        <v>1</v>
      </c>
    </row>
    <row r="70" spans="1:27" x14ac:dyDescent="0.25">
      <c r="A70" s="1">
        <v>43117</v>
      </c>
      <c r="B70">
        <v>10482</v>
      </c>
      <c r="C70" s="2" t="s">
        <v>40</v>
      </c>
      <c r="D70" s="2" t="s">
        <v>41</v>
      </c>
      <c r="E70" s="2" t="s">
        <v>33</v>
      </c>
      <c r="F70">
        <v>4038</v>
      </c>
      <c r="G70" s="2" t="s">
        <v>72</v>
      </c>
      <c r="H70" s="2" t="s">
        <v>51</v>
      </c>
      <c r="I70" s="2" t="s">
        <v>73</v>
      </c>
      <c r="J70" s="2" t="s">
        <v>49</v>
      </c>
      <c r="K70" s="2" t="s">
        <v>73</v>
      </c>
      <c r="L70">
        <v>469.5</v>
      </c>
      <c r="M70">
        <v>2</v>
      </c>
      <c r="N70">
        <v>0.44</v>
      </c>
      <c r="O70">
        <v>6100231</v>
      </c>
      <c r="P70" s="2" t="s">
        <v>50</v>
      </c>
      <c r="Q70" s="2" t="s">
        <v>51</v>
      </c>
      <c r="R70" s="2" t="s">
        <v>30</v>
      </c>
      <c r="S70">
        <v>12</v>
      </c>
      <c r="T70" s="1">
        <v>43118</v>
      </c>
      <c r="U70" s="1">
        <v>43121</v>
      </c>
      <c r="V70" s="2"/>
      <c r="W70" s="1">
        <f>fNotasFiscais[[#This Row],[Data da Coleta]]+fNotasFiscais[[#This Row],[Prazo Contratado]]</f>
        <v>43130</v>
      </c>
      <c r="X70" s="3">
        <f>IF(fNotasFiscais[[#This Row],[Data da Entrega]]&gt;fNotasFiscais[[#This Row],[Data Contratada]],0,1)</f>
        <v>1</v>
      </c>
      <c r="Y70" s="3">
        <f>IF(fNotasFiscais[[#This Row],[Ocorrência]]="",1,0)</f>
        <v>1</v>
      </c>
      <c r="Z70" s="2">
        <f>fNotasFiscais[[#This Row],[On Time]]*fNotasFiscais[[#This Row],[In Full]]</f>
        <v>1</v>
      </c>
      <c r="AA70">
        <f>IF(fNotasFiscais[[#This Row],[Nota Fiscal]]&lt;&gt;"",1,0)</f>
        <v>1</v>
      </c>
    </row>
    <row r="71" spans="1:27" x14ac:dyDescent="0.25">
      <c r="A71" s="1">
        <v>43117</v>
      </c>
      <c r="B71">
        <v>10484</v>
      </c>
      <c r="C71" s="2" t="s">
        <v>31</v>
      </c>
      <c r="D71" s="2" t="s">
        <v>32</v>
      </c>
      <c r="E71" s="2" t="s">
        <v>33</v>
      </c>
      <c r="F71">
        <v>4038</v>
      </c>
      <c r="G71" s="2" t="s">
        <v>72</v>
      </c>
      <c r="H71" s="2" t="s">
        <v>51</v>
      </c>
      <c r="I71" s="2" t="s">
        <v>73</v>
      </c>
      <c r="J71" s="2" t="s">
        <v>49</v>
      </c>
      <c r="K71" s="2" t="s">
        <v>73</v>
      </c>
      <c r="L71">
        <v>586.73</v>
      </c>
      <c r="M71">
        <v>2</v>
      </c>
      <c r="N71">
        <v>0.44</v>
      </c>
      <c r="O71">
        <v>6100231</v>
      </c>
      <c r="P71" s="2" t="s">
        <v>50</v>
      </c>
      <c r="Q71" s="2" t="s">
        <v>51</v>
      </c>
      <c r="R71" s="2" t="s">
        <v>30</v>
      </c>
      <c r="S71">
        <v>2</v>
      </c>
      <c r="T71" s="1">
        <v>43118</v>
      </c>
      <c r="U71" s="1">
        <v>43127</v>
      </c>
      <c r="V71" s="2"/>
      <c r="W71" s="1">
        <f>fNotasFiscais[[#This Row],[Data da Coleta]]+fNotasFiscais[[#This Row],[Prazo Contratado]]</f>
        <v>43120</v>
      </c>
      <c r="X71" s="3">
        <f>IF(fNotasFiscais[[#This Row],[Data da Entrega]]&gt;fNotasFiscais[[#This Row],[Data Contratada]],0,1)</f>
        <v>0</v>
      </c>
      <c r="Y71" s="3">
        <f>IF(fNotasFiscais[[#This Row],[Ocorrência]]="",1,0)</f>
        <v>1</v>
      </c>
      <c r="Z71" s="2">
        <f>fNotasFiscais[[#This Row],[On Time]]*fNotasFiscais[[#This Row],[In Full]]</f>
        <v>0</v>
      </c>
      <c r="AA71">
        <f>IF(fNotasFiscais[[#This Row],[Nota Fiscal]]&lt;&gt;"",1,0)</f>
        <v>1</v>
      </c>
    </row>
    <row r="72" spans="1:27" x14ac:dyDescent="0.25">
      <c r="A72" s="1">
        <v>43117</v>
      </c>
      <c r="B72">
        <v>10486</v>
      </c>
      <c r="C72" s="2" t="s">
        <v>52</v>
      </c>
      <c r="D72" s="2" t="s">
        <v>53</v>
      </c>
      <c r="E72" s="2" t="s">
        <v>33</v>
      </c>
      <c r="F72">
        <v>4038</v>
      </c>
      <c r="G72" s="2" t="s">
        <v>72</v>
      </c>
      <c r="H72" s="2" t="s">
        <v>51</v>
      </c>
      <c r="I72" s="2" t="s">
        <v>73</v>
      </c>
      <c r="J72" s="2" t="s">
        <v>49</v>
      </c>
      <c r="K72" s="2" t="s">
        <v>73</v>
      </c>
      <c r="L72">
        <v>1179.1199999999999</v>
      </c>
      <c r="M72">
        <v>4</v>
      </c>
      <c r="N72">
        <v>0.88</v>
      </c>
      <c r="O72">
        <v>6100231</v>
      </c>
      <c r="P72" s="2" t="s">
        <v>50</v>
      </c>
      <c r="Q72" s="2" t="s">
        <v>51</v>
      </c>
      <c r="R72" s="2" t="s">
        <v>30</v>
      </c>
      <c r="S72">
        <v>9</v>
      </c>
      <c r="T72" s="1">
        <v>43118</v>
      </c>
      <c r="U72" s="1">
        <v>43127</v>
      </c>
      <c r="V72" s="2"/>
      <c r="W72" s="1">
        <f>fNotasFiscais[[#This Row],[Data da Coleta]]+fNotasFiscais[[#This Row],[Prazo Contratado]]</f>
        <v>43127</v>
      </c>
      <c r="X72" s="3">
        <f>IF(fNotasFiscais[[#This Row],[Data da Entrega]]&gt;fNotasFiscais[[#This Row],[Data Contratada]],0,1)</f>
        <v>1</v>
      </c>
      <c r="Y72" s="3">
        <f>IF(fNotasFiscais[[#This Row],[Ocorrência]]="",1,0)</f>
        <v>1</v>
      </c>
      <c r="Z72" s="2">
        <f>fNotasFiscais[[#This Row],[On Time]]*fNotasFiscais[[#This Row],[In Full]]</f>
        <v>1</v>
      </c>
      <c r="AA72">
        <f>IF(fNotasFiscais[[#This Row],[Nota Fiscal]]&lt;&gt;"",1,0)</f>
        <v>1</v>
      </c>
    </row>
    <row r="73" spans="1:27" x14ac:dyDescent="0.25">
      <c r="A73" s="1">
        <v>43117</v>
      </c>
      <c r="B73">
        <v>10487</v>
      </c>
      <c r="C73" s="2" t="s">
        <v>40</v>
      </c>
      <c r="D73" s="2" t="s">
        <v>41</v>
      </c>
      <c r="E73" s="2" t="s">
        <v>33</v>
      </c>
      <c r="F73">
        <v>4038</v>
      </c>
      <c r="G73" s="2" t="s">
        <v>72</v>
      </c>
      <c r="H73" s="2" t="s">
        <v>51</v>
      </c>
      <c r="I73" s="2" t="s">
        <v>73</v>
      </c>
      <c r="J73" s="2" t="s">
        <v>49</v>
      </c>
      <c r="K73" s="2" t="s">
        <v>73</v>
      </c>
      <c r="L73">
        <v>424.88</v>
      </c>
      <c r="M73">
        <v>1</v>
      </c>
      <c r="N73">
        <v>4.4409999999999998</v>
      </c>
      <c r="O73">
        <v>6100231</v>
      </c>
      <c r="P73" s="2" t="s">
        <v>50</v>
      </c>
      <c r="Q73" s="2" t="s">
        <v>51</v>
      </c>
      <c r="R73" s="2" t="s">
        <v>30</v>
      </c>
      <c r="S73">
        <v>9</v>
      </c>
      <c r="T73" s="1">
        <v>43118</v>
      </c>
      <c r="U73" s="1">
        <v>43125</v>
      </c>
      <c r="V73" s="2"/>
      <c r="W73" s="1">
        <f>fNotasFiscais[[#This Row],[Data da Coleta]]+fNotasFiscais[[#This Row],[Prazo Contratado]]</f>
        <v>43127</v>
      </c>
      <c r="X73" s="3">
        <f>IF(fNotasFiscais[[#This Row],[Data da Entrega]]&gt;fNotasFiscais[[#This Row],[Data Contratada]],0,1)</f>
        <v>1</v>
      </c>
      <c r="Y73" s="3">
        <f>IF(fNotasFiscais[[#This Row],[Ocorrência]]="",1,0)</f>
        <v>1</v>
      </c>
      <c r="Z73" s="2">
        <f>fNotasFiscais[[#This Row],[On Time]]*fNotasFiscais[[#This Row],[In Full]]</f>
        <v>1</v>
      </c>
      <c r="AA73">
        <f>IF(fNotasFiscais[[#This Row],[Nota Fiscal]]&lt;&gt;"",1,0)</f>
        <v>1</v>
      </c>
    </row>
    <row r="74" spans="1:27" x14ac:dyDescent="0.25">
      <c r="A74" s="1">
        <v>43105</v>
      </c>
      <c r="B74">
        <v>10423</v>
      </c>
      <c r="C74" s="2" t="s">
        <v>54</v>
      </c>
      <c r="D74" s="2" t="s">
        <v>55</v>
      </c>
      <c r="E74" s="2" t="s">
        <v>56</v>
      </c>
      <c r="F74">
        <v>4017</v>
      </c>
      <c r="G74" s="2" t="s">
        <v>74</v>
      </c>
      <c r="H74" s="2" t="s">
        <v>75</v>
      </c>
      <c r="I74" s="2" t="s">
        <v>39</v>
      </c>
      <c r="J74" s="2" t="s">
        <v>28</v>
      </c>
      <c r="K74" s="2" t="s">
        <v>39</v>
      </c>
      <c r="L74">
        <v>6.49</v>
      </c>
      <c r="M74">
        <v>1</v>
      </c>
      <c r="N74">
        <v>1.0269999999999999</v>
      </c>
      <c r="O74">
        <v>6500948</v>
      </c>
      <c r="P74" s="2" t="s">
        <v>29</v>
      </c>
      <c r="Q74" s="2" t="s">
        <v>23</v>
      </c>
      <c r="R74" s="2" t="s">
        <v>30</v>
      </c>
      <c r="S74">
        <v>10</v>
      </c>
      <c r="T74" s="1">
        <v>43106</v>
      </c>
      <c r="U74" s="1">
        <v>43109</v>
      </c>
      <c r="V74" s="2"/>
      <c r="W74" s="1">
        <f>fNotasFiscais[[#This Row],[Data da Coleta]]+fNotasFiscais[[#This Row],[Prazo Contratado]]</f>
        <v>43116</v>
      </c>
      <c r="X74" s="3">
        <f>IF(fNotasFiscais[[#This Row],[Data da Entrega]]&gt;fNotasFiscais[[#This Row],[Data Contratada]],0,1)</f>
        <v>1</v>
      </c>
      <c r="Y74" s="3">
        <f>IF(fNotasFiscais[[#This Row],[Ocorrência]]="",1,0)</f>
        <v>1</v>
      </c>
      <c r="Z74" s="2">
        <f>fNotasFiscais[[#This Row],[On Time]]*fNotasFiscais[[#This Row],[In Full]]</f>
        <v>1</v>
      </c>
      <c r="AA74">
        <f>IF(fNotasFiscais[[#This Row],[Nota Fiscal]]&lt;&gt;"",1,0)</f>
        <v>1</v>
      </c>
    </row>
    <row r="75" spans="1:27" x14ac:dyDescent="0.25">
      <c r="A75" s="1">
        <v>43160</v>
      </c>
      <c r="B75">
        <v>10646</v>
      </c>
      <c r="C75" s="2" t="s">
        <v>40</v>
      </c>
      <c r="D75" s="2" t="s">
        <v>41</v>
      </c>
      <c r="E75" s="2" t="s">
        <v>33</v>
      </c>
      <c r="F75">
        <v>4065</v>
      </c>
      <c r="G75" s="2" t="s">
        <v>76</v>
      </c>
      <c r="H75" s="2" t="s">
        <v>47</v>
      </c>
      <c r="I75" s="2" t="s">
        <v>48</v>
      </c>
      <c r="J75" s="2" t="s">
        <v>49</v>
      </c>
      <c r="K75" s="2" t="s">
        <v>48</v>
      </c>
      <c r="L75">
        <v>4328.0600000000004</v>
      </c>
      <c r="M75">
        <v>4</v>
      </c>
      <c r="N75">
        <v>29.175999999999998</v>
      </c>
      <c r="O75">
        <v>6100231</v>
      </c>
      <c r="P75" s="2" t="s">
        <v>50</v>
      </c>
      <c r="Q75" s="2" t="s">
        <v>51</v>
      </c>
      <c r="R75" s="2" t="s">
        <v>30</v>
      </c>
      <c r="S75">
        <v>8</v>
      </c>
      <c r="T75" s="1">
        <v>43161</v>
      </c>
      <c r="U75" s="1">
        <v>43169</v>
      </c>
      <c r="V75" s="2"/>
      <c r="W75" s="1">
        <f>fNotasFiscais[[#This Row],[Data da Coleta]]+fNotasFiscais[[#This Row],[Prazo Contratado]]</f>
        <v>43169</v>
      </c>
      <c r="X75" s="3">
        <f>IF(fNotasFiscais[[#This Row],[Data da Entrega]]&gt;fNotasFiscais[[#This Row],[Data Contratada]],0,1)</f>
        <v>1</v>
      </c>
      <c r="Y75" s="3">
        <f>IF(fNotasFiscais[[#This Row],[Ocorrência]]="",1,0)</f>
        <v>1</v>
      </c>
      <c r="Z75" s="2">
        <f>fNotasFiscais[[#This Row],[On Time]]*fNotasFiscais[[#This Row],[In Full]]</f>
        <v>1</v>
      </c>
      <c r="AA75">
        <f>IF(fNotasFiscais[[#This Row],[Nota Fiscal]]&lt;&gt;"",1,0)</f>
        <v>1</v>
      </c>
    </row>
    <row r="76" spans="1:27" x14ac:dyDescent="0.25">
      <c r="A76" s="1">
        <v>43105</v>
      </c>
      <c r="B76">
        <v>10426</v>
      </c>
      <c r="C76" s="2" t="s">
        <v>22</v>
      </c>
      <c r="D76" s="2" t="s">
        <v>23</v>
      </c>
      <c r="E76" s="2" t="s">
        <v>24</v>
      </c>
      <c r="F76">
        <v>4018</v>
      </c>
      <c r="G76" s="2" t="s">
        <v>77</v>
      </c>
      <c r="H76" s="2" t="s">
        <v>78</v>
      </c>
      <c r="I76" s="2" t="s">
        <v>39</v>
      </c>
      <c r="J76" s="2" t="s">
        <v>28</v>
      </c>
      <c r="K76" s="2" t="s">
        <v>39</v>
      </c>
      <c r="L76">
        <v>4705.2700000000004</v>
      </c>
      <c r="M76">
        <v>3</v>
      </c>
      <c r="N76">
        <v>13.433</v>
      </c>
      <c r="O76">
        <v>6500948</v>
      </c>
      <c r="P76" s="2" t="s">
        <v>29</v>
      </c>
      <c r="Q76" s="2" t="s">
        <v>23</v>
      </c>
      <c r="R76" s="2" t="s">
        <v>30</v>
      </c>
      <c r="S76">
        <v>5</v>
      </c>
      <c r="T76" s="1">
        <v>43106</v>
      </c>
      <c r="U76" s="1">
        <v>43109</v>
      </c>
      <c r="V76" s="2"/>
      <c r="W76" s="1">
        <f>fNotasFiscais[[#This Row],[Data da Coleta]]+fNotasFiscais[[#This Row],[Prazo Contratado]]</f>
        <v>43111</v>
      </c>
      <c r="X76" s="3">
        <f>IF(fNotasFiscais[[#This Row],[Data da Entrega]]&gt;fNotasFiscais[[#This Row],[Data Contratada]],0,1)</f>
        <v>1</v>
      </c>
      <c r="Y76" s="3">
        <f>IF(fNotasFiscais[[#This Row],[Ocorrência]]="",1,0)</f>
        <v>1</v>
      </c>
      <c r="Z76" s="2">
        <f>fNotasFiscais[[#This Row],[On Time]]*fNotasFiscais[[#This Row],[In Full]]</f>
        <v>1</v>
      </c>
      <c r="AA76">
        <f>IF(fNotasFiscais[[#This Row],[Nota Fiscal]]&lt;&gt;"",1,0)</f>
        <v>1</v>
      </c>
    </row>
    <row r="77" spans="1:27" x14ac:dyDescent="0.25">
      <c r="A77" s="1">
        <v>43105</v>
      </c>
      <c r="B77">
        <v>10427</v>
      </c>
      <c r="C77" s="2" t="s">
        <v>43</v>
      </c>
      <c r="D77" s="2" t="s">
        <v>44</v>
      </c>
      <c r="E77" s="2" t="s">
        <v>45</v>
      </c>
      <c r="F77">
        <v>4018</v>
      </c>
      <c r="G77" s="2" t="s">
        <v>77</v>
      </c>
      <c r="H77" s="2" t="s">
        <v>78</v>
      </c>
      <c r="I77" s="2" t="s">
        <v>39</v>
      </c>
      <c r="J77" s="2" t="s">
        <v>28</v>
      </c>
      <c r="K77" s="2" t="s">
        <v>39</v>
      </c>
      <c r="L77">
        <v>3724.66</v>
      </c>
      <c r="M77">
        <v>1</v>
      </c>
      <c r="N77">
        <v>9.8350000000000009</v>
      </c>
      <c r="O77">
        <v>6500948</v>
      </c>
      <c r="P77" s="2" t="s">
        <v>29</v>
      </c>
      <c r="Q77" s="2" t="s">
        <v>23</v>
      </c>
      <c r="R77" s="2" t="s">
        <v>30</v>
      </c>
      <c r="S77">
        <v>2</v>
      </c>
      <c r="T77" s="1">
        <v>43106</v>
      </c>
      <c r="U77" s="1">
        <v>43108</v>
      </c>
      <c r="V77" s="2"/>
      <c r="W77" s="1">
        <f>fNotasFiscais[[#This Row],[Data da Coleta]]+fNotasFiscais[[#This Row],[Prazo Contratado]]</f>
        <v>43108</v>
      </c>
      <c r="X77" s="3">
        <f>IF(fNotasFiscais[[#This Row],[Data da Entrega]]&gt;fNotasFiscais[[#This Row],[Data Contratada]],0,1)</f>
        <v>1</v>
      </c>
      <c r="Y77" s="3">
        <f>IF(fNotasFiscais[[#This Row],[Ocorrência]]="",1,0)</f>
        <v>1</v>
      </c>
      <c r="Z77" s="2">
        <f>fNotasFiscais[[#This Row],[On Time]]*fNotasFiscais[[#This Row],[In Full]]</f>
        <v>1</v>
      </c>
      <c r="AA77">
        <f>IF(fNotasFiscais[[#This Row],[Nota Fiscal]]&lt;&gt;"",1,0)</f>
        <v>1</v>
      </c>
    </row>
    <row r="78" spans="1:27" x14ac:dyDescent="0.25">
      <c r="A78" s="1">
        <v>43123</v>
      </c>
      <c r="B78">
        <v>10496</v>
      </c>
      <c r="C78" s="2" t="s">
        <v>34</v>
      </c>
      <c r="D78" s="2" t="s">
        <v>35</v>
      </c>
      <c r="E78" s="2" t="s">
        <v>36</v>
      </c>
      <c r="F78">
        <v>4018</v>
      </c>
      <c r="G78" s="2" t="s">
        <v>77</v>
      </c>
      <c r="H78" s="2" t="s">
        <v>78</v>
      </c>
      <c r="I78" s="2" t="s">
        <v>39</v>
      </c>
      <c r="J78" s="2" t="s">
        <v>28</v>
      </c>
      <c r="K78" s="2" t="s">
        <v>39</v>
      </c>
      <c r="L78">
        <v>367.2</v>
      </c>
      <c r="M78">
        <v>1</v>
      </c>
      <c r="N78">
        <v>8.734</v>
      </c>
      <c r="O78">
        <v>6500948</v>
      </c>
      <c r="P78" s="2" t="s">
        <v>29</v>
      </c>
      <c r="Q78" s="2" t="s">
        <v>23</v>
      </c>
      <c r="R78" s="2" t="s">
        <v>30</v>
      </c>
      <c r="S78">
        <v>5</v>
      </c>
      <c r="T78" s="1">
        <v>43124</v>
      </c>
      <c r="U78" s="1">
        <v>43131</v>
      </c>
      <c r="V78" s="2"/>
      <c r="W78" s="1">
        <f>fNotasFiscais[[#This Row],[Data da Coleta]]+fNotasFiscais[[#This Row],[Prazo Contratado]]</f>
        <v>43129</v>
      </c>
      <c r="X78" s="3">
        <f>IF(fNotasFiscais[[#This Row],[Data da Entrega]]&gt;fNotasFiscais[[#This Row],[Data Contratada]],0,1)</f>
        <v>0</v>
      </c>
      <c r="Y78" s="3">
        <f>IF(fNotasFiscais[[#This Row],[Ocorrência]]="",1,0)</f>
        <v>1</v>
      </c>
      <c r="Z78" s="2">
        <f>fNotasFiscais[[#This Row],[On Time]]*fNotasFiscais[[#This Row],[In Full]]</f>
        <v>0</v>
      </c>
      <c r="AA78">
        <f>IF(fNotasFiscais[[#This Row],[Nota Fiscal]]&lt;&gt;"",1,0)</f>
        <v>1</v>
      </c>
    </row>
    <row r="79" spans="1:27" x14ac:dyDescent="0.25">
      <c r="A79" s="1">
        <v>43123</v>
      </c>
      <c r="B79">
        <v>10497</v>
      </c>
      <c r="C79" s="2" t="s">
        <v>52</v>
      </c>
      <c r="D79" s="2" t="s">
        <v>53</v>
      </c>
      <c r="E79" s="2" t="s">
        <v>33</v>
      </c>
      <c r="F79">
        <v>4018</v>
      </c>
      <c r="G79" s="2" t="s">
        <v>77</v>
      </c>
      <c r="H79" s="2" t="s">
        <v>78</v>
      </c>
      <c r="I79" s="2" t="s">
        <v>39</v>
      </c>
      <c r="J79" s="2" t="s">
        <v>28</v>
      </c>
      <c r="K79" s="2" t="s">
        <v>39</v>
      </c>
      <c r="L79">
        <v>3204.01</v>
      </c>
      <c r="M79">
        <v>5</v>
      </c>
      <c r="N79">
        <v>10.56</v>
      </c>
      <c r="O79">
        <v>6500948</v>
      </c>
      <c r="P79" s="2" t="s">
        <v>29</v>
      </c>
      <c r="Q79" s="2" t="s">
        <v>23</v>
      </c>
      <c r="R79" s="2" t="s">
        <v>30</v>
      </c>
      <c r="S79">
        <v>11</v>
      </c>
      <c r="T79" s="1">
        <v>43124</v>
      </c>
      <c r="U79" s="1">
        <v>43132</v>
      </c>
      <c r="V79" s="2"/>
      <c r="W79" s="1">
        <f>fNotasFiscais[[#This Row],[Data da Coleta]]+fNotasFiscais[[#This Row],[Prazo Contratado]]</f>
        <v>43135</v>
      </c>
      <c r="X79" s="3">
        <f>IF(fNotasFiscais[[#This Row],[Data da Entrega]]&gt;fNotasFiscais[[#This Row],[Data Contratada]],0,1)</f>
        <v>1</v>
      </c>
      <c r="Y79" s="3">
        <f>IF(fNotasFiscais[[#This Row],[Ocorrência]]="",1,0)</f>
        <v>1</v>
      </c>
      <c r="Z79" s="2">
        <f>fNotasFiscais[[#This Row],[On Time]]*fNotasFiscais[[#This Row],[In Full]]</f>
        <v>1</v>
      </c>
      <c r="AA79">
        <f>IF(fNotasFiscais[[#This Row],[Nota Fiscal]]&lt;&gt;"",1,0)</f>
        <v>1</v>
      </c>
    </row>
    <row r="80" spans="1:27" x14ac:dyDescent="0.25">
      <c r="A80" s="1">
        <v>43123</v>
      </c>
      <c r="B80">
        <v>10498</v>
      </c>
      <c r="C80" s="2" t="s">
        <v>52</v>
      </c>
      <c r="D80" s="2" t="s">
        <v>53</v>
      </c>
      <c r="E80" s="2" t="s">
        <v>33</v>
      </c>
      <c r="F80">
        <v>4018</v>
      </c>
      <c r="G80" s="2" t="s">
        <v>77</v>
      </c>
      <c r="H80" s="2" t="s">
        <v>78</v>
      </c>
      <c r="I80" s="2" t="s">
        <v>39</v>
      </c>
      <c r="J80" s="2" t="s">
        <v>28</v>
      </c>
      <c r="K80" s="2" t="s">
        <v>39</v>
      </c>
      <c r="L80">
        <v>104.37</v>
      </c>
      <c r="M80">
        <v>1</v>
      </c>
      <c r="N80">
        <v>4.4000000000000004</v>
      </c>
      <c r="O80">
        <v>6500948</v>
      </c>
      <c r="P80" s="2" t="s">
        <v>29</v>
      </c>
      <c r="Q80" s="2" t="s">
        <v>23</v>
      </c>
      <c r="R80" s="2" t="s">
        <v>30</v>
      </c>
      <c r="S80">
        <v>5</v>
      </c>
      <c r="T80" s="1">
        <v>43124</v>
      </c>
      <c r="U80" s="1">
        <v>43130</v>
      </c>
      <c r="V80" s="2"/>
      <c r="W80" s="1">
        <f>fNotasFiscais[[#This Row],[Data da Coleta]]+fNotasFiscais[[#This Row],[Prazo Contratado]]</f>
        <v>43129</v>
      </c>
      <c r="X80" s="3">
        <f>IF(fNotasFiscais[[#This Row],[Data da Entrega]]&gt;fNotasFiscais[[#This Row],[Data Contratada]],0,1)</f>
        <v>0</v>
      </c>
      <c r="Y80" s="3">
        <f>IF(fNotasFiscais[[#This Row],[Ocorrência]]="",1,0)</f>
        <v>1</v>
      </c>
      <c r="Z80" s="2">
        <f>fNotasFiscais[[#This Row],[On Time]]*fNotasFiscais[[#This Row],[In Full]]</f>
        <v>0</v>
      </c>
      <c r="AA80">
        <f>IF(fNotasFiscais[[#This Row],[Nota Fiscal]]&lt;&gt;"",1,0)</f>
        <v>1</v>
      </c>
    </row>
    <row r="81" spans="1:27" x14ac:dyDescent="0.25">
      <c r="A81" s="1">
        <v>43137</v>
      </c>
      <c r="B81">
        <v>10565</v>
      </c>
      <c r="C81" s="2" t="s">
        <v>31</v>
      </c>
      <c r="D81" s="2" t="s">
        <v>32</v>
      </c>
      <c r="E81" s="2" t="s">
        <v>33</v>
      </c>
      <c r="F81">
        <v>4018</v>
      </c>
      <c r="G81" s="2" t="s">
        <v>77</v>
      </c>
      <c r="H81" s="2" t="s">
        <v>78</v>
      </c>
      <c r="I81" s="2" t="s">
        <v>39</v>
      </c>
      <c r="J81" s="2" t="s">
        <v>28</v>
      </c>
      <c r="K81" s="2" t="s">
        <v>39</v>
      </c>
      <c r="L81">
        <v>1164.42</v>
      </c>
      <c r="M81">
        <v>1</v>
      </c>
      <c r="N81">
        <v>6.7759999999999998</v>
      </c>
      <c r="O81">
        <v>6500948</v>
      </c>
      <c r="P81" s="2" t="s">
        <v>29</v>
      </c>
      <c r="Q81" s="2" t="s">
        <v>23</v>
      </c>
      <c r="R81" s="2" t="s">
        <v>30</v>
      </c>
      <c r="S81">
        <v>4</v>
      </c>
      <c r="T81" s="1">
        <v>43137</v>
      </c>
      <c r="U81" s="1">
        <v>43143</v>
      </c>
      <c r="V81" s="2"/>
      <c r="W81" s="1">
        <f>fNotasFiscais[[#This Row],[Data da Coleta]]+fNotasFiscais[[#This Row],[Prazo Contratado]]</f>
        <v>43141</v>
      </c>
      <c r="X81" s="3">
        <f>IF(fNotasFiscais[[#This Row],[Data da Entrega]]&gt;fNotasFiscais[[#This Row],[Data Contratada]],0,1)</f>
        <v>0</v>
      </c>
      <c r="Y81" s="3">
        <f>IF(fNotasFiscais[[#This Row],[Ocorrência]]="",1,0)</f>
        <v>1</v>
      </c>
      <c r="Z81" s="2">
        <f>fNotasFiscais[[#This Row],[On Time]]*fNotasFiscais[[#This Row],[In Full]]</f>
        <v>0</v>
      </c>
      <c r="AA81">
        <f>IF(fNotasFiscais[[#This Row],[Nota Fiscal]]&lt;&gt;"",1,0)</f>
        <v>1</v>
      </c>
    </row>
    <row r="82" spans="1:27" x14ac:dyDescent="0.25">
      <c r="A82" s="1">
        <v>43155</v>
      </c>
      <c r="B82">
        <v>10633</v>
      </c>
      <c r="C82" s="2" t="s">
        <v>34</v>
      </c>
      <c r="D82" s="2" t="s">
        <v>35</v>
      </c>
      <c r="E82" s="2" t="s">
        <v>36</v>
      </c>
      <c r="F82">
        <v>4018</v>
      </c>
      <c r="G82" s="2" t="s">
        <v>77</v>
      </c>
      <c r="H82" s="2" t="s">
        <v>78</v>
      </c>
      <c r="I82" s="2" t="s">
        <v>39</v>
      </c>
      <c r="J82" s="2" t="s">
        <v>28</v>
      </c>
      <c r="K82" s="2" t="s">
        <v>39</v>
      </c>
      <c r="L82">
        <v>5251.06</v>
      </c>
      <c r="M82">
        <v>2</v>
      </c>
      <c r="N82">
        <v>20.207999999999998</v>
      </c>
      <c r="O82">
        <v>6500948</v>
      </c>
      <c r="P82" s="2" t="s">
        <v>29</v>
      </c>
      <c r="Q82" s="2" t="s">
        <v>23</v>
      </c>
      <c r="R82" s="2" t="s">
        <v>62</v>
      </c>
      <c r="S82">
        <v>1</v>
      </c>
      <c r="T82" s="1">
        <v>43156</v>
      </c>
      <c r="U82" s="1">
        <v>43157</v>
      </c>
      <c r="V82" s="2"/>
      <c r="W82" s="1">
        <f>fNotasFiscais[[#This Row],[Data da Coleta]]+fNotasFiscais[[#This Row],[Prazo Contratado]]</f>
        <v>43157</v>
      </c>
      <c r="X82" s="3">
        <f>IF(fNotasFiscais[[#This Row],[Data da Entrega]]&gt;fNotasFiscais[[#This Row],[Data Contratada]],0,1)</f>
        <v>1</v>
      </c>
      <c r="Y82" s="3">
        <f>IF(fNotasFiscais[[#This Row],[Ocorrência]]="",1,0)</f>
        <v>1</v>
      </c>
      <c r="Z82" s="2">
        <f>fNotasFiscais[[#This Row],[On Time]]*fNotasFiscais[[#This Row],[In Full]]</f>
        <v>1</v>
      </c>
      <c r="AA82">
        <f>IF(fNotasFiscais[[#This Row],[Nota Fiscal]]&lt;&gt;"",1,0)</f>
        <v>1</v>
      </c>
    </row>
    <row r="83" spans="1:27" x14ac:dyDescent="0.25">
      <c r="A83" s="1">
        <v>43167</v>
      </c>
      <c r="B83">
        <v>10660</v>
      </c>
      <c r="C83" s="2" t="s">
        <v>43</v>
      </c>
      <c r="D83" s="2" t="s">
        <v>44</v>
      </c>
      <c r="E83" s="2" t="s">
        <v>45</v>
      </c>
      <c r="F83">
        <v>4018</v>
      </c>
      <c r="G83" s="2" t="s">
        <v>77</v>
      </c>
      <c r="H83" s="2" t="s">
        <v>78</v>
      </c>
      <c r="I83" s="2" t="s">
        <v>39</v>
      </c>
      <c r="J83" s="2" t="s">
        <v>28</v>
      </c>
      <c r="K83" s="2" t="s">
        <v>39</v>
      </c>
      <c r="L83">
        <v>604.42999999999995</v>
      </c>
      <c r="M83">
        <v>1</v>
      </c>
      <c r="N83">
        <v>4.6760000000000002</v>
      </c>
      <c r="O83">
        <v>6500948</v>
      </c>
      <c r="P83" s="2" t="s">
        <v>29</v>
      </c>
      <c r="Q83" s="2" t="s">
        <v>23</v>
      </c>
      <c r="R83" s="2" t="s">
        <v>30</v>
      </c>
      <c r="S83">
        <v>4</v>
      </c>
      <c r="T83" s="1">
        <v>43167</v>
      </c>
      <c r="U83" s="1">
        <v>43171</v>
      </c>
      <c r="V83" s="2"/>
      <c r="W83" s="1">
        <f>fNotasFiscais[[#This Row],[Data da Coleta]]+fNotasFiscais[[#This Row],[Prazo Contratado]]</f>
        <v>43171</v>
      </c>
      <c r="X83" s="3">
        <f>IF(fNotasFiscais[[#This Row],[Data da Entrega]]&gt;fNotasFiscais[[#This Row],[Data Contratada]],0,1)</f>
        <v>1</v>
      </c>
      <c r="Y83" s="3">
        <f>IF(fNotasFiscais[[#This Row],[Ocorrência]]="",1,0)</f>
        <v>1</v>
      </c>
      <c r="Z83" s="2">
        <f>fNotasFiscais[[#This Row],[On Time]]*fNotasFiscais[[#This Row],[In Full]]</f>
        <v>1</v>
      </c>
      <c r="AA83">
        <f>IF(fNotasFiscais[[#This Row],[Nota Fiscal]]&lt;&gt;"",1,0)</f>
        <v>1</v>
      </c>
    </row>
    <row r="84" spans="1:27" x14ac:dyDescent="0.25">
      <c r="A84" s="1">
        <v>43105</v>
      </c>
      <c r="B84">
        <v>10428</v>
      </c>
      <c r="C84" s="2" t="s">
        <v>43</v>
      </c>
      <c r="D84" s="2" t="s">
        <v>44</v>
      </c>
      <c r="E84" s="2" t="s">
        <v>45</v>
      </c>
      <c r="F84">
        <v>4019</v>
      </c>
      <c r="G84" s="2" t="s">
        <v>79</v>
      </c>
      <c r="H84" s="2" t="s">
        <v>80</v>
      </c>
      <c r="I84" s="2" t="s">
        <v>39</v>
      </c>
      <c r="J84" s="2" t="s">
        <v>28</v>
      </c>
      <c r="K84" s="2" t="s">
        <v>39</v>
      </c>
      <c r="L84">
        <v>548.15</v>
      </c>
      <c r="M84">
        <v>1</v>
      </c>
      <c r="N84">
        <v>3.96</v>
      </c>
      <c r="O84">
        <v>6500948</v>
      </c>
      <c r="P84" s="2" t="s">
        <v>29</v>
      </c>
      <c r="Q84" s="2" t="s">
        <v>23</v>
      </c>
      <c r="R84" s="2" t="s">
        <v>30</v>
      </c>
      <c r="S84">
        <v>1</v>
      </c>
      <c r="T84" s="1">
        <v>43106</v>
      </c>
      <c r="U84" s="1">
        <v>43107</v>
      </c>
      <c r="V84" s="2"/>
      <c r="W84" s="1">
        <f>fNotasFiscais[[#This Row],[Data da Coleta]]+fNotasFiscais[[#This Row],[Prazo Contratado]]</f>
        <v>43107</v>
      </c>
      <c r="X84" s="3">
        <f>IF(fNotasFiscais[[#This Row],[Data da Entrega]]&gt;fNotasFiscais[[#This Row],[Data Contratada]],0,1)</f>
        <v>1</v>
      </c>
      <c r="Y84" s="3">
        <f>IF(fNotasFiscais[[#This Row],[Ocorrência]]="",1,0)</f>
        <v>1</v>
      </c>
      <c r="Z84" s="2">
        <f>fNotasFiscais[[#This Row],[On Time]]*fNotasFiscais[[#This Row],[In Full]]</f>
        <v>1</v>
      </c>
      <c r="AA84">
        <f>IF(fNotasFiscais[[#This Row],[Nota Fiscal]]&lt;&gt;"",1,0)</f>
        <v>1</v>
      </c>
    </row>
    <row r="85" spans="1:27" x14ac:dyDescent="0.25">
      <c r="A85" s="1">
        <v>43105</v>
      </c>
      <c r="B85">
        <v>10430</v>
      </c>
      <c r="C85" s="2" t="s">
        <v>34</v>
      </c>
      <c r="D85" s="2" t="s">
        <v>35</v>
      </c>
      <c r="E85" s="2" t="s">
        <v>36</v>
      </c>
      <c r="F85">
        <v>4019</v>
      </c>
      <c r="G85" s="2" t="s">
        <v>79</v>
      </c>
      <c r="H85" s="2" t="s">
        <v>80</v>
      </c>
      <c r="I85" s="2" t="s">
        <v>39</v>
      </c>
      <c r="J85" s="2" t="s">
        <v>28</v>
      </c>
      <c r="K85" s="2" t="s">
        <v>39</v>
      </c>
      <c r="L85">
        <v>649.42999999999995</v>
      </c>
      <c r="M85">
        <v>1</v>
      </c>
      <c r="N85">
        <v>1.1180000000000001</v>
      </c>
      <c r="O85">
        <v>6500948</v>
      </c>
      <c r="P85" s="2" t="s">
        <v>29</v>
      </c>
      <c r="Q85" s="2" t="s">
        <v>23</v>
      </c>
      <c r="R85" s="2" t="s">
        <v>62</v>
      </c>
      <c r="S85">
        <v>8</v>
      </c>
      <c r="T85" s="1">
        <v>43106</v>
      </c>
      <c r="U85" s="1">
        <v>43107</v>
      </c>
      <c r="V85" s="2"/>
      <c r="W85" s="1">
        <f>fNotasFiscais[[#This Row],[Data da Coleta]]+fNotasFiscais[[#This Row],[Prazo Contratado]]</f>
        <v>43114</v>
      </c>
      <c r="X85" s="3">
        <f>IF(fNotasFiscais[[#This Row],[Data da Entrega]]&gt;fNotasFiscais[[#This Row],[Data Contratada]],0,1)</f>
        <v>1</v>
      </c>
      <c r="Y85" s="3">
        <f>IF(fNotasFiscais[[#This Row],[Ocorrência]]="",1,0)</f>
        <v>1</v>
      </c>
      <c r="Z85" s="2">
        <f>fNotasFiscais[[#This Row],[On Time]]*fNotasFiscais[[#This Row],[In Full]]</f>
        <v>1</v>
      </c>
      <c r="AA85">
        <f>IF(fNotasFiscais[[#This Row],[Nota Fiscal]]&lt;&gt;"",1,0)</f>
        <v>1</v>
      </c>
    </row>
    <row r="86" spans="1:27" x14ac:dyDescent="0.25">
      <c r="A86" s="1">
        <v>43105</v>
      </c>
      <c r="B86">
        <v>10432</v>
      </c>
      <c r="C86" s="2" t="s">
        <v>34</v>
      </c>
      <c r="D86" s="2" t="s">
        <v>35</v>
      </c>
      <c r="E86" s="2" t="s">
        <v>36</v>
      </c>
      <c r="F86">
        <v>4019</v>
      </c>
      <c r="G86" s="2" t="s">
        <v>79</v>
      </c>
      <c r="H86" s="2" t="s">
        <v>80</v>
      </c>
      <c r="I86" s="2" t="s">
        <v>39</v>
      </c>
      <c r="J86" s="2" t="s">
        <v>28</v>
      </c>
      <c r="K86" s="2" t="s">
        <v>39</v>
      </c>
      <c r="L86">
        <v>3637.8</v>
      </c>
      <c r="M86">
        <v>3</v>
      </c>
      <c r="N86">
        <v>8.1289999999999996</v>
      </c>
      <c r="O86">
        <v>6500948</v>
      </c>
      <c r="P86" s="2" t="s">
        <v>29</v>
      </c>
      <c r="Q86" s="2" t="s">
        <v>23</v>
      </c>
      <c r="R86" s="2" t="s">
        <v>30</v>
      </c>
      <c r="S86">
        <v>1</v>
      </c>
      <c r="T86" s="1">
        <v>43106</v>
      </c>
      <c r="U86" s="1">
        <v>43112</v>
      </c>
      <c r="V86" s="2"/>
      <c r="W86" s="1">
        <f>fNotasFiscais[[#This Row],[Data da Coleta]]+fNotasFiscais[[#This Row],[Prazo Contratado]]</f>
        <v>43107</v>
      </c>
      <c r="X86" s="3">
        <f>IF(fNotasFiscais[[#This Row],[Data da Entrega]]&gt;fNotasFiscais[[#This Row],[Data Contratada]],0,1)</f>
        <v>0</v>
      </c>
      <c r="Y86" s="3">
        <f>IF(fNotasFiscais[[#This Row],[Ocorrência]]="",1,0)</f>
        <v>1</v>
      </c>
      <c r="Z86" s="2">
        <f>fNotasFiscais[[#This Row],[On Time]]*fNotasFiscais[[#This Row],[In Full]]</f>
        <v>0</v>
      </c>
      <c r="AA86">
        <f>IF(fNotasFiscais[[#This Row],[Nota Fiscal]]&lt;&gt;"",1,0)</f>
        <v>1</v>
      </c>
    </row>
    <row r="87" spans="1:27" x14ac:dyDescent="0.25">
      <c r="A87" s="1">
        <v>43105</v>
      </c>
      <c r="B87">
        <v>10434</v>
      </c>
      <c r="C87" s="2" t="s">
        <v>54</v>
      </c>
      <c r="D87" s="2" t="s">
        <v>55</v>
      </c>
      <c r="E87" s="2" t="s">
        <v>56</v>
      </c>
      <c r="F87">
        <v>4019</v>
      </c>
      <c r="G87" s="2" t="s">
        <v>79</v>
      </c>
      <c r="H87" s="2" t="s">
        <v>80</v>
      </c>
      <c r="I87" s="2" t="s">
        <v>39</v>
      </c>
      <c r="J87" s="2" t="s">
        <v>28</v>
      </c>
      <c r="K87" s="2" t="s">
        <v>39</v>
      </c>
      <c r="L87">
        <v>2726.19</v>
      </c>
      <c r="M87">
        <v>5</v>
      </c>
      <c r="N87">
        <v>27.527999999999999</v>
      </c>
      <c r="O87">
        <v>6500948</v>
      </c>
      <c r="P87" s="2" t="s">
        <v>29</v>
      </c>
      <c r="Q87" s="2" t="s">
        <v>23</v>
      </c>
      <c r="R87" s="2" t="s">
        <v>30</v>
      </c>
      <c r="S87">
        <v>3</v>
      </c>
      <c r="T87" s="1">
        <v>43106</v>
      </c>
      <c r="U87" s="1">
        <v>43112</v>
      </c>
      <c r="V87" s="2" t="s">
        <v>57</v>
      </c>
      <c r="W87" s="1">
        <f>fNotasFiscais[[#This Row],[Data da Coleta]]+fNotasFiscais[[#This Row],[Prazo Contratado]]</f>
        <v>43109</v>
      </c>
      <c r="X87" s="3">
        <f>IF(fNotasFiscais[[#This Row],[Data da Entrega]]&gt;fNotasFiscais[[#This Row],[Data Contratada]],0,1)</f>
        <v>0</v>
      </c>
      <c r="Y87" s="3">
        <f>IF(fNotasFiscais[[#This Row],[Ocorrência]]="",1,0)</f>
        <v>0</v>
      </c>
      <c r="Z87" s="2">
        <f>fNotasFiscais[[#This Row],[On Time]]*fNotasFiscais[[#This Row],[In Full]]</f>
        <v>0</v>
      </c>
      <c r="AA87">
        <f>IF(fNotasFiscais[[#This Row],[Nota Fiscal]]&lt;&gt;"",1,0)</f>
        <v>1</v>
      </c>
    </row>
    <row r="88" spans="1:27" x14ac:dyDescent="0.25">
      <c r="A88" s="1">
        <v>43105</v>
      </c>
      <c r="B88">
        <v>10436</v>
      </c>
      <c r="C88" s="2" t="s">
        <v>34</v>
      </c>
      <c r="D88" s="2" t="s">
        <v>35</v>
      </c>
      <c r="E88" s="2" t="s">
        <v>36</v>
      </c>
      <c r="F88">
        <v>4019</v>
      </c>
      <c r="G88" s="2" t="s">
        <v>79</v>
      </c>
      <c r="H88" s="2" t="s">
        <v>80</v>
      </c>
      <c r="I88" s="2" t="s">
        <v>39</v>
      </c>
      <c r="J88" s="2" t="s">
        <v>28</v>
      </c>
      <c r="K88" s="2" t="s">
        <v>39</v>
      </c>
      <c r="L88">
        <v>243.93</v>
      </c>
      <c r="M88">
        <v>1</v>
      </c>
      <c r="N88">
        <v>0.35799999999999998</v>
      </c>
      <c r="O88">
        <v>6500948</v>
      </c>
      <c r="P88" s="2" t="s">
        <v>29</v>
      </c>
      <c r="Q88" s="2" t="s">
        <v>23</v>
      </c>
      <c r="R88" s="2" t="s">
        <v>30</v>
      </c>
      <c r="S88">
        <v>6</v>
      </c>
      <c r="T88" s="1">
        <v>43106</v>
      </c>
      <c r="U88" s="1">
        <v>43113</v>
      </c>
      <c r="V88" s="2" t="s">
        <v>42</v>
      </c>
      <c r="W88" s="1">
        <f>fNotasFiscais[[#This Row],[Data da Coleta]]+fNotasFiscais[[#This Row],[Prazo Contratado]]</f>
        <v>43112</v>
      </c>
      <c r="X88" s="3">
        <f>IF(fNotasFiscais[[#This Row],[Data da Entrega]]&gt;fNotasFiscais[[#This Row],[Data Contratada]],0,1)</f>
        <v>0</v>
      </c>
      <c r="Y88" s="3">
        <f>IF(fNotasFiscais[[#This Row],[Ocorrência]]="",1,0)</f>
        <v>0</v>
      </c>
      <c r="Z88" s="2">
        <f>fNotasFiscais[[#This Row],[On Time]]*fNotasFiscais[[#This Row],[In Full]]</f>
        <v>0</v>
      </c>
      <c r="AA88">
        <f>IF(fNotasFiscais[[#This Row],[Nota Fiscal]]&lt;&gt;"",1,0)</f>
        <v>1</v>
      </c>
    </row>
    <row r="89" spans="1:27" x14ac:dyDescent="0.25">
      <c r="A89" s="1">
        <v>43130</v>
      </c>
      <c r="B89">
        <v>10530</v>
      </c>
      <c r="C89" s="2" t="s">
        <v>34</v>
      </c>
      <c r="D89" s="2" t="s">
        <v>35</v>
      </c>
      <c r="E89" s="2" t="s">
        <v>36</v>
      </c>
      <c r="F89">
        <v>4019</v>
      </c>
      <c r="G89" s="2" t="s">
        <v>79</v>
      </c>
      <c r="H89" s="2" t="s">
        <v>80</v>
      </c>
      <c r="I89" s="2" t="s">
        <v>39</v>
      </c>
      <c r="J89" s="2" t="s">
        <v>28</v>
      </c>
      <c r="K89" s="2" t="s">
        <v>39</v>
      </c>
      <c r="L89">
        <v>6531.24</v>
      </c>
      <c r="M89">
        <v>2</v>
      </c>
      <c r="N89">
        <v>13.64</v>
      </c>
      <c r="O89">
        <v>6500948</v>
      </c>
      <c r="P89" s="2" t="s">
        <v>29</v>
      </c>
      <c r="Q89" s="2" t="s">
        <v>23</v>
      </c>
      <c r="R89" s="2" t="s">
        <v>30</v>
      </c>
      <c r="S89">
        <v>2</v>
      </c>
      <c r="T89" s="1">
        <v>43131</v>
      </c>
      <c r="U89" s="1">
        <v>43141</v>
      </c>
      <c r="V89" s="2"/>
      <c r="W89" s="1">
        <f>fNotasFiscais[[#This Row],[Data da Coleta]]+fNotasFiscais[[#This Row],[Prazo Contratado]]</f>
        <v>43133</v>
      </c>
      <c r="X89" s="3">
        <f>IF(fNotasFiscais[[#This Row],[Data da Entrega]]&gt;fNotasFiscais[[#This Row],[Data Contratada]],0,1)</f>
        <v>0</v>
      </c>
      <c r="Y89" s="3">
        <f>IF(fNotasFiscais[[#This Row],[Ocorrência]]="",1,0)</f>
        <v>1</v>
      </c>
      <c r="Z89" s="2">
        <f>fNotasFiscais[[#This Row],[On Time]]*fNotasFiscais[[#This Row],[In Full]]</f>
        <v>0</v>
      </c>
      <c r="AA89">
        <f>IF(fNotasFiscais[[#This Row],[Nota Fiscal]]&lt;&gt;"",1,0)</f>
        <v>1</v>
      </c>
    </row>
    <row r="90" spans="1:27" x14ac:dyDescent="0.25">
      <c r="A90" s="1">
        <v>43130</v>
      </c>
      <c r="B90">
        <v>10534</v>
      </c>
      <c r="C90" s="2" t="s">
        <v>54</v>
      </c>
      <c r="D90" s="2" t="s">
        <v>55</v>
      </c>
      <c r="E90" s="2" t="s">
        <v>56</v>
      </c>
      <c r="F90">
        <v>4019</v>
      </c>
      <c r="G90" s="2" t="s">
        <v>79</v>
      </c>
      <c r="H90" s="2" t="s">
        <v>80</v>
      </c>
      <c r="I90" s="2" t="s">
        <v>39</v>
      </c>
      <c r="J90" s="2" t="s">
        <v>28</v>
      </c>
      <c r="K90" s="2" t="s">
        <v>39</v>
      </c>
      <c r="L90">
        <v>2126.9</v>
      </c>
      <c r="M90">
        <v>6</v>
      </c>
      <c r="N90">
        <v>8.25</v>
      </c>
      <c r="O90">
        <v>6500948</v>
      </c>
      <c r="P90" s="2" t="s">
        <v>29</v>
      </c>
      <c r="Q90" s="2" t="s">
        <v>23</v>
      </c>
      <c r="R90" s="2" t="s">
        <v>30</v>
      </c>
      <c r="S90">
        <v>8</v>
      </c>
      <c r="T90" s="1">
        <v>43131</v>
      </c>
      <c r="U90" s="1">
        <v>43132</v>
      </c>
      <c r="V90" s="2"/>
      <c r="W90" s="1">
        <f>fNotasFiscais[[#This Row],[Data da Coleta]]+fNotasFiscais[[#This Row],[Prazo Contratado]]</f>
        <v>43139</v>
      </c>
      <c r="X90" s="3">
        <f>IF(fNotasFiscais[[#This Row],[Data da Entrega]]&gt;fNotasFiscais[[#This Row],[Data Contratada]],0,1)</f>
        <v>1</v>
      </c>
      <c r="Y90" s="3">
        <f>IF(fNotasFiscais[[#This Row],[Ocorrência]]="",1,0)</f>
        <v>1</v>
      </c>
      <c r="Z90" s="2">
        <f>fNotasFiscais[[#This Row],[On Time]]*fNotasFiscais[[#This Row],[In Full]]</f>
        <v>1</v>
      </c>
      <c r="AA90">
        <f>IF(fNotasFiscais[[#This Row],[Nota Fiscal]]&lt;&gt;"",1,0)</f>
        <v>1</v>
      </c>
    </row>
    <row r="91" spans="1:27" x14ac:dyDescent="0.25">
      <c r="A91" s="1">
        <v>43130</v>
      </c>
      <c r="B91">
        <v>10538</v>
      </c>
      <c r="C91" s="2" t="s">
        <v>31</v>
      </c>
      <c r="D91" s="2" t="s">
        <v>32</v>
      </c>
      <c r="E91" s="2" t="s">
        <v>33</v>
      </c>
      <c r="F91">
        <v>4019</v>
      </c>
      <c r="G91" s="2" t="s">
        <v>79</v>
      </c>
      <c r="H91" s="2" t="s">
        <v>80</v>
      </c>
      <c r="I91" s="2" t="s">
        <v>39</v>
      </c>
      <c r="J91" s="2" t="s">
        <v>28</v>
      </c>
      <c r="K91" s="2" t="s">
        <v>39</v>
      </c>
      <c r="L91">
        <v>122.36</v>
      </c>
      <c r="M91">
        <v>1</v>
      </c>
      <c r="N91">
        <v>0.99</v>
      </c>
      <c r="O91">
        <v>6500948</v>
      </c>
      <c r="P91" s="2" t="s">
        <v>29</v>
      </c>
      <c r="Q91" s="2" t="s">
        <v>23</v>
      </c>
      <c r="R91" s="2" t="s">
        <v>30</v>
      </c>
      <c r="S91">
        <v>2</v>
      </c>
      <c r="T91" s="1">
        <v>43131</v>
      </c>
      <c r="U91" s="1">
        <v>43140</v>
      </c>
      <c r="V91" s="2"/>
      <c r="W91" s="1">
        <f>fNotasFiscais[[#This Row],[Data da Coleta]]+fNotasFiscais[[#This Row],[Prazo Contratado]]</f>
        <v>43133</v>
      </c>
      <c r="X91" s="3">
        <f>IF(fNotasFiscais[[#This Row],[Data da Entrega]]&gt;fNotasFiscais[[#This Row],[Data Contratada]],0,1)</f>
        <v>0</v>
      </c>
      <c r="Y91" s="3">
        <f>IF(fNotasFiscais[[#This Row],[Ocorrência]]="",1,0)</f>
        <v>1</v>
      </c>
      <c r="Z91" s="2">
        <f>fNotasFiscais[[#This Row],[On Time]]*fNotasFiscais[[#This Row],[In Full]]</f>
        <v>0</v>
      </c>
      <c r="AA91">
        <f>IF(fNotasFiscais[[#This Row],[Nota Fiscal]]&lt;&gt;"",1,0)</f>
        <v>1</v>
      </c>
    </row>
    <row r="92" spans="1:27" x14ac:dyDescent="0.25">
      <c r="A92" s="1">
        <v>43130</v>
      </c>
      <c r="B92">
        <v>10539</v>
      </c>
      <c r="C92" s="2" t="s">
        <v>43</v>
      </c>
      <c r="D92" s="2" t="s">
        <v>44</v>
      </c>
      <c r="E92" s="2" t="s">
        <v>45</v>
      </c>
      <c r="F92">
        <v>4019</v>
      </c>
      <c r="G92" s="2" t="s">
        <v>79</v>
      </c>
      <c r="H92" s="2" t="s">
        <v>80</v>
      </c>
      <c r="I92" s="2" t="s">
        <v>39</v>
      </c>
      <c r="J92" s="2" t="s">
        <v>28</v>
      </c>
      <c r="K92" s="2" t="s">
        <v>39</v>
      </c>
      <c r="L92">
        <v>162.30000000000001</v>
      </c>
      <c r="M92">
        <v>1</v>
      </c>
      <c r="N92">
        <v>6.5990000000000002</v>
      </c>
      <c r="O92">
        <v>6500948</v>
      </c>
      <c r="P92" s="2" t="s">
        <v>29</v>
      </c>
      <c r="Q92" s="2" t="s">
        <v>23</v>
      </c>
      <c r="R92" s="2" t="s">
        <v>30</v>
      </c>
      <c r="S92">
        <v>7</v>
      </c>
      <c r="T92" s="1">
        <v>43131</v>
      </c>
      <c r="U92" s="1">
        <v>43139</v>
      </c>
      <c r="V92" s="2"/>
      <c r="W92" s="1">
        <f>fNotasFiscais[[#This Row],[Data da Coleta]]+fNotasFiscais[[#This Row],[Prazo Contratado]]</f>
        <v>43138</v>
      </c>
      <c r="X92" s="3">
        <f>IF(fNotasFiscais[[#This Row],[Data da Entrega]]&gt;fNotasFiscais[[#This Row],[Data Contratada]],0,1)</f>
        <v>0</v>
      </c>
      <c r="Y92" s="3">
        <f>IF(fNotasFiscais[[#This Row],[Ocorrência]]="",1,0)</f>
        <v>1</v>
      </c>
      <c r="Z92" s="2">
        <f>fNotasFiscais[[#This Row],[On Time]]*fNotasFiscais[[#This Row],[In Full]]</f>
        <v>0</v>
      </c>
      <c r="AA92">
        <f>IF(fNotasFiscais[[#This Row],[Nota Fiscal]]&lt;&gt;"",1,0)</f>
        <v>1</v>
      </c>
    </row>
    <row r="93" spans="1:27" x14ac:dyDescent="0.25">
      <c r="A93" s="1">
        <v>43130</v>
      </c>
      <c r="B93">
        <v>10540</v>
      </c>
      <c r="C93" s="2" t="s">
        <v>54</v>
      </c>
      <c r="D93" s="2" t="s">
        <v>55</v>
      </c>
      <c r="E93" s="2" t="s">
        <v>56</v>
      </c>
      <c r="F93">
        <v>4019</v>
      </c>
      <c r="G93" s="2" t="s">
        <v>79</v>
      </c>
      <c r="H93" s="2" t="s">
        <v>80</v>
      </c>
      <c r="I93" s="2" t="s">
        <v>39</v>
      </c>
      <c r="J93" s="2" t="s">
        <v>28</v>
      </c>
      <c r="K93" s="2" t="s">
        <v>39</v>
      </c>
      <c r="L93">
        <v>544.6</v>
      </c>
      <c r="M93">
        <v>1</v>
      </c>
      <c r="N93">
        <v>8.5250000000000004</v>
      </c>
      <c r="O93">
        <v>6500948</v>
      </c>
      <c r="P93" s="2" t="s">
        <v>29</v>
      </c>
      <c r="Q93" s="2" t="s">
        <v>23</v>
      </c>
      <c r="R93" s="2" t="s">
        <v>30</v>
      </c>
      <c r="S93">
        <v>11</v>
      </c>
      <c r="T93" s="1">
        <v>43131</v>
      </c>
      <c r="U93" s="1">
        <v>43138</v>
      </c>
      <c r="V93" s="2"/>
      <c r="W93" s="1">
        <f>fNotasFiscais[[#This Row],[Data da Coleta]]+fNotasFiscais[[#This Row],[Prazo Contratado]]</f>
        <v>43142</v>
      </c>
      <c r="X93" s="3">
        <f>IF(fNotasFiscais[[#This Row],[Data da Entrega]]&gt;fNotasFiscais[[#This Row],[Data Contratada]],0,1)</f>
        <v>1</v>
      </c>
      <c r="Y93" s="3">
        <f>IF(fNotasFiscais[[#This Row],[Ocorrência]]="",1,0)</f>
        <v>1</v>
      </c>
      <c r="Z93" s="2">
        <f>fNotasFiscais[[#This Row],[On Time]]*fNotasFiscais[[#This Row],[In Full]]</f>
        <v>1</v>
      </c>
      <c r="AA93">
        <f>IF(fNotasFiscais[[#This Row],[Nota Fiscal]]&lt;&gt;"",1,0)</f>
        <v>1</v>
      </c>
    </row>
    <row r="94" spans="1:27" x14ac:dyDescent="0.25">
      <c r="A94" s="1">
        <v>43153</v>
      </c>
      <c r="B94">
        <v>10627</v>
      </c>
      <c r="C94" s="2" t="s">
        <v>34</v>
      </c>
      <c r="D94" s="2" t="s">
        <v>35</v>
      </c>
      <c r="E94" s="2" t="s">
        <v>36</v>
      </c>
      <c r="F94">
        <v>4019</v>
      </c>
      <c r="G94" s="2" t="s">
        <v>79</v>
      </c>
      <c r="H94" s="2" t="s">
        <v>80</v>
      </c>
      <c r="I94" s="2" t="s">
        <v>39</v>
      </c>
      <c r="J94" s="2" t="s">
        <v>28</v>
      </c>
      <c r="K94" s="2" t="s">
        <v>39</v>
      </c>
      <c r="L94">
        <v>1199.52</v>
      </c>
      <c r="M94">
        <v>1</v>
      </c>
      <c r="N94">
        <v>16.72</v>
      </c>
      <c r="O94">
        <v>6500948</v>
      </c>
      <c r="P94" s="2" t="s">
        <v>29</v>
      </c>
      <c r="Q94" s="2" t="s">
        <v>23</v>
      </c>
      <c r="R94" s="2" t="s">
        <v>30</v>
      </c>
      <c r="S94">
        <v>9</v>
      </c>
      <c r="T94" s="1">
        <v>43154</v>
      </c>
      <c r="U94" s="1">
        <v>43155</v>
      </c>
      <c r="V94" s="2"/>
      <c r="W94" s="1">
        <f>fNotasFiscais[[#This Row],[Data da Coleta]]+fNotasFiscais[[#This Row],[Prazo Contratado]]</f>
        <v>43163</v>
      </c>
      <c r="X94" s="3">
        <f>IF(fNotasFiscais[[#This Row],[Data da Entrega]]&gt;fNotasFiscais[[#This Row],[Data Contratada]],0,1)</f>
        <v>1</v>
      </c>
      <c r="Y94" s="3">
        <f>IF(fNotasFiscais[[#This Row],[Ocorrência]]="",1,0)</f>
        <v>1</v>
      </c>
      <c r="Z94" s="2">
        <f>fNotasFiscais[[#This Row],[On Time]]*fNotasFiscais[[#This Row],[In Full]]</f>
        <v>1</v>
      </c>
      <c r="AA94">
        <f>IF(fNotasFiscais[[#This Row],[Nota Fiscal]]&lt;&gt;"",1,0)</f>
        <v>1</v>
      </c>
    </row>
    <row r="95" spans="1:27" x14ac:dyDescent="0.25">
      <c r="A95" s="1">
        <v>43153</v>
      </c>
      <c r="B95">
        <v>10628</v>
      </c>
      <c r="C95" s="2" t="s">
        <v>43</v>
      </c>
      <c r="D95" s="2" t="s">
        <v>44</v>
      </c>
      <c r="E95" s="2" t="s">
        <v>45</v>
      </c>
      <c r="F95">
        <v>4019</v>
      </c>
      <c r="G95" s="2" t="s">
        <v>79</v>
      </c>
      <c r="H95" s="2" t="s">
        <v>80</v>
      </c>
      <c r="I95" s="2" t="s">
        <v>39</v>
      </c>
      <c r="J95" s="2" t="s">
        <v>28</v>
      </c>
      <c r="K95" s="2" t="s">
        <v>39</v>
      </c>
      <c r="L95">
        <v>870.65</v>
      </c>
      <c r="M95">
        <v>1</v>
      </c>
      <c r="N95">
        <v>9.35</v>
      </c>
      <c r="O95">
        <v>6500948</v>
      </c>
      <c r="P95" s="2" t="s">
        <v>29</v>
      </c>
      <c r="Q95" s="2" t="s">
        <v>23</v>
      </c>
      <c r="R95" s="2" t="s">
        <v>30</v>
      </c>
      <c r="S95">
        <v>2</v>
      </c>
      <c r="T95" s="1">
        <v>43154</v>
      </c>
      <c r="U95" s="1">
        <v>43160</v>
      </c>
      <c r="V95" s="2" t="s">
        <v>42</v>
      </c>
      <c r="W95" s="1">
        <f>fNotasFiscais[[#This Row],[Data da Coleta]]+fNotasFiscais[[#This Row],[Prazo Contratado]]</f>
        <v>43156</v>
      </c>
      <c r="X95" s="3">
        <f>IF(fNotasFiscais[[#This Row],[Data da Entrega]]&gt;fNotasFiscais[[#This Row],[Data Contratada]],0,1)</f>
        <v>0</v>
      </c>
      <c r="Y95" s="3">
        <f>IF(fNotasFiscais[[#This Row],[Ocorrência]]="",1,0)</f>
        <v>0</v>
      </c>
      <c r="Z95" s="2">
        <f>fNotasFiscais[[#This Row],[On Time]]*fNotasFiscais[[#This Row],[In Full]]</f>
        <v>0</v>
      </c>
      <c r="AA95">
        <f>IF(fNotasFiscais[[#This Row],[Nota Fiscal]]&lt;&gt;"",1,0)</f>
        <v>1</v>
      </c>
    </row>
    <row r="96" spans="1:27" x14ac:dyDescent="0.25">
      <c r="A96" s="1">
        <v>43136</v>
      </c>
      <c r="B96">
        <v>10561</v>
      </c>
      <c r="C96" s="2" t="s">
        <v>31</v>
      </c>
      <c r="D96" s="2" t="s">
        <v>32</v>
      </c>
      <c r="E96" s="2" t="s">
        <v>33</v>
      </c>
      <c r="F96">
        <v>4052</v>
      </c>
      <c r="G96" s="2" t="s">
        <v>81</v>
      </c>
      <c r="H96" s="2" t="s">
        <v>51</v>
      </c>
      <c r="I96" s="2" t="s">
        <v>73</v>
      </c>
      <c r="J96" s="2" t="s">
        <v>49</v>
      </c>
      <c r="K96" s="2" t="s">
        <v>73</v>
      </c>
      <c r="L96">
        <v>1224.67</v>
      </c>
      <c r="M96">
        <v>1</v>
      </c>
      <c r="N96">
        <v>14.3</v>
      </c>
      <c r="O96">
        <v>6100231</v>
      </c>
      <c r="P96" s="2" t="s">
        <v>50</v>
      </c>
      <c r="Q96" s="2" t="s">
        <v>51</v>
      </c>
      <c r="R96" s="2" t="s">
        <v>30</v>
      </c>
      <c r="S96">
        <v>2</v>
      </c>
      <c r="T96" s="1">
        <v>43137</v>
      </c>
      <c r="U96" s="1">
        <v>43145</v>
      </c>
      <c r="V96" s="2"/>
      <c r="W96" s="1">
        <f>fNotasFiscais[[#This Row],[Data da Coleta]]+fNotasFiscais[[#This Row],[Prazo Contratado]]</f>
        <v>43139</v>
      </c>
      <c r="X96" s="3">
        <f>IF(fNotasFiscais[[#This Row],[Data da Entrega]]&gt;fNotasFiscais[[#This Row],[Data Contratada]],0,1)</f>
        <v>0</v>
      </c>
      <c r="Y96" s="3">
        <f>IF(fNotasFiscais[[#This Row],[Ocorrência]]="",1,0)</f>
        <v>1</v>
      </c>
      <c r="Z96" s="2">
        <f>fNotasFiscais[[#This Row],[On Time]]*fNotasFiscais[[#This Row],[In Full]]</f>
        <v>0</v>
      </c>
      <c r="AA96">
        <f>IF(fNotasFiscais[[#This Row],[Nota Fiscal]]&lt;&gt;"",1,0)</f>
        <v>1</v>
      </c>
    </row>
    <row r="97" spans="1:27" x14ac:dyDescent="0.25">
      <c r="A97" s="1">
        <v>43105</v>
      </c>
      <c r="B97">
        <v>10429</v>
      </c>
      <c r="C97" s="2" t="s">
        <v>52</v>
      </c>
      <c r="D97" s="2" t="s">
        <v>53</v>
      </c>
      <c r="E97" s="2" t="s">
        <v>33</v>
      </c>
      <c r="F97">
        <v>4020</v>
      </c>
      <c r="G97" s="2" t="s">
        <v>82</v>
      </c>
      <c r="H97" s="2" t="s">
        <v>67</v>
      </c>
      <c r="I97" s="2" t="s">
        <v>27</v>
      </c>
      <c r="J97" s="2" t="s">
        <v>28</v>
      </c>
      <c r="K97" s="2" t="s">
        <v>27</v>
      </c>
      <c r="L97">
        <v>5549.38</v>
      </c>
      <c r="M97">
        <v>1</v>
      </c>
      <c r="N97">
        <v>17.893000000000001</v>
      </c>
      <c r="O97">
        <v>6500948</v>
      </c>
      <c r="P97" s="2" t="s">
        <v>29</v>
      </c>
      <c r="Q97" s="2" t="s">
        <v>23</v>
      </c>
      <c r="R97" s="2" t="s">
        <v>30</v>
      </c>
      <c r="S97">
        <v>4</v>
      </c>
      <c r="T97" s="1">
        <v>43106</v>
      </c>
      <c r="U97" s="1">
        <v>43115</v>
      </c>
      <c r="V97" s="2"/>
      <c r="W97" s="1">
        <f>fNotasFiscais[[#This Row],[Data da Coleta]]+fNotasFiscais[[#This Row],[Prazo Contratado]]</f>
        <v>43110</v>
      </c>
      <c r="X97" s="3">
        <f>IF(fNotasFiscais[[#This Row],[Data da Entrega]]&gt;fNotasFiscais[[#This Row],[Data Contratada]],0,1)</f>
        <v>0</v>
      </c>
      <c r="Y97" s="3">
        <f>IF(fNotasFiscais[[#This Row],[Ocorrência]]="",1,0)</f>
        <v>1</v>
      </c>
      <c r="Z97" s="2">
        <f>fNotasFiscais[[#This Row],[On Time]]*fNotasFiscais[[#This Row],[In Full]]</f>
        <v>0</v>
      </c>
      <c r="AA97">
        <f>IF(fNotasFiscais[[#This Row],[Nota Fiscal]]&lt;&gt;"",1,0)</f>
        <v>1</v>
      </c>
    </row>
    <row r="98" spans="1:27" x14ac:dyDescent="0.25">
      <c r="A98" s="1">
        <v>43105</v>
      </c>
      <c r="B98">
        <v>10431</v>
      </c>
      <c r="C98" s="2" t="s">
        <v>52</v>
      </c>
      <c r="D98" s="2" t="s">
        <v>53</v>
      </c>
      <c r="E98" s="2" t="s">
        <v>33</v>
      </c>
      <c r="F98">
        <v>4020</v>
      </c>
      <c r="G98" s="2" t="s">
        <v>82</v>
      </c>
      <c r="H98" s="2" t="s">
        <v>67</v>
      </c>
      <c r="I98" s="2" t="s">
        <v>27</v>
      </c>
      <c r="J98" s="2" t="s">
        <v>28</v>
      </c>
      <c r="K98" s="2" t="s">
        <v>27</v>
      </c>
      <c r="L98">
        <v>679.29</v>
      </c>
      <c r="M98">
        <v>1</v>
      </c>
      <c r="N98">
        <v>4.18</v>
      </c>
      <c r="O98">
        <v>6500948</v>
      </c>
      <c r="P98" s="2" t="s">
        <v>29</v>
      </c>
      <c r="Q98" s="2" t="s">
        <v>23</v>
      </c>
      <c r="R98" s="2" t="s">
        <v>30</v>
      </c>
      <c r="S98">
        <v>5</v>
      </c>
      <c r="T98" s="1">
        <v>43106</v>
      </c>
      <c r="U98" s="1">
        <v>43112</v>
      </c>
      <c r="V98" s="2"/>
      <c r="W98" s="1">
        <f>fNotasFiscais[[#This Row],[Data da Coleta]]+fNotasFiscais[[#This Row],[Prazo Contratado]]</f>
        <v>43111</v>
      </c>
      <c r="X98" s="3">
        <f>IF(fNotasFiscais[[#This Row],[Data da Entrega]]&gt;fNotasFiscais[[#This Row],[Data Contratada]],0,1)</f>
        <v>0</v>
      </c>
      <c r="Y98" s="3">
        <f>IF(fNotasFiscais[[#This Row],[Ocorrência]]="",1,0)</f>
        <v>1</v>
      </c>
      <c r="Z98" s="2">
        <f>fNotasFiscais[[#This Row],[On Time]]*fNotasFiscais[[#This Row],[In Full]]</f>
        <v>0</v>
      </c>
      <c r="AA98">
        <f>IF(fNotasFiscais[[#This Row],[Nota Fiscal]]&lt;&gt;"",1,0)</f>
        <v>1</v>
      </c>
    </row>
    <row r="99" spans="1:27" x14ac:dyDescent="0.25">
      <c r="A99" s="1">
        <v>43105</v>
      </c>
      <c r="B99">
        <v>10433</v>
      </c>
      <c r="C99" s="2" t="s">
        <v>43</v>
      </c>
      <c r="D99" s="2" t="s">
        <v>44</v>
      </c>
      <c r="E99" s="2" t="s">
        <v>45</v>
      </c>
      <c r="F99">
        <v>4020</v>
      </c>
      <c r="G99" s="2" t="s">
        <v>82</v>
      </c>
      <c r="H99" s="2" t="s">
        <v>67</v>
      </c>
      <c r="I99" s="2" t="s">
        <v>27</v>
      </c>
      <c r="J99" s="2" t="s">
        <v>28</v>
      </c>
      <c r="K99" s="2" t="s">
        <v>27</v>
      </c>
      <c r="L99">
        <v>1403.58</v>
      </c>
      <c r="M99">
        <v>2</v>
      </c>
      <c r="N99">
        <v>5.28</v>
      </c>
      <c r="O99">
        <v>6500948</v>
      </c>
      <c r="P99" s="2" t="s">
        <v>29</v>
      </c>
      <c r="Q99" s="2" t="s">
        <v>23</v>
      </c>
      <c r="R99" s="2" t="s">
        <v>30</v>
      </c>
      <c r="S99">
        <v>3</v>
      </c>
      <c r="T99" s="1">
        <v>43106</v>
      </c>
      <c r="U99" s="1">
        <v>43111</v>
      </c>
      <c r="V99" s="2"/>
      <c r="W99" s="1">
        <f>fNotasFiscais[[#This Row],[Data da Coleta]]+fNotasFiscais[[#This Row],[Prazo Contratado]]</f>
        <v>43109</v>
      </c>
      <c r="X99" s="3">
        <f>IF(fNotasFiscais[[#This Row],[Data da Entrega]]&gt;fNotasFiscais[[#This Row],[Data Contratada]],0,1)</f>
        <v>0</v>
      </c>
      <c r="Y99" s="3">
        <f>IF(fNotasFiscais[[#This Row],[Ocorrência]]="",1,0)</f>
        <v>1</v>
      </c>
      <c r="Z99" s="2">
        <f>fNotasFiscais[[#This Row],[On Time]]*fNotasFiscais[[#This Row],[In Full]]</f>
        <v>0</v>
      </c>
      <c r="AA99">
        <f>IF(fNotasFiscais[[#This Row],[Nota Fiscal]]&lt;&gt;"",1,0)</f>
        <v>1</v>
      </c>
    </row>
    <row r="100" spans="1:27" x14ac:dyDescent="0.25">
      <c r="A100" s="1">
        <v>43106</v>
      </c>
      <c r="B100">
        <v>10435</v>
      </c>
      <c r="C100" s="2" t="s">
        <v>31</v>
      </c>
      <c r="D100" s="2" t="s">
        <v>32</v>
      </c>
      <c r="E100" s="2" t="s">
        <v>33</v>
      </c>
      <c r="F100">
        <v>4020</v>
      </c>
      <c r="G100" s="2" t="s">
        <v>82</v>
      </c>
      <c r="H100" s="2" t="s">
        <v>67</v>
      </c>
      <c r="I100" s="2" t="s">
        <v>27</v>
      </c>
      <c r="J100" s="2" t="s">
        <v>28</v>
      </c>
      <c r="K100" s="2" t="s">
        <v>27</v>
      </c>
      <c r="L100">
        <v>11824.83</v>
      </c>
      <c r="M100">
        <v>4</v>
      </c>
      <c r="N100">
        <v>29.989000000000001</v>
      </c>
      <c r="O100">
        <v>6500948</v>
      </c>
      <c r="P100" s="2" t="s">
        <v>29</v>
      </c>
      <c r="Q100" s="2" t="s">
        <v>23</v>
      </c>
      <c r="R100" s="2" t="s">
        <v>30</v>
      </c>
      <c r="S100">
        <v>5</v>
      </c>
      <c r="T100" s="1">
        <v>43106</v>
      </c>
      <c r="U100" s="1">
        <v>43111</v>
      </c>
      <c r="V100" s="2"/>
      <c r="W100" s="1">
        <f>fNotasFiscais[[#This Row],[Data da Coleta]]+fNotasFiscais[[#This Row],[Prazo Contratado]]</f>
        <v>43111</v>
      </c>
      <c r="X100" s="3">
        <f>IF(fNotasFiscais[[#This Row],[Data da Entrega]]&gt;fNotasFiscais[[#This Row],[Data Contratada]],0,1)</f>
        <v>1</v>
      </c>
      <c r="Y100" s="3">
        <f>IF(fNotasFiscais[[#This Row],[Ocorrência]]="",1,0)</f>
        <v>1</v>
      </c>
      <c r="Z100" s="2">
        <f>fNotasFiscais[[#This Row],[On Time]]*fNotasFiscais[[#This Row],[In Full]]</f>
        <v>1</v>
      </c>
      <c r="AA100">
        <f>IF(fNotasFiscais[[#This Row],[Nota Fiscal]]&lt;&gt;"",1,0)</f>
        <v>1</v>
      </c>
    </row>
    <row r="101" spans="1:27" x14ac:dyDescent="0.25">
      <c r="A101" s="1">
        <v>43105</v>
      </c>
      <c r="B101">
        <v>10437</v>
      </c>
      <c r="C101" s="2" t="s">
        <v>31</v>
      </c>
      <c r="D101" s="2" t="s">
        <v>32</v>
      </c>
      <c r="E101" s="2" t="s">
        <v>33</v>
      </c>
      <c r="F101">
        <v>4020</v>
      </c>
      <c r="G101" s="2" t="s">
        <v>82</v>
      </c>
      <c r="H101" s="2" t="s">
        <v>67</v>
      </c>
      <c r="I101" s="2" t="s">
        <v>27</v>
      </c>
      <c r="J101" s="2" t="s">
        <v>28</v>
      </c>
      <c r="K101" s="2" t="s">
        <v>27</v>
      </c>
      <c r="L101">
        <v>576.87</v>
      </c>
      <c r="M101">
        <v>2</v>
      </c>
      <c r="N101">
        <v>5.7539999999999996</v>
      </c>
      <c r="O101">
        <v>6500948</v>
      </c>
      <c r="P101" s="2" t="s">
        <v>29</v>
      </c>
      <c r="Q101" s="2" t="s">
        <v>23</v>
      </c>
      <c r="R101" s="2" t="s">
        <v>30</v>
      </c>
      <c r="S101">
        <v>8</v>
      </c>
      <c r="T101" s="1">
        <v>43106</v>
      </c>
      <c r="U101" s="1">
        <v>43108</v>
      </c>
      <c r="V101" s="2"/>
      <c r="W101" s="1">
        <f>fNotasFiscais[[#This Row],[Data da Coleta]]+fNotasFiscais[[#This Row],[Prazo Contratado]]</f>
        <v>43114</v>
      </c>
      <c r="X101" s="3">
        <f>IF(fNotasFiscais[[#This Row],[Data da Entrega]]&gt;fNotasFiscais[[#This Row],[Data Contratada]],0,1)</f>
        <v>1</v>
      </c>
      <c r="Y101" s="3">
        <f>IF(fNotasFiscais[[#This Row],[Ocorrência]]="",1,0)</f>
        <v>1</v>
      </c>
      <c r="Z101" s="2">
        <f>fNotasFiscais[[#This Row],[On Time]]*fNotasFiscais[[#This Row],[In Full]]</f>
        <v>1</v>
      </c>
      <c r="AA101">
        <f>IF(fNotasFiscais[[#This Row],[Nota Fiscal]]&lt;&gt;"",1,0)</f>
        <v>1</v>
      </c>
    </row>
    <row r="102" spans="1:27" x14ac:dyDescent="0.25">
      <c r="A102" s="1">
        <v>43127</v>
      </c>
      <c r="B102">
        <v>10512</v>
      </c>
      <c r="C102" s="2" t="s">
        <v>34</v>
      </c>
      <c r="D102" s="2" t="s">
        <v>35</v>
      </c>
      <c r="E102" s="2" t="s">
        <v>36</v>
      </c>
      <c r="F102">
        <v>4041</v>
      </c>
      <c r="G102" s="2" t="s">
        <v>83</v>
      </c>
      <c r="H102" s="2" t="s">
        <v>51</v>
      </c>
      <c r="I102" s="2" t="s">
        <v>73</v>
      </c>
      <c r="J102" s="2" t="s">
        <v>49</v>
      </c>
      <c r="K102" s="2" t="s">
        <v>73</v>
      </c>
      <c r="L102">
        <v>566.69000000000005</v>
      </c>
      <c r="M102">
        <v>2</v>
      </c>
      <c r="N102">
        <v>2.6840000000000002</v>
      </c>
      <c r="O102">
        <v>6100231</v>
      </c>
      <c r="P102" s="2" t="s">
        <v>50</v>
      </c>
      <c r="Q102" s="2" t="s">
        <v>51</v>
      </c>
      <c r="R102" s="2" t="s">
        <v>30</v>
      </c>
      <c r="S102">
        <v>6</v>
      </c>
      <c r="T102" s="1">
        <v>43127</v>
      </c>
      <c r="U102" s="1">
        <v>43136</v>
      </c>
      <c r="V102" s="2"/>
      <c r="W102" s="1">
        <f>fNotasFiscais[[#This Row],[Data da Coleta]]+fNotasFiscais[[#This Row],[Prazo Contratado]]</f>
        <v>43133</v>
      </c>
      <c r="X102" s="3">
        <f>IF(fNotasFiscais[[#This Row],[Data da Entrega]]&gt;fNotasFiscais[[#This Row],[Data Contratada]],0,1)</f>
        <v>0</v>
      </c>
      <c r="Y102" s="3">
        <f>IF(fNotasFiscais[[#This Row],[Ocorrência]]="",1,0)</f>
        <v>1</v>
      </c>
      <c r="Z102" s="2">
        <f>fNotasFiscais[[#This Row],[On Time]]*fNotasFiscais[[#This Row],[In Full]]</f>
        <v>0</v>
      </c>
      <c r="AA102">
        <f>IF(fNotasFiscais[[#This Row],[Nota Fiscal]]&lt;&gt;"",1,0)</f>
        <v>1</v>
      </c>
    </row>
    <row r="103" spans="1:27" x14ac:dyDescent="0.25">
      <c r="A103" s="1">
        <v>43127</v>
      </c>
      <c r="B103">
        <v>10514</v>
      </c>
      <c r="C103" s="2" t="s">
        <v>54</v>
      </c>
      <c r="D103" s="2" t="s">
        <v>55</v>
      </c>
      <c r="E103" s="2" t="s">
        <v>56</v>
      </c>
      <c r="F103">
        <v>4041</v>
      </c>
      <c r="G103" s="2" t="s">
        <v>83</v>
      </c>
      <c r="H103" s="2" t="s">
        <v>51</v>
      </c>
      <c r="I103" s="2" t="s">
        <v>73</v>
      </c>
      <c r="J103" s="2" t="s">
        <v>49</v>
      </c>
      <c r="K103" s="2" t="s">
        <v>73</v>
      </c>
      <c r="L103">
        <v>789.14</v>
      </c>
      <c r="M103">
        <v>2</v>
      </c>
      <c r="N103">
        <v>1.498</v>
      </c>
      <c r="O103">
        <v>6100231</v>
      </c>
      <c r="P103" s="2" t="s">
        <v>50</v>
      </c>
      <c r="Q103" s="2" t="s">
        <v>51</v>
      </c>
      <c r="R103" s="2" t="s">
        <v>30</v>
      </c>
      <c r="S103">
        <v>8</v>
      </c>
      <c r="T103" s="1">
        <v>43127</v>
      </c>
      <c r="U103" s="1">
        <v>43135</v>
      </c>
      <c r="V103" s="2"/>
      <c r="W103" s="1">
        <f>fNotasFiscais[[#This Row],[Data da Coleta]]+fNotasFiscais[[#This Row],[Prazo Contratado]]</f>
        <v>43135</v>
      </c>
      <c r="X103" s="3">
        <f>IF(fNotasFiscais[[#This Row],[Data da Entrega]]&gt;fNotasFiscais[[#This Row],[Data Contratada]],0,1)</f>
        <v>1</v>
      </c>
      <c r="Y103" s="3">
        <f>IF(fNotasFiscais[[#This Row],[Ocorrência]]="",1,0)</f>
        <v>1</v>
      </c>
      <c r="Z103" s="2">
        <f>fNotasFiscais[[#This Row],[On Time]]*fNotasFiscais[[#This Row],[In Full]]</f>
        <v>1</v>
      </c>
      <c r="AA103">
        <f>IF(fNotasFiscais[[#This Row],[Nota Fiscal]]&lt;&gt;"",1,0)</f>
        <v>1</v>
      </c>
    </row>
    <row r="104" spans="1:27" x14ac:dyDescent="0.25">
      <c r="A104" s="1">
        <v>43127</v>
      </c>
      <c r="B104">
        <v>10517</v>
      </c>
      <c r="C104" s="2" t="s">
        <v>40</v>
      </c>
      <c r="D104" s="2" t="s">
        <v>41</v>
      </c>
      <c r="E104" s="2" t="s">
        <v>33</v>
      </c>
      <c r="F104">
        <v>4041</v>
      </c>
      <c r="G104" s="2" t="s">
        <v>83</v>
      </c>
      <c r="H104" s="2" t="s">
        <v>51</v>
      </c>
      <c r="I104" s="2" t="s">
        <v>73</v>
      </c>
      <c r="J104" s="2" t="s">
        <v>49</v>
      </c>
      <c r="K104" s="2" t="s">
        <v>73</v>
      </c>
      <c r="L104">
        <v>742.35</v>
      </c>
      <c r="M104">
        <v>1</v>
      </c>
      <c r="N104">
        <v>4.84</v>
      </c>
      <c r="O104">
        <v>6100231</v>
      </c>
      <c r="P104" s="2" t="s">
        <v>50</v>
      </c>
      <c r="Q104" s="2" t="s">
        <v>51</v>
      </c>
      <c r="R104" s="2" t="s">
        <v>30</v>
      </c>
      <c r="S104">
        <v>7</v>
      </c>
      <c r="T104" s="1">
        <v>43127</v>
      </c>
      <c r="U104" s="1">
        <v>43133</v>
      </c>
      <c r="V104" s="2"/>
      <c r="W104" s="1">
        <f>fNotasFiscais[[#This Row],[Data da Coleta]]+fNotasFiscais[[#This Row],[Prazo Contratado]]</f>
        <v>43134</v>
      </c>
      <c r="X104" s="3">
        <f>IF(fNotasFiscais[[#This Row],[Data da Entrega]]&gt;fNotasFiscais[[#This Row],[Data Contratada]],0,1)</f>
        <v>1</v>
      </c>
      <c r="Y104" s="3">
        <f>IF(fNotasFiscais[[#This Row],[Ocorrência]]="",1,0)</f>
        <v>1</v>
      </c>
      <c r="Z104" s="2">
        <f>fNotasFiscais[[#This Row],[On Time]]*fNotasFiscais[[#This Row],[In Full]]</f>
        <v>1</v>
      </c>
      <c r="AA104">
        <f>IF(fNotasFiscais[[#This Row],[Nota Fiscal]]&lt;&gt;"",1,0)</f>
        <v>1</v>
      </c>
    </row>
    <row r="105" spans="1:27" x14ac:dyDescent="0.25">
      <c r="A105" s="1">
        <v>43127</v>
      </c>
      <c r="B105">
        <v>10518</v>
      </c>
      <c r="C105" s="2" t="s">
        <v>40</v>
      </c>
      <c r="D105" s="2" t="s">
        <v>41</v>
      </c>
      <c r="E105" s="2" t="s">
        <v>33</v>
      </c>
      <c r="F105">
        <v>4041</v>
      </c>
      <c r="G105" s="2" t="s">
        <v>83</v>
      </c>
      <c r="H105" s="2" t="s">
        <v>51</v>
      </c>
      <c r="I105" s="2" t="s">
        <v>73</v>
      </c>
      <c r="J105" s="2" t="s">
        <v>49</v>
      </c>
      <c r="K105" s="2" t="s">
        <v>73</v>
      </c>
      <c r="L105">
        <v>2612.0100000000002</v>
      </c>
      <c r="M105">
        <v>8</v>
      </c>
      <c r="N105">
        <v>13.42</v>
      </c>
      <c r="O105">
        <v>6100231</v>
      </c>
      <c r="P105" s="2" t="s">
        <v>50</v>
      </c>
      <c r="Q105" s="2" t="s">
        <v>51</v>
      </c>
      <c r="R105" s="2" t="s">
        <v>30</v>
      </c>
      <c r="S105">
        <v>10</v>
      </c>
      <c r="T105" s="1">
        <v>43127</v>
      </c>
      <c r="U105" s="1">
        <v>43132</v>
      </c>
      <c r="V105" s="2"/>
      <c r="W105" s="1">
        <f>fNotasFiscais[[#This Row],[Data da Coleta]]+fNotasFiscais[[#This Row],[Prazo Contratado]]</f>
        <v>43137</v>
      </c>
      <c r="X105" s="3">
        <f>IF(fNotasFiscais[[#This Row],[Data da Entrega]]&gt;fNotasFiscais[[#This Row],[Data Contratada]],0,1)</f>
        <v>1</v>
      </c>
      <c r="Y105" s="3">
        <f>IF(fNotasFiscais[[#This Row],[Ocorrência]]="",1,0)</f>
        <v>1</v>
      </c>
      <c r="Z105" s="2">
        <f>fNotasFiscais[[#This Row],[On Time]]*fNotasFiscais[[#This Row],[In Full]]</f>
        <v>1</v>
      </c>
      <c r="AA105">
        <f>IF(fNotasFiscais[[#This Row],[Nota Fiscal]]&lt;&gt;"",1,0)</f>
        <v>1</v>
      </c>
    </row>
    <row r="106" spans="1:27" x14ac:dyDescent="0.25">
      <c r="A106" s="1">
        <v>43126</v>
      </c>
      <c r="B106">
        <v>10521</v>
      </c>
      <c r="C106" s="2" t="s">
        <v>22</v>
      </c>
      <c r="D106" s="2" t="s">
        <v>23</v>
      </c>
      <c r="E106" s="2" t="s">
        <v>24</v>
      </c>
      <c r="F106">
        <v>4041</v>
      </c>
      <c r="G106" s="2" t="s">
        <v>83</v>
      </c>
      <c r="H106" s="2" t="s">
        <v>51</v>
      </c>
      <c r="I106" s="2" t="s">
        <v>73</v>
      </c>
      <c r="J106" s="2" t="s">
        <v>49</v>
      </c>
      <c r="K106" s="2" t="s">
        <v>73</v>
      </c>
      <c r="L106">
        <v>899.98</v>
      </c>
      <c r="M106">
        <v>4</v>
      </c>
      <c r="N106">
        <v>8.8000000000000007</v>
      </c>
      <c r="O106">
        <v>6100231</v>
      </c>
      <c r="P106" s="2" t="s">
        <v>50</v>
      </c>
      <c r="Q106" s="2" t="s">
        <v>51</v>
      </c>
      <c r="R106" s="2" t="s">
        <v>30</v>
      </c>
      <c r="S106">
        <v>2</v>
      </c>
      <c r="T106" s="1">
        <v>43127</v>
      </c>
      <c r="U106" s="1">
        <v>43130</v>
      </c>
      <c r="V106" s="2"/>
      <c r="W106" s="1">
        <f>fNotasFiscais[[#This Row],[Data da Coleta]]+fNotasFiscais[[#This Row],[Prazo Contratado]]</f>
        <v>43129</v>
      </c>
      <c r="X106" s="3">
        <f>IF(fNotasFiscais[[#This Row],[Data da Entrega]]&gt;fNotasFiscais[[#This Row],[Data Contratada]],0,1)</f>
        <v>0</v>
      </c>
      <c r="Y106" s="3">
        <f>IF(fNotasFiscais[[#This Row],[Ocorrência]]="",1,0)</f>
        <v>1</v>
      </c>
      <c r="Z106" s="2">
        <f>fNotasFiscais[[#This Row],[On Time]]*fNotasFiscais[[#This Row],[In Full]]</f>
        <v>0</v>
      </c>
      <c r="AA106">
        <f>IF(fNotasFiscais[[#This Row],[Nota Fiscal]]&lt;&gt;"",1,0)</f>
        <v>1</v>
      </c>
    </row>
    <row r="107" spans="1:27" x14ac:dyDescent="0.25">
      <c r="A107" s="1">
        <v>43150</v>
      </c>
      <c r="B107">
        <v>10609</v>
      </c>
      <c r="C107" s="2" t="s">
        <v>52</v>
      </c>
      <c r="D107" s="2" t="s">
        <v>53</v>
      </c>
      <c r="E107" s="2" t="s">
        <v>33</v>
      </c>
      <c r="F107">
        <v>4059</v>
      </c>
      <c r="G107" s="2" t="s">
        <v>84</v>
      </c>
      <c r="H107" s="2" t="s">
        <v>64</v>
      </c>
      <c r="I107" s="2" t="s">
        <v>65</v>
      </c>
      <c r="J107" s="2" t="s">
        <v>49</v>
      </c>
      <c r="K107" s="2" t="s">
        <v>65</v>
      </c>
      <c r="L107">
        <v>10213.06</v>
      </c>
      <c r="M107">
        <v>6</v>
      </c>
      <c r="N107">
        <v>35.47</v>
      </c>
      <c r="O107">
        <v>6100231</v>
      </c>
      <c r="P107" s="2" t="s">
        <v>50</v>
      </c>
      <c r="Q107" s="2" t="s">
        <v>51</v>
      </c>
      <c r="R107" s="2" t="s">
        <v>30</v>
      </c>
      <c r="S107">
        <v>3</v>
      </c>
      <c r="T107" s="1">
        <v>43151</v>
      </c>
      <c r="U107" s="1">
        <v>43159</v>
      </c>
      <c r="V107" s="2"/>
      <c r="W107" s="1">
        <f>fNotasFiscais[[#This Row],[Data da Coleta]]+fNotasFiscais[[#This Row],[Prazo Contratado]]</f>
        <v>43154</v>
      </c>
      <c r="X107" s="3">
        <f>IF(fNotasFiscais[[#This Row],[Data da Entrega]]&gt;fNotasFiscais[[#This Row],[Data Contratada]],0,1)</f>
        <v>0</v>
      </c>
      <c r="Y107" s="3">
        <f>IF(fNotasFiscais[[#This Row],[Ocorrência]]="",1,0)</f>
        <v>1</v>
      </c>
      <c r="Z107" s="2">
        <f>fNotasFiscais[[#This Row],[On Time]]*fNotasFiscais[[#This Row],[In Full]]</f>
        <v>0</v>
      </c>
      <c r="AA107">
        <f>IF(fNotasFiscais[[#This Row],[Nota Fiscal]]&lt;&gt;"",1,0)</f>
        <v>1</v>
      </c>
    </row>
    <row r="108" spans="1:27" x14ac:dyDescent="0.25">
      <c r="A108" s="1">
        <v>43150</v>
      </c>
      <c r="B108">
        <v>10610</v>
      </c>
      <c r="C108" s="2" t="s">
        <v>34</v>
      </c>
      <c r="D108" s="2" t="s">
        <v>35</v>
      </c>
      <c r="E108" s="2" t="s">
        <v>36</v>
      </c>
      <c r="F108">
        <v>4059</v>
      </c>
      <c r="G108" s="2" t="s">
        <v>84</v>
      </c>
      <c r="H108" s="2" t="s">
        <v>64</v>
      </c>
      <c r="I108" s="2" t="s">
        <v>65</v>
      </c>
      <c r="J108" s="2" t="s">
        <v>49</v>
      </c>
      <c r="K108" s="2" t="s">
        <v>65</v>
      </c>
      <c r="L108">
        <v>634.03</v>
      </c>
      <c r="M108">
        <v>1</v>
      </c>
      <c r="N108">
        <v>3.1E-2</v>
      </c>
      <c r="O108">
        <v>6100231</v>
      </c>
      <c r="P108" s="2" t="s">
        <v>50</v>
      </c>
      <c r="Q108" s="2" t="s">
        <v>51</v>
      </c>
      <c r="R108" s="2" t="s">
        <v>30</v>
      </c>
      <c r="S108">
        <v>6</v>
      </c>
      <c r="T108" s="1">
        <v>43151</v>
      </c>
      <c r="U108" s="1">
        <v>43152</v>
      </c>
      <c r="V108" s="2" t="s">
        <v>57</v>
      </c>
      <c r="W108" s="1">
        <f>fNotasFiscais[[#This Row],[Data da Coleta]]+fNotasFiscais[[#This Row],[Prazo Contratado]]</f>
        <v>43157</v>
      </c>
      <c r="X108" s="3">
        <f>IF(fNotasFiscais[[#This Row],[Data da Entrega]]&gt;fNotasFiscais[[#This Row],[Data Contratada]],0,1)</f>
        <v>1</v>
      </c>
      <c r="Y108" s="3">
        <f>IF(fNotasFiscais[[#This Row],[Ocorrência]]="",1,0)</f>
        <v>0</v>
      </c>
      <c r="Z108" s="2">
        <f>fNotasFiscais[[#This Row],[On Time]]*fNotasFiscais[[#This Row],[In Full]]</f>
        <v>0</v>
      </c>
      <c r="AA108">
        <f>IF(fNotasFiscais[[#This Row],[Nota Fiscal]]&lt;&gt;"",1,0)</f>
        <v>1</v>
      </c>
    </row>
    <row r="109" spans="1:27" x14ac:dyDescent="0.25">
      <c r="A109" s="1">
        <v>43108</v>
      </c>
      <c r="B109">
        <v>10439</v>
      </c>
      <c r="C109" s="2" t="s">
        <v>34</v>
      </c>
      <c r="D109" s="2" t="s">
        <v>35</v>
      </c>
      <c r="E109" s="2" t="s">
        <v>36</v>
      </c>
      <c r="F109">
        <v>4021</v>
      </c>
      <c r="G109" s="2" t="s">
        <v>85</v>
      </c>
      <c r="H109" s="2" t="s">
        <v>75</v>
      </c>
      <c r="I109" s="2" t="s">
        <v>39</v>
      </c>
      <c r="J109" s="2" t="s">
        <v>28</v>
      </c>
      <c r="K109" s="2" t="s">
        <v>39</v>
      </c>
      <c r="L109">
        <v>99.27</v>
      </c>
      <c r="M109">
        <v>1</v>
      </c>
      <c r="N109">
        <v>1.331</v>
      </c>
      <c r="O109">
        <v>6500948</v>
      </c>
      <c r="P109" s="2" t="s">
        <v>29</v>
      </c>
      <c r="Q109" s="2" t="s">
        <v>23</v>
      </c>
      <c r="R109" s="2" t="s">
        <v>30</v>
      </c>
      <c r="S109">
        <v>12</v>
      </c>
      <c r="T109" s="1">
        <v>43109</v>
      </c>
      <c r="U109" s="1">
        <v>43112</v>
      </c>
      <c r="V109" s="2"/>
      <c r="W109" s="1">
        <f>fNotasFiscais[[#This Row],[Data da Coleta]]+fNotasFiscais[[#This Row],[Prazo Contratado]]</f>
        <v>43121</v>
      </c>
      <c r="X109" s="3">
        <f>IF(fNotasFiscais[[#This Row],[Data da Entrega]]&gt;fNotasFiscais[[#This Row],[Data Contratada]],0,1)</f>
        <v>1</v>
      </c>
      <c r="Y109" s="3">
        <f>IF(fNotasFiscais[[#This Row],[Ocorrência]]="",1,0)</f>
        <v>1</v>
      </c>
      <c r="Z109" s="2">
        <f>fNotasFiscais[[#This Row],[On Time]]*fNotasFiscais[[#This Row],[In Full]]</f>
        <v>1</v>
      </c>
      <c r="AA109">
        <f>IF(fNotasFiscais[[#This Row],[Nota Fiscal]]&lt;&gt;"",1,0)</f>
        <v>1</v>
      </c>
    </row>
    <row r="110" spans="1:27" x14ac:dyDescent="0.25">
      <c r="A110" s="1">
        <v>43140</v>
      </c>
      <c r="B110">
        <v>10584</v>
      </c>
      <c r="C110" s="2" t="s">
        <v>31</v>
      </c>
      <c r="D110" s="2" t="s">
        <v>32</v>
      </c>
      <c r="E110" s="2" t="s">
        <v>33</v>
      </c>
      <c r="F110">
        <v>4021</v>
      </c>
      <c r="G110" s="2" t="s">
        <v>85</v>
      </c>
      <c r="H110" s="2" t="s">
        <v>75</v>
      </c>
      <c r="I110" s="2" t="s">
        <v>39</v>
      </c>
      <c r="J110" s="2" t="s">
        <v>28</v>
      </c>
      <c r="K110" s="2" t="s">
        <v>39</v>
      </c>
      <c r="L110">
        <v>202.48</v>
      </c>
      <c r="M110">
        <v>2</v>
      </c>
      <c r="N110">
        <v>0.55200000000000005</v>
      </c>
      <c r="O110">
        <v>6500948</v>
      </c>
      <c r="P110" s="2" t="s">
        <v>29</v>
      </c>
      <c r="Q110" s="2" t="s">
        <v>23</v>
      </c>
      <c r="R110" s="2" t="s">
        <v>30</v>
      </c>
      <c r="S110">
        <v>6</v>
      </c>
      <c r="T110" s="1">
        <v>43141</v>
      </c>
      <c r="U110" s="1">
        <v>43146</v>
      </c>
      <c r="V110" s="2"/>
      <c r="W110" s="1">
        <f>fNotasFiscais[[#This Row],[Data da Coleta]]+fNotasFiscais[[#This Row],[Prazo Contratado]]</f>
        <v>43147</v>
      </c>
      <c r="X110" s="3">
        <f>IF(fNotasFiscais[[#This Row],[Data da Entrega]]&gt;fNotasFiscais[[#This Row],[Data Contratada]],0,1)</f>
        <v>1</v>
      </c>
      <c r="Y110" s="3">
        <f>IF(fNotasFiscais[[#This Row],[Ocorrência]]="",1,0)</f>
        <v>1</v>
      </c>
      <c r="Z110" s="2">
        <f>fNotasFiscais[[#This Row],[On Time]]*fNotasFiscais[[#This Row],[In Full]]</f>
        <v>1</v>
      </c>
      <c r="AA110">
        <f>IF(fNotasFiscais[[#This Row],[Nota Fiscal]]&lt;&gt;"",1,0)</f>
        <v>1</v>
      </c>
    </row>
    <row r="111" spans="1:27" x14ac:dyDescent="0.25">
      <c r="A111" s="1">
        <v>43140</v>
      </c>
      <c r="B111">
        <v>10585</v>
      </c>
      <c r="C111" s="2" t="s">
        <v>43</v>
      </c>
      <c r="D111" s="2" t="s">
        <v>44</v>
      </c>
      <c r="E111" s="2" t="s">
        <v>45</v>
      </c>
      <c r="F111">
        <v>4021</v>
      </c>
      <c r="G111" s="2" t="s">
        <v>85</v>
      </c>
      <c r="H111" s="2" t="s">
        <v>75</v>
      </c>
      <c r="I111" s="2" t="s">
        <v>39</v>
      </c>
      <c r="J111" s="2" t="s">
        <v>28</v>
      </c>
      <c r="K111" s="2" t="s">
        <v>39</v>
      </c>
      <c r="L111">
        <v>1.46</v>
      </c>
      <c r="M111">
        <v>1</v>
      </c>
      <c r="N111">
        <v>1.1200000000000001</v>
      </c>
      <c r="O111">
        <v>6500948</v>
      </c>
      <c r="P111" s="2" t="s">
        <v>29</v>
      </c>
      <c r="Q111" s="2" t="s">
        <v>23</v>
      </c>
      <c r="R111" s="2" t="s">
        <v>30</v>
      </c>
      <c r="S111">
        <v>2</v>
      </c>
      <c r="T111" s="1">
        <v>43141</v>
      </c>
      <c r="U111" s="1">
        <v>43147</v>
      </c>
      <c r="V111" s="2"/>
      <c r="W111" s="1">
        <f>fNotasFiscais[[#This Row],[Data da Coleta]]+fNotasFiscais[[#This Row],[Prazo Contratado]]</f>
        <v>43143</v>
      </c>
      <c r="X111" s="3">
        <f>IF(fNotasFiscais[[#This Row],[Data da Entrega]]&gt;fNotasFiscais[[#This Row],[Data Contratada]],0,1)</f>
        <v>0</v>
      </c>
      <c r="Y111" s="3">
        <f>IF(fNotasFiscais[[#This Row],[Ocorrência]]="",1,0)</f>
        <v>1</v>
      </c>
      <c r="Z111" s="2">
        <f>fNotasFiscais[[#This Row],[On Time]]*fNotasFiscais[[#This Row],[In Full]]</f>
        <v>0</v>
      </c>
      <c r="AA111">
        <f>IF(fNotasFiscais[[#This Row],[Nota Fiscal]]&lt;&gt;"",1,0)</f>
        <v>1</v>
      </c>
    </row>
    <row r="112" spans="1:27" x14ac:dyDescent="0.25">
      <c r="A112" s="1">
        <v>43147</v>
      </c>
      <c r="B112">
        <v>10606</v>
      </c>
      <c r="C112" s="2" t="s">
        <v>31</v>
      </c>
      <c r="D112" s="2" t="s">
        <v>32</v>
      </c>
      <c r="E112" s="2" t="s">
        <v>33</v>
      </c>
      <c r="F112">
        <v>4021</v>
      </c>
      <c r="G112" s="2" t="s">
        <v>85</v>
      </c>
      <c r="H112" s="2" t="s">
        <v>75</v>
      </c>
      <c r="I112" s="2" t="s">
        <v>39</v>
      </c>
      <c r="J112" s="2" t="s">
        <v>28</v>
      </c>
      <c r="K112" s="2" t="s">
        <v>39</v>
      </c>
      <c r="L112">
        <v>1697</v>
      </c>
      <c r="M112">
        <v>1</v>
      </c>
      <c r="N112">
        <v>8.984</v>
      </c>
      <c r="O112">
        <v>6500948</v>
      </c>
      <c r="P112" s="2" t="s">
        <v>29</v>
      </c>
      <c r="Q112" s="2" t="s">
        <v>23</v>
      </c>
      <c r="R112" s="2" t="s">
        <v>30</v>
      </c>
      <c r="S112">
        <v>4</v>
      </c>
      <c r="T112" s="1">
        <v>43148</v>
      </c>
      <c r="U112" s="1">
        <v>43156</v>
      </c>
      <c r="V112" s="2" t="s">
        <v>57</v>
      </c>
      <c r="W112" s="1">
        <f>fNotasFiscais[[#This Row],[Data da Coleta]]+fNotasFiscais[[#This Row],[Prazo Contratado]]</f>
        <v>43152</v>
      </c>
      <c r="X112" s="3">
        <f>IF(fNotasFiscais[[#This Row],[Data da Entrega]]&gt;fNotasFiscais[[#This Row],[Data Contratada]],0,1)</f>
        <v>0</v>
      </c>
      <c r="Y112" s="3">
        <f>IF(fNotasFiscais[[#This Row],[Ocorrência]]="",1,0)</f>
        <v>0</v>
      </c>
      <c r="Z112" s="2">
        <f>fNotasFiscais[[#This Row],[On Time]]*fNotasFiscais[[#This Row],[In Full]]</f>
        <v>0</v>
      </c>
      <c r="AA112">
        <f>IF(fNotasFiscais[[#This Row],[Nota Fiscal]]&lt;&gt;"",1,0)</f>
        <v>1</v>
      </c>
    </row>
    <row r="113" spans="1:27" x14ac:dyDescent="0.25">
      <c r="A113" s="1">
        <v>43152</v>
      </c>
      <c r="B113">
        <v>10620</v>
      </c>
      <c r="C113" s="2" t="s">
        <v>40</v>
      </c>
      <c r="D113" s="2" t="s">
        <v>41</v>
      </c>
      <c r="E113" s="2" t="s">
        <v>33</v>
      </c>
      <c r="F113">
        <v>4021</v>
      </c>
      <c r="G113" s="2" t="s">
        <v>85</v>
      </c>
      <c r="H113" s="2" t="s">
        <v>75</v>
      </c>
      <c r="I113" s="2" t="s">
        <v>39</v>
      </c>
      <c r="J113" s="2" t="s">
        <v>28</v>
      </c>
      <c r="K113" s="2" t="s">
        <v>39</v>
      </c>
      <c r="L113">
        <v>13026.06</v>
      </c>
      <c r="M113">
        <v>12</v>
      </c>
      <c r="N113">
        <v>97.89</v>
      </c>
      <c r="O113">
        <v>6500948</v>
      </c>
      <c r="P113" s="2" t="s">
        <v>29</v>
      </c>
      <c r="Q113" s="2" t="s">
        <v>23</v>
      </c>
      <c r="R113" s="2" t="s">
        <v>30</v>
      </c>
      <c r="S113">
        <v>4</v>
      </c>
      <c r="T113" s="1">
        <v>43153</v>
      </c>
      <c r="U113" s="1">
        <v>43158</v>
      </c>
      <c r="V113" s="2"/>
      <c r="W113" s="1">
        <f>fNotasFiscais[[#This Row],[Data da Coleta]]+fNotasFiscais[[#This Row],[Prazo Contratado]]</f>
        <v>43157</v>
      </c>
      <c r="X113" s="3">
        <f>IF(fNotasFiscais[[#This Row],[Data da Entrega]]&gt;fNotasFiscais[[#This Row],[Data Contratada]],0,1)</f>
        <v>0</v>
      </c>
      <c r="Y113" s="3">
        <f>IF(fNotasFiscais[[#This Row],[Ocorrência]]="",1,0)</f>
        <v>1</v>
      </c>
      <c r="Z113" s="2">
        <f>fNotasFiscais[[#This Row],[On Time]]*fNotasFiscais[[#This Row],[In Full]]</f>
        <v>0</v>
      </c>
      <c r="AA113">
        <f>IF(fNotasFiscais[[#This Row],[Nota Fiscal]]&lt;&gt;"",1,0)</f>
        <v>1</v>
      </c>
    </row>
    <row r="114" spans="1:27" x14ac:dyDescent="0.25">
      <c r="A114" s="1">
        <v>43152</v>
      </c>
      <c r="B114">
        <v>10626</v>
      </c>
      <c r="C114" s="2" t="s">
        <v>31</v>
      </c>
      <c r="D114" s="2" t="s">
        <v>32</v>
      </c>
      <c r="E114" s="2" t="s">
        <v>33</v>
      </c>
      <c r="F114">
        <v>4021</v>
      </c>
      <c r="G114" s="2" t="s">
        <v>85</v>
      </c>
      <c r="H114" s="2" t="s">
        <v>75</v>
      </c>
      <c r="I114" s="2" t="s">
        <v>39</v>
      </c>
      <c r="J114" s="2" t="s">
        <v>28</v>
      </c>
      <c r="K114" s="2" t="s">
        <v>39</v>
      </c>
      <c r="L114">
        <v>344.33</v>
      </c>
      <c r="M114">
        <v>2</v>
      </c>
      <c r="N114">
        <v>1.671</v>
      </c>
      <c r="O114">
        <v>6500948</v>
      </c>
      <c r="P114" s="2" t="s">
        <v>29</v>
      </c>
      <c r="Q114" s="2" t="s">
        <v>23</v>
      </c>
      <c r="R114" s="2" t="s">
        <v>30</v>
      </c>
      <c r="S114">
        <v>8</v>
      </c>
      <c r="T114" s="1">
        <v>43153</v>
      </c>
      <c r="U114" s="1">
        <v>43163</v>
      </c>
      <c r="V114" s="2"/>
      <c r="W114" s="1">
        <f>fNotasFiscais[[#This Row],[Data da Coleta]]+fNotasFiscais[[#This Row],[Prazo Contratado]]</f>
        <v>43161</v>
      </c>
      <c r="X114" s="3">
        <f>IF(fNotasFiscais[[#This Row],[Data da Entrega]]&gt;fNotasFiscais[[#This Row],[Data Contratada]],0,1)</f>
        <v>0</v>
      </c>
      <c r="Y114" s="3">
        <f>IF(fNotasFiscais[[#This Row],[Ocorrência]]="",1,0)</f>
        <v>1</v>
      </c>
      <c r="Z114" s="2">
        <f>fNotasFiscais[[#This Row],[On Time]]*fNotasFiscais[[#This Row],[In Full]]</f>
        <v>0</v>
      </c>
      <c r="AA114">
        <f>IF(fNotasFiscais[[#This Row],[Nota Fiscal]]&lt;&gt;"",1,0)</f>
        <v>1</v>
      </c>
    </row>
    <row r="115" spans="1:27" x14ac:dyDescent="0.25">
      <c r="A115" s="1">
        <v>43168</v>
      </c>
      <c r="B115">
        <v>10670</v>
      </c>
      <c r="C115" s="2" t="s">
        <v>40</v>
      </c>
      <c r="D115" s="2" t="s">
        <v>41</v>
      </c>
      <c r="E115" s="2" t="s">
        <v>33</v>
      </c>
      <c r="F115">
        <v>4021</v>
      </c>
      <c r="G115" s="2" t="s">
        <v>85</v>
      </c>
      <c r="H115" s="2" t="s">
        <v>75</v>
      </c>
      <c r="I115" s="2" t="s">
        <v>39</v>
      </c>
      <c r="J115" s="2" t="s">
        <v>28</v>
      </c>
      <c r="K115" s="2" t="s">
        <v>39</v>
      </c>
      <c r="L115">
        <v>1985.19</v>
      </c>
      <c r="M115">
        <v>4</v>
      </c>
      <c r="N115">
        <v>15.773999999999999</v>
      </c>
      <c r="O115">
        <v>6500948</v>
      </c>
      <c r="P115" s="2" t="s">
        <v>29</v>
      </c>
      <c r="Q115" s="2" t="s">
        <v>23</v>
      </c>
      <c r="R115" s="2" t="s">
        <v>30</v>
      </c>
      <c r="S115">
        <v>6</v>
      </c>
      <c r="T115" s="1">
        <v>43168</v>
      </c>
      <c r="U115" s="1">
        <v>43175</v>
      </c>
      <c r="V115" s="2"/>
      <c r="W115" s="1">
        <f>fNotasFiscais[[#This Row],[Data da Coleta]]+fNotasFiscais[[#This Row],[Prazo Contratado]]</f>
        <v>43174</v>
      </c>
      <c r="X115" s="3">
        <f>IF(fNotasFiscais[[#This Row],[Data da Entrega]]&gt;fNotasFiscais[[#This Row],[Data Contratada]],0,1)</f>
        <v>0</v>
      </c>
      <c r="Y115" s="3">
        <f>IF(fNotasFiscais[[#This Row],[Ocorrência]]="",1,0)</f>
        <v>1</v>
      </c>
      <c r="Z115" s="2">
        <f>fNotasFiscais[[#This Row],[On Time]]*fNotasFiscais[[#This Row],[In Full]]</f>
        <v>0</v>
      </c>
      <c r="AA115">
        <f>IF(fNotasFiscais[[#This Row],[Nota Fiscal]]&lt;&gt;"",1,0)</f>
        <v>1</v>
      </c>
    </row>
    <row r="116" spans="1:27" x14ac:dyDescent="0.25">
      <c r="A116" s="1">
        <v>43168</v>
      </c>
      <c r="B116">
        <v>10671</v>
      </c>
      <c r="C116" s="2" t="s">
        <v>34</v>
      </c>
      <c r="D116" s="2" t="s">
        <v>35</v>
      </c>
      <c r="E116" s="2" t="s">
        <v>36</v>
      </c>
      <c r="F116">
        <v>4021</v>
      </c>
      <c r="G116" s="2" t="s">
        <v>85</v>
      </c>
      <c r="H116" s="2" t="s">
        <v>75</v>
      </c>
      <c r="I116" s="2" t="s">
        <v>39</v>
      </c>
      <c r="J116" s="2" t="s">
        <v>28</v>
      </c>
      <c r="K116" s="2" t="s">
        <v>39</v>
      </c>
      <c r="L116">
        <v>437.05</v>
      </c>
      <c r="M116">
        <v>1</v>
      </c>
      <c r="N116">
        <v>4.6760000000000002</v>
      </c>
      <c r="O116">
        <v>6500948</v>
      </c>
      <c r="P116" s="2" t="s">
        <v>29</v>
      </c>
      <c r="Q116" s="2" t="s">
        <v>23</v>
      </c>
      <c r="R116" s="2" t="s">
        <v>30</v>
      </c>
      <c r="S116">
        <v>7</v>
      </c>
      <c r="T116" s="1">
        <v>43168</v>
      </c>
      <c r="U116" s="1">
        <v>43174</v>
      </c>
      <c r="V116" s="2"/>
      <c r="W116" s="1">
        <f>fNotasFiscais[[#This Row],[Data da Coleta]]+fNotasFiscais[[#This Row],[Prazo Contratado]]</f>
        <v>43175</v>
      </c>
      <c r="X116" s="3">
        <f>IF(fNotasFiscais[[#This Row],[Data da Entrega]]&gt;fNotasFiscais[[#This Row],[Data Contratada]],0,1)</f>
        <v>1</v>
      </c>
      <c r="Y116" s="3">
        <f>IF(fNotasFiscais[[#This Row],[Ocorrência]]="",1,0)</f>
        <v>1</v>
      </c>
      <c r="Z116" s="2">
        <f>fNotasFiscais[[#This Row],[On Time]]*fNotasFiscais[[#This Row],[In Full]]</f>
        <v>1</v>
      </c>
      <c r="AA116">
        <f>IF(fNotasFiscais[[#This Row],[Nota Fiscal]]&lt;&gt;"",1,0)</f>
        <v>1</v>
      </c>
    </row>
    <row r="117" spans="1:27" x14ac:dyDescent="0.25">
      <c r="A117" s="1">
        <v>43108</v>
      </c>
      <c r="B117">
        <v>10440</v>
      </c>
      <c r="C117" s="2" t="s">
        <v>52</v>
      </c>
      <c r="D117" s="2" t="s">
        <v>53</v>
      </c>
      <c r="E117" s="2" t="s">
        <v>33</v>
      </c>
      <c r="F117">
        <v>4022</v>
      </c>
      <c r="G117" s="2" t="s">
        <v>86</v>
      </c>
      <c r="H117" s="2" t="s">
        <v>87</v>
      </c>
      <c r="I117" s="2" t="s">
        <v>27</v>
      </c>
      <c r="J117" s="2" t="s">
        <v>28</v>
      </c>
      <c r="K117" s="2" t="s">
        <v>27</v>
      </c>
      <c r="L117">
        <v>1326.15</v>
      </c>
      <c r="M117">
        <v>1</v>
      </c>
      <c r="N117">
        <v>2.5979999999999999</v>
      </c>
      <c r="O117">
        <v>6500948</v>
      </c>
      <c r="P117" s="2" t="s">
        <v>29</v>
      </c>
      <c r="Q117" s="2" t="s">
        <v>23</v>
      </c>
      <c r="R117" s="2" t="s">
        <v>30</v>
      </c>
      <c r="S117">
        <v>11</v>
      </c>
      <c r="T117" s="1">
        <v>43109</v>
      </c>
      <c r="U117" s="1">
        <v>43116</v>
      </c>
      <c r="V117" s="2"/>
      <c r="W117" s="1">
        <f>fNotasFiscais[[#This Row],[Data da Coleta]]+fNotasFiscais[[#This Row],[Prazo Contratado]]</f>
        <v>43120</v>
      </c>
      <c r="X117" s="3">
        <f>IF(fNotasFiscais[[#This Row],[Data da Entrega]]&gt;fNotasFiscais[[#This Row],[Data Contratada]],0,1)</f>
        <v>1</v>
      </c>
      <c r="Y117" s="3">
        <f>IF(fNotasFiscais[[#This Row],[Ocorrência]]="",1,0)</f>
        <v>1</v>
      </c>
      <c r="Z117" s="2">
        <f>fNotasFiscais[[#This Row],[On Time]]*fNotasFiscais[[#This Row],[In Full]]</f>
        <v>1</v>
      </c>
      <c r="AA117">
        <f>IF(fNotasFiscais[[#This Row],[Nota Fiscal]]&lt;&gt;"",1,0)</f>
        <v>1</v>
      </c>
    </row>
    <row r="118" spans="1:27" x14ac:dyDescent="0.25">
      <c r="A118" s="1">
        <v>43111</v>
      </c>
      <c r="B118">
        <v>10461</v>
      </c>
      <c r="C118" s="2" t="s">
        <v>54</v>
      </c>
      <c r="D118" s="2" t="s">
        <v>55</v>
      </c>
      <c r="E118" s="2" t="s">
        <v>56</v>
      </c>
      <c r="F118">
        <v>4022</v>
      </c>
      <c r="G118" s="2" t="s">
        <v>86</v>
      </c>
      <c r="H118" s="2" t="s">
        <v>87</v>
      </c>
      <c r="I118" s="2" t="s">
        <v>27</v>
      </c>
      <c r="J118" s="2" t="s">
        <v>28</v>
      </c>
      <c r="K118" s="2" t="s">
        <v>27</v>
      </c>
      <c r="L118">
        <v>489.05</v>
      </c>
      <c r="M118">
        <v>1</v>
      </c>
      <c r="N118">
        <v>1.2889999999999999</v>
      </c>
      <c r="O118">
        <v>6500948</v>
      </c>
      <c r="P118" s="2" t="s">
        <v>29</v>
      </c>
      <c r="Q118" s="2" t="s">
        <v>23</v>
      </c>
      <c r="R118" s="2" t="s">
        <v>30</v>
      </c>
      <c r="S118">
        <v>11</v>
      </c>
      <c r="T118" s="1">
        <v>43112</v>
      </c>
      <c r="U118" s="1">
        <v>43114</v>
      </c>
      <c r="V118" s="2"/>
      <c r="W118" s="1">
        <f>fNotasFiscais[[#This Row],[Data da Coleta]]+fNotasFiscais[[#This Row],[Prazo Contratado]]</f>
        <v>43123</v>
      </c>
      <c r="X118" s="3">
        <f>IF(fNotasFiscais[[#This Row],[Data da Entrega]]&gt;fNotasFiscais[[#This Row],[Data Contratada]],0,1)</f>
        <v>1</v>
      </c>
      <c r="Y118" s="3">
        <f>IF(fNotasFiscais[[#This Row],[Ocorrência]]="",1,0)</f>
        <v>1</v>
      </c>
      <c r="Z118" s="2">
        <f>fNotasFiscais[[#This Row],[On Time]]*fNotasFiscais[[#This Row],[In Full]]</f>
        <v>1</v>
      </c>
      <c r="AA118">
        <f>IF(fNotasFiscais[[#This Row],[Nota Fiscal]]&lt;&gt;"",1,0)</f>
        <v>1</v>
      </c>
    </row>
    <row r="119" spans="1:27" x14ac:dyDescent="0.25">
      <c r="A119" s="1">
        <v>43111</v>
      </c>
      <c r="B119">
        <v>10462</v>
      </c>
      <c r="C119" s="2" t="s">
        <v>22</v>
      </c>
      <c r="D119" s="2" t="s">
        <v>23</v>
      </c>
      <c r="E119" s="2" t="s">
        <v>24</v>
      </c>
      <c r="F119">
        <v>4022</v>
      </c>
      <c r="G119" s="2" t="s">
        <v>86</v>
      </c>
      <c r="H119" s="2" t="s">
        <v>87</v>
      </c>
      <c r="I119" s="2" t="s">
        <v>27</v>
      </c>
      <c r="J119" s="2" t="s">
        <v>28</v>
      </c>
      <c r="K119" s="2" t="s">
        <v>27</v>
      </c>
      <c r="L119">
        <v>543.94000000000005</v>
      </c>
      <c r="M119">
        <v>1</v>
      </c>
      <c r="N119">
        <v>0.82799999999999996</v>
      </c>
      <c r="O119">
        <v>6500948</v>
      </c>
      <c r="P119" s="2" t="s">
        <v>29</v>
      </c>
      <c r="Q119" s="2" t="s">
        <v>23</v>
      </c>
      <c r="R119" s="2" t="s">
        <v>30</v>
      </c>
      <c r="S119">
        <v>1</v>
      </c>
      <c r="T119" s="1">
        <v>43112</v>
      </c>
      <c r="U119" s="1">
        <v>43121</v>
      </c>
      <c r="V119" s="2"/>
      <c r="W119" s="1">
        <f>fNotasFiscais[[#This Row],[Data da Coleta]]+fNotasFiscais[[#This Row],[Prazo Contratado]]</f>
        <v>43113</v>
      </c>
      <c r="X119" s="3">
        <f>IF(fNotasFiscais[[#This Row],[Data da Entrega]]&gt;fNotasFiscais[[#This Row],[Data Contratada]],0,1)</f>
        <v>0</v>
      </c>
      <c r="Y119" s="3">
        <f>IF(fNotasFiscais[[#This Row],[Ocorrência]]="",1,0)</f>
        <v>1</v>
      </c>
      <c r="Z119" s="2">
        <f>fNotasFiscais[[#This Row],[On Time]]*fNotasFiscais[[#This Row],[In Full]]</f>
        <v>0</v>
      </c>
      <c r="AA119">
        <f>IF(fNotasFiscais[[#This Row],[Nota Fiscal]]&lt;&gt;"",1,0)</f>
        <v>1</v>
      </c>
    </row>
    <row r="120" spans="1:27" x14ac:dyDescent="0.25">
      <c r="A120" s="1">
        <v>43129</v>
      </c>
      <c r="B120">
        <v>10525</v>
      </c>
      <c r="C120" s="2" t="s">
        <v>43</v>
      </c>
      <c r="D120" s="2" t="s">
        <v>44</v>
      </c>
      <c r="E120" s="2" t="s">
        <v>45</v>
      </c>
      <c r="F120">
        <v>4022</v>
      </c>
      <c r="G120" s="2" t="s">
        <v>86</v>
      </c>
      <c r="H120" s="2" t="s">
        <v>87</v>
      </c>
      <c r="I120" s="2" t="s">
        <v>27</v>
      </c>
      <c r="J120" s="2" t="s">
        <v>28</v>
      </c>
      <c r="K120" s="2" t="s">
        <v>27</v>
      </c>
      <c r="L120">
        <v>116.12</v>
      </c>
      <c r="M120">
        <v>2</v>
      </c>
      <c r="N120">
        <v>1.857</v>
      </c>
      <c r="O120">
        <v>6500948</v>
      </c>
      <c r="P120" s="2" t="s">
        <v>29</v>
      </c>
      <c r="Q120" s="2" t="s">
        <v>23</v>
      </c>
      <c r="R120" s="2" t="s">
        <v>30</v>
      </c>
      <c r="S120">
        <v>7</v>
      </c>
      <c r="T120" s="1">
        <v>43130</v>
      </c>
      <c r="U120" s="1">
        <v>43138</v>
      </c>
      <c r="V120" s="2"/>
      <c r="W120" s="1">
        <f>fNotasFiscais[[#This Row],[Data da Coleta]]+fNotasFiscais[[#This Row],[Prazo Contratado]]</f>
        <v>43137</v>
      </c>
      <c r="X120" s="3">
        <f>IF(fNotasFiscais[[#This Row],[Data da Entrega]]&gt;fNotasFiscais[[#This Row],[Data Contratada]],0,1)</f>
        <v>0</v>
      </c>
      <c r="Y120" s="3">
        <f>IF(fNotasFiscais[[#This Row],[Ocorrência]]="",1,0)</f>
        <v>1</v>
      </c>
      <c r="Z120" s="2">
        <f>fNotasFiscais[[#This Row],[On Time]]*fNotasFiscais[[#This Row],[In Full]]</f>
        <v>0</v>
      </c>
      <c r="AA120">
        <f>IF(fNotasFiscais[[#This Row],[Nota Fiscal]]&lt;&gt;"",1,0)</f>
        <v>1</v>
      </c>
    </row>
    <row r="121" spans="1:27" x14ac:dyDescent="0.25">
      <c r="A121" s="1">
        <v>43148</v>
      </c>
      <c r="B121">
        <v>10605</v>
      </c>
      <c r="C121" s="2" t="s">
        <v>54</v>
      </c>
      <c r="D121" s="2" t="s">
        <v>55</v>
      </c>
      <c r="E121" s="2" t="s">
        <v>56</v>
      </c>
      <c r="F121">
        <v>4022</v>
      </c>
      <c r="G121" s="2" t="s">
        <v>86</v>
      </c>
      <c r="H121" s="2" t="s">
        <v>87</v>
      </c>
      <c r="I121" s="2" t="s">
        <v>27</v>
      </c>
      <c r="J121" s="2" t="s">
        <v>28</v>
      </c>
      <c r="K121" s="2" t="s">
        <v>27</v>
      </c>
      <c r="L121">
        <v>3450.03</v>
      </c>
      <c r="M121">
        <v>1</v>
      </c>
      <c r="N121">
        <v>5.4409999999999998</v>
      </c>
      <c r="O121">
        <v>6500948</v>
      </c>
      <c r="P121" s="2" t="s">
        <v>29</v>
      </c>
      <c r="Q121" s="2" t="s">
        <v>23</v>
      </c>
      <c r="R121" s="2" t="s">
        <v>30</v>
      </c>
      <c r="S121">
        <v>4</v>
      </c>
      <c r="T121" s="1">
        <v>43148</v>
      </c>
      <c r="U121" s="1">
        <v>43156</v>
      </c>
      <c r="V121" s="2"/>
      <c r="W121" s="1">
        <f>fNotasFiscais[[#This Row],[Data da Coleta]]+fNotasFiscais[[#This Row],[Prazo Contratado]]</f>
        <v>43152</v>
      </c>
      <c r="X121" s="3">
        <f>IF(fNotasFiscais[[#This Row],[Data da Entrega]]&gt;fNotasFiscais[[#This Row],[Data Contratada]],0,1)</f>
        <v>0</v>
      </c>
      <c r="Y121" s="3">
        <f>IF(fNotasFiscais[[#This Row],[Ocorrência]]="",1,0)</f>
        <v>1</v>
      </c>
      <c r="Z121" s="2">
        <f>fNotasFiscais[[#This Row],[On Time]]*fNotasFiscais[[#This Row],[In Full]]</f>
        <v>0</v>
      </c>
      <c r="AA121">
        <f>IF(fNotasFiscais[[#This Row],[Nota Fiscal]]&lt;&gt;"",1,0)</f>
        <v>1</v>
      </c>
    </row>
    <row r="122" spans="1:27" x14ac:dyDescent="0.25">
      <c r="A122" s="1">
        <v>43147</v>
      </c>
      <c r="B122">
        <v>10607</v>
      </c>
      <c r="C122" s="2" t="s">
        <v>54</v>
      </c>
      <c r="D122" s="2" t="s">
        <v>55</v>
      </c>
      <c r="E122" s="2" t="s">
        <v>56</v>
      </c>
      <c r="F122">
        <v>4022</v>
      </c>
      <c r="G122" s="2" t="s">
        <v>86</v>
      </c>
      <c r="H122" s="2" t="s">
        <v>87</v>
      </c>
      <c r="I122" s="2" t="s">
        <v>27</v>
      </c>
      <c r="J122" s="2" t="s">
        <v>28</v>
      </c>
      <c r="K122" s="2" t="s">
        <v>27</v>
      </c>
      <c r="L122">
        <v>486.65</v>
      </c>
      <c r="M122">
        <v>1</v>
      </c>
      <c r="N122">
        <v>1.5549999999999999</v>
      </c>
      <c r="O122">
        <v>6500948</v>
      </c>
      <c r="P122" s="2" t="s">
        <v>29</v>
      </c>
      <c r="Q122" s="2" t="s">
        <v>23</v>
      </c>
      <c r="R122" s="2" t="s">
        <v>30</v>
      </c>
      <c r="S122">
        <v>7</v>
      </c>
      <c r="T122" s="1">
        <v>43148</v>
      </c>
      <c r="U122" s="1">
        <v>43154</v>
      </c>
      <c r="V122" s="2"/>
      <c r="W122" s="1">
        <f>fNotasFiscais[[#This Row],[Data da Coleta]]+fNotasFiscais[[#This Row],[Prazo Contratado]]</f>
        <v>43155</v>
      </c>
      <c r="X122" s="3">
        <f>IF(fNotasFiscais[[#This Row],[Data da Entrega]]&gt;fNotasFiscais[[#This Row],[Data Contratada]],0,1)</f>
        <v>1</v>
      </c>
      <c r="Y122" s="3">
        <f>IF(fNotasFiscais[[#This Row],[Ocorrência]]="",1,0)</f>
        <v>1</v>
      </c>
      <c r="Z122" s="2">
        <f>fNotasFiscais[[#This Row],[On Time]]*fNotasFiscais[[#This Row],[In Full]]</f>
        <v>1</v>
      </c>
      <c r="AA122">
        <f>IF(fNotasFiscais[[#This Row],[Nota Fiscal]]&lt;&gt;"",1,0)</f>
        <v>1</v>
      </c>
    </row>
    <row r="123" spans="1:27" x14ac:dyDescent="0.25">
      <c r="A123" s="1">
        <v>43166</v>
      </c>
      <c r="B123">
        <v>10657</v>
      </c>
      <c r="C123" s="2" t="s">
        <v>52</v>
      </c>
      <c r="D123" s="2" t="s">
        <v>53</v>
      </c>
      <c r="E123" s="2" t="s">
        <v>33</v>
      </c>
      <c r="F123">
        <v>4022</v>
      </c>
      <c r="G123" s="2" t="s">
        <v>86</v>
      </c>
      <c r="H123" s="2" t="s">
        <v>87</v>
      </c>
      <c r="I123" s="2" t="s">
        <v>27</v>
      </c>
      <c r="J123" s="2" t="s">
        <v>28</v>
      </c>
      <c r="K123" s="2" t="s">
        <v>27</v>
      </c>
      <c r="L123">
        <v>1227.76</v>
      </c>
      <c r="M123">
        <v>2</v>
      </c>
      <c r="N123">
        <v>9.3520000000000003</v>
      </c>
      <c r="O123">
        <v>6500948</v>
      </c>
      <c r="P123" s="2" t="s">
        <v>29</v>
      </c>
      <c r="Q123" s="2" t="s">
        <v>23</v>
      </c>
      <c r="R123" s="2" t="s">
        <v>30</v>
      </c>
      <c r="S123">
        <v>5</v>
      </c>
      <c r="T123" s="1">
        <v>43166</v>
      </c>
      <c r="U123" s="1">
        <v>43172</v>
      </c>
      <c r="V123" s="2"/>
      <c r="W123" s="1">
        <f>fNotasFiscais[[#This Row],[Data da Coleta]]+fNotasFiscais[[#This Row],[Prazo Contratado]]</f>
        <v>43171</v>
      </c>
      <c r="X123" s="3">
        <f>IF(fNotasFiscais[[#This Row],[Data da Entrega]]&gt;fNotasFiscais[[#This Row],[Data Contratada]],0,1)</f>
        <v>0</v>
      </c>
      <c r="Y123" s="3">
        <f>IF(fNotasFiscais[[#This Row],[Ocorrência]]="",1,0)</f>
        <v>1</v>
      </c>
      <c r="Z123" s="2">
        <f>fNotasFiscais[[#This Row],[On Time]]*fNotasFiscais[[#This Row],[In Full]]</f>
        <v>0</v>
      </c>
      <c r="AA123">
        <f>IF(fNotasFiscais[[#This Row],[Nota Fiscal]]&lt;&gt;"",1,0)</f>
        <v>1</v>
      </c>
    </row>
    <row r="124" spans="1:27" x14ac:dyDescent="0.25">
      <c r="A124" s="1">
        <v>43109</v>
      </c>
      <c r="B124">
        <v>10441</v>
      </c>
      <c r="C124" s="2" t="s">
        <v>34</v>
      </c>
      <c r="D124" s="2" t="s">
        <v>35</v>
      </c>
      <c r="E124" s="2" t="s">
        <v>36</v>
      </c>
      <c r="F124">
        <v>4023</v>
      </c>
      <c r="G124" s="2" t="s">
        <v>88</v>
      </c>
      <c r="H124" s="2" t="s">
        <v>78</v>
      </c>
      <c r="I124" s="2" t="s">
        <v>39</v>
      </c>
      <c r="J124" s="2" t="s">
        <v>28</v>
      </c>
      <c r="K124" s="2" t="s">
        <v>39</v>
      </c>
      <c r="L124">
        <v>4997.8</v>
      </c>
      <c r="M124">
        <v>1</v>
      </c>
      <c r="N124">
        <v>10.887</v>
      </c>
      <c r="O124">
        <v>6500948</v>
      </c>
      <c r="P124" s="2" t="s">
        <v>29</v>
      </c>
      <c r="Q124" s="2" t="s">
        <v>23</v>
      </c>
      <c r="R124" s="2" t="s">
        <v>30</v>
      </c>
      <c r="S124">
        <v>3</v>
      </c>
      <c r="T124" s="1">
        <v>43110</v>
      </c>
      <c r="U124" s="1">
        <v>43112</v>
      </c>
      <c r="V124" s="2"/>
      <c r="W124" s="1">
        <f>fNotasFiscais[[#This Row],[Data da Coleta]]+fNotasFiscais[[#This Row],[Prazo Contratado]]</f>
        <v>43113</v>
      </c>
      <c r="X124" s="3">
        <f>IF(fNotasFiscais[[#This Row],[Data da Entrega]]&gt;fNotasFiscais[[#This Row],[Data Contratada]],0,1)</f>
        <v>1</v>
      </c>
      <c r="Y124" s="3">
        <f>IF(fNotasFiscais[[#This Row],[Ocorrência]]="",1,0)</f>
        <v>1</v>
      </c>
      <c r="Z124" s="2">
        <f>fNotasFiscais[[#This Row],[On Time]]*fNotasFiscais[[#This Row],[In Full]]</f>
        <v>1</v>
      </c>
      <c r="AA124">
        <f>IF(fNotasFiscais[[#This Row],[Nota Fiscal]]&lt;&gt;"",1,0)</f>
        <v>1</v>
      </c>
    </row>
    <row r="125" spans="1:27" x14ac:dyDescent="0.25">
      <c r="A125" s="1">
        <v>43111</v>
      </c>
      <c r="B125">
        <v>10456</v>
      </c>
      <c r="C125" s="2" t="s">
        <v>31</v>
      </c>
      <c r="D125" s="2" t="s">
        <v>32</v>
      </c>
      <c r="E125" s="2" t="s">
        <v>33</v>
      </c>
      <c r="F125">
        <v>4023</v>
      </c>
      <c r="G125" s="2" t="s">
        <v>88</v>
      </c>
      <c r="H125" s="2" t="s">
        <v>78</v>
      </c>
      <c r="I125" s="2" t="s">
        <v>39</v>
      </c>
      <c r="J125" s="2" t="s">
        <v>28</v>
      </c>
      <c r="K125" s="2" t="s">
        <v>39</v>
      </c>
      <c r="L125">
        <v>3414.56</v>
      </c>
      <c r="M125">
        <v>5</v>
      </c>
      <c r="N125">
        <v>20.9</v>
      </c>
      <c r="O125">
        <v>6500948</v>
      </c>
      <c r="P125" s="2" t="s">
        <v>29</v>
      </c>
      <c r="Q125" s="2" t="s">
        <v>23</v>
      </c>
      <c r="R125" s="2" t="s">
        <v>30</v>
      </c>
      <c r="S125">
        <v>12</v>
      </c>
      <c r="T125" s="1">
        <v>43112</v>
      </c>
      <c r="U125" s="1">
        <v>43113</v>
      </c>
      <c r="V125" s="2"/>
      <c r="W125" s="1">
        <f>fNotasFiscais[[#This Row],[Data da Coleta]]+fNotasFiscais[[#This Row],[Prazo Contratado]]</f>
        <v>43124</v>
      </c>
      <c r="X125" s="3">
        <f>IF(fNotasFiscais[[#This Row],[Data da Entrega]]&gt;fNotasFiscais[[#This Row],[Data Contratada]],0,1)</f>
        <v>1</v>
      </c>
      <c r="Y125" s="3">
        <f>IF(fNotasFiscais[[#This Row],[Ocorrência]]="",1,0)</f>
        <v>1</v>
      </c>
      <c r="Z125" s="2">
        <f>fNotasFiscais[[#This Row],[On Time]]*fNotasFiscais[[#This Row],[In Full]]</f>
        <v>1</v>
      </c>
      <c r="AA125">
        <f>IF(fNotasFiscais[[#This Row],[Nota Fiscal]]&lt;&gt;"",1,0)</f>
        <v>1</v>
      </c>
    </row>
    <row r="126" spans="1:27" x14ac:dyDescent="0.25">
      <c r="A126" s="1">
        <v>43133</v>
      </c>
      <c r="B126">
        <v>10549</v>
      </c>
      <c r="C126" s="2" t="s">
        <v>40</v>
      </c>
      <c r="D126" s="2" t="s">
        <v>41</v>
      </c>
      <c r="E126" s="2" t="s">
        <v>33</v>
      </c>
      <c r="F126">
        <v>4023</v>
      </c>
      <c r="G126" s="2" t="s">
        <v>88</v>
      </c>
      <c r="H126" s="2" t="s">
        <v>78</v>
      </c>
      <c r="I126" s="2" t="s">
        <v>39</v>
      </c>
      <c r="J126" s="2" t="s">
        <v>28</v>
      </c>
      <c r="K126" s="2" t="s">
        <v>39</v>
      </c>
      <c r="L126">
        <v>524.13</v>
      </c>
      <c r="M126">
        <v>1</v>
      </c>
      <c r="N126">
        <v>1.65</v>
      </c>
      <c r="O126">
        <v>6500948</v>
      </c>
      <c r="P126" s="2" t="s">
        <v>29</v>
      </c>
      <c r="Q126" s="2" t="s">
        <v>23</v>
      </c>
      <c r="R126" s="2" t="s">
        <v>30</v>
      </c>
      <c r="S126">
        <v>10</v>
      </c>
      <c r="T126" s="1">
        <v>43134</v>
      </c>
      <c r="U126" s="1">
        <v>43144</v>
      </c>
      <c r="V126" s="2"/>
      <c r="W126" s="1">
        <f>fNotasFiscais[[#This Row],[Data da Coleta]]+fNotasFiscais[[#This Row],[Prazo Contratado]]</f>
        <v>43144</v>
      </c>
      <c r="X126" s="3">
        <f>IF(fNotasFiscais[[#This Row],[Data da Entrega]]&gt;fNotasFiscais[[#This Row],[Data Contratada]],0,1)</f>
        <v>1</v>
      </c>
      <c r="Y126" s="3">
        <f>IF(fNotasFiscais[[#This Row],[Ocorrência]]="",1,0)</f>
        <v>1</v>
      </c>
      <c r="Z126" s="2">
        <f>fNotasFiscais[[#This Row],[On Time]]*fNotasFiscais[[#This Row],[In Full]]</f>
        <v>1</v>
      </c>
      <c r="AA126">
        <f>IF(fNotasFiscais[[#This Row],[Nota Fiscal]]&lt;&gt;"",1,0)</f>
        <v>1</v>
      </c>
    </row>
    <row r="127" spans="1:27" x14ac:dyDescent="0.25">
      <c r="A127" s="1">
        <v>43159</v>
      </c>
      <c r="B127">
        <v>10645</v>
      </c>
      <c r="C127" s="2" t="s">
        <v>40</v>
      </c>
      <c r="D127" s="2" t="s">
        <v>41</v>
      </c>
      <c r="E127" s="2" t="s">
        <v>33</v>
      </c>
      <c r="F127">
        <v>4023</v>
      </c>
      <c r="G127" s="2" t="s">
        <v>88</v>
      </c>
      <c r="H127" s="2" t="s">
        <v>78</v>
      </c>
      <c r="I127" s="2" t="s">
        <v>39</v>
      </c>
      <c r="J127" s="2" t="s">
        <v>28</v>
      </c>
      <c r="K127" s="2" t="s">
        <v>39</v>
      </c>
      <c r="L127">
        <v>2354.13</v>
      </c>
      <c r="M127">
        <v>9</v>
      </c>
      <c r="N127">
        <v>120.78</v>
      </c>
      <c r="O127">
        <v>6500948</v>
      </c>
      <c r="P127" s="2" t="s">
        <v>29</v>
      </c>
      <c r="Q127" s="2" t="s">
        <v>23</v>
      </c>
      <c r="R127" s="2" t="s">
        <v>30</v>
      </c>
      <c r="S127">
        <v>1</v>
      </c>
      <c r="T127" s="1">
        <v>43160</v>
      </c>
      <c r="U127" s="1">
        <v>43162</v>
      </c>
      <c r="V127" s="2"/>
      <c r="W127" s="1">
        <f>fNotasFiscais[[#This Row],[Data da Coleta]]+fNotasFiscais[[#This Row],[Prazo Contratado]]</f>
        <v>43161</v>
      </c>
      <c r="X127" s="3">
        <f>IF(fNotasFiscais[[#This Row],[Data da Entrega]]&gt;fNotasFiscais[[#This Row],[Data Contratada]],0,1)</f>
        <v>0</v>
      </c>
      <c r="Y127" s="3">
        <f>IF(fNotasFiscais[[#This Row],[Ocorrência]]="",1,0)</f>
        <v>1</v>
      </c>
      <c r="Z127" s="2">
        <f>fNotasFiscais[[#This Row],[On Time]]*fNotasFiscais[[#This Row],[In Full]]</f>
        <v>0</v>
      </c>
      <c r="AA127">
        <f>IF(fNotasFiscais[[#This Row],[Nota Fiscal]]&lt;&gt;"",1,0)</f>
        <v>1</v>
      </c>
    </row>
    <row r="128" spans="1:27" x14ac:dyDescent="0.25">
      <c r="A128" s="1">
        <v>43110</v>
      </c>
      <c r="B128">
        <v>10442</v>
      </c>
      <c r="C128" s="2" t="s">
        <v>52</v>
      </c>
      <c r="D128" s="2" t="s">
        <v>53</v>
      </c>
      <c r="E128" s="2" t="s">
        <v>33</v>
      </c>
      <c r="F128">
        <v>4024</v>
      </c>
      <c r="G128" s="2" t="s">
        <v>89</v>
      </c>
      <c r="H128" s="2" t="s">
        <v>23</v>
      </c>
      <c r="I128" s="2" t="s">
        <v>24</v>
      </c>
      <c r="J128" s="2" t="s">
        <v>28</v>
      </c>
      <c r="K128" s="2" t="s">
        <v>24</v>
      </c>
      <c r="L128">
        <v>3301.95</v>
      </c>
      <c r="M128">
        <v>1</v>
      </c>
      <c r="N128">
        <v>8.3610000000000007</v>
      </c>
      <c r="O128">
        <v>6500948</v>
      </c>
      <c r="P128" s="2" t="s">
        <v>29</v>
      </c>
      <c r="Q128" s="2" t="s">
        <v>23</v>
      </c>
      <c r="R128" s="2" t="s">
        <v>30</v>
      </c>
      <c r="S128">
        <v>12</v>
      </c>
      <c r="T128" s="1">
        <v>43111</v>
      </c>
      <c r="U128" s="1">
        <v>43117</v>
      </c>
      <c r="V128" s="2"/>
      <c r="W128" s="1">
        <f>fNotasFiscais[[#This Row],[Data da Coleta]]+fNotasFiscais[[#This Row],[Prazo Contratado]]</f>
        <v>43123</v>
      </c>
      <c r="X128" s="3">
        <f>IF(fNotasFiscais[[#This Row],[Data da Entrega]]&gt;fNotasFiscais[[#This Row],[Data Contratada]],0,1)</f>
        <v>1</v>
      </c>
      <c r="Y128" s="3">
        <f>IF(fNotasFiscais[[#This Row],[Ocorrência]]="",1,0)</f>
        <v>1</v>
      </c>
      <c r="Z128" s="2">
        <f>fNotasFiscais[[#This Row],[On Time]]*fNotasFiscais[[#This Row],[In Full]]</f>
        <v>1</v>
      </c>
      <c r="AA128">
        <f>IF(fNotasFiscais[[#This Row],[Nota Fiscal]]&lt;&gt;"",1,0)</f>
        <v>1</v>
      </c>
    </row>
    <row r="129" spans="1:27" x14ac:dyDescent="0.25">
      <c r="A129" s="1">
        <v>43117</v>
      </c>
      <c r="B129">
        <v>10479</v>
      </c>
      <c r="C129" s="2" t="s">
        <v>40</v>
      </c>
      <c r="D129" s="2" t="s">
        <v>41</v>
      </c>
      <c r="E129" s="2" t="s">
        <v>33</v>
      </c>
      <c r="F129">
        <v>4024</v>
      </c>
      <c r="G129" s="2" t="s">
        <v>89</v>
      </c>
      <c r="H129" s="2" t="s">
        <v>23</v>
      </c>
      <c r="I129" s="2" t="s">
        <v>24</v>
      </c>
      <c r="J129" s="2" t="s">
        <v>28</v>
      </c>
      <c r="K129" s="2" t="s">
        <v>24</v>
      </c>
      <c r="L129">
        <v>2884.03</v>
      </c>
      <c r="M129">
        <v>8</v>
      </c>
      <c r="N129">
        <v>105.884</v>
      </c>
      <c r="O129">
        <v>6500948</v>
      </c>
      <c r="P129" s="2" t="s">
        <v>29</v>
      </c>
      <c r="Q129" s="2" t="s">
        <v>23</v>
      </c>
      <c r="R129" s="2" t="s">
        <v>30</v>
      </c>
      <c r="S129">
        <v>9</v>
      </c>
      <c r="T129" s="1">
        <v>43118</v>
      </c>
      <c r="U129" s="1">
        <v>43128</v>
      </c>
      <c r="V129" s="2"/>
      <c r="W129" s="1">
        <f>fNotasFiscais[[#This Row],[Data da Coleta]]+fNotasFiscais[[#This Row],[Prazo Contratado]]</f>
        <v>43127</v>
      </c>
      <c r="X129" s="3">
        <f>IF(fNotasFiscais[[#This Row],[Data da Entrega]]&gt;fNotasFiscais[[#This Row],[Data Contratada]],0,1)</f>
        <v>0</v>
      </c>
      <c r="Y129" s="3">
        <f>IF(fNotasFiscais[[#This Row],[Ocorrência]]="",1,0)</f>
        <v>1</v>
      </c>
      <c r="Z129" s="2">
        <f>fNotasFiscais[[#This Row],[On Time]]*fNotasFiscais[[#This Row],[In Full]]</f>
        <v>0</v>
      </c>
      <c r="AA129">
        <f>IF(fNotasFiscais[[#This Row],[Nota Fiscal]]&lt;&gt;"",1,0)</f>
        <v>1</v>
      </c>
    </row>
    <row r="130" spans="1:27" x14ac:dyDescent="0.25">
      <c r="A130" s="1">
        <v>43140</v>
      </c>
      <c r="B130">
        <v>10582</v>
      </c>
      <c r="C130" s="2" t="s">
        <v>40</v>
      </c>
      <c r="D130" s="2" t="s">
        <v>41</v>
      </c>
      <c r="E130" s="2" t="s">
        <v>33</v>
      </c>
      <c r="F130">
        <v>4024</v>
      </c>
      <c r="G130" s="2" t="s">
        <v>89</v>
      </c>
      <c r="H130" s="2" t="s">
        <v>23</v>
      </c>
      <c r="I130" s="2" t="s">
        <v>24</v>
      </c>
      <c r="J130" s="2" t="s">
        <v>28</v>
      </c>
      <c r="K130" s="2" t="s">
        <v>24</v>
      </c>
      <c r="L130">
        <v>575.38</v>
      </c>
      <c r="M130">
        <v>2</v>
      </c>
      <c r="N130">
        <v>26.84</v>
      </c>
      <c r="O130">
        <v>6500948</v>
      </c>
      <c r="P130" s="2" t="s">
        <v>29</v>
      </c>
      <c r="Q130" s="2" t="s">
        <v>23</v>
      </c>
      <c r="R130" s="2" t="s">
        <v>30</v>
      </c>
      <c r="S130">
        <v>6</v>
      </c>
      <c r="T130" s="1">
        <v>43141</v>
      </c>
      <c r="U130" s="1">
        <v>43149</v>
      </c>
      <c r="V130" s="2"/>
      <c r="W130" s="1">
        <f>fNotasFiscais[[#This Row],[Data da Coleta]]+fNotasFiscais[[#This Row],[Prazo Contratado]]</f>
        <v>43147</v>
      </c>
      <c r="X130" s="3">
        <f>IF(fNotasFiscais[[#This Row],[Data da Entrega]]&gt;fNotasFiscais[[#This Row],[Data Contratada]],0,1)</f>
        <v>0</v>
      </c>
      <c r="Y130" s="3">
        <f>IF(fNotasFiscais[[#This Row],[Ocorrência]]="",1,0)</f>
        <v>1</v>
      </c>
      <c r="Z130" s="2">
        <f>fNotasFiscais[[#This Row],[On Time]]*fNotasFiscais[[#This Row],[In Full]]</f>
        <v>0</v>
      </c>
      <c r="AA130">
        <f>IF(fNotasFiscais[[#This Row],[Nota Fiscal]]&lt;&gt;"",1,0)</f>
        <v>1</v>
      </c>
    </row>
    <row r="131" spans="1:27" x14ac:dyDescent="0.25">
      <c r="A131" s="1">
        <v>43110</v>
      </c>
      <c r="B131">
        <v>10444</v>
      </c>
      <c r="C131" s="2" t="s">
        <v>40</v>
      </c>
      <c r="D131" s="2" t="s">
        <v>41</v>
      </c>
      <c r="E131" s="2" t="s">
        <v>33</v>
      </c>
      <c r="F131">
        <v>4025</v>
      </c>
      <c r="G131" s="2" t="s">
        <v>90</v>
      </c>
      <c r="H131" s="2" t="s">
        <v>91</v>
      </c>
      <c r="I131" s="2" t="s">
        <v>24</v>
      </c>
      <c r="J131" s="2" t="s">
        <v>28</v>
      </c>
      <c r="K131" s="2" t="s">
        <v>24</v>
      </c>
      <c r="L131">
        <v>576.12</v>
      </c>
      <c r="M131">
        <v>2</v>
      </c>
      <c r="N131">
        <v>5.83</v>
      </c>
      <c r="O131">
        <v>6500948</v>
      </c>
      <c r="P131" s="2" t="s">
        <v>29</v>
      </c>
      <c r="Q131" s="2" t="s">
        <v>23</v>
      </c>
      <c r="R131" s="2" t="s">
        <v>30</v>
      </c>
      <c r="S131">
        <v>5</v>
      </c>
      <c r="T131" s="1">
        <v>43111</v>
      </c>
      <c r="U131" s="1">
        <v>43114</v>
      </c>
      <c r="V131" s="2"/>
      <c r="W131" s="1">
        <f>fNotasFiscais[[#This Row],[Data da Coleta]]+fNotasFiscais[[#This Row],[Prazo Contratado]]</f>
        <v>43116</v>
      </c>
      <c r="X131" s="3">
        <f>IF(fNotasFiscais[[#This Row],[Data da Entrega]]&gt;fNotasFiscais[[#This Row],[Data Contratada]],0,1)</f>
        <v>1</v>
      </c>
      <c r="Y131" s="3">
        <f>IF(fNotasFiscais[[#This Row],[Ocorrência]]="",1,0)</f>
        <v>1</v>
      </c>
      <c r="Z131" s="2">
        <f>fNotasFiscais[[#This Row],[On Time]]*fNotasFiscais[[#This Row],[In Full]]</f>
        <v>1</v>
      </c>
      <c r="AA131">
        <f>IF(fNotasFiscais[[#This Row],[Nota Fiscal]]&lt;&gt;"",1,0)</f>
        <v>1</v>
      </c>
    </row>
    <row r="132" spans="1:27" x14ac:dyDescent="0.25">
      <c r="A132" s="1">
        <v>43110</v>
      </c>
      <c r="B132">
        <v>10451</v>
      </c>
      <c r="C132" s="2" t="s">
        <v>54</v>
      </c>
      <c r="D132" s="2" t="s">
        <v>55</v>
      </c>
      <c r="E132" s="2" t="s">
        <v>56</v>
      </c>
      <c r="F132">
        <v>4025</v>
      </c>
      <c r="G132" s="2" t="s">
        <v>90</v>
      </c>
      <c r="H132" s="2" t="s">
        <v>91</v>
      </c>
      <c r="I132" s="2" t="s">
        <v>24</v>
      </c>
      <c r="J132" s="2" t="s">
        <v>28</v>
      </c>
      <c r="K132" s="2" t="s">
        <v>24</v>
      </c>
      <c r="L132">
        <v>238.71</v>
      </c>
      <c r="M132">
        <v>1</v>
      </c>
      <c r="N132">
        <v>1.54</v>
      </c>
      <c r="O132">
        <v>6500948</v>
      </c>
      <c r="P132" s="2" t="s">
        <v>29</v>
      </c>
      <c r="Q132" s="2" t="s">
        <v>23</v>
      </c>
      <c r="R132" s="2" t="s">
        <v>30</v>
      </c>
      <c r="S132">
        <v>10</v>
      </c>
      <c r="T132" s="1">
        <v>43111</v>
      </c>
      <c r="U132" s="1">
        <v>43117</v>
      </c>
      <c r="V132" s="2"/>
      <c r="W132" s="1">
        <f>fNotasFiscais[[#This Row],[Data da Coleta]]+fNotasFiscais[[#This Row],[Prazo Contratado]]</f>
        <v>43121</v>
      </c>
      <c r="X132" s="3">
        <f>IF(fNotasFiscais[[#This Row],[Data da Entrega]]&gt;fNotasFiscais[[#This Row],[Data Contratada]],0,1)</f>
        <v>1</v>
      </c>
      <c r="Y132" s="3">
        <f>IF(fNotasFiscais[[#This Row],[Ocorrência]]="",1,0)</f>
        <v>1</v>
      </c>
      <c r="Z132" s="2">
        <f>fNotasFiscais[[#This Row],[On Time]]*fNotasFiscais[[#This Row],[In Full]]</f>
        <v>1</v>
      </c>
      <c r="AA132">
        <f>IF(fNotasFiscais[[#This Row],[Nota Fiscal]]&lt;&gt;"",1,0)</f>
        <v>1</v>
      </c>
    </row>
    <row r="133" spans="1:27" x14ac:dyDescent="0.25">
      <c r="A133" s="1">
        <v>43168</v>
      </c>
      <c r="B133">
        <v>10674</v>
      </c>
      <c r="C133" s="2" t="s">
        <v>22</v>
      </c>
      <c r="D133" s="2" t="s">
        <v>23</v>
      </c>
      <c r="E133" s="2" t="s">
        <v>24</v>
      </c>
      <c r="F133">
        <v>4025</v>
      </c>
      <c r="G133" s="2" t="s">
        <v>90</v>
      </c>
      <c r="H133" s="2" t="s">
        <v>91</v>
      </c>
      <c r="I133" s="2" t="s">
        <v>24</v>
      </c>
      <c r="J133" s="2" t="s">
        <v>28</v>
      </c>
      <c r="K133" s="2" t="s">
        <v>24</v>
      </c>
      <c r="L133">
        <v>1096.3</v>
      </c>
      <c r="M133">
        <v>2</v>
      </c>
      <c r="N133">
        <v>11.010999999999999</v>
      </c>
      <c r="O133">
        <v>6500948</v>
      </c>
      <c r="P133" s="2" t="s">
        <v>29</v>
      </c>
      <c r="Q133" s="2" t="s">
        <v>23</v>
      </c>
      <c r="R133" s="2" t="s">
        <v>30</v>
      </c>
      <c r="S133">
        <v>5</v>
      </c>
      <c r="T133" s="1">
        <v>43168</v>
      </c>
      <c r="U133" s="1">
        <v>43170</v>
      </c>
      <c r="V133" s="2" t="s">
        <v>42</v>
      </c>
      <c r="W133" s="1">
        <f>fNotasFiscais[[#This Row],[Data da Coleta]]+fNotasFiscais[[#This Row],[Prazo Contratado]]</f>
        <v>43173</v>
      </c>
      <c r="X133" s="3">
        <f>IF(fNotasFiscais[[#This Row],[Data da Entrega]]&gt;fNotasFiscais[[#This Row],[Data Contratada]],0,1)</f>
        <v>1</v>
      </c>
      <c r="Y133" s="3">
        <f>IF(fNotasFiscais[[#This Row],[Ocorrência]]="",1,0)</f>
        <v>0</v>
      </c>
      <c r="Z133" s="2">
        <f>fNotasFiscais[[#This Row],[On Time]]*fNotasFiscais[[#This Row],[In Full]]</f>
        <v>0</v>
      </c>
      <c r="AA133">
        <f>IF(fNotasFiscais[[#This Row],[Nota Fiscal]]&lt;&gt;"",1,0)</f>
        <v>1</v>
      </c>
    </row>
    <row r="134" spans="1:27" x14ac:dyDescent="0.25">
      <c r="A134" s="1">
        <v>43110</v>
      </c>
      <c r="B134">
        <v>10445</v>
      </c>
      <c r="C134" s="2" t="s">
        <v>31</v>
      </c>
      <c r="D134" s="2" t="s">
        <v>32</v>
      </c>
      <c r="E134" s="2" t="s">
        <v>33</v>
      </c>
      <c r="F134">
        <v>4026</v>
      </c>
      <c r="G134" s="2" t="s">
        <v>92</v>
      </c>
      <c r="H134" s="2" t="s">
        <v>35</v>
      </c>
      <c r="I134" s="2" t="s">
        <v>36</v>
      </c>
      <c r="J134" s="2" t="s">
        <v>60</v>
      </c>
      <c r="K134" s="2" t="s">
        <v>36</v>
      </c>
      <c r="L134">
        <v>1119.6400000000001</v>
      </c>
      <c r="M134">
        <v>1</v>
      </c>
      <c r="N134">
        <v>1.1000000000000001</v>
      </c>
      <c r="O134">
        <v>6600879</v>
      </c>
      <c r="P134" s="2" t="s">
        <v>61</v>
      </c>
      <c r="Q134" s="2" t="s">
        <v>35</v>
      </c>
      <c r="R134" s="2" t="s">
        <v>30</v>
      </c>
      <c r="S134">
        <v>8</v>
      </c>
      <c r="T134" s="1">
        <v>43111</v>
      </c>
      <c r="U134" s="1">
        <v>43112</v>
      </c>
      <c r="V134" s="2"/>
      <c r="W134" s="1">
        <f>fNotasFiscais[[#This Row],[Data da Coleta]]+fNotasFiscais[[#This Row],[Prazo Contratado]]</f>
        <v>43119</v>
      </c>
      <c r="X134" s="3">
        <f>IF(fNotasFiscais[[#This Row],[Data da Entrega]]&gt;fNotasFiscais[[#This Row],[Data Contratada]],0,1)</f>
        <v>1</v>
      </c>
      <c r="Y134" s="3">
        <f>IF(fNotasFiscais[[#This Row],[Ocorrência]]="",1,0)</f>
        <v>1</v>
      </c>
      <c r="Z134" s="2">
        <f>fNotasFiscais[[#This Row],[On Time]]*fNotasFiscais[[#This Row],[In Full]]</f>
        <v>1</v>
      </c>
      <c r="AA134">
        <f>IF(fNotasFiscais[[#This Row],[Nota Fiscal]]&lt;&gt;"",1,0)</f>
        <v>1</v>
      </c>
    </row>
    <row r="135" spans="1:27" x14ac:dyDescent="0.25">
      <c r="A135" s="1">
        <v>43110</v>
      </c>
      <c r="B135">
        <v>10449</v>
      </c>
      <c r="C135" s="2" t="s">
        <v>52</v>
      </c>
      <c r="D135" s="2" t="s">
        <v>53</v>
      </c>
      <c r="E135" s="2" t="s">
        <v>33</v>
      </c>
      <c r="F135">
        <v>4026</v>
      </c>
      <c r="G135" s="2" t="s">
        <v>92</v>
      </c>
      <c r="H135" s="2" t="s">
        <v>35</v>
      </c>
      <c r="I135" s="2" t="s">
        <v>36</v>
      </c>
      <c r="J135" s="2" t="s">
        <v>60</v>
      </c>
      <c r="K135" s="2" t="s">
        <v>36</v>
      </c>
      <c r="L135">
        <v>5677.5</v>
      </c>
      <c r="M135">
        <v>5</v>
      </c>
      <c r="N135">
        <v>24.875</v>
      </c>
      <c r="O135">
        <v>6600879</v>
      </c>
      <c r="P135" s="2" t="s">
        <v>61</v>
      </c>
      <c r="Q135" s="2" t="s">
        <v>35</v>
      </c>
      <c r="R135" s="2" t="s">
        <v>30</v>
      </c>
      <c r="S135">
        <v>5</v>
      </c>
      <c r="T135" s="1">
        <v>43111</v>
      </c>
      <c r="U135" s="1">
        <v>43118</v>
      </c>
      <c r="V135" s="2"/>
      <c r="W135" s="1">
        <f>fNotasFiscais[[#This Row],[Data da Coleta]]+fNotasFiscais[[#This Row],[Prazo Contratado]]</f>
        <v>43116</v>
      </c>
      <c r="X135" s="3">
        <f>IF(fNotasFiscais[[#This Row],[Data da Entrega]]&gt;fNotasFiscais[[#This Row],[Data Contratada]],0,1)</f>
        <v>0</v>
      </c>
      <c r="Y135" s="3">
        <f>IF(fNotasFiscais[[#This Row],[Ocorrência]]="",1,0)</f>
        <v>1</v>
      </c>
      <c r="Z135" s="2">
        <f>fNotasFiscais[[#This Row],[On Time]]*fNotasFiscais[[#This Row],[In Full]]</f>
        <v>0</v>
      </c>
      <c r="AA135">
        <f>IF(fNotasFiscais[[#This Row],[Nota Fiscal]]&lt;&gt;"",1,0)</f>
        <v>1</v>
      </c>
    </row>
    <row r="136" spans="1:27" x14ac:dyDescent="0.25">
      <c r="A136" s="1">
        <v>43124</v>
      </c>
      <c r="B136">
        <v>10501</v>
      </c>
      <c r="C136" s="2" t="s">
        <v>52</v>
      </c>
      <c r="D136" s="2" t="s">
        <v>53</v>
      </c>
      <c r="E136" s="2" t="s">
        <v>33</v>
      </c>
      <c r="F136">
        <v>4026</v>
      </c>
      <c r="G136" s="2" t="s">
        <v>92</v>
      </c>
      <c r="H136" s="2" t="s">
        <v>35</v>
      </c>
      <c r="I136" s="2" t="s">
        <v>36</v>
      </c>
      <c r="J136" s="2" t="s">
        <v>60</v>
      </c>
      <c r="K136" s="2" t="s">
        <v>36</v>
      </c>
      <c r="L136">
        <v>436.34</v>
      </c>
      <c r="M136">
        <v>1</v>
      </c>
      <c r="N136">
        <v>0.68200000000000005</v>
      </c>
      <c r="O136">
        <v>6600879</v>
      </c>
      <c r="P136" s="2" t="s">
        <v>61</v>
      </c>
      <c r="Q136" s="2" t="s">
        <v>35</v>
      </c>
      <c r="R136" s="2" t="s">
        <v>30</v>
      </c>
      <c r="S136">
        <v>9</v>
      </c>
      <c r="T136" s="1">
        <v>43125</v>
      </c>
      <c r="U136" s="1">
        <v>43128</v>
      </c>
      <c r="V136" s="2"/>
      <c r="W136" s="1">
        <f>fNotasFiscais[[#This Row],[Data da Coleta]]+fNotasFiscais[[#This Row],[Prazo Contratado]]</f>
        <v>43134</v>
      </c>
      <c r="X136" s="3">
        <f>IF(fNotasFiscais[[#This Row],[Data da Entrega]]&gt;fNotasFiscais[[#This Row],[Data Contratada]],0,1)</f>
        <v>1</v>
      </c>
      <c r="Y136" s="3">
        <f>IF(fNotasFiscais[[#This Row],[Ocorrência]]="",1,0)</f>
        <v>1</v>
      </c>
      <c r="Z136" s="2">
        <f>fNotasFiscais[[#This Row],[On Time]]*fNotasFiscais[[#This Row],[In Full]]</f>
        <v>1</v>
      </c>
      <c r="AA136">
        <f>IF(fNotasFiscais[[#This Row],[Nota Fiscal]]&lt;&gt;"",1,0)</f>
        <v>1</v>
      </c>
    </row>
    <row r="137" spans="1:27" x14ac:dyDescent="0.25">
      <c r="A137" s="1">
        <v>43124</v>
      </c>
      <c r="B137">
        <v>10503</v>
      </c>
      <c r="C137" s="2" t="s">
        <v>43</v>
      </c>
      <c r="D137" s="2" t="s">
        <v>44</v>
      </c>
      <c r="E137" s="2" t="s">
        <v>45</v>
      </c>
      <c r="F137">
        <v>4026</v>
      </c>
      <c r="G137" s="2" t="s">
        <v>92</v>
      </c>
      <c r="H137" s="2" t="s">
        <v>35</v>
      </c>
      <c r="I137" s="2" t="s">
        <v>36</v>
      </c>
      <c r="J137" s="2" t="s">
        <v>60</v>
      </c>
      <c r="K137" s="2" t="s">
        <v>36</v>
      </c>
      <c r="L137">
        <v>472.54</v>
      </c>
      <c r="M137">
        <v>2</v>
      </c>
      <c r="N137">
        <v>17.617999999999999</v>
      </c>
      <c r="O137">
        <v>6600879</v>
      </c>
      <c r="P137" s="2" t="s">
        <v>61</v>
      </c>
      <c r="Q137" s="2" t="s">
        <v>35</v>
      </c>
      <c r="R137" s="2" t="s">
        <v>30</v>
      </c>
      <c r="S137">
        <v>6</v>
      </c>
      <c r="T137" s="1">
        <v>43125</v>
      </c>
      <c r="U137" s="1">
        <v>43127</v>
      </c>
      <c r="V137" s="2"/>
      <c r="W137" s="1">
        <f>fNotasFiscais[[#This Row],[Data da Coleta]]+fNotasFiscais[[#This Row],[Prazo Contratado]]</f>
        <v>43131</v>
      </c>
      <c r="X137" s="3">
        <f>IF(fNotasFiscais[[#This Row],[Data da Entrega]]&gt;fNotasFiscais[[#This Row],[Data Contratada]],0,1)</f>
        <v>1</v>
      </c>
      <c r="Y137" s="3">
        <f>IF(fNotasFiscais[[#This Row],[Ocorrência]]="",1,0)</f>
        <v>1</v>
      </c>
      <c r="Z137" s="2">
        <f>fNotasFiscais[[#This Row],[On Time]]*fNotasFiscais[[#This Row],[In Full]]</f>
        <v>1</v>
      </c>
      <c r="AA137">
        <f>IF(fNotasFiscais[[#This Row],[Nota Fiscal]]&lt;&gt;"",1,0)</f>
        <v>1</v>
      </c>
    </row>
    <row r="138" spans="1:27" x14ac:dyDescent="0.25">
      <c r="A138" s="1">
        <v>43153</v>
      </c>
      <c r="B138">
        <v>10615</v>
      </c>
      <c r="C138" s="2" t="s">
        <v>43</v>
      </c>
      <c r="D138" s="2" t="s">
        <v>44</v>
      </c>
      <c r="E138" s="2" t="s">
        <v>45</v>
      </c>
      <c r="F138">
        <v>4026</v>
      </c>
      <c r="G138" s="2" t="s">
        <v>92</v>
      </c>
      <c r="H138" s="2" t="s">
        <v>35</v>
      </c>
      <c r="I138" s="2" t="s">
        <v>36</v>
      </c>
      <c r="J138" s="2" t="s">
        <v>60</v>
      </c>
      <c r="K138" s="2" t="s">
        <v>36</v>
      </c>
      <c r="L138">
        <v>85.59</v>
      </c>
      <c r="M138">
        <v>1</v>
      </c>
      <c r="N138">
        <v>6.0999999999999999E-2</v>
      </c>
      <c r="O138">
        <v>6600879</v>
      </c>
      <c r="P138" s="2" t="s">
        <v>61</v>
      </c>
      <c r="Q138" s="2" t="s">
        <v>35</v>
      </c>
      <c r="R138" s="2" t="s">
        <v>30</v>
      </c>
      <c r="S138">
        <v>9</v>
      </c>
      <c r="T138" s="1">
        <v>43153</v>
      </c>
      <c r="U138" s="1">
        <v>43160</v>
      </c>
      <c r="V138" s="2" t="s">
        <v>42</v>
      </c>
      <c r="W138" s="1">
        <f>fNotasFiscais[[#This Row],[Data da Coleta]]+fNotasFiscais[[#This Row],[Prazo Contratado]]</f>
        <v>43162</v>
      </c>
      <c r="X138" s="3">
        <f>IF(fNotasFiscais[[#This Row],[Data da Entrega]]&gt;fNotasFiscais[[#This Row],[Data Contratada]],0,1)</f>
        <v>1</v>
      </c>
      <c r="Y138" s="3">
        <f>IF(fNotasFiscais[[#This Row],[Ocorrência]]="",1,0)</f>
        <v>0</v>
      </c>
      <c r="Z138" s="2">
        <f>fNotasFiscais[[#This Row],[On Time]]*fNotasFiscais[[#This Row],[In Full]]</f>
        <v>0</v>
      </c>
      <c r="AA138">
        <f>IF(fNotasFiscais[[#This Row],[Nota Fiscal]]&lt;&gt;"",1,0)</f>
        <v>1</v>
      </c>
    </row>
    <row r="139" spans="1:27" x14ac:dyDescent="0.25">
      <c r="A139" s="1">
        <v>43152</v>
      </c>
      <c r="B139">
        <v>10622</v>
      </c>
      <c r="C139" s="2" t="s">
        <v>31</v>
      </c>
      <c r="D139" s="2" t="s">
        <v>32</v>
      </c>
      <c r="E139" s="2" t="s">
        <v>33</v>
      </c>
      <c r="F139">
        <v>4026</v>
      </c>
      <c r="G139" s="2" t="s">
        <v>92</v>
      </c>
      <c r="H139" s="2" t="s">
        <v>35</v>
      </c>
      <c r="I139" s="2" t="s">
        <v>36</v>
      </c>
      <c r="J139" s="2" t="s">
        <v>60</v>
      </c>
      <c r="K139" s="2" t="s">
        <v>36</v>
      </c>
      <c r="L139">
        <v>801.03</v>
      </c>
      <c r="M139">
        <v>3</v>
      </c>
      <c r="N139">
        <v>14.95</v>
      </c>
      <c r="O139">
        <v>6600879</v>
      </c>
      <c r="P139" s="2" t="s">
        <v>61</v>
      </c>
      <c r="Q139" s="2" t="s">
        <v>35</v>
      </c>
      <c r="R139" s="2" t="s">
        <v>30</v>
      </c>
      <c r="S139">
        <v>12</v>
      </c>
      <c r="T139" s="1">
        <v>43153</v>
      </c>
      <c r="U139" s="1">
        <v>43162</v>
      </c>
      <c r="V139" s="2"/>
      <c r="W139" s="1">
        <f>fNotasFiscais[[#This Row],[Data da Coleta]]+fNotasFiscais[[#This Row],[Prazo Contratado]]</f>
        <v>43165</v>
      </c>
      <c r="X139" s="3">
        <f>IF(fNotasFiscais[[#This Row],[Data da Entrega]]&gt;fNotasFiscais[[#This Row],[Data Contratada]],0,1)</f>
        <v>1</v>
      </c>
      <c r="Y139" s="3">
        <f>IF(fNotasFiscais[[#This Row],[Ocorrência]]="",1,0)</f>
        <v>1</v>
      </c>
      <c r="Z139" s="2">
        <f>fNotasFiscais[[#This Row],[On Time]]*fNotasFiscais[[#This Row],[In Full]]</f>
        <v>1</v>
      </c>
      <c r="AA139">
        <f>IF(fNotasFiscais[[#This Row],[Nota Fiscal]]&lt;&gt;"",1,0)</f>
        <v>1</v>
      </c>
    </row>
    <row r="140" spans="1:27" x14ac:dyDescent="0.25">
      <c r="A140" s="1">
        <v>43168</v>
      </c>
      <c r="B140">
        <v>10672</v>
      </c>
      <c r="C140" s="2" t="s">
        <v>31</v>
      </c>
      <c r="D140" s="2" t="s">
        <v>32</v>
      </c>
      <c r="E140" s="2" t="s">
        <v>33</v>
      </c>
      <c r="F140">
        <v>4026</v>
      </c>
      <c r="G140" s="2" t="s">
        <v>92</v>
      </c>
      <c r="H140" s="2" t="s">
        <v>35</v>
      </c>
      <c r="I140" s="2" t="s">
        <v>36</v>
      </c>
      <c r="J140" s="2" t="s">
        <v>60</v>
      </c>
      <c r="K140" s="2" t="s">
        <v>36</v>
      </c>
      <c r="L140">
        <v>2585.0100000000002</v>
      </c>
      <c r="M140">
        <v>4</v>
      </c>
      <c r="N140">
        <v>19.899999999999999</v>
      </c>
      <c r="O140">
        <v>6600879</v>
      </c>
      <c r="P140" s="2" t="s">
        <v>61</v>
      </c>
      <c r="Q140" s="2" t="s">
        <v>35</v>
      </c>
      <c r="R140" s="2" t="s">
        <v>30</v>
      </c>
      <c r="S140">
        <v>3</v>
      </c>
      <c r="T140" s="1">
        <v>43168</v>
      </c>
      <c r="U140" s="1">
        <v>43174</v>
      </c>
      <c r="V140" s="2" t="s">
        <v>42</v>
      </c>
      <c r="W140" s="1">
        <f>fNotasFiscais[[#This Row],[Data da Coleta]]+fNotasFiscais[[#This Row],[Prazo Contratado]]</f>
        <v>43171</v>
      </c>
      <c r="X140" s="3">
        <f>IF(fNotasFiscais[[#This Row],[Data da Entrega]]&gt;fNotasFiscais[[#This Row],[Data Contratada]],0,1)</f>
        <v>0</v>
      </c>
      <c r="Y140" s="3">
        <f>IF(fNotasFiscais[[#This Row],[Ocorrência]]="",1,0)</f>
        <v>0</v>
      </c>
      <c r="Z140" s="2">
        <f>fNotasFiscais[[#This Row],[On Time]]*fNotasFiscais[[#This Row],[In Full]]</f>
        <v>0</v>
      </c>
      <c r="AA140">
        <f>IF(fNotasFiscais[[#This Row],[Nota Fiscal]]&lt;&gt;"",1,0)</f>
        <v>1</v>
      </c>
    </row>
    <row r="141" spans="1:27" x14ac:dyDescent="0.25">
      <c r="A141" s="1">
        <v>43110</v>
      </c>
      <c r="B141">
        <v>10446</v>
      </c>
      <c r="C141" s="2" t="s">
        <v>43</v>
      </c>
      <c r="D141" s="2" t="s">
        <v>44</v>
      </c>
      <c r="E141" s="2" t="s">
        <v>45</v>
      </c>
      <c r="F141">
        <v>4027</v>
      </c>
      <c r="G141" s="2" t="s">
        <v>93</v>
      </c>
      <c r="H141" s="2" t="s">
        <v>91</v>
      </c>
      <c r="I141" s="2" t="s">
        <v>24</v>
      </c>
      <c r="J141" s="2" t="s">
        <v>28</v>
      </c>
      <c r="K141" s="2" t="s">
        <v>24</v>
      </c>
      <c r="L141">
        <v>1243.73</v>
      </c>
      <c r="M141">
        <v>1</v>
      </c>
      <c r="N141">
        <v>16.5</v>
      </c>
      <c r="O141">
        <v>6500948</v>
      </c>
      <c r="P141" s="2" t="s">
        <v>29</v>
      </c>
      <c r="Q141" s="2" t="s">
        <v>23</v>
      </c>
      <c r="R141" s="2" t="s">
        <v>30</v>
      </c>
      <c r="S141">
        <v>8</v>
      </c>
      <c r="T141" s="1">
        <v>43111</v>
      </c>
      <c r="U141" s="1">
        <v>43115</v>
      </c>
      <c r="V141" s="2" t="s">
        <v>42</v>
      </c>
      <c r="W141" s="1">
        <f>fNotasFiscais[[#This Row],[Data da Coleta]]+fNotasFiscais[[#This Row],[Prazo Contratado]]</f>
        <v>43119</v>
      </c>
      <c r="X141" s="3">
        <f>IF(fNotasFiscais[[#This Row],[Data da Entrega]]&gt;fNotasFiscais[[#This Row],[Data Contratada]],0,1)</f>
        <v>1</v>
      </c>
      <c r="Y141" s="3">
        <f>IF(fNotasFiscais[[#This Row],[Ocorrência]]="",1,0)</f>
        <v>0</v>
      </c>
      <c r="Z141" s="2">
        <f>fNotasFiscais[[#This Row],[On Time]]*fNotasFiscais[[#This Row],[In Full]]</f>
        <v>0</v>
      </c>
      <c r="AA141">
        <f>IF(fNotasFiscais[[#This Row],[Nota Fiscal]]&lt;&gt;"",1,0)</f>
        <v>1</v>
      </c>
    </row>
    <row r="142" spans="1:27" x14ac:dyDescent="0.25">
      <c r="A142" s="1">
        <v>43110</v>
      </c>
      <c r="B142">
        <v>10448</v>
      </c>
      <c r="C142" s="2" t="s">
        <v>40</v>
      </c>
      <c r="D142" s="2" t="s">
        <v>41</v>
      </c>
      <c r="E142" s="2" t="s">
        <v>33</v>
      </c>
      <c r="F142">
        <v>4027</v>
      </c>
      <c r="G142" s="2" t="s">
        <v>93</v>
      </c>
      <c r="H142" s="2" t="s">
        <v>91</v>
      </c>
      <c r="I142" s="2" t="s">
        <v>24</v>
      </c>
      <c r="J142" s="2" t="s">
        <v>28</v>
      </c>
      <c r="K142" s="2" t="s">
        <v>24</v>
      </c>
      <c r="L142">
        <v>971.06</v>
      </c>
      <c r="M142">
        <v>1</v>
      </c>
      <c r="N142">
        <v>1.54</v>
      </c>
      <c r="O142">
        <v>6500948</v>
      </c>
      <c r="P142" s="2" t="s">
        <v>29</v>
      </c>
      <c r="Q142" s="2" t="s">
        <v>23</v>
      </c>
      <c r="R142" s="2" t="s">
        <v>30</v>
      </c>
      <c r="S142">
        <v>5</v>
      </c>
      <c r="T142" s="1">
        <v>43111</v>
      </c>
      <c r="U142" s="1">
        <v>43113</v>
      </c>
      <c r="V142" s="2"/>
      <c r="W142" s="1">
        <f>fNotasFiscais[[#This Row],[Data da Coleta]]+fNotasFiscais[[#This Row],[Prazo Contratado]]</f>
        <v>43116</v>
      </c>
      <c r="X142" s="3">
        <f>IF(fNotasFiscais[[#This Row],[Data da Entrega]]&gt;fNotasFiscais[[#This Row],[Data Contratada]],0,1)</f>
        <v>1</v>
      </c>
      <c r="Y142" s="3">
        <f>IF(fNotasFiscais[[#This Row],[Ocorrência]]="",1,0)</f>
        <v>1</v>
      </c>
      <c r="Z142" s="2">
        <f>fNotasFiscais[[#This Row],[On Time]]*fNotasFiscais[[#This Row],[In Full]]</f>
        <v>1</v>
      </c>
      <c r="AA142">
        <f>IF(fNotasFiscais[[#This Row],[Nota Fiscal]]&lt;&gt;"",1,0)</f>
        <v>1</v>
      </c>
    </row>
    <row r="143" spans="1:27" x14ac:dyDescent="0.25">
      <c r="A143" s="1">
        <v>43124</v>
      </c>
      <c r="B143">
        <v>10500</v>
      </c>
      <c r="C143" s="2" t="s">
        <v>22</v>
      </c>
      <c r="D143" s="2" t="s">
        <v>23</v>
      </c>
      <c r="E143" s="2" t="s">
        <v>24</v>
      </c>
      <c r="F143">
        <v>4027</v>
      </c>
      <c r="G143" s="2" t="s">
        <v>93</v>
      </c>
      <c r="H143" s="2" t="s">
        <v>91</v>
      </c>
      <c r="I143" s="2" t="s">
        <v>24</v>
      </c>
      <c r="J143" s="2" t="s">
        <v>28</v>
      </c>
      <c r="K143" s="2" t="s">
        <v>24</v>
      </c>
      <c r="L143">
        <v>1897.82</v>
      </c>
      <c r="M143">
        <v>7</v>
      </c>
      <c r="N143">
        <v>5.5860000000000003</v>
      </c>
      <c r="O143">
        <v>6500948</v>
      </c>
      <c r="P143" s="2" t="s">
        <v>29</v>
      </c>
      <c r="Q143" s="2" t="s">
        <v>23</v>
      </c>
      <c r="R143" s="2" t="s">
        <v>30</v>
      </c>
      <c r="S143">
        <v>6</v>
      </c>
      <c r="T143" s="1">
        <v>43125</v>
      </c>
      <c r="U143" s="1">
        <v>43129</v>
      </c>
      <c r="V143" s="2"/>
      <c r="W143" s="1">
        <f>fNotasFiscais[[#This Row],[Data da Coleta]]+fNotasFiscais[[#This Row],[Prazo Contratado]]</f>
        <v>43131</v>
      </c>
      <c r="X143" s="3">
        <f>IF(fNotasFiscais[[#This Row],[Data da Entrega]]&gt;fNotasFiscais[[#This Row],[Data Contratada]],0,1)</f>
        <v>1</v>
      </c>
      <c r="Y143" s="3">
        <f>IF(fNotasFiscais[[#This Row],[Ocorrência]]="",1,0)</f>
        <v>1</v>
      </c>
      <c r="Z143" s="2">
        <f>fNotasFiscais[[#This Row],[On Time]]*fNotasFiscais[[#This Row],[In Full]]</f>
        <v>1</v>
      </c>
      <c r="AA143">
        <f>IF(fNotasFiscais[[#This Row],[Nota Fiscal]]&lt;&gt;"",1,0)</f>
        <v>1</v>
      </c>
    </row>
    <row r="144" spans="1:27" x14ac:dyDescent="0.25">
      <c r="A144" s="1">
        <v>43125</v>
      </c>
      <c r="B144">
        <v>10506</v>
      </c>
      <c r="C144" s="2" t="s">
        <v>22</v>
      </c>
      <c r="D144" s="2" t="s">
        <v>23</v>
      </c>
      <c r="E144" s="2" t="s">
        <v>24</v>
      </c>
      <c r="F144">
        <v>4027</v>
      </c>
      <c r="G144" s="2" t="s">
        <v>93</v>
      </c>
      <c r="H144" s="2" t="s">
        <v>91</v>
      </c>
      <c r="I144" s="2" t="s">
        <v>24</v>
      </c>
      <c r="J144" s="2" t="s">
        <v>28</v>
      </c>
      <c r="K144" s="2" t="s">
        <v>24</v>
      </c>
      <c r="L144">
        <v>829.29</v>
      </c>
      <c r="M144">
        <v>3</v>
      </c>
      <c r="N144">
        <v>2.0459999999999998</v>
      </c>
      <c r="O144">
        <v>6500948</v>
      </c>
      <c r="P144" s="2" t="s">
        <v>29</v>
      </c>
      <c r="Q144" s="2" t="s">
        <v>23</v>
      </c>
      <c r="R144" s="2" t="s">
        <v>30</v>
      </c>
      <c r="S144">
        <v>3</v>
      </c>
      <c r="T144" s="1">
        <v>43125</v>
      </c>
      <c r="U144" s="1">
        <v>43129</v>
      </c>
      <c r="V144" s="2"/>
      <c r="W144" s="1">
        <f>fNotasFiscais[[#This Row],[Data da Coleta]]+fNotasFiscais[[#This Row],[Prazo Contratado]]</f>
        <v>43128</v>
      </c>
      <c r="X144" s="3">
        <f>IF(fNotasFiscais[[#This Row],[Data da Entrega]]&gt;fNotasFiscais[[#This Row],[Data Contratada]],0,1)</f>
        <v>0</v>
      </c>
      <c r="Y144" s="3">
        <f>IF(fNotasFiscais[[#This Row],[Ocorrência]]="",1,0)</f>
        <v>1</v>
      </c>
      <c r="Z144" s="2">
        <f>fNotasFiscais[[#This Row],[On Time]]*fNotasFiscais[[#This Row],[In Full]]</f>
        <v>0</v>
      </c>
      <c r="AA144">
        <f>IF(fNotasFiscais[[#This Row],[Nota Fiscal]]&lt;&gt;"",1,0)</f>
        <v>1</v>
      </c>
    </row>
    <row r="145" spans="1:27" x14ac:dyDescent="0.25">
      <c r="A145" s="1">
        <v>43140</v>
      </c>
      <c r="B145">
        <v>10574</v>
      </c>
      <c r="C145" s="2" t="s">
        <v>54</v>
      </c>
      <c r="D145" s="2" t="s">
        <v>55</v>
      </c>
      <c r="E145" s="2" t="s">
        <v>56</v>
      </c>
      <c r="F145">
        <v>4027</v>
      </c>
      <c r="G145" s="2" t="s">
        <v>93</v>
      </c>
      <c r="H145" s="2" t="s">
        <v>91</v>
      </c>
      <c r="I145" s="2" t="s">
        <v>24</v>
      </c>
      <c r="J145" s="2" t="s">
        <v>28</v>
      </c>
      <c r="K145" s="2" t="s">
        <v>24</v>
      </c>
      <c r="L145">
        <v>643.09</v>
      </c>
      <c r="M145">
        <v>1</v>
      </c>
      <c r="N145">
        <v>0.77600000000000002</v>
      </c>
      <c r="O145">
        <v>6500948</v>
      </c>
      <c r="P145" s="2" t="s">
        <v>29</v>
      </c>
      <c r="Q145" s="2" t="s">
        <v>23</v>
      </c>
      <c r="R145" s="2" t="s">
        <v>30</v>
      </c>
      <c r="S145">
        <v>10</v>
      </c>
      <c r="T145" s="1">
        <v>43140</v>
      </c>
      <c r="U145" s="1">
        <v>43142</v>
      </c>
      <c r="V145" s="2"/>
      <c r="W145" s="1">
        <f>fNotasFiscais[[#This Row],[Data da Coleta]]+fNotasFiscais[[#This Row],[Prazo Contratado]]</f>
        <v>43150</v>
      </c>
      <c r="X145" s="3">
        <f>IF(fNotasFiscais[[#This Row],[Data da Entrega]]&gt;fNotasFiscais[[#This Row],[Data Contratada]],0,1)</f>
        <v>1</v>
      </c>
      <c r="Y145" s="3">
        <f>IF(fNotasFiscais[[#This Row],[Ocorrência]]="",1,0)</f>
        <v>1</v>
      </c>
      <c r="Z145" s="2">
        <f>fNotasFiscais[[#This Row],[On Time]]*fNotasFiscais[[#This Row],[In Full]]</f>
        <v>1</v>
      </c>
      <c r="AA145">
        <f>IF(fNotasFiscais[[#This Row],[Nota Fiscal]]&lt;&gt;"",1,0)</f>
        <v>1</v>
      </c>
    </row>
    <row r="146" spans="1:27" x14ac:dyDescent="0.25">
      <c r="A146" s="1">
        <v>43139</v>
      </c>
      <c r="B146">
        <v>10578</v>
      </c>
      <c r="C146" s="2" t="s">
        <v>31</v>
      </c>
      <c r="D146" s="2" t="s">
        <v>32</v>
      </c>
      <c r="E146" s="2" t="s">
        <v>33</v>
      </c>
      <c r="F146">
        <v>4027</v>
      </c>
      <c r="G146" s="2" t="s">
        <v>93</v>
      </c>
      <c r="H146" s="2" t="s">
        <v>91</v>
      </c>
      <c r="I146" s="2" t="s">
        <v>24</v>
      </c>
      <c r="J146" s="2" t="s">
        <v>28</v>
      </c>
      <c r="K146" s="2" t="s">
        <v>24</v>
      </c>
      <c r="L146">
        <v>919.95</v>
      </c>
      <c r="M146">
        <v>1</v>
      </c>
      <c r="N146">
        <v>6.7759999999999998</v>
      </c>
      <c r="O146">
        <v>6500948</v>
      </c>
      <c r="P146" s="2" t="s">
        <v>29</v>
      </c>
      <c r="Q146" s="2" t="s">
        <v>23</v>
      </c>
      <c r="R146" s="2" t="s">
        <v>30</v>
      </c>
      <c r="S146">
        <v>4</v>
      </c>
      <c r="T146" s="1">
        <v>43140</v>
      </c>
      <c r="U146" s="1">
        <v>43144</v>
      </c>
      <c r="V146" s="2"/>
      <c r="W146" s="1">
        <f>fNotasFiscais[[#This Row],[Data da Coleta]]+fNotasFiscais[[#This Row],[Prazo Contratado]]</f>
        <v>43144</v>
      </c>
      <c r="X146" s="3">
        <f>IF(fNotasFiscais[[#This Row],[Data da Entrega]]&gt;fNotasFiscais[[#This Row],[Data Contratada]],0,1)</f>
        <v>1</v>
      </c>
      <c r="Y146" s="3">
        <f>IF(fNotasFiscais[[#This Row],[Ocorrência]]="",1,0)</f>
        <v>1</v>
      </c>
      <c r="Z146" s="2">
        <f>fNotasFiscais[[#This Row],[On Time]]*fNotasFiscais[[#This Row],[In Full]]</f>
        <v>1</v>
      </c>
      <c r="AA146">
        <f>IF(fNotasFiscais[[#This Row],[Nota Fiscal]]&lt;&gt;"",1,0)</f>
        <v>1</v>
      </c>
    </row>
    <row r="147" spans="1:27" x14ac:dyDescent="0.25">
      <c r="A147" s="1">
        <v>43153</v>
      </c>
      <c r="B147">
        <v>10616</v>
      </c>
      <c r="C147" s="2" t="s">
        <v>40</v>
      </c>
      <c r="D147" s="2" t="s">
        <v>41</v>
      </c>
      <c r="E147" s="2" t="s">
        <v>33</v>
      </c>
      <c r="F147">
        <v>4027</v>
      </c>
      <c r="G147" s="2" t="s">
        <v>93</v>
      </c>
      <c r="H147" s="2" t="s">
        <v>91</v>
      </c>
      <c r="I147" s="2" t="s">
        <v>24</v>
      </c>
      <c r="J147" s="2" t="s">
        <v>28</v>
      </c>
      <c r="K147" s="2" t="s">
        <v>24</v>
      </c>
      <c r="L147">
        <v>91.23</v>
      </c>
      <c r="M147">
        <v>1</v>
      </c>
      <c r="N147">
        <v>0.66</v>
      </c>
      <c r="O147">
        <v>6500948</v>
      </c>
      <c r="P147" s="2" t="s">
        <v>29</v>
      </c>
      <c r="Q147" s="2" t="s">
        <v>23</v>
      </c>
      <c r="R147" s="2" t="s">
        <v>30</v>
      </c>
      <c r="S147">
        <v>9</v>
      </c>
      <c r="T147" s="1">
        <v>43153</v>
      </c>
      <c r="U147" s="1">
        <v>43154</v>
      </c>
      <c r="V147" s="2" t="s">
        <v>42</v>
      </c>
      <c r="W147" s="1">
        <f>fNotasFiscais[[#This Row],[Data da Coleta]]+fNotasFiscais[[#This Row],[Prazo Contratado]]</f>
        <v>43162</v>
      </c>
      <c r="X147" s="3">
        <f>IF(fNotasFiscais[[#This Row],[Data da Entrega]]&gt;fNotasFiscais[[#This Row],[Data Contratada]],0,1)</f>
        <v>1</v>
      </c>
      <c r="Y147" s="3">
        <f>IF(fNotasFiscais[[#This Row],[Ocorrência]]="",1,0)</f>
        <v>0</v>
      </c>
      <c r="Z147" s="2">
        <f>fNotasFiscais[[#This Row],[On Time]]*fNotasFiscais[[#This Row],[In Full]]</f>
        <v>0</v>
      </c>
      <c r="AA147">
        <f>IF(fNotasFiscais[[#This Row],[Nota Fiscal]]&lt;&gt;"",1,0)</f>
        <v>1</v>
      </c>
    </row>
    <row r="148" spans="1:27" x14ac:dyDescent="0.25">
      <c r="A148" s="1">
        <v>43153</v>
      </c>
      <c r="B148">
        <v>10617</v>
      </c>
      <c r="C148" s="2" t="s">
        <v>54</v>
      </c>
      <c r="D148" s="2" t="s">
        <v>55</v>
      </c>
      <c r="E148" s="2" t="s">
        <v>56</v>
      </c>
      <c r="F148">
        <v>4027</v>
      </c>
      <c r="G148" s="2" t="s">
        <v>93</v>
      </c>
      <c r="H148" s="2" t="s">
        <v>91</v>
      </c>
      <c r="I148" s="2" t="s">
        <v>24</v>
      </c>
      <c r="J148" s="2" t="s">
        <v>28</v>
      </c>
      <c r="K148" s="2" t="s">
        <v>24</v>
      </c>
      <c r="L148">
        <v>64.900000000000006</v>
      </c>
      <c r="M148">
        <v>1</v>
      </c>
      <c r="N148">
        <v>1.232</v>
      </c>
      <c r="O148">
        <v>6500948</v>
      </c>
      <c r="P148" s="2" t="s">
        <v>29</v>
      </c>
      <c r="Q148" s="2" t="s">
        <v>23</v>
      </c>
      <c r="R148" s="2" t="s">
        <v>30</v>
      </c>
      <c r="S148">
        <v>7</v>
      </c>
      <c r="T148" s="1">
        <v>43153</v>
      </c>
      <c r="U148" s="1">
        <v>43154</v>
      </c>
      <c r="V148" s="2" t="s">
        <v>42</v>
      </c>
      <c r="W148" s="1">
        <f>fNotasFiscais[[#This Row],[Data da Coleta]]+fNotasFiscais[[#This Row],[Prazo Contratado]]</f>
        <v>43160</v>
      </c>
      <c r="X148" s="3">
        <f>IF(fNotasFiscais[[#This Row],[Data da Entrega]]&gt;fNotasFiscais[[#This Row],[Data Contratada]],0,1)</f>
        <v>1</v>
      </c>
      <c r="Y148" s="3">
        <f>IF(fNotasFiscais[[#This Row],[Ocorrência]]="",1,0)</f>
        <v>0</v>
      </c>
      <c r="Z148" s="2">
        <f>fNotasFiscais[[#This Row],[On Time]]*fNotasFiscais[[#This Row],[In Full]]</f>
        <v>0</v>
      </c>
      <c r="AA148">
        <f>IF(fNotasFiscais[[#This Row],[Nota Fiscal]]&lt;&gt;"",1,0)</f>
        <v>1</v>
      </c>
    </row>
    <row r="149" spans="1:27" x14ac:dyDescent="0.25">
      <c r="A149" s="1">
        <v>43137</v>
      </c>
      <c r="B149">
        <v>10562</v>
      </c>
      <c r="C149" s="2" t="s">
        <v>31</v>
      </c>
      <c r="D149" s="2" t="s">
        <v>32</v>
      </c>
      <c r="E149" s="2" t="s">
        <v>33</v>
      </c>
      <c r="F149">
        <v>4053</v>
      </c>
      <c r="G149" s="2" t="s">
        <v>94</v>
      </c>
      <c r="H149" s="2" t="s">
        <v>64</v>
      </c>
      <c r="I149" s="2" t="s">
        <v>65</v>
      </c>
      <c r="J149" s="2" t="s">
        <v>49</v>
      </c>
      <c r="K149" s="2" t="s">
        <v>65</v>
      </c>
      <c r="L149">
        <v>3163.2</v>
      </c>
      <c r="M149">
        <v>6</v>
      </c>
      <c r="N149">
        <v>12.8</v>
      </c>
      <c r="O149">
        <v>6100231</v>
      </c>
      <c r="P149" s="2" t="s">
        <v>50</v>
      </c>
      <c r="Q149" s="2" t="s">
        <v>51</v>
      </c>
      <c r="R149" s="2" t="s">
        <v>30</v>
      </c>
      <c r="S149">
        <v>1</v>
      </c>
      <c r="T149" s="1">
        <v>43137</v>
      </c>
      <c r="U149" s="1">
        <v>43147</v>
      </c>
      <c r="V149" s="2"/>
      <c r="W149" s="1">
        <f>fNotasFiscais[[#This Row],[Data da Coleta]]+fNotasFiscais[[#This Row],[Prazo Contratado]]</f>
        <v>43138</v>
      </c>
      <c r="X149" s="3">
        <f>IF(fNotasFiscais[[#This Row],[Data da Entrega]]&gt;fNotasFiscais[[#This Row],[Data Contratada]],0,1)</f>
        <v>0</v>
      </c>
      <c r="Y149" s="3">
        <f>IF(fNotasFiscais[[#This Row],[Ocorrência]]="",1,0)</f>
        <v>1</v>
      </c>
      <c r="Z149" s="2">
        <f>fNotasFiscais[[#This Row],[On Time]]*fNotasFiscais[[#This Row],[In Full]]</f>
        <v>0</v>
      </c>
      <c r="AA149">
        <f>IF(fNotasFiscais[[#This Row],[Nota Fiscal]]&lt;&gt;"",1,0)</f>
        <v>1</v>
      </c>
    </row>
    <row r="150" spans="1:27" x14ac:dyDescent="0.25">
      <c r="A150" s="1">
        <v>43110</v>
      </c>
      <c r="B150">
        <v>10447</v>
      </c>
      <c r="C150" s="2" t="s">
        <v>54</v>
      </c>
      <c r="D150" s="2" t="s">
        <v>55</v>
      </c>
      <c r="E150" s="2" t="s">
        <v>56</v>
      </c>
      <c r="F150">
        <v>4028</v>
      </c>
      <c r="G150" s="2" t="s">
        <v>95</v>
      </c>
      <c r="H150" s="2" t="s">
        <v>26</v>
      </c>
      <c r="I150" s="2" t="s">
        <v>27</v>
      </c>
      <c r="J150" s="2" t="s">
        <v>28</v>
      </c>
      <c r="K150" s="2" t="s">
        <v>27</v>
      </c>
      <c r="L150">
        <v>1049.8399999999999</v>
      </c>
      <c r="M150">
        <v>2</v>
      </c>
      <c r="N150">
        <v>11.010999999999999</v>
      </c>
      <c r="O150">
        <v>6500948</v>
      </c>
      <c r="P150" s="2" t="s">
        <v>29</v>
      </c>
      <c r="Q150" s="2" t="s">
        <v>23</v>
      </c>
      <c r="R150" s="2" t="s">
        <v>30</v>
      </c>
      <c r="S150">
        <v>4</v>
      </c>
      <c r="T150" s="1">
        <v>43111</v>
      </c>
      <c r="U150" s="1">
        <v>43120</v>
      </c>
      <c r="V150" s="2"/>
      <c r="W150" s="1">
        <f>fNotasFiscais[[#This Row],[Data da Coleta]]+fNotasFiscais[[#This Row],[Prazo Contratado]]</f>
        <v>43115</v>
      </c>
      <c r="X150" s="3">
        <f>IF(fNotasFiscais[[#This Row],[Data da Entrega]]&gt;fNotasFiscais[[#This Row],[Data Contratada]],0,1)</f>
        <v>0</v>
      </c>
      <c r="Y150" s="3">
        <f>IF(fNotasFiscais[[#This Row],[Ocorrência]]="",1,0)</f>
        <v>1</v>
      </c>
      <c r="Z150" s="2">
        <f>fNotasFiscais[[#This Row],[On Time]]*fNotasFiscais[[#This Row],[In Full]]</f>
        <v>0</v>
      </c>
      <c r="AA150">
        <f>IF(fNotasFiscais[[#This Row],[Nota Fiscal]]&lt;&gt;"",1,0)</f>
        <v>1</v>
      </c>
    </row>
    <row r="151" spans="1:27" x14ac:dyDescent="0.25">
      <c r="A151" s="1">
        <v>43110</v>
      </c>
      <c r="B151">
        <v>10453</v>
      </c>
      <c r="C151" s="2" t="s">
        <v>34</v>
      </c>
      <c r="D151" s="2" t="s">
        <v>35</v>
      </c>
      <c r="E151" s="2" t="s">
        <v>36</v>
      </c>
      <c r="F151">
        <v>4028</v>
      </c>
      <c r="G151" s="2" t="s">
        <v>95</v>
      </c>
      <c r="H151" s="2" t="s">
        <v>26</v>
      </c>
      <c r="I151" s="2" t="s">
        <v>27</v>
      </c>
      <c r="J151" s="2" t="s">
        <v>28</v>
      </c>
      <c r="K151" s="2" t="s">
        <v>27</v>
      </c>
      <c r="L151">
        <v>962.11</v>
      </c>
      <c r="M151">
        <v>2</v>
      </c>
      <c r="N151">
        <v>8.14</v>
      </c>
      <c r="O151">
        <v>6500948</v>
      </c>
      <c r="P151" s="2" t="s">
        <v>29</v>
      </c>
      <c r="Q151" s="2" t="s">
        <v>23</v>
      </c>
      <c r="R151" s="2" t="s">
        <v>30</v>
      </c>
      <c r="S151">
        <v>12</v>
      </c>
      <c r="T151" s="1">
        <v>43111</v>
      </c>
      <c r="U151" s="1">
        <v>43121</v>
      </c>
      <c r="V151" s="2"/>
      <c r="W151" s="1">
        <f>fNotasFiscais[[#This Row],[Data da Coleta]]+fNotasFiscais[[#This Row],[Prazo Contratado]]</f>
        <v>43123</v>
      </c>
      <c r="X151" s="3">
        <f>IF(fNotasFiscais[[#This Row],[Data da Entrega]]&gt;fNotasFiscais[[#This Row],[Data Contratada]],0,1)</f>
        <v>1</v>
      </c>
      <c r="Y151" s="3">
        <f>IF(fNotasFiscais[[#This Row],[Ocorrência]]="",1,0)</f>
        <v>1</v>
      </c>
      <c r="Z151" s="2">
        <f>fNotasFiscais[[#This Row],[On Time]]*fNotasFiscais[[#This Row],[In Full]]</f>
        <v>1</v>
      </c>
      <c r="AA151">
        <f>IF(fNotasFiscais[[#This Row],[Nota Fiscal]]&lt;&gt;"",1,0)</f>
        <v>1</v>
      </c>
    </row>
    <row r="152" spans="1:27" x14ac:dyDescent="0.25">
      <c r="A152" s="1">
        <v>43124</v>
      </c>
      <c r="B152">
        <v>10502</v>
      </c>
      <c r="C152" s="2" t="s">
        <v>22</v>
      </c>
      <c r="D152" s="2" t="s">
        <v>23</v>
      </c>
      <c r="E152" s="2" t="s">
        <v>24</v>
      </c>
      <c r="F152">
        <v>4028</v>
      </c>
      <c r="G152" s="2" t="s">
        <v>95</v>
      </c>
      <c r="H152" s="2" t="s">
        <v>26</v>
      </c>
      <c r="I152" s="2" t="s">
        <v>27</v>
      </c>
      <c r="J152" s="2" t="s">
        <v>28</v>
      </c>
      <c r="K152" s="2" t="s">
        <v>27</v>
      </c>
      <c r="L152">
        <v>692.9</v>
      </c>
      <c r="M152">
        <v>2</v>
      </c>
      <c r="N152">
        <v>1.3640000000000001</v>
      </c>
      <c r="O152">
        <v>6500948</v>
      </c>
      <c r="P152" s="2" t="s">
        <v>29</v>
      </c>
      <c r="Q152" s="2" t="s">
        <v>23</v>
      </c>
      <c r="R152" s="2" t="s">
        <v>30</v>
      </c>
      <c r="S152">
        <v>8</v>
      </c>
      <c r="T152" s="1">
        <v>43125</v>
      </c>
      <c r="U152" s="1">
        <v>43135</v>
      </c>
      <c r="V152" s="2" t="s">
        <v>57</v>
      </c>
      <c r="W152" s="1">
        <f>fNotasFiscais[[#This Row],[Data da Coleta]]+fNotasFiscais[[#This Row],[Prazo Contratado]]</f>
        <v>43133</v>
      </c>
      <c r="X152" s="3">
        <f>IF(fNotasFiscais[[#This Row],[Data da Entrega]]&gt;fNotasFiscais[[#This Row],[Data Contratada]],0,1)</f>
        <v>0</v>
      </c>
      <c r="Y152" s="3">
        <f>IF(fNotasFiscais[[#This Row],[Ocorrência]]="",1,0)</f>
        <v>0</v>
      </c>
      <c r="Z152" s="2">
        <f>fNotasFiscais[[#This Row],[On Time]]*fNotasFiscais[[#This Row],[In Full]]</f>
        <v>0</v>
      </c>
      <c r="AA152">
        <f>IF(fNotasFiscais[[#This Row],[Nota Fiscal]]&lt;&gt;"",1,0)</f>
        <v>1</v>
      </c>
    </row>
    <row r="153" spans="1:27" x14ac:dyDescent="0.25">
      <c r="A153" s="1">
        <v>43125</v>
      </c>
      <c r="B153">
        <v>10507</v>
      </c>
      <c r="C153" s="2" t="s">
        <v>22</v>
      </c>
      <c r="D153" s="2" t="s">
        <v>23</v>
      </c>
      <c r="E153" s="2" t="s">
        <v>24</v>
      </c>
      <c r="F153">
        <v>4028</v>
      </c>
      <c r="G153" s="2" t="s">
        <v>95</v>
      </c>
      <c r="H153" s="2" t="s">
        <v>26</v>
      </c>
      <c r="I153" s="2" t="s">
        <v>27</v>
      </c>
      <c r="J153" s="2" t="s">
        <v>28</v>
      </c>
      <c r="K153" s="2" t="s">
        <v>27</v>
      </c>
      <c r="L153">
        <v>134.18</v>
      </c>
      <c r="M153">
        <v>1</v>
      </c>
      <c r="N153">
        <v>1.694</v>
      </c>
      <c r="O153">
        <v>6500948</v>
      </c>
      <c r="P153" s="2" t="s">
        <v>29</v>
      </c>
      <c r="Q153" s="2" t="s">
        <v>23</v>
      </c>
      <c r="R153" s="2" t="s">
        <v>30</v>
      </c>
      <c r="S153">
        <v>10</v>
      </c>
      <c r="T153" s="1">
        <v>43125</v>
      </c>
      <c r="U153" s="1">
        <v>43133</v>
      </c>
      <c r="V153" s="2"/>
      <c r="W153" s="1">
        <f>fNotasFiscais[[#This Row],[Data da Coleta]]+fNotasFiscais[[#This Row],[Prazo Contratado]]</f>
        <v>43135</v>
      </c>
      <c r="X153" s="3">
        <f>IF(fNotasFiscais[[#This Row],[Data da Entrega]]&gt;fNotasFiscais[[#This Row],[Data Contratada]],0,1)</f>
        <v>1</v>
      </c>
      <c r="Y153" s="3">
        <f>IF(fNotasFiscais[[#This Row],[Ocorrência]]="",1,0)</f>
        <v>1</v>
      </c>
      <c r="Z153" s="2">
        <f>fNotasFiscais[[#This Row],[On Time]]*fNotasFiscais[[#This Row],[In Full]]</f>
        <v>1</v>
      </c>
      <c r="AA153">
        <f>IF(fNotasFiscais[[#This Row],[Nota Fiscal]]&lt;&gt;"",1,0)</f>
        <v>1</v>
      </c>
    </row>
    <row r="154" spans="1:27" x14ac:dyDescent="0.25">
      <c r="A154" s="1">
        <v>43139</v>
      </c>
      <c r="B154">
        <v>10577</v>
      </c>
      <c r="C154" s="2" t="s">
        <v>54</v>
      </c>
      <c r="D154" s="2" t="s">
        <v>55</v>
      </c>
      <c r="E154" s="2" t="s">
        <v>56</v>
      </c>
      <c r="F154">
        <v>4028</v>
      </c>
      <c r="G154" s="2" t="s">
        <v>95</v>
      </c>
      <c r="H154" s="2" t="s">
        <v>26</v>
      </c>
      <c r="I154" s="2" t="s">
        <v>27</v>
      </c>
      <c r="J154" s="2" t="s">
        <v>28</v>
      </c>
      <c r="K154" s="2" t="s">
        <v>27</v>
      </c>
      <c r="L154">
        <v>624.21</v>
      </c>
      <c r="M154">
        <v>1</v>
      </c>
      <c r="N154">
        <v>1.101</v>
      </c>
      <c r="O154">
        <v>6500948</v>
      </c>
      <c r="P154" s="2" t="s">
        <v>29</v>
      </c>
      <c r="Q154" s="2" t="s">
        <v>23</v>
      </c>
      <c r="R154" s="2" t="s">
        <v>30</v>
      </c>
      <c r="S154">
        <v>12</v>
      </c>
      <c r="T154" s="1">
        <v>43140</v>
      </c>
      <c r="U154" s="1">
        <v>43148</v>
      </c>
      <c r="V154" s="2"/>
      <c r="W154" s="1">
        <f>fNotasFiscais[[#This Row],[Data da Coleta]]+fNotasFiscais[[#This Row],[Prazo Contratado]]</f>
        <v>43152</v>
      </c>
      <c r="X154" s="3">
        <f>IF(fNotasFiscais[[#This Row],[Data da Entrega]]&gt;fNotasFiscais[[#This Row],[Data Contratada]],0,1)</f>
        <v>1</v>
      </c>
      <c r="Y154" s="3">
        <f>IF(fNotasFiscais[[#This Row],[Ocorrência]]="",1,0)</f>
        <v>1</v>
      </c>
      <c r="Z154" s="2">
        <f>fNotasFiscais[[#This Row],[On Time]]*fNotasFiscais[[#This Row],[In Full]]</f>
        <v>1</v>
      </c>
      <c r="AA154">
        <f>IF(fNotasFiscais[[#This Row],[Nota Fiscal]]&lt;&gt;"",1,0)</f>
        <v>1</v>
      </c>
    </row>
    <row r="155" spans="1:27" x14ac:dyDescent="0.25">
      <c r="A155" s="1">
        <v>43139</v>
      </c>
      <c r="B155">
        <v>10581</v>
      </c>
      <c r="C155" s="2" t="s">
        <v>34</v>
      </c>
      <c r="D155" s="2" t="s">
        <v>35</v>
      </c>
      <c r="E155" s="2" t="s">
        <v>36</v>
      </c>
      <c r="F155">
        <v>4028</v>
      </c>
      <c r="G155" s="2" t="s">
        <v>95</v>
      </c>
      <c r="H155" s="2" t="s">
        <v>26</v>
      </c>
      <c r="I155" s="2" t="s">
        <v>27</v>
      </c>
      <c r="J155" s="2" t="s">
        <v>28</v>
      </c>
      <c r="K155" s="2" t="s">
        <v>27</v>
      </c>
      <c r="L155">
        <v>1208.95</v>
      </c>
      <c r="M155">
        <v>4</v>
      </c>
      <c r="N155">
        <v>4.6840000000000002</v>
      </c>
      <c r="O155">
        <v>6500948</v>
      </c>
      <c r="P155" s="2" t="s">
        <v>29</v>
      </c>
      <c r="Q155" s="2" t="s">
        <v>23</v>
      </c>
      <c r="R155" s="2" t="s">
        <v>30</v>
      </c>
      <c r="S155">
        <v>2</v>
      </c>
      <c r="T155" s="1">
        <v>43140</v>
      </c>
      <c r="U155" s="1">
        <v>43145</v>
      </c>
      <c r="V155" s="2"/>
      <c r="W155" s="1">
        <f>fNotasFiscais[[#This Row],[Data da Coleta]]+fNotasFiscais[[#This Row],[Prazo Contratado]]</f>
        <v>43142</v>
      </c>
      <c r="X155" s="3">
        <f>IF(fNotasFiscais[[#This Row],[Data da Entrega]]&gt;fNotasFiscais[[#This Row],[Data Contratada]],0,1)</f>
        <v>0</v>
      </c>
      <c r="Y155" s="3">
        <f>IF(fNotasFiscais[[#This Row],[Ocorrência]]="",1,0)</f>
        <v>1</v>
      </c>
      <c r="Z155" s="2">
        <f>fNotasFiscais[[#This Row],[On Time]]*fNotasFiscais[[#This Row],[In Full]]</f>
        <v>0</v>
      </c>
      <c r="AA155">
        <f>IF(fNotasFiscais[[#This Row],[Nota Fiscal]]&lt;&gt;"",1,0)</f>
        <v>1</v>
      </c>
    </row>
    <row r="156" spans="1:27" x14ac:dyDescent="0.25">
      <c r="A156" s="1">
        <v>43152</v>
      </c>
      <c r="B156">
        <v>10619</v>
      </c>
      <c r="C156" s="2" t="s">
        <v>34</v>
      </c>
      <c r="D156" s="2" t="s">
        <v>35</v>
      </c>
      <c r="E156" s="2" t="s">
        <v>36</v>
      </c>
      <c r="F156">
        <v>4028</v>
      </c>
      <c r="G156" s="2" t="s">
        <v>95</v>
      </c>
      <c r="H156" s="2" t="s">
        <v>26</v>
      </c>
      <c r="I156" s="2" t="s">
        <v>27</v>
      </c>
      <c r="J156" s="2" t="s">
        <v>28</v>
      </c>
      <c r="K156" s="2" t="s">
        <v>27</v>
      </c>
      <c r="L156">
        <v>258.54000000000002</v>
      </c>
      <c r="M156">
        <v>2</v>
      </c>
      <c r="N156">
        <v>7.7839999999999998</v>
      </c>
      <c r="O156">
        <v>6500948</v>
      </c>
      <c r="P156" s="2" t="s">
        <v>29</v>
      </c>
      <c r="Q156" s="2" t="s">
        <v>23</v>
      </c>
      <c r="R156" s="2" t="s">
        <v>30</v>
      </c>
      <c r="S156">
        <v>11</v>
      </c>
      <c r="T156" s="1">
        <v>43153</v>
      </c>
      <c r="U156" s="1">
        <v>43161</v>
      </c>
      <c r="V156" s="2"/>
      <c r="W156" s="1">
        <f>fNotasFiscais[[#This Row],[Data da Coleta]]+fNotasFiscais[[#This Row],[Prazo Contratado]]</f>
        <v>43164</v>
      </c>
      <c r="X156" s="3">
        <f>IF(fNotasFiscais[[#This Row],[Data da Entrega]]&gt;fNotasFiscais[[#This Row],[Data Contratada]],0,1)</f>
        <v>1</v>
      </c>
      <c r="Y156" s="3">
        <f>IF(fNotasFiscais[[#This Row],[Ocorrência]]="",1,0)</f>
        <v>1</v>
      </c>
      <c r="Z156" s="2">
        <f>fNotasFiscais[[#This Row],[On Time]]*fNotasFiscais[[#This Row],[In Full]]</f>
        <v>1</v>
      </c>
      <c r="AA156">
        <f>IF(fNotasFiscais[[#This Row],[Nota Fiscal]]&lt;&gt;"",1,0)</f>
        <v>1</v>
      </c>
    </row>
    <row r="157" spans="1:27" x14ac:dyDescent="0.25">
      <c r="A157" s="1">
        <v>43152</v>
      </c>
      <c r="B157">
        <v>10625</v>
      </c>
      <c r="C157" s="2" t="s">
        <v>52</v>
      </c>
      <c r="D157" s="2" t="s">
        <v>53</v>
      </c>
      <c r="E157" s="2" t="s">
        <v>33</v>
      </c>
      <c r="F157">
        <v>4028</v>
      </c>
      <c r="G157" s="2" t="s">
        <v>95</v>
      </c>
      <c r="H157" s="2" t="s">
        <v>26</v>
      </c>
      <c r="I157" s="2" t="s">
        <v>27</v>
      </c>
      <c r="J157" s="2" t="s">
        <v>28</v>
      </c>
      <c r="K157" s="2" t="s">
        <v>27</v>
      </c>
      <c r="L157">
        <v>169.24</v>
      </c>
      <c r="M157">
        <v>1</v>
      </c>
      <c r="N157">
        <v>0.219</v>
      </c>
      <c r="O157">
        <v>6500948</v>
      </c>
      <c r="P157" s="2" t="s">
        <v>29</v>
      </c>
      <c r="Q157" s="2" t="s">
        <v>23</v>
      </c>
      <c r="R157" s="2" t="s">
        <v>30</v>
      </c>
      <c r="S157">
        <v>4</v>
      </c>
      <c r="T157" s="1">
        <v>43153</v>
      </c>
      <c r="U157" s="1">
        <v>43163</v>
      </c>
      <c r="V157" s="2" t="s">
        <v>42</v>
      </c>
      <c r="W157" s="1">
        <f>fNotasFiscais[[#This Row],[Data da Coleta]]+fNotasFiscais[[#This Row],[Prazo Contratado]]</f>
        <v>43157</v>
      </c>
      <c r="X157" s="3">
        <f>IF(fNotasFiscais[[#This Row],[Data da Entrega]]&gt;fNotasFiscais[[#This Row],[Data Contratada]],0,1)</f>
        <v>0</v>
      </c>
      <c r="Y157" s="3">
        <f>IF(fNotasFiscais[[#This Row],[Ocorrência]]="",1,0)</f>
        <v>0</v>
      </c>
      <c r="Z157" s="2">
        <f>fNotasFiscais[[#This Row],[On Time]]*fNotasFiscais[[#This Row],[In Full]]</f>
        <v>0</v>
      </c>
      <c r="AA157">
        <f>IF(fNotasFiscais[[#This Row],[Nota Fiscal]]&lt;&gt;"",1,0)</f>
        <v>1</v>
      </c>
    </row>
    <row r="158" spans="1:27" x14ac:dyDescent="0.25">
      <c r="A158" s="1">
        <v>43168</v>
      </c>
      <c r="B158">
        <v>10675</v>
      </c>
      <c r="C158" s="2" t="s">
        <v>22</v>
      </c>
      <c r="D158" s="2" t="s">
        <v>23</v>
      </c>
      <c r="E158" s="2" t="s">
        <v>24</v>
      </c>
      <c r="F158">
        <v>4028</v>
      </c>
      <c r="G158" s="2" t="s">
        <v>95</v>
      </c>
      <c r="H158" s="2" t="s">
        <v>26</v>
      </c>
      <c r="I158" s="2" t="s">
        <v>27</v>
      </c>
      <c r="J158" s="2" t="s">
        <v>28</v>
      </c>
      <c r="K158" s="2" t="s">
        <v>27</v>
      </c>
      <c r="L158">
        <v>3731.26</v>
      </c>
      <c r="M158">
        <v>4</v>
      </c>
      <c r="N158">
        <v>57.255000000000003</v>
      </c>
      <c r="O158">
        <v>6500948</v>
      </c>
      <c r="P158" s="2" t="s">
        <v>29</v>
      </c>
      <c r="Q158" s="2" t="s">
        <v>23</v>
      </c>
      <c r="R158" s="2" t="s">
        <v>30</v>
      </c>
      <c r="S158">
        <v>12</v>
      </c>
      <c r="T158" s="1">
        <v>43168</v>
      </c>
      <c r="U158" s="1">
        <v>43172</v>
      </c>
      <c r="V158" s="2"/>
      <c r="W158" s="1">
        <f>fNotasFiscais[[#This Row],[Data da Coleta]]+fNotasFiscais[[#This Row],[Prazo Contratado]]</f>
        <v>43180</v>
      </c>
      <c r="X158" s="3">
        <f>IF(fNotasFiscais[[#This Row],[Data da Entrega]]&gt;fNotasFiscais[[#This Row],[Data Contratada]],0,1)</f>
        <v>1</v>
      </c>
      <c r="Y158" s="3">
        <f>IF(fNotasFiscais[[#This Row],[Ocorrência]]="",1,0)</f>
        <v>1</v>
      </c>
      <c r="Z158" s="2">
        <f>fNotasFiscais[[#This Row],[On Time]]*fNotasFiscais[[#This Row],[In Full]]</f>
        <v>1</v>
      </c>
      <c r="AA158">
        <f>IF(fNotasFiscais[[#This Row],[Nota Fiscal]]&lt;&gt;"",1,0)</f>
        <v>1</v>
      </c>
    </row>
    <row r="159" spans="1:27" x14ac:dyDescent="0.25">
      <c r="A159" s="1">
        <v>43152</v>
      </c>
      <c r="B159">
        <v>10618</v>
      </c>
      <c r="C159" s="2" t="s">
        <v>40</v>
      </c>
      <c r="D159" s="2" t="s">
        <v>41</v>
      </c>
      <c r="E159" s="2" t="s">
        <v>33</v>
      </c>
      <c r="F159">
        <v>4062</v>
      </c>
      <c r="G159" s="2" t="s">
        <v>96</v>
      </c>
      <c r="H159" s="2" t="s">
        <v>97</v>
      </c>
      <c r="I159" s="2" t="s">
        <v>48</v>
      </c>
      <c r="J159" s="2" t="s">
        <v>49</v>
      </c>
      <c r="K159" s="2" t="s">
        <v>48</v>
      </c>
      <c r="L159">
        <v>3639.29</v>
      </c>
      <c r="M159">
        <v>11</v>
      </c>
      <c r="N159">
        <v>18.436</v>
      </c>
      <c r="O159">
        <v>6100231</v>
      </c>
      <c r="P159" s="2" t="s">
        <v>50</v>
      </c>
      <c r="Q159" s="2" t="s">
        <v>51</v>
      </c>
      <c r="R159" s="2" t="s">
        <v>30</v>
      </c>
      <c r="S159">
        <v>3</v>
      </c>
      <c r="T159" s="1">
        <v>43153</v>
      </c>
      <c r="U159" s="1">
        <v>43160</v>
      </c>
      <c r="V159" s="2"/>
      <c r="W159" s="1">
        <f>fNotasFiscais[[#This Row],[Data da Coleta]]+fNotasFiscais[[#This Row],[Prazo Contratado]]</f>
        <v>43156</v>
      </c>
      <c r="X159" s="3">
        <f>IF(fNotasFiscais[[#This Row],[Data da Entrega]]&gt;fNotasFiscais[[#This Row],[Data Contratada]],0,1)</f>
        <v>0</v>
      </c>
      <c r="Y159" s="3">
        <f>IF(fNotasFiscais[[#This Row],[Ocorrência]]="",1,0)</f>
        <v>1</v>
      </c>
      <c r="Z159" s="2">
        <f>fNotasFiscais[[#This Row],[On Time]]*fNotasFiscais[[#This Row],[In Full]]</f>
        <v>0</v>
      </c>
      <c r="AA159">
        <f>IF(fNotasFiscais[[#This Row],[Nota Fiscal]]&lt;&gt;"",1,0)</f>
        <v>1</v>
      </c>
    </row>
    <row r="160" spans="1:27" x14ac:dyDescent="0.25">
      <c r="A160" s="1">
        <v>43152</v>
      </c>
      <c r="B160">
        <v>10624</v>
      </c>
      <c r="C160" s="2" t="s">
        <v>54</v>
      </c>
      <c r="D160" s="2" t="s">
        <v>55</v>
      </c>
      <c r="E160" s="2" t="s">
        <v>56</v>
      </c>
      <c r="F160">
        <v>4062</v>
      </c>
      <c r="G160" s="2" t="s">
        <v>96</v>
      </c>
      <c r="H160" s="2" t="s">
        <v>97</v>
      </c>
      <c r="I160" s="2" t="s">
        <v>48</v>
      </c>
      <c r="J160" s="2" t="s">
        <v>49</v>
      </c>
      <c r="K160" s="2" t="s">
        <v>48</v>
      </c>
      <c r="L160">
        <v>1992.72</v>
      </c>
      <c r="M160">
        <v>2</v>
      </c>
      <c r="N160">
        <v>18.7</v>
      </c>
      <c r="O160">
        <v>6100231</v>
      </c>
      <c r="P160" s="2" t="s">
        <v>50</v>
      </c>
      <c r="Q160" s="2" t="s">
        <v>51</v>
      </c>
      <c r="R160" s="2" t="s">
        <v>30</v>
      </c>
      <c r="S160">
        <v>9</v>
      </c>
      <c r="T160" s="1">
        <v>43153</v>
      </c>
      <c r="U160" s="1">
        <v>43155</v>
      </c>
      <c r="V160" s="2"/>
      <c r="W160" s="1">
        <f>fNotasFiscais[[#This Row],[Data da Coleta]]+fNotasFiscais[[#This Row],[Prazo Contratado]]</f>
        <v>43162</v>
      </c>
      <c r="X160" s="3">
        <f>IF(fNotasFiscais[[#This Row],[Data da Entrega]]&gt;fNotasFiscais[[#This Row],[Data Contratada]],0,1)</f>
        <v>1</v>
      </c>
      <c r="Y160" s="3">
        <f>IF(fNotasFiscais[[#This Row],[Ocorrência]]="",1,0)</f>
        <v>1</v>
      </c>
      <c r="Z160" s="2">
        <f>fNotasFiscais[[#This Row],[On Time]]*fNotasFiscais[[#This Row],[In Full]]</f>
        <v>1</v>
      </c>
      <c r="AA160">
        <f>IF(fNotasFiscais[[#This Row],[Nota Fiscal]]&lt;&gt;"",1,0)</f>
        <v>1</v>
      </c>
    </row>
    <row r="161" spans="1:27" x14ac:dyDescent="0.25">
      <c r="A161" s="1">
        <v>43154</v>
      </c>
      <c r="B161">
        <v>10629</v>
      </c>
      <c r="C161" s="2" t="s">
        <v>31</v>
      </c>
      <c r="D161" s="2" t="s">
        <v>32</v>
      </c>
      <c r="E161" s="2" t="s">
        <v>33</v>
      </c>
      <c r="F161">
        <v>4063</v>
      </c>
      <c r="G161" s="2" t="s">
        <v>98</v>
      </c>
      <c r="H161" s="2" t="s">
        <v>99</v>
      </c>
      <c r="I161" s="2" t="s">
        <v>27</v>
      </c>
      <c r="J161" s="2" t="s">
        <v>28</v>
      </c>
      <c r="K161" s="2" t="s">
        <v>27</v>
      </c>
      <c r="L161">
        <v>5291.12</v>
      </c>
      <c r="M161">
        <v>5</v>
      </c>
      <c r="N161">
        <v>25.975000000000001</v>
      </c>
      <c r="O161">
        <v>6500948</v>
      </c>
      <c r="P161" s="2" t="s">
        <v>29</v>
      </c>
      <c r="Q161" s="2" t="s">
        <v>23</v>
      </c>
      <c r="R161" s="2" t="s">
        <v>30</v>
      </c>
      <c r="S161">
        <v>9</v>
      </c>
      <c r="T161" s="1">
        <v>43155</v>
      </c>
      <c r="U161" s="1">
        <v>43159</v>
      </c>
      <c r="V161" s="2"/>
      <c r="W161" s="1">
        <f>fNotasFiscais[[#This Row],[Data da Coleta]]+fNotasFiscais[[#This Row],[Prazo Contratado]]</f>
        <v>43164</v>
      </c>
      <c r="X161" s="3">
        <f>IF(fNotasFiscais[[#This Row],[Data da Entrega]]&gt;fNotasFiscais[[#This Row],[Data Contratada]],0,1)</f>
        <v>1</v>
      </c>
      <c r="Y161" s="3">
        <f>IF(fNotasFiscais[[#This Row],[Ocorrência]]="",1,0)</f>
        <v>1</v>
      </c>
      <c r="Z161" s="2">
        <f>fNotasFiscais[[#This Row],[On Time]]*fNotasFiscais[[#This Row],[In Full]]</f>
        <v>1</v>
      </c>
      <c r="AA161">
        <f>IF(fNotasFiscais[[#This Row],[Nota Fiscal]]&lt;&gt;"",1,0)</f>
        <v>1</v>
      </c>
    </row>
    <row r="162" spans="1:27" x14ac:dyDescent="0.25">
      <c r="A162" s="1">
        <v>43110</v>
      </c>
      <c r="B162">
        <v>10450</v>
      </c>
      <c r="C162" s="2" t="s">
        <v>22</v>
      </c>
      <c r="D162" s="2" t="s">
        <v>23</v>
      </c>
      <c r="E162" s="2" t="s">
        <v>24</v>
      </c>
      <c r="F162">
        <v>4029</v>
      </c>
      <c r="G162" s="2" t="s">
        <v>100</v>
      </c>
      <c r="H162" s="2" t="s">
        <v>101</v>
      </c>
      <c r="I162" s="2" t="s">
        <v>39</v>
      </c>
      <c r="J162" s="2" t="s">
        <v>28</v>
      </c>
      <c r="K162" s="2" t="s">
        <v>39</v>
      </c>
      <c r="L162">
        <v>1782.08</v>
      </c>
      <c r="M162">
        <v>2</v>
      </c>
      <c r="N162">
        <v>4.7060000000000004</v>
      </c>
      <c r="O162">
        <v>6500948</v>
      </c>
      <c r="P162" s="2" t="s">
        <v>29</v>
      </c>
      <c r="Q162" s="2" t="s">
        <v>23</v>
      </c>
      <c r="R162" s="2" t="s">
        <v>30</v>
      </c>
      <c r="S162">
        <v>6</v>
      </c>
      <c r="T162" s="1">
        <v>43111</v>
      </c>
      <c r="U162" s="1">
        <v>43112</v>
      </c>
      <c r="V162" s="2"/>
      <c r="W162" s="1">
        <f>fNotasFiscais[[#This Row],[Data da Coleta]]+fNotasFiscais[[#This Row],[Prazo Contratado]]</f>
        <v>43117</v>
      </c>
      <c r="X162" s="3">
        <f>IF(fNotasFiscais[[#This Row],[Data da Entrega]]&gt;fNotasFiscais[[#This Row],[Data Contratada]],0,1)</f>
        <v>1</v>
      </c>
      <c r="Y162" s="3">
        <f>IF(fNotasFiscais[[#This Row],[Ocorrência]]="",1,0)</f>
        <v>1</v>
      </c>
      <c r="Z162" s="2">
        <f>fNotasFiscais[[#This Row],[On Time]]*fNotasFiscais[[#This Row],[In Full]]</f>
        <v>1</v>
      </c>
      <c r="AA162">
        <f>IF(fNotasFiscais[[#This Row],[Nota Fiscal]]&lt;&gt;"",1,0)</f>
        <v>1</v>
      </c>
    </row>
    <row r="163" spans="1:27" x14ac:dyDescent="0.25">
      <c r="A163" s="1">
        <v>43110</v>
      </c>
      <c r="B163">
        <v>10454</v>
      </c>
      <c r="C163" s="2" t="s">
        <v>22</v>
      </c>
      <c r="D163" s="2" t="s">
        <v>23</v>
      </c>
      <c r="E163" s="2" t="s">
        <v>24</v>
      </c>
      <c r="F163">
        <v>4029</v>
      </c>
      <c r="G163" s="2" t="s">
        <v>100</v>
      </c>
      <c r="H163" s="2" t="s">
        <v>101</v>
      </c>
      <c r="I163" s="2" t="s">
        <v>39</v>
      </c>
      <c r="J163" s="2" t="s">
        <v>28</v>
      </c>
      <c r="K163" s="2" t="s">
        <v>39</v>
      </c>
      <c r="L163">
        <v>1129.77</v>
      </c>
      <c r="M163">
        <v>3</v>
      </c>
      <c r="N163">
        <v>4.8719999999999999</v>
      </c>
      <c r="O163">
        <v>6500948</v>
      </c>
      <c r="P163" s="2" t="s">
        <v>29</v>
      </c>
      <c r="Q163" s="2" t="s">
        <v>23</v>
      </c>
      <c r="R163" s="2" t="s">
        <v>30</v>
      </c>
      <c r="S163">
        <v>10</v>
      </c>
      <c r="T163" s="1">
        <v>43111</v>
      </c>
      <c r="U163" s="1">
        <v>43118</v>
      </c>
      <c r="V163" s="2"/>
      <c r="W163" s="1">
        <f>fNotasFiscais[[#This Row],[Data da Coleta]]+fNotasFiscais[[#This Row],[Prazo Contratado]]</f>
        <v>43121</v>
      </c>
      <c r="X163" s="3">
        <f>IF(fNotasFiscais[[#This Row],[Data da Entrega]]&gt;fNotasFiscais[[#This Row],[Data Contratada]],0,1)</f>
        <v>1</v>
      </c>
      <c r="Y163" s="3">
        <f>IF(fNotasFiscais[[#This Row],[Ocorrência]]="",1,0)</f>
        <v>1</v>
      </c>
      <c r="Z163" s="2">
        <f>fNotasFiscais[[#This Row],[On Time]]*fNotasFiscais[[#This Row],[In Full]]</f>
        <v>1</v>
      </c>
      <c r="AA163">
        <f>IF(fNotasFiscais[[#This Row],[Nota Fiscal]]&lt;&gt;"",1,0)</f>
        <v>1</v>
      </c>
    </row>
    <row r="164" spans="1:27" x14ac:dyDescent="0.25">
      <c r="A164" s="1">
        <v>43139</v>
      </c>
      <c r="B164">
        <v>10576</v>
      </c>
      <c r="C164" s="2" t="s">
        <v>54</v>
      </c>
      <c r="D164" s="2" t="s">
        <v>55</v>
      </c>
      <c r="E164" s="2" t="s">
        <v>56</v>
      </c>
      <c r="F164">
        <v>4029</v>
      </c>
      <c r="G164" s="2" t="s">
        <v>100</v>
      </c>
      <c r="H164" s="2" t="s">
        <v>101</v>
      </c>
      <c r="I164" s="2" t="s">
        <v>39</v>
      </c>
      <c r="J164" s="2" t="s">
        <v>28</v>
      </c>
      <c r="K164" s="2" t="s">
        <v>39</v>
      </c>
      <c r="L164">
        <v>1051.1099999999999</v>
      </c>
      <c r="M164">
        <v>1</v>
      </c>
      <c r="N164">
        <v>9.35</v>
      </c>
      <c r="O164">
        <v>6500948</v>
      </c>
      <c r="P164" s="2" t="s">
        <v>29</v>
      </c>
      <c r="Q164" s="2" t="s">
        <v>23</v>
      </c>
      <c r="R164" s="2" t="s">
        <v>30</v>
      </c>
      <c r="S164">
        <v>8</v>
      </c>
      <c r="T164" s="1">
        <v>43140</v>
      </c>
      <c r="U164" s="1">
        <v>43145</v>
      </c>
      <c r="V164" s="2"/>
      <c r="W164" s="1">
        <f>fNotasFiscais[[#This Row],[Data da Coleta]]+fNotasFiscais[[#This Row],[Prazo Contratado]]</f>
        <v>43148</v>
      </c>
      <c r="X164" s="3">
        <f>IF(fNotasFiscais[[#This Row],[Data da Entrega]]&gt;fNotasFiscais[[#This Row],[Data Contratada]],0,1)</f>
        <v>1</v>
      </c>
      <c r="Y164" s="3">
        <f>IF(fNotasFiscais[[#This Row],[Ocorrência]]="",1,0)</f>
        <v>1</v>
      </c>
      <c r="Z164" s="2">
        <f>fNotasFiscais[[#This Row],[On Time]]*fNotasFiscais[[#This Row],[In Full]]</f>
        <v>1</v>
      </c>
      <c r="AA164">
        <f>IF(fNotasFiscais[[#This Row],[Nota Fiscal]]&lt;&gt;"",1,0)</f>
        <v>1</v>
      </c>
    </row>
    <row r="165" spans="1:27" x14ac:dyDescent="0.25">
      <c r="A165" s="1">
        <v>43139</v>
      </c>
      <c r="B165">
        <v>10579</v>
      </c>
      <c r="C165" s="2" t="s">
        <v>34</v>
      </c>
      <c r="D165" s="2" t="s">
        <v>35</v>
      </c>
      <c r="E165" s="2" t="s">
        <v>36</v>
      </c>
      <c r="F165">
        <v>4029</v>
      </c>
      <c r="G165" s="2" t="s">
        <v>100</v>
      </c>
      <c r="H165" s="2" t="s">
        <v>101</v>
      </c>
      <c r="I165" s="2" t="s">
        <v>39</v>
      </c>
      <c r="J165" s="2" t="s">
        <v>28</v>
      </c>
      <c r="K165" s="2" t="s">
        <v>39</v>
      </c>
      <c r="L165">
        <v>1083.18</v>
      </c>
      <c r="M165">
        <v>2</v>
      </c>
      <c r="N165">
        <v>1.272</v>
      </c>
      <c r="O165">
        <v>6500948</v>
      </c>
      <c r="P165" s="2" t="s">
        <v>29</v>
      </c>
      <c r="Q165" s="2" t="s">
        <v>23</v>
      </c>
      <c r="R165" s="2" t="s">
        <v>30</v>
      </c>
      <c r="S165">
        <v>12</v>
      </c>
      <c r="T165" s="1">
        <v>43140</v>
      </c>
      <c r="U165" s="1">
        <v>43149</v>
      </c>
      <c r="V165" s="2"/>
      <c r="W165" s="1">
        <f>fNotasFiscais[[#This Row],[Data da Coleta]]+fNotasFiscais[[#This Row],[Prazo Contratado]]</f>
        <v>43152</v>
      </c>
      <c r="X165" s="3">
        <f>IF(fNotasFiscais[[#This Row],[Data da Entrega]]&gt;fNotasFiscais[[#This Row],[Data Contratada]],0,1)</f>
        <v>1</v>
      </c>
      <c r="Y165" s="3">
        <f>IF(fNotasFiscais[[#This Row],[Ocorrência]]="",1,0)</f>
        <v>1</v>
      </c>
      <c r="Z165" s="2">
        <f>fNotasFiscais[[#This Row],[On Time]]*fNotasFiscais[[#This Row],[In Full]]</f>
        <v>1</v>
      </c>
      <c r="AA165">
        <f>IF(fNotasFiscais[[#This Row],[Nota Fiscal]]&lt;&gt;"",1,0)</f>
        <v>1</v>
      </c>
    </row>
    <row r="166" spans="1:27" x14ac:dyDescent="0.25">
      <c r="A166" s="1">
        <v>43168</v>
      </c>
      <c r="B166">
        <v>10673</v>
      </c>
      <c r="C166" s="2" t="s">
        <v>31</v>
      </c>
      <c r="D166" s="2" t="s">
        <v>32</v>
      </c>
      <c r="E166" s="2" t="s">
        <v>33</v>
      </c>
      <c r="F166">
        <v>4029</v>
      </c>
      <c r="G166" s="2" t="s">
        <v>100</v>
      </c>
      <c r="H166" s="2" t="s">
        <v>101</v>
      </c>
      <c r="I166" s="2" t="s">
        <v>39</v>
      </c>
      <c r="J166" s="2" t="s">
        <v>28</v>
      </c>
      <c r="K166" s="2" t="s">
        <v>39</v>
      </c>
      <c r="L166">
        <v>1037.6600000000001</v>
      </c>
      <c r="M166">
        <v>2</v>
      </c>
      <c r="N166">
        <v>8.8559999999999999</v>
      </c>
      <c r="O166">
        <v>6500948</v>
      </c>
      <c r="P166" s="2" t="s">
        <v>29</v>
      </c>
      <c r="Q166" s="2" t="s">
        <v>23</v>
      </c>
      <c r="R166" s="2" t="s">
        <v>30</v>
      </c>
      <c r="S166">
        <v>12</v>
      </c>
      <c r="T166" s="1">
        <v>43168</v>
      </c>
      <c r="U166" s="1">
        <v>43176</v>
      </c>
      <c r="V166" s="2" t="s">
        <v>42</v>
      </c>
      <c r="W166" s="1">
        <f>fNotasFiscais[[#This Row],[Data da Coleta]]+fNotasFiscais[[#This Row],[Prazo Contratado]]</f>
        <v>43180</v>
      </c>
      <c r="X166" s="3">
        <f>IF(fNotasFiscais[[#This Row],[Data da Entrega]]&gt;fNotasFiscais[[#This Row],[Data Contratada]],0,1)</f>
        <v>1</v>
      </c>
      <c r="Y166" s="3">
        <f>IF(fNotasFiscais[[#This Row],[Ocorrência]]="",1,0)</f>
        <v>0</v>
      </c>
      <c r="Z166" s="2">
        <f>fNotasFiscais[[#This Row],[On Time]]*fNotasFiscais[[#This Row],[In Full]]</f>
        <v>0</v>
      </c>
      <c r="AA166">
        <f>IF(fNotasFiscais[[#This Row],[Nota Fiscal]]&lt;&gt;"",1,0)</f>
        <v>1</v>
      </c>
    </row>
    <row r="167" spans="1:27" x14ac:dyDescent="0.25">
      <c r="A167" s="1">
        <v>43110</v>
      </c>
      <c r="B167">
        <v>10452</v>
      </c>
      <c r="C167" s="2" t="s">
        <v>43</v>
      </c>
      <c r="D167" s="2" t="s">
        <v>44</v>
      </c>
      <c r="E167" s="2" t="s">
        <v>45</v>
      </c>
      <c r="F167">
        <v>4030</v>
      </c>
      <c r="G167" s="2" t="s">
        <v>102</v>
      </c>
      <c r="H167" s="2" t="s">
        <v>35</v>
      </c>
      <c r="I167" s="2" t="s">
        <v>36</v>
      </c>
      <c r="J167" s="2" t="s">
        <v>60</v>
      </c>
      <c r="K167" s="2" t="s">
        <v>36</v>
      </c>
      <c r="L167">
        <v>1089.96</v>
      </c>
      <c r="M167">
        <v>2</v>
      </c>
      <c r="N167">
        <v>5.28</v>
      </c>
      <c r="O167">
        <v>6600879</v>
      </c>
      <c r="P167" s="2" t="s">
        <v>61</v>
      </c>
      <c r="Q167" s="2" t="s">
        <v>35</v>
      </c>
      <c r="R167" s="2" t="s">
        <v>30</v>
      </c>
      <c r="S167">
        <v>4</v>
      </c>
      <c r="T167" s="1">
        <v>43111</v>
      </c>
      <c r="U167" s="1">
        <v>43117</v>
      </c>
      <c r="V167" s="2"/>
      <c r="W167" s="1">
        <f>fNotasFiscais[[#This Row],[Data da Coleta]]+fNotasFiscais[[#This Row],[Prazo Contratado]]</f>
        <v>43115</v>
      </c>
      <c r="X167" s="3">
        <f>IF(fNotasFiscais[[#This Row],[Data da Entrega]]&gt;fNotasFiscais[[#This Row],[Data Contratada]],0,1)</f>
        <v>0</v>
      </c>
      <c r="Y167" s="3">
        <f>IF(fNotasFiscais[[#This Row],[Ocorrência]]="",1,0)</f>
        <v>1</v>
      </c>
      <c r="Z167" s="2">
        <f>fNotasFiscais[[#This Row],[On Time]]*fNotasFiscais[[#This Row],[In Full]]</f>
        <v>0</v>
      </c>
      <c r="AA167">
        <f>IF(fNotasFiscais[[#This Row],[Nota Fiscal]]&lt;&gt;"",1,0)</f>
        <v>1</v>
      </c>
    </row>
    <row r="168" spans="1:27" x14ac:dyDescent="0.25">
      <c r="A168" s="1">
        <v>43110</v>
      </c>
      <c r="B168">
        <v>10455</v>
      </c>
      <c r="C168" s="2" t="s">
        <v>40</v>
      </c>
      <c r="D168" s="2" t="s">
        <v>41</v>
      </c>
      <c r="E168" s="2" t="s">
        <v>33</v>
      </c>
      <c r="F168">
        <v>4030</v>
      </c>
      <c r="G168" s="2" t="s">
        <v>102</v>
      </c>
      <c r="H168" s="2" t="s">
        <v>35</v>
      </c>
      <c r="I168" s="2" t="s">
        <v>36</v>
      </c>
      <c r="J168" s="2" t="s">
        <v>60</v>
      </c>
      <c r="K168" s="2" t="s">
        <v>36</v>
      </c>
      <c r="L168">
        <v>2967.58</v>
      </c>
      <c r="M168">
        <v>2</v>
      </c>
      <c r="N168">
        <v>16.399999999999999</v>
      </c>
      <c r="O168">
        <v>6600879</v>
      </c>
      <c r="P168" s="2" t="s">
        <v>61</v>
      </c>
      <c r="Q168" s="2" t="s">
        <v>35</v>
      </c>
      <c r="R168" s="2" t="s">
        <v>30</v>
      </c>
      <c r="S168">
        <v>7</v>
      </c>
      <c r="T168" s="1">
        <v>43111</v>
      </c>
      <c r="U168" s="1">
        <v>43121</v>
      </c>
      <c r="V168" s="2"/>
      <c r="W168" s="1">
        <f>fNotasFiscais[[#This Row],[Data da Coleta]]+fNotasFiscais[[#This Row],[Prazo Contratado]]</f>
        <v>43118</v>
      </c>
      <c r="X168" s="3">
        <f>IF(fNotasFiscais[[#This Row],[Data da Entrega]]&gt;fNotasFiscais[[#This Row],[Data Contratada]],0,1)</f>
        <v>0</v>
      </c>
      <c r="Y168" s="3">
        <f>IF(fNotasFiscais[[#This Row],[Ocorrência]]="",1,0)</f>
        <v>1</v>
      </c>
      <c r="Z168" s="2">
        <f>fNotasFiscais[[#This Row],[On Time]]*fNotasFiscais[[#This Row],[In Full]]</f>
        <v>0</v>
      </c>
      <c r="AA168">
        <f>IF(fNotasFiscais[[#This Row],[Nota Fiscal]]&lt;&gt;"",1,0)</f>
        <v>1</v>
      </c>
    </row>
    <row r="169" spans="1:27" x14ac:dyDescent="0.25">
      <c r="A169" s="1">
        <v>43125</v>
      </c>
      <c r="B169">
        <v>10504</v>
      </c>
      <c r="C169" s="2" t="s">
        <v>22</v>
      </c>
      <c r="D169" s="2" t="s">
        <v>23</v>
      </c>
      <c r="E169" s="2" t="s">
        <v>24</v>
      </c>
      <c r="F169">
        <v>4030</v>
      </c>
      <c r="G169" s="2" t="s">
        <v>102</v>
      </c>
      <c r="H169" s="2" t="s">
        <v>35</v>
      </c>
      <c r="I169" s="2" t="s">
        <v>36</v>
      </c>
      <c r="J169" s="2" t="s">
        <v>60</v>
      </c>
      <c r="K169" s="2" t="s">
        <v>36</v>
      </c>
      <c r="L169">
        <v>57.42</v>
      </c>
      <c r="M169">
        <v>1</v>
      </c>
      <c r="N169">
        <v>0.11</v>
      </c>
      <c r="O169">
        <v>6600879</v>
      </c>
      <c r="P169" s="2" t="s">
        <v>61</v>
      </c>
      <c r="Q169" s="2" t="s">
        <v>35</v>
      </c>
      <c r="R169" s="2" t="s">
        <v>30</v>
      </c>
      <c r="S169">
        <v>12</v>
      </c>
      <c r="T169" s="1">
        <v>43125</v>
      </c>
      <c r="U169" s="1">
        <v>43131</v>
      </c>
      <c r="V169" s="2"/>
      <c r="W169" s="1">
        <f>fNotasFiscais[[#This Row],[Data da Coleta]]+fNotasFiscais[[#This Row],[Prazo Contratado]]</f>
        <v>43137</v>
      </c>
      <c r="X169" s="3">
        <f>IF(fNotasFiscais[[#This Row],[Data da Entrega]]&gt;fNotasFiscais[[#This Row],[Data Contratada]],0,1)</f>
        <v>1</v>
      </c>
      <c r="Y169" s="3">
        <f>IF(fNotasFiscais[[#This Row],[Ocorrência]]="",1,0)</f>
        <v>1</v>
      </c>
      <c r="Z169" s="2">
        <f>fNotasFiscais[[#This Row],[On Time]]*fNotasFiscais[[#This Row],[In Full]]</f>
        <v>1</v>
      </c>
      <c r="AA169">
        <f>IF(fNotasFiscais[[#This Row],[Nota Fiscal]]&lt;&gt;"",1,0)</f>
        <v>1</v>
      </c>
    </row>
    <row r="170" spans="1:27" x14ac:dyDescent="0.25">
      <c r="A170" s="1">
        <v>43125</v>
      </c>
      <c r="B170">
        <v>10508</v>
      </c>
      <c r="C170" s="2" t="s">
        <v>40</v>
      </c>
      <c r="D170" s="2" t="s">
        <v>41</v>
      </c>
      <c r="E170" s="2" t="s">
        <v>33</v>
      </c>
      <c r="F170">
        <v>4030</v>
      </c>
      <c r="G170" s="2" t="s">
        <v>102</v>
      </c>
      <c r="H170" s="2" t="s">
        <v>35</v>
      </c>
      <c r="I170" s="2" t="s">
        <v>36</v>
      </c>
      <c r="J170" s="2" t="s">
        <v>60</v>
      </c>
      <c r="K170" s="2" t="s">
        <v>36</v>
      </c>
      <c r="L170">
        <v>128.84</v>
      </c>
      <c r="M170">
        <v>1</v>
      </c>
      <c r="N170">
        <v>0.94699999999999995</v>
      </c>
      <c r="O170">
        <v>6600879</v>
      </c>
      <c r="P170" s="2" t="s">
        <v>61</v>
      </c>
      <c r="Q170" s="2" t="s">
        <v>35</v>
      </c>
      <c r="R170" s="2" t="s">
        <v>30</v>
      </c>
      <c r="S170">
        <v>8</v>
      </c>
      <c r="T170" s="1">
        <v>43125</v>
      </c>
      <c r="U170" s="1">
        <v>43127</v>
      </c>
      <c r="V170" s="2"/>
      <c r="W170" s="1">
        <f>fNotasFiscais[[#This Row],[Data da Coleta]]+fNotasFiscais[[#This Row],[Prazo Contratado]]</f>
        <v>43133</v>
      </c>
      <c r="X170" s="3">
        <f>IF(fNotasFiscais[[#This Row],[Data da Entrega]]&gt;fNotasFiscais[[#This Row],[Data Contratada]],0,1)</f>
        <v>1</v>
      </c>
      <c r="Y170" s="3">
        <f>IF(fNotasFiscais[[#This Row],[Ocorrência]]="",1,0)</f>
        <v>1</v>
      </c>
      <c r="Z170" s="2">
        <f>fNotasFiscais[[#This Row],[On Time]]*fNotasFiscais[[#This Row],[In Full]]</f>
        <v>1</v>
      </c>
      <c r="AA170">
        <f>IF(fNotasFiscais[[#This Row],[Nota Fiscal]]&lt;&gt;"",1,0)</f>
        <v>1</v>
      </c>
    </row>
    <row r="171" spans="1:27" x14ac:dyDescent="0.25">
      <c r="A171" s="1">
        <v>43151</v>
      </c>
      <c r="B171">
        <v>10612</v>
      </c>
      <c r="C171" s="2" t="s">
        <v>52</v>
      </c>
      <c r="D171" s="2" t="s">
        <v>53</v>
      </c>
      <c r="E171" s="2" t="s">
        <v>33</v>
      </c>
      <c r="F171">
        <v>4030</v>
      </c>
      <c r="G171" s="2" t="s">
        <v>102</v>
      </c>
      <c r="H171" s="2" t="s">
        <v>35</v>
      </c>
      <c r="I171" s="2" t="s">
        <v>36</v>
      </c>
      <c r="J171" s="2" t="s">
        <v>60</v>
      </c>
      <c r="K171" s="2" t="s">
        <v>36</v>
      </c>
      <c r="L171">
        <v>3140.8</v>
      </c>
      <c r="M171">
        <v>4</v>
      </c>
      <c r="N171">
        <v>75.900000000000006</v>
      </c>
      <c r="O171">
        <v>6600879</v>
      </c>
      <c r="P171" s="2" t="s">
        <v>61</v>
      </c>
      <c r="Q171" s="2" t="s">
        <v>35</v>
      </c>
      <c r="R171" s="2" t="s">
        <v>30</v>
      </c>
      <c r="S171">
        <v>9</v>
      </c>
      <c r="T171" s="1">
        <v>43151</v>
      </c>
      <c r="U171" s="1">
        <v>43160</v>
      </c>
      <c r="V171" s="2"/>
      <c r="W171" s="1">
        <f>fNotasFiscais[[#This Row],[Data da Coleta]]+fNotasFiscais[[#This Row],[Prazo Contratado]]</f>
        <v>43160</v>
      </c>
      <c r="X171" s="3">
        <f>IF(fNotasFiscais[[#This Row],[Data da Entrega]]&gt;fNotasFiscais[[#This Row],[Data Contratada]],0,1)</f>
        <v>1</v>
      </c>
      <c r="Y171" s="3">
        <f>IF(fNotasFiscais[[#This Row],[Ocorrência]]="",1,0)</f>
        <v>1</v>
      </c>
      <c r="Z171" s="2">
        <f>fNotasFiscais[[#This Row],[On Time]]*fNotasFiscais[[#This Row],[In Full]]</f>
        <v>1</v>
      </c>
      <c r="AA171">
        <f>IF(fNotasFiscais[[#This Row],[Nota Fiscal]]&lt;&gt;"",1,0)</f>
        <v>1</v>
      </c>
    </row>
    <row r="172" spans="1:27" x14ac:dyDescent="0.25">
      <c r="A172" s="1">
        <v>43153</v>
      </c>
      <c r="B172">
        <v>10613</v>
      </c>
      <c r="C172" s="2" t="s">
        <v>43</v>
      </c>
      <c r="D172" s="2" t="s">
        <v>44</v>
      </c>
      <c r="E172" s="2" t="s">
        <v>45</v>
      </c>
      <c r="F172">
        <v>4061</v>
      </c>
      <c r="G172" s="2" t="s">
        <v>103</v>
      </c>
      <c r="H172" s="2" t="s">
        <v>51</v>
      </c>
      <c r="I172" s="2" t="s">
        <v>73</v>
      </c>
      <c r="J172" s="2" t="s">
        <v>49</v>
      </c>
      <c r="K172" s="2" t="s">
        <v>73</v>
      </c>
      <c r="L172">
        <v>1247.8</v>
      </c>
      <c r="M172">
        <v>2</v>
      </c>
      <c r="N172">
        <v>11.44</v>
      </c>
      <c r="O172">
        <v>6100231</v>
      </c>
      <c r="P172" s="2" t="s">
        <v>50</v>
      </c>
      <c r="Q172" s="2" t="s">
        <v>51</v>
      </c>
      <c r="R172" s="2" t="s">
        <v>30</v>
      </c>
      <c r="S172">
        <v>4</v>
      </c>
      <c r="T172" s="1">
        <v>43153</v>
      </c>
      <c r="U172" s="1">
        <v>43163</v>
      </c>
      <c r="V172" s="2"/>
      <c r="W172" s="1">
        <f>fNotasFiscais[[#This Row],[Data da Coleta]]+fNotasFiscais[[#This Row],[Prazo Contratado]]</f>
        <v>43157</v>
      </c>
      <c r="X172" s="3">
        <f>IF(fNotasFiscais[[#This Row],[Data da Entrega]]&gt;fNotasFiscais[[#This Row],[Data Contratada]],0,1)</f>
        <v>0</v>
      </c>
      <c r="Y172" s="3">
        <f>IF(fNotasFiscais[[#This Row],[Ocorrência]]="",1,0)</f>
        <v>1</v>
      </c>
      <c r="Z172" s="2">
        <f>fNotasFiscais[[#This Row],[On Time]]*fNotasFiscais[[#This Row],[In Full]]</f>
        <v>0</v>
      </c>
      <c r="AA172">
        <f>IF(fNotasFiscais[[#This Row],[Nota Fiscal]]&lt;&gt;"",1,0)</f>
        <v>1</v>
      </c>
    </row>
    <row r="173" spans="1:27" x14ac:dyDescent="0.25">
      <c r="A173" s="1">
        <v>43111</v>
      </c>
      <c r="B173">
        <v>10459</v>
      </c>
      <c r="C173" s="2" t="s">
        <v>54</v>
      </c>
      <c r="D173" s="2" t="s">
        <v>55</v>
      </c>
      <c r="E173" s="2" t="s">
        <v>56</v>
      </c>
      <c r="F173">
        <v>4031</v>
      </c>
      <c r="G173" s="2" t="s">
        <v>104</v>
      </c>
      <c r="H173" s="2" t="s">
        <v>99</v>
      </c>
      <c r="I173" s="2" t="s">
        <v>27</v>
      </c>
      <c r="J173" s="2" t="s">
        <v>28</v>
      </c>
      <c r="K173" s="2" t="s">
        <v>27</v>
      </c>
      <c r="L173">
        <v>594.32000000000005</v>
      </c>
      <c r="M173">
        <v>2</v>
      </c>
      <c r="N173">
        <v>3.88</v>
      </c>
      <c r="O173">
        <v>6500948</v>
      </c>
      <c r="P173" s="2" t="s">
        <v>29</v>
      </c>
      <c r="Q173" s="2" t="s">
        <v>23</v>
      </c>
      <c r="R173" s="2" t="s">
        <v>30</v>
      </c>
      <c r="S173">
        <v>7</v>
      </c>
      <c r="T173" s="1">
        <v>43112</v>
      </c>
      <c r="U173" s="1">
        <v>43118</v>
      </c>
      <c r="V173" s="2"/>
      <c r="W173" s="1">
        <f>fNotasFiscais[[#This Row],[Data da Coleta]]+fNotasFiscais[[#This Row],[Prazo Contratado]]</f>
        <v>43119</v>
      </c>
      <c r="X173" s="3">
        <f>IF(fNotasFiscais[[#This Row],[Data da Entrega]]&gt;fNotasFiscais[[#This Row],[Data Contratada]],0,1)</f>
        <v>1</v>
      </c>
      <c r="Y173" s="3">
        <f>IF(fNotasFiscais[[#This Row],[Ocorrência]]="",1,0)</f>
        <v>1</v>
      </c>
      <c r="Z173" s="2">
        <f>fNotasFiscais[[#This Row],[On Time]]*fNotasFiscais[[#This Row],[In Full]]</f>
        <v>1</v>
      </c>
      <c r="AA173">
        <f>IF(fNotasFiscais[[#This Row],[Nota Fiscal]]&lt;&gt;"",1,0)</f>
        <v>1</v>
      </c>
    </row>
    <row r="174" spans="1:27" x14ac:dyDescent="0.25">
      <c r="A174" s="1">
        <v>43111</v>
      </c>
      <c r="B174">
        <v>10460</v>
      </c>
      <c r="C174" s="2" t="s">
        <v>22</v>
      </c>
      <c r="D174" s="2" t="s">
        <v>23</v>
      </c>
      <c r="E174" s="2" t="s">
        <v>24</v>
      </c>
      <c r="F174">
        <v>4031</v>
      </c>
      <c r="G174" s="2" t="s">
        <v>104</v>
      </c>
      <c r="H174" s="2" t="s">
        <v>99</v>
      </c>
      <c r="I174" s="2" t="s">
        <v>27</v>
      </c>
      <c r="J174" s="2" t="s">
        <v>28</v>
      </c>
      <c r="K174" s="2" t="s">
        <v>27</v>
      </c>
      <c r="L174">
        <v>704.02</v>
      </c>
      <c r="M174">
        <v>2</v>
      </c>
      <c r="N174">
        <v>5.6120000000000001</v>
      </c>
      <c r="O174">
        <v>6500948</v>
      </c>
      <c r="P174" s="2" t="s">
        <v>29</v>
      </c>
      <c r="Q174" s="2" t="s">
        <v>23</v>
      </c>
      <c r="R174" s="2" t="s">
        <v>30</v>
      </c>
      <c r="S174">
        <v>1</v>
      </c>
      <c r="T174" s="1">
        <v>43112</v>
      </c>
      <c r="U174" s="1">
        <v>43120</v>
      </c>
      <c r="V174" s="2"/>
      <c r="W174" s="1">
        <f>fNotasFiscais[[#This Row],[Data da Coleta]]+fNotasFiscais[[#This Row],[Prazo Contratado]]</f>
        <v>43113</v>
      </c>
      <c r="X174" s="3">
        <f>IF(fNotasFiscais[[#This Row],[Data da Entrega]]&gt;fNotasFiscais[[#This Row],[Data Contratada]],0,1)</f>
        <v>0</v>
      </c>
      <c r="Y174" s="3">
        <f>IF(fNotasFiscais[[#This Row],[Ocorrência]]="",1,0)</f>
        <v>1</v>
      </c>
      <c r="Z174" s="2">
        <f>fNotasFiscais[[#This Row],[On Time]]*fNotasFiscais[[#This Row],[In Full]]</f>
        <v>0</v>
      </c>
      <c r="AA174">
        <f>IF(fNotasFiscais[[#This Row],[Nota Fiscal]]&lt;&gt;"",1,0)</f>
        <v>1</v>
      </c>
    </row>
    <row r="175" spans="1:27" x14ac:dyDescent="0.25">
      <c r="A175" s="1">
        <v>43137</v>
      </c>
      <c r="B175">
        <v>10563</v>
      </c>
      <c r="C175" s="2" t="s">
        <v>54</v>
      </c>
      <c r="D175" s="2" t="s">
        <v>55</v>
      </c>
      <c r="E175" s="2" t="s">
        <v>56</v>
      </c>
      <c r="F175">
        <v>4054</v>
      </c>
      <c r="G175" s="2" t="s">
        <v>105</v>
      </c>
      <c r="H175" s="2" t="s">
        <v>106</v>
      </c>
      <c r="I175" s="2" t="s">
        <v>107</v>
      </c>
      <c r="J175" s="2" t="s">
        <v>49</v>
      </c>
      <c r="K175" s="2" t="s">
        <v>107</v>
      </c>
      <c r="L175">
        <v>3815.86</v>
      </c>
      <c r="M175">
        <v>7</v>
      </c>
      <c r="N175">
        <v>21.582000000000001</v>
      </c>
      <c r="O175">
        <v>6100231</v>
      </c>
      <c r="P175" s="2" t="s">
        <v>50</v>
      </c>
      <c r="Q175" s="2" t="s">
        <v>51</v>
      </c>
      <c r="R175" s="2" t="s">
        <v>30</v>
      </c>
      <c r="S175">
        <v>11</v>
      </c>
      <c r="T175" s="1">
        <v>43137</v>
      </c>
      <c r="U175" s="1">
        <v>43142</v>
      </c>
      <c r="V175" s="2"/>
      <c r="W175" s="1">
        <f>fNotasFiscais[[#This Row],[Data da Coleta]]+fNotasFiscais[[#This Row],[Prazo Contratado]]</f>
        <v>43148</v>
      </c>
      <c r="X175" s="3">
        <f>IF(fNotasFiscais[[#This Row],[Data da Entrega]]&gt;fNotasFiscais[[#This Row],[Data Contratada]],0,1)</f>
        <v>1</v>
      </c>
      <c r="Y175" s="3">
        <f>IF(fNotasFiscais[[#This Row],[Ocorrência]]="",1,0)</f>
        <v>1</v>
      </c>
      <c r="Z175" s="2">
        <f>fNotasFiscais[[#This Row],[On Time]]*fNotasFiscais[[#This Row],[In Full]]</f>
        <v>1</v>
      </c>
      <c r="AA175">
        <f>IF(fNotasFiscais[[#This Row],[Nota Fiscal]]&lt;&gt;"",1,0)</f>
        <v>1</v>
      </c>
    </row>
    <row r="176" spans="1:27" x14ac:dyDescent="0.25">
      <c r="A176" s="1">
        <v>43111</v>
      </c>
      <c r="B176">
        <v>10463</v>
      </c>
      <c r="C176" s="2" t="s">
        <v>52</v>
      </c>
      <c r="D176" s="2" t="s">
        <v>53</v>
      </c>
      <c r="E176" s="2" t="s">
        <v>33</v>
      </c>
      <c r="F176">
        <v>4032</v>
      </c>
      <c r="G176" s="2" t="s">
        <v>108</v>
      </c>
      <c r="H176" s="2" t="s">
        <v>51</v>
      </c>
      <c r="I176" s="2" t="s">
        <v>73</v>
      </c>
      <c r="J176" s="2" t="s">
        <v>49</v>
      </c>
      <c r="K176" s="2" t="s">
        <v>73</v>
      </c>
      <c r="L176">
        <v>118.72</v>
      </c>
      <c r="M176">
        <v>1</v>
      </c>
      <c r="N176">
        <v>0.99</v>
      </c>
      <c r="O176">
        <v>6100231</v>
      </c>
      <c r="P176" s="2" t="s">
        <v>50</v>
      </c>
      <c r="Q176" s="2" t="s">
        <v>51</v>
      </c>
      <c r="R176" s="2" t="s">
        <v>30</v>
      </c>
      <c r="S176">
        <v>11</v>
      </c>
      <c r="T176" s="1">
        <v>43112</v>
      </c>
      <c r="U176" s="1">
        <v>43120</v>
      </c>
      <c r="V176" s="2"/>
      <c r="W176" s="1">
        <f>fNotasFiscais[[#This Row],[Data da Coleta]]+fNotasFiscais[[#This Row],[Prazo Contratado]]</f>
        <v>43123</v>
      </c>
      <c r="X176" s="3">
        <f>IF(fNotasFiscais[[#This Row],[Data da Entrega]]&gt;fNotasFiscais[[#This Row],[Data Contratada]],0,1)</f>
        <v>1</v>
      </c>
      <c r="Y176" s="3">
        <f>IF(fNotasFiscais[[#This Row],[Ocorrência]]="",1,0)</f>
        <v>1</v>
      </c>
      <c r="Z176" s="2">
        <f>fNotasFiscais[[#This Row],[On Time]]*fNotasFiscais[[#This Row],[In Full]]</f>
        <v>1</v>
      </c>
      <c r="AA176">
        <f>IF(fNotasFiscais[[#This Row],[Nota Fiscal]]&lt;&gt;"",1,0)</f>
        <v>1</v>
      </c>
    </row>
    <row r="177" spans="1:27" x14ac:dyDescent="0.25">
      <c r="A177" s="1">
        <v>43126</v>
      </c>
      <c r="B177">
        <v>10511</v>
      </c>
      <c r="C177" s="2" t="s">
        <v>54</v>
      </c>
      <c r="D177" s="2" t="s">
        <v>55</v>
      </c>
      <c r="E177" s="2" t="s">
        <v>56</v>
      </c>
      <c r="F177">
        <v>4032</v>
      </c>
      <c r="G177" s="2" t="s">
        <v>108</v>
      </c>
      <c r="H177" s="2" t="s">
        <v>51</v>
      </c>
      <c r="I177" s="2" t="s">
        <v>73</v>
      </c>
      <c r="J177" s="2" t="s">
        <v>49</v>
      </c>
      <c r="K177" s="2" t="s">
        <v>73</v>
      </c>
      <c r="L177">
        <v>19964.599999999999</v>
      </c>
      <c r="M177">
        <v>47</v>
      </c>
      <c r="N177">
        <v>89.658000000000001</v>
      </c>
      <c r="O177">
        <v>6100231</v>
      </c>
      <c r="P177" s="2" t="s">
        <v>50</v>
      </c>
      <c r="Q177" s="2" t="s">
        <v>51</v>
      </c>
      <c r="R177" s="2" t="s">
        <v>30</v>
      </c>
      <c r="S177">
        <v>5</v>
      </c>
      <c r="T177" s="1">
        <v>43126</v>
      </c>
      <c r="U177" s="1">
        <v>43136</v>
      </c>
      <c r="V177" s="2"/>
      <c r="W177" s="1">
        <f>fNotasFiscais[[#This Row],[Data da Coleta]]+fNotasFiscais[[#This Row],[Prazo Contratado]]</f>
        <v>43131</v>
      </c>
      <c r="X177" s="3">
        <f>IF(fNotasFiscais[[#This Row],[Data da Entrega]]&gt;fNotasFiscais[[#This Row],[Data Contratada]],0,1)</f>
        <v>0</v>
      </c>
      <c r="Y177" s="3">
        <f>IF(fNotasFiscais[[#This Row],[Ocorrência]]="",1,0)</f>
        <v>1</v>
      </c>
      <c r="Z177" s="2">
        <f>fNotasFiscais[[#This Row],[On Time]]*fNotasFiscais[[#This Row],[In Full]]</f>
        <v>0</v>
      </c>
      <c r="AA177">
        <f>IF(fNotasFiscais[[#This Row],[Nota Fiscal]]&lt;&gt;"",1,0)</f>
        <v>1</v>
      </c>
    </row>
    <row r="178" spans="1:27" x14ac:dyDescent="0.25">
      <c r="A178" s="1">
        <v>43147</v>
      </c>
      <c r="B178">
        <v>10608</v>
      </c>
      <c r="C178" s="2" t="s">
        <v>43</v>
      </c>
      <c r="D178" s="2" t="s">
        <v>44</v>
      </c>
      <c r="E178" s="2" t="s">
        <v>45</v>
      </c>
      <c r="F178">
        <v>4032</v>
      </c>
      <c r="G178" s="2" t="s">
        <v>108</v>
      </c>
      <c r="H178" s="2" t="s">
        <v>51</v>
      </c>
      <c r="I178" s="2" t="s">
        <v>73</v>
      </c>
      <c r="J178" s="2" t="s">
        <v>49</v>
      </c>
      <c r="K178" s="2" t="s">
        <v>73</v>
      </c>
      <c r="L178">
        <v>219.75</v>
      </c>
      <c r="M178">
        <v>1</v>
      </c>
      <c r="N178">
        <v>4.4039999999999999</v>
      </c>
      <c r="O178">
        <v>6100231</v>
      </c>
      <c r="P178" s="2" t="s">
        <v>50</v>
      </c>
      <c r="Q178" s="2" t="s">
        <v>51</v>
      </c>
      <c r="R178" s="2" t="s">
        <v>30</v>
      </c>
      <c r="S178">
        <v>8</v>
      </c>
      <c r="T178" s="1">
        <v>43148</v>
      </c>
      <c r="U178" s="1">
        <v>43158</v>
      </c>
      <c r="V178" s="2"/>
      <c r="W178" s="1">
        <f>fNotasFiscais[[#This Row],[Data da Coleta]]+fNotasFiscais[[#This Row],[Prazo Contratado]]</f>
        <v>43156</v>
      </c>
      <c r="X178" s="3">
        <f>IF(fNotasFiscais[[#This Row],[Data da Entrega]]&gt;fNotasFiscais[[#This Row],[Data Contratada]],0,1)</f>
        <v>0</v>
      </c>
      <c r="Y178" s="3">
        <f>IF(fNotasFiscais[[#This Row],[Ocorrência]]="",1,0)</f>
        <v>1</v>
      </c>
      <c r="Z178" s="2">
        <f>fNotasFiscais[[#This Row],[On Time]]*fNotasFiscais[[#This Row],[In Full]]</f>
        <v>0</v>
      </c>
      <c r="AA178">
        <f>IF(fNotasFiscais[[#This Row],[Nota Fiscal]]&lt;&gt;"",1,0)</f>
        <v>1</v>
      </c>
    </row>
    <row r="179" spans="1:27" x14ac:dyDescent="0.25">
      <c r="A179" s="1">
        <v>43158</v>
      </c>
      <c r="B179">
        <v>10640</v>
      </c>
      <c r="C179" s="2" t="s">
        <v>22</v>
      </c>
      <c r="D179" s="2" t="s">
        <v>23</v>
      </c>
      <c r="E179" s="2" t="s">
        <v>24</v>
      </c>
      <c r="F179">
        <v>4032</v>
      </c>
      <c r="G179" s="2" t="s">
        <v>108</v>
      </c>
      <c r="H179" s="2" t="s">
        <v>51</v>
      </c>
      <c r="I179" s="2" t="s">
        <v>73</v>
      </c>
      <c r="J179" s="2" t="s">
        <v>49</v>
      </c>
      <c r="K179" s="2" t="s">
        <v>73</v>
      </c>
      <c r="L179">
        <v>340.35</v>
      </c>
      <c r="M179">
        <v>2</v>
      </c>
      <c r="N179">
        <v>0.33</v>
      </c>
      <c r="O179">
        <v>6100231</v>
      </c>
      <c r="P179" s="2" t="s">
        <v>50</v>
      </c>
      <c r="Q179" s="2" t="s">
        <v>51</v>
      </c>
      <c r="R179" s="2" t="s">
        <v>30</v>
      </c>
      <c r="S179">
        <v>6</v>
      </c>
      <c r="T179" s="1">
        <v>43159</v>
      </c>
      <c r="U179" s="1">
        <v>43162</v>
      </c>
      <c r="V179" s="2"/>
      <c r="W179" s="1">
        <f>fNotasFiscais[[#This Row],[Data da Coleta]]+fNotasFiscais[[#This Row],[Prazo Contratado]]</f>
        <v>43165</v>
      </c>
      <c r="X179" s="3">
        <f>IF(fNotasFiscais[[#This Row],[Data da Entrega]]&gt;fNotasFiscais[[#This Row],[Data Contratada]],0,1)</f>
        <v>1</v>
      </c>
      <c r="Y179" s="3">
        <f>IF(fNotasFiscais[[#This Row],[Ocorrência]]="",1,0)</f>
        <v>1</v>
      </c>
      <c r="Z179" s="2">
        <f>fNotasFiscais[[#This Row],[On Time]]*fNotasFiscais[[#This Row],[In Full]]</f>
        <v>1</v>
      </c>
      <c r="AA179">
        <f>IF(fNotasFiscais[[#This Row],[Nota Fiscal]]&lt;&gt;"",1,0)</f>
        <v>1</v>
      </c>
    </row>
    <row r="180" spans="1:27" x14ac:dyDescent="0.25">
      <c r="A180" s="1">
        <v>43166</v>
      </c>
      <c r="B180">
        <v>10658</v>
      </c>
      <c r="C180" s="2" t="s">
        <v>52</v>
      </c>
      <c r="D180" s="2" t="s">
        <v>53</v>
      </c>
      <c r="E180" s="2" t="s">
        <v>33</v>
      </c>
      <c r="F180">
        <v>4032</v>
      </c>
      <c r="G180" s="2" t="s">
        <v>108</v>
      </c>
      <c r="H180" s="2" t="s">
        <v>51</v>
      </c>
      <c r="I180" s="2" t="s">
        <v>73</v>
      </c>
      <c r="J180" s="2" t="s">
        <v>49</v>
      </c>
      <c r="K180" s="2" t="s">
        <v>73</v>
      </c>
      <c r="L180">
        <v>1227.76</v>
      </c>
      <c r="M180">
        <v>2</v>
      </c>
      <c r="N180">
        <v>9.3520000000000003</v>
      </c>
      <c r="O180">
        <v>6100231</v>
      </c>
      <c r="P180" s="2" t="s">
        <v>50</v>
      </c>
      <c r="Q180" s="2" t="s">
        <v>51</v>
      </c>
      <c r="R180" s="2" t="s">
        <v>30</v>
      </c>
      <c r="S180">
        <v>3</v>
      </c>
      <c r="T180" s="1">
        <v>43166</v>
      </c>
      <c r="U180" s="1">
        <v>43173</v>
      </c>
      <c r="V180" s="2"/>
      <c r="W180" s="1">
        <f>fNotasFiscais[[#This Row],[Data da Coleta]]+fNotasFiscais[[#This Row],[Prazo Contratado]]</f>
        <v>43169</v>
      </c>
      <c r="X180" s="3">
        <f>IF(fNotasFiscais[[#This Row],[Data da Entrega]]&gt;fNotasFiscais[[#This Row],[Data Contratada]],0,1)</f>
        <v>0</v>
      </c>
      <c r="Y180" s="3">
        <f>IF(fNotasFiscais[[#This Row],[Ocorrência]]="",1,0)</f>
        <v>1</v>
      </c>
      <c r="Z180" s="2">
        <f>fNotasFiscais[[#This Row],[On Time]]*fNotasFiscais[[#This Row],[In Full]]</f>
        <v>0</v>
      </c>
      <c r="AA180">
        <f>IF(fNotasFiscais[[#This Row],[Nota Fiscal]]&lt;&gt;"",1,0)</f>
        <v>1</v>
      </c>
    </row>
    <row r="181" spans="1:27" x14ac:dyDescent="0.25">
      <c r="A181" s="1">
        <v>43113</v>
      </c>
      <c r="B181">
        <v>10464</v>
      </c>
      <c r="C181" s="2" t="s">
        <v>40</v>
      </c>
      <c r="D181" s="2" t="s">
        <v>41</v>
      </c>
      <c r="E181" s="2" t="s">
        <v>33</v>
      </c>
      <c r="F181">
        <v>4033</v>
      </c>
      <c r="G181" s="2" t="s">
        <v>109</v>
      </c>
      <c r="H181" s="2" t="s">
        <v>51</v>
      </c>
      <c r="I181" s="2" t="s">
        <v>73</v>
      </c>
      <c r="J181" s="2" t="s">
        <v>49</v>
      </c>
      <c r="K181" s="2" t="s">
        <v>73</v>
      </c>
      <c r="L181">
        <v>680.12</v>
      </c>
      <c r="M181">
        <v>1</v>
      </c>
      <c r="N181">
        <v>3.9809999999999999</v>
      </c>
      <c r="O181">
        <v>6100231</v>
      </c>
      <c r="P181" s="2" t="s">
        <v>50</v>
      </c>
      <c r="Q181" s="2" t="s">
        <v>51</v>
      </c>
      <c r="R181" s="2" t="s">
        <v>30</v>
      </c>
      <c r="S181">
        <v>1</v>
      </c>
      <c r="T181" s="1">
        <v>43113</v>
      </c>
      <c r="U181" s="1">
        <v>43123</v>
      </c>
      <c r="V181" s="2" t="s">
        <v>42</v>
      </c>
      <c r="W181" s="1">
        <f>fNotasFiscais[[#This Row],[Data da Coleta]]+fNotasFiscais[[#This Row],[Prazo Contratado]]</f>
        <v>43114</v>
      </c>
      <c r="X181" s="3">
        <f>IF(fNotasFiscais[[#This Row],[Data da Entrega]]&gt;fNotasFiscais[[#This Row],[Data Contratada]],0,1)</f>
        <v>0</v>
      </c>
      <c r="Y181" s="3">
        <f>IF(fNotasFiscais[[#This Row],[Ocorrência]]="",1,0)</f>
        <v>0</v>
      </c>
      <c r="Z181" s="2">
        <f>fNotasFiscais[[#This Row],[On Time]]*fNotasFiscais[[#This Row],[In Full]]</f>
        <v>0</v>
      </c>
      <c r="AA181">
        <f>IF(fNotasFiscais[[#This Row],[Nota Fiscal]]&lt;&gt;"",1,0)</f>
        <v>1</v>
      </c>
    </row>
    <row r="182" spans="1:27" x14ac:dyDescent="0.25">
      <c r="A182" s="1">
        <v>43113</v>
      </c>
      <c r="B182">
        <v>10465</v>
      </c>
      <c r="C182" s="2" t="s">
        <v>34</v>
      </c>
      <c r="D182" s="2" t="s">
        <v>35</v>
      </c>
      <c r="E182" s="2" t="s">
        <v>36</v>
      </c>
      <c r="F182">
        <v>4033</v>
      </c>
      <c r="G182" s="2" t="s">
        <v>109</v>
      </c>
      <c r="H182" s="2" t="s">
        <v>51</v>
      </c>
      <c r="I182" s="2" t="s">
        <v>73</v>
      </c>
      <c r="J182" s="2" t="s">
        <v>49</v>
      </c>
      <c r="K182" s="2" t="s">
        <v>73</v>
      </c>
      <c r="L182">
        <v>12799.57</v>
      </c>
      <c r="M182">
        <v>3</v>
      </c>
      <c r="N182">
        <v>105.6</v>
      </c>
      <c r="O182">
        <v>6100231</v>
      </c>
      <c r="P182" s="2" t="s">
        <v>50</v>
      </c>
      <c r="Q182" s="2" t="s">
        <v>51</v>
      </c>
      <c r="R182" s="2" t="s">
        <v>30</v>
      </c>
      <c r="S182">
        <v>10</v>
      </c>
      <c r="T182" s="1">
        <v>43113</v>
      </c>
      <c r="U182" s="1">
        <v>43120</v>
      </c>
      <c r="V182" s="2"/>
      <c r="W182" s="1">
        <f>fNotasFiscais[[#This Row],[Data da Coleta]]+fNotasFiscais[[#This Row],[Prazo Contratado]]</f>
        <v>43123</v>
      </c>
      <c r="X182" s="3">
        <f>IF(fNotasFiscais[[#This Row],[Data da Entrega]]&gt;fNotasFiscais[[#This Row],[Data Contratada]],0,1)</f>
        <v>1</v>
      </c>
      <c r="Y182" s="3">
        <f>IF(fNotasFiscais[[#This Row],[Ocorrência]]="",1,0)</f>
        <v>1</v>
      </c>
      <c r="Z182" s="2">
        <f>fNotasFiscais[[#This Row],[On Time]]*fNotasFiscais[[#This Row],[In Full]]</f>
        <v>1</v>
      </c>
      <c r="AA182">
        <f>IF(fNotasFiscais[[#This Row],[Nota Fiscal]]&lt;&gt;"",1,0)</f>
        <v>1</v>
      </c>
    </row>
    <row r="183" spans="1:27" x14ac:dyDescent="0.25">
      <c r="A183" s="1">
        <v>43118</v>
      </c>
      <c r="B183">
        <v>10490</v>
      </c>
      <c r="C183" s="2" t="s">
        <v>34</v>
      </c>
      <c r="D183" s="2" t="s">
        <v>35</v>
      </c>
      <c r="E183" s="2" t="s">
        <v>36</v>
      </c>
      <c r="F183">
        <v>4033</v>
      </c>
      <c r="G183" s="2" t="s">
        <v>109</v>
      </c>
      <c r="H183" s="2" t="s">
        <v>51</v>
      </c>
      <c r="I183" s="2" t="s">
        <v>73</v>
      </c>
      <c r="J183" s="2" t="s">
        <v>49</v>
      </c>
      <c r="K183" s="2" t="s">
        <v>73</v>
      </c>
      <c r="L183">
        <v>102.48</v>
      </c>
      <c r="M183">
        <v>1</v>
      </c>
      <c r="N183">
        <v>4.4000000000000004</v>
      </c>
      <c r="O183">
        <v>6100231</v>
      </c>
      <c r="P183" s="2" t="s">
        <v>50</v>
      </c>
      <c r="Q183" s="2" t="s">
        <v>51</v>
      </c>
      <c r="R183" s="2" t="s">
        <v>30</v>
      </c>
      <c r="S183">
        <v>7</v>
      </c>
      <c r="T183" s="1">
        <v>43119</v>
      </c>
      <c r="U183" s="1">
        <v>43126</v>
      </c>
      <c r="V183" s="2"/>
      <c r="W183" s="1">
        <f>fNotasFiscais[[#This Row],[Data da Coleta]]+fNotasFiscais[[#This Row],[Prazo Contratado]]</f>
        <v>43126</v>
      </c>
      <c r="X183" s="3">
        <f>IF(fNotasFiscais[[#This Row],[Data da Entrega]]&gt;fNotasFiscais[[#This Row],[Data Contratada]],0,1)</f>
        <v>1</v>
      </c>
      <c r="Y183" s="3">
        <f>IF(fNotasFiscais[[#This Row],[Ocorrência]]="",1,0)</f>
        <v>1</v>
      </c>
      <c r="Z183" s="2">
        <f>fNotasFiscais[[#This Row],[On Time]]*fNotasFiscais[[#This Row],[In Full]]</f>
        <v>1</v>
      </c>
      <c r="AA183">
        <f>IF(fNotasFiscais[[#This Row],[Nota Fiscal]]&lt;&gt;"",1,0)</f>
        <v>1</v>
      </c>
    </row>
    <row r="184" spans="1:27" x14ac:dyDescent="0.25">
      <c r="A184" s="1">
        <v>43140</v>
      </c>
      <c r="B184">
        <v>10572</v>
      </c>
      <c r="C184" s="2" t="s">
        <v>22</v>
      </c>
      <c r="D184" s="2" t="s">
        <v>23</v>
      </c>
      <c r="E184" s="2" t="s">
        <v>24</v>
      </c>
      <c r="F184">
        <v>4033</v>
      </c>
      <c r="G184" s="2" t="s">
        <v>109</v>
      </c>
      <c r="H184" s="2" t="s">
        <v>51</v>
      </c>
      <c r="I184" s="2" t="s">
        <v>73</v>
      </c>
      <c r="J184" s="2" t="s">
        <v>49</v>
      </c>
      <c r="K184" s="2" t="s">
        <v>73</v>
      </c>
      <c r="L184">
        <v>1447.28</v>
      </c>
      <c r="M184">
        <v>1</v>
      </c>
      <c r="N184">
        <v>0.66</v>
      </c>
      <c r="O184">
        <v>6100231</v>
      </c>
      <c r="P184" s="2" t="s">
        <v>50</v>
      </c>
      <c r="Q184" s="2" t="s">
        <v>51</v>
      </c>
      <c r="R184" s="2" t="s">
        <v>30</v>
      </c>
      <c r="S184">
        <v>2</v>
      </c>
      <c r="T184" s="1">
        <v>43140</v>
      </c>
      <c r="U184" s="1">
        <v>43150</v>
      </c>
      <c r="V184" s="2"/>
      <c r="W184" s="1">
        <f>fNotasFiscais[[#This Row],[Data da Coleta]]+fNotasFiscais[[#This Row],[Prazo Contratado]]</f>
        <v>43142</v>
      </c>
      <c r="X184" s="3">
        <f>IF(fNotasFiscais[[#This Row],[Data da Entrega]]&gt;fNotasFiscais[[#This Row],[Data Contratada]],0,1)</f>
        <v>0</v>
      </c>
      <c r="Y184" s="3">
        <f>IF(fNotasFiscais[[#This Row],[Ocorrência]]="",1,0)</f>
        <v>1</v>
      </c>
      <c r="Z184" s="2">
        <f>fNotasFiscais[[#This Row],[On Time]]*fNotasFiscais[[#This Row],[In Full]]</f>
        <v>0</v>
      </c>
      <c r="AA184">
        <f>IF(fNotasFiscais[[#This Row],[Nota Fiscal]]&lt;&gt;"",1,0)</f>
        <v>1</v>
      </c>
    </row>
    <row r="185" spans="1:27" x14ac:dyDescent="0.25">
      <c r="A185" s="1">
        <v>43168</v>
      </c>
      <c r="B185">
        <v>10669</v>
      </c>
      <c r="C185" s="2" t="s">
        <v>34</v>
      </c>
      <c r="D185" s="2" t="s">
        <v>35</v>
      </c>
      <c r="E185" s="2" t="s">
        <v>36</v>
      </c>
      <c r="F185">
        <v>4033</v>
      </c>
      <c r="G185" s="2" t="s">
        <v>109</v>
      </c>
      <c r="H185" s="2" t="s">
        <v>51</v>
      </c>
      <c r="I185" s="2" t="s">
        <v>73</v>
      </c>
      <c r="J185" s="2" t="s">
        <v>49</v>
      </c>
      <c r="K185" s="2" t="s">
        <v>73</v>
      </c>
      <c r="L185">
        <v>1208.8499999999999</v>
      </c>
      <c r="M185">
        <v>2</v>
      </c>
      <c r="N185">
        <v>8.36</v>
      </c>
      <c r="O185">
        <v>6100231</v>
      </c>
      <c r="P185" s="2" t="s">
        <v>50</v>
      </c>
      <c r="Q185" s="2" t="s">
        <v>51</v>
      </c>
      <c r="R185" s="2" t="s">
        <v>30</v>
      </c>
      <c r="S185">
        <v>7</v>
      </c>
      <c r="T185" s="1">
        <v>43168</v>
      </c>
      <c r="U185" s="1">
        <v>43175</v>
      </c>
      <c r="V185" s="2"/>
      <c r="W185" s="1">
        <f>fNotasFiscais[[#This Row],[Data da Coleta]]+fNotasFiscais[[#This Row],[Prazo Contratado]]</f>
        <v>43175</v>
      </c>
      <c r="X185" s="3">
        <f>IF(fNotasFiscais[[#This Row],[Data da Entrega]]&gt;fNotasFiscais[[#This Row],[Data Contratada]],0,1)</f>
        <v>1</v>
      </c>
      <c r="Y185" s="3">
        <f>IF(fNotasFiscais[[#This Row],[Ocorrência]]="",1,0)</f>
        <v>1</v>
      </c>
      <c r="Z185" s="2">
        <f>fNotasFiscais[[#This Row],[On Time]]*fNotasFiscais[[#This Row],[In Full]]</f>
        <v>1</v>
      </c>
      <c r="AA185">
        <f>IF(fNotasFiscais[[#This Row],[Nota Fiscal]]&lt;&gt;"",1,0)</f>
        <v>1</v>
      </c>
    </row>
    <row r="186" spans="1:27" x14ac:dyDescent="0.25">
      <c r="A186" s="1">
        <v>43114</v>
      </c>
      <c r="B186">
        <v>10472</v>
      </c>
      <c r="C186" s="2" t="s">
        <v>54</v>
      </c>
      <c r="D186" s="2" t="s">
        <v>55</v>
      </c>
      <c r="E186" s="2" t="s">
        <v>56</v>
      </c>
      <c r="F186">
        <v>4034</v>
      </c>
      <c r="G186" s="2" t="s">
        <v>110</v>
      </c>
      <c r="H186" s="2" t="s">
        <v>51</v>
      </c>
      <c r="I186" s="2" t="s">
        <v>73</v>
      </c>
      <c r="J186" s="2" t="s">
        <v>49</v>
      </c>
      <c r="K186" s="2" t="s">
        <v>73</v>
      </c>
      <c r="L186">
        <v>709.77</v>
      </c>
      <c r="M186">
        <v>1</v>
      </c>
      <c r="N186">
        <v>1.6539999999999999</v>
      </c>
      <c r="O186">
        <v>6100231</v>
      </c>
      <c r="P186" s="2" t="s">
        <v>50</v>
      </c>
      <c r="Q186" s="2" t="s">
        <v>51</v>
      </c>
      <c r="R186" s="2" t="s">
        <v>30</v>
      </c>
      <c r="S186">
        <v>1</v>
      </c>
      <c r="T186" s="1">
        <v>43114</v>
      </c>
      <c r="U186" s="1">
        <v>43119</v>
      </c>
      <c r="V186" s="2" t="s">
        <v>57</v>
      </c>
      <c r="W186" s="1">
        <f>fNotasFiscais[[#This Row],[Data da Coleta]]+fNotasFiscais[[#This Row],[Prazo Contratado]]</f>
        <v>43115</v>
      </c>
      <c r="X186" s="3">
        <f>IF(fNotasFiscais[[#This Row],[Data da Entrega]]&gt;fNotasFiscais[[#This Row],[Data Contratada]],0,1)</f>
        <v>0</v>
      </c>
      <c r="Y186" s="3">
        <f>IF(fNotasFiscais[[#This Row],[Ocorrência]]="",1,0)</f>
        <v>0</v>
      </c>
      <c r="Z186" s="2">
        <f>fNotasFiscais[[#This Row],[On Time]]*fNotasFiscais[[#This Row],[In Full]]</f>
        <v>0</v>
      </c>
      <c r="AA186">
        <f>IF(fNotasFiscais[[#This Row],[Nota Fiscal]]&lt;&gt;"",1,0)</f>
        <v>1</v>
      </c>
    </row>
    <row r="187" spans="1:27" x14ac:dyDescent="0.25">
      <c r="A187" s="1">
        <v>43145</v>
      </c>
      <c r="B187">
        <v>10595</v>
      </c>
      <c r="C187" s="2" t="s">
        <v>52</v>
      </c>
      <c r="D187" s="2" t="s">
        <v>53</v>
      </c>
      <c r="E187" s="2" t="s">
        <v>33</v>
      </c>
      <c r="F187">
        <v>4034</v>
      </c>
      <c r="G187" s="2" t="s">
        <v>110</v>
      </c>
      <c r="H187" s="2" t="s">
        <v>51</v>
      </c>
      <c r="I187" s="2" t="s">
        <v>73</v>
      </c>
      <c r="J187" s="2" t="s">
        <v>49</v>
      </c>
      <c r="K187" s="2" t="s">
        <v>73</v>
      </c>
      <c r="L187">
        <v>212.66</v>
      </c>
      <c r="M187">
        <v>1</v>
      </c>
      <c r="N187">
        <v>1.32</v>
      </c>
      <c r="O187">
        <v>6100231</v>
      </c>
      <c r="P187" s="2" t="s">
        <v>50</v>
      </c>
      <c r="Q187" s="2" t="s">
        <v>51</v>
      </c>
      <c r="R187" s="2" t="s">
        <v>30</v>
      </c>
      <c r="S187">
        <v>2</v>
      </c>
      <c r="T187" s="1">
        <v>43146</v>
      </c>
      <c r="U187" s="1">
        <v>43150</v>
      </c>
      <c r="V187" s="2"/>
      <c r="W187" s="1">
        <f>fNotasFiscais[[#This Row],[Data da Coleta]]+fNotasFiscais[[#This Row],[Prazo Contratado]]</f>
        <v>43148</v>
      </c>
      <c r="X187" s="3">
        <f>IF(fNotasFiscais[[#This Row],[Data da Entrega]]&gt;fNotasFiscais[[#This Row],[Data Contratada]],0,1)</f>
        <v>0</v>
      </c>
      <c r="Y187" s="3">
        <f>IF(fNotasFiscais[[#This Row],[Ocorrência]]="",1,0)</f>
        <v>1</v>
      </c>
      <c r="Z187" s="2">
        <f>fNotasFiscais[[#This Row],[On Time]]*fNotasFiscais[[#This Row],[In Full]]</f>
        <v>0</v>
      </c>
      <c r="AA187">
        <f>IF(fNotasFiscais[[#This Row],[Nota Fiscal]]&lt;&gt;"",1,0)</f>
        <v>1</v>
      </c>
    </row>
    <row r="188" spans="1:27" x14ac:dyDescent="0.25">
      <c r="A188" s="1">
        <v>43116</v>
      </c>
      <c r="B188">
        <v>10474</v>
      </c>
      <c r="C188" s="2" t="s">
        <v>22</v>
      </c>
      <c r="D188" s="2" t="s">
        <v>23</v>
      </c>
      <c r="E188" s="2" t="s">
        <v>24</v>
      </c>
      <c r="F188">
        <v>4035</v>
      </c>
      <c r="G188" s="2" t="s">
        <v>111</v>
      </c>
      <c r="H188" s="2" t="s">
        <v>47</v>
      </c>
      <c r="I188" s="2" t="s">
        <v>48</v>
      </c>
      <c r="J188" s="2" t="s">
        <v>49</v>
      </c>
      <c r="K188" s="2" t="s">
        <v>48</v>
      </c>
      <c r="L188">
        <v>477.76</v>
      </c>
      <c r="M188">
        <v>1</v>
      </c>
      <c r="N188">
        <v>1.6539999999999999</v>
      </c>
      <c r="O188">
        <v>6100231</v>
      </c>
      <c r="P188" s="2" t="s">
        <v>50</v>
      </c>
      <c r="Q188" s="2" t="s">
        <v>51</v>
      </c>
      <c r="R188" s="2" t="s">
        <v>30</v>
      </c>
      <c r="S188">
        <v>12</v>
      </c>
      <c r="T188" s="1">
        <v>43116</v>
      </c>
      <c r="U188" s="1">
        <v>43123</v>
      </c>
      <c r="V188" s="2"/>
      <c r="W188" s="1">
        <f>fNotasFiscais[[#This Row],[Data da Coleta]]+fNotasFiscais[[#This Row],[Prazo Contratado]]</f>
        <v>43128</v>
      </c>
      <c r="X188" s="3">
        <f>IF(fNotasFiscais[[#This Row],[Data da Entrega]]&gt;fNotasFiscais[[#This Row],[Data Contratada]],0,1)</f>
        <v>1</v>
      </c>
      <c r="Y188" s="3">
        <f>IF(fNotasFiscais[[#This Row],[Ocorrência]]="",1,0)</f>
        <v>1</v>
      </c>
      <c r="Z188" s="2">
        <f>fNotasFiscais[[#This Row],[On Time]]*fNotasFiscais[[#This Row],[In Full]]</f>
        <v>1</v>
      </c>
      <c r="AA188">
        <f>IF(fNotasFiscais[[#This Row],[Nota Fiscal]]&lt;&gt;"",1,0)</f>
        <v>1</v>
      </c>
    </row>
    <row r="189" spans="1:27" x14ac:dyDescent="0.25">
      <c r="A189" s="1">
        <v>43116</v>
      </c>
      <c r="B189">
        <v>10475</v>
      </c>
      <c r="C189" s="2" t="s">
        <v>54</v>
      </c>
      <c r="D189" s="2" t="s">
        <v>55</v>
      </c>
      <c r="E189" s="2" t="s">
        <v>56</v>
      </c>
      <c r="F189">
        <v>4035</v>
      </c>
      <c r="G189" s="2" t="s">
        <v>111</v>
      </c>
      <c r="H189" s="2" t="s">
        <v>47</v>
      </c>
      <c r="I189" s="2" t="s">
        <v>48</v>
      </c>
      <c r="J189" s="2" t="s">
        <v>49</v>
      </c>
      <c r="K189" s="2" t="s">
        <v>48</v>
      </c>
      <c r="L189">
        <v>7374.31</v>
      </c>
      <c r="M189">
        <v>2</v>
      </c>
      <c r="N189">
        <v>41.765000000000001</v>
      </c>
      <c r="O189">
        <v>6100231</v>
      </c>
      <c r="P189" s="2" t="s">
        <v>50</v>
      </c>
      <c r="Q189" s="2" t="s">
        <v>51</v>
      </c>
      <c r="R189" s="2" t="s">
        <v>30</v>
      </c>
      <c r="S189">
        <v>8</v>
      </c>
      <c r="T189" s="1">
        <v>43116</v>
      </c>
      <c r="U189" s="1">
        <v>43119</v>
      </c>
      <c r="V189" s="2"/>
      <c r="W189" s="1">
        <f>fNotasFiscais[[#This Row],[Data da Coleta]]+fNotasFiscais[[#This Row],[Prazo Contratado]]</f>
        <v>43124</v>
      </c>
      <c r="X189" s="3">
        <f>IF(fNotasFiscais[[#This Row],[Data da Entrega]]&gt;fNotasFiscais[[#This Row],[Data Contratada]],0,1)</f>
        <v>1</v>
      </c>
      <c r="Y189" s="3">
        <f>IF(fNotasFiscais[[#This Row],[Ocorrência]]="",1,0)</f>
        <v>1</v>
      </c>
      <c r="Z189" s="2">
        <f>fNotasFiscais[[#This Row],[On Time]]*fNotasFiscais[[#This Row],[In Full]]</f>
        <v>1</v>
      </c>
      <c r="AA189">
        <f>IF(fNotasFiscais[[#This Row],[Nota Fiscal]]&lt;&gt;"",1,0)</f>
        <v>1</v>
      </c>
    </row>
    <row r="190" spans="1:27" x14ac:dyDescent="0.25">
      <c r="A190" s="1">
        <v>43115</v>
      </c>
      <c r="B190">
        <v>10476</v>
      </c>
      <c r="C190" s="2" t="s">
        <v>40</v>
      </c>
      <c r="D190" s="2" t="s">
        <v>41</v>
      </c>
      <c r="E190" s="2" t="s">
        <v>33</v>
      </c>
      <c r="F190">
        <v>4035</v>
      </c>
      <c r="G190" s="2" t="s">
        <v>111</v>
      </c>
      <c r="H190" s="2" t="s">
        <v>47</v>
      </c>
      <c r="I190" s="2" t="s">
        <v>48</v>
      </c>
      <c r="J190" s="2" t="s">
        <v>49</v>
      </c>
      <c r="K190" s="2" t="s">
        <v>48</v>
      </c>
      <c r="L190">
        <v>1276.98</v>
      </c>
      <c r="M190">
        <v>2</v>
      </c>
      <c r="N190">
        <v>3.3</v>
      </c>
      <c r="O190">
        <v>6100231</v>
      </c>
      <c r="P190" s="2" t="s">
        <v>50</v>
      </c>
      <c r="Q190" s="2" t="s">
        <v>51</v>
      </c>
      <c r="R190" s="2" t="s">
        <v>30</v>
      </c>
      <c r="S190">
        <v>10</v>
      </c>
      <c r="T190" s="1">
        <v>43116</v>
      </c>
      <c r="U190" s="1">
        <v>43120</v>
      </c>
      <c r="V190" s="2"/>
      <c r="W190" s="1">
        <f>fNotasFiscais[[#This Row],[Data da Coleta]]+fNotasFiscais[[#This Row],[Prazo Contratado]]</f>
        <v>43126</v>
      </c>
      <c r="X190" s="3">
        <f>IF(fNotasFiscais[[#This Row],[Data da Entrega]]&gt;fNotasFiscais[[#This Row],[Data Contratada]],0,1)</f>
        <v>1</v>
      </c>
      <c r="Y190" s="3">
        <f>IF(fNotasFiscais[[#This Row],[Ocorrência]]="",1,0)</f>
        <v>1</v>
      </c>
      <c r="Z190" s="2">
        <f>fNotasFiscais[[#This Row],[On Time]]*fNotasFiscais[[#This Row],[In Full]]</f>
        <v>1</v>
      </c>
      <c r="AA190">
        <f>IF(fNotasFiscais[[#This Row],[Nota Fiscal]]&lt;&gt;"",1,0)</f>
        <v>1</v>
      </c>
    </row>
    <row r="191" spans="1:27" x14ac:dyDescent="0.25">
      <c r="A191" s="1">
        <v>43158</v>
      </c>
      <c r="B191">
        <v>10637</v>
      </c>
      <c r="C191" s="2" t="s">
        <v>54</v>
      </c>
      <c r="D191" s="2" t="s">
        <v>55</v>
      </c>
      <c r="E191" s="2" t="s">
        <v>56</v>
      </c>
      <c r="F191">
        <v>4035</v>
      </c>
      <c r="G191" s="2" t="s">
        <v>111</v>
      </c>
      <c r="H191" s="2" t="s">
        <v>47</v>
      </c>
      <c r="I191" s="2" t="s">
        <v>48</v>
      </c>
      <c r="J191" s="2" t="s">
        <v>49</v>
      </c>
      <c r="K191" s="2" t="s">
        <v>48</v>
      </c>
      <c r="L191">
        <v>49.17</v>
      </c>
      <c r="M191">
        <v>2</v>
      </c>
      <c r="N191">
        <v>1.0999999999999999E-2</v>
      </c>
      <c r="O191">
        <v>6100231</v>
      </c>
      <c r="P191" s="2" t="s">
        <v>50</v>
      </c>
      <c r="Q191" s="2" t="s">
        <v>51</v>
      </c>
      <c r="R191" s="2" t="s">
        <v>30</v>
      </c>
      <c r="S191">
        <v>3</v>
      </c>
      <c r="T191" s="1">
        <v>43159</v>
      </c>
      <c r="U191" s="1">
        <v>43160</v>
      </c>
      <c r="V191" s="2"/>
      <c r="W191" s="1">
        <f>fNotasFiscais[[#This Row],[Data da Coleta]]+fNotasFiscais[[#This Row],[Prazo Contratado]]</f>
        <v>43162</v>
      </c>
      <c r="X191" s="3">
        <f>IF(fNotasFiscais[[#This Row],[Data da Entrega]]&gt;fNotasFiscais[[#This Row],[Data Contratada]],0,1)</f>
        <v>1</v>
      </c>
      <c r="Y191" s="3">
        <f>IF(fNotasFiscais[[#This Row],[Ocorrência]]="",1,0)</f>
        <v>1</v>
      </c>
      <c r="Z191" s="2">
        <f>fNotasFiscais[[#This Row],[On Time]]*fNotasFiscais[[#This Row],[In Full]]</f>
        <v>1</v>
      </c>
      <c r="AA191">
        <f>IF(fNotasFiscais[[#This Row],[Nota Fiscal]]&lt;&gt;"",1,0)</f>
        <v>1</v>
      </c>
    </row>
    <row r="192" spans="1:27" x14ac:dyDescent="0.25">
      <c r="A192" s="1">
        <v>43158</v>
      </c>
      <c r="B192">
        <v>10641</v>
      </c>
      <c r="C192" s="2" t="s">
        <v>52</v>
      </c>
      <c r="D192" s="2" t="s">
        <v>53</v>
      </c>
      <c r="E192" s="2" t="s">
        <v>33</v>
      </c>
      <c r="F192">
        <v>4035</v>
      </c>
      <c r="G192" s="2" t="s">
        <v>111</v>
      </c>
      <c r="H192" s="2" t="s">
        <v>47</v>
      </c>
      <c r="I192" s="2" t="s">
        <v>48</v>
      </c>
      <c r="J192" s="2" t="s">
        <v>49</v>
      </c>
      <c r="K192" s="2" t="s">
        <v>48</v>
      </c>
      <c r="L192">
        <v>184.08</v>
      </c>
      <c r="M192">
        <v>1</v>
      </c>
      <c r="N192">
        <v>0.83299999999999996</v>
      </c>
      <c r="O192">
        <v>6100231</v>
      </c>
      <c r="P192" s="2" t="s">
        <v>50</v>
      </c>
      <c r="Q192" s="2" t="s">
        <v>51</v>
      </c>
      <c r="R192" s="2" t="s">
        <v>30</v>
      </c>
      <c r="S192">
        <v>7</v>
      </c>
      <c r="T192" s="1">
        <v>43159</v>
      </c>
      <c r="U192" s="1">
        <v>43167</v>
      </c>
      <c r="V192" s="2"/>
      <c r="W192" s="1">
        <f>fNotasFiscais[[#This Row],[Data da Coleta]]+fNotasFiscais[[#This Row],[Prazo Contratado]]</f>
        <v>43166</v>
      </c>
      <c r="X192" s="3">
        <f>IF(fNotasFiscais[[#This Row],[Data da Entrega]]&gt;fNotasFiscais[[#This Row],[Data Contratada]],0,1)</f>
        <v>0</v>
      </c>
      <c r="Y192" s="3">
        <f>IF(fNotasFiscais[[#This Row],[Ocorrência]]="",1,0)</f>
        <v>1</v>
      </c>
      <c r="Z192" s="2">
        <f>fNotasFiscais[[#This Row],[On Time]]*fNotasFiscais[[#This Row],[In Full]]</f>
        <v>0</v>
      </c>
      <c r="AA192">
        <f>IF(fNotasFiscais[[#This Row],[Nota Fiscal]]&lt;&gt;"",1,0)</f>
        <v>1</v>
      </c>
    </row>
    <row r="193" spans="1:27" x14ac:dyDescent="0.25">
      <c r="A193" s="1">
        <v>43158</v>
      </c>
      <c r="B193">
        <v>10644</v>
      </c>
      <c r="C193" s="2" t="s">
        <v>34</v>
      </c>
      <c r="D193" s="2" t="s">
        <v>35</v>
      </c>
      <c r="E193" s="2" t="s">
        <v>36</v>
      </c>
      <c r="F193">
        <v>4035</v>
      </c>
      <c r="G193" s="2" t="s">
        <v>111</v>
      </c>
      <c r="H193" s="2" t="s">
        <v>47</v>
      </c>
      <c r="I193" s="2" t="s">
        <v>48</v>
      </c>
      <c r="J193" s="2" t="s">
        <v>49</v>
      </c>
      <c r="K193" s="2" t="s">
        <v>48</v>
      </c>
      <c r="L193">
        <v>3008.15</v>
      </c>
      <c r="M193">
        <v>5</v>
      </c>
      <c r="N193">
        <v>8.4570000000000007</v>
      </c>
      <c r="O193">
        <v>6100231</v>
      </c>
      <c r="P193" s="2" t="s">
        <v>50</v>
      </c>
      <c r="Q193" s="2" t="s">
        <v>51</v>
      </c>
      <c r="R193" s="2" t="s">
        <v>30</v>
      </c>
      <c r="S193">
        <v>9</v>
      </c>
      <c r="T193" s="1">
        <v>43159</v>
      </c>
      <c r="U193" s="1">
        <v>43169</v>
      </c>
      <c r="V193" s="2"/>
      <c r="W193" s="1">
        <f>fNotasFiscais[[#This Row],[Data da Coleta]]+fNotasFiscais[[#This Row],[Prazo Contratado]]</f>
        <v>43168</v>
      </c>
      <c r="X193" s="3">
        <f>IF(fNotasFiscais[[#This Row],[Data da Entrega]]&gt;fNotasFiscais[[#This Row],[Data Contratada]],0,1)</f>
        <v>0</v>
      </c>
      <c r="Y193" s="3">
        <f>IF(fNotasFiscais[[#This Row],[Ocorrência]]="",1,0)</f>
        <v>1</v>
      </c>
      <c r="Z193" s="2">
        <f>fNotasFiscais[[#This Row],[On Time]]*fNotasFiscais[[#This Row],[In Full]]</f>
        <v>0</v>
      </c>
      <c r="AA193">
        <f>IF(fNotasFiscais[[#This Row],[Nota Fiscal]]&lt;&gt;"",1,0)</f>
        <v>1</v>
      </c>
    </row>
    <row r="194" spans="1:27" x14ac:dyDescent="0.25">
      <c r="A194" s="1">
        <v>43130</v>
      </c>
      <c r="B194">
        <v>10535</v>
      </c>
      <c r="C194" s="2" t="s">
        <v>40</v>
      </c>
      <c r="D194" s="2" t="s">
        <v>41</v>
      </c>
      <c r="E194" s="2" t="s">
        <v>33</v>
      </c>
      <c r="F194">
        <v>4046</v>
      </c>
      <c r="G194" s="2" t="s">
        <v>112</v>
      </c>
      <c r="H194" s="2" t="s">
        <v>35</v>
      </c>
      <c r="I194" s="2" t="s">
        <v>36</v>
      </c>
      <c r="J194" s="2" t="s">
        <v>60</v>
      </c>
      <c r="K194" s="2" t="s">
        <v>36</v>
      </c>
      <c r="L194">
        <v>8517.0400000000009</v>
      </c>
      <c r="M194">
        <v>4</v>
      </c>
      <c r="N194">
        <v>17.05</v>
      </c>
      <c r="O194">
        <v>6600879</v>
      </c>
      <c r="P194" s="2" t="s">
        <v>61</v>
      </c>
      <c r="Q194" s="2" t="s">
        <v>35</v>
      </c>
      <c r="R194" s="2" t="s">
        <v>30</v>
      </c>
      <c r="S194">
        <v>7</v>
      </c>
      <c r="T194" s="1">
        <v>43131</v>
      </c>
      <c r="U194" s="1">
        <v>43132</v>
      </c>
      <c r="V194" s="2"/>
      <c r="W194" s="1">
        <f>fNotasFiscais[[#This Row],[Data da Coleta]]+fNotasFiscais[[#This Row],[Prazo Contratado]]</f>
        <v>43138</v>
      </c>
      <c r="X194" s="3">
        <f>IF(fNotasFiscais[[#This Row],[Data da Entrega]]&gt;fNotasFiscais[[#This Row],[Data Contratada]],0,1)</f>
        <v>1</v>
      </c>
      <c r="Y194" s="3">
        <f>IF(fNotasFiscais[[#This Row],[Ocorrência]]="",1,0)</f>
        <v>1</v>
      </c>
      <c r="Z194" s="2">
        <f>fNotasFiscais[[#This Row],[On Time]]*fNotasFiscais[[#This Row],[In Full]]</f>
        <v>1</v>
      </c>
      <c r="AA194">
        <f>IF(fNotasFiscais[[#This Row],[Nota Fiscal]]&lt;&gt;"",1,0)</f>
        <v>1</v>
      </c>
    </row>
    <row r="195" spans="1:27" x14ac:dyDescent="0.25">
      <c r="A195" s="1">
        <v>43130</v>
      </c>
      <c r="B195">
        <v>10541</v>
      </c>
      <c r="C195" s="2" t="s">
        <v>54</v>
      </c>
      <c r="D195" s="2" t="s">
        <v>55</v>
      </c>
      <c r="E195" s="2" t="s">
        <v>56</v>
      </c>
      <c r="F195">
        <v>4046</v>
      </c>
      <c r="G195" s="2" t="s">
        <v>112</v>
      </c>
      <c r="H195" s="2" t="s">
        <v>35</v>
      </c>
      <c r="I195" s="2" t="s">
        <v>36</v>
      </c>
      <c r="J195" s="2" t="s">
        <v>60</v>
      </c>
      <c r="K195" s="2" t="s">
        <v>36</v>
      </c>
      <c r="L195">
        <v>519.88</v>
      </c>
      <c r="M195">
        <v>3</v>
      </c>
      <c r="N195">
        <v>19.797000000000001</v>
      </c>
      <c r="O195">
        <v>6600879</v>
      </c>
      <c r="P195" s="2" t="s">
        <v>61</v>
      </c>
      <c r="Q195" s="2" t="s">
        <v>35</v>
      </c>
      <c r="R195" s="2" t="s">
        <v>30</v>
      </c>
      <c r="S195">
        <v>10</v>
      </c>
      <c r="T195" s="1">
        <v>43131</v>
      </c>
      <c r="U195" s="1">
        <v>43137</v>
      </c>
      <c r="V195" s="2"/>
      <c r="W195" s="1">
        <f>fNotasFiscais[[#This Row],[Data da Coleta]]+fNotasFiscais[[#This Row],[Prazo Contratado]]</f>
        <v>43141</v>
      </c>
      <c r="X195" s="3">
        <f>IF(fNotasFiscais[[#This Row],[Data da Entrega]]&gt;fNotasFiscais[[#This Row],[Data Contratada]],0,1)</f>
        <v>1</v>
      </c>
      <c r="Y195" s="3">
        <f>IF(fNotasFiscais[[#This Row],[Ocorrência]]="",1,0)</f>
        <v>1</v>
      </c>
      <c r="Z195" s="2">
        <f>fNotasFiscais[[#This Row],[On Time]]*fNotasFiscais[[#This Row],[In Full]]</f>
        <v>1</v>
      </c>
      <c r="AA195">
        <f>IF(fNotasFiscais[[#This Row],[Nota Fiscal]]&lt;&gt;"",1,0)</f>
        <v>1</v>
      </c>
    </row>
    <row r="196" spans="1:27" x14ac:dyDescent="0.25">
      <c r="A196" s="1">
        <v>43117</v>
      </c>
      <c r="B196">
        <v>10478</v>
      </c>
      <c r="C196" s="2" t="s">
        <v>54</v>
      </c>
      <c r="D196" s="2" t="s">
        <v>55</v>
      </c>
      <c r="E196" s="2" t="s">
        <v>56</v>
      </c>
      <c r="F196">
        <v>4037</v>
      </c>
      <c r="G196" s="2" t="s">
        <v>113</v>
      </c>
      <c r="H196" s="2" t="s">
        <v>47</v>
      </c>
      <c r="I196" s="2" t="s">
        <v>48</v>
      </c>
      <c r="J196" s="2" t="s">
        <v>49</v>
      </c>
      <c r="K196" s="2" t="s">
        <v>48</v>
      </c>
      <c r="L196">
        <v>354.88</v>
      </c>
      <c r="M196">
        <v>1</v>
      </c>
      <c r="N196">
        <v>0.82699999999999996</v>
      </c>
      <c r="O196">
        <v>6100231</v>
      </c>
      <c r="P196" s="2" t="s">
        <v>50</v>
      </c>
      <c r="Q196" s="2" t="s">
        <v>51</v>
      </c>
      <c r="R196" s="2" t="s">
        <v>30</v>
      </c>
      <c r="S196">
        <v>1</v>
      </c>
      <c r="T196" s="1">
        <v>43118</v>
      </c>
      <c r="U196" s="1">
        <v>43125</v>
      </c>
      <c r="V196" s="2"/>
      <c r="W196" s="1">
        <f>fNotasFiscais[[#This Row],[Data da Coleta]]+fNotasFiscais[[#This Row],[Prazo Contratado]]</f>
        <v>43119</v>
      </c>
      <c r="X196" s="3">
        <f>IF(fNotasFiscais[[#This Row],[Data da Entrega]]&gt;fNotasFiscais[[#This Row],[Data Contratada]],0,1)</f>
        <v>0</v>
      </c>
      <c r="Y196" s="3">
        <f>IF(fNotasFiscais[[#This Row],[Ocorrência]]="",1,0)</f>
        <v>1</v>
      </c>
      <c r="Z196" s="2">
        <f>fNotasFiscais[[#This Row],[On Time]]*fNotasFiscais[[#This Row],[In Full]]</f>
        <v>0</v>
      </c>
      <c r="AA196">
        <f>IF(fNotasFiscais[[#This Row],[Nota Fiscal]]&lt;&gt;"",1,0)</f>
        <v>1</v>
      </c>
    </row>
    <row r="197" spans="1:27" x14ac:dyDescent="0.25">
      <c r="A197" s="1">
        <v>43129</v>
      </c>
      <c r="B197">
        <v>10523</v>
      </c>
      <c r="C197" s="2" t="s">
        <v>43</v>
      </c>
      <c r="D197" s="2" t="s">
        <v>44</v>
      </c>
      <c r="E197" s="2" t="s">
        <v>45</v>
      </c>
      <c r="F197">
        <v>4043</v>
      </c>
      <c r="G197" s="2" t="s">
        <v>114</v>
      </c>
      <c r="H197" s="2" t="s">
        <v>115</v>
      </c>
      <c r="I197" s="2" t="s">
        <v>107</v>
      </c>
      <c r="J197" s="2" t="s">
        <v>49</v>
      </c>
      <c r="K197" s="2" t="s">
        <v>107</v>
      </c>
      <c r="L197">
        <v>642.87</v>
      </c>
      <c r="M197">
        <v>1</v>
      </c>
      <c r="N197">
        <v>1.1200000000000001</v>
      </c>
      <c r="O197">
        <v>6100231</v>
      </c>
      <c r="P197" s="2" t="s">
        <v>50</v>
      </c>
      <c r="Q197" s="2" t="s">
        <v>51</v>
      </c>
      <c r="R197" s="2" t="s">
        <v>30</v>
      </c>
      <c r="S197">
        <v>1</v>
      </c>
      <c r="T197" s="1">
        <v>43130</v>
      </c>
      <c r="U197" s="1">
        <v>43131</v>
      </c>
      <c r="V197" s="2"/>
      <c r="W197" s="1">
        <f>fNotasFiscais[[#This Row],[Data da Coleta]]+fNotasFiscais[[#This Row],[Prazo Contratado]]</f>
        <v>43131</v>
      </c>
      <c r="X197" s="3">
        <f>IF(fNotasFiscais[[#This Row],[Data da Entrega]]&gt;fNotasFiscais[[#This Row],[Data Contratada]],0,1)</f>
        <v>1</v>
      </c>
      <c r="Y197" s="3">
        <f>IF(fNotasFiscais[[#This Row],[Ocorrência]]="",1,0)</f>
        <v>1</v>
      </c>
      <c r="Z197" s="2">
        <f>fNotasFiscais[[#This Row],[On Time]]*fNotasFiscais[[#This Row],[In Full]]</f>
        <v>1</v>
      </c>
      <c r="AA197">
        <f>IF(fNotasFiscais[[#This Row],[Nota Fiscal]]&lt;&gt;"",1,0)</f>
        <v>1</v>
      </c>
    </row>
    <row r="198" spans="1:27" x14ac:dyDescent="0.25">
      <c r="A198" s="1">
        <v>43119</v>
      </c>
      <c r="B198">
        <v>10493</v>
      </c>
      <c r="C198" s="2" t="s">
        <v>22</v>
      </c>
      <c r="D198" s="2" t="s">
        <v>23</v>
      </c>
      <c r="E198" s="2" t="s">
        <v>24</v>
      </c>
      <c r="F198">
        <v>4039</v>
      </c>
      <c r="G198" s="2" t="s">
        <v>116</v>
      </c>
      <c r="H198" s="2" t="s">
        <v>106</v>
      </c>
      <c r="I198" s="2" t="s">
        <v>107</v>
      </c>
      <c r="J198" s="2" t="s">
        <v>49</v>
      </c>
      <c r="K198" s="2" t="s">
        <v>107</v>
      </c>
      <c r="L198">
        <v>3657.43</v>
      </c>
      <c r="M198">
        <v>11</v>
      </c>
      <c r="N198">
        <v>12.815</v>
      </c>
      <c r="O198">
        <v>6100231</v>
      </c>
      <c r="P198" s="2" t="s">
        <v>50</v>
      </c>
      <c r="Q198" s="2" t="s">
        <v>51</v>
      </c>
      <c r="R198" s="2" t="s">
        <v>30</v>
      </c>
      <c r="S198">
        <v>3</v>
      </c>
      <c r="T198" s="1">
        <v>43120</v>
      </c>
      <c r="U198" s="1">
        <v>43122</v>
      </c>
      <c r="V198" s="2"/>
      <c r="W198" s="1">
        <f>fNotasFiscais[[#This Row],[Data da Coleta]]+fNotasFiscais[[#This Row],[Prazo Contratado]]</f>
        <v>43123</v>
      </c>
      <c r="X198" s="3">
        <f>IF(fNotasFiscais[[#This Row],[Data da Entrega]]&gt;fNotasFiscais[[#This Row],[Data Contratada]],0,1)</f>
        <v>1</v>
      </c>
      <c r="Y198" s="3">
        <f>IF(fNotasFiscais[[#This Row],[Ocorrência]]="",1,0)</f>
        <v>1</v>
      </c>
      <c r="Z198" s="2">
        <f>fNotasFiscais[[#This Row],[On Time]]*fNotasFiscais[[#This Row],[In Full]]</f>
        <v>1</v>
      </c>
      <c r="AA198">
        <f>IF(fNotasFiscais[[#This Row],[Nota Fiscal]]&lt;&gt;"",1,0)</f>
        <v>1</v>
      </c>
    </row>
    <row r="199" spans="1:27" x14ac:dyDescent="0.25">
      <c r="A199" s="1">
        <v>43119</v>
      </c>
      <c r="B199">
        <v>10494</v>
      </c>
      <c r="C199" s="2" t="s">
        <v>31</v>
      </c>
      <c r="D199" s="2" t="s">
        <v>32</v>
      </c>
      <c r="E199" s="2" t="s">
        <v>33</v>
      </c>
      <c r="F199">
        <v>4039</v>
      </c>
      <c r="G199" s="2" t="s">
        <v>116</v>
      </c>
      <c r="H199" s="2" t="s">
        <v>106</v>
      </c>
      <c r="I199" s="2" t="s">
        <v>107</v>
      </c>
      <c r="J199" s="2" t="s">
        <v>49</v>
      </c>
      <c r="K199" s="2" t="s">
        <v>107</v>
      </c>
      <c r="L199">
        <v>889.69</v>
      </c>
      <c r="M199">
        <v>1</v>
      </c>
      <c r="N199">
        <v>3.52</v>
      </c>
      <c r="O199">
        <v>6100231</v>
      </c>
      <c r="P199" s="2" t="s">
        <v>50</v>
      </c>
      <c r="Q199" s="2" t="s">
        <v>51</v>
      </c>
      <c r="R199" s="2" t="s">
        <v>30</v>
      </c>
      <c r="S199">
        <v>3</v>
      </c>
      <c r="T199" s="1">
        <v>43120</v>
      </c>
      <c r="U199" s="1">
        <v>43124</v>
      </c>
      <c r="V199" s="2"/>
      <c r="W199" s="1">
        <f>fNotasFiscais[[#This Row],[Data da Coleta]]+fNotasFiscais[[#This Row],[Prazo Contratado]]</f>
        <v>43123</v>
      </c>
      <c r="X199" s="3">
        <f>IF(fNotasFiscais[[#This Row],[Data da Entrega]]&gt;fNotasFiscais[[#This Row],[Data Contratada]],0,1)</f>
        <v>0</v>
      </c>
      <c r="Y199" s="3">
        <f>IF(fNotasFiscais[[#This Row],[Ocorrência]]="",1,0)</f>
        <v>1</v>
      </c>
      <c r="Z199" s="2">
        <f>fNotasFiscais[[#This Row],[On Time]]*fNotasFiscais[[#This Row],[In Full]]</f>
        <v>0</v>
      </c>
      <c r="AA199">
        <f>IF(fNotasFiscais[[#This Row],[Nota Fiscal]]&lt;&gt;"",1,0)</f>
        <v>1</v>
      </c>
    </row>
    <row r="200" spans="1:27" x14ac:dyDescent="0.25">
      <c r="A200" s="1">
        <v>43119</v>
      </c>
      <c r="B200">
        <v>10495</v>
      </c>
      <c r="C200" s="2" t="s">
        <v>22</v>
      </c>
      <c r="D200" s="2" t="s">
        <v>23</v>
      </c>
      <c r="E200" s="2" t="s">
        <v>24</v>
      </c>
      <c r="F200">
        <v>4039</v>
      </c>
      <c r="G200" s="2" t="s">
        <v>116</v>
      </c>
      <c r="H200" s="2" t="s">
        <v>106</v>
      </c>
      <c r="I200" s="2" t="s">
        <v>107</v>
      </c>
      <c r="J200" s="2" t="s">
        <v>49</v>
      </c>
      <c r="K200" s="2" t="s">
        <v>107</v>
      </c>
      <c r="L200">
        <v>9017.7099999999991</v>
      </c>
      <c r="M200">
        <v>20</v>
      </c>
      <c r="N200">
        <v>347.6</v>
      </c>
      <c r="O200">
        <v>6100231</v>
      </c>
      <c r="P200" s="2" t="s">
        <v>50</v>
      </c>
      <c r="Q200" s="2" t="s">
        <v>51</v>
      </c>
      <c r="R200" s="2" t="s">
        <v>30</v>
      </c>
      <c r="S200">
        <v>11</v>
      </c>
      <c r="T200" s="1">
        <v>43120</v>
      </c>
      <c r="U200" s="1">
        <v>43122</v>
      </c>
      <c r="V200" s="2"/>
      <c r="W200" s="1">
        <f>fNotasFiscais[[#This Row],[Data da Coleta]]+fNotasFiscais[[#This Row],[Prazo Contratado]]</f>
        <v>43131</v>
      </c>
      <c r="X200" s="3">
        <f>IF(fNotasFiscais[[#This Row],[Data da Entrega]]&gt;fNotasFiscais[[#This Row],[Data Contratada]],0,1)</f>
        <v>1</v>
      </c>
      <c r="Y200" s="3">
        <f>IF(fNotasFiscais[[#This Row],[Ocorrência]]="",1,0)</f>
        <v>1</v>
      </c>
      <c r="Z200" s="2">
        <f>fNotasFiscais[[#This Row],[On Time]]*fNotasFiscais[[#This Row],[In Full]]</f>
        <v>1</v>
      </c>
      <c r="AA200">
        <f>IF(fNotasFiscais[[#This Row],[Nota Fiscal]]&lt;&gt;"",1,0)</f>
        <v>1</v>
      </c>
    </row>
    <row r="201" spans="1:27" x14ac:dyDescent="0.25">
      <c r="A201" s="1">
        <v>43124</v>
      </c>
      <c r="B201">
        <v>10499</v>
      </c>
      <c r="C201" s="2" t="s">
        <v>43</v>
      </c>
      <c r="D201" s="2" t="s">
        <v>44</v>
      </c>
      <c r="E201" s="2" t="s">
        <v>45</v>
      </c>
      <c r="F201">
        <v>4040</v>
      </c>
      <c r="G201" s="2" t="s">
        <v>117</v>
      </c>
      <c r="H201" s="2" t="s">
        <v>47</v>
      </c>
      <c r="I201" s="2" t="s">
        <v>48</v>
      </c>
      <c r="J201" s="2" t="s">
        <v>49</v>
      </c>
      <c r="K201" s="2" t="s">
        <v>48</v>
      </c>
      <c r="L201">
        <v>1776.17</v>
      </c>
      <c r="M201">
        <v>3</v>
      </c>
      <c r="N201">
        <v>1.762</v>
      </c>
      <c r="O201">
        <v>6100231</v>
      </c>
      <c r="P201" s="2" t="s">
        <v>50</v>
      </c>
      <c r="Q201" s="2" t="s">
        <v>51</v>
      </c>
      <c r="R201" s="2" t="s">
        <v>30</v>
      </c>
      <c r="S201">
        <v>8</v>
      </c>
      <c r="T201" s="1">
        <v>43125</v>
      </c>
      <c r="U201" s="1">
        <v>43135</v>
      </c>
      <c r="V201" s="2"/>
      <c r="W201" s="1">
        <f>fNotasFiscais[[#This Row],[Data da Coleta]]+fNotasFiscais[[#This Row],[Prazo Contratado]]</f>
        <v>43133</v>
      </c>
      <c r="X201" s="3">
        <f>IF(fNotasFiscais[[#This Row],[Data da Entrega]]&gt;fNotasFiscais[[#This Row],[Data Contratada]],0,1)</f>
        <v>0</v>
      </c>
      <c r="Y201" s="3">
        <f>IF(fNotasFiscais[[#This Row],[Ocorrência]]="",1,0)</f>
        <v>1</v>
      </c>
      <c r="Z201" s="2">
        <f>fNotasFiscais[[#This Row],[On Time]]*fNotasFiscais[[#This Row],[In Full]]</f>
        <v>0</v>
      </c>
      <c r="AA201">
        <f>IF(fNotasFiscais[[#This Row],[Nota Fiscal]]&lt;&gt;"",1,0)</f>
        <v>1</v>
      </c>
    </row>
    <row r="202" spans="1:27" x14ac:dyDescent="0.25">
      <c r="A202" s="1">
        <v>43125</v>
      </c>
      <c r="B202">
        <v>10505</v>
      </c>
      <c r="C202" s="2" t="s">
        <v>34</v>
      </c>
      <c r="D202" s="2" t="s">
        <v>35</v>
      </c>
      <c r="E202" s="2" t="s">
        <v>36</v>
      </c>
      <c r="F202">
        <v>4040</v>
      </c>
      <c r="G202" s="2" t="s">
        <v>117</v>
      </c>
      <c r="H202" s="2" t="s">
        <v>47</v>
      </c>
      <c r="I202" s="2" t="s">
        <v>48</v>
      </c>
      <c r="J202" s="2" t="s">
        <v>49</v>
      </c>
      <c r="K202" s="2" t="s">
        <v>48</v>
      </c>
      <c r="L202">
        <v>1766.75</v>
      </c>
      <c r="M202">
        <v>1</v>
      </c>
      <c r="N202">
        <v>3.41</v>
      </c>
      <c r="O202">
        <v>6100231</v>
      </c>
      <c r="P202" s="2" t="s">
        <v>50</v>
      </c>
      <c r="Q202" s="2" t="s">
        <v>51</v>
      </c>
      <c r="R202" s="2" t="s">
        <v>30</v>
      </c>
      <c r="S202">
        <v>4</v>
      </c>
      <c r="T202" s="1">
        <v>43125</v>
      </c>
      <c r="U202" s="1">
        <v>43134</v>
      </c>
      <c r="V202" s="2"/>
      <c r="W202" s="1">
        <f>fNotasFiscais[[#This Row],[Data da Coleta]]+fNotasFiscais[[#This Row],[Prazo Contratado]]</f>
        <v>43129</v>
      </c>
      <c r="X202" s="3">
        <f>IF(fNotasFiscais[[#This Row],[Data da Entrega]]&gt;fNotasFiscais[[#This Row],[Data Contratada]],0,1)</f>
        <v>0</v>
      </c>
      <c r="Y202" s="3">
        <f>IF(fNotasFiscais[[#This Row],[Ocorrência]]="",1,0)</f>
        <v>1</v>
      </c>
      <c r="Z202" s="2">
        <f>fNotasFiscais[[#This Row],[On Time]]*fNotasFiscais[[#This Row],[In Full]]</f>
        <v>0</v>
      </c>
      <c r="AA202">
        <f>IF(fNotasFiscais[[#This Row],[Nota Fiscal]]&lt;&gt;"",1,0)</f>
        <v>1</v>
      </c>
    </row>
    <row r="203" spans="1:27" x14ac:dyDescent="0.25">
      <c r="A203" s="1">
        <v>43133</v>
      </c>
      <c r="B203">
        <v>10550</v>
      </c>
      <c r="C203" s="2" t="s">
        <v>43</v>
      </c>
      <c r="D203" s="2" t="s">
        <v>44</v>
      </c>
      <c r="E203" s="2" t="s">
        <v>45</v>
      </c>
      <c r="F203">
        <v>4049</v>
      </c>
      <c r="G203" s="2" t="s">
        <v>118</v>
      </c>
      <c r="H203" s="2" t="s">
        <v>97</v>
      </c>
      <c r="I203" s="2" t="s">
        <v>48</v>
      </c>
      <c r="J203" s="2" t="s">
        <v>49</v>
      </c>
      <c r="K203" s="2" t="s">
        <v>48</v>
      </c>
      <c r="L203">
        <v>586.85</v>
      </c>
      <c r="M203">
        <v>2</v>
      </c>
      <c r="N203">
        <v>3.6469999999999998</v>
      </c>
      <c r="O203">
        <v>6100231</v>
      </c>
      <c r="P203" s="2" t="s">
        <v>50</v>
      </c>
      <c r="Q203" s="2" t="s">
        <v>51</v>
      </c>
      <c r="R203" s="2" t="s">
        <v>30</v>
      </c>
      <c r="S203">
        <v>8</v>
      </c>
      <c r="T203" s="1">
        <v>43134</v>
      </c>
      <c r="U203" s="1">
        <v>43139</v>
      </c>
      <c r="V203" s="2" t="s">
        <v>42</v>
      </c>
      <c r="W203" s="1">
        <f>fNotasFiscais[[#This Row],[Data da Coleta]]+fNotasFiscais[[#This Row],[Prazo Contratado]]</f>
        <v>43142</v>
      </c>
      <c r="X203" s="3">
        <f>IF(fNotasFiscais[[#This Row],[Data da Entrega]]&gt;fNotasFiscais[[#This Row],[Data Contratada]],0,1)</f>
        <v>1</v>
      </c>
      <c r="Y203" s="3">
        <f>IF(fNotasFiscais[[#This Row],[Ocorrência]]="",1,0)</f>
        <v>0</v>
      </c>
      <c r="Z203" s="2">
        <f>fNotasFiscais[[#This Row],[On Time]]*fNotasFiscais[[#This Row],[In Full]]</f>
        <v>0</v>
      </c>
      <c r="AA203">
        <f>IF(fNotasFiscais[[#This Row],[Nota Fiscal]]&lt;&gt;"",1,0)</f>
        <v>1</v>
      </c>
    </row>
    <row r="204" spans="1:27" x14ac:dyDescent="0.25">
      <c r="A204" s="1">
        <v>43133</v>
      </c>
      <c r="B204">
        <v>10551</v>
      </c>
      <c r="C204" s="2" t="s">
        <v>43</v>
      </c>
      <c r="D204" s="2" t="s">
        <v>44</v>
      </c>
      <c r="E204" s="2" t="s">
        <v>45</v>
      </c>
      <c r="F204">
        <v>4049</v>
      </c>
      <c r="G204" s="2" t="s">
        <v>118</v>
      </c>
      <c r="H204" s="2" t="s">
        <v>97</v>
      </c>
      <c r="I204" s="2" t="s">
        <v>48</v>
      </c>
      <c r="J204" s="2" t="s">
        <v>49</v>
      </c>
      <c r="K204" s="2" t="s">
        <v>48</v>
      </c>
      <c r="L204">
        <v>121.88</v>
      </c>
      <c r="M204">
        <v>1</v>
      </c>
      <c r="N204">
        <v>0.21299999999999999</v>
      </c>
      <c r="O204">
        <v>6100231</v>
      </c>
      <c r="P204" s="2" t="s">
        <v>50</v>
      </c>
      <c r="Q204" s="2" t="s">
        <v>51</v>
      </c>
      <c r="R204" s="2" t="s">
        <v>30</v>
      </c>
      <c r="S204">
        <v>3</v>
      </c>
      <c r="T204" s="1">
        <v>43134</v>
      </c>
      <c r="U204" s="1">
        <v>43142</v>
      </c>
      <c r="V204" s="2"/>
      <c r="W204" s="1">
        <f>fNotasFiscais[[#This Row],[Data da Coleta]]+fNotasFiscais[[#This Row],[Prazo Contratado]]</f>
        <v>43137</v>
      </c>
      <c r="X204" s="3">
        <f>IF(fNotasFiscais[[#This Row],[Data da Entrega]]&gt;fNotasFiscais[[#This Row],[Data Contratada]],0,1)</f>
        <v>0</v>
      </c>
      <c r="Y204" s="3">
        <f>IF(fNotasFiscais[[#This Row],[Ocorrência]]="",1,0)</f>
        <v>1</v>
      </c>
      <c r="Z204" s="2">
        <f>fNotasFiscais[[#This Row],[On Time]]*fNotasFiscais[[#This Row],[In Full]]</f>
        <v>0</v>
      </c>
      <c r="AA204">
        <f>IF(fNotasFiscais[[#This Row],[Nota Fiscal]]&lt;&gt;"",1,0)</f>
        <v>1</v>
      </c>
    </row>
    <row r="205" spans="1:27" x14ac:dyDescent="0.25">
      <c r="A205" s="1">
        <v>43133</v>
      </c>
      <c r="B205">
        <v>10552</v>
      </c>
      <c r="C205" s="2" t="s">
        <v>22</v>
      </c>
      <c r="D205" s="2" t="s">
        <v>23</v>
      </c>
      <c r="E205" s="2" t="s">
        <v>24</v>
      </c>
      <c r="F205">
        <v>4049</v>
      </c>
      <c r="G205" s="2" t="s">
        <v>118</v>
      </c>
      <c r="H205" s="2" t="s">
        <v>97</v>
      </c>
      <c r="I205" s="2" t="s">
        <v>48</v>
      </c>
      <c r="J205" s="2" t="s">
        <v>49</v>
      </c>
      <c r="K205" s="2" t="s">
        <v>48</v>
      </c>
      <c r="L205">
        <v>1111.33</v>
      </c>
      <c r="M205">
        <v>2</v>
      </c>
      <c r="N205">
        <v>13.86</v>
      </c>
      <c r="O205">
        <v>6100231</v>
      </c>
      <c r="P205" s="2" t="s">
        <v>50</v>
      </c>
      <c r="Q205" s="2" t="s">
        <v>51</v>
      </c>
      <c r="R205" s="2" t="s">
        <v>30</v>
      </c>
      <c r="S205">
        <v>2</v>
      </c>
      <c r="T205" s="1">
        <v>43134</v>
      </c>
      <c r="U205" s="1">
        <v>43141</v>
      </c>
      <c r="V205" s="2"/>
      <c r="W205" s="1">
        <f>fNotasFiscais[[#This Row],[Data da Coleta]]+fNotasFiscais[[#This Row],[Prazo Contratado]]</f>
        <v>43136</v>
      </c>
      <c r="X205" s="3">
        <f>IF(fNotasFiscais[[#This Row],[Data da Entrega]]&gt;fNotasFiscais[[#This Row],[Data Contratada]],0,1)</f>
        <v>0</v>
      </c>
      <c r="Y205" s="3">
        <f>IF(fNotasFiscais[[#This Row],[Ocorrência]]="",1,0)</f>
        <v>1</v>
      </c>
      <c r="Z205" s="2">
        <f>fNotasFiscais[[#This Row],[On Time]]*fNotasFiscais[[#This Row],[In Full]]</f>
        <v>0</v>
      </c>
      <c r="AA205">
        <f>IF(fNotasFiscais[[#This Row],[Nota Fiscal]]&lt;&gt;"",1,0)</f>
        <v>1</v>
      </c>
    </row>
    <row r="206" spans="1:27" x14ac:dyDescent="0.25">
      <c r="A206" s="1">
        <v>43133</v>
      </c>
      <c r="B206">
        <v>10553</v>
      </c>
      <c r="C206" s="2" t="s">
        <v>54</v>
      </c>
      <c r="D206" s="2" t="s">
        <v>55</v>
      </c>
      <c r="E206" s="2" t="s">
        <v>56</v>
      </c>
      <c r="F206">
        <v>4049</v>
      </c>
      <c r="G206" s="2" t="s">
        <v>118</v>
      </c>
      <c r="H206" s="2" t="s">
        <v>97</v>
      </c>
      <c r="I206" s="2" t="s">
        <v>48</v>
      </c>
      <c r="J206" s="2" t="s">
        <v>49</v>
      </c>
      <c r="K206" s="2" t="s">
        <v>48</v>
      </c>
      <c r="L206">
        <v>1139.17</v>
      </c>
      <c r="M206">
        <v>1</v>
      </c>
      <c r="N206">
        <v>1.1200000000000001</v>
      </c>
      <c r="O206">
        <v>6100231</v>
      </c>
      <c r="P206" s="2" t="s">
        <v>50</v>
      </c>
      <c r="Q206" s="2" t="s">
        <v>51</v>
      </c>
      <c r="R206" s="2" t="s">
        <v>30</v>
      </c>
      <c r="S206">
        <v>5</v>
      </c>
      <c r="T206" s="1">
        <v>43134</v>
      </c>
      <c r="U206" s="1">
        <v>43137</v>
      </c>
      <c r="V206" s="2"/>
      <c r="W206" s="1">
        <f>fNotasFiscais[[#This Row],[Data da Coleta]]+fNotasFiscais[[#This Row],[Prazo Contratado]]</f>
        <v>43139</v>
      </c>
      <c r="X206" s="3">
        <f>IF(fNotasFiscais[[#This Row],[Data da Entrega]]&gt;fNotasFiscais[[#This Row],[Data Contratada]],0,1)</f>
        <v>1</v>
      </c>
      <c r="Y206" s="3">
        <f>IF(fNotasFiscais[[#This Row],[Ocorrência]]="",1,0)</f>
        <v>1</v>
      </c>
      <c r="Z206" s="2">
        <f>fNotasFiscais[[#This Row],[On Time]]*fNotasFiscais[[#This Row],[In Full]]</f>
        <v>1</v>
      </c>
      <c r="AA206">
        <f>IF(fNotasFiscais[[#This Row],[Nota Fiscal]]&lt;&gt;"",1,0)</f>
        <v>1</v>
      </c>
    </row>
    <row r="207" spans="1:27" x14ac:dyDescent="0.25">
      <c r="A207" s="1">
        <v>43133</v>
      </c>
      <c r="B207">
        <v>10554</v>
      </c>
      <c r="C207" s="2" t="s">
        <v>22</v>
      </c>
      <c r="D207" s="2" t="s">
        <v>23</v>
      </c>
      <c r="E207" s="2" t="s">
        <v>24</v>
      </c>
      <c r="F207">
        <v>4049</v>
      </c>
      <c r="G207" s="2" t="s">
        <v>118</v>
      </c>
      <c r="H207" s="2" t="s">
        <v>97</v>
      </c>
      <c r="I207" s="2" t="s">
        <v>48</v>
      </c>
      <c r="J207" s="2" t="s">
        <v>49</v>
      </c>
      <c r="K207" s="2" t="s">
        <v>48</v>
      </c>
      <c r="L207">
        <v>2060.86</v>
      </c>
      <c r="M207">
        <v>3</v>
      </c>
      <c r="N207">
        <v>8.8550000000000004</v>
      </c>
      <c r="O207">
        <v>6100231</v>
      </c>
      <c r="P207" s="2" t="s">
        <v>50</v>
      </c>
      <c r="Q207" s="2" t="s">
        <v>51</v>
      </c>
      <c r="R207" s="2" t="s">
        <v>30</v>
      </c>
      <c r="S207">
        <v>7</v>
      </c>
      <c r="T207" s="1">
        <v>43134</v>
      </c>
      <c r="U207" s="1">
        <v>43143</v>
      </c>
      <c r="V207" s="2"/>
      <c r="W207" s="1">
        <f>fNotasFiscais[[#This Row],[Data da Coleta]]+fNotasFiscais[[#This Row],[Prazo Contratado]]</f>
        <v>43141</v>
      </c>
      <c r="X207" s="3">
        <f>IF(fNotasFiscais[[#This Row],[Data da Entrega]]&gt;fNotasFiscais[[#This Row],[Data Contratada]],0,1)</f>
        <v>0</v>
      </c>
      <c r="Y207" s="3">
        <f>IF(fNotasFiscais[[#This Row],[Ocorrência]]="",1,0)</f>
        <v>1</v>
      </c>
      <c r="Z207" s="2">
        <f>fNotasFiscais[[#This Row],[On Time]]*fNotasFiscais[[#This Row],[In Full]]</f>
        <v>0</v>
      </c>
      <c r="AA207">
        <f>IF(fNotasFiscais[[#This Row],[Nota Fiscal]]&lt;&gt;"",1,0)</f>
        <v>1</v>
      </c>
    </row>
    <row r="208" spans="1:27" x14ac:dyDescent="0.25">
      <c r="A208" s="1">
        <v>43133</v>
      </c>
      <c r="B208">
        <v>10555</v>
      </c>
      <c r="C208" s="2" t="s">
        <v>40</v>
      </c>
      <c r="D208" s="2" t="s">
        <v>41</v>
      </c>
      <c r="E208" s="2" t="s">
        <v>33</v>
      </c>
      <c r="F208">
        <v>4049</v>
      </c>
      <c r="G208" s="2" t="s">
        <v>118</v>
      </c>
      <c r="H208" s="2" t="s">
        <v>97</v>
      </c>
      <c r="I208" s="2" t="s">
        <v>48</v>
      </c>
      <c r="J208" s="2" t="s">
        <v>49</v>
      </c>
      <c r="K208" s="2" t="s">
        <v>48</v>
      </c>
      <c r="L208">
        <v>1408.71</v>
      </c>
      <c r="M208">
        <v>4</v>
      </c>
      <c r="N208">
        <v>5.8520000000000003</v>
      </c>
      <c r="O208">
        <v>6100231</v>
      </c>
      <c r="P208" s="2" t="s">
        <v>50</v>
      </c>
      <c r="Q208" s="2" t="s">
        <v>51</v>
      </c>
      <c r="R208" s="2" t="s">
        <v>30</v>
      </c>
      <c r="S208">
        <v>9</v>
      </c>
      <c r="T208" s="1">
        <v>43134</v>
      </c>
      <c r="U208" s="1">
        <v>43141</v>
      </c>
      <c r="V208" s="2"/>
      <c r="W208" s="1">
        <f>fNotasFiscais[[#This Row],[Data da Coleta]]+fNotasFiscais[[#This Row],[Prazo Contratado]]</f>
        <v>43143</v>
      </c>
      <c r="X208" s="3">
        <f>IF(fNotasFiscais[[#This Row],[Data da Entrega]]&gt;fNotasFiscais[[#This Row],[Data Contratada]],0,1)</f>
        <v>1</v>
      </c>
      <c r="Y208" s="3">
        <f>IF(fNotasFiscais[[#This Row],[Ocorrência]]="",1,0)</f>
        <v>1</v>
      </c>
      <c r="Z208" s="2">
        <f>fNotasFiscais[[#This Row],[On Time]]*fNotasFiscais[[#This Row],[In Full]]</f>
        <v>1</v>
      </c>
      <c r="AA208">
        <f>IF(fNotasFiscais[[#This Row],[Nota Fiscal]]&lt;&gt;"",1,0)</f>
        <v>1</v>
      </c>
    </row>
    <row r="209" spans="1:27" x14ac:dyDescent="0.25">
      <c r="A209" s="1">
        <v>43133</v>
      </c>
      <c r="B209">
        <v>10556</v>
      </c>
      <c r="C209" s="2" t="s">
        <v>40</v>
      </c>
      <c r="D209" s="2" t="s">
        <v>41</v>
      </c>
      <c r="E209" s="2" t="s">
        <v>33</v>
      </c>
      <c r="F209">
        <v>4049</v>
      </c>
      <c r="G209" s="2" t="s">
        <v>118</v>
      </c>
      <c r="H209" s="2" t="s">
        <v>97</v>
      </c>
      <c r="I209" s="2" t="s">
        <v>48</v>
      </c>
      <c r="J209" s="2" t="s">
        <v>49</v>
      </c>
      <c r="K209" s="2" t="s">
        <v>48</v>
      </c>
      <c r="L209">
        <v>3401.86</v>
      </c>
      <c r="M209">
        <v>6</v>
      </c>
      <c r="N209">
        <v>30.802</v>
      </c>
      <c r="O209">
        <v>6100231</v>
      </c>
      <c r="P209" s="2" t="s">
        <v>50</v>
      </c>
      <c r="Q209" s="2" t="s">
        <v>51</v>
      </c>
      <c r="R209" s="2" t="s">
        <v>30</v>
      </c>
      <c r="S209">
        <v>8</v>
      </c>
      <c r="T209" s="1">
        <v>43134</v>
      </c>
      <c r="U209" s="1">
        <v>43139</v>
      </c>
      <c r="V209" s="2"/>
      <c r="W209" s="1">
        <f>fNotasFiscais[[#This Row],[Data da Coleta]]+fNotasFiscais[[#This Row],[Prazo Contratado]]</f>
        <v>43142</v>
      </c>
      <c r="X209" s="3">
        <f>IF(fNotasFiscais[[#This Row],[Data da Entrega]]&gt;fNotasFiscais[[#This Row],[Data Contratada]],0,1)</f>
        <v>1</v>
      </c>
      <c r="Y209" s="3">
        <f>IF(fNotasFiscais[[#This Row],[Ocorrência]]="",1,0)</f>
        <v>1</v>
      </c>
      <c r="Z209" s="2">
        <f>fNotasFiscais[[#This Row],[On Time]]*fNotasFiscais[[#This Row],[In Full]]</f>
        <v>1</v>
      </c>
      <c r="AA209">
        <f>IF(fNotasFiscais[[#This Row],[Nota Fiscal]]&lt;&gt;"",1,0)</f>
        <v>1</v>
      </c>
    </row>
    <row r="210" spans="1:27" x14ac:dyDescent="0.25">
      <c r="A210" s="1">
        <v>43133</v>
      </c>
      <c r="B210">
        <v>10557</v>
      </c>
      <c r="C210" s="2" t="s">
        <v>34</v>
      </c>
      <c r="D210" s="2" t="s">
        <v>35</v>
      </c>
      <c r="E210" s="2" t="s">
        <v>36</v>
      </c>
      <c r="F210">
        <v>4049</v>
      </c>
      <c r="G210" s="2" t="s">
        <v>118</v>
      </c>
      <c r="H210" s="2" t="s">
        <v>97</v>
      </c>
      <c r="I210" s="2" t="s">
        <v>48</v>
      </c>
      <c r="J210" s="2" t="s">
        <v>49</v>
      </c>
      <c r="K210" s="2" t="s">
        <v>48</v>
      </c>
      <c r="L210">
        <v>2558.73</v>
      </c>
      <c r="M210">
        <v>4</v>
      </c>
      <c r="N210">
        <v>3.1019999999999999</v>
      </c>
      <c r="O210">
        <v>6100231</v>
      </c>
      <c r="P210" s="2" t="s">
        <v>50</v>
      </c>
      <c r="Q210" s="2" t="s">
        <v>51</v>
      </c>
      <c r="R210" s="2" t="s">
        <v>30</v>
      </c>
      <c r="S210">
        <v>7</v>
      </c>
      <c r="T210" s="1">
        <v>43134</v>
      </c>
      <c r="U210" s="1">
        <v>43143</v>
      </c>
      <c r="V210" s="2"/>
      <c r="W210" s="1">
        <f>fNotasFiscais[[#This Row],[Data da Coleta]]+fNotasFiscais[[#This Row],[Prazo Contratado]]</f>
        <v>43141</v>
      </c>
      <c r="X210" s="3">
        <f>IF(fNotasFiscais[[#This Row],[Data da Entrega]]&gt;fNotasFiscais[[#This Row],[Data Contratada]],0,1)</f>
        <v>0</v>
      </c>
      <c r="Y210" s="3">
        <f>IF(fNotasFiscais[[#This Row],[Ocorrência]]="",1,0)</f>
        <v>1</v>
      </c>
      <c r="Z210" s="2">
        <f>fNotasFiscais[[#This Row],[On Time]]*fNotasFiscais[[#This Row],[In Full]]</f>
        <v>0</v>
      </c>
      <c r="AA210">
        <f>IF(fNotasFiscais[[#This Row],[Nota Fiscal]]&lt;&gt;"",1,0)</f>
        <v>1</v>
      </c>
    </row>
    <row r="211" spans="1:27" x14ac:dyDescent="0.25">
      <c r="A211" s="1">
        <v>43133</v>
      </c>
      <c r="B211">
        <v>10558</v>
      </c>
      <c r="C211" s="2" t="s">
        <v>31</v>
      </c>
      <c r="D211" s="2" t="s">
        <v>32</v>
      </c>
      <c r="E211" s="2" t="s">
        <v>33</v>
      </c>
      <c r="F211">
        <v>4049</v>
      </c>
      <c r="G211" s="2" t="s">
        <v>118</v>
      </c>
      <c r="H211" s="2" t="s">
        <v>97</v>
      </c>
      <c r="I211" s="2" t="s">
        <v>48</v>
      </c>
      <c r="J211" s="2" t="s">
        <v>49</v>
      </c>
      <c r="K211" s="2" t="s">
        <v>48</v>
      </c>
      <c r="L211">
        <v>6799.09</v>
      </c>
      <c r="M211">
        <v>15</v>
      </c>
      <c r="N211">
        <v>51.631999999999998</v>
      </c>
      <c r="O211">
        <v>6100231</v>
      </c>
      <c r="P211" s="2" t="s">
        <v>50</v>
      </c>
      <c r="Q211" s="2" t="s">
        <v>51</v>
      </c>
      <c r="R211" s="2" t="s">
        <v>30</v>
      </c>
      <c r="S211">
        <v>8</v>
      </c>
      <c r="T211" s="1">
        <v>43134</v>
      </c>
      <c r="U211" s="1">
        <v>43137</v>
      </c>
      <c r="V211" s="2"/>
      <c r="W211" s="1">
        <f>fNotasFiscais[[#This Row],[Data da Coleta]]+fNotasFiscais[[#This Row],[Prazo Contratado]]</f>
        <v>43142</v>
      </c>
      <c r="X211" s="3">
        <f>IF(fNotasFiscais[[#This Row],[Data da Entrega]]&gt;fNotasFiscais[[#This Row],[Data Contratada]],0,1)</f>
        <v>1</v>
      </c>
      <c r="Y211" s="3">
        <f>IF(fNotasFiscais[[#This Row],[Ocorrência]]="",1,0)</f>
        <v>1</v>
      </c>
      <c r="Z211" s="2">
        <f>fNotasFiscais[[#This Row],[On Time]]*fNotasFiscais[[#This Row],[In Full]]</f>
        <v>1</v>
      </c>
      <c r="AA211">
        <f>IF(fNotasFiscais[[#This Row],[Nota Fiscal]]&lt;&gt;"",1,0)</f>
        <v>1</v>
      </c>
    </row>
    <row r="212" spans="1:27" x14ac:dyDescent="0.25">
      <c r="A212" s="1">
        <v>43167</v>
      </c>
      <c r="B212">
        <v>10659</v>
      </c>
      <c r="C212" s="2" t="s">
        <v>22</v>
      </c>
      <c r="D212" s="2" t="s">
        <v>23</v>
      </c>
      <c r="E212" s="2" t="s">
        <v>24</v>
      </c>
      <c r="F212">
        <v>4049</v>
      </c>
      <c r="G212" s="2" t="s">
        <v>118</v>
      </c>
      <c r="H212" s="2" t="s">
        <v>97</v>
      </c>
      <c r="I212" s="2" t="s">
        <v>48</v>
      </c>
      <c r="J212" s="2" t="s">
        <v>49</v>
      </c>
      <c r="K212" s="2" t="s">
        <v>48</v>
      </c>
      <c r="L212">
        <v>13238.42</v>
      </c>
      <c r="M212">
        <v>21</v>
      </c>
      <c r="N212">
        <v>105.367</v>
      </c>
      <c r="O212">
        <v>6100231</v>
      </c>
      <c r="P212" s="2" t="s">
        <v>50</v>
      </c>
      <c r="Q212" s="2" t="s">
        <v>51</v>
      </c>
      <c r="R212" s="2" t="s">
        <v>30</v>
      </c>
      <c r="S212">
        <v>2</v>
      </c>
      <c r="T212" s="1">
        <v>43167</v>
      </c>
      <c r="U212" s="1">
        <v>43175</v>
      </c>
      <c r="V212" s="2"/>
      <c r="W212" s="1">
        <f>fNotasFiscais[[#This Row],[Data da Coleta]]+fNotasFiscais[[#This Row],[Prazo Contratado]]</f>
        <v>43169</v>
      </c>
      <c r="X212" s="3">
        <f>IF(fNotasFiscais[[#This Row],[Data da Entrega]]&gt;fNotasFiscais[[#This Row],[Data Contratada]],0,1)</f>
        <v>0</v>
      </c>
      <c r="Y212" s="3">
        <f>IF(fNotasFiscais[[#This Row],[Ocorrência]]="",1,0)</f>
        <v>1</v>
      </c>
      <c r="Z212" s="2">
        <f>fNotasFiscais[[#This Row],[On Time]]*fNotasFiscais[[#This Row],[In Full]]</f>
        <v>0</v>
      </c>
      <c r="AA212">
        <f>IF(fNotasFiscais[[#This Row],[Nota Fiscal]]&lt;&gt;"",1,0)</f>
        <v>1</v>
      </c>
    </row>
    <row r="213" spans="1:27" x14ac:dyDescent="0.25">
      <c r="A213" s="1">
        <v>43167</v>
      </c>
      <c r="B213">
        <v>10661</v>
      </c>
      <c r="C213" s="2" t="s">
        <v>43</v>
      </c>
      <c r="D213" s="2" t="s">
        <v>44</v>
      </c>
      <c r="E213" s="2" t="s">
        <v>45</v>
      </c>
      <c r="F213">
        <v>4049</v>
      </c>
      <c r="G213" s="2" t="s">
        <v>118</v>
      </c>
      <c r="H213" s="2" t="s">
        <v>97</v>
      </c>
      <c r="I213" s="2" t="s">
        <v>48</v>
      </c>
      <c r="J213" s="2" t="s">
        <v>49</v>
      </c>
      <c r="K213" s="2" t="s">
        <v>48</v>
      </c>
      <c r="L213">
        <v>604.42999999999995</v>
      </c>
      <c r="M213">
        <v>1</v>
      </c>
      <c r="N213">
        <v>4.6760000000000002</v>
      </c>
      <c r="O213">
        <v>6100231</v>
      </c>
      <c r="P213" s="2" t="s">
        <v>50</v>
      </c>
      <c r="Q213" s="2" t="s">
        <v>51</v>
      </c>
      <c r="R213" s="2" t="s">
        <v>30</v>
      </c>
      <c r="S213">
        <v>10</v>
      </c>
      <c r="T213" s="1">
        <v>43167</v>
      </c>
      <c r="U213" s="1">
        <v>43170</v>
      </c>
      <c r="V213" s="2"/>
      <c r="W213" s="1">
        <f>fNotasFiscais[[#This Row],[Data da Coleta]]+fNotasFiscais[[#This Row],[Prazo Contratado]]</f>
        <v>43177</v>
      </c>
      <c r="X213" s="3">
        <f>IF(fNotasFiscais[[#This Row],[Data da Entrega]]&gt;fNotasFiscais[[#This Row],[Data Contratada]],0,1)</f>
        <v>1</v>
      </c>
      <c r="Y213" s="3">
        <f>IF(fNotasFiscais[[#This Row],[Ocorrência]]="",1,0)</f>
        <v>1</v>
      </c>
      <c r="Z213" s="2">
        <f>fNotasFiscais[[#This Row],[On Time]]*fNotasFiscais[[#This Row],[In Full]]</f>
        <v>1</v>
      </c>
      <c r="AA213">
        <f>IF(fNotasFiscais[[#This Row],[Nota Fiscal]]&lt;&gt;"",1,0)</f>
        <v>1</v>
      </c>
    </row>
    <row r="214" spans="1:27" x14ac:dyDescent="0.25">
      <c r="A214" s="1">
        <v>43167</v>
      </c>
      <c r="B214">
        <v>10662</v>
      </c>
      <c r="C214" s="2" t="s">
        <v>43</v>
      </c>
      <c r="D214" s="2" t="s">
        <v>44</v>
      </c>
      <c r="E214" s="2" t="s">
        <v>45</v>
      </c>
      <c r="F214">
        <v>4049</v>
      </c>
      <c r="G214" s="2" t="s">
        <v>118</v>
      </c>
      <c r="H214" s="2" t="s">
        <v>97</v>
      </c>
      <c r="I214" s="2" t="s">
        <v>48</v>
      </c>
      <c r="J214" s="2" t="s">
        <v>49</v>
      </c>
      <c r="K214" s="2" t="s">
        <v>48</v>
      </c>
      <c r="L214">
        <v>1550.49</v>
      </c>
      <c r="M214">
        <v>3</v>
      </c>
      <c r="N214">
        <v>16.516999999999999</v>
      </c>
      <c r="O214">
        <v>6100231</v>
      </c>
      <c r="P214" s="2" t="s">
        <v>50</v>
      </c>
      <c r="Q214" s="2" t="s">
        <v>51</v>
      </c>
      <c r="R214" s="2" t="s">
        <v>30</v>
      </c>
      <c r="S214">
        <v>2</v>
      </c>
      <c r="T214" s="1">
        <v>43167</v>
      </c>
      <c r="U214" s="1">
        <v>43168</v>
      </c>
      <c r="V214" s="2"/>
      <c r="W214" s="1">
        <f>fNotasFiscais[[#This Row],[Data da Coleta]]+fNotasFiscais[[#This Row],[Prazo Contratado]]</f>
        <v>43169</v>
      </c>
      <c r="X214" s="3">
        <f>IF(fNotasFiscais[[#This Row],[Data da Entrega]]&gt;fNotasFiscais[[#This Row],[Data Contratada]],0,1)</f>
        <v>1</v>
      </c>
      <c r="Y214" s="3">
        <f>IF(fNotasFiscais[[#This Row],[Ocorrência]]="",1,0)</f>
        <v>1</v>
      </c>
      <c r="Z214" s="2">
        <f>fNotasFiscais[[#This Row],[On Time]]*fNotasFiscais[[#This Row],[In Full]]</f>
        <v>1</v>
      </c>
      <c r="AA214">
        <f>IF(fNotasFiscais[[#This Row],[Nota Fiscal]]&lt;&gt;"",1,0)</f>
        <v>1</v>
      </c>
    </row>
    <row r="215" spans="1:27" x14ac:dyDescent="0.25">
      <c r="A215" s="1">
        <v>43167</v>
      </c>
      <c r="B215">
        <v>10663</v>
      </c>
      <c r="C215" s="2" t="s">
        <v>40</v>
      </c>
      <c r="D215" s="2" t="s">
        <v>41</v>
      </c>
      <c r="E215" s="2" t="s">
        <v>33</v>
      </c>
      <c r="F215">
        <v>4049</v>
      </c>
      <c r="G215" s="2" t="s">
        <v>118</v>
      </c>
      <c r="H215" s="2" t="s">
        <v>97</v>
      </c>
      <c r="I215" s="2" t="s">
        <v>48</v>
      </c>
      <c r="J215" s="2" t="s">
        <v>49</v>
      </c>
      <c r="K215" s="2" t="s">
        <v>48</v>
      </c>
      <c r="L215">
        <v>2057.34</v>
      </c>
      <c r="M215">
        <v>1</v>
      </c>
      <c r="N215">
        <v>5.2380000000000004</v>
      </c>
      <c r="O215">
        <v>6100231</v>
      </c>
      <c r="P215" s="2" t="s">
        <v>50</v>
      </c>
      <c r="Q215" s="2" t="s">
        <v>51</v>
      </c>
      <c r="R215" s="2" t="s">
        <v>30</v>
      </c>
      <c r="S215">
        <v>6</v>
      </c>
      <c r="T215" s="1">
        <v>43167</v>
      </c>
      <c r="U215" s="1">
        <v>43171</v>
      </c>
      <c r="V215" s="2"/>
      <c r="W215" s="1">
        <f>fNotasFiscais[[#This Row],[Data da Coleta]]+fNotasFiscais[[#This Row],[Prazo Contratado]]</f>
        <v>43173</v>
      </c>
      <c r="X215" s="3">
        <f>IF(fNotasFiscais[[#This Row],[Data da Entrega]]&gt;fNotasFiscais[[#This Row],[Data Contratada]],0,1)</f>
        <v>1</v>
      </c>
      <c r="Y215" s="3">
        <f>IF(fNotasFiscais[[#This Row],[Ocorrência]]="",1,0)</f>
        <v>1</v>
      </c>
      <c r="Z215" s="2">
        <f>fNotasFiscais[[#This Row],[On Time]]*fNotasFiscais[[#This Row],[In Full]]</f>
        <v>1</v>
      </c>
      <c r="AA215">
        <f>IF(fNotasFiscais[[#This Row],[Nota Fiscal]]&lt;&gt;"",1,0)</f>
        <v>1</v>
      </c>
    </row>
    <row r="216" spans="1:27" x14ac:dyDescent="0.25">
      <c r="A216" s="1">
        <v>43167</v>
      </c>
      <c r="B216">
        <v>10664</v>
      </c>
      <c r="C216" s="2" t="s">
        <v>40</v>
      </c>
      <c r="D216" s="2" t="s">
        <v>41</v>
      </c>
      <c r="E216" s="2" t="s">
        <v>33</v>
      </c>
      <c r="F216">
        <v>4049</v>
      </c>
      <c r="G216" s="2" t="s">
        <v>118</v>
      </c>
      <c r="H216" s="2" t="s">
        <v>97</v>
      </c>
      <c r="I216" s="2" t="s">
        <v>48</v>
      </c>
      <c r="J216" s="2" t="s">
        <v>49</v>
      </c>
      <c r="K216" s="2" t="s">
        <v>48</v>
      </c>
      <c r="L216">
        <v>3188.19</v>
      </c>
      <c r="M216">
        <v>5</v>
      </c>
      <c r="N216">
        <v>23.381</v>
      </c>
      <c r="O216">
        <v>6100231</v>
      </c>
      <c r="P216" s="2" t="s">
        <v>50</v>
      </c>
      <c r="Q216" s="2" t="s">
        <v>51</v>
      </c>
      <c r="R216" s="2" t="s">
        <v>30</v>
      </c>
      <c r="S216">
        <v>6</v>
      </c>
      <c r="T216" s="1">
        <v>43167</v>
      </c>
      <c r="U216" s="1">
        <v>43171</v>
      </c>
      <c r="V216" s="2"/>
      <c r="W216" s="1">
        <f>fNotasFiscais[[#This Row],[Data da Coleta]]+fNotasFiscais[[#This Row],[Prazo Contratado]]</f>
        <v>43173</v>
      </c>
      <c r="X216" s="3">
        <f>IF(fNotasFiscais[[#This Row],[Data da Entrega]]&gt;fNotasFiscais[[#This Row],[Data Contratada]],0,1)</f>
        <v>1</v>
      </c>
      <c r="Y216" s="3">
        <f>IF(fNotasFiscais[[#This Row],[Ocorrência]]="",1,0)</f>
        <v>1</v>
      </c>
      <c r="Z216" s="2">
        <f>fNotasFiscais[[#This Row],[On Time]]*fNotasFiscais[[#This Row],[In Full]]</f>
        <v>1</v>
      </c>
      <c r="AA216">
        <f>IF(fNotasFiscais[[#This Row],[Nota Fiscal]]&lt;&gt;"",1,0)</f>
        <v>1</v>
      </c>
    </row>
    <row r="217" spans="1:27" x14ac:dyDescent="0.25">
      <c r="A217" s="1">
        <v>43167</v>
      </c>
      <c r="B217">
        <v>10665</v>
      </c>
      <c r="C217" s="2" t="s">
        <v>40</v>
      </c>
      <c r="D217" s="2" t="s">
        <v>41</v>
      </c>
      <c r="E217" s="2" t="s">
        <v>33</v>
      </c>
      <c r="F217">
        <v>4049</v>
      </c>
      <c r="G217" s="2" t="s">
        <v>118</v>
      </c>
      <c r="H217" s="2" t="s">
        <v>97</v>
      </c>
      <c r="I217" s="2" t="s">
        <v>48</v>
      </c>
      <c r="J217" s="2" t="s">
        <v>49</v>
      </c>
      <c r="K217" s="2" t="s">
        <v>48</v>
      </c>
      <c r="L217">
        <v>2067.81</v>
      </c>
      <c r="M217">
        <v>4</v>
      </c>
      <c r="N217">
        <v>17.826000000000001</v>
      </c>
      <c r="O217">
        <v>6100231</v>
      </c>
      <c r="P217" s="2" t="s">
        <v>50</v>
      </c>
      <c r="Q217" s="2" t="s">
        <v>51</v>
      </c>
      <c r="R217" s="2" t="s">
        <v>30</v>
      </c>
      <c r="S217">
        <v>4</v>
      </c>
      <c r="T217" s="1">
        <v>43167</v>
      </c>
      <c r="U217" s="1">
        <v>43170</v>
      </c>
      <c r="V217" s="2"/>
      <c r="W217" s="1">
        <f>fNotasFiscais[[#This Row],[Data da Coleta]]+fNotasFiscais[[#This Row],[Prazo Contratado]]</f>
        <v>43171</v>
      </c>
      <c r="X217" s="3">
        <f>IF(fNotasFiscais[[#This Row],[Data da Entrega]]&gt;fNotasFiscais[[#This Row],[Data Contratada]],0,1)</f>
        <v>1</v>
      </c>
      <c r="Y217" s="3">
        <f>IF(fNotasFiscais[[#This Row],[Ocorrência]]="",1,0)</f>
        <v>1</v>
      </c>
      <c r="Z217" s="2">
        <f>fNotasFiscais[[#This Row],[On Time]]*fNotasFiscais[[#This Row],[In Full]]</f>
        <v>1</v>
      </c>
      <c r="AA217">
        <f>IF(fNotasFiscais[[#This Row],[Nota Fiscal]]&lt;&gt;"",1,0)</f>
        <v>1</v>
      </c>
    </row>
    <row r="218" spans="1:27" x14ac:dyDescent="0.25">
      <c r="A218" s="1">
        <v>43167</v>
      </c>
      <c r="B218">
        <v>10666</v>
      </c>
      <c r="C218" s="2" t="s">
        <v>43</v>
      </c>
      <c r="D218" s="2" t="s">
        <v>44</v>
      </c>
      <c r="E218" s="2" t="s">
        <v>45</v>
      </c>
      <c r="F218">
        <v>4049</v>
      </c>
      <c r="G218" s="2" t="s">
        <v>118</v>
      </c>
      <c r="H218" s="2" t="s">
        <v>97</v>
      </c>
      <c r="I218" s="2" t="s">
        <v>48</v>
      </c>
      <c r="J218" s="2" t="s">
        <v>49</v>
      </c>
      <c r="K218" s="2" t="s">
        <v>48</v>
      </c>
      <c r="L218">
        <v>849.91</v>
      </c>
      <c r="M218">
        <v>1</v>
      </c>
      <c r="N218">
        <v>3.96</v>
      </c>
      <c r="O218">
        <v>6100231</v>
      </c>
      <c r="P218" s="2" t="s">
        <v>50</v>
      </c>
      <c r="Q218" s="2" t="s">
        <v>51</v>
      </c>
      <c r="R218" s="2" t="s">
        <v>30</v>
      </c>
      <c r="S218">
        <v>12</v>
      </c>
      <c r="T218" s="1">
        <v>43167</v>
      </c>
      <c r="U218" s="1">
        <v>43172</v>
      </c>
      <c r="V218" s="2" t="s">
        <v>57</v>
      </c>
      <c r="W218" s="1">
        <f>fNotasFiscais[[#This Row],[Data da Coleta]]+fNotasFiscais[[#This Row],[Prazo Contratado]]</f>
        <v>43179</v>
      </c>
      <c r="X218" s="3">
        <f>IF(fNotasFiscais[[#This Row],[Data da Entrega]]&gt;fNotasFiscais[[#This Row],[Data Contratada]],0,1)</f>
        <v>1</v>
      </c>
      <c r="Y218" s="3">
        <f>IF(fNotasFiscais[[#This Row],[Ocorrência]]="",1,0)</f>
        <v>0</v>
      </c>
      <c r="Z218" s="2">
        <f>fNotasFiscais[[#This Row],[On Time]]*fNotasFiscais[[#This Row],[In Full]]</f>
        <v>0</v>
      </c>
      <c r="AA218">
        <f>IF(fNotasFiscais[[#This Row],[Nota Fiscal]]&lt;&gt;"",1,0)</f>
        <v>1</v>
      </c>
    </row>
    <row r="219" spans="1:27" x14ac:dyDescent="0.25">
      <c r="A219" s="1">
        <v>43167</v>
      </c>
      <c r="B219">
        <v>10667</v>
      </c>
      <c r="C219" s="2" t="s">
        <v>40</v>
      </c>
      <c r="D219" s="2" t="s">
        <v>41</v>
      </c>
      <c r="E219" s="2" t="s">
        <v>33</v>
      </c>
      <c r="F219">
        <v>4049</v>
      </c>
      <c r="G219" s="2" t="s">
        <v>118</v>
      </c>
      <c r="H219" s="2" t="s">
        <v>97</v>
      </c>
      <c r="I219" s="2" t="s">
        <v>48</v>
      </c>
      <c r="J219" s="2" t="s">
        <v>49</v>
      </c>
      <c r="K219" s="2" t="s">
        <v>48</v>
      </c>
      <c r="L219">
        <v>873.13</v>
      </c>
      <c r="M219">
        <v>1</v>
      </c>
      <c r="N219">
        <v>5.7759999999999998</v>
      </c>
      <c r="O219">
        <v>6100231</v>
      </c>
      <c r="P219" s="2" t="s">
        <v>50</v>
      </c>
      <c r="Q219" s="2" t="s">
        <v>51</v>
      </c>
      <c r="R219" s="2" t="s">
        <v>30</v>
      </c>
      <c r="S219">
        <v>2</v>
      </c>
      <c r="T219" s="1">
        <v>43167</v>
      </c>
      <c r="U219" s="1">
        <v>43171</v>
      </c>
      <c r="V219" s="2"/>
      <c r="W219" s="1">
        <f>fNotasFiscais[[#This Row],[Data da Coleta]]+fNotasFiscais[[#This Row],[Prazo Contratado]]</f>
        <v>43169</v>
      </c>
      <c r="X219" s="3">
        <f>IF(fNotasFiscais[[#This Row],[Data da Entrega]]&gt;fNotasFiscais[[#This Row],[Data Contratada]],0,1)</f>
        <v>0</v>
      </c>
      <c r="Y219" s="3">
        <f>IF(fNotasFiscais[[#This Row],[Ocorrência]]="",1,0)</f>
        <v>1</v>
      </c>
      <c r="Z219" s="2">
        <f>fNotasFiscais[[#This Row],[On Time]]*fNotasFiscais[[#This Row],[In Full]]</f>
        <v>0</v>
      </c>
      <c r="AA219">
        <f>IF(fNotasFiscais[[#This Row],[Nota Fiscal]]&lt;&gt;"",1,0)</f>
        <v>1</v>
      </c>
    </row>
    <row r="220" spans="1:27" x14ac:dyDescent="0.25">
      <c r="A220" s="1">
        <v>43167</v>
      </c>
      <c r="B220">
        <v>10668</v>
      </c>
      <c r="C220" s="2" t="s">
        <v>52</v>
      </c>
      <c r="D220" s="2" t="s">
        <v>53</v>
      </c>
      <c r="E220" s="2" t="s">
        <v>33</v>
      </c>
      <c r="F220">
        <v>4049</v>
      </c>
      <c r="G220" s="2" t="s">
        <v>118</v>
      </c>
      <c r="H220" s="2" t="s">
        <v>97</v>
      </c>
      <c r="I220" s="2" t="s">
        <v>48</v>
      </c>
      <c r="J220" s="2" t="s">
        <v>49</v>
      </c>
      <c r="K220" s="2" t="s">
        <v>48</v>
      </c>
      <c r="L220">
        <v>1282.32</v>
      </c>
      <c r="M220">
        <v>2</v>
      </c>
      <c r="N220">
        <v>7.4260000000000002</v>
      </c>
      <c r="O220">
        <v>6100231</v>
      </c>
      <c r="P220" s="2" t="s">
        <v>50</v>
      </c>
      <c r="Q220" s="2" t="s">
        <v>51</v>
      </c>
      <c r="R220" s="2" t="s">
        <v>30</v>
      </c>
      <c r="S220">
        <v>1</v>
      </c>
      <c r="T220" s="1">
        <v>43167</v>
      </c>
      <c r="U220" s="1">
        <v>43174</v>
      </c>
      <c r="V220" s="2"/>
      <c r="W220" s="1">
        <f>fNotasFiscais[[#This Row],[Data da Coleta]]+fNotasFiscais[[#This Row],[Prazo Contratado]]</f>
        <v>43168</v>
      </c>
      <c r="X220" s="3">
        <f>IF(fNotasFiscais[[#This Row],[Data da Entrega]]&gt;fNotasFiscais[[#This Row],[Data Contratada]],0,1)</f>
        <v>0</v>
      </c>
      <c r="Y220" s="3">
        <f>IF(fNotasFiscais[[#This Row],[Ocorrência]]="",1,0)</f>
        <v>1</v>
      </c>
      <c r="Z220" s="2">
        <f>fNotasFiscais[[#This Row],[On Time]]*fNotasFiscais[[#This Row],[In Full]]</f>
        <v>0</v>
      </c>
      <c r="AA220">
        <f>IF(fNotasFiscais[[#This Row],[Nota Fiscal]]&lt;&gt;"",1,0)</f>
        <v>1</v>
      </c>
    </row>
    <row r="221" spans="1:27" x14ac:dyDescent="0.25">
      <c r="A221" s="1">
        <v>43143</v>
      </c>
      <c r="B221">
        <v>10588</v>
      </c>
      <c r="C221" s="2" t="s">
        <v>40</v>
      </c>
      <c r="D221" s="2" t="s">
        <v>41</v>
      </c>
      <c r="E221" s="2" t="s">
        <v>33</v>
      </c>
      <c r="F221">
        <v>4056</v>
      </c>
      <c r="G221" s="2" t="s">
        <v>119</v>
      </c>
      <c r="H221" s="2" t="s">
        <v>51</v>
      </c>
      <c r="I221" s="2" t="s">
        <v>73</v>
      </c>
      <c r="J221" s="2" t="s">
        <v>49</v>
      </c>
      <c r="K221" s="2" t="s">
        <v>73</v>
      </c>
      <c r="L221">
        <v>2376.9</v>
      </c>
      <c r="M221">
        <v>2</v>
      </c>
      <c r="N221">
        <v>22.88</v>
      </c>
      <c r="O221">
        <v>6100231</v>
      </c>
      <c r="P221" s="2" t="s">
        <v>50</v>
      </c>
      <c r="Q221" s="2" t="s">
        <v>51</v>
      </c>
      <c r="R221" s="2" t="s">
        <v>30</v>
      </c>
      <c r="S221">
        <v>12</v>
      </c>
      <c r="T221" s="1">
        <v>43144</v>
      </c>
      <c r="U221" s="1">
        <v>43153</v>
      </c>
      <c r="V221" s="2"/>
      <c r="W221" s="1">
        <f>fNotasFiscais[[#This Row],[Data da Coleta]]+fNotasFiscais[[#This Row],[Prazo Contratado]]</f>
        <v>43156</v>
      </c>
      <c r="X221" s="3">
        <f>IF(fNotasFiscais[[#This Row],[Data da Entrega]]&gt;fNotasFiscais[[#This Row],[Data Contratada]],0,1)</f>
        <v>1</v>
      </c>
      <c r="Y221" s="3">
        <f>IF(fNotasFiscais[[#This Row],[Ocorrência]]="",1,0)</f>
        <v>1</v>
      </c>
      <c r="Z221" s="2">
        <f>fNotasFiscais[[#This Row],[On Time]]*fNotasFiscais[[#This Row],[In Full]]</f>
        <v>1</v>
      </c>
      <c r="AA221">
        <f>IF(fNotasFiscais[[#This Row],[Nota Fiscal]]&lt;&gt;"",1,0)</f>
        <v>1</v>
      </c>
    </row>
    <row r="222" spans="1:27" x14ac:dyDescent="0.25">
      <c r="A222" s="1">
        <v>43143</v>
      </c>
      <c r="B222">
        <v>10589</v>
      </c>
      <c r="C222" s="2" t="s">
        <v>34</v>
      </c>
      <c r="D222" s="2" t="s">
        <v>35</v>
      </c>
      <c r="E222" s="2" t="s">
        <v>36</v>
      </c>
      <c r="F222">
        <v>4056</v>
      </c>
      <c r="G222" s="2" t="s">
        <v>119</v>
      </c>
      <c r="H222" s="2" t="s">
        <v>51</v>
      </c>
      <c r="I222" s="2" t="s">
        <v>73</v>
      </c>
      <c r="J222" s="2" t="s">
        <v>49</v>
      </c>
      <c r="K222" s="2" t="s">
        <v>73</v>
      </c>
      <c r="L222">
        <v>7906</v>
      </c>
      <c r="M222">
        <v>4</v>
      </c>
      <c r="N222">
        <v>31.788</v>
      </c>
      <c r="O222">
        <v>6100231</v>
      </c>
      <c r="P222" s="2" t="s">
        <v>50</v>
      </c>
      <c r="Q222" s="2" t="s">
        <v>51</v>
      </c>
      <c r="R222" s="2" t="s">
        <v>30</v>
      </c>
      <c r="S222">
        <v>12</v>
      </c>
      <c r="T222" s="1">
        <v>43144</v>
      </c>
      <c r="U222" s="1">
        <v>43154</v>
      </c>
      <c r="V222" s="2"/>
      <c r="W222" s="1">
        <f>fNotasFiscais[[#This Row],[Data da Coleta]]+fNotasFiscais[[#This Row],[Prazo Contratado]]</f>
        <v>43156</v>
      </c>
      <c r="X222" s="3">
        <f>IF(fNotasFiscais[[#This Row],[Data da Entrega]]&gt;fNotasFiscais[[#This Row],[Data Contratada]],0,1)</f>
        <v>1</v>
      </c>
      <c r="Y222" s="3">
        <f>IF(fNotasFiscais[[#This Row],[Ocorrência]]="",1,0)</f>
        <v>1</v>
      </c>
      <c r="Z222" s="2">
        <f>fNotasFiscais[[#This Row],[On Time]]*fNotasFiscais[[#This Row],[In Full]]</f>
        <v>1</v>
      </c>
      <c r="AA222">
        <f>IF(fNotasFiscais[[#This Row],[Nota Fiscal]]&lt;&gt;"",1,0)</f>
        <v>1</v>
      </c>
    </row>
    <row r="223" spans="1:27" x14ac:dyDescent="0.25">
      <c r="A223" s="1">
        <v>43143</v>
      </c>
      <c r="B223">
        <v>10590</v>
      </c>
      <c r="C223" s="2" t="s">
        <v>40</v>
      </c>
      <c r="D223" s="2" t="s">
        <v>41</v>
      </c>
      <c r="E223" s="2" t="s">
        <v>33</v>
      </c>
      <c r="F223">
        <v>4056</v>
      </c>
      <c r="G223" s="2" t="s">
        <v>119</v>
      </c>
      <c r="H223" s="2" t="s">
        <v>51</v>
      </c>
      <c r="I223" s="2" t="s">
        <v>73</v>
      </c>
      <c r="J223" s="2" t="s">
        <v>49</v>
      </c>
      <c r="K223" s="2" t="s">
        <v>73</v>
      </c>
      <c r="L223">
        <v>3623.83</v>
      </c>
      <c r="M223">
        <v>10</v>
      </c>
      <c r="N223">
        <v>134.19999999999999</v>
      </c>
      <c r="O223">
        <v>6100231</v>
      </c>
      <c r="P223" s="2" t="s">
        <v>50</v>
      </c>
      <c r="Q223" s="2" t="s">
        <v>51</v>
      </c>
      <c r="R223" s="2" t="s">
        <v>30</v>
      </c>
      <c r="S223">
        <v>11</v>
      </c>
      <c r="T223" s="1">
        <v>43144</v>
      </c>
      <c r="U223" s="1">
        <v>43145</v>
      </c>
      <c r="V223" s="2"/>
      <c r="W223" s="1">
        <f>fNotasFiscais[[#This Row],[Data da Coleta]]+fNotasFiscais[[#This Row],[Prazo Contratado]]</f>
        <v>43155</v>
      </c>
      <c r="X223" s="3">
        <f>IF(fNotasFiscais[[#This Row],[Data da Entrega]]&gt;fNotasFiscais[[#This Row],[Data Contratada]],0,1)</f>
        <v>1</v>
      </c>
      <c r="Y223" s="3">
        <f>IF(fNotasFiscais[[#This Row],[Ocorrência]]="",1,0)</f>
        <v>1</v>
      </c>
      <c r="Z223" s="2">
        <f>fNotasFiscais[[#This Row],[On Time]]*fNotasFiscais[[#This Row],[In Full]]</f>
        <v>1</v>
      </c>
      <c r="AA223">
        <f>IF(fNotasFiscais[[#This Row],[Nota Fiscal]]&lt;&gt;"",1,0)</f>
        <v>1</v>
      </c>
    </row>
    <row r="224" spans="1:27" x14ac:dyDescent="0.25">
      <c r="A224" s="1">
        <v>43158</v>
      </c>
      <c r="B224">
        <v>10636</v>
      </c>
      <c r="C224" s="2" t="s">
        <v>54</v>
      </c>
      <c r="D224" s="2" t="s">
        <v>55</v>
      </c>
      <c r="E224" s="2" t="s">
        <v>56</v>
      </c>
      <c r="F224">
        <v>4056</v>
      </c>
      <c r="G224" s="2" t="s">
        <v>119</v>
      </c>
      <c r="H224" s="2" t="s">
        <v>51</v>
      </c>
      <c r="I224" s="2" t="s">
        <v>73</v>
      </c>
      <c r="J224" s="2" t="s">
        <v>49</v>
      </c>
      <c r="K224" s="2" t="s">
        <v>73</v>
      </c>
      <c r="L224">
        <v>2320.09</v>
      </c>
      <c r="M224">
        <v>3</v>
      </c>
      <c r="N224">
        <v>5.2690000000000001</v>
      </c>
      <c r="O224">
        <v>6100231</v>
      </c>
      <c r="P224" s="2" t="s">
        <v>50</v>
      </c>
      <c r="Q224" s="2" t="s">
        <v>51</v>
      </c>
      <c r="R224" s="2" t="s">
        <v>30</v>
      </c>
      <c r="S224">
        <v>9</v>
      </c>
      <c r="T224" s="1">
        <v>43159</v>
      </c>
      <c r="U224" s="1">
        <v>43162</v>
      </c>
      <c r="V224" s="2"/>
      <c r="W224" s="1">
        <f>fNotasFiscais[[#This Row],[Data da Coleta]]+fNotasFiscais[[#This Row],[Prazo Contratado]]</f>
        <v>43168</v>
      </c>
      <c r="X224" s="3">
        <f>IF(fNotasFiscais[[#This Row],[Data da Entrega]]&gt;fNotasFiscais[[#This Row],[Data Contratada]],0,1)</f>
        <v>1</v>
      </c>
      <c r="Y224" s="3">
        <f>IF(fNotasFiscais[[#This Row],[Ocorrência]]="",1,0)</f>
        <v>1</v>
      </c>
      <c r="Z224" s="2">
        <f>fNotasFiscais[[#This Row],[On Time]]*fNotasFiscais[[#This Row],[In Full]]</f>
        <v>1</v>
      </c>
      <c r="AA224">
        <f>IF(fNotasFiscais[[#This Row],[Nota Fiscal]]&lt;&gt;"",1,0)</f>
        <v>1</v>
      </c>
    </row>
    <row r="225" spans="1:27" x14ac:dyDescent="0.25">
      <c r="A225" s="1">
        <v>43158</v>
      </c>
      <c r="B225">
        <v>10639</v>
      </c>
      <c r="C225" s="2" t="s">
        <v>34</v>
      </c>
      <c r="D225" s="2" t="s">
        <v>35</v>
      </c>
      <c r="E225" s="2" t="s">
        <v>36</v>
      </c>
      <c r="F225">
        <v>4056</v>
      </c>
      <c r="G225" s="2" t="s">
        <v>119</v>
      </c>
      <c r="H225" s="2" t="s">
        <v>51</v>
      </c>
      <c r="I225" s="2" t="s">
        <v>73</v>
      </c>
      <c r="J225" s="2" t="s">
        <v>49</v>
      </c>
      <c r="K225" s="2" t="s">
        <v>73</v>
      </c>
      <c r="L225">
        <v>35.04</v>
      </c>
      <c r="M225">
        <v>2</v>
      </c>
      <c r="N225">
        <v>0.13500000000000001</v>
      </c>
      <c r="O225">
        <v>6100231</v>
      </c>
      <c r="P225" s="2" t="s">
        <v>50</v>
      </c>
      <c r="Q225" s="2" t="s">
        <v>51</v>
      </c>
      <c r="R225" s="2" t="s">
        <v>30</v>
      </c>
      <c r="S225">
        <v>7</v>
      </c>
      <c r="T225" s="1">
        <v>43159</v>
      </c>
      <c r="U225" s="1">
        <v>43167</v>
      </c>
      <c r="V225" s="2"/>
      <c r="W225" s="1">
        <f>fNotasFiscais[[#This Row],[Data da Coleta]]+fNotasFiscais[[#This Row],[Prazo Contratado]]</f>
        <v>43166</v>
      </c>
      <c r="X225" s="3">
        <f>IF(fNotasFiscais[[#This Row],[Data da Entrega]]&gt;fNotasFiscais[[#This Row],[Data Contratada]],0,1)</f>
        <v>0</v>
      </c>
      <c r="Y225" s="3">
        <f>IF(fNotasFiscais[[#This Row],[Ocorrência]]="",1,0)</f>
        <v>1</v>
      </c>
      <c r="Z225" s="2">
        <f>fNotasFiscais[[#This Row],[On Time]]*fNotasFiscais[[#This Row],[In Full]]</f>
        <v>0</v>
      </c>
      <c r="AA225">
        <f>IF(fNotasFiscais[[#This Row],[Nota Fiscal]]&lt;&gt;"",1,0)</f>
        <v>1</v>
      </c>
    </row>
    <row r="226" spans="1:27" x14ac:dyDescent="0.25">
      <c r="A226" s="1">
        <v>43158</v>
      </c>
      <c r="B226">
        <v>10643</v>
      </c>
      <c r="C226" s="2" t="s">
        <v>43</v>
      </c>
      <c r="D226" s="2" t="s">
        <v>44</v>
      </c>
      <c r="E226" s="2" t="s">
        <v>45</v>
      </c>
      <c r="F226">
        <v>4056</v>
      </c>
      <c r="G226" s="2" t="s">
        <v>119</v>
      </c>
      <c r="H226" s="2" t="s">
        <v>51</v>
      </c>
      <c r="I226" s="2" t="s">
        <v>73</v>
      </c>
      <c r="J226" s="2" t="s">
        <v>49</v>
      </c>
      <c r="K226" s="2" t="s">
        <v>73</v>
      </c>
      <c r="L226">
        <v>1567.18</v>
      </c>
      <c r="M226">
        <v>1</v>
      </c>
      <c r="N226">
        <v>6.8090000000000002</v>
      </c>
      <c r="O226">
        <v>6100231</v>
      </c>
      <c r="P226" s="2" t="s">
        <v>50</v>
      </c>
      <c r="Q226" s="2" t="s">
        <v>51</v>
      </c>
      <c r="R226" s="2" t="s">
        <v>30</v>
      </c>
      <c r="S226">
        <v>9</v>
      </c>
      <c r="T226" s="1">
        <v>43159</v>
      </c>
      <c r="U226" s="1">
        <v>43168</v>
      </c>
      <c r="V226" s="2"/>
      <c r="W226" s="1">
        <f>fNotasFiscais[[#This Row],[Data da Coleta]]+fNotasFiscais[[#This Row],[Prazo Contratado]]</f>
        <v>43168</v>
      </c>
      <c r="X226" s="3">
        <f>IF(fNotasFiscais[[#This Row],[Data da Entrega]]&gt;fNotasFiscais[[#This Row],[Data Contratada]],0,1)</f>
        <v>1</v>
      </c>
      <c r="Y226" s="3">
        <f>IF(fNotasFiscais[[#This Row],[Ocorrência]]="",1,0)</f>
        <v>1</v>
      </c>
      <c r="Z226" s="2">
        <f>fNotasFiscais[[#This Row],[On Time]]*fNotasFiscais[[#This Row],[In Full]]</f>
        <v>1</v>
      </c>
      <c r="AA226">
        <f>IF(fNotasFiscais[[#This Row],[Nota Fiscal]]&lt;&gt;"",1,0)</f>
        <v>1</v>
      </c>
    </row>
    <row r="227" spans="1:27" x14ac:dyDescent="0.25">
      <c r="A227" s="1">
        <v>43139</v>
      </c>
      <c r="B227">
        <v>10575</v>
      </c>
      <c r="C227" s="2" t="s">
        <v>40</v>
      </c>
      <c r="D227" s="2" t="s">
        <v>41</v>
      </c>
      <c r="E227" s="2" t="s">
        <v>33</v>
      </c>
      <c r="F227">
        <v>4055</v>
      </c>
      <c r="G227" s="2" t="s">
        <v>120</v>
      </c>
      <c r="H227" s="2" t="s">
        <v>47</v>
      </c>
      <c r="I227" s="2" t="s">
        <v>48</v>
      </c>
      <c r="J227" s="2" t="s">
        <v>49</v>
      </c>
      <c r="K227" s="2" t="s">
        <v>48</v>
      </c>
      <c r="L227">
        <v>425.44</v>
      </c>
      <c r="M227">
        <v>1</v>
      </c>
      <c r="N227">
        <v>0.27200000000000002</v>
      </c>
      <c r="O227">
        <v>6100231</v>
      </c>
      <c r="P227" s="2" t="s">
        <v>50</v>
      </c>
      <c r="Q227" s="2" t="s">
        <v>51</v>
      </c>
      <c r="R227" s="2" t="s">
        <v>30</v>
      </c>
      <c r="S227">
        <v>6</v>
      </c>
      <c r="T227" s="1">
        <v>43140</v>
      </c>
      <c r="U227" s="1">
        <v>43144</v>
      </c>
      <c r="V227" s="2"/>
      <c r="W227" s="1">
        <f>fNotasFiscais[[#This Row],[Data da Coleta]]+fNotasFiscais[[#This Row],[Prazo Contratado]]</f>
        <v>43146</v>
      </c>
      <c r="X227" s="3">
        <f>IF(fNotasFiscais[[#This Row],[Data da Entrega]]&gt;fNotasFiscais[[#This Row],[Data Contratada]],0,1)</f>
        <v>1</v>
      </c>
      <c r="Y227" s="3">
        <f>IF(fNotasFiscais[[#This Row],[Ocorrência]]="",1,0)</f>
        <v>1</v>
      </c>
      <c r="Z227" s="2">
        <f>fNotasFiscais[[#This Row],[On Time]]*fNotasFiscais[[#This Row],[In Full]]</f>
        <v>1</v>
      </c>
      <c r="AA227">
        <f>IF(fNotasFiscais[[#This Row],[Nota Fiscal]]&lt;&gt;"",1,0)</f>
        <v>1</v>
      </c>
    </row>
    <row r="228" spans="1:27" x14ac:dyDescent="0.25">
      <c r="A228" s="1">
        <v>43139</v>
      </c>
      <c r="B228">
        <v>10580</v>
      </c>
      <c r="C228" s="2" t="s">
        <v>54</v>
      </c>
      <c r="D228" s="2" t="s">
        <v>55</v>
      </c>
      <c r="E228" s="2" t="s">
        <v>56</v>
      </c>
      <c r="F228">
        <v>4055</v>
      </c>
      <c r="G228" s="2" t="s">
        <v>120</v>
      </c>
      <c r="H228" s="2" t="s">
        <v>47</v>
      </c>
      <c r="I228" s="2" t="s">
        <v>48</v>
      </c>
      <c r="J228" s="2" t="s">
        <v>49</v>
      </c>
      <c r="K228" s="2" t="s">
        <v>48</v>
      </c>
      <c r="L228">
        <v>749.68</v>
      </c>
      <c r="M228">
        <v>1</v>
      </c>
      <c r="N228">
        <v>1.1439999999999999</v>
      </c>
      <c r="O228">
        <v>6100231</v>
      </c>
      <c r="P228" s="2" t="s">
        <v>50</v>
      </c>
      <c r="Q228" s="2" t="s">
        <v>51</v>
      </c>
      <c r="R228" s="2" t="s">
        <v>30</v>
      </c>
      <c r="S228">
        <v>9</v>
      </c>
      <c r="T228" s="1">
        <v>43140</v>
      </c>
      <c r="U228" s="1">
        <v>43143</v>
      </c>
      <c r="V228" s="2"/>
      <c r="W228" s="1">
        <f>fNotasFiscais[[#This Row],[Data da Coleta]]+fNotasFiscais[[#This Row],[Prazo Contratado]]</f>
        <v>43149</v>
      </c>
      <c r="X228" s="3">
        <f>IF(fNotasFiscais[[#This Row],[Data da Entrega]]&gt;fNotasFiscais[[#This Row],[Data Contratada]],0,1)</f>
        <v>1</v>
      </c>
      <c r="Y228" s="3">
        <f>IF(fNotasFiscais[[#This Row],[Ocorrência]]="",1,0)</f>
        <v>1</v>
      </c>
      <c r="Z228" s="2">
        <f>fNotasFiscais[[#This Row],[On Time]]*fNotasFiscais[[#This Row],[In Full]]</f>
        <v>1</v>
      </c>
      <c r="AA228">
        <f>IF(fNotasFiscais[[#This Row],[Nota Fiscal]]&lt;&gt;"",1,0)</f>
        <v>1</v>
      </c>
    </row>
    <row r="229" spans="1:27" x14ac:dyDescent="0.25">
      <c r="A229" s="1">
        <v>43140</v>
      </c>
      <c r="B229">
        <v>10583</v>
      </c>
      <c r="C229" s="2" t="s">
        <v>54</v>
      </c>
      <c r="D229" s="2" t="s">
        <v>55</v>
      </c>
      <c r="E229" s="2" t="s">
        <v>56</v>
      </c>
      <c r="F229">
        <v>4055</v>
      </c>
      <c r="G229" s="2" t="s">
        <v>120</v>
      </c>
      <c r="H229" s="2" t="s">
        <v>47</v>
      </c>
      <c r="I229" s="2" t="s">
        <v>48</v>
      </c>
      <c r="J229" s="2" t="s">
        <v>49</v>
      </c>
      <c r="K229" s="2" t="s">
        <v>48</v>
      </c>
      <c r="L229">
        <v>786.27</v>
      </c>
      <c r="M229">
        <v>1</v>
      </c>
      <c r="N229">
        <v>1.101</v>
      </c>
      <c r="O229">
        <v>6100231</v>
      </c>
      <c r="P229" s="2" t="s">
        <v>50</v>
      </c>
      <c r="Q229" s="2" t="s">
        <v>51</v>
      </c>
      <c r="R229" s="2" t="s">
        <v>30</v>
      </c>
      <c r="S229">
        <v>4</v>
      </c>
      <c r="T229" s="1">
        <v>43141</v>
      </c>
      <c r="U229" s="1">
        <v>43146</v>
      </c>
      <c r="V229" s="2"/>
      <c r="W229" s="1">
        <f>fNotasFiscais[[#This Row],[Data da Coleta]]+fNotasFiscais[[#This Row],[Prazo Contratado]]</f>
        <v>43145</v>
      </c>
      <c r="X229" s="3">
        <f>IF(fNotasFiscais[[#This Row],[Data da Entrega]]&gt;fNotasFiscais[[#This Row],[Data Contratada]],0,1)</f>
        <v>0</v>
      </c>
      <c r="Y229" s="3">
        <f>IF(fNotasFiscais[[#This Row],[Ocorrência]]="",1,0)</f>
        <v>1</v>
      </c>
      <c r="Z229" s="2">
        <f>fNotasFiscais[[#This Row],[On Time]]*fNotasFiscais[[#This Row],[In Full]]</f>
        <v>0</v>
      </c>
      <c r="AA229">
        <f>IF(fNotasFiscais[[#This Row],[Nota Fiscal]]&lt;&gt;"",1,0)</f>
        <v>1</v>
      </c>
    </row>
    <row r="230" spans="1:27" x14ac:dyDescent="0.25">
      <c r="A230" s="1">
        <v>43140</v>
      </c>
      <c r="B230">
        <v>10586</v>
      </c>
      <c r="C230" s="2" t="s">
        <v>43</v>
      </c>
      <c r="D230" s="2" t="s">
        <v>44</v>
      </c>
      <c r="E230" s="2" t="s">
        <v>45</v>
      </c>
      <c r="F230">
        <v>4055</v>
      </c>
      <c r="G230" s="2" t="s">
        <v>120</v>
      </c>
      <c r="H230" s="2" t="s">
        <v>47</v>
      </c>
      <c r="I230" s="2" t="s">
        <v>48</v>
      </c>
      <c r="J230" s="2" t="s">
        <v>49</v>
      </c>
      <c r="K230" s="2" t="s">
        <v>48</v>
      </c>
      <c r="L230">
        <v>1316.4</v>
      </c>
      <c r="M230">
        <v>6</v>
      </c>
      <c r="N230">
        <v>116.16</v>
      </c>
      <c r="O230">
        <v>6100231</v>
      </c>
      <c r="P230" s="2" t="s">
        <v>50</v>
      </c>
      <c r="Q230" s="2" t="s">
        <v>51</v>
      </c>
      <c r="R230" s="2" t="s">
        <v>30</v>
      </c>
      <c r="S230">
        <v>4</v>
      </c>
      <c r="T230" s="1">
        <v>43141</v>
      </c>
      <c r="U230" s="1">
        <v>43149</v>
      </c>
      <c r="V230" s="2"/>
      <c r="W230" s="1">
        <f>fNotasFiscais[[#This Row],[Data da Coleta]]+fNotasFiscais[[#This Row],[Prazo Contratado]]</f>
        <v>43145</v>
      </c>
      <c r="X230" s="3">
        <f>IF(fNotasFiscais[[#This Row],[Data da Entrega]]&gt;fNotasFiscais[[#This Row],[Data Contratada]],0,1)</f>
        <v>0</v>
      </c>
      <c r="Y230" s="3">
        <f>IF(fNotasFiscais[[#This Row],[Ocorrência]]="",1,0)</f>
        <v>1</v>
      </c>
      <c r="Z230" s="2">
        <f>fNotasFiscais[[#This Row],[On Time]]*fNotasFiscais[[#This Row],[In Full]]</f>
        <v>0</v>
      </c>
      <c r="AA230">
        <f>IF(fNotasFiscais[[#This Row],[Nota Fiscal]]&lt;&gt;"",1,0)</f>
        <v>1</v>
      </c>
    </row>
    <row r="231" spans="1:27" x14ac:dyDescent="0.25">
      <c r="A231" s="1">
        <v>43152</v>
      </c>
      <c r="B231">
        <v>10621</v>
      </c>
      <c r="C231" s="2" t="s">
        <v>54</v>
      </c>
      <c r="D231" s="2" t="s">
        <v>55</v>
      </c>
      <c r="E231" s="2" t="s">
        <v>56</v>
      </c>
      <c r="F231">
        <v>4055</v>
      </c>
      <c r="G231" s="2" t="s">
        <v>120</v>
      </c>
      <c r="H231" s="2" t="s">
        <v>47</v>
      </c>
      <c r="I231" s="2" t="s">
        <v>48</v>
      </c>
      <c r="J231" s="2" t="s">
        <v>49</v>
      </c>
      <c r="K231" s="2" t="s">
        <v>48</v>
      </c>
      <c r="L231">
        <v>21.49</v>
      </c>
      <c r="M231">
        <v>1</v>
      </c>
      <c r="N231">
        <v>0.217</v>
      </c>
      <c r="O231">
        <v>6100231</v>
      </c>
      <c r="P231" s="2" t="s">
        <v>50</v>
      </c>
      <c r="Q231" s="2" t="s">
        <v>51</v>
      </c>
      <c r="R231" s="2" t="s">
        <v>30</v>
      </c>
      <c r="S231">
        <v>3</v>
      </c>
      <c r="T231" s="1">
        <v>43153</v>
      </c>
      <c r="U231" s="1">
        <v>43158</v>
      </c>
      <c r="V231" s="2"/>
      <c r="W231" s="1">
        <f>fNotasFiscais[[#This Row],[Data da Coleta]]+fNotasFiscais[[#This Row],[Prazo Contratado]]</f>
        <v>43156</v>
      </c>
      <c r="X231" s="3">
        <f>IF(fNotasFiscais[[#This Row],[Data da Entrega]]&gt;fNotasFiscais[[#This Row],[Data Contratada]],0,1)</f>
        <v>0</v>
      </c>
      <c r="Y231" s="3">
        <f>IF(fNotasFiscais[[#This Row],[Ocorrência]]="",1,0)</f>
        <v>1</v>
      </c>
      <c r="Z231" s="2">
        <f>fNotasFiscais[[#This Row],[On Time]]*fNotasFiscais[[#This Row],[In Full]]</f>
        <v>0</v>
      </c>
      <c r="AA231">
        <f>IF(fNotasFiscais[[#This Row],[Nota Fiscal]]&lt;&gt;"",1,0)</f>
        <v>1</v>
      </c>
    </row>
    <row r="232" spans="1:27" x14ac:dyDescent="0.25">
      <c r="A232" s="1">
        <v>43152</v>
      </c>
      <c r="B232">
        <v>10623</v>
      </c>
      <c r="C232" s="2" t="s">
        <v>40</v>
      </c>
      <c r="D232" s="2" t="s">
        <v>41</v>
      </c>
      <c r="E232" s="2" t="s">
        <v>33</v>
      </c>
      <c r="F232">
        <v>4055</v>
      </c>
      <c r="G232" s="2" t="s">
        <v>120</v>
      </c>
      <c r="H232" s="2" t="s">
        <v>47</v>
      </c>
      <c r="I232" s="2" t="s">
        <v>48</v>
      </c>
      <c r="J232" s="2" t="s">
        <v>49</v>
      </c>
      <c r="K232" s="2" t="s">
        <v>48</v>
      </c>
      <c r="L232">
        <v>3594.73</v>
      </c>
      <c r="M232">
        <v>1</v>
      </c>
      <c r="N232">
        <v>1.1200000000000001</v>
      </c>
      <c r="O232">
        <v>6100231</v>
      </c>
      <c r="P232" s="2" t="s">
        <v>50</v>
      </c>
      <c r="Q232" s="2" t="s">
        <v>51</v>
      </c>
      <c r="R232" s="2" t="s">
        <v>30</v>
      </c>
      <c r="S232">
        <v>4</v>
      </c>
      <c r="T232" s="1">
        <v>43153</v>
      </c>
      <c r="U232" s="1">
        <v>43163</v>
      </c>
      <c r="V232" s="2"/>
      <c r="W232" s="1">
        <f>fNotasFiscais[[#This Row],[Data da Coleta]]+fNotasFiscais[[#This Row],[Prazo Contratado]]</f>
        <v>43157</v>
      </c>
      <c r="X232" s="3">
        <f>IF(fNotasFiscais[[#This Row],[Data da Entrega]]&gt;fNotasFiscais[[#This Row],[Data Contratada]],0,1)</f>
        <v>0</v>
      </c>
      <c r="Y232" s="3">
        <f>IF(fNotasFiscais[[#This Row],[Ocorrência]]="",1,0)</f>
        <v>1</v>
      </c>
      <c r="Z232" s="2">
        <f>fNotasFiscais[[#This Row],[On Time]]*fNotasFiscais[[#This Row],[In Full]]</f>
        <v>0</v>
      </c>
      <c r="AA232">
        <f>IF(fNotasFiscais[[#This Row],[Nota Fiscal]]&lt;&gt;"",1,0)</f>
        <v>1</v>
      </c>
    </row>
    <row r="233" spans="1:27" x14ac:dyDescent="0.25">
      <c r="A233" s="1">
        <v>43127</v>
      </c>
      <c r="B233">
        <v>10513</v>
      </c>
      <c r="C233" s="2" t="s">
        <v>34</v>
      </c>
      <c r="D233" s="2" t="s">
        <v>35</v>
      </c>
      <c r="E233" s="2" t="s">
        <v>36</v>
      </c>
      <c r="F233">
        <v>4042</v>
      </c>
      <c r="G233" s="2" t="s">
        <v>121</v>
      </c>
      <c r="H233" s="2" t="s">
        <v>64</v>
      </c>
      <c r="I233" s="2" t="s">
        <v>65</v>
      </c>
      <c r="J233" s="2" t="s">
        <v>49</v>
      </c>
      <c r="K233" s="2" t="s">
        <v>65</v>
      </c>
      <c r="L233">
        <v>696.61</v>
      </c>
      <c r="M233">
        <v>2</v>
      </c>
      <c r="N233">
        <v>3.8940000000000001</v>
      </c>
      <c r="O233">
        <v>6100231</v>
      </c>
      <c r="P233" s="2" t="s">
        <v>50</v>
      </c>
      <c r="Q233" s="2" t="s">
        <v>51</v>
      </c>
      <c r="R233" s="2" t="s">
        <v>30</v>
      </c>
      <c r="S233">
        <v>12</v>
      </c>
      <c r="T233" s="1">
        <v>43127</v>
      </c>
      <c r="U233" s="1">
        <v>43130</v>
      </c>
      <c r="V233" s="2"/>
      <c r="W233" s="1">
        <f>fNotasFiscais[[#This Row],[Data da Coleta]]+fNotasFiscais[[#This Row],[Prazo Contratado]]</f>
        <v>43139</v>
      </c>
      <c r="X233" s="3">
        <f>IF(fNotasFiscais[[#This Row],[Data da Entrega]]&gt;fNotasFiscais[[#This Row],[Data Contratada]],0,1)</f>
        <v>1</v>
      </c>
      <c r="Y233" s="3">
        <f>IF(fNotasFiscais[[#This Row],[Ocorrência]]="",1,0)</f>
        <v>1</v>
      </c>
      <c r="Z233" s="2">
        <f>fNotasFiscais[[#This Row],[On Time]]*fNotasFiscais[[#This Row],[In Full]]</f>
        <v>1</v>
      </c>
      <c r="AA233">
        <f>IF(fNotasFiscais[[#This Row],[Nota Fiscal]]&lt;&gt;"",1,0)</f>
        <v>1</v>
      </c>
    </row>
    <row r="234" spans="1:27" x14ac:dyDescent="0.25">
      <c r="A234" s="1">
        <v>43127</v>
      </c>
      <c r="B234">
        <v>10515</v>
      </c>
      <c r="C234" s="2" t="s">
        <v>31</v>
      </c>
      <c r="D234" s="2" t="s">
        <v>32</v>
      </c>
      <c r="E234" s="2" t="s">
        <v>33</v>
      </c>
      <c r="F234">
        <v>4042</v>
      </c>
      <c r="G234" s="2" t="s">
        <v>121</v>
      </c>
      <c r="H234" s="2" t="s">
        <v>64</v>
      </c>
      <c r="I234" s="2" t="s">
        <v>65</v>
      </c>
      <c r="J234" s="2" t="s">
        <v>49</v>
      </c>
      <c r="K234" s="2" t="s">
        <v>65</v>
      </c>
      <c r="L234">
        <v>66.37</v>
      </c>
      <c r="M234">
        <v>1</v>
      </c>
      <c r="N234">
        <v>0.84699999999999998</v>
      </c>
      <c r="O234">
        <v>6100231</v>
      </c>
      <c r="P234" s="2" t="s">
        <v>50</v>
      </c>
      <c r="Q234" s="2" t="s">
        <v>51</v>
      </c>
      <c r="R234" s="2" t="s">
        <v>30</v>
      </c>
      <c r="S234">
        <v>7</v>
      </c>
      <c r="T234" s="1">
        <v>43127</v>
      </c>
      <c r="U234" s="1">
        <v>43133</v>
      </c>
      <c r="V234" s="2"/>
      <c r="W234" s="1">
        <f>fNotasFiscais[[#This Row],[Data da Coleta]]+fNotasFiscais[[#This Row],[Prazo Contratado]]</f>
        <v>43134</v>
      </c>
      <c r="X234" s="3">
        <f>IF(fNotasFiscais[[#This Row],[Data da Entrega]]&gt;fNotasFiscais[[#This Row],[Data Contratada]],0,1)</f>
        <v>1</v>
      </c>
      <c r="Y234" s="3">
        <f>IF(fNotasFiscais[[#This Row],[Ocorrência]]="",1,0)</f>
        <v>1</v>
      </c>
      <c r="Z234" s="2">
        <f>fNotasFiscais[[#This Row],[On Time]]*fNotasFiscais[[#This Row],[In Full]]</f>
        <v>1</v>
      </c>
      <c r="AA234">
        <f>IF(fNotasFiscais[[#This Row],[Nota Fiscal]]&lt;&gt;"",1,0)</f>
        <v>1</v>
      </c>
    </row>
    <row r="235" spans="1:27" x14ac:dyDescent="0.25">
      <c r="A235" s="1">
        <v>43127</v>
      </c>
      <c r="B235">
        <v>10516</v>
      </c>
      <c r="C235" s="2" t="s">
        <v>52</v>
      </c>
      <c r="D235" s="2" t="s">
        <v>53</v>
      </c>
      <c r="E235" s="2" t="s">
        <v>33</v>
      </c>
      <c r="F235">
        <v>4042</v>
      </c>
      <c r="G235" s="2" t="s">
        <v>121</v>
      </c>
      <c r="H235" s="2" t="s">
        <v>64</v>
      </c>
      <c r="I235" s="2" t="s">
        <v>65</v>
      </c>
      <c r="J235" s="2" t="s">
        <v>49</v>
      </c>
      <c r="K235" s="2" t="s">
        <v>65</v>
      </c>
      <c r="L235">
        <v>969.24</v>
      </c>
      <c r="M235">
        <v>2</v>
      </c>
      <c r="N235">
        <v>7.0419999999999998</v>
      </c>
      <c r="O235">
        <v>6100231</v>
      </c>
      <c r="P235" s="2" t="s">
        <v>50</v>
      </c>
      <c r="Q235" s="2" t="s">
        <v>51</v>
      </c>
      <c r="R235" s="2" t="s">
        <v>30</v>
      </c>
      <c r="S235">
        <v>4</v>
      </c>
      <c r="T235" s="1">
        <v>43127</v>
      </c>
      <c r="U235" s="1">
        <v>43130</v>
      </c>
      <c r="V235" s="2"/>
      <c r="W235" s="1">
        <f>fNotasFiscais[[#This Row],[Data da Coleta]]+fNotasFiscais[[#This Row],[Prazo Contratado]]</f>
        <v>43131</v>
      </c>
      <c r="X235" s="3">
        <f>IF(fNotasFiscais[[#This Row],[Data da Entrega]]&gt;fNotasFiscais[[#This Row],[Data Contratada]],0,1)</f>
        <v>1</v>
      </c>
      <c r="Y235" s="3">
        <f>IF(fNotasFiscais[[#This Row],[Ocorrência]]="",1,0)</f>
        <v>1</v>
      </c>
      <c r="Z235" s="2">
        <f>fNotasFiscais[[#This Row],[On Time]]*fNotasFiscais[[#This Row],[In Full]]</f>
        <v>1</v>
      </c>
      <c r="AA235">
        <f>IF(fNotasFiscais[[#This Row],[Nota Fiscal]]&lt;&gt;"",1,0)</f>
        <v>1</v>
      </c>
    </row>
    <row r="236" spans="1:27" x14ac:dyDescent="0.25">
      <c r="A236" s="1">
        <v>43127</v>
      </c>
      <c r="B236">
        <v>10519</v>
      </c>
      <c r="C236" s="2" t="s">
        <v>43</v>
      </c>
      <c r="D236" s="2" t="s">
        <v>44</v>
      </c>
      <c r="E236" s="2" t="s">
        <v>45</v>
      </c>
      <c r="F236">
        <v>4042</v>
      </c>
      <c r="G236" s="2" t="s">
        <v>121</v>
      </c>
      <c r="H236" s="2" t="s">
        <v>64</v>
      </c>
      <c r="I236" s="2" t="s">
        <v>65</v>
      </c>
      <c r="J236" s="2" t="s">
        <v>49</v>
      </c>
      <c r="K236" s="2" t="s">
        <v>65</v>
      </c>
      <c r="L236">
        <v>5662.21</v>
      </c>
      <c r="M236">
        <v>12</v>
      </c>
      <c r="N236">
        <v>18.719000000000001</v>
      </c>
      <c r="O236">
        <v>6100231</v>
      </c>
      <c r="P236" s="2" t="s">
        <v>50</v>
      </c>
      <c r="Q236" s="2" t="s">
        <v>51</v>
      </c>
      <c r="R236" s="2" t="s">
        <v>30</v>
      </c>
      <c r="S236">
        <v>3</v>
      </c>
      <c r="T236" s="1">
        <v>43127</v>
      </c>
      <c r="U236" s="1">
        <v>43131</v>
      </c>
      <c r="V236" s="2"/>
      <c r="W236" s="1">
        <f>fNotasFiscais[[#This Row],[Data da Coleta]]+fNotasFiscais[[#This Row],[Prazo Contratado]]</f>
        <v>43130</v>
      </c>
      <c r="X236" s="3">
        <f>IF(fNotasFiscais[[#This Row],[Data da Entrega]]&gt;fNotasFiscais[[#This Row],[Data Contratada]],0,1)</f>
        <v>0</v>
      </c>
      <c r="Y236" s="3">
        <f>IF(fNotasFiscais[[#This Row],[Ocorrência]]="",1,0)</f>
        <v>1</v>
      </c>
      <c r="Z236" s="2">
        <f>fNotasFiscais[[#This Row],[On Time]]*fNotasFiscais[[#This Row],[In Full]]</f>
        <v>0</v>
      </c>
      <c r="AA236">
        <f>IF(fNotasFiscais[[#This Row],[Nota Fiscal]]&lt;&gt;"",1,0)</f>
        <v>1</v>
      </c>
    </row>
    <row r="237" spans="1:27" x14ac:dyDescent="0.25">
      <c r="A237" s="1">
        <v>43126</v>
      </c>
      <c r="B237">
        <v>10520</v>
      </c>
      <c r="C237" s="2" t="s">
        <v>43</v>
      </c>
      <c r="D237" s="2" t="s">
        <v>44</v>
      </c>
      <c r="E237" s="2" t="s">
        <v>45</v>
      </c>
      <c r="F237">
        <v>4042</v>
      </c>
      <c r="G237" s="2" t="s">
        <v>121</v>
      </c>
      <c r="H237" s="2" t="s">
        <v>64</v>
      </c>
      <c r="I237" s="2" t="s">
        <v>65</v>
      </c>
      <c r="J237" s="2" t="s">
        <v>49</v>
      </c>
      <c r="K237" s="2" t="s">
        <v>65</v>
      </c>
      <c r="L237">
        <v>136.66</v>
      </c>
      <c r="M237">
        <v>1</v>
      </c>
      <c r="N237">
        <v>0.94699999999999995</v>
      </c>
      <c r="O237">
        <v>6100231</v>
      </c>
      <c r="P237" s="2" t="s">
        <v>50</v>
      </c>
      <c r="Q237" s="2" t="s">
        <v>51</v>
      </c>
      <c r="R237" s="2" t="s">
        <v>30</v>
      </c>
      <c r="S237">
        <v>10</v>
      </c>
      <c r="T237" s="1">
        <v>43127</v>
      </c>
      <c r="U237" s="1">
        <v>43131</v>
      </c>
      <c r="V237" s="2"/>
      <c r="W237" s="1">
        <f>fNotasFiscais[[#This Row],[Data da Coleta]]+fNotasFiscais[[#This Row],[Prazo Contratado]]</f>
        <v>43137</v>
      </c>
      <c r="X237" s="3">
        <f>IF(fNotasFiscais[[#This Row],[Data da Entrega]]&gt;fNotasFiscais[[#This Row],[Data Contratada]],0,1)</f>
        <v>1</v>
      </c>
      <c r="Y237" s="3">
        <f>IF(fNotasFiscais[[#This Row],[Ocorrência]]="",1,0)</f>
        <v>1</v>
      </c>
      <c r="Z237" s="2">
        <f>fNotasFiscais[[#This Row],[On Time]]*fNotasFiscais[[#This Row],[In Full]]</f>
        <v>1</v>
      </c>
      <c r="AA237">
        <f>IF(fNotasFiscais[[#This Row],[Nota Fiscal]]&lt;&gt;"",1,0)</f>
        <v>1</v>
      </c>
    </row>
    <row r="238" spans="1:27" x14ac:dyDescent="0.25">
      <c r="A238" s="1">
        <v>43126</v>
      </c>
      <c r="B238">
        <v>10522</v>
      </c>
      <c r="C238" s="2" t="s">
        <v>34</v>
      </c>
      <c r="D238" s="2" t="s">
        <v>35</v>
      </c>
      <c r="E238" s="2" t="s">
        <v>36</v>
      </c>
      <c r="F238">
        <v>4042</v>
      </c>
      <c r="G238" s="2" t="s">
        <v>121</v>
      </c>
      <c r="H238" s="2" t="s">
        <v>64</v>
      </c>
      <c r="I238" s="2" t="s">
        <v>65</v>
      </c>
      <c r="J238" s="2" t="s">
        <v>49</v>
      </c>
      <c r="K238" s="2" t="s">
        <v>65</v>
      </c>
      <c r="L238">
        <v>897.5</v>
      </c>
      <c r="M238">
        <v>2</v>
      </c>
      <c r="N238">
        <v>6.3280000000000003</v>
      </c>
      <c r="O238">
        <v>6100231</v>
      </c>
      <c r="P238" s="2" t="s">
        <v>50</v>
      </c>
      <c r="Q238" s="2" t="s">
        <v>51</v>
      </c>
      <c r="R238" s="2" t="s">
        <v>30</v>
      </c>
      <c r="S238">
        <v>8</v>
      </c>
      <c r="T238" s="1">
        <v>43127</v>
      </c>
      <c r="U238" s="1">
        <v>43136</v>
      </c>
      <c r="V238" s="2"/>
      <c r="W238" s="1">
        <f>fNotasFiscais[[#This Row],[Data da Coleta]]+fNotasFiscais[[#This Row],[Prazo Contratado]]</f>
        <v>43135</v>
      </c>
      <c r="X238" s="3">
        <f>IF(fNotasFiscais[[#This Row],[Data da Entrega]]&gt;fNotasFiscais[[#This Row],[Data Contratada]],0,1)</f>
        <v>0</v>
      </c>
      <c r="Y238" s="3">
        <f>IF(fNotasFiscais[[#This Row],[Ocorrência]]="",1,0)</f>
        <v>1</v>
      </c>
      <c r="Z238" s="2">
        <f>fNotasFiscais[[#This Row],[On Time]]*fNotasFiscais[[#This Row],[In Full]]</f>
        <v>0</v>
      </c>
      <c r="AA238">
        <f>IF(fNotasFiscais[[#This Row],[Nota Fiscal]]&lt;&gt;"",1,0)</f>
        <v>1</v>
      </c>
    </row>
    <row r="239" spans="1:27" x14ac:dyDescent="0.25">
      <c r="A239" s="1">
        <v>43146</v>
      </c>
      <c r="B239">
        <v>10596</v>
      </c>
      <c r="C239" s="2" t="s">
        <v>43</v>
      </c>
      <c r="D239" s="2" t="s">
        <v>44</v>
      </c>
      <c r="E239" s="2" t="s">
        <v>45</v>
      </c>
      <c r="F239">
        <v>4042</v>
      </c>
      <c r="G239" s="2" t="s">
        <v>121</v>
      </c>
      <c r="H239" s="2" t="s">
        <v>64</v>
      </c>
      <c r="I239" s="2" t="s">
        <v>65</v>
      </c>
      <c r="J239" s="2" t="s">
        <v>49</v>
      </c>
      <c r="K239" s="2" t="s">
        <v>65</v>
      </c>
      <c r="L239">
        <v>385.75</v>
      </c>
      <c r="M239">
        <v>2</v>
      </c>
      <c r="N239">
        <v>4.3179999999999996</v>
      </c>
      <c r="O239">
        <v>6100231</v>
      </c>
      <c r="P239" s="2" t="s">
        <v>50</v>
      </c>
      <c r="Q239" s="2" t="s">
        <v>51</v>
      </c>
      <c r="R239" s="2" t="s">
        <v>30</v>
      </c>
      <c r="S239">
        <v>2</v>
      </c>
      <c r="T239" s="1">
        <v>43147</v>
      </c>
      <c r="U239" s="1">
        <v>43151</v>
      </c>
      <c r="V239" s="2"/>
      <c r="W239" s="1">
        <f>fNotasFiscais[[#This Row],[Data da Coleta]]+fNotasFiscais[[#This Row],[Prazo Contratado]]</f>
        <v>43149</v>
      </c>
      <c r="X239" s="3">
        <f>IF(fNotasFiscais[[#This Row],[Data da Entrega]]&gt;fNotasFiscais[[#This Row],[Data Contratada]],0,1)</f>
        <v>0</v>
      </c>
      <c r="Y239" s="3">
        <f>IF(fNotasFiscais[[#This Row],[Ocorrência]]="",1,0)</f>
        <v>1</v>
      </c>
      <c r="Z239" s="2">
        <f>fNotasFiscais[[#This Row],[On Time]]*fNotasFiscais[[#This Row],[In Full]]</f>
        <v>0</v>
      </c>
      <c r="AA239">
        <f>IF(fNotasFiscais[[#This Row],[Nota Fiscal]]&lt;&gt;"",1,0)</f>
        <v>1</v>
      </c>
    </row>
    <row r="240" spans="1:27" x14ac:dyDescent="0.25">
      <c r="A240" s="1">
        <v>43146</v>
      </c>
      <c r="B240">
        <v>10599</v>
      </c>
      <c r="C240" s="2" t="s">
        <v>54</v>
      </c>
      <c r="D240" s="2" t="s">
        <v>55</v>
      </c>
      <c r="E240" s="2" t="s">
        <v>56</v>
      </c>
      <c r="F240">
        <v>4042</v>
      </c>
      <c r="G240" s="2" t="s">
        <v>121</v>
      </c>
      <c r="H240" s="2" t="s">
        <v>64</v>
      </c>
      <c r="I240" s="2" t="s">
        <v>65</v>
      </c>
      <c r="J240" s="2" t="s">
        <v>49</v>
      </c>
      <c r="K240" s="2" t="s">
        <v>65</v>
      </c>
      <c r="L240">
        <v>2415.5100000000002</v>
      </c>
      <c r="M240">
        <v>1</v>
      </c>
      <c r="N240">
        <v>1.101</v>
      </c>
      <c r="O240">
        <v>6100231</v>
      </c>
      <c r="P240" s="2" t="s">
        <v>50</v>
      </c>
      <c r="Q240" s="2" t="s">
        <v>51</v>
      </c>
      <c r="R240" s="2" t="s">
        <v>30</v>
      </c>
      <c r="S240">
        <v>12</v>
      </c>
      <c r="T240" s="1">
        <v>43147</v>
      </c>
      <c r="U240" s="1">
        <v>43150</v>
      </c>
      <c r="V240" s="2"/>
      <c r="W240" s="1">
        <f>fNotasFiscais[[#This Row],[Data da Coleta]]+fNotasFiscais[[#This Row],[Prazo Contratado]]</f>
        <v>43159</v>
      </c>
      <c r="X240" s="3">
        <f>IF(fNotasFiscais[[#This Row],[Data da Entrega]]&gt;fNotasFiscais[[#This Row],[Data Contratada]],0,1)</f>
        <v>1</v>
      </c>
      <c r="Y240" s="3">
        <f>IF(fNotasFiscais[[#This Row],[Ocorrência]]="",1,0)</f>
        <v>1</v>
      </c>
      <c r="Z240" s="2">
        <f>fNotasFiscais[[#This Row],[On Time]]*fNotasFiscais[[#This Row],[In Full]]</f>
        <v>1</v>
      </c>
      <c r="AA240">
        <f>IF(fNotasFiscais[[#This Row],[Nota Fiscal]]&lt;&gt;"",1,0)</f>
        <v>1</v>
      </c>
    </row>
    <row r="241" spans="1:27" x14ac:dyDescent="0.25">
      <c r="A241" s="1">
        <v>43146</v>
      </c>
      <c r="B241">
        <v>10601</v>
      </c>
      <c r="C241" s="2" t="s">
        <v>40</v>
      </c>
      <c r="D241" s="2" t="s">
        <v>41</v>
      </c>
      <c r="E241" s="2" t="s">
        <v>33</v>
      </c>
      <c r="F241">
        <v>4042</v>
      </c>
      <c r="G241" s="2" t="s">
        <v>121</v>
      </c>
      <c r="H241" s="2" t="s">
        <v>64</v>
      </c>
      <c r="I241" s="2" t="s">
        <v>65</v>
      </c>
      <c r="J241" s="2" t="s">
        <v>49</v>
      </c>
      <c r="K241" s="2" t="s">
        <v>65</v>
      </c>
      <c r="L241">
        <v>284.29000000000002</v>
      </c>
      <c r="M241">
        <v>1</v>
      </c>
      <c r="N241">
        <v>1.4650000000000001</v>
      </c>
      <c r="O241">
        <v>6100231</v>
      </c>
      <c r="P241" s="2" t="s">
        <v>50</v>
      </c>
      <c r="Q241" s="2" t="s">
        <v>51</v>
      </c>
      <c r="R241" s="2" t="s">
        <v>30</v>
      </c>
      <c r="S241">
        <v>10</v>
      </c>
      <c r="T241" s="1">
        <v>43147</v>
      </c>
      <c r="U241" s="1">
        <v>43154</v>
      </c>
      <c r="V241" s="2"/>
      <c r="W241" s="1">
        <f>fNotasFiscais[[#This Row],[Data da Coleta]]+fNotasFiscais[[#This Row],[Prazo Contratado]]</f>
        <v>43157</v>
      </c>
      <c r="X241" s="3">
        <f>IF(fNotasFiscais[[#This Row],[Data da Entrega]]&gt;fNotasFiscais[[#This Row],[Data Contratada]],0,1)</f>
        <v>1</v>
      </c>
      <c r="Y241" s="3">
        <f>IF(fNotasFiscais[[#This Row],[Ocorrência]]="",1,0)</f>
        <v>1</v>
      </c>
      <c r="Z241" s="2">
        <f>fNotasFiscais[[#This Row],[On Time]]*fNotasFiscais[[#This Row],[In Full]]</f>
        <v>1</v>
      </c>
      <c r="AA241">
        <f>IF(fNotasFiscais[[#This Row],[Nota Fiscal]]&lt;&gt;"",1,0)</f>
        <v>1</v>
      </c>
    </row>
    <row r="242" spans="1:27" x14ac:dyDescent="0.25">
      <c r="A242" s="1">
        <v>43146</v>
      </c>
      <c r="B242">
        <v>10602</v>
      </c>
      <c r="C242" s="2" t="s">
        <v>43</v>
      </c>
      <c r="D242" s="2" t="s">
        <v>44</v>
      </c>
      <c r="E242" s="2" t="s">
        <v>45</v>
      </c>
      <c r="F242">
        <v>4042</v>
      </c>
      <c r="G242" s="2" t="s">
        <v>121</v>
      </c>
      <c r="H242" s="2" t="s">
        <v>64</v>
      </c>
      <c r="I242" s="2" t="s">
        <v>65</v>
      </c>
      <c r="J242" s="2" t="s">
        <v>49</v>
      </c>
      <c r="K242" s="2" t="s">
        <v>65</v>
      </c>
      <c r="L242">
        <v>664.04</v>
      </c>
      <c r="M242">
        <v>1</v>
      </c>
      <c r="N242">
        <v>1.65</v>
      </c>
      <c r="O242">
        <v>6100231</v>
      </c>
      <c r="P242" s="2" t="s">
        <v>50</v>
      </c>
      <c r="Q242" s="2" t="s">
        <v>51</v>
      </c>
      <c r="R242" s="2" t="s">
        <v>30</v>
      </c>
      <c r="S242">
        <v>9</v>
      </c>
      <c r="T242" s="1">
        <v>43147</v>
      </c>
      <c r="U242" s="1">
        <v>43151</v>
      </c>
      <c r="V242" s="2" t="s">
        <v>42</v>
      </c>
      <c r="W242" s="1">
        <f>fNotasFiscais[[#This Row],[Data da Coleta]]+fNotasFiscais[[#This Row],[Prazo Contratado]]</f>
        <v>43156</v>
      </c>
      <c r="X242" s="3">
        <f>IF(fNotasFiscais[[#This Row],[Data da Entrega]]&gt;fNotasFiscais[[#This Row],[Data Contratada]],0,1)</f>
        <v>1</v>
      </c>
      <c r="Y242" s="3">
        <f>IF(fNotasFiscais[[#This Row],[Ocorrência]]="",1,0)</f>
        <v>0</v>
      </c>
      <c r="Z242" s="2">
        <f>fNotasFiscais[[#This Row],[On Time]]*fNotasFiscais[[#This Row],[In Full]]</f>
        <v>0</v>
      </c>
      <c r="AA242">
        <f>IF(fNotasFiscais[[#This Row],[Nota Fiscal]]&lt;&gt;"",1,0)</f>
        <v>1</v>
      </c>
    </row>
    <row r="243" spans="1:27" x14ac:dyDescent="0.25">
      <c r="A243" s="1">
        <v>43146</v>
      </c>
      <c r="B243">
        <v>10603</v>
      </c>
      <c r="C243" s="2" t="s">
        <v>22</v>
      </c>
      <c r="D243" s="2" t="s">
        <v>23</v>
      </c>
      <c r="E243" s="2" t="s">
        <v>24</v>
      </c>
      <c r="F243">
        <v>4042</v>
      </c>
      <c r="G243" s="2" t="s">
        <v>121</v>
      </c>
      <c r="H243" s="2" t="s">
        <v>64</v>
      </c>
      <c r="I243" s="2" t="s">
        <v>65</v>
      </c>
      <c r="J243" s="2" t="s">
        <v>49</v>
      </c>
      <c r="K243" s="2" t="s">
        <v>65</v>
      </c>
      <c r="L243">
        <v>2030.71</v>
      </c>
      <c r="M243">
        <v>3</v>
      </c>
      <c r="N243">
        <v>15.266999999999999</v>
      </c>
      <c r="O243">
        <v>6100231</v>
      </c>
      <c r="P243" s="2" t="s">
        <v>50</v>
      </c>
      <c r="Q243" s="2" t="s">
        <v>51</v>
      </c>
      <c r="R243" s="2" t="s">
        <v>30</v>
      </c>
      <c r="S243">
        <v>1</v>
      </c>
      <c r="T243" s="1">
        <v>43147</v>
      </c>
      <c r="U243" s="1">
        <v>43153</v>
      </c>
      <c r="V243" s="2"/>
      <c r="W243" s="1">
        <f>fNotasFiscais[[#This Row],[Data da Coleta]]+fNotasFiscais[[#This Row],[Prazo Contratado]]</f>
        <v>43148</v>
      </c>
      <c r="X243" s="3">
        <f>IF(fNotasFiscais[[#This Row],[Data da Entrega]]&gt;fNotasFiscais[[#This Row],[Data Contratada]],0,1)</f>
        <v>0</v>
      </c>
      <c r="Y243" s="3">
        <f>IF(fNotasFiscais[[#This Row],[Ocorrência]]="",1,0)</f>
        <v>1</v>
      </c>
      <c r="Z243" s="2">
        <f>fNotasFiscais[[#This Row],[On Time]]*fNotasFiscais[[#This Row],[In Full]]</f>
        <v>0</v>
      </c>
      <c r="AA243">
        <f>IF(fNotasFiscais[[#This Row],[Nota Fiscal]]&lt;&gt;"",1,0)</f>
        <v>1</v>
      </c>
    </row>
    <row r="244" spans="1:27" x14ac:dyDescent="0.25">
      <c r="A244" s="1">
        <v>43162</v>
      </c>
      <c r="B244">
        <v>10648</v>
      </c>
      <c r="C244" s="2" t="s">
        <v>54</v>
      </c>
      <c r="D244" s="2" t="s">
        <v>55</v>
      </c>
      <c r="E244" s="2" t="s">
        <v>56</v>
      </c>
      <c r="F244">
        <v>4067</v>
      </c>
      <c r="G244" s="2" t="s">
        <v>122</v>
      </c>
      <c r="H244" s="2" t="s">
        <v>47</v>
      </c>
      <c r="I244" s="2" t="s">
        <v>48</v>
      </c>
      <c r="J244" s="2" t="s">
        <v>49</v>
      </c>
      <c r="K244" s="2" t="s">
        <v>48</v>
      </c>
      <c r="L244">
        <v>1647.36</v>
      </c>
      <c r="M244">
        <v>5</v>
      </c>
      <c r="N244">
        <v>67.099999999999994</v>
      </c>
      <c r="O244">
        <v>6100231</v>
      </c>
      <c r="P244" s="2" t="s">
        <v>50</v>
      </c>
      <c r="Q244" s="2" t="s">
        <v>51</v>
      </c>
      <c r="R244" s="2" t="s">
        <v>30</v>
      </c>
      <c r="S244">
        <v>6</v>
      </c>
      <c r="T244" s="1">
        <v>43162</v>
      </c>
      <c r="U244" s="1">
        <v>43165</v>
      </c>
      <c r="V244" s="2"/>
      <c r="W244" s="1">
        <f>fNotasFiscais[[#This Row],[Data da Coleta]]+fNotasFiscais[[#This Row],[Prazo Contratado]]</f>
        <v>43168</v>
      </c>
      <c r="X244" s="3">
        <f>IF(fNotasFiscais[[#This Row],[Data da Entrega]]&gt;fNotasFiscais[[#This Row],[Data Contratada]],0,1)</f>
        <v>1</v>
      </c>
      <c r="Y244" s="3">
        <f>IF(fNotasFiscais[[#This Row],[Ocorrência]]="",1,0)</f>
        <v>1</v>
      </c>
      <c r="Z244" s="2">
        <f>fNotasFiscais[[#This Row],[On Time]]*fNotasFiscais[[#This Row],[In Full]]</f>
        <v>1</v>
      </c>
      <c r="AA244">
        <f>IF(fNotasFiscais[[#This Row],[Nota Fiscal]]&lt;&gt;"",1,0)</f>
        <v>1</v>
      </c>
    </row>
    <row r="245" spans="1:27" x14ac:dyDescent="0.25">
      <c r="A245" s="1">
        <v>43162</v>
      </c>
      <c r="B245">
        <v>10649</v>
      </c>
      <c r="C245" s="2" t="s">
        <v>34</v>
      </c>
      <c r="D245" s="2" t="s">
        <v>35</v>
      </c>
      <c r="E245" s="2" t="s">
        <v>36</v>
      </c>
      <c r="F245">
        <v>4067</v>
      </c>
      <c r="G245" s="2" t="s">
        <v>122</v>
      </c>
      <c r="H245" s="2" t="s">
        <v>47</v>
      </c>
      <c r="I245" s="2" t="s">
        <v>48</v>
      </c>
      <c r="J245" s="2" t="s">
        <v>49</v>
      </c>
      <c r="K245" s="2" t="s">
        <v>48</v>
      </c>
      <c r="L245">
        <v>4530.88</v>
      </c>
      <c r="M245">
        <v>3</v>
      </c>
      <c r="N245">
        <v>29.07</v>
      </c>
      <c r="O245">
        <v>6100231</v>
      </c>
      <c r="P245" s="2" t="s">
        <v>50</v>
      </c>
      <c r="Q245" s="2" t="s">
        <v>51</v>
      </c>
      <c r="R245" s="2" t="s">
        <v>30</v>
      </c>
      <c r="S245">
        <v>6</v>
      </c>
      <c r="T245" s="1">
        <v>43162</v>
      </c>
      <c r="U245" s="1">
        <v>43165</v>
      </c>
      <c r="V245" s="2"/>
      <c r="W245" s="1">
        <f>fNotasFiscais[[#This Row],[Data da Coleta]]+fNotasFiscais[[#This Row],[Prazo Contratado]]</f>
        <v>43168</v>
      </c>
      <c r="X245" s="3">
        <f>IF(fNotasFiscais[[#This Row],[Data da Entrega]]&gt;fNotasFiscais[[#This Row],[Data Contratada]],0,1)</f>
        <v>1</v>
      </c>
      <c r="Y245" s="3">
        <f>IF(fNotasFiscais[[#This Row],[Ocorrência]]="",1,0)</f>
        <v>1</v>
      </c>
      <c r="Z245" s="2">
        <f>fNotasFiscais[[#This Row],[On Time]]*fNotasFiscais[[#This Row],[In Full]]</f>
        <v>1</v>
      </c>
      <c r="AA245">
        <f>IF(fNotasFiscais[[#This Row],[Nota Fiscal]]&lt;&gt;"",1,0)</f>
        <v>1</v>
      </c>
    </row>
    <row r="246" spans="1:27" x14ac:dyDescent="0.25">
      <c r="A246" s="1">
        <v>43162</v>
      </c>
      <c r="B246">
        <v>10650</v>
      </c>
      <c r="C246" s="2" t="s">
        <v>54</v>
      </c>
      <c r="D246" s="2" t="s">
        <v>55</v>
      </c>
      <c r="E246" s="2" t="s">
        <v>56</v>
      </c>
      <c r="F246">
        <v>4067</v>
      </c>
      <c r="G246" s="2" t="s">
        <v>122</v>
      </c>
      <c r="H246" s="2" t="s">
        <v>47</v>
      </c>
      <c r="I246" s="2" t="s">
        <v>48</v>
      </c>
      <c r="J246" s="2" t="s">
        <v>49</v>
      </c>
      <c r="K246" s="2" t="s">
        <v>48</v>
      </c>
      <c r="L246">
        <v>274.61</v>
      </c>
      <c r="M246">
        <v>1</v>
      </c>
      <c r="N246">
        <v>1.1000000000000001</v>
      </c>
      <c r="O246">
        <v>6100231</v>
      </c>
      <c r="P246" s="2" t="s">
        <v>50</v>
      </c>
      <c r="Q246" s="2" t="s">
        <v>51</v>
      </c>
      <c r="R246" s="2" t="s">
        <v>30</v>
      </c>
      <c r="S246">
        <v>2</v>
      </c>
      <c r="T246" s="1">
        <v>43162</v>
      </c>
      <c r="U246" s="1">
        <v>43165</v>
      </c>
      <c r="V246" s="2"/>
      <c r="W246" s="1">
        <f>fNotasFiscais[[#This Row],[Data da Coleta]]+fNotasFiscais[[#This Row],[Prazo Contratado]]</f>
        <v>43164</v>
      </c>
      <c r="X246" s="3">
        <f>IF(fNotasFiscais[[#This Row],[Data da Entrega]]&gt;fNotasFiscais[[#This Row],[Data Contratada]],0,1)</f>
        <v>0</v>
      </c>
      <c r="Y246" s="3">
        <f>IF(fNotasFiscais[[#This Row],[Ocorrência]]="",1,0)</f>
        <v>1</v>
      </c>
      <c r="Z246" s="2">
        <f>fNotasFiscais[[#This Row],[On Time]]*fNotasFiscais[[#This Row],[In Full]]</f>
        <v>0</v>
      </c>
      <c r="AA246">
        <f>IF(fNotasFiscais[[#This Row],[Nota Fiscal]]&lt;&gt;"",1,0)</f>
        <v>1</v>
      </c>
    </row>
    <row r="247" spans="1:27" x14ac:dyDescent="0.25">
      <c r="A247" s="1">
        <v>43162</v>
      </c>
      <c r="B247">
        <v>10651</v>
      </c>
      <c r="C247" s="2" t="s">
        <v>54</v>
      </c>
      <c r="D247" s="2" t="s">
        <v>55</v>
      </c>
      <c r="E247" s="2" t="s">
        <v>56</v>
      </c>
      <c r="F247">
        <v>4067</v>
      </c>
      <c r="G247" s="2" t="s">
        <v>122</v>
      </c>
      <c r="H247" s="2" t="s">
        <v>47</v>
      </c>
      <c r="I247" s="2" t="s">
        <v>48</v>
      </c>
      <c r="J247" s="2" t="s">
        <v>49</v>
      </c>
      <c r="K247" s="2" t="s">
        <v>48</v>
      </c>
      <c r="L247">
        <v>103.56</v>
      </c>
      <c r="M247">
        <v>2</v>
      </c>
      <c r="N247">
        <v>0.48</v>
      </c>
      <c r="O247">
        <v>6100231</v>
      </c>
      <c r="P247" s="2" t="s">
        <v>50</v>
      </c>
      <c r="Q247" s="2" t="s">
        <v>51</v>
      </c>
      <c r="R247" s="2" t="s">
        <v>30</v>
      </c>
      <c r="S247">
        <v>5</v>
      </c>
      <c r="T247" s="1">
        <v>43162</v>
      </c>
      <c r="U247" s="1">
        <v>43165</v>
      </c>
      <c r="V247" s="2"/>
      <c r="W247" s="1">
        <f>fNotasFiscais[[#This Row],[Data da Coleta]]+fNotasFiscais[[#This Row],[Prazo Contratado]]</f>
        <v>43167</v>
      </c>
      <c r="X247" s="3">
        <f>IF(fNotasFiscais[[#This Row],[Data da Entrega]]&gt;fNotasFiscais[[#This Row],[Data Contratada]],0,1)</f>
        <v>1</v>
      </c>
      <c r="Y247" s="3">
        <f>IF(fNotasFiscais[[#This Row],[Ocorrência]]="",1,0)</f>
        <v>1</v>
      </c>
      <c r="Z247" s="2">
        <f>fNotasFiscais[[#This Row],[On Time]]*fNotasFiscais[[#This Row],[In Full]]</f>
        <v>1</v>
      </c>
      <c r="AA247">
        <f>IF(fNotasFiscais[[#This Row],[Nota Fiscal]]&lt;&gt;"",1,0)</f>
        <v>1</v>
      </c>
    </row>
    <row r="248" spans="1:27" x14ac:dyDescent="0.25">
      <c r="A248" s="1">
        <v>43162</v>
      </c>
      <c r="B248">
        <v>10652</v>
      </c>
      <c r="C248" s="2" t="s">
        <v>52</v>
      </c>
      <c r="D248" s="2" t="s">
        <v>53</v>
      </c>
      <c r="E248" s="2" t="s">
        <v>33</v>
      </c>
      <c r="F248">
        <v>4067</v>
      </c>
      <c r="G248" s="2" t="s">
        <v>122</v>
      </c>
      <c r="H248" s="2" t="s">
        <v>47</v>
      </c>
      <c r="I248" s="2" t="s">
        <v>48</v>
      </c>
      <c r="J248" s="2" t="s">
        <v>49</v>
      </c>
      <c r="K248" s="2" t="s">
        <v>48</v>
      </c>
      <c r="L248">
        <v>884.55</v>
      </c>
      <c r="M248">
        <v>1</v>
      </c>
      <c r="N248">
        <v>11.837999999999999</v>
      </c>
      <c r="O248">
        <v>6100231</v>
      </c>
      <c r="P248" s="2" t="s">
        <v>50</v>
      </c>
      <c r="Q248" s="2" t="s">
        <v>51</v>
      </c>
      <c r="R248" s="2" t="s">
        <v>30</v>
      </c>
      <c r="S248">
        <v>1</v>
      </c>
      <c r="T248" s="1">
        <v>43162</v>
      </c>
      <c r="U248" s="1">
        <v>43168</v>
      </c>
      <c r="V248" s="2"/>
      <c r="W248" s="1">
        <f>fNotasFiscais[[#This Row],[Data da Coleta]]+fNotasFiscais[[#This Row],[Prazo Contratado]]</f>
        <v>43163</v>
      </c>
      <c r="X248" s="3">
        <f>IF(fNotasFiscais[[#This Row],[Data da Entrega]]&gt;fNotasFiscais[[#This Row],[Data Contratada]],0,1)</f>
        <v>0</v>
      </c>
      <c r="Y248" s="3">
        <f>IF(fNotasFiscais[[#This Row],[Ocorrência]]="",1,0)</f>
        <v>1</v>
      </c>
      <c r="Z248" s="2">
        <f>fNotasFiscais[[#This Row],[On Time]]*fNotasFiscais[[#This Row],[In Full]]</f>
        <v>0</v>
      </c>
      <c r="AA248">
        <f>IF(fNotasFiscais[[#This Row],[Nota Fiscal]]&lt;&gt;"",1,0)</f>
        <v>1</v>
      </c>
    </row>
    <row r="249" spans="1:27" x14ac:dyDescent="0.25">
      <c r="A249" s="1">
        <v>43130</v>
      </c>
      <c r="B249">
        <v>10528</v>
      </c>
      <c r="C249" s="2" t="s">
        <v>54</v>
      </c>
      <c r="D249" s="2" t="s">
        <v>55</v>
      </c>
      <c r="E249" s="2" t="s">
        <v>56</v>
      </c>
      <c r="F249">
        <v>4044</v>
      </c>
      <c r="G249" s="2" t="s">
        <v>123</v>
      </c>
      <c r="H249" s="2" t="s">
        <v>35</v>
      </c>
      <c r="I249" s="2" t="s">
        <v>36</v>
      </c>
      <c r="J249" s="2" t="s">
        <v>60</v>
      </c>
      <c r="K249" s="2" t="s">
        <v>36</v>
      </c>
      <c r="L249">
        <v>284.99</v>
      </c>
      <c r="M249">
        <v>3</v>
      </c>
      <c r="N249">
        <v>25.677</v>
      </c>
      <c r="O249">
        <v>6600879</v>
      </c>
      <c r="P249" s="2" t="s">
        <v>61</v>
      </c>
      <c r="Q249" s="2" t="s">
        <v>35</v>
      </c>
      <c r="R249" s="2" t="s">
        <v>30</v>
      </c>
      <c r="S249">
        <v>9</v>
      </c>
      <c r="T249" s="1">
        <v>43131</v>
      </c>
      <c r="U249" s="1">
        <v>43135</v>
      </c>
      <c r="V249" s="2"/>
      <c r="W249" s="1">
        <f>fNotasFiscais[[#This Row],[Data da Coleta]]+fNotasFiscais[[#This Row],[Prazo Contratado]]</f>
        <v>43140</v>
      </c>
      <c r="X249" s="3">
        <f>IF(fNotasFiscais[[#This Row],[Data da Entrega]]&gt;fNotasFiscais[[#This Row],[Data Contratada]],0,1)</f>
        <v>1</v>
      </c>
      <c r="Y249" s="3">
        <f>IF(fNotasFiscais[[#This Row],[Ocorrência]]="",1,0)</f>
        <v>1</v>
      </c>
      <c r="Z249" s="2">
        <f>fNotasFiscais[[#This Row],[On Time]]*fNotasFiscais[[#This Row],[In Full]]</f>
        <v>1</v>
      </c>
      <c r="AA249">
        <f>IF(fNotasFiscais[[#This Row],[Nota Fiscal]]&lt;&gt;"",1,0)</f>
        <v>1</v>
      </c>
    </row>
    <row r="250" spans="1:27" x14ac:dyDescent="0.25">
      <c r="A250" s="1">
        <v>43130</v>
      </c>
      <c r="B250">
        <v>10532</v>
      </c>
      <c r="C250" s="2" t="s">
        <v>43</v>
      </c>
      <c r="D250" s="2" t="s">
        <v>44</v>
      </c>
      <c r="E250" s="2" t="s">
        <v>45</v>
      </c>
      <c r="F250">
        <v>4044</v>
      </c>
      <c r="G250" s="2" t="s">
        <v>123</v>
      </c>
      <c r="H250" s="2" t="s">
        <v>35</v>
      </c>
      <c r="I250" s="2" t="s">
        <v>36</v>
      </c>
      <c r="J250" s="2" t="s">
        <v>60</v>
      </c>
      <c r="K250" s="2" t="s">
        <v>36</v>
      </c>
      <c r="L250">
        <v>515.92999999999995</v>
      </c>
      <c r="M250">
        <v>1</v>
      </c>
      <c r="N250">
        <v>1.177</v>
      </c>
      <c r="O250">
        <v>6600879</v>
      </c>
      <c r="P250" s="2" t="s">
        <v>61</v>
      </c>
      <c r="Q250" s="2" t="s">
        <v>35</v>
      </c>
      <c r="R250" s="2" t="s">
        <v>30</v>
      </c>
      <c r="S250">
        <v>4</v>
      </c>
      <c r="T250" s="1">
        <v>43131</v>
      </c>
      <c r="U250" s="1">
        <v>43141</v>
      </c>
      <c r="V250" s="2"/>
      <c r="W250" s="1">
        <f>fNotasFiscais[[#This Row],[Data da Coleta]]+fNotasFiscais[[#This Row],[Prazo Contratado]]</f>
        <v>43135</v>
      </c>
      <c r="X250" s="3">
        <f>IF(fNotasFiscais[[#This Row],[Data da Entrega]]&gt;fNotasFiscais[[#This Row],[Data Contratada]],0,1)</f>
        <v>0</v>
      </c>
      <c r="Y250" s="3">
        <f>IF(fNotasFiscais[[#This Row],[Ocorrência]]="",1,0)</f>
        <v>1</v>
      </c>
      <c r="Z250" s="2">
        <f>fNotasFiscais[[#This Row],[On Time]]*fNotasFiscais[[#This Row],[In Full]]</f>
        <v>0</v>
      </c>
      <c r="AA250">
        <f>IF(fNotasFiscais[[#This Row],[Nota Fiscal]]&lt;&gt;"",1,0)</f>
        <v>1</v>
      </c>
    </row>
    <row r="251" spans="1:27" x14ac:dyDescent="0.25">
      <c r="A251" s="1">
        <v>43130</v>
      </c>
      <c r="B251">
        <v>10536</v>
      </c>
      <c r="C251" s="2" t="s">
        <v>22</v>
      </c>
      <c r="D251" s="2" t="s">
        <v>23</v>
      </c>
      <c r="E251" s="2" t="s">
        <v>24</v>
      </c>
      <c r="F251">
        <v>4044</v>
      </c>
      <c r="G251" s="2" t="s">
        <v>123</v>
      </c>
      <c r="H251" s="2" t="s">
        <v>35</v>
      </c>
      <c r="I251" s="2" t="s">
        <v>36</v>
      </c>
      <c r="J251" s="2" t="s">
        <v>60</v>
      </c>
      <c r="K251" s="2" t="s">
        <v>36</v>
      </c>
      <c r="L251">
        <v>539.03</v>
      </c>
      <c r="M251">
        <v>1</v>
      </c>
      <c r="N251">
        <v>0.38600000000000001</v>
      </c>
      <c r="O251">
        <v>6600879</v>
      </c>
      <c r="P251" s="2" t="s">
        <v>61</v>
      </c>
      <c r="Q251" s="2" t="s">
        <v>35</v>
      </c>
      <c r="R251" s="2" t="s">
        <v>62</v>
      </c>
      <c r="S251">
        <v>6</v>
      </c>
      <c r="T251" s="1">
        <v>43131</v>
      </c>
      <c r="U251" s="1">
        <v>43134</v>
      </c>
      <c r="V251" s="2"/>
      <c r="W251" s="1">
        <f>fNotasFiscais[[#This Row],[Data da Coleta]]+fNotasFiscais[[#This Row],[Prazo Contratado]]</f>
        <v>43137</v>
      </c>
      <c r="X251" s="3">
        <f>IF(fNotasFiscais[[#This Row],[Data da Entrega]]&gt;fNotasFiscais[[#This Row],[Data Contratada]],0,1)</f>
        <v>1</v>
      </c>
      <c r="Y251" s="3">
        <f>IF(fNotasFiscais[[#This Row],[Ocorrência]]="",1,0)</f>
        <v>1</v>
      </c>
      <c r="Z251" s="2">
        <f>fNotasFiscais[[#This Row],[On Time]]*fNotasFiscais[[#This Row],[In Full]]</f>
        <v>1</v>
      </c>
      <c r="AA251">
        <f>IF(fNotasFiscais[[#This Row],[Nota Fiscal]]&lt;&gt;"",1,0)</f>
        <v>1</v>
      </c>
    </row>
    <row r="252" spans="1:27" x14ac:dyDescent="0.25">
      <c r="A252" s="1">
        <v>43130</v>
      </c>
      <c r="B252">
        <v>10529</v>
      </c>
      <c r="C252" s="2" t="s">
        <v>22</v>
      </c>
      <c r="D252" s="2" t="s">
        <v>23</v>
      </c>
      <c r="E252" s="2" t="s">
        <v>24</v>
      </c>
      <c r="F252">
        <v>4045</v>
      </c>
      <c r="G252" s="2" t="s">
        <v>124</v>
      </c>
      <c r="H252" s="2" t="s">
        <v>35</v>
      </c>
      <c r="I252" s="2" t="s">
        <v>36</v>
      </c>
      <c r="J252" s="2" t="s">
        <v>60</v>
      </c>
      <c r="K252" s="2" t="s">
        <v>36</v>
      </c>
      <c r="L252">
        <v>1257.97</v>
      </c>
      <c r="M252">
        <v>1</v>
      </c>
      <c r="N252">
        <v>1.1200000000000001</v>
      </c>
      <c r="O252">
        <v>6600879</v>
      </c>
      <c r="P252" s="2" t="s">
        <v>61</v>
      </c>
      <c r="Q252" s="2" t="s">
        <v>35</v>
      </c>
      <c r="R252" s="2" t="s">
        <v>30</v>
      </c>
      <c r="S252">
        <v>6</v>
      </c>
      <c r="T252" s="1">
        <v>43131</v>
      </c>
      <c r="U252" s="1">
        <v>43134</v>
      </c>
      <c r="V252" s="2"/>
      <c r="W252" s="1">
        <f>fNotasFiscais[[#This Row],[Data da Coleta]]+fNotasFiscais[[#This Row],[Prazo Contratado]]</f>
        <v>43137</v>
      </c>
      <c r="X252" s="3">
        <f>IF(fNotasFiscais[[#This Row],[Data da Entrega]]&gt;fNotasFiscais[[#This Row],[Data Contratada]],0,1)</f>
        <v>1</v>
      </c>
      <c r="Y252" s="3">
        <f>IF(fNotasFiscais[[#This Row],[Ocorrência]]="",1,0)</f>
        <v>1</v>
      </c>
      <c r="Z252" s="2">
        <f>fNotasFiscais[[#This Row],[On Time]]*fNotasFiscais[[#This Row],[In Full]]</f>
        <v>1</v>
      </c>
      <c r="AA252">
        <f>IF(fNotasFiscais[[#This Row],[Nota Fiscal]]&lt;&gt;"",1,0)</f>
        <v>1</v>
      </c>
    </row>
    <row r="253" spans="1:27" x14ac:dyDescent="0.25">
      <c r="A253" s="1">
        <v>43130</v>
      </c>
      <c r="B253">
        <v>10533</v>
      </c>
      <c r="C253" s="2" t="s">
        <v>22</v>
      </c>
      <c r="D253" s="2" t="s">
        <v>23</v>
      </c>
      <c r="E253" s="2" t="s">
        <v>24</v>
      </c>
      <c r="F253">
        <v>4045</v>
      </c>
      <c r="G253" s="2" t="s">
        <v>124</v>
      </c>
      <c r="H253" s="2" t="s">
        <v>35</v>
      </c>
      <c r="I253" s="2" t="s">
        <v>36</v>
      </c>
      <c r="J253" s="2" t="s">
        <v>60</v>
      </c>
      <c r="K253" s="2" t="s">
        <v>36</v>
      </c>
      <c r="L253">
        <v>67.41</v>
      </c>
      <c r="M253">
        <v>1</v>
      </c>
      <c r="N253">
        <v>0.84699999999999998</v>
      </c>
      <c r="O253">
        <v>6600879</v>
      </c>
      <c r="P253" s="2" t="s">
        <v>61</v>
      </c>
      <c r="Q253" s="2" t="s">
        <v>35</v>
      </c>
      <c r="R253" s="2" t="s">
        <v>30</v>
      </c>
      <c r="S253">
        <v>12</v>
      </c>
      <c r="T253" s="1">
        <v>43131</v>
      </c>
      <c r="U253" s="1">
        <v>43134</v>
      </c>
      <c r="V253" s="2"/>
      <c r="W253" s="1">
        <f>fNotasFiscais[[#This Row],[Data da Coleta]]+fNotasFiscais[[#This Row],[Prazo Contratado]]</f>
        <v>43143</v>
      </c>
      <c r="X253" s="3">
        <f>IF(fNotasFiscais[[#This Row],[Data da Entrega]]&gt;fNotasFiscais[[#This Row],[Data Contratada]],0,1)</f>
        <v>1</v>
      </c>
      <c r="Y253" s="3">
        <f>IF(fNotasFiscais[[#This Row],[Ocorrência]]="",1,0)</f>
        <v>1</v>
      </c>
      <c r="Z253" s="2">
        <f>fNotasFiscais[[#This Row],[On Time]]*fNotasFiscais[[#This Row],[In Full]]</f>
        <v>1</v>
      </c>
      <c r="AA253">
        <f>IF(fNotasFiscais[[#This Row],[Nota Fiscal]]&lt;&gt;"",1,0)</f>
        <v>1</v>
      </c>
    </row>
    <row r="254" spans="1:27" x14ac:dyDescent="0.25">
      <c r="A254" s="1">
        <v>43130</v>
      </c>
      <c r="B254">
        <v>10537</v>
      </c>
      <c r="C254" s="2" t="s">
        <v>43</v>
      </c>
      <c r="D254" s="2" t="s">
        <v>44</v>
      </c>
      <c r="E254" s="2" t="s">
        <v>45</v>
      </c>
      <c r="F254">
        <v>4045</v>
      </c>
      <c r="G254" s="2" t="s">
        <v>124</v>
      </c>
      <c r="H254" s="2" t="s">
        <v>35</v>
      </c>
      <c r="I254" s="2" t="s">
        <v>36</v>
      </c>
      <c r="J254" s="2" t="s">
        <v>60</v>
      </c>
      <c r="K254" s="2" t="s">
        <v>36</v>
      </c>
      <c r="L254">
        <v>615.35</v>
      </c>
      <c r="M254">
        <v>1</v>
      </c>
      <c r="N254">
        <v>3.96</v>
      </c>
      <c r="O254">
        <v>6600879</v>
      </c>
      <c r="P254" s="2" t="s">
        <v>61</v>
      </c>
      <c r="Q254" s="2" t="s">
        <v>35</v>
      </c>
      <c r="R254" s="2" t="s">
        <v>30</v>
      </c>
      <c r="S254">
        <v>1</v>
      </c>
      <c r="T254" s="1">
        <v>43131</v>
      </c>
      <c r="U254" s="1">
        <v>43136</v>
      </c>
      <c r="V254" s="2"/>
      <c r="W254" s="1">
        <f>fNotasFiscais[[#This Row],[Data da Coleta]]+fNotasFiscais[[#This Row],[Prazo Contratado]]</f>
        <v>43132</v>
      </c>
      <c r="X254" s="3">
        <f>IF(fNotasFiscais[[#This Row],[Data da Entrega]]&gt;fNotasFiscais[[#This Row],[Data Contratada]],0,1)</f>
        <v>0</v>
      </c>
      <c r="Y254" s="3">
        <f>IF(fNotasFiscais[[#This Row],[Ocorrência]]="",1,0)</f>
        <v>1</v>
      </c>
      <c r="Z254" s="2">
        <f>fNotasFiscais[[#This Row],[On Time]]*fNotasFiscais[[#This Row],[In Full]]</f>
        <v>0</v>
      </c>
      <c r="AA254">
        <f>IF(fNotasFiscais[[#This Row],[Nota Fiscal]]&lt;&gt;"",1,0)</f>
        <v>1</v>
      </c>
    </row>
    <row r="255" spans="1:27" x14ac:dyDescent="0.25">
      <c r="A255" s="1">
        <v>43133</v>
      </c>
      <c r="B255">
        <v>10544</v>
      </c>
      <c r="C255" s="2" t="s">
        <v>52</v>
      </c>
      <c r="D255" s="2" t="s">
        <v>53</v>
      </c>
      <c r="E255" s="2" t="s">
        <v>33</v>
      </c>
      <c r="F255">
        <v>4047</v>
      </c>
      <c r="G255" s="2" t="s">
        <v>125</v>
      </c>
      <c r="H255" s="2" t="s">
        <v>35</v>
      </c>
      <c r="I255" s="2" t="s">
        <v>36</v>
      </c>
      <c r="J255" s="2" t="s">
        <v>60</v>
      </c>
      <c r="K255" s="2" t="s">
        <v>36</v>
      </c>
      <c r="L255">
        <v>4576.79</v>
      </c>
      <c r="M255">
        <v>11</v>
      </c>
      <c r="N255">
        <v>161.13900000000001</v>
      </c>
      <c r="O255">
        <v>6600879</v>
      </c>
      <c r="P255" s="2" t="s">
        <v>61</v>
      </c>
      <c r="Q255" s="2" t="s">
        <v>35</v>
      </c>
      <c r="R255" s="2" t="s">
        <v>30</v>
      </c>
      <c r="S255">
        <v>12</v>
      </c>
      <c r="T255" s="1">
        <v>43133</v>
      </c>
      <c r="U255" s="1">
        <v>43139</v>
      </c>
      <c r="V255" s="2" t="s">
        <v>42</v>
      </c>
      <c r="W255" s="1">
        <f>fNotasFiscais[[#This Row],[Data da Coleta]]+fNotasFiscais[[#This Row],[Prazo Contratado]]</f>
        <v>43145</v>
      </c>
      <c r="X255" s="3">
        <f>IF(fNotasFiscais[[#This Row],[Data da Entrega]]&gt;fNotasFiscais[[#This Row],[Data Contratada]],0,1)</f>
        <v>1</v>
      </c>
      <c r="Y255" s="3">
        <f>IF(fNotasFiscais[[#This Row],[Ocorrência]]="",1,0)</f>
        <v>0</v>
      </c>
      <c r="Z255" s="2">
        <f>fNotasFiscais[[#This Row],[On Time]]*fNotasFiscais[[#This Row],[In Full]]</f>
        <v>0</v>
      </c>
      <c r="AA255">
        <f>IF(fNotasFiscais[[#This Row],[Nota Fiscal]]&lt;&gt;"",1,0)</f>
        <v>1</v>
      </c>
    </row>
    <row r="256" spans="1:27" x14ac:dyDescent="0.25">
      <c r="A256" s="1">
        <v>43132</v>
      </c>
      <c r="B256">
        <v>10545</v>
      </c>
      <c r="C256" s="2" t="s">
        <v>40</v>
      </c>
      <c r="D256" s="2" t="s">
        <v>41</v>
      </c>
      <c r="E256" s="2" t="s">
        <v>33</v>
      </c>
      <c r="F256">
        <v>4047</v>
      </c>
      <c r="G256" s="2" t="s">
        <v>125</v>
      </c>
      <c r="H256" s="2" t="s">
        <v>35</v>
      </c>
      <c r="I256" s="2" t="s">
        <v>36</v>
      </c>
      <c r="J256" s="2" t="s">
        <v>60</v>
      </c>
      <c r="K256" s="2" t="s">
        <v>36</v>
      </c>
      <c r="L256">
        <v>2137.04</v>
      </c>
      <c r="M256">
        <v>3</v>
      </c>
      <c r="N256">
        <v>7.8029999999999999</v>
      </c>
      <c r="O256">
        <v>6600879</v>
      </c>
      <c r="P256" s="2" t="s">
        <v>61</v>
      </c>
      <c r="Q256" s="2" t="s">
        <v>35</v>
      </c>
      <c r="R256" s="2" t="s">
        <v>30</v>
      </c>
      <c r="S256">
        <v>4</v>
      </c>
      <c r="T256" s="1">
        <v>43133</v>
      </c>
      <c r="U256" s="1">
        <v>43134</v>
      </c>
      <c r="V256" s="2"/>
      <c r="W256" s="1">
        <f>fNotasFiscais[[#This Row],[Data da Coleta]]+fNotasFiscais[[#This Row],[Prazo Contratado]]</f>
        <v>43137</v>
      </c>
      <c r="X256" s="3">
        <f>IF(fNotasFiscais[[#This Row],[Data da Entrega]]&gt;fNotasFiscais[[#This Row],[Data Contratada]],0,1)</f>
        <v>1</v>
      </c>
      <c r="Y256" s="3">
        <f>IF(fNotasFiscais[[#This Row],[Ocorrência]]="",1,0)</f>
        <v>1</v>
      </c>
      <c r="Z256" s="2">
        <f>fNotasFiscais[[#This Row],[On Time]]*fNotasFiscais[[#This Row],[In Full]]</f>
        <v>1</v>
      </c>
      <c r="AA256">
        <f>IF(fNotasFiscais[[#This Row],[Nota Fiscal]]&lt;&gt;"",1,0)</f>
        <v>1</v>
      </c>
    </row>
    <row r="257" spans="1:27" x14ac:dyDescent="0.25">
      <c r="A257" s="1">
        <v>43133</v>
      </c>
      <c r="B257">
        <v>10548</v>
      </c>
      <c r="C257" s="2" t="s">
        <v>34</v>
      </c>
      <c r="D257" s="2" t="s">
        <v>35</v>
      </c>
      <c r="E257" s="2" t="s">
        <v>36</v>
      </c>
      <c r="F257">
        <v>4048</v>
      </c>
      <c r="G257" s="2" t="s">
        <v>126</v>
      </c>
      <c r="H257" s="2" t="s">
        <v>47</v>
      </c>
      <c r="I257" s="2" t="s">
        <v>48</v>
      </c>
      <c r="J257" s="2" t="s">
        <v>49</v>
      </c>
      <c r="K257" s="2" t="s">
        <v>48</v>
      </c>
      <c r="L257">
        <v>68699.87</v>
      </c>
      <c r="M257">
        <v>79</v>
      </c>
      <c r="N257">
        <v>337.46600000000001</v>
      </c>
      <c r="O257">
        <v>6100231</v>
      </c>
      <c r="P257" s="2" t="s">
        <v>50</v>
      </c>
      <c r="Q257" s="2" t="s">
        <v>51</v>
      </c>
      <c r="R257" s="2" t="s">
        <v>30</v>
      </c>
      <c r="S257">
        <v>3</v>
      </c>
      <c r="T257" s="1">
        <v>43134</v>
      </c>
      <c r="U257" s="1">
        <v>43142</v>
      </c>
      <c r="V257" s="2" t="s">
        <v>42</v>
      </c>
      <c r="W257" s="1">
        <f>fNotasFiscais[[#This Row],[Data da Coleta]]+fNotasFiscais[[#This Row],[Prazo Contratado]]</f>
        <v>43137</v>
      </c>
      <c r="X257" s="3">
        <f>IF(fNotasFiscais[[#This Row],[Data da Entrega]]&gt;fNotasFiscais[[#This Row],[Data Contratada]],0,1)</f>
        <v>0</v>
      </c>
      <c r="Y257" s="3">
        <f>IF(fNotasFiscais[[#This Row],[Ocorrência]]="",1,0)</f>
        <v>0</v>
      </c>
      <c r="Z257" s="2">
        <f>fNotasFiscais[[#This Row],[On Time]]*fNotasFiscais[[#This Row],[In Full]]</f>
        <v>0</v>
      </c>
      <c r="AA257">
        <f>IF(fNotasFiscais[[#This Row],[Nota Fiscal]]&lt;&gt;"",1,0)</f>
        <v>1</v>
      </c>
    </row>
    <row r="258" spans="1:27" x14ac:dyDescent="0.25">
      <c r="A258" s="1">
        <v>43136</v>
      </c>
      <c r="B258">
        <v>10559</v>
      </c>
      <c r="C258" s="2" t="s">
        <v>52</v>
      </c>
      <c r="D258" s="2" t="s">
        <v>53</v>
      </c>
      <c r="E258" s="2" t="s">
        <v>33</v>
      </c>
      <c r="F258">
        <v>4050</v>
      </c>
      <c r="G258" s="2" t="s">
        <v>127</v>
      </c>
      <c r="H258" s="2" t="s">
        <v>64</v>
      </c>
      <c r="I258" s="2" t="s">
        <v>65</v>
      </c>
      <c r="J258" s="2" t="s">
        <v>49</v>
      </c>
      <c r="K258" s="2" t="s">
        <v>65</v>
      </c>
      <c r="L258">
        <v>3660.35</v>
      </c>
      <c r="M258">
        <v>3</v>
      </c>
      <c r="N258">
        <v>38.5</v>
      </c>
      <c r="O258">
        <v>6100231</v>
      </c>
      <c r="P258" s="2" t="s">
        <v>50</v>
      </c>
      <c r="Q258" s="2" t="s">
        <v>51</v>
      </c>
      <c r="R258" s="2" t="s">
        <v>30</v>
      </c>
      <c r="S258">
        <v>7</v>
      </c>
      <c r="T258" s="1">
        <v>43137</v>
      </c>
      <c r="U258" s="1">
        <v>43142</v>
      </c>
      <c r="V258" s="2"/>
      <c r="W258" s="1">
        <f>fNotasFiscais[[#This Row],[Data da Coleta]]+fNotasFiscais[[#This Row],[Prazo Contratado]]</f>
        <v>43144</v>
      </c>
      <c r="X258" s="3">
        <f>IF(fNotasFiscais[[#This Row],[Data da Entrega]]&gt;fNotasFiscais[[#This Row],[Data Contratada]],0,1)</f>
        <v>1</v>
      </c>
      <c r="Y258" s="3">
        <f>IF(fNotasFiscais[[#This Row],[Ocorrência]]="",1,0)</f>
        <v>1</v>
      </c>
      <c r="Z258" s="2">
        <f>fNotasFiscais[[#This Row],[On Time]]*fNotasFiscais[[#This Row],[In Full]]</f>
        <v>1</v>
      </c>
      <c r="AA258">
        <f>IF(fNotasFiscais[[#This Row],[Nota Fiscal]]&lt;&gt;"",1,0)</f>
        <v>1</v>
      </c>
    </row>
    <row r="259" spans="1:27" x14ac:dyDescent="0.25">
      <c r="A259" s="1">
        <v>43158</v>
      </c>
      <c r="B259">
        <v>10634</v>
      </c>
      <c r="C259" s="2" t="s">
        <v>54</v>
      </c>
      <c r="D259" s="2" t="s">
        <v>55</v>
      </c>
      <c r="E259" s="2" t="s">
        <v>56</v>
      </c>
      <c r="F259">
        <v>4064</v>
      </c>
      <c r="G259" s="2" t="s">
        <v>128</v>
      </c>
      <c r="H259" s="2" t="s">
        <v>129</v>
      </c>
      <c r="I259" s="2" t="s">
        <v>33</v>
      </c>
      <c r="J259" s="2" t="s">
        <v>60</v>
      </c>
      <c r="K259" s="2" t="s">
        <v>33</v>
      </c>
      <c r="L259">
        <v>2102.2199999999998</v>
      </c>
      <c r="M259">
        <v>2</v>
      </c>
      <c r="N259">
        <v>18.7</v>
      </c>
      <c r="O259">
        <v>6400835</v>
      </c>
      <c r="P259" s="2" t="s">
        <v>130</v>
      </c>
      <c r="Q259" s="2" t="s">
        <v>131</v>
      </c>
      <c r="R259" s="2" t="s">
        <v>30</v>
      </c>
      <c r="S259">
        <v>8</v>
      </c>
      <c r="T259" s="1">
        <v>43159</v>
      </c>
      <c r="U259" s="1">
        <v>43168</v>
      </c>
      <c r="V259" s="2"/>
      <c r="W259" s="1">
        <f>fNotasFiscais[[#This Row],[Data da Coleta]]+fNotasFiscais[[#This Row],[Prazo Contratado]]</f>
        <v>43167</v>
      </c>
      <c r="X259" s="3">
        <f>IF(fNotasFiscais[[#This Row],[Data da Entrega]]&gt;fNotasFiscais[[#This Row],[Data Contratada]],0,1)</f>
        <v>0</v>
      </c>
      <c r="Y259" s="3">
        <f>IF(fNotasFiscais[[#This Row],[Ocorrência]]="",1,0)</f>
        <v>1</v>
      </c>
      <c r="Z259" s="2">
        <f>fNotasFiscais[[#This Row],[On Time]]*fNotasFiscais[[#This Row],[In Full]]</f>
        <v>0</v>
      </c>
      <c r="AA259">
        <f>IF(fNotasFiscais[[#This Row],[Nota Fiscal]]&lt;&gt;"",1,0)</f>
        <v>1</v>
      </c>
    </row>
    <row r="260" spans="1:27" x14ac:dyDescent="0.25">
      <c r="A260" s="1">
        <v>43158</v>
      </c>
      <c r="B260">
        <v>10635</v>
      </c>
      <c r="C260" s="2" t="s">
        <v>40</v>
      </c>
      <c r="D260" s="2" t="s">
        <v>41</v>
      </c>
      <c r="E260" s="2" t="s">
        <v>33</v>
      </c>
      <c r="F260">
        <v>4064</v>
      </c>
      <c r="G260" s="2" t="s">
        <v>128</v>
      </c>
      <c r="H260" s="2" t="s">
        <v>129</v>
      </c>
      <c r="I260" s="2" t="s">
        <v>33</v>
      </c>
      <c r="J260" s="2" t="s">
        <v>60</v>
      </c>
      <c r="K260" s="2" t="s">
        <v>33</v>
      </c>
      <c r="L260">
        <v>3153.35</v>
      </c>
      <c r="M260">
        <v>3</v>
      </c>
      <c r="N260">
        <v>28.05</v>
      </c>
      <c r="O260">
        <v>6400835</v>
      </c>
      <c r="P260" s="2" t="s">
        <v>130</v>
      </c>
      <c r="Q260" s="2" t="s">
        <v>131</v>
      </c>
      <c r="R260" s="2" t="s">
        <v>30</v>
      </c>
      <c r="S260">
        <v>9</v>
      </c>
      <c r="T260" s="1">
        <v>43159</v>
      </c>
      <c r="U260" s="1">
        <v>43164</v>
      </c>
      <c r="V260" s="2"/>
      <c r="W260" s="1">
        <f>fNotasFiscais[[#This Row],[Data da Coleta]]+fNotasFiscais[[#This Row],[Prazo Contratado]]</f>
        <v>43168</v>
      </c>
      <c r="X260" s="3">
        <f>IF(fNotasFiscais[[#This Row],[Data da Entrega]]&gt;fNotasFiscais[[#This Row],[Data Contratada]],0,1)</f>
        <v>1</v>
      </c>
      <c r="Y260" s="3">
        <f>IF(fNotasFiscais[[#This Row],[Ocorrência]]="",1,0)</f>
        <v>1</v>
      </c>
      <c r="Z260" s="2">
        <f>fNotasFiscais[[#This Row],[On Time]]*fNotasFiscais[[#This Row],[In Full]]</f>
        <v>1</v>
      </c>
      <c r="AA260">
        <f>IF(fNotasFiscais[[#This Row],[Nota Fiscal]]&lt;&gt;"",1,0)</f>
        <v>1</v>
      </c>
    </row>
    <row r="261" spans="1:27" x14ac:dyDescent="0.25">
      <c r="A261" s="1">
        <v>43158</v>
      </c>
      <c r="B261">
        <v>10638</v>
      </c>
      <c r="C261" s="2" t="s">
        <v>40</v>
      </c>
      <c r="D261" s="2" t="s">
        <v>41</v>
      </c>
      <c r="E261" s="2" t="s">
        <v>33</v>
      </c>
      <c r="F261">
        <v>4064</v>
      </c>
      <c r="G261" s="2" t="s">
        <v>128</v>
      </c>
      <c r="H261" s="2" t="s">
        <v>129</v>
      </c>
      <c r="I261" s="2" t="s">
        <v>33</v>
      </c>
      <c r="J261" s="2" t="s">
        <v>60</v>
      </c>
      <c r="K261" s="2" t="s">
        <v>33</v>
      </c>
      <c r="L261">
        <v>3790.4</v>
      </c>
      <c r="M261">
        <v>5</v>
      </c>
      <c r="N261">
        <v>9.7149999999999999</v>
      </c>
      <c r="O261">
        <v>6400835</v>
      </c>
      <c r="P261" s="2" t="s">
        <v>130</v>
      </c>
      <c r="Q261" s="2" t="s">
        <v>131</v>
      </c>
      <c r="R261" s="2" t="s">
        <v>30</v>
      </c>
      <c r="S261">
        <v>1</v>
      </c>
      <c r="T261" s="1">
        <v>43159</v>
      </c>
      <c r="U261" s="1">
        <v>43169</v>
      </c>
      <c r="V261" s="2"/>
      <c r="W261" s="1">
        <f>fNotasFiscais[[#This Row],[Data da Coleta]]+fNotasFiscais[[#This Row],[Prazo Contratado]]</f>
        <v>43160</v>
      </c>
      <c r="X261" s="3">
        <f>IF(fNotasFiscais[[#This Row],[Data da Entrega]]&gt;fNotasFiscais[[#This Row],[Data Contratada]],0,1)</f>
        <v>0</v>
      </c>
      <c r="Y261" s="3">
        <f>IF(fNotasFiscais[[#This Row],[Ocorrência]]="",1,0)</f>
        <v>1</v>
      </c>
      <c r="Z261" s="2">
        <f>fNotasFiscais[[#This Row],[On Time]]*fNotasFiscais[[#This Row],[In Full]]</f>
        <v>0</v>
      </c>
      <c r="AA261">
        <f>IF(fNotasFiscais[[#This Row],[Nota Fiscal]]&lt;&gt;"",1,0)</f>
        <v>1</v>
      </c>
    </row>
    <row r="262" spans="1:27" x14ac:dyDescent="0.25">
      <c r="A262" s="1">
        <v>43158</v>
      </c>
      <c r="B262">
        <v>10642</v>
      </c>
      <c r="C262" s="2" t="s">
        <v>54</v>
      </c>
      <c r="D262" s="2" t="s">
        <v>55</v>
      </c>
      <c r="E262" s="2" t="s">
        <v>56</v>
      </c>
      <c r="F262">
        <v>4064</v>
      </c>
      <c r="G262" s="2" t="s">
        <v>128</v>
      </c>
      <c r="H262" s="2" t="s">
        <v>129</v>
      </c>
      <c r="I262" s="2" t="s">
        <v>33</v>
      </c>
      <c r="J262" s="2" t="s">
        <v>60</v>
      </c>
      <c r="K262" s="2" t="s">
        <v>33</v>
      </c>
      <c r="L262">
        <v>255.38</v>
      </c>
      <c r="M262">
        <v>1</v>
      </c>
      <c r="N262">
        <v>1.1200000000000001</v>
      </c>
      <c r="O262">
        <v>6400835</v>
      </c>
      <c r="P262" s="2" t="s">
        <v>130</v>
      </c>
      <c r="Q262" s="2" t="s">
        <v>131</v>
      </c>
      <c r="R262" s="2" t="s">
        <v>30</v>
      </c>
      <c r="S262">
        <v>6</v>
      </c>
      <c r="T262" s="1">
        <v>43159</v>
      </c>
      <c r="U262" s="1">
        <v>43161</v>
      </c>
      <c r="V262" s="2"/>
      <c r="W262" s="1">
        <f>fNotasFiscais[[#This Row],[Data da Coleta]]+fNotasFiscais[[#This Row],[Prazo Contratado]]</f>
        <v>43165</v>
      </c>
      <c r="X262" s="3">
        <f>IF(fNotasFiscais[[#This Row],[Data da Entrega]]&gt;fNotasFiscais[[#This Row],[Data Contratada]],0,1)</f>
        <v>1</v>
      </c>
      <c r="Y262" s="3">
        <f>IF(fNotasFiscais[[#This Row],[Ocorrência]]="",1,0)</f>
        <v>1</v>
      </c>
      <c r="Z262" s="2">
        <f>fNotasFiscais[[#This Row],[On Time]]*fNotasFiscais[[#This Row],[In Full]]</f>
        <v>1</v>
      </c>
      <c r="AA262">
        <f>IF(fNotasFiscais[[#This Row],[Nota Fiscal]]&lt;&gt;"",1,0)</f>
        <v>1</v>
      </c>
    </row>
    <row r="263" spans="1:27" x14ac:dyDescent="0.25">
      <c r="A263" s="1">
        <v>43161</v>
      </c>
      <c r="B263">
        <v>10647</v>
      </c>
      <c r="C263" s="2" t="s">
        <v>31</v>
      </c>
      <c r="D263" s="2" t="s">
        <v>32</v>
      </c>
      <c r="E263" s="2" t="s">
        <v>33</v>
      </c>
      <c r="F263">
        <v>4066</v>
      </c>
      <c r="G263" s="2" t="s">
        <v>132</v>
      </c>
      <c r="H263" s="2" t="s">
        <v>47</v>
      </c>
      <c r="I263" s="2" t="s">
        <v>48</v>
      </c>
      <c r="J263" s="2" t="s">
        <v>49</v>
      </c>
      <c r="K263" s="2" t="s">
        <v>48</v>
      </c>
      <c r="L263">
        <v>178.8</v>
      </c>
      <c r="M263">
        <v>1</v>
      </c>
      <c r="N263">
        <v>0.23100000000000001</v>
      </c>
      <c r="O263">
        <v>6100231</v>
      </c>
      <c r="P263" s="2" t="s">
        <v>50</v>
      </c>
      <c r="Q263" s="2" t="s">
        <v>51</v>
      </c>
      <c r="R263" s="2" t="s">
        <v>30</v>
      </c>
      <c r="S263">
        <v>11</v>
      </c>
      <c r="T263" s="1">
        <v>43161</v>
      </c>
      <c r="U263" s="1">
        <v>43170</v>
      </c>
      <c r="V263" s="2"/>
      <c r="W263" s="1">
        <f>fNotasFiscais[[#This Row],[Data da Coleta]]+fNotasFiscais[[#This Row],[Prazo Contratado]]</f>
        <v>43172</v>
      </c>
      <c r="X263" s="3">
        <f>IF(fNotasFiscais[[#This Row],[Data da Entrega]]&gt;fNotasFiscais[[#This Row],[Data Contratada]],0,1)</f>
        <v>1</v>
      </c>
      <c r="Y263" s="3">
        <f>IF(fNotasFiscais[[#This Row],[Ocorrência]]="",1,0)</f>
        <v>1</v>
      </c>
      <c r="Z263" s="2">
        <f>fNotasFiscais[[#This Row],[On Time]]*fNotasFiscais[[#This Row],[In Full]]</f>
        <v>1</v>
      </c>
      <c r="AA263">
        <f>IF(fNotasFiscais[[#This Row],[Nota Fiscal]]&lt;&gt;"",1,0)</f>
        <v>1</v>
      </c>
    </row>
    <row r="264" spans="1:27" x14ac:dyDescent="0.25">
      <c r="A264" s="1">
        <v>43145</v>
      </c>
      <c r="B264">
        <v>10592</v>
      </c>
      <c r="C264" s="2" t="s">
        <v>22</v>
      </c>
      <c r="D264" s="2" t="s">
        <v>23</v>
      </c>
      <c r="E264" s="2" t="s">
        <v>24</v>
      </c>
      <c r="F264">
        <v>4057</v>
      </c>
      <c r="G264" s="2" t="s">
        <v>133</v>
      </c>
      <c r="H264" s="2" t="s">
        <v>97</v>
      </c>
      <c r="I264" s="2" t="s">
        <v>48</v>
      </c>
      <c r="J264" s="2" t="s">
        <v>49</v>
      </c>
      <c r="K264" s="2" t="s">
        <v>48</v>
      </c>
      <c r="L264">
        <v>219.4</v>
      </c>
      <c r="M264">
        <v>1</v>
      </c>
      <c r="N264">
        <v>1.1200000000000001</v>
      </c>
      <c r="O264">
        <v>6100231</v>
      </c>
      <c r="P264" s="2" t="s">
        <v>50</v>
      </c>
      <c r="Q264" s="2" t="s">
        <v>51</v>
      </c>
      <c r="R264" s="2" t="s">
        <v>30</v>
      </c>
      <c r="S264">
        <v>11</v>
      </c>
      <c r="T264" s="1">
        <v>43146</v>
      </c>
      <c r="U264" s="1">
        <v>43147</v>
      </c>
      <c r="V264" s="2"/>
      <c r="W264" s="1">
        <f>fNotasFiscais[[#This Row],[Data da Coleta]]+fNotasFiscais[[#This Row],[Prazo Contratado]]</f>
        <v>43157</v>
      </c>
      <c r="X264" s="3">
        <f>IF(fNotasFiscais[[#This Row],[Data da Entrega]]&gt;fNotasFiscais[[#This Row],[Data Contratada]],0,1)</f>
        <v>1</v>
      </c>
      <c r="Y264" s="3">
        <f>IF(fNotasFiscais[[#This Row],[Ocorrência]]="",1,0)</f>
        <v>1</v>
      </c>
      <c r="Z264" s="2">
        <f>fNotasFiscais[[#This Row],[On Time]]*fNotasFiscais[[#This Row],[In Full]]</f>
        <v>1</v>
      </c>
      <c r="AA264">
        <f>IF(fNotasFiscais[[#This Row],[Nota Fiscal]]&lt;&gt;"",1,0)</f>
        <v>1</v>
      </c>
    </row>
    <row r="265" spans="1:27" x14ac:dyDescent="0.25">
      <c r="A265" s="1">
        <v>43151</v>
      </c>
      <c r="B265">
        <v>10611</v>
      </c>
      <c r="C265" s="2" t="s">
        <v>52</v>
      </c>
      <c r="D265" s="2" t="s">
        <v>53</v>
      </c>
      <c r="E265" s="2" t="s">
        <v>33</v>
      </c>
      <c r="F265">
        <v>4060</v>
      </c>
      <c r="G265" s="2" t="s">
        <v>134</v>
      </c>
      <c r="H265" s="2" t="s">
        <v>115</v>
      </c>
      <c r="I265" s="2" t="s">
        <v>107</v>
      </c>
      <c r="J265" s="2" t="s">
        <v>49</v>
      </c>
      <c r="K265" s="2" t="s">
        <v>107</v>
      </c>
      <c r="L265">
        <v>486.65</v>
      </c>
      <c r="M265">
        <v>1</v>
      </c>
      <c r="N265">
        <v>1.5549999999999999</v>
      </c>
      <c r="O265">
        <v>6100231</v>
      </c>
      <c r="P265" s="2" t="s">
        <v>50</v>
      </c>
      <c r="Q265" s="2" t="s">
        <v>51</v>
      </c>
      <c r="R265" s="2" t="s">
        <v>30</v>
      </c>
      <c r="S265">
        <v>2</v>
      </c>
      <c r="T265" s="1">
        <v>43151</v>
      </c>
      <c r="U265" s="1">
        <v>43156</v>
      </c>
      <c r="V265" s="2" t="s">
        <v>57</v>
      </c>
      <c r="W265" s="1">
        <f>fNotasFiscais[[#This Row],[Data da Coleta]]+fNotasFiscais[[#This Row],[Prazo Contratado]]</f>
        <v>43153</v>
      </c>
      <c r="X265" s="3">
        <f>IF(fNotasFiscais[[#This Row],[Data da Entrega]]&gt;fNotasFiscais[[#This Row],[Data Contratada]],0,1)</f>
        <v>0</v>
      </c>
      <c r="Y265" s="3">
        <f>IF(fNotasFiscais[[#This Row],[Ocorrência]]="",1,0)</f>
        <v>0</v>
      </c>
      <c r="Z265" s="2">
        <f>fNotasFiscais[[#This Row],[On Time]]*fNotasFiscais[[#This Row],[In Full]]</f>
        <v>0</v>
      </c>
      <c r="AA265">
        <f>IF(fNotasFiscais[[#This Row],[Nota Fiscal]]&lt;&gt;"",1,0)</f>
        <v>1</v>
      </c>
    </row>
    <row r="266" spans="1:27" x14ac:dyDescent="0.25">
      <c r="A266" s="1">
        <v>43166</v>
      </c>
      <c r="B266">
        <v>10656</v>
      </c>
      <c r="C266" s="2" t="s">
        <v>31</v>
      </c>
      <c r="D266" s="2" t="s">
        <v>32</v>
      </c>
      <c r="E266" s="2" t="s">
        <v>33</v>
      </c>
      <c r="F266">
        <v>4069</v>
      </c>
      <c r="G266" s="2" t="s">
        <v>135</v>
      </c>
      <c r="H266" s="2" t="s">
        <v>47</v>
      </c>
      <c r="I266" s="2" t="s">
        <v>48</v>
      </c>
      <c r="J266" s="2" t="s">
        <v>49</v>
      </c>
      <c r="K266" s="2" t="s">
        <v>48</v>
      </c>
      <c r="L266">
        <v>4971.03</v>
      </c>
      <c r="M266">
        <v>4</v>
      </c>
      <c r="N266">
        <v>13.64</v>
      </c>
      <c r="O266">
        <v>6100231</v>
      </c>
      <c r="P266" s="2" t="s">
        <v>50</v>
      </c>
      <c r="Q266" s="2" t="s">
        <v>51</v>
      </c>
      <c r="R266" s="2" t="s">
        <v>30</v>
      </c>
      <c r="S266">
        <v>4</v>
      </c>
      <c r="T266" s="1">
        <v>43166</v>
      </c>
      <c r="U266" s="1">
        <v>43167</v>
      </c>
      <c r="V266" s="2"/>
      <c r="W266" s="1">
        <f>fNotasFiscais[[#This Row],[Data da Coleta]]+fNotasFiscais[[#This Row],[Prazo Contratado]]</f>
        <v>43170</v>
      </c>
      <c r="X266" s="3">
        <f>IF(fNotasFiscais[[#This Row],[Data da Entrega]]&gt;fNotasFiscais[[#This Row],[Data Contratada]],0,1)</f>
        <v>1</v>
      </c>
      <c r="Y266" s="3">
        <f>IF(fNotasFiscais[[#This Row],[Ocorrência]]="",1,0)</f>
        <v>1</v>
      </c>
      <c r="Z266" s="2">
        <f>fNotasFiscais[[#This Row],[On Time]]*fNotasFiscais[[#This Row],[In Full]]</f>
        <v>1</v>
      </c>
      <c r="AA266">
        <f>IF(fNotasFiscais[[#This Row],[Nota Fiscal]]&lt;&gt;"",1,0)</f>
        <v>1</v>
      </c>
    </row>
    <row r="267" spans="1:27" x14ac:dyDescent="0.25">
      <c r="A267" s="1">
        <v>43168</v>
      </c>
      <c r="B267">
        <v>10676</v>
      </c>
      <c r="C267" s="2" t="s">
        <v>22</v>
      </c>
      <c r="D267" s="2" t="s">
        <v>23</v>
      </c>
      <c r="E267" s="2" t="s">
        <v>24</v>
      </c>
      <c r="F267">
        <v>4030</v>
      </c>
      <c r="G267" s="2" t="s">
        <v>102</v>
      </c>
      <c r="H267" s="2" t="s">
        <v>35</v>
      </c>
      <c r="I267" s="2" t="s">
        <v>36</v>
      </c>
      <c r="J267" s="2" t="s">
        <v>60</v>
      </c>
      <c r="K267" s="2" t="s">
        <v>36</v>
      </c>
      <c r="L267">
        <v>349.47</v>
      </c>
      <c r="M267">
        <v>1</v>
      </c>
      <c r="N267">
        <v>0.77</v>
      </c>
      <c r="O267">
        <v>6600879</v>
      </c>
      <c r="P267" s="2" t="s">
        <v>61</v>
      </c>
      <c r="Q267" s="2" t="s">
        <v>35</v>
      </c>
      <c r="R267" s="2" t="s">
        <v>30</v>
      </c>
      <c r="S267">
        <v>7</v>
      </c>
      <c r="T267" s="1">
        <v>43168</v>
      </c>
      <c r="U267" s="1">
        <v>43175</v>
      </c>
      <c r="V267" s="2"/>
      <c r="W267" s="1">
        <f>fNotasFiscais[[#This Row],[Data da Coleta]]+fNotasFiscais[[#This Row],[Prazo Contratado]]</f>
        <v>43175</v>
      </c>
      <c r="X267" s="3">
        <f>IF(fNotasFiscais[[#This Row],[Data da Entrega]]&gt;fNotasFiscais[[#This Row],[Data Contratada]],0,1)</f>
        <v>1</v>
      </c>
      <c r="Y267" s="3">
        <f>IF(fNotasFiscais[[#This Row],[Ocorrência]]="",1,0)</f>
        <v>1</v>
      </c>
      <c r="Z267" s="2">
        <f>fNotasFiscais[[#This Row],[On Time]]*fNotasFiscais[[#This Row],[In Full]]</f>
        <v>1</v>
      </c>
      <c r="AA267">
        <f>IF(fNotasFiscais[[#This Row],[Nota Fiscal]]&lt;&gt;"",1,0)</f>
        <v>1</v>
      </c>
    </row>
    <row r="268" spans="1:27" x14ac:dyDescent="0.25">
      <c r="A268" s="1">
        <v>43168</v>
      </c>
      <c r="B268">
        <v>10677</v>
      </c>
      <c r="C268" s="2" t="s">
        <v>43</v>
      </c>
      <c r="D268" s="2" t="s">
        <v>44</v>
      </c>
      <c r="E268" s="2" t="s">
        <v>45</v>
      </c>
      <c r="F268">
        <v>4026</v>
      </c>
      <c r="G268" s="2" t="s">
        <v>92</v>
      </c>
      <c r="H268" s="2" t="s">
        <v>35</v>
      </c>
      <c r="I268" s="2" t="s">
        <v>36</v>
      </c>
      <c r="J268" s="2" t="s">
        <v>60</v>
      </c>
      <c r="K268" s="2" t="s">
        <v>36</v>
      </c>
      <c r="L268">
        <v>110.09</v>
      </c>
      <c r="M268">
        <v>1</v>
      </c>
      <c r="N268">
        <v>4.4000000000000004</v>
      </c>
      <c r="O268">
        <v>6600879</v>
      </c>
      <c r="P268" s="2" t="s">
        <v>61</v>
      </c>
      <c r="Q268" s="2" t="s">
        <v>35</v>
      </c>
      <c r="R268" s="2" t="s">
        <v>30</v>
      </c>
      <c r="S268">
        <v>9</v>
      </c>
      <c r="T268" s="1">
        <v>43168</v>
      </c>
      <c r="U268" s="1">
        <v>43171</v>
      </c>
      <c r="V268" s="2"/>
      <c r="W268" s="1">
        <f>fNotasFiscais[[#This Row],[Data da Coleta]]+fNotasFiscais[[#This Row],[Prazo Contratado]]</f>
        <v>43177</v>
      </c>
      <c r="X268" s="3">
        <f>IF(fNotasFiscais[[#This Row],[Data da Entrega]]&gt;fNotasFiscais[[#This Row],[Data Contratada]],0,1)</f>
        <v>1</v>
      </c>
      <c r="Y268" s="3">
        <f>IF(fNotasFiscais[[#This Row],[Ocorrência]]="",1,0)</f>
        <v>1</v>
      </c>
      <c r="Z268" s="2">
        <f>fNotasFiscais[[#This Row],[On Time]]*fNotasFiscais[[#This Row],[In Full]]</f>
        <v>1</v>
      </c>
      <c r="AA268">
        <f>IF(fNotasFiscais[[#This Row],[Nota Fiscal]]&lt;&gt;"",1,0)</f>
        <v>1</v>
      </c>
    </row>
    <row r="269" spans="1:27" x14ac:dyDescent="0.25">
      <c r="A269" s="1">
        <v>43168</v>
      </c>
      <c r="B269">
        <v>10678</v>
      </c>
      <c r="C269" s="2" t="s">
        <v>31</v>
      </c>
      <c r="D269" s="2" t="s">
        <v>32</v>
      </c>
      <c r="E269" s="2" t="s">
        <v>33</v>
      </c>
      <c r="F269">
        <v>4029</v>
      </c>
      <c r="G269" s="2" t="s">
        <v>100</v>
      </c>
      <c r="H269" s="2" t="s">
        <v>101</v>
      </c>
      <c r="I269" s="2" t="s">
        <v>39</v>
      </c>
      <c r="J269" s="2" t="s">
        <v>28</v>
      </c>
      <c r="K269" s="2" t="s">
        <v>39</v>
      </c>
      <c r="L269">
        <v>5347.08</v>
      </c>
      <c r="M269">
        <v>4</v>
      </c>
      <c r="N269">
        <v>59.686</v>
      </c>
      <c r="O269">
        <v>6500948</v>
      </c>
      <c r="P269" s="2" t="s">
        <v>29</v>
      </c>
      <c r="Q269" s="2" t="s">
        <v>23</v>
      </c>
      <c r="R269" s="2" t="s">
        <v>30</v>
      </c>
      <c r="S269">
        <v>5</v>
      </c>
      <c r="T269" s="1">
        <v>43168</v>
      </c>
      <c r="U269" s="1">
        <v>43173</v>
      </c>
      <c r="V269" s="2" t="s">
        <v>42</v>
      </c>
      <c r="W269" s="1">
        <f>fNotasFiscais[[#This Row],[Data da Coleta]]+fNotasFiscais[[#This Row],[Prazo Contratado]]</f>
        <v>43173</v>
      </c>
      <c r="X269" s="3">
        <f>IF(fNotasFiscais[[#This Row],[Data da Entrega]]&gt;fNotasFiscais[[#This Row],[Data Contratada]],0,1)</f>
        <v>1</v>
      </c>
      <c r="Y269" s="3">
        <f>IF(fNotasFiscais[[#This Row],[Ocorrência]]="",1,0)</f>
        <v>0</v>
      </c>
      <c r="Z269" s="2">
        <f>fNotasFiscais[[#This Row],[On Time]]*fNotasFiscais[[#This Row],[In Full]]</f>
        <v>0</v>
      </c>
      <c r="AA269">
        <f>IF(fNotasFiscais[[#This Row],[Nota Fiscal]]&lt;&gt;"",1,0)</f>
        <v>1</v>
      </c>
    </row>
    <row r="270" spans="1:27" x14ac:dyDescent="0.25">
      <c r="A270" s="1">
        <v>43168</v>
      </c>
      <c r="B270">
        <v>10679</v>
      </c>
      <c r="C270" s="2" t="s">
        <v>40</v>
      </c>
      <c r="D270" s="2" t="s">
        <v>41</v>
      </c>
      <c r="E270" s="2" t="s">
        <v>33</v>
      </c>
      <c r="F270">
        <v>4022</v>
      </c>
      <c r="G270" s="2" t="s">
        <v>86</v>
      </c>
      <c r="H270" s="2" t="s">
        <v>87</v>
      </c>
      <c r="I270" s="2" t="s">
        <v>27</v>
      </c>
      <c r="J270" s="2" t="s">
        <v>28</v>
      </c>
      <c r="K270" s="2" t="s">
        <v>27</v>
      </c>
      <c r="L270">
        <v>6844.65</v>
      </c>
      <c r="M270">
        <v>10</v>
      </c>
      <c r="N270">
        <v>216.81</v>
      </c>
      <c r="O270">
        <v>6500948</v>
      </c>
      <c r="P270" s="2" t="s">
        <v>29</v>
      </c>
      <c r="Q270" s="2" t="s">
        <v>23</v>
      </c>
      <c r="R270" s="2" t="s">
        <v>30</v>
      </c>
      <c r="S270">
        <v>7</v>
      </c>
      <c r="T270" s="1">
        <v>43168</v>
      </c>
      <c r="U270" s="1">
        <v>43170</v>
      </c>
      <c r="V270" s="2" t="s">
        <v>42</v>
      </c>
      <c r="W270" s="1">
        <f>fNotasFiscais[[#This Row],[Data da Coleta]]+fNotasFiscais[[#This Row],[Prazo Contratado]]</f>
        <v>43175</v>
      </c>
      <c r="X270" s="3">
        <f>IF(fNotasFiscais[[#This Row],[Data da Entrega]]&gt;fNotasFiscais[[#This Row],[Data Contratada]],0,1)</f>
        <v>1</v>
      </c>
      <c r="Y270" s="3">
        <f>IF(fNotasFiscais[[#This Row],[Ocorrência]]="",1,0)</f>
        <v>0</v>
      </c>
      <c r="Z270" s="2">
        <f>fNotasFiscais[[#This Row],[On Time]]*fNotasFiscais[[#This Row],[In Full]]</f>
        <v>0</v>
      </c>
      <c r="AA270">
        <f>IF(fNotasFiscais[[#This Row],[Nota Fiscal]]&lt;&gt;"",1,0)</f>
        <v>1</v>
      </c>
    </row>
    <row r="271" spans="1:27" x14ac:dyDescent="0.25">
      <c r="A271" s="1">
        <v>43168</v>
      </c>
      <c r="B271">
        <v>10680</v>
      </c>
      <c r="C271" s="2" t="s">
        <v>31</v>
      </c>
      <c r="D271" s="2" t="s">
        <v>32</v>
      </c>
      <c r="E271" s="2" t="s">
        <v>33</v>
      </c>
      <c r="F271">
        <v>4025</v>
      </c>
      <c r="G271" s="2" t="s">
        <v>90</v>
      </c>
      <c r="H271" s="2" t="s">
        <v>91</v>
      </c>
      <c r="I271" s="2" t="s">
        <v>24</v>
      </c>
      <c r="J271" s="2" t="s">
        <v>28</v>
      </c>
      <c r="K271" s="2" t="s">
        <v>24</v>
      </c>
      <c r="L271">
        <v>938.6</v>
      </c>
      <c r="M271">
        <v>2</v>
      </c>
      <c r="N271">
        <v>14.96</v>
      </c>
      <c r="O271">
        <v>6500948</v>
      </c>
      <c r="P271" s="2" t="s">
        <v>29</v>
      </c>
      <c r="Q271" s="2" t="s">
        <v>23</v>
      </c>
      <c r="R271" s="2" t="s">
        <v>30</v>
      </c>
      <c r="S271">
        <v>2</v>
      </c>
      <c r="T271" s="1">
        <v>43168</v>
      </c>
      <c r="U271" s="1">
        <v>43171</v>
      </c>
      <c r="V271" s="2" t="s">
        <v>57</v>
      </c>
      <c r="W271" s="1">
        <f>fNotasFiscais[[#This Row],[Data da Coleta]]+fNotasFiscais[[#This Row],[Prazo Contratado]]</f>
        <v>43170</v>
      </c>
      <c r="X271" s="3">
        <f>IF(fNotasFiscais[[#This Row],[Data da Entrega]]&gt;fNotasFiscais[[#This Row],[Data Contratada]],0,1)</f>
        <v>0</v>
      </c>
      <c r="Y271" s="3">
        <f>IF(fNotasFiscais[[#This Row],[Ocorrência]]="",1,0)</f>
        <v>0</v>
      </c>
      <c r="Z271" s="2">
        <f>fNotasFiscais[[#This Row],[On Time]]*fNotasFiscais[[#This Row],[In Full]]</f>
        <v>0</v>
      </c>
      <c r="AA271">
        <f>IF(fNotasFiscais[[#This Row],[Nota Fiscal]]&lt;&gt;"",1,0)</f>
        <v>1</v>
      </c>
    </row>
    <row r="272" spans="1:27" x14ac:dyDescent="0.25">
      <c r="A272" s="1">
        <v>43168</v>
      </c>
      <c r="B272">
        <v>10681</v>
      </c>
      <c r="C272" s="2" t="s">
        <v>34</v>
      </c>
      <c r="D272" s="2" t="s">
        <v>35</v>
      </c>
      <c r="E272" s="2" t="s">
        <v>36</v>
      </c>
      <c r="F272">
        <v>4028</v>
      </c>
      <c r="G272" s="2" t="s">
        <v>95</v>
      </c>
      <c r="H272" s="2" t="s">
        <v>26</v>
      </c>
      <c r="I272" s="2" t="s">
        <v>27</v>
      </c>
      <c r="J272" s="2" t="s">
        <v>28</v>
      </c>
      <c r="K272" s="2" t="s">
        <v>27</v>
      </c>
      <c r="L272">
        <v>107.51</v>
      </c>
      <c r="M272">
        <v>1</v>
      </c>
      <c r="N272">
        <v>0.17199999999999999</v>
      </c>
      <c r="O272">
        <v>6500948</v>
      </c>
      <c r="P272" s="2" t="s">
        <v>29</v>
      </c>
      <c r="Q272" s="2" t="s">
        <v>23</v>
      </c>
      <c r="R272" s="2" t="s">
        <v>30</v>
      </c>
      <c r="S272">
        <v>1</v>
      </c>
      <c r="T272" s="1">
        <v>43168</v>
      </c>
      <c r="U272" s="1">
        <v>43178</v>
      </c>
      <c r="V272" s="2"/>
      <c r="W272" s="1">
        <f>fNotasFiscais[[#This Row],[Data da Coleta]]+fNotasFiscais[[#This Row],[Prazo Contratado]]</f>
        <v>43169</v>
      </c>
      <c r="X272" s="3">
        <f>IF(fNotasFiscais[[#This Row],[Data da Entrega]]&gt;fNotasFiscais[[#This Row],[Data Contratada]],0,1)</f>
        <v>0</v>
      </c>
      <c r="Y272" s="3">
        <f>IF(fNotasFiscais[[#This Row],[Ocorrência]]="",1,0)</f>
        <v>1</v>
      </c>
      <c r="Z272" s="2">
        <f>fNotasFiscais[[#This Row],[On Time]]*fNotasFiscais[[#This Row],[In Full]]</f>
        <v>0</v>
      </c>
      <c r="AA272">
        <f>IF(fNotasFiscais[[#This Row],[Nota Fiscal]]&lt;&gt;"",1,0)</f>
        <v>1</v>
      </c>
    </row>
    <row r="273" spans="1:27" x14ac:dyDescent="0.25">
      <c r="A273" s="1">
        <v>43168</v>
      </c>
      <c r="B273">
        <v>10682</v>
      </c>
      <c r="C273" s="2" t="s">
        <v>22</v>
      </c>
      <c r="D273" s="2" t="s">
        <v>23</v>
      </c>
      <c r="E273" s="2" t="s">
        <v>24</v>
      </c>
      <c r="F273">
        <v>4030</v>
      </c>
      <c r="G273" s="2" t="s">
        <v>102</v>
      </c>
      <c r="H273" s="2" t="s">
        <v>35</v>
      </c>
      <c r="I273" s="2" t="s">
        <v>36</v>
      </c>
      <c r="J273" s="2" t="s">
        <v>60</v>
      </c>
      <c r="K273" s="2" t="s">
        <v>36</v>
      </c>
      <c r="L273">
        <v>5747.44</v>
      </c>
      <c r="M273">
        <v>8</v>
      </c>
      <c r="N273">
        <v>35.771999999999998</v>
      </c>
      <c r="O273">
        <v>6600879</v>
      </c>
      <c r="P273" s="2" t="s">
        <v>61</v>
      </c>
      <c r="Q273" s="2" t="s">
        <v>35</v>
      </c>
      <c r="R273" s="2" t="s">
        <v>30</v>
      </c>
      <c r="S273">
        <v>7</v>
      </c>
      <c r="T273" s="1">
        <v>43168</v>
      </c>
      <c r="U273" s="1">
        <v>43176</v>
      </c>
      <c r="V273" s="2"/>
      <c r="W273" s="1">
        <f>fNotasFiscais[[#This Row],[Data da Coleta]]+fNotasFiscais[[#This Row],[Prazo Contratado]]</f>
        <v>43175</v>
      </c>
      <c r="X273" s="3">
        <f>IF(fNotasFiscais[[#This Row],[Data da Entrega]]&gt;fNotasFiscais[[#This Row],[Data Contratada]],0,1)</f>
        <v>0</v>
      </c>
      <c r="Y273" s="3">
        <f>IF(fNotasFiscais[[#This Row],[Ocorrência]]="",1,0)</f>
        <v>1</v>
      </c>
      <c r="Z273" s="2">
        <f>fNotasFiscais[[#This Row],[On Time]]*fNotasFiscais[[#This Row],[In Full]]</f>
        <v>0</v>
      </c>
      <c r="AA273">
        <f>IF(fNotasFiscais[[#This Row],[Nota Fiscal]]&lt;&gt;"",1,0)</f>
        <v>1</v>
      </c>
    </row>
    <row r="274" spans="1:27" x14ac:dyDescent="0.25">
      <c r="A274" s="1">
        <v>43169</v>
      </c>
      <c r="B274">
        <v>10683</v>
      </c>
      <c r="C274" s="2" t="s">
        <v>52</v>
      </c>
      <c r="D274" s="2" t="s">
        <v>53</v>
      </c>
      <c r="E274" s="2" t="s">
        <v>33</v>
      </c>
      <c r="F274">
        <v>4070</v>
      </c>
      <c r="G274" s="2" t="s">
        <v>136</v>
      </c>
      <c r="H274" s="2" t="s">
        <v>44</v>
      </c>
      <c r="I274" s="2" t="s">
        <v>45</v>
      </c>
      <c r="J274" s="2" t="s">
        <v>60</v>
      </c>
      <c r="K274" s="2" t="s">
        <v>45</v>
      </c>
      <c r="L274">
        <v>1323.37</v>
      </c>
      <c r="M274">
        <v>2</v>
      </c>
      <c r="N274">
        <v>4.968</v>
      </c>
      <c r="O274">
        <v>6140092</v>
      </c>
      <c r="P274" s="2" t="s">
        <v>137</v>
      </c>
      <c r="Q274" s="2" t="s">
        <v>138</v>
      </c>
      <c r="R274" s="2" t="s">
        <v>30</v>
      </c>
      <c r="S274">
        <v>2</v>
      </c>
      <c r="T274" s="1">
        <v>43169</v>
      </c>
      <c r="U274" s="1">
        <v>43178</v>
      </c>
      <c r="V274" s="2"/>
      <c r="W274" s="1">
        <f>fNotasFiscais[[#This Row],[Data da Coleta]]+fNotasFiscais[[#This Row],[Prazo Contratado]]</f>
        <v>43171</v>
      </c>
      <c r="X274" s="3">
        <f>IF(fNotasFiscais[[#This Row],[Data da Entrega]]&gt;fNotasFiscais[[#This Row],[Data Contratada]],0,1)</f>
        <v>0</v>
      </c>
      <c r="Y274" s="3">
        <f>IF(fNotasFiscais[[#This Row],[Ocorrência]]="",1,0)</f>
        <v>1</v>
      </c>
      <c r="Z274" s="2">
        <f>fNotasFiscais[[#This Row],[On Time]]*fNotasFiscais[[#This Row],[In Full]]</f>
        <v>0</v>
      </c>
      <c r="AA274">
        <f>IF(fNotasFiscais[[#This Row],[Nota Fiscal]]&lt;&gt;"",1,0)</f>
        <v>1</v>
      </c>
    </row>
    <row r="275" spans="1:27" x14ac:dyDescent="0.25">
      <c r="A275" s="1">
        <v>43169</v>
      </c>
      <c r="B275">
        <v>10684</v>
      </c>
      <c r="C275" s="2" t="s">
        <v>52</v>
      </c>
      <c r="D275" s="2" t="s">
        <v>53</v>
      </c>
      <c r="E275" s="2" t="s">
        <v>33</v>
      </c>
      <c r="F275">
        <v>4043</v>
      </c>
      <c r="G275" s="2" t="s">
        <v>114</v>
      </c>
      <c r="H275" s="2" t="s">
        <v>115</v>
      </c>
      <c r="I275" s="2" t="s">
        <v>107</v>
      </c>
      <c r="J275" s="2" t="s">
        <v>49</v>
      </c>
      <c r="K275" s="2" t="s">
        <v>107</v>
      </c>
      <c r="L275">
        <v>2373.0500000000002</v>
      </c>
      <c r="M275">
        <v>1</v>
      </c>
      <c r="N275">
        <v>6.9989999999999997</v>
      </c>
      <c r="O275">
        <v>6100231</v>
      </c>
      <c r="P275" s="2" t="s">
        <v>50</v>
      </c>
      <c r="Q275" s="2" t="s">
        <v>51</v>
      </c>
      <c r="R275" s="2" t="s">
        <v>30</v>
      </c>
      <c r="S275">
        <v>5</v>
      </c>
      <c r="T275" s="1">
        <v>43169</v>
      </c>
      <c r="U275" s="1">
        <v>43179</v>
      </c>
      <c r="V275" s="2"/>
      <c r="W275" s="1">
        <f>fNotasFiscais[[#This Row],[Data da Coleta]]+fNotasFiscais[[#This Row],[Prazo Contratado]]</f>
        <v>43174</v>
      </c>
      <c r="X275" s="3">
        <f>IF(fNotasFiscais[[#This Row],[Data da Entrega]]&gt;fNotasFiscais[[#This Row],[Data Contratada]],0,1)</f>
        <v>0</v>
      </c>
      <c r="Y275" s="3">
        <f>IF(fNotasFiscais[[#This Row],[Ocorrência]]="",1,0)</f>
        <v>1</v>
      </c>
      <c r="Z275" s="2">
        <f>fNotasFiscais[[#This Row],[On Time]]*fNotasFiscais[[#This Row],[In Full]]</f>
        <v>0</v>
      </c>
      <c r="AA275">
        <f>IF(fNotasFiscais[[#This Row],[Nota Fiscal]]&lt;&gt;"",1,0)</f>
        <v>1</v>
      </c>
    </row>
    <row r="276" spans="1:27" x14ac:dyDescent="0.25">
      <c r="A276" s="1">
        <v>43169</v>
      </c>
      <c r="B276">
        <v>10685</v>
      </c>
      <c r="C276" s="2" t="s">
        <v>22</v>
      </c>
      <c r="D276" s="2" t="s">
        <v>23</v>
      </c>
      <c r="E276" s="2" t="s">
        <v>24</v>
      </c>
      <c r="F276">
        <v>4071</v>
      </c>
      <c r="G276" s="2" t="s">
        <v>139</v>
      </c>
      <c r="H276" s="2" t="s">
        <v>44</v>
      </c>
      <c r="I276" s="2" t="s">
        <v>45</v>
      </c>
      <c r="J276" s="2" t="s">
        <v>60</v>
      </c>
      <c r="K276" s="2" t="s">
        <v>45</v>
      </c>
      <c r="L276">
        <v>578.38</v>
      </c>
      <c r="M276">
        <v>1</v>
      </c>
      <c r="N276">
        <v>16.962</v>
      </c>
      <c r="O276">
        <v>6140092</v>
      </c>
      <c r="P276" s="2" t="s">
        <v>137</v>
      </c>
      <c r="Q276" s="2" t="s">
        <v>138</v>
      </c>
      <c r="R276" s="2" t="s">
        <v>30</v>
      </c>
      <c r="S276">
        <v>6</v>
      </c>
      <c r="T276" s="1">
        <v>43169</v>
      </c>
      <c r="U276" s="1">
        <v>43176</v>
      </c>
      <c r="V276" s="2"/>
      <c r="W276" s="1">
        <f>fNotasFiscais[[#This Row],[Data da Coleta]]+fNotasFiscais[[#This Row],[Prazo Contratado]]</f>
        <v>43175</v>
      </c>
      <c r="X276" s="3">
        <f>IF(fNotasFiscais[[#This Row],[Data da Entrega]]&gt;fNotasFiscais[[#This Row],[Data Contratada]],0,1)</f>
        <v>0</v>
      </c>
      <c r="Y276" s="3">
        <f>IF(fNotasFiscais[[#This Row],[Ocorrência]]="",1,0)</f>
        <v>1</v>
      </c>
      <c r="Z276" s="2">
        <f>fNotasFiscais[[#This Row],[On Time]]*fNotasFiscais[[#This Row],[In Full]]</f>
        <v>0</v>
      </c>
      <c r="AA276">
        <f>IF(fNotasFiscais[[#This Row],[Nota Fiscal]]&lt;&gt;"",1,0)</f>
        <v>1</v>
      </c>
    </row>
    <row r="277" spans="1:27" x14ac:dyDescent="0.25">
      <c r="A277" s="1">
        <v>43169</v>
      </c>
      <c r="B277">
        <v>10686</v>
      </c>
      <c r="C277" s="2" t="s">
        <v>31</v>
      </c>
      <c r="D277" s="2" t="s">
        <v>32</v>
      </c>
      <c r="E277" s="2" t="s">
        <v>33</v>
      </c>
      <c r="F277">
        <v>4049</v>
      </c>
      <c r="G277" s="2" t="s">
        <v>118</v>
      </c>
      <c r="H277" s="2" t="s">
        <v>97</v>
      </c>
      <c r="I277" s="2" t="s">
        <v>48</v>
      </c>
      <c r="J277" s="2" t="s">
        <v>49</v>
      </c>
      <c r="K277" s="2" t="s">
        <v>48</v>
      </c>
      <c r="L277">
        <v>119.9</v>
      </c>
      <c r="M277">
        <v>1</v>
      </c>
      <c r="N277">
        <v>4.2409999999999997</v>
      </c>
      <c r="O277">
        <v>6100231</v>
      </c>
      <c r="P277" s="2" t="s">
        <v>50</v>
      </c>
      <c r="Q277" s="2" t="s">
        <v>51</v>
      </c>
      <c r="R277" s="2" t="s">
        <v>30</v>
      </c>
      <c r="S277">
        <v>10</v>
      </c>
      <c r="T277" s="1">
        <v>43169</v>
      </c>
      <c r="U277" s="1">
        <v>43173</v>
      </c>
      <c r="V277" s="2"/>
      <c r="W277" s="1">
        <f>fNotasFiscais[[#This Row],[Data da Coleta]]+fNotasFiscais[[#This Row],[Prazo Contratado]]</f>
        <v>43179</v>
      </c>
      <c r="X277" s="3">
        <f>IF(fNotasFiscais[[#This Row],[Data da Entrega]]&gt;fNotasFiscais[[#This Row],[Data Contratada]],0,1)</f>
        <v>1</v>
      </c>
      <c r="Y277" s="3">
        <f>IF(fNotasFiscais[[#This Row],[Ocorrência]]="",1,0)</f>
        <v>1</v>
      </c>
      <c r="Z277" s="2">
        <f>fNotasFiscais[[#This Row],[On Time]]*fNotasFiscais[[#This Row],[In Full]]</f>
        <v>1</v>
      </c>
      <c r="AA277">
        <f>IF(fNotasFiscais[[#This Row],[Nota Fiscal]]&lt;&gt;"",1,0)</f>
        <v>1</v>
      </c>
    </row>
    <row r="278" spans="1:27" x14ac:dyDescent="0.25">
      <c r="A278" s="1">
        <v>43169</v>
      </c>
      <c r="B278">
        <v>10687</v>
      </c>
      <c r="C278" s="2" t="s">
        <v>34</v>
      </c>
      <c r="D278" s="2" t="s">
        <v>35</v>
      </c>
      <c r="E278" s="2" t="s">
        <v>36</v>
      </c>
      <c r="F278">
        <v>4049</v>
      </c>
      <c r="G278" s="2" t="s">
        <v>118</v>
      </c>
      <c r="H278" s="2" t="s">
        <v>97</v>
      </c>
      <c r="I278" s="2" t="s">
        <v>48</v>
      </c>
      <c r="J278" s="2" t="s">
        <v>49</v>
      </c>
      <c r="K278" s="2" t="s">
        <v>48</v>
      </c>
      <c r="L278">
        <v>151.74</v>
      </c>
      <c r="M278">
        <v>1</v>
      </c>
      <c r="N278">
        <v>4.2409999999999997</v>
      </c>
      <c r="O278">
        <v>6100231</v>
      </c>
      <c r="P278" s="2" t="s">
        <v>50</v>
      </c>
      <c r="Q278" s="2" t="s">
        <v>51</v>
      </c>
      <c r="R278" s="2" t="s">
        <v>30</v>
      </c>
      <c r="S278">
        <v>8</v>
      </c>
      <c r="T278" s="1">
        <v>43169</v>
      </c>
      <c r="U278" s="1">
        <v>43178</v>
      </c>
      <c r="V278" s="2"/>
      <c r="W278" s="1">
        <f>fNotasFiscais[[#This Row],[Data da Coleta]]+fNotasFiscais[[#This Row],[Prazo Contratado]]</f>
        <v>43177</v>
      </c>
      <c r="X278" s="3">
        <f>IF(fNotasFiscais[[#This Row],[Data da Entrega]]&gt;fNotasFiscais[[#This Row],[Data Contratada]],0,1)</f>
        <v>0</v>
      </c>
      <c r="Y278" s="3">
        <f>IF(fNotasFiscais[[#This Row],[Ocorrência]]="",1,0)</f>
        <v>1</v>
      </c>
      <c r="Z278" s="2">
        <f>fNotasFiscais[[#This Row],[On Time]]*fNotasFiscais[[#This Row],[In Full]]</f>
        <v>0</v>
      </c>
      <c r="AA278">
        <f>IF(fNotasFiscais[[#This Row],[Nota Fiscal]]&lt;&gt;"",1,0)</f>
        <v>1</v>
      </c>
    </row>
    <row r="279" spans="1:27" x14ac:dyDescent="0.25">
      <c r="A279" s="1">
        <v>43169</v>
      </c>
      <c r="B279">
        <v>10688</v>
      </c>
      <c r="C279" s="2" t="s">
        <v>43</v>
      </c>
      <c r="D279" s="2" t="s">
        <v>44</v>
      </c>
      <c r="E279" s="2" t="s">
        <v>45</v>
      </c>
      <c r="F279">
        <v>4049</v>
      </c>
      <c r="G279" s="2" t="s">
        <v>118</v>
      </c>
      <c r="H279" s="2" t="s">
        <v>97</v>
      </c>
      <c r="I279" s="2" t="s">
        <v>48</v>
      </c>
      <c r="J279" s="2" t="s">
        <v>49</v>
      </c>
      <c r="K279" s="2" t="s">
        <v>48</v>
      </c>
      <c r="L279">
        <v>912.61</v>
      </c>
      <c r="M279">
        <v>3</v>
      </c>
      <c r="N279">
        <v>0.66</v>
      </c>
      <c r="O279">
        <v>6100231</v>
      </c>
      <c r="P279" s="2" t="s">
        <v>50</v>
      </c>
      <c r="Q279" s="2" t="s">
        <v>51</v>
      </c>
      <c r="R279" s="2" t="s">
        <v>30</v>
      </c>
      <c r="S279">
        <v>10</v>
      </c>
      <c r="T279" s="1">
        <v>43169</v>
      </c>
      <c r="U279" s="1">
        <v>43178</v>
      </c>
      <c r="V279" s="2"/>
      <c r="W279" s="1">
        <f>fNotasFiscais[[#This Row],[Data da Coleta]]+fNotasFiscais[[#This Row],[Prazo Contratado]]</f>
        <v>43179</v>
      </c>
      <c r="X279" s="3">
        <f>IF(fNotasFiscais[[#This Row],[Data da Entrega]]&gt;fNotasFiscais[[#This Row],[Data Contratada]],0,1)</f>
        <v>1</v>
      </c>
      <c r="Y279" s="3">
        <f>IF(fNotasFiscais[[#This Row],[Ocorrência]]="",1,0)</f>
        <v>1</v>
      </c>
      <c r="Z279" s="2">
        <f>fNotasFiscais[[#This Row],[On Time]]*fNotasFiscais[[#This Row],[In Full]]</f>
        <v>1</v>
      </c>
      <c r="AA279">
        <f>IF(fNotasFiscais[[#This Row],[Nota Fiscal]]&lt;&gt;"",1,0)</f>
        <v>1</v>
      </c>
    </row>
    <row r="280" spans="1:27" x14ac:dyDescent="0.25">
      <c r="A280" s="1">
        <v>43169</v>
      </c>
      <c r="B280">
        <v>10689</v>
      </c>
      <c r="C280" s="2" t="s">
        <v>31</v>
      </c>
      <c r="D280" s="2" t="s">
        <v>32</v>
      </c>
      <c r="E280" s="2" t="s">
        <v>33</v>
      </c>
      <c r="F280">
        <v>4049</v>
      </c>
      <c r="G280" s="2" t="s">
        <v>118</v>
      </c>
      <c r="H280" s="2" t="s">
        <v>97</v>
      </c>
      <c r="I280" s="2" t="s">
        <v>48</v>
      </c>
      <c r="J280" s="2" t="s">
        <v>49</v>
      </c>
      <c r="K280" s="2" t="s">
        <v>48</v>
      </c>
      <c r="L280">
        <v>521.98</v>
      </c>
      <c r="M280">
        <v>1</v>
      </c>
      <c r="N280">
        <v>22</v>
      </c>
      <c r="O280">
        <v>6100231</v>
      </c>
      <c r="P280" s="2" t="s">
        <v>50</v>
      </c>
      <c r="Q280" s="2" t="s">
        <v>51</v>
      </c>
      <c r="R280" s="2" t="s">
        <v>30</v>
      </c>
      <c r="S280">
        <v>4</v>
      </c>
      <c r="T280" s="1">
        <v>43169</v>
      </c>
      <c r="U280" s="1">
        <v>43174</v>
      </c>
      <c r="V280" s="2"/>
      <c r="W280" s="1">
        <f>fNotasFiscais[[#This Row],[Data da Coleta]]+fNotasFiscais[[#This Row],[Prazo Contratado]]</f>
        <v>43173</v>
      </c>
      <c r="X280" s="3">
        <f>IF(fNotasFiscais[[#This Row],[Data da Entrega]]&gt;fNotasFiscais[[#This Row],[Data Contratada]],0,1)</f>
        <v>0</v>
      </c>
      <c r="Y280" s="3">
        <f>IF(fNotasFiscais[[#This Row],[Ocorrência]]="",1,0)</f>
        <v>1</v>
      </c>
      <c r="Z280" s="2">
        <f>fNotasFiscais[[#This Row],[On Time]]*fNotasFiscais[[#This Row],[In Full]]</f>
        <v>0</v>
      </c>
      <c r="AA280">
        <f>IF(fNotasFiscais[[#This Row],[Nota Fiscal]]&lt;&gt;"",1,0)</f>
        <v>1</v>
      </c>
    </row>
    <row r="281" spans="1:27" x14ac:dyDescent="0.25">
      <c r="A281" s="1">
        <v>43169</v>
      </c>
      <c r="B281">
        <v>10690</v>
      </c>
      <c r="C281" s="2" t="s">
        <v>34</v>
      </c>
      <c r="D281" s="2" t="s">
        <v>35</v>
      </c>
      <c r="E281" s="2" t="s">
        <v>36</v>
      </c>
      <c r="F281">
        <v>4049</v>
      </c>
      <c r="G281" s="2" t="s">
        <v>118</v>
      </c>
      <c r="H281" s="2" t="s">
        <v>97</v>
      </c>
      <c r="I281" s="2" t="s">
        <v>48</v>
      </c>
      <c r="J281" s="2" t="s">
        <v>49</v>
      </c>
      <c r="K281" s="2" t="s">
        <v>48</v>
      </c>
      <c r="L281">
        <v>2330.02</v>
      </c>
      <c r="M281">
        <v>7</v>
      </c>
      <c r="N281">
        <v>115.5</v>
      </c>
      <c r="O281">
        <v>6100231</v>
      </c>
      <c r="P281" s="2" t="s">
        <v>50</v>
      </c>
      <c r="Q281" s="2" t="s">
        <v>51</v>
      </c>
      <c r="R281" s="2" t="s">
        <v>30</v>
      </c>
      <c r="S281">
        <v>4</v>
      </c>
      <c r="T281" s="1">
        <v>43169</v>
      </c>
      <c r="U281" s="1">
        <v>43175</v>
      </c>
      <c r="V281" s="2"/>
      <c r="W281" s="1">
        <f>fNotasFiscais[[#This Row],[Data da Coleta]]+fNotasFiscais[[#This Row],[Prazo Contratado]]</f>
        <v>43173</v>
      </c>
      <c r="X281" s="3">
        <f>IF(fNotasFiscais[[#This Row],[Data da Entrega]]&gt;fNotasFiscais[[#This Row],[Data Contratada]],0,1)</f>
        <v>0</v>
      </c>
      <c r="Y281" s="3">
        <f>IF(fNotasFiscais[[#This Row],[Ocorrência]]="",1,0)</f>
        <v>1</v>
      </c>
      <c r="Z281" s="2">
        <f>fNotasFiscais[[#This Row],[On Time]]*fNotasFiscais[[#This Row],[In Full]]</f>
        <v>0</v>
      </c>
      <c r="AA281">
        <f>IF(fNotasFiscais[[#This Row],[Nota Fiscal]]&lt;&gt;"",1,0)</f>
        <v>1</v>
      </c>
    </row>
    <row r="282" spans="1:27" x14ac:dyDescent="0.25">
      <c r="A282" s="1">
        <v>43169</v>
      </c>
      <c r="B282">
        <v>10691</v>
      </c>
      <c r="C282" s="2" t="s">
        <v>43</v>
      </c>
      <c r="D282" s="2" t="s">
        <v>44</v>
      </c>
      <c r="E282" s="2" t="s">
        <v>45</v>
      </c>
      <c r="F282">
        <v>4049</v>
      </c>
      <c r="G282" s="2" t="s">
        <v>118</v>
      </c>
      <c r="H282" s="2" t="s">
        <v>97</v>
      </c>
      <c r="I282" s="2" t="s">
        <v>48</v>
      </c>
      <c r="J282" s="2" t="s">
        <v>49</v>
      </c>
      <c r="K282" s="2" t="s">
        <v>48</v>
      </c>
      <c r="L282">
        <v>1941.95</v>
      </c>
      <c r="M282">
        <v>8</v>
      </c>
      <c r="N282">
        <v>69.516000000000005</v>
      </c>
      <c r="O282">
        <v>6100231</v>
      </c>
      <c r="P282" s="2" t="s">
        <v>50</v>
      </c>
      <c r="Q282" s="2" t="s">
        <v>51</v>
      </c>
      <c r="R282" s="2" t="s">
        <v>30</v>
      </c>
      <c r="S282">
        <v>10</v>
      </c>
      <c r="T282" s="1">
        <v>43169</v>
      </c>
      <c r="U282" s="1">
        <v>43173</v>
      </c>
      <c r="V282" s="2"/>
      <c r="W282" s="1">
        <f>fNotasFiscais[[#This Row],[Data da Coleta]]+fNotasFiscais[[#This Row],[Prazo Contratado]]</f>
        <v>43179</v>
      </c>
      <c r="X282" s="3">
        <f>IF(fNotasFiscais[[#This Row],[Data da Entrega]]&gt;fNotasFiscais[[#This Row],[Data Contratada]],0,1)</f>
        <v>1</v>
      </c>
      <c r="Y282" s="3">
        <f>IF(fNotasFiscais[[#This Row],[Ocorrência]]="",1,0)</f>
        <v>1</v>
      </c>
      <c r="Z282" s="2">
        <f>fNotasFiscais[[#This Row],[On Time]]*fNotasFiscais[[#This Row],[In Full]]</f>
        <v>1</v>
      </c>
      <c r="AA282">
        <f>IF(fNotasFiscais[[#This Row],[Nota Fiscal]]&lt;&gt;"",1,0)</f>
        <v>1</v>
      </c>
    </row>
    <row r="283" spans="1:27" x14ac:dyDescent="0.25">
      <c r="A283" s="1">
        <v>43169</v>
      </c>
      <c r="B283">
        <v>10692</v>
      </c>
      <c r="C283" s="2" t="s">
        <v>54</v>
      </c>
      <c r="D283" s="2" t="s">
        <v>55</v>
      </c>
      <c r="E283" s="2" t="s">
        <v>56</v>
      </c>
      <c r="F283">
        <v>4049</v>
      </c>
      <c r="G283" s="2" t="s">
        <v>118</v>
      </c>
      <c r="H283" s="2" t="s">
        <v>97</v>
      </c>
      <c r="I283" s="2" t="s">
        <v>48</v>
      </c>
      <c r="J283" s="2" t="s">
        <v>49</v>
      </c>
      <c r="K283" s="2" t="s">
        <v>48</v>
      </c>
      <c r="L283">
        <v>604.42999999999995</v>
      </c>
      <c r="M283">
        <v>1</v>
      </c>
      <c r="N283">
        <v>4.6760000000000002</v>
      </c>
      <c r="O283">
        <v>6100231</v>
      </c>
      <c r="P283" s="2" t="s">
        <v>50</v>
      </c>
      <c r="Q283" s="2" t="s">
        <v>51</v>
      </c>
      <c r="R283" s="2" t="s">
        <v>30</v>
      </c>
      <c r="S283">
        <v>5</v>
      </c>
      <c r="T283" s="1">
        <v>43169</v>
      </c>
      <c r="U283" s="1">
        <v>43171</v>
      </c>
      <c r="V283" s="2"/>
      <c r="W283" s="1">
        <f>fNotasFiscais[[#This Row],[Data da Coleta]]+fNotasFiscais[[#This Row],[Prazo Contratado]]</f>
        <v>43174</v>
      </c>
      <c r="X283" s="3">
        <f>IF(fNotasFiscais[[#This Row],[Data da Entrega]]&gt;fNotasFiscais[[#This Row],[Data Contratada]],0,1)</f>
        <v>1</v>
      </c>
      <c r="Y283" s="3">
        <f>IF(fNotasFiscais[[#This Row],[Ocorrência]]="",1,0)</f>
        <v>1</v>
      </c>
      <c r="Z283" s="2">
        <f>fNotasFiscais[[#This Row],[On Time]]*fNotasFiscais[[#This Row],[In Full]]</f>
        <v>1</v>
      </c>
      <c r="AA283">
        <f>IF(fNotasFiscais[[#This Row],[Nota Fiscal]]&lt;&gt;"",1,0)</f>
        <v>1</v>
      </c>
    </row>
    <row r="284" spans="1:27" x14ac:dyDescent="0.25">
      <c r="A284" s="1">
        <v>43169</v>
      </c>
      <c r="B284">
        <v>10693</v>
      </c>
      <c r="C284" s="2" t="s">
        <v>40</v>
      </c>
      <c r="D284" s="2" t="s">
        <v>41</v>
      </c>
      <c r="E284" s="2" t="s">
        <v>33</v>
      </c>
      <c r="F284">
        <v>4049</v>
      </c>
      <c r="G284" s="2" t="s">
        <v>118</v>
      </c>
      <c r="H284" s="2" t="s">
        <v>97</v>
      </c>
      <c r="I284" s="2" t="s">
        <v>48</v>
      </c>
      <c r="J284" s="2" t="s">
        <v>49</v>
      </c>
      <c r="K284" s="2" t="s">
        <v>48</v>
      </c>
      <c r="L284">
        <v>251.34</v>
      </c>
      <c r="M284">
        <v>1</v>
      </c>
      <c r="N284">
        <v>5.5</v>
      </c>
      <c r="O284">
        <v>6100231</v>
      </c>
      <c r="P284" s="2" t="s">
        <v>50</v>
      </c>
      <c r="Q284" s="2" t="s">
        <v>51</v>
      </c>
      <c r="R284" s="2" t="s">
        <v>30</v>
      </c>
      <c r="S284">
        <v>8</v>
      </c>
      <c r="T284" s="1">
        <v>43169</v>
      </c>
      <c r="U284" s="1">
        <v>43176</v>
      </c>
      <c r="V284" s="2"/>
      <c r="W284" s="1">
        <f>fNotasFiscais[[#This Row],[Data da Coleta]]+fNotasFiscais[[#This Row],[Prazo Contratado]]</f>
        <v>43177</v>
      </c>
      <c r="X284" s="3">
        <f>IF(fNotasFiscais[[#This Row],[Data da Entrega]]&gt;fNotasFiscais[[#This Row],[Data Contratada]],0,1)</f>
        <v>1</v>
      </c>
      <c r="Y284" s="3">
        <f>IF(fNotasFiscais[[#This Row],[Ocorrência]]="",1,0)</f>
        <v>1</v>
      </c>
      <c r="Z284" s="2">
        <f>fNotasFiscais[[#This Row],[On Time]]*fNotasFiscais[[#This Row],[In Full]]</f>
        <v>1</v>
      </c>
      <c r="AA284">
        <f>IF(fNotasFiscais[[#This Row],[Nota Fiscal]]&lt;&gt;"",1,0)</f>
        <v>1</v>
      </c>
    </row>
    <row r="285" spans="1:27" x14ac:dyDescent="0.25">
      <c r="A285" s="1">
        <v>43169</v>
      </c>
      <c r="B285">
        <v>10694</v>
      </c>
      <c r="C285" s="2" t="s">
        <v>52</v>
      </c>
      <c r="D285" s="2" t="s">
        <v>53</v>
      </c>
      <c r="E285" s="2" t="s">
        <v>33</v>
      </c>
      <c r="F285">
        <v>4049</v>
      </c>
      <c r="G285" s="2" t="s">
        <v>118</v>
      </c>
      <c r="H285" s="2" t="s">
        <v>97</v>
      </c>
      <c r="I285" s="2" t="s">
        <v>48</v>
      </c>
      <c r="J285" s="2" t="s">
        <v>49</v>
      </c>
      <c r="K285" s="2" t="s">
        <v>48</v>
      </c>
      <c r="L285">
        <v>8923.43</v>
      </c>
      <c r="M285">
        <v>30</v>
      </c>
      <c r="N285">
        <v>92.4</v>
      </c>
      <c r="O285">
        <v>6100231</v>
      </c>
      <c r="P285" s="2" t="s">
        <v>50</v>
      </c>
      <c r="Q285" s="2" t="s">
        <v>51</v>
      </c>
      <c r="R285" s="2" t="s">
        <v>30</v>
      </c>
      <c r="S285">
        <v>7</v>
      </c>
      <c r="T285" s="1">
        <v>43169</v>
      </c>
      <c r="U285" s="1">
        <v>43177</v>
      </c>
      <c r="V285" s="2"/>
      <c r="W285" s="1">
        <f>fNotasFiscais[[#This Row],[Data da Coleta]]+fNotasFiscais[[#This Row],[Prazo Contratado]]</f>
        <v>43176</v>
      </c>
      <c r="X285" s="3">
        <f>IF(fNotasFiscais[[#This Row],[Data da Entrega]]&gt;fNotasFiscais[[#This Row],[Data Contratada]],0,1)</f>
        <v>0</v>
      </c>
      <c r="Y285" s="3">
        <f>IF(fNotasFiscais[[#This Row],[Ocorrência]]="",1,0)</f>
        <v>1</v>
      </c>
      <c r="Z285" s="2">
        <f>fNotasFiscais[[#This Row],[On Time]]*fNotasFiscais[[#This Row],[In Full]]</f>
        <v>0</v>
      </c>
      <c r="AA285">
        <f>IF(fNotasFiscais[[#This Row],[Nota Fiscal]]&lt;&gt;"",1,0)</f>
        <v>1</v>
      </c>
    </row>
    <row r="286" spans="1:27" x14ac:dyDescent="0.25">
      <c r="A286" s="1">
        <v>43169</v>
      </c>
      <c r="B286">
        <v>10695</v>
      </c>
      <c r="C286" s="2" t="s">
        <v>54</v>
      </c>
      <c r="D286" s="2" t="s">
        <v>55</v>
      </c>
      <c r="E286" s="2" t="s">
        <v>56</v>
      </c>
      <c r="F286">
        <v>4049</v>
      </c>
      <c r="G286" s="2" t="s">
        <v>118</v>
      </c>
      <c r="H286" s="2" t="s">
        <v>97</v>
      </c>
      <c r="I286" s="2" t="s">
        <v>48</v>
      </c>
      <c r="J286" s="2" t="s">
        <v>49</v>
      </c>
      <c r="K286" s="2" t="s">
        <v>48</v>
      </c>
      <c r="L286">
        <v>1950.48</v>
      </c>
      <c r="M286">
        <v>3</v>
      </c>
      <c r="N286">
        <v>6.6070000000000002</v>
      </c>
      <c r="O286">
        <v>6100231</v>
      </c>
      <c r="P286" s="2" t="s">
        <v>50</v>
      </c>
      <c r="Q286" s="2" t="s">
        <v>51</v>
      </c>
      <c r="R286" s="2" t="s">
        <v>30</v>
      </c>
      <c r="S286">
        <v>7</v>
      </c>
      <c r="T286" s="1">
        <v>43169</v>
      </c>
      <c r="U286" s="1">
        <v>43171</v>
      </c>
      <c r="V286" s="2"/>
      <c r="W286" s="1">
        <f>fNotasFiscais[[#This Row],[Data da Coleta]]+fNotasFiscais[[#This Row],[Prazo Contratado]]</f>
        <v>43176</v>
      </c>
      <c r="X286" s="3">
        <f>IF(fNotasFiscais[[#This Row],[Data da Entrega]]&gt;fNotasFiscais[[#This Row],[Data Contratada]],0,1)</f>
        <v>1</v>
      </c>
      <c r="Y286" s="3">
        <f>IF(fNotasFiscais[[#This Row],[Ocorrência]]="",1,0)</f>
        <v>1</v>
      </c>
      <c r="Z286" s="2">
        <f>fNotasFiscais[[#This Row],[On Time]]*fNotasFiscais[[#This Row],[In Full]]</f>
        <v>1</v>
      </c>
      <c r="AA286">
        <f>IF(fNotasFiscais[[#This Row],[Nota Fiscal]]&lt;&gt;"",1,0)</f>
        <v>1</v>
      </c>
    </row>
    <row r="287" spans="1:27" x14ac:dyDescent="0.25">
      <c r="A287" s="1">
        <v>43172</v>
      </c>
      <c r="B287">
        <v>10696</v>
      </c>
      <c r="C287" s="2" t="s">
        <v>22</v>
      </c>
      <c r="D287" s="2" t="s">
        <v>23</v>
      </c>
      <c r="E287" s="2" t="s">
        <v>24</v>
      </c>
      <c r="F287">
        <v>4033</v>
      </c>
      <c r="G287" s="2" t="s">
        <v>109</v>
      </c>
      <c r="H287" s="2" t="s">
        <v>51</v>
      </c>
      <c r="I287" s="2" t="s">
        <v>73</v>
      </c>
      <c r="J287" s="2" t="s">
        <v>49</v>
      </c>
      <c r="K287" s="2" t="s">
        <v>73</v>
      </c>
      <c r="L287">
        <v>1765.97</v>
      </c>
      <c r="M287">
        <v>6</v>
      </c>
      <c r="N287">
        <v>18.48</v>
      </c>
      <c r="O287">
        <v>6100231</v>
      </c>
      <c r="P287" s="2" t="s">
        <v>50</v>
      </c>
      <c r="Q287" s="2" t="s">
        <v>51</v>
      </c>
      <c r="R287" s="2" t="s">
        <v>30</v>
      </c>
      <c r="S287">
        <v>9</v>
      </c>
      <c r="T287" s="1">
        <v>43172</v>
      </c>
      <c r="U287" s="1">
        <v>43174</v>
      </c>
      <c r="V287" s="2"/>
      <c r="W287" s="1">
        <f>fNotasFiscais[[#This Row],[Data da Coleta]]+fNotasFiscais[[#This Row],[Prazo Contratado]]</f>
        <v>43181</v>
      </c>
      <c r="X287" s="3">
        <f>IF(fNotasFiscais[[#This Row],[Data da Entrega]]&gt;fNotasFiscais[[#This Row],[Data Contratada]],0,1)</f>
        <v>1</v>
      </c>
      <c r="Y287" s="3">
        <f>IF(fNotasFiscais[[#This Row],[Ocorrência]]="",1,0)</f>
        <v>1</v>
      </c>
      <c r="Z287" s="2">
        <f>fNotasFiscais[[#This Row],[On Time]]*fNotasFiscais[[#This Row],[In Full]]</f>
        <v>1</v>
      </c>
      <c r="AA287">
        <f>IF(fNotasFiscais[[#This Row],[Nota Fiscal]]&lt;&gt;"",1,0)</f>
        <v>1</v>
      </c>
    </row>
    <row r="288" spans="1:27" x14ac:dyDescent="0.25">
      <c r="A288" s="1">
        <v>43172</v>
      </c>
      <c r="B288">
        <v>10697</v>
      </c>
      <c r="C288" s="2" t="s">
        <v>52</v>
      </c>
      <c r="D288" s="2" t="s">
        <v>53</v>
      </c>
      <c r="E288" s="2" t="s">
        <v>33</v>
      </c>
      <c r="F288">
        <v>4068</v>
      </c>
      <c r="G288" s="2" t="s">
        <v>63</v>
      </c>
      <c r="H288" s="2" t="s">
        <v>64</v>
      </c>
      <c r="I288" s="2" t="s">
        <v>65</v>
      </c>
      <c r="J288" s="2" t="s">
        <v>49</v>
      </c>
      <c r="K288" s="2" t="s">
        <v>65</v>
      </c>
      <c r="L288">
        <v>901.11</v>
      </c>
      <c r="M288">
        <v>1</v>
      </c>
      <c r="N288">
        <v>3.52</v>
      </c>
      <c r="O288">
        <v>6100231</v>
      </c>
      <c r="P288" s="2" t="s">
        <v>50</v>
      </c>
      <c r="Q288" s="2" t="s">
        <v>51</v>
      </c>
      <c r="R288" s="2" t="s">
        <v>30</v>
      </c>
      <c r="S288">
        <v>2</v>
      </c>
      <c r="T288" s="1">
        <v>43172</v>
      </c>
      <c r="U288" s="1">
        <v>43177</v>
      </c>
      <c r="V288" s="2"/>
      <c r="W288" s="1">
        <f>fNotasFiscais[[#This Row],[Data da Coleta]]+fNotasFiscais[[#This Row],[Prazo Contratado]]</f>
        <v>43174</v>
      </c>
      <c r="X288" s="3">
        <f>IF(fNotasFiscais[[#This Row],[Data da Entrega]]&gt;fNotasFiscais[[#This Row],[Data Contratada]],0,1)</f>
        <v>0</v>
      </c>
      <c r="Y288" s="3">
        <f>IF(fNotasFiscais[[#This Row],[Ocorrência]]="",1,0)</f>
        <v>1</v>
      </c>
      <c r="Z288" s="2">
        <f>fNotasFiscais[[#This Row],[On Time]]*fNotasFiscais[[#This Row],[In Full]]</f>
        <v>0</v>
      </c>
      <c r="AA288">
        <f>IF(fNotasFiscais[[#This Row],[Nota Fiscal]]&lt;&gt;"",1,0)</f>
        <v>1</v>
      </c>
    </row>
    <row r="289" spans="1:27" x14ac:dyDescent="0.25">
      <c r="A289" s="1">
        <v>43172</v>
      </c>
      <c r="B289">
        <v>10698</v>
      </c>
      <c r="C289" s="2" t="s">
        <v>43</v>
      </c>
      <c r="D289" s="2" t="s">
        <v>44</v>
      </c>
      <c r="E289" s="2" t="s">
        <v>45</v>
      </c>
      <c r="F289">
        <v>4018</v>
      </c>
      <c r="G289" s="2" t="s">
        <v>77</v>
      </c>
      <c r="H289" s="2" t="s">
        <v>78</v>
      </c>
      <c r="I289" s="2" t="s">
        <v>39</v>
      </c>
      <c r="J289" s="2" t="s">
        <v>28</v>
      </c>
      <c r="K289" s="2" t="s">
        <v>39</v>
      </c>
      <c r="L289">
        <v>43393.08</v>
      </c>
      <c r="M289">
        <v>58</v>
      </c>
      <c r="N289">
        <v>179.39099999999999</v>
      </c>
      <c r="O289">
        <v>6500948</v>
      </c>
      <c r="P289" s="2" t="s">
        <v>29</v>
      </c>
      <c r="Q289" s="2" t="s">
        <v>23</v>
      </c>
      <c r="R289" s="2" t="s">
        <v>30</v>
      </c>
      <c r="S289">
        <v>5</v>
      </c>
      <c r="T289" s="1">
        <v>43172</v>
      </c>
      <c r="U289" s="1">
        <v>43179</v>
      </c>
      <c r="V289" s="2"/>
      <c r="W289" s="1">
        <f>fNotasFiscais[[#This Row],[Data da Coleta]]+fNotasFiscais[[#This Row],[Prazo Contratado]]</f>
        <v>43177</v>
      </c>
      <c r="X289" s="3">
        <f>IF(fNotasFiscais[[#This Row],[Data da Entrega]]&gt;fNotasFiscais[[#This Row],[Data Contratada]],0,1)</f>
        <v>0</v>
      </c>
      <c r="Y289" s="3">
        <f>IF(fNotasFiscais[[#This Row],[Ocorrência]]="",1,0)</f>
        <v>1</v>
      </c>
      <c r="Z289" s="2">
        <f>fNotasFiscais[[#This Row],[On Time]]*fNotasFiscais[[#This Row],[In Full]]</f>
        <v>0</v>
      </c>
      <c r="AA289">
        <f>IF(fNotasFiscais[[#This Row],[Nota Fiscal]]&lt;&gt;"",1,0)</f>
        <v>1</v>
      </c>
    </row>
    <row r="290" spans="1:27" x14ac:dyDescent="0.25">
      <c r="A290" s="1">
        <v>43172</v>
      </c>
      <c r="B290">
        <v>10699</v>
      </c>
      <c r="C290" s="2" t="s">
        <v>52</v>
      </c>
      <c r="D290" s="2" t="s">
        <v>53</v>
      </c>
      <c r="E290" s="2" t="s">
        <v>33</v>
      </c>
      <c r="F290">
        <v>4044</v>
      </c>
      <c r="G290" s="2" t="s">
        <v>123</v>
      </c>
      <c r="H290" s="2" t="s">
        <v>35</v>
      </c>
      <c r="I290" s="2" t="s">
        <v>36</v>
      </c>
      <c r="J290" s="2" t="s">
        <v>60</v>
      </c>
      <c r="K290" s="2" t="s">
        <v>36</v>
      </c>
      <c r="L290">
        <v>767.7</v>
      </c>
      <c r="M290">
        <v>1</v>
      </c>
      <c r="N290">
        <v>6.9119999999999999</v>
      </c>
      <c r="O290">
        <v>6600879</v>
      </c>
      <c r="P290" s="2" t="s">
        <v>61</v>
      </c>
      <c r="Q290" s="2" t="s">
        <v>35</v>
      </c>
      <c r="R290" s="2" t="s">
        <v>30</v>
      </c>
      <c r="S290">
        <v>8</v>
      </c>
      <c r="T290" s="1">
        <v>43172</v>
      </c>
      <c r="U290" s="1">
        <v>43176</v>
      </c>
      <c r="V290" s="2"/>
      <c r="W290" s="1">
        <f>fNotasFiscais[[#This Row],[Data da Coleta]]+fNotasFiscais[[#This Row],[Prazo Contratado]]</f>
        <v>43180</v>
      </c>
      <c r="X290" s="3">
        <f>IF(fNotasFiscais[[#This Row],[Data da Entrega]]&gt;fNotasFiscais[[#This Row],[Data Contratada]],0,1)</f>
        <v>1</v>
      </c>
      <c r="Y290" s="3">
        <f>IF(fNotasFiscais[[#This Row],[Ocorrência]]="",1,0)</f>
        <v>1</v>
      </c>
      <c r="Z290" s="2">
        <f>fNotasFiscais[[#This Row],[On Time]]*fNotasFiscais[[#This Row],[In Full]]</f>
        <v>1</v>
      </c>
      <c r="AA290">
        <f>IF(fNotasFiscais[[#This Row],[Nota Fiscal]]&lt;&gt;"",1,0)</f>
        <v>1</v>
      </c>
    </row>
    <row r="291" spans="1:27" x14ac:dyDescent="0.25">
      <c r="A291" s="1">
        <v>43172</v>
      </c>
      <c r="B291">
        <v>10700</v>
      </c>
      <c r="C291" s="2" t="s">
        <v>31</v>
      </c>
      <c r="D291" s="2" t="s">
        <v>32</v>
      </c>
      <c r="E291" s="2" t="s">
        <v>33</v>
      </c>
      <c r="F291">
        <v>4045</v>
      </c>
      <c r="G291" s="2" t="s">
        <v>124</v>
      </c>
      <c r="H291" s="2" t="s">
        <v>35</v>
      </c>
      <c r="I291" s="2" t="s">
        <v>36</v>
      </c>
      <c r="J291" s="2" t="s">
        <v>60</v>
      </c>
      <c r="K291" s="2" t="s">
        <v>36</v>
      </c>
      <c r="L291">
        <v>642.76</v>
      </c>
      <c r="M291">
        <v>1</v>
      </c>
      <c r="N291">
        <v>2.202</v>
      </c>
      <c r="O291">
        <v>6600879</v>
      </c>
      <c r="P291" s="2" t="s">
        <v>61</v>
      </c>
      <c r="Q291" s="2" t="s">
        <v>35</v>
      </c>
      <c r="R291" s="2" t="s">
        <v>30</v>
      </c>
      <c r="S291">
        <v>6</v>
      </c>
      <c r="T291" s="1">
        <v>43172</v>
      </c>
      <c r="U291" s="1">
        <v>43177</v>
      </c>
      <c r="V291" s="2"/>
      <c r="W291" s="1">
        <f>fNotasFiscais[[#This Row],[Data da Coleta]]+fNotasFiscais[[#This Row],[Prazo Contratado]]</f>
        <v>43178</v>
      </c>
      <c r="X291" s="3">
        <f>IF(fNotasFiscais[[#This Row],[Data da Entrega]]&gt;fNotasFiscais[[#This Row],[Data Contratada]],0,1)</f>
        <v>1</v>
      </c>
      <c r="Y291" s="3">
        <f>IF(fNotasFiscais[[#This Row],[Ocorrência]]="",1,0)</f>
        <v>1</v>
      </c>
      <c r="Z291" s="2">
        <f>fNotasFiscais[[#This Row],[On Time]]*fNotasFiscais[[#This Row],[In Full]]</f>
        <v>1</v>
      </c>
      <c r="AA291">
        <f>IF(fNotasFiscais[[#This Row],[Nota Fiscal]]&lt;&gt;"",1,0)</f>
        <v>1</v>
      </c>
    </row>
    <row r="292" spans="1:27" x14ac:dyDescent="0.25">
      <c r="A292" s="1">
        <v>43172</v>
      </c>
      <c r="B292">
        <v>10701</v>
      </c>
      <c r="C292" s="2" t="s">
        <v>43</v>
      </c>
      <c r="D292" s="2" t="s">
        <v>44</v>
      </c>
      <c r="E292" s="2" t="s">
        <v>45</v>
      </c>
      <c r="F292">
        <v>4044</v>
      </c>
      <c r="G292" s="2" t="s">
        <v>123</v>
      </c>
      <c r="H292" s="2" t="s">
        <v>35</v>
      </c>
      <c r="I292" s="2" t="s">
        <v>36</v>
      </c>
      <c r="J292" s="2" t="s">
        <v>60</v>
      </c>
      <c r="K292" s="2" t="s">
        <v>36</v>
      </c>
      <c r="L292">
        <v>400.6</v>
      </c>
      <c r="M292">
        <v>1</v>
      </c>
      <c r="N292">
        <v>4.4409999999999998</v>
      </c>
      <c r="O292">
        <v>6600879</v>
      </c>
      <c r="P292" s="2" t="s">
        <v>61</v>
      </c>
      <c r="Q292" s="2" t="s">
        <v>35</v>
      </c>
      <c r="R292" s="2" t="s">
        <v>30</v>
      </c>
      <c r="S292">
        <v>10</v>
      </c>
      <c r="T292" s="1">
        <v>43172</v>
      </c>
      <c r="U292" s="1">
        <v>43179</v>
      </c>
      <c r="V292" s="2"/>
      <c r="W292" s="1">
        <f>fNotasFiscais[[#This Row],[Data da Coleta]]+fNotasFiscais[[#This Row],[Prazo Contratado]]</f>
        <v>43182</v>
      </c>
      <c r="X292" s="3">
        <f>IF(fNotasFiscais[[#This Row],[Data da Entrega]]&gt;fNotasFiscais[[#This Row],[Data Contratada]],0,1)</f>
        <v>1</v>
      </c>
      <c r="Y292" s="3">
        <f>IF(fNotasFiscais[[#This Row],[Ocorrência]]="",1,0)</f>
        <v>1</v>
      </c>
      <c r="Z292" s="2">
        <f>fNotasFiscais[[#This Row],[On Time]]*fNotasFiscais[[#This Row],[In Full]]</f>
        <v>1</v>
      </c>
      <c r="AA292">
        <f>IF(fNotasFiscais[[#This Row],[Nota Fiscal]]&lt;&gt;"",1,0)</f>
        <v>1</v>
      </c>
    </row>
    <row r="293" spans="1:27" x14ac:dyDescent="0.25">
      <c r="A293" s="1">
        <v>43172</v>
      </c>
      <c r="B293">
        <v>10702</v>
      </c>
      <c r="C293" s="2" t="s">
        <v>34</v>
      </c>
      <c r="D293" s="2" t="s">
        <v>35</v>
      </c>
      <c r="E293" s="2" t="s">
        <v>36</v>
      </c>
      <c r="F293">
        <v>4045</v>
      </c>
      <c r="G293" s="2" t="s">
        <v>124</v>
      </c>
      <c r="H293" s="2" t="s">
        <v>35</v>
      </c>
      <c r="I293" s="2" t="s">
        <v>36</v>
      </c>
      <c r="J293" s="2" t="s">
        <v>60</v>
      </c>
      <c r="K293" s="2" t="s">
        <v>36</v>
      </c>
      <c r="L293">
        <v>2446.8000000000002</v>
      </c>
      <c r="M293">
        <v>2</v>
      </c>
      <c r="N293">
        <v>2.202</v>
      </c>
      <c r="O293">
        <v>6600879</v>
      </c>
      <c r="P293" s="2" t="s">
        <v>61</v>
      </c>
      <c r="Q293" s="2" t="s">
        <v>35</v>
      </c>
      <c r="R293" s="2" t="s">
        <v>30</v>
      </c>
      <c r="S293">
        <v>5</v>
      </c>
      <c r="T293" s="1">
        <v>43172</v>
      </c>
      <c r="U293" s="1">
        <v>43174</v>
      </c>
      <c r="V293" s="2"/>
      <c r="W293" s="1">
        <f>fNotasFiscais[[#This Row],[Data da Coleta]]+fNotasFiscais[[#This Row],[Prazo Contratado]]</f>
        <v>43177</v>
      </c>
      <c r="X293" s="3">
        <f>IF(fNotasFiscais[[#This Row],[Data da Entrega]]&gt;fNotasFiscais[[#This Row],[Data Contratada]],0,1)</f>
        <v>1</v>
      </c>
      <c r="Y293" s="3">
        <f>IF(fNotasFiscais[[#This Row],[Ocorrência]]="",1,0)</f>
        <v>1</v>
      </c>
      <c r="Z293" s="2">
        <f>fNotasFiscais[[#This Row],[On Time]]*fNotasFiscais[[#This Row],[In Full]]</f>
        <v>1</v>
      </c>
      <c r="AA293">
        <f>IF(fNotasFiscais[[#This Row],[Nota Fiscal]]&lt;&gt;"",1,0)</f>
        <v>1</v>
      </c>
    </row>
    <row r="294" spans="1:27" x14ac:dyDescent="0.25">
      <c r="A294" s="1">
        <v>43172</v>
      </c>
      <c r="B294">
        <v>10703</v>
      </c>
      <c r="C294" s="2" t="s">
        <v>52</v>
      </c>
      <c r="D294" s="2" t="s">
        <v>53</v>
      </c>
      <c r="E294" s="2" t="s">
        <v>33</v>
      </c>
      <c r="F294">
        <v>4044</v>
      </c>
      <c r="G294" s="2" t="s">
        <v>123</v>
      </c>
      <c r="H294" s="2" t="s">
        <v>35</v>
      </c>
      <c r="I294" s="2" t="s">
        <v>36</v>
      </c>
      <c r="J294" s="2" t="s">
        <v>60</v>
      </c>
      <c r="K294" s="2" t="s">
        <v>36</v>
      </c>
      <c r="L294">
        <v>579.17999999999995</v>
      </c>
      <c r="M294">
        <v>1</v>
      </c>
      <c r="N294">
        <v>0.17499999999999999</v>
      </c>
      <c r="O294">
        <v>6600879</v>
      </c>
      <c r="P294" s="2" t="s">
        <v>61</v>
      </c>
      <c r="Q294" s="2" t="s">
        <v>35</v>
      </c>
      <c r="R294" s="2" t="s">
        <v>30</v>
      </c>
      <c r="S294">
        <v>6</v>
      </c>
      <c r="T294" s="1">
        <v>43172</v>
      </c>
      <c r="U294" s="1">
        <v>43175</v>
      </c>
      <c r="V294" s="2"/>
      <c r="W294" s="1">
        <f>fNotasFiscais[[#This Row],[Data da Coleta]]+fNotasFiscais[[#This Row],[Prazo Contratado]]</f>
        <v>43178</v>
      </c>
      <c r="X294" s="3">
        <f>IF(fNotasFiscais[[#This Row],[Data da Entrega]]&gt;fNotasFiscais[[#This Row],[Data Contratada]],0,1)</f>
        <v>1</v>
      </c>
      <c r="Y294" s="3">
        <f>IF(fNotasFiscais[[#This Row],[Ocorrência]]="",1,0)</f>
        <v>1</v>
      </c>
      <c r="Z294" s="2">
        <f>fNotasFiscais[[#This Row],[On Time]]*fNotasFiscais[[#This Row],[In Full]]</f>
        <v>1</v>
      </c>
      <c r="AA294">
        <f>IF(fNotasFiscais[[#This Row],[Nota Fiscal]]&lt;&gt;"",1,0)</f>
        <v>1</v>
      </c>
    </row>
    <row r="295" spans="1:27" x14ac:dyDescent="0.25">
      <c r="A295" s="1">
        <v>43172</v>
      </c>
      <c r="B295">
        <v>10704</v>
      </c>
      <c r="C295" s="2" t="s">
        <v>40</v>
      </c>
      <c r="D295" s="2" t="s">
        <v>41</v>
      </c>
      <c r="E295" s="2" t="s">
        <v>33</v>
      </c>
      <c r="F295">
        <v>4045</v>
      </c>
      <c r="G295" s="2" t="s">
        <v>124</v>
      </c>
      <c r="H295" s="2" t="s">
        <v>35</v>
      </c>
      <c r="I295" s="2" t="s">
        <v>36</v>
      </c>
      <c r="J295" s="2" t="s">
        <v>60</v>
      </c>
      <c r="K295" s="2" t="s">
        <v>36</v>
      </c>
      <c r="L295">
        <v>5552.69</v>
      </c>
      <c r="M295">
        <v>18</v>
      </c>
      <c r="N295">
        <v>55.44</v>
      </c>
      <c r="O295">
        <v>6600879</v>
      </c>
      <c r="P295" s="2" t="s">
        <v>61</v>
      </c>
      <c r="Q295" s="2" t="s">
        <v>35</v>
      </c>
      <c r="R295" s="2" t="s">
        <v>30</v>
      </c>
      <c r="S295">
        <v>7</v>
      </c>
      <c r="T295" s="1">
        <v>43172</v>
      </c>
      <c r="U295" s="1">
        <v>43173</v>
      </c>
      <c r="V295" s="2" t="s">
        <v>57</v>
      </c>
      <c r="W295" s="1">
        <f>fNotasFiscais[[#This Row],[Data da Coleta]]+fNotasFiscais[[#This Row],[Prazo Contratado]]</f>
        <v>43179</v>
      </c>
      <c r="X295" s="3">
        <f>IF(fNotasFiscais[[#This Row],[Data da Entrega]]&gt;fNotasFiscais[[#This Row],[Data Contratada]],0,1)</f>
        <v>1</v>
      </c>
      <c r="Y295" s="3">
        <f>IF(fNotasFiscais[[#This Row],[Ocorrência]]="",1,0)</f>
        <v>0</v>
      </c>
      <c r="Z295" s="2">
        <f>fNotasFiscais[[#This Row],[On Time]]*fNotasFiscais[[#This Row],[In Full]]</f>
        <v>0</v>
      </c>
      <c r="AA295">
        <f>IF(fNotasFiscais[[#This Row],[Nota Fiscal]]&lt;&gt;"",1,0)</f>
        <v>1</v>
      </c>
    </row>
    <row r="296" spans="1:27" x14ac:dyDescent="0.25">
      <c r="A296" s="1">
        <v>43174</v>
      </c>
      <c r="B296">
        <v>10705</v>
      </c>
      <c r="C296" s="2" t="s">
        <v>31</v>
      </c>
      <c r="D296" s="2" t="s">
        <v>32</v>
      </c>
      <c r="E296" s="2" t="s">
        <v>33</v>
      </c>
      <c r="F296">
        <v>4072</v>
      </c>
      <c r="G296" s="2" t="s">
        <v>140</v>
      </c>
      <c r="H296" s="2" t="s">
        <v>141</v>
      </c>
      <c r="I296" s="2" t="s">
        <v>33</v>
      </c>
      <c r="J296" s="2" t="s">
        <v>60</v>
      </c>
      <c r="K296" s="2" t="s">
        <v>33</v>
      </c>
      <c r="L296">
        <v>2762.55</v>
      </c>
      <c r="M296">
        <v>9</v>
      </c>
      <c r="N296">
        <v>27.72</v>
      </c>
      <c r="O296">
        <v>6400835</v>
      </c>
      <c r="P296" s="2" t="s">
        <v>130</v>
      </c>
      <c r="Q296" s="2" t="s">
        <v>131</v>
      </c>
      <c r="R296" s="2" t="s">
        <v>30</v>
      </c>
      <c r="S296">
        <v>10</v>
      </c>
      <c r="T296" s="1">
        <v>43174</v>
      </c>
      <c r="U296" s="1">
        <v>43183</v>
      </c>
      <c r="V296" s="2"/>
      <c r="W296" s="1">
        <f>fNotasFiscais[[#This Row],[Data da Coleta]]+fNotasFiscais[[#This Row],[Prazo Contratado]]</f>
        <v>43184</v>
      </c>
      <c r="X296" s="3">
        <f>IF(fNotasFiscais[[#This Row],[Data da Entrega]]&gt;fNotasFiscais[[#This Row],[Data Contratada]],0,1)</f>
        <v>1</v>
      </c>
      <c r="Y296" s="3">
        <f>IF(fNotasFiscais[[#This Row],[Ocorrência]]="",1,0)</f>
        <v>1</v>
      </c>
      <c r="Z296" s="2">
        <f>fNotasFiscais[[#This Row],[On Time]]*fNotasFiscais[[#This Row],[In Full]]</f>
        <v>1</v>
      </c>
      <c r="AA296">
        <f>IF(fNotasFiscais[[#This Row],[Nota Fiscal]]&lt;&gt;"",1,0)</f>
        <v>1</v>
      </c>
    </row>
    <row r="297" spans="1:27" x14ac:dyDescent="0.25">
      <c r="A297" s="1">
        <v>43175</v>
      </c>
      <c r="B297">
        <v>10706</v>
      </c>
      <c r="C297" s="2" t="s">
        <v>34</v>
      </c>
      <c r="D297" s="2" t="s">
        <v>35</v>
      </c>
      <c r="E297" s="2" t="s">
        <v>36</v>
      </c>
      <c r="F297">
        <v>4014</v>
      </c>
      <c r="G297" s="2" t="s">
        <v>58</v>
      </c>
      <c r="H297" s="2" t="s">
        <v>59</v>
      </c>
      <c r="I297" s="2" t="s">
        <v>36</v>
      </c>
      <c r="J297" s="2" t="s">
        <v>60</v>
      </c>
      <c r="K297" s="2" t="s">
        <v>36</v>
      </c>
      <c r="L297">
        <v>1231.54</v>
      </c>
      <c r="M297">
        <v>1</v>
      </c>
      <c r="N297">
        <v>11.837999999999999</v>
      </c>
      <c r="O297">
        <v>6600879</v>
      </c>
      <c r="P297" s="2" t="s">
        <v>61</v>
      </c>
      <c r="Q297" s="2" t="s">
        <v>35</v>
      </c>
      <c r="R297" s="2" t="s">
        <v>30</v>
      </c>
      <c r="S297">
        <v>7</v>
      </c>
      <c r="T297" s="1">
        <v>43175</v>
      </c>
      <c r="U297" s="1">
        <v>43182</v>
      </c>
      <c r="V297" s="2"/>
      <c r="W297" s="1">
        <f>fNotasFiscais[[#This Row],[Data da Coleta]]+fNotasFiscais[[#This Row],[Prazo Contratado]]</f>
        <v>43182</v>
      </c>
      <c r="X297" s="3">
        <f>IF(fNotasFiscais[[#This Row],[Data da Entrega]]&gt;fNotasFiscais[[#This Row],[Data Contratada]],0,1)</f>
        <v>1</v>
      </c>
      <c r="Y297" s="3">
        <f>IF(fNotasFiscais[[#This Row],[Ocorrência]]="",1,0)</f>
        <v>1</v>
      </c>
      <c r="Z297" s="2">
        <f>fNotasFiscais[[#This Row],[On Time]]*fNotasFiscais[[#This Row],[In Full]]</f>
        <v>1</v>
      </c>
      <c r="AA297">
        <f>IF(fNotasFiscais[[#This Row],[Nota Fiscal]]&lt;&gt;"",1,0)</f>
        <v>1</v>
      </c>
    </row>
    <row r="298" spans="1:27" x14ac:dyDescent="0.25">
      <c r="A298" s="1">
        <v>43174</v>
      </c>
      <c r="B298">
        <v>10707</v>
      </c>
      <c r="C298" s="2" t="s">
        <v>52</v>
      </c>
      <c r="D298" s="2" t="s">
        <v>53</v>
      </c>
      <c r="E298" s="2" t="s">
        <v>33</v>
      </c>
      <c r="F298">
        <v>4018</v>
      </c>
      <c r="G298" s="2" t="s">
        <v>77</v>
      </c>
      <c r="H298" s="2" t="s">
        <v>78</v>
      </c>
      <c r="I298" s="2" t="s">
        <v>39</v>
      </c>
      <c r="J298" s="2" t="s">
        <v>28</v>
      </c>
      <c r="K298" s="2" t="s">
        <v>39</v>
      </c>
      <c r="L298">
        <v>5197.09</v>
      </c>
      <c r="M298">
        <v>4</v>
      </c>
      <c r="N298">
        <v>33.183999999999997</v>
      </c>
      <c r="O298">
        <v>6500948</v>
      </c>
      <c r="P298" s="2" t="s">
        <v>29</v>
      </c>
      <c r="Q298" s="2" t="s">
        <v>23</v>
      </c>
      <c r="R298" s="2" t="s">
        <v>30</v>
      </c>
      <c r="S298">
        <v>3</v>
      </c>
      <c r="T298" s="1">
        <v>43175</v>
      </c>
      <c r="U298" s="1">
        <v>43181</v>
      </c>
      <c r="V298" s="2"/>
      <c r="W298" s="1">
        <f>fNotasFiscais[[#This Row],[Data da Coleta]]+fNotasFiscais[[#This Row],[Prazo Contratado]]</f>
        <v>43178</v>
      </c>
      <c r="X298" s="3">
        <f>IF(fNotasFiscais[[#This Row],[Data da Entrega]]&gt;fNotasFiscais[[#This Row],[Data Contratada]],0,1)</f>
        <v>0</v>
      </c>
      <c r="Y298" s="3">
        <f>IF(fNotasFiscais[[#This Row],[Ocorrência]]="",1,0)</f>
        <v>1</v>
      </c>
      <c r="Z298" s="2">
        <f>fNotasFiscais[[#This Row],[On Time]]*fNotasFiscais[[#This Row],[In Full]]</f>
        <v>0</v>
      </c>
      <c r="AA298">
        <f>IF(fNotasFiscais[[#This Row],[Nota Fiscal]]&lt;&gt;"",1,0)</f>
        <v>1</v>
      </c>
    </row>
    <row r="299" spans="1:27" x14ac:dyDescent="0.25">
      <c r="A299" s="1">
        <v>43174</v>
      </c>
      <c r="B299">
        <v>10708</v>
      </c>
      <c r="C299" s="2" t="s">
        <v>40</v>
      </c>
      <c r="D299" s="2" t="s">
        <v>41</v>
      </c>
      <c r="E299" s="2" t="s">
        <v>33</v>
      </c>
      <c r="F299">
        <v>4038</v>
      </c>
      <c r="G299" s="2" t="s">
        <v>72</v>
      </c>
      <c r="H299" s="2" t="s">
        <v>51</v>
      </c>
      <c r="I299" s="2" t="s">
        <v>73</v>
      </c>
      <c r="J299" s="2" t="s">
        <v>49</v>
      </c>
      <c r="K299" s="2" t="s">
        <v>73</v>
      </c>
      <c r="L299">
        <v>79.62</v>
      </c>
      <c r="M299">
        <v>1</v>
      </c>
      <c r="N299">
        <v>0.253</v>
      </c>
      <c r="O299">
        <v>6100231</v>
      </c>
      <c r="P299" s="2" t="s">
        <v>50</v>
      </c>
      <c r="Q299" s="2" t="s">
        <v>51</v>
      </c>
      <c r="R299" s="2" t="s">
        <v>30</v>
      </c>
      <c r="S299">
        <v>11</v>
      </c>
      <c r="T299" s="1">
        <v>43175</v>
      </c>
      <c r="U299" s="1">
        <v>43176</v>
      </c>
      <c r="V299" s="2"/>
      <c r="W299" s="1">
        <f>fNotasFiscais[[#This Row],[Data da Coleta]]+fNotasFiscais[[#This Row],[Prazo Contratado]]</f>
        <v>43186</v>
      </c>
      <c r="X299" s="3">
        <f>IF(fNotasFiscais[[#This Row],[Data da Entrega]]&gt;fNotasFiscais[[#This Row],[Data Contratada]],0,1)</f>
        <v>1</v>
      </c>
      <c r="Y299" s="3">
        <f>IF(fNotasFiscais[[#This Row],[Ocorrência]]="",1,0)</f>
        <v>1</v>
      </c>
      <c r="Z299" s="2">
        <f>fNotasFiscais[[#This Row],[On Time]]*fNotasFiscais[[#This Row],[In Full]]</f>
        <v>1</v>
      </c>
      <c r="AA299">
        <f>IF(fNotasFiscais[[#This Row],[Nota Fiscal]]&lt;&gt;"",1,0)</f>
        <v>1</v>
      </c>
    </row>
    <row r="300" spans="1:27" x14ac:dyDescent="0.25">
      <c r="A300" s="1">
        <v>43174</v>
      </c>
      <c r="B300">
        <v>10709</v>
      </c>
      <c r="C300" s="2" t="s">
        <v>43</v>
      </c>
      <c r="D300" s="2" t="s">
        <v>44</v>
      </c>
      <c r="E300" s="2" t="s">
        <v>45</v>
      </c>
      <c r="F300">
        <v>4014</v>
      </c>
      <c r="G300" s="2" t="s">
        <v>58</v>
      </c>
      <c r="H300" s="2" t="s">
        <v>59</v>
      </c>
      <c r="I300" s="2" t="s">
        <v>36</v>
      </c>
      <c r="J300" s="2" t="s">
        <v>60</v>
      </c>
      <c r="K300" s="2" t="s">
        <v>36</v>
      </c>
      <c r="L300">
        <v>1158.8800000000001</v>
      </c>
      <c r="M300">
        <v>5</v>
      </c>
      <c r="N300">
        <v>7.5860000000000003</v>
      </c>
      <c r="O300">
        <v>6600879</v>
      </c>
      <c r="P300" s="2" t="s">
        <v>61</v>
      </c>
      <c r="Q300" s="2" t="s">
        <v>35</v>
      </c>
      <c r="R300" s="2" t="s">
        <v>30</v>
      </c>
      <c r="S300">
        <v>1</v>
      </c>
      <c r="T300" s="1">
        <v>43175</v>
      </c>
      <c r="U300" s="1">
        <v>43180</v>
      </c>
      <c r="V300" s="2"/>
      <c r="W300" s="1">
        <f>fNotasFiscais[[#This Row],[Data da Coleta]]+fNotasFiscais[[#This Row],[Prazo Contratado]]</f>
        <v>43176</v>
      </c>
      <c r="X300" s="3">
        <f>IF(fNotasFiscais[[#This Row],[Data da Entrega]]&gt;fNotasFiscais[[#This Row],[Data Contratada]],0,1)</f>
        <v>0</v>
      </c>
      <c r="Y300" s="3">
        <f>IF(fNotasFiscais[[#This Row],[Ocorrência]]="",1,0)</f>
        <v>1</v>
      </c>
      <c r="Z300" s="2">
        <f>fNotasFiscais[[#This Row],[On Time]]*fNotasFiscais[[#This Row],[In Full]]</f>
        <v>0</v>
      </c>
      <c r="AA300">
        <f>IF(fNotasFiscais[[#This Row],[Nota Fiscal]]&lt;&gt;"",1,0)</f>
        <v>1</v>
      </c>
    </row>
    <row r="301" spans="1:27" x14ac:dyDescent="0.25">
      <c r="A301" s="1">
        <v>43174</v>
      </c>
      <c r="B301">
        <v>10710</v>
      </c>
      <c r="C301" s="2" t="s">
        <v>22</v>
      </c>
      <c r="D301" s="2" t="s">
        <v>23</v>
      </c>
      <c r="E301" s="2" t="s">
        <v>24</v>
      </c>
      <c r="F301">
        <v>4038</v>
      </c>
      <c r="G301" s="2" t="s">
        <v>72</v>
      </c>
      <c r="H301" s="2" t="s">
        <v>51</v>
      </c>
      <c r="I301" s="2" t="s">
        <v>73</v>
      </c>
      <c r="J301" s="2" t="s">
        <v>49</v>
      </c>
      <c r="K301" s="2" t="s">
        <v>73</v>
      </c>
      <c r="L301">
        <v>2117.6</v>
      </c>
      <c r="M301">
        <v>3</v>
      </c>
      <c r="N301">
        <v>6.6070000000000002</v>
      </c>
      <c r="O301">
        <v>6100231</v>
      </c>
      <c r="P301" s="2" t="s">
        <v>50</v>
      </c>
      <c r="Q301" s="2" t="s">
        <v>51</v>
      </c>
      <c r="R301" s="2" t="s">
        <v>62</v>
      </c>
      <c r="S301">
        <v>10</v>
      </c>
      <c r="T301" s="1">
        <v>43175</v>
      </c>
      <c r="U301" s="1">
        <v>43178</v>
      </c>
      <c r="V301" s="2"/>
      <c r="W301" s="1">
        <f>fNotasFiscais[[#This Row],[Data da Coleta]]+fNotasFiscais[[#This Row],[Prazo Contratado]]</f>
        <v>43185</v>
      </c>
      <c r="X301" s="3">
        <f>IF(fNotasFiscais[[#This Row],[Data da Entrega]]&gt;fNotasFiscais[[#This Row],[Data Contratada]],0,1)</f>
        <v>1</v>
      </c>
      <c r="Y301" s="3">
        <f>IF(fNotasFiscais[[#This Row],[Ocorrência]]="",1,0)</f>
        <v>1</v>
      </c>
      <c r="Z301" s="2">
        <f>fNotasFiscais[[#This Row],[On Time]]*fNotasFiscais[[#This Row],[In Full]]</f>
        <v>1</v>
      </c>
      <c r="AA301">
        <f>IF(fNotasFiscais[[#This Row],[Nota Fiscal]]&lt;&gt;"",1,0)</f>
        <v>1</v>
      </c>
    </row>
    <row r="302" spans="1:27" x14ac:dyDescent="0.25">
      <c r="A302" s="1">
        <v>43174</v>
      </c>
      <c r="B302">
        <v>10711</v>
      </c>
      <c r="C302" s="2" t="s">
        <v>52</v>
      </c>
      <c r="D302" s="2" t="s">
        <v>53</v>
      </c>
      <c r="E302" s="2" t="s">
        <v>33</v>
      </c>
      <c r="F302">
        <v>4014</v>
      </c>
      <c r="G302" s="2" t="s">
        <v>58</v>
      </c>
      <c r="H302" s="2" t="s">
        <v>59</v>
      </c>
      <c r="I302" s="2" t="s">
        <v>36</v>
      </c>
      <c r="J302" s="2" t="s">
        <v>60</v>
      </c>
      <c r="K302" s="2" t="s">
        <v>36</v>
      </c>
      <c r="L302">
        <v>4595.41</v>
      </c>
      <c r="M302">
        <v>3</v>
      </c>
      <c r="N302">
        <v>13.53</v>
      </c>
      <c r="O302">
        <v>6600879</v>
      </c>
      <c r="P302" s="2" t="s">
        <v>61</v>
      </c>
      <c r="Q302" s="2" t="s">
        <v>35</v>
      </c>
      <c r="R302" s="2" t="s">
        <v>30</v>
      </c>
      <c r="S302">
        <v>2</v>
      </c>
      <c r="T302" s="1">
        <v>43175</v>
      </c>
      <c r="U302" s="1">
        <v>43180</v>
      </c>
      <c r="V302" s="2"/>
      <c r="W302" s="1">
        <f>fNotasFiscais[[#This Row],[Data da Coleta]]+fNotasFiscais[[#This Row],[Prazo Contratado]]</f>
        <v>43177</v>
      </c>
      <c r="X302" s="3">
        <f>IF(fNotasFiscais[[#This Row],[Data da Entrega]]&gt;fNotasFiscais[[#This Row],[Data Contratada]],0,1)</f>
        <v>0</v>
      </c>
      <c r="Y302" s="3">
        <f>IF(fNotasFiscais[[#This Row],[Ocorrência]]="",1,0)</f>
        <v>1</v>
      </c>
      <c r="Z302" s="2">
        <f>fNotasFiscais[[#This Row],[On Time]]*fNotasFiscais[[#This Row],[In Full]]</f>
        <v>0</v>
      </c>
      <c r="AA302">
        <f>IF(fNotasFiscais[[#This Row],[Nota Fiscal]]&lt;&gt;"",1,0)</f>
        <v>1</v>
      </c>
    </row>
    <row r="303" spans="1:27" x14ac:dyDescent="0.25">
      <c r="A303" s="1">
        <v>43174</v>
      </c>
      <c r="B303">
        <v>10712</v>
      </c>
      <c r="C303" s="2" t="s">
        <v>43</v>
      </c>
      <c r="D303" s="2" t="s">
        <v>44</v>
      </c>
      <c r="E303" s="2" t="s">
        <v>45</v>
      </c>
      <c r="F303">
        <v>4038</v>
      </c>
      <c r="G303" s="2" t="s">
        <v>72</v>
      </c>
      <c r="H303" s="2" t="s">
        <v>51</v>
      </c>
      <c r="I303" s="2" t="s">
        <v>73</v>
      </c>
      <c r="J303" s="2" t="s">
        <v>49</v>
      </c>
      <c r="K303" s="2" t="s">
        <v>73</v>
      </c>
      <c r="L303">
        <v>765.87</v>
      </c>
      <c r="M303">
        <v>1</v>
      </c>
      <c r="N303">
        <v>2.202</v>
      </c>
      <c r="O303">
        <v>6100231</v>
      </c>
      <c r="P303" s="2" t="s">
        <v>50</v>
      </c>
      <c r="Q303" s="2" t="s">
        <v>51</v>
      </c>
      <c r="R303" s="2" t="s">
        <v>30</v>
      </c>
      <c r="S303">
        <v>2</v>
      </c>
      <c r="T303" s="1">
        <v>43175</v>
      </c>
      <c r="U303" s="1">
        <v>43176</v>
      </c>
      <c r="V303" s="2"/>
      <c r="W303" s="1">
        <f>fNotasFiscais[[#This Row],[Data da Coleta]]+fNotasFiscais[[#This Row],[Prazo Contratado]]</f>
        <v>43177</v>
      </c>
      <c r="X303" s="3">
        <f>IF(fNotasFiscais[[#This Row],[Data da Entrega]]&gt;fNotasFiscais[[#This Row],[Data Contratada]],0,1)</f>
        <v>1</v>
      </c>
      <c r="Y303" s="3">
        <f>IF(fNotasFiscais[[#This Row],[Ocorrência]]="",1,0)</f>
        <v>1</v>
      </c>
      <c r="Z303" s="2">
        <f>fNotasFiscais[[#This Row],[On Time]]*fNotasFiscais[[#This Row],[In Full]]</f>
        <v>1</v>
      </c>
      <c r="AA303">
        <f>IF(fNotasFiscais[[#This Row],[Nota Fiscal]]&lt;&gt;"",1,0)</f>
        <v>1</v>
      </c>
    </row>
    <row r="304" spans="1:27" x14ac:dyDescent="0.25">
      <c r="A304" s="1">
        <v>43174</v>
      </c>
      <c r="B304">
        <v>10713</v>
      </c>
      <c r="C304" s="2" t="s">
        <v>43</v>
      </c>
      <c r="D304" s="2" t="s">
        <v>44</v>
      </c>
      <c r="E304" s="2" t="s">
        <v>45</v>
      </c>
      <c r="F304">
        <v>4038</v>
      </c>
      <c r="G304" s="2" t="s">
        <v>72</v>
      </c>
      <c r="H304" s="2" t="s">
        <v>51</v>
      </c>
      <c r="I304" s="2" t="s">
        <v>73</v>
      </c>
      <c r="J304" s="2" t="s">
        <v>49</v>
      </c>
      <c r="K304" s="2" t="s">
        <v>73</v>
      </c>
      <c r="L304">
        <v>897.79</v>
      </c>
      <c r="M304">
        <v>1</v>
      </c>
      <c r="N304">
        <v>6.2869999999999999</v>
      </c>
      <c r="O304">
        <v>6100231</v>
      </c>
      <c r="P304" s="2" t="s">
        <v>50</v>
      </c>
      <c r="Q304" s="2" t="s">
        <v>51</v>
      </c>
      <c r="R304" s="2" t="s">
        <v>30</v>
      </c>
      <c r="S304">
        <v>5</v>
      </c>
      <c r="T304" s="1">
        <v>43175</v>
      </c>
      <c r="U304" s="1">
        <v>43182</v>
      </c>
      <c r="V304" s="2"/>
      <c r="W304" s="1">
        <f>fNotasFiscais[[#This Row],[Data da Coleta]]+fNotasFiscais[[#This Row],[Prazo Contratado]]</f>
        <v>43180</v>
      </c>
      <c r="X304" s="3">
        <f>IF(fNotasFiscais[[#This Row],[Data da Entrega]]&gt;fNotasFiscais[[#This Row],[Data Contratada]],0,1)</f>
        <v>0</v>
      </c>
      <c r="Y304" s="3">
        <f>IF(fNotasFiscais[[#This Row],[Ocorrência]]="",1,0)</f>
        <v>1</v>
      </c>
      <c r="Z304" s="2">
        <f>fNotasFiscais[[#This Row],[On Time]]*fNotasFiscais[[#This Row],[In Full]]</f>
        <v>0</v>
      </c>
      <c r="AA304">
        <f>IF(fNotasFiscais[[#This Row],[Nota Fiscal]]&lt;&gt;"",1,0)</f>
        <v>1</v>
      </c>
    </row>
    <row r="305" spans="1:27" x14ac:dyDescent="0.25">
      <c r="A305" s="1">
        <v>43175</v>
      </c>
      <c r="B305">
        <v>10714</v>
      </c>
      <c r="C305" s="2" t="s">
        <v>52</v>
      </c>
      <c r="D305" s="2" t="s">
        <v>53</v>
      </c>
      <c r="E305" s="2" t="s">
        <v>33</v>
      </c>
      <c r="F305">
        <v>4016</v>
      </c>
      <c r="G305" s="2" t="s">
        <v>68</v>
      </c>
      <c r="H305" s="2" t="s">
        <v>69</v>
      </c>
      <c r="I305" s="2" t="s">
        <v>36</v>
      </c>
      <c r="J305" s="2" t="s">
        <v>60</v>
      </c>
      <c r="K305" s="2" t="s">
        <v>36</v>
      </c>
      <c r="L305">
        <v>677.03</v>
      </c>
      <c r="M305">
        <v>1</v>
      </c>
      <c r="N305">
        <v>5.7759999999999998</v>
      </c>
      <c r="O305">
        <v>6600879</v>
      </c>
      <c r="P305" s="2" t="s">
        <v>61</v>
      </c>
      <c r="Q305" s="2" t="s">
        <v>35</v>
      </c>
      <c r="R305" s="2" t="s">
        <v>30</v>
      </c>
      <c r="S305">
        <v>8</v>
      </c>
      <c r="T305" s="1">
        <v>43176</v>
      </c>
      <c r="U305" s="1">
        <v>43186</v>
      </c>
      <c r="V305" s="2"/>
      <c r="W305" s="1">
        <f>fNotasFiscais[[#This Row],[Data da Coleta]]+fNotasFiscais[[#This Row],[Prazo Contratado]]</f>
        <v>43184</v>
      </c>
      <c r="X305" s="3">
        <f>IF(fNotasFiscais[[#This Row],[Data da Entrega]]&gt;fNotasFiscais[[#This Row],[Data Contratada]],0,1)</f>
        <v>0</v>
      </c>
      <c r="Y305" s="3">
        <f>IF(fNotasFiscais[[#This Row],[Ocorrência]]="",1,0)</f>
        <v>1</v>
      </c>
      <c r="Z305" s="2">
        <f>fNotasFiscais[[#This Row],[On Time]]*fNotasFiscais[[#This Row],[In Full]]</f>
        <v>0</v>
      </c>
      <c r="AA305">
        <f>IF(fNotasFiscais[[#This Row],[Nota Fiscal]]&lt;&gt;"",1,0)</f>
        <v>1</v>
      </c>
    </row>
    <row r="306" spans="1:27" x14ac:dyDescent="0.25">
      <c r="A306" s="1">
        <v>43175</v>
      </c>
      <c r="B306">
        <v>10715</v>
      </c>
      <c r="C306" s="2" t="s">
        <v>22</v>
      </c>
      <c r="D306" s="2" t="s">
        <v>23</v>
      </c>
      <c r="E306" s="2" t="s">
        <v>24</v>
      </c>
      <c r="F306">
        <v>4016</v>
      </c>
      <c r="G306" s="2" t="s">
        <v>68</v>
      </c>
      <c r="H306" s="2" t="s">
        <v>69</v>
      </c>
      <c r="I306" s="2" t="s">
        <v>36</v>
      </c>
      <c r="J306" s="2" t="s">
        <v>60</v>
      </c>
      <c r="K306" s="2" t="s">
        <v>36</v>
      </c>
      <c r="L306">
        <v>3657.06</v>
      </c>
      <c r="M306">
        <v>7</v>
      </c>
      <c r="N306">
        <v>17.768999999999998</v>
      </c>
      <c r="O306">
        <v>6600879</v>
      </c>
      <c r="P306" s="2" t="s">
        <v>61</v>
      </c>
      <c r="Q306" s="2" t="s">
        <v>35</v>
      </c>
      <c r="R306" s="2" t="s">
        <v>30</v>
      </c>
      <c r="S306">
        <v>4</v>
      </c>
      <c r="T306" s="1">
        <v>43176</v>
      </c>
      <c r="U306" s="1">
        <v>43184</v>
      </c>
      <c r="V306" s="2"/>
      <c r="W306" s="1">
        <f>fNotasFiscais[[#This Row],[Data da Coleta]]+fNotasFiscais[[#This Row],[Prazo Contratado]]</f>
        <v>43180</v>
      </c>
      <c r="X306" s="3">
        <f>IF(fNotasFiscais[[#This Row],[Data da Entrega]]&gt;fNotasFiscais[[#This Row],[Data Contratada]],0,1)</f>
        <v>0</v>
      </c>
      <c r="Y306" s="3">
        <f>IF(fNotasFiscais[[#This Row],[Ocorrência]]="",1,0)</f>
        <v>1</v>
      </c>
      <c r="Z306" s="2">
        <f>fNotasFiscais[[#This Row],[On Time]]*fNotasFiscais[[#This Row],[In Full]]</f>
        <v>0</v>
      </c>
      <c r="AA306">
        <f>IF(fNotasFiscais[[#This Row],[Nota Fiscal]]&lt;&gt;"",1,0)</f>
        <v>1</v>
      </c>
    </row>
    <row r="307" spans="1:27" x14ac:dyDescent="0.25">
      <c r="A307" s="1">
        <v>43175</v>
      </c>
      <c r="B307">
        <v>10716</v>
      </c>
      <c r="C307" s="2" t="s">
        <v>40</v>
      </c>
      <c r="D307" s="2" t="s">
        <v>41</v>
      </c>
      <c r="E307" s="2" t="s">
        <v>33</v>
      </c>
      <c r="F307">
        <v>4016</v>
      </c>
      <c r="G307" s="2" t="s">
        <v>68</v>
      </c>
      <c r="H307" s="2" t="s">
        <v>69</v>
      </c>
      <c r="I307" s="2" t="s">
        <v>36</v>
      </c>
      <c r="J307" s="2" t="s">
        <v>60</v>
      </c>
      <c r="K307" s="2" t="s">
        <v>36</v>
      </c>
      <c r="L307">
        <v>8968.01</v>
      </c>
      <c r="M307">
        <v>30</v>
      </c>
      <c r="N307">
        <v>92.4</v>
      </c>
      <c r="O307">
        <v>6600879</v>
      </c>
      <c r="P307" s="2" t="s">
        <v>61</v>
      </c>
      <c r="Q307" s="2" t="s">
        <v>35</v>
      </c>
      <c r="R307" s="2" t="s">
        <v>30</v>
      </c>
      <c r="S307">
        <v>9</v>
      </c>
      <c r="T307" s="1">
        <v>43176</v>
      </c>
      <c r="U307" s="1">
        <v>43182</v>
      </c>
      <c r="V307" s="2"/>
      <c r="W307" s="1">
        <f>fNotasFiscais[[#This Row],[Data da Coleta]]+fNotasFiscais[[#This Row],[Prazo Contratado]]</f>
        <v>43185</v>
      </c>
      <c r="X307" s="3">
        <f>IF(fNotasFiscais[[#This Row],[Data da Entrega]]&gt;fNotasFiscais[[#This Row],[Data Contratada]],0,1)</f>
        <v>1</v>
      </c>
      <c r="Y307" s="3">
        <f>IF(fNotasFiscais[[#This Row],[Ocorrência]]="",1,0)</f>
        <v>1</v>
      </c>
      <c r="Z307" s="2">
        <f>fNotasFiscais[[#This Row],[On Time]]*fNotasFiscais[[#This Row],[In Full]]</f>
        <v>1</v>
      </c>
      <c r="AA307">
        <f>IF(fNotasFiscais[[#This Row],[Nota Fiscal]]&lt;&gt;"",1,0)</f>
        <v>1</v>
      </c>
    </row>
    <row r="308" spans="1:27" x14ac:dyDescent="0.25">
      <c r="A308" s="1">
        <v>43175</v>
      </c>
      <c r="B308">
        <v>10717</v>
      </c>
      <c r="C308" s="2" t="s">
        <v>40</v>
      </c>
      <c r="D308" s="2" t="s">
        <v>41</v>
      </c>
      <c r="E308" s="2" t="s">
        <v>33</v>
      </c>
      <c r="F308">
        <v>4016</v>
      </c>
      <c r="G308" s="2" t="s">
        <v>68</v>
      </c>
      <c r="H308" s="2" t="s">
        <v>69</v>
      </c>
      <c r="I308" s="2" t="s">
        <v>36</v>
      </c>
      <c r="J308" s="2" t="s">
        <v>60</v>
      </c>
      <c r="K308" s="2" t="s">
        <v>36</v>
      </c>
      <c r="L308">
        <v>101.96</v>
      </c>
      <c r="M308">
        <v>1</v>
      </c>
      <c r="N308">
        <v>0.26400000000000001</v>
      </c>
      <c r="O308">
        <v>6600879</v>
      </c>
      <c r="P308" s="2" t="s">
        <v>61</v>
      </c>
      <c r="Q308" s="2" t="s">
        <v>35</v>
      </c>
      <c r="R308" s="2" t="s">
        <v>30</v>
      </c>
      <c r="S308">
        <v>8</v>
      </c>
      <c r="T308" s="1">
        <v>43176</v>
      </c>
      <c r="U308" s="1">
        <v>43177</v>
      </c>
      <c r="V308" s="2"/>
      <c r="W308" s="1">
        <f>fNotasFiscais[[#This Row],[Data da Coleta]]+fNotasFiscais[[#This Row],[Prazo Contratado]]</f>
        <v>43184</v>
      </c>
      <c r="X308" s="3">
        <f>IF(fNotasFiscais[[#This Row],[Data da Entrega]]&gt;fNotasFiscais[[#This Row],[Data Contratada]],0,1)</f>
        <v>1</v>
      </c>
      <c r="Y308" s="3">
        <f>IF(fNotasFiscais[[#This Row],[Ocorrência]]="",1,0)</f>
        <v>1</v>
      </c>
      <c r="Z308" s="2">
        <f>fNotasFiscais[[#This Row],[On Time]]*fNotasFiscais[[#This Row],[In Full]]</f>
        <v>1</v>
      </c>
      <c r="AA308">
        <f>IF(fNotasFiscais[[#This Row],[Nota Fiscal]]&lt;&gt;"",1,0)</f>
        <v>1</v>
      </c>
    </row>
    <row r="309" spans="1:27" x14ac:dyDescent="0.25">
      <c r="A309" s="1">
        <v>43175</v>
      </c>
      <c r="B309">
        <v>10718</v>
      </c>
      <c r="C309" s="2" t="s">
        <v>22</v>
      </c>
      <c r="D309" s="2" t="s">
        <v>23</v>
      </c>
      <c r="E309" s="2" t="s">
        <v>24</v>
      </c>
      <c r="F309">
        <v>4016</v>
      </c>
      <c r="G309" s="2" t="s">
        <v>68</v>
      </c>
      <c r="H309" s="2" t="s">
        <v>69</v>
      </c>
      <c r="I309" s="2" t="s">
        <v>36</v>
      </c>
      <c r="J309" s="2" t="s">
        <v>60</v>
      </c>
      <c r="K309" s="2" t="s">
        <v>36</v>
      </c>
      <c r="L309">
        <v>4103.62</v>
      </c>
      <c r="M309">
        <v>16</v>
      </c>
      <c r="N309">
        <v>48.402000000000001</v>
      </c>
      <c r="O309">
        <v>6600879</v>
      </c>
      <c r="P309" s="2" t="s">
        <v>61</v>
      </c>
      <c r="Q309" s="2" t="s">
        <v>35</v>
      </c>
      <c r="R309" s="2" t="s">
        <v>30</v>
      </c>
      <c r="S309">
        <v>6</v>
      </c>
      <c r="T309" s="1">
        <v>43176</v>
      </c>
      <c r="U309" s="1">
        <v>43181</v>
      </c>
      <c r="V309" s="2" t="s">
        <v>57</v>
      </c>
      <c r="W309" s="1">
        <f>fNotasFiscais[[#This Row],[Data da Coleta]]+fNotasFiscais[[#This Row],[Prazo Contratado]]</f>
        <v>43182</v>
      </c>
      <c r="X309" s="3">
        <f>IF(fNotasFiscais[[#This Row],[Data da Entrega]]&gt;fNotasFiscais[[#This Row],[Data Contratada]],0,1)</f>
        <v>1</v>
      </c>
      <c r="Y309" s="3">
        <f>IF(fNotasFiscais[[#This Row],[Ocorrência]]="",1,0)</f>
        <v>0</v>
      </c>
      <c r="Z309" s="2">
        <f>fNotasFiscais[[#This Row],[On Time]]*fNotasFiscais[[#This Row],[In Full]]</f>
        <v>0</v>
      </c>
      <c r="AA309">
        <f>IF(fNotasFiscais[[#This Row],[Nota Fiscal]]&lt;&gt;"",1,0)</f>
        <v>1</v>
      </c>
    </row>
    <row r="310" spans="1:27" x14ac:dyDescent="0.25">
      <c r="A310" s="1">
        <v>43178</v>
      </c>
      <c r="B310">
        <v>10719</v>
      </c>
      <c r="C310" s="2" t="s">
        <v>43</v>
      </c>
      <c r="D310" s="2" t="s">
        <v>44</v>
      </c>
      <c r="E310" s="2" t="s">
        <v>45</v>
      </c>
      <c r="F310">
        <v>4024</v>
      </c>
      <c r="G310" s="2" t="s">
        <v>89</v>
      </c>
      <c r="H310" s="2" t="s">
        <v>23</v>
      </c>
      <c r="I310" s="2" t="s">
        <v>24</v>
      </c>
      <c r="J310" s="2" t="s">
        <v>28</v>
      </c>
      <c r="K310" s="2" t="s">
        <v>24</v>
      </c>
      <c r="L310">
        <v>4280.09</v>
      </c>
      <c r="M310">
        <v>14</v>
      </c>
      <c r="N310">
        <v>29.204999999999998</v>
      </c>
      <c r="O310">
        <v>6500948</v>
      </c>
      <c r="P310" s="2" t="s">
        <v>29</v>
      </c>
      <c r="Q310" s="2" t="s">
        <v>23</v>
      </c>
      <c r="R310" s="2" t="s">
        <v>30</v>
      </c>
      <c r="S310">
        <v>8</v>
      </c>
      <c r="T310" s="1">
        <v>43179</v>
      </c>
      <c r="U310" s="1">
        <v>43187</v>
      </c>
      <c r="V310" s="2" t="s">
        <v>57</v>
      </c>
      <c r="W310" s="1">
        <f>fNotasFiscais[[#This Row],[Data da Coleta]]+fNotasFiscais[[#This Row],[Prazo Contratado]]</f>
        <v>43187</v>
      </c>
      <c r="X310" s="3">
        <f>IF(fNotasFiscais[[#This Row],[Data da Entrega]]&gt;fNotasFiscais[[#This Row],[Data Contratada]],0,1)</f>
        <v>1</v>
      </c>
      <c r="Y310" s="3">
        <f>IF(fNotasFiscais[[#This Row],[Ocorrência]]="",1,0)</f>
        <v>0</v>
      </c>
      <c r="Z310" s="2">
        <f>fNotasFiscais[[#This Row],[On Time]]*fNotasFiscais[[#This Row],[In Full]]</f>
        <v>0</v>
      </c>
      <c r="AA310">
        <f>IF(fNotasFiscais[[#This Row],[Nota Fiscal]]&lt;&gt;"",1,0)</f>
        <v>1</v>
      </c>
    </row>
    <row r="311" spans="1:27" x14ac:dyDescent="0.25">
      <c r="A311" s="1">
        <v>43178</v>
      </c>
      <c r="B311">
        <v>10720</v>
      </c>
      <c r="C311" s="2" t="s">
        <v>31</v>
      </c>
      <c r="D311" s="2" t="s">
        <v>32</v>
      </c>
      <c r="E311" s="2" t="s">
        <v>33</v>
      </c>
      <c r="F311">
        <v>4068</v>
      </c>
      <c r="G311" s="2" t="s">
        <v>63</v>
      </c>
      <c r="H311" s="2" t="s">
        <v>64</v>
      </c>
      <c r="I311" s="2" t="s">
        <v>65</v>
      </c>
      <c r="J311" s="2" t="s">
        <v>49</v>
      </c>
      <c r="K311" s="2" t="s">
        <v>65</v>
      </c>
      <c r="L311">
        <v>1119.17</v>
      </c>
      <c r="M311">
        <v>2</v>
      </c>
      <c r="N311">
        <v>18.016999999999999</v>
      </c>
      <c r="O311">
        <v>6100231</v>
      </c>
      <c r="P311" s="2" t="s">
        <v>50</v>
      </c>
      <c r="Q311" s="2" t="s">
        <v>51</v>
      </c>
      <c r="R311" s="2" t="s">
        <v>30</v>
      </c>
      <c r="S311">
        <v>11</v>
      </c>
      <c r="T311" s="1">
        <v>43179</v>
      </c>
      <c r="U311" s="1">
        <v>43187</v>
      </c>
      <c r="V311" s="2"/>
      <c r="W311" s="1">
        <f>fNotasFiscais[[#This Row],[Data da Coleta]]+fNotasFiscais[[#This Row],[Prazo Contratado]]</f>
        <v>43190</v>
      </c>
      <c r="X311" s="3">
        <f>IF(fNotasFiscais[[#This Row],[Data da Entrega]]&gt;fNotasFiscais[[#This Row],[Data Contratada]],0,1)</f>
        <v>1</v>
      </c>
      <c r="Y311" s="3">
        <f>IF(fNotasFiscais[[#This Row],[Ocorrência]]="",1,0)</f>
        <v>1</v>
      </c>
      <c r="Z311" s="2">
        <f>fNotasFiscais[[#This Row],[On Time]]*fNotasFiscais[[#This Row],[In Full]]</f>
        <v>1</v>
      </c>
      <c r="AA311">
        <f>IF(fNotasFiscais[[#This Row],[Nota Fiscal]]&lt;&gt;"",1,0)</f>
        <v>1</v>
      </c>
    </row>
    <row r="312" spans="1:27" x14ac:dyDescent="0.25">
      <c r="A312" s="1">
        <v>43178</v>
      </c>
      <c r="B312">
        <v>10721</v>
      </c>
      <c r="C312" s="2" t="s">
        <v>40</v>
      </c>
      <c r="D312" s="2" t="s">
        <v>41</v>
      </c>
      <c r="E312" s="2" t="s">
        <v>33</v>
      </c>
      <c r="F312">
        <v>4023</v>
      </c>
      <c r="G312" s="2" t="s">
        <v>88</v>
      </c>
      <c r="H312" s="2" t="s">
        <v>78</v>
      </c>
      <c r="I312" s="2" t="s">
        <v>39</v>
      </c>
      <c r="J312" s="2" t="s">
        <v>28</v>
      </c>
      <c r="K312" s="2" t="s">
        <v>39</v>
      </c>
      <c r="L312">
        <v>2868.05</v>
      </c>
      <c r="M312">
        <v>12</v>
      </c>
      <c r="N312">
        <v>36.96</v>
      </c>
      <c r="O312">
        <v>6500948</v>
      </c>
      <c r="P312" s="2" t="s">
        <v>29</v>
      </c>
      <c r="Q312" s="2" t="s">
        <v>23</v>
      </c>
      <c r="R312" s="2" t="s">
        <v>30</v>
      </c>
      <c r="S312">
        <v>5</v>
      </c>
      <c r="T312" s="1">
        <v>43179</v>
      </c>
      <c r="U312" s="1">
        <v>43186</v>
      </c>
      <c r="V312" s="2" t="s">
        <v>57</v>
      </c>
      <c r="W312" s="1">
        <f>fNotasFiscais[[#This Row],[Data da Coleta]]+fNotasFiscais[[#This Row],[Prazo Contratado]]</f>
        <v>43184</v>
      </c>
      <c r="X312" s="3">
        <f>IF(fNotasFiscais[[#This Row],[Data da Entrega]]&gt;fNotasFiscais[[#This Row],[Data Contratada]],0,1)</f>
        <v>0</v>
      </c>
      <c r="Y312" s="3">
        <f>IF(fNotasFiscais[[#This Row],[Ocorrência]]="",1,0)</f>
        <v>0</v>
      </c>
      <c r="Z312" s="2">
        <f>fNotasFiscais[[#This Row],[On Time]]*fNotasFiscais[[#This Row],[In Full]]</f>
        <v>0</v>
      </c>
      <c r="AA312">
        <f>IF(fNotasFiscais[[#This Row],[Nota Fiscal]]&lt;&gt;"",1,0)</f>
        <v>1</v>
      </c>
    </row>
    <row r="313" spans="1:27" x14ac:dyDescent="0.25">
      <c r="A313" s="1">
        <v>43178</v>
      </c>
      <c r="B313">
        <v>10722</v>
      </c>
      <c r="C313" s="2" t="s">
        <v>43</v>
      </c>
      <c r="D313" s="2" t="s">
        <v>44</v>
      </c>
      <c r="E313" s="2" t="s">
        <v>45</v>
      </c>
      <c r="F313">
        <v>4041</v>
      </c>
      <c r="G313" s="2" t="s">
        <v>83</v>
      </c>
      <c r="H313" s="2" t="s">
        <v>51</v>
      </c>
      <c r="I313" s="2" t="s">
        <v>73</v>
      </c>
      <c r="J313" s="2" t="s">
        <v>49</v>
      </c>
      <c r="K313" s="2" t="s">
        <v>73</v>
      </c>
      <c r="L313">
        <v>260.38</v>
      </c>
      <c r="M313">
        <v>2</v>
      </c>
      <c r="N313">
        <v>0.69299999999999995</v>
      </c>
      <c r="O313">
        <v>6100231</v>
      </c>
      <c r="P313" s="2" t="s">
        <v>50</v>
      </c>
      <c r="Q313" s="2" t="s">
        <v>51</v>
      </c>
      <c r="R313" s="2" t="s">
        <v>30</v>
      </c>
      <c r="S313">
        <v>3</v>
      </c>
      <c r="T313" s="1">
        <v>43179</v>
      </c>
      <c r="U313" s="1">
        <v>43182</v>
      </c>
      <c r="V313" s="2"/>
      <c r="W313" s="1">
        <f>fNotasFiscais[[#This Row],[Data da Coleta]]+fNotasFiscais[[#This Row],[Prazo Contratado]]</f>
        <v>43182</v>
      </c>
      <c r="X313" s="3">
        <f>IF(fNotasFiscais[[#This Row],[Data da Entrega]]&gt;fNotasFiscais[[#This Row],[Data Contratada]],0,1)</f>
        <v>1</v>
      </c>
      <c r="Y313" s="3">
        <f>IF(fNotasFiscais[[#This Row],[Ocorrência]]="",1,0)</f>
        <v>1</v>
      </c>
      <c r="Z313" s="2">
        <f>fNotasFiscais[[#This Row],[On Time]]*fNotasFiscais[[#This Row],[In Full]]</f>
        <v>1</v>
      </c>
      <c r="AA313">
        <f>IF(fNotasFiscais[[#This Row],[Nota Fiscal]]&lt;&gt;"",1,0)</f>
        <v>1</v>
      </c>
    </row>
    <row r="314" spans="1:27" x14ac:dyDescent="0.25">
      <c r="A314" s="1">
        <v>43178</v>
      </c>
      <c r="B314">
        <v>10723</v>
      </c>
      <c r="C314" s="2" t="s">
        <v>31</v>
      </c>
      <c r="D314" s="2" t="s">
        <v>32</v>
      </c>
      <c r="E314" s="2" t="s">
        <v>33</v>
      </c>
      <c r="F314">
        <v>4041</v>
      </c>
      <c r="G314" s="2" t="s">
        <v>83</v>
      </c>
      <c r="H314" s="2" t="s">
        <v>51</v>
      </c>
      <c r="I314" s="2" t="s">
        <v>73</v>
      </c>
      <c r="J314" s="2" t="s">
        <v>49</v>
      </c>
      <c r="K314" s="2" t="s">
        <v>73</v>
      </c>
      <c r="L314">
        <v>1437.67</v>
      </c>
      <c r="M314">
        <v>2</v>
      </c>
      <c r="N314">
        <v>17.46</v>
      </c>
      <c r="O314">
        <v>6100231</v>
      </c>
      <c r="P314" s="2" t="s">
        <v>50</v>
      </c>
      <c r="Q314" s="2" t="s">
        <v>51</v>
      </c>
      <c r="R314" s="2" t="s">
        <v>30</v>
      </c>
      <c r="S314">
        <v>8</v>
      </c>
      <c r="T314" s="1">
        <v>43179</v>
      </c>
      <c r="U314" s="1">
        <v>43187</v>
      </c>
      <c r="V314" s="2"/>
      <c r="W314" s="1">
        <f>fNotasFiscais[[#This Row],[Data da Coleta]]+fNotasFiscais[[#This Row],[Prazo Contratado]]</f>
        <v>43187</v>
      </c>
      <c r="X314" s="3">
        <f>IF(fNotasFiscais[[#This Row],[Data da Entrega]]&gt;fNotasFiscais[[#This Row],[Data Contratada]],0,1)</f>
        <v>1</v>
      </c>
      <c r="Y314" s="3">
        <f>IF(fNotasFiscais[[#This Row],[Ocorrência]]="",1,0)</f>
        <v>1</v>
      </c>
      <c r="Z314" s="2">
        <f>fNotasFiscais[[#This Row],[On Time]]*fNotasFiscais[[#This Row],[In Full]]</f>
        <v>1</v>
      </c>
      <c r="AA314">
        <f>IF(fNotasFiscais[[#This Row],[Nota Fiscal]]&lt;&gt;"",1,0)</f>
        <v>1</v>
      </c>
    </row>
    <row r="315" spans="1:27" x14ac:dyDescent="0.25">
      <c r="A315" s="1">
        <v>43178</v>
      </c>
      <c r="B315">
        <v>10724</v>
      </c>
      <c r="C315" s="2" t="s">
        <v>52</v>
      </c>
      <c r="D315" s="2" t="s">
        <v>53</v>
      </c>
      <c r="E315" s="2" t="s">
        <v>33</v>
      </c>
      <c r="F315">
        <v>4041</v>
      </c>
      <c r="G315" s="2" t="s">
        <v>83</v>
      </c>
      <c r="H315" s="2" t="s">
        <v>51</v>
      </c>
      <c r="I315" s="2" t="s">
        <v>73</v>
      </c>
      <c r="J315" s="2" t="s">
        <v>49</v>
      </c>
      <c r="K315" s="2" t="s">
        <v>73</v>
      </c>
      <c r="L315">
        <v>5869.51</v>
      </c>
      <c r="M315">
        <v>6</v>
      </c>
      <c r="N315">
        <v>28.591000000000001</v>
      </c>
      <c r="O315">
        <v>6100231</v>
      </c>
      <c r="P315" s="2" t="s">
        <v>50</v>
      </c>
      <c r="Q315" s="2" t="s">
        <v>51</v>
      </c>
      <c r="R315" s="2" t="s">
        <v>30</v>
      </c>
      <c r="S315">
        <v>6</v>
      </c>
      <c r="T315" s="1">
        <v>43179</v>
      </c>
      <c r="U315" s="1">
        <v>43180</v>
      </c>
      <c r="V315" s="2"/>
      <c r="W315" s="1">
        <f>fNotasFiscais[[#This Row],[Data da Coleta]]+fNotasFiscais[[#This Row],[Prazo Contratado]]</f>
        <v>43185</v>
      </c>
      <c r="X315" s="3">
        <f>IF(fNotasFiscais[[#This Row],[Data da Entrega]]&gt;fNotasFiscais[[#This Row],[Data Contratada]],0,1)</f>
        <v>1</v>
      </c>
      <c r="Y315" s="3">
        <f>IF(fNotasFiscais[[#This Row],[Ocorrência]]="",1,0)</f>
        <v>1</v>
      </c>
      <c r="Z315" s="2">
        <f>fNotasFiscais[[#This Row],[On Time]]*fNotasFiscais[[#This Row],[In Full]]</f>
        <v>1</v>
      </c>
      <c r="AA315">
        <f>IF(fNotasFiscais[[#This Row],[Nota Fiscal]]&lt;&gt;"",1,0)</f>
        <v>1</v>
      </c>
    </row>
    <row r="316" spans="1:27" x14ac:dyDescent="0.25">
      <c r="A316" s="1">
        <v>43178</v>
      </c>
      <c r="B316">
        <v>10725</v>
      </c>
      <c r="C316" s="2" t="s">
        <v>54</v>
      </c>
      <c r="D316" s="2" t="s">
        <v>55</v>
      </c>
      <c r="E316" s="2" t="s">
        <v>56</v>
      </c>
      <c r="F316">
        <v>4041</v>
      </c>
      <c r="G316" s="2" t="s">
        <v>83</v>
      </c>
      <c r="H316" s="2" t="s">
        <v>51</v>
      </c>
      <c r="I316" s="2" t="s">
        <v>73</v>
      </c>
      <c r="J316" s="2" t="s">
        <v>49</v>
      </c>
      <c r="K316" s="2" t="s">
        <v>73</v>
      </c>
      <c r="L316">
        <v>2005.95</v>
      </c>
      <c r="M316">
        <v>4</v>
      </c>
      <c r="N316">
        <v>15.851000000000001</v>
      </c>
      <c r="O316">
        <v>6100231</v>
      </c>
      <c r="P316" s="2" t="s">
        <v>50</v>
      </c>
      <c r="Q316" s="2" t="s">
        <v>51</v>
      </c>
      <c r="R316" s="2" t="s">
        <v>30</v>
      </c>
      <c r="S316">
        <v>10</v>
      </c>
      <c r="T316" s="1">
        <v>43179</v>
      </c>
      <c r="U316" s="1">
        <v>43185</v>
      </c>
      <c r="V316" s="2" t="s">
        <v>57</v>
      </c>
      <c r="W316" s="1">
        <f>fNotasFiscais[[#This Row],[Data da Coleta]]+fNotasFiscais[[#This Row],[Prazo Contratado]]</f>
        <v>43189</v>
      </c>
      <c r="X316" s="3">
        <f>IF(fNotasFiscais[[#This Row],[Data da Entrega]]&gt;fNotasFiscais[[#This Row],[Data Contratada]],0,1)</f>
        <v>1</v>
      </c>
      <c r="Y316" s="3">
        <f>IF(fNotasFiscais[[#This Row],[Ocorrência]]="",1,0)</f>
        <v>0</v>
      </c>
      <c r="Z316" s="2">
        <f>fNotasFiscais[[#This Row],[On Time]]*fNotasFiscais[[#This Row],[In Full]]</f>
        <v>0</v>
      </c>
      <c r="AA316">
        <f>IF(fNotasFiscais[[#This Row],[Nota Fiscal]]&lt;&gt;"",1,0)</f>
        <v>1</v>
      </c>
    </row>
    <row r="317" spans="1:27" x14ac:dyDescent="0.25">
      <c r="A317" s="1">
        <v>43179</v>
      </c>
      <c r="B317">
        <v>10726</v>
      </c>
      <c r="C317" s="2" t="s">
        <v>34</v>
      </c>
      <c r="D317" s="2" t="s">
        <v>35</v>
      </c>
      <c r="E317" s="2" t="s">
        <v>36</v>
      </c>
      <c r="F317">
        <v>4024</v>
      </c>
      <c r="G317" s="2" t="s">
        <v>89</v>
      </c>
      <c r="H317" s="2" t="s">
        <v>23</v>
      </c>
      <c r="I317" s="2" t="s">
        <v>24</v>
      </c>
      <c r="J317" s="2" t="s">
        <v>28</v>
      </c>
      <c r="K317" s="2" t="s">
        <v>24</v>
      </c>
      <c r="L317">
        <v>36436.01</v>
      </c>
      <c r="M317">
        <v>29</v>
      </c>
      <c r="N317">
        <v>250.97800000000001</v>
      </c>
      <c r="O317">
        <v>6500948</v>
      </c>
      <c r="P317" s="2" t="s">
        <v>29</v>
      </c>
      <c r="Q317" s="2" t="s">
        <v>23</v>
      </c>
      <c r="R317" s="2" t="s">
        <v>30</v>
      </c>
      <c r="S317">
        <v>2</v>
      </c>
      <c r="T317" s="1">
        <v>43180</v>
      </c>
      <c r="U317" s="1">
        <v>43182</v>
      </c>
      <c r="V317" s="2"/>
      <c r="W317" s="1">
        <f>fNotasFiscais[[#This Row],[Data da Coleta]]+fNotasFiscais[[#This Row],[Prazo Contratado]]</f>
        <v>43182</v>
      </c>
      <c r="X317" s="3">
        <f>IF(fNotasFiscais[[#This Row],[Data da Entrega]]&gt;fNotasFiscais[[#This Row],[Data Contratada]],0,1)</f>
        <v>1</v>
      </c>
      <c r="Y317" s="3">
        <f>IF(fNotasFiscais[[#This Row],[Ocorrência]]="",1,0)</f>
        <v>1</v>
      </c>
      <c r="Z317" s="2">
        <f>fNotasFiscais[[#This Row],[On Time]]*fNotasFiscais[[#This Row],[In Full]]</f>
        <v>1</v>
      </c>
      <c r="AA317">
        <f>IF(fNotasFiscais[[#This Row],[Nota Fiscal]]&lt;&gt;"",1,0)</f>
        <v>1</v>
      </c>
    </row>
    <row r="318" spans="1:27" x14ac:dyDescent="0.25">
      <c r="A318" s="1">
        <v>43180</v>
      </c>
      <c r="B318">
        <v>10727</v>
      </c>
      <c r="C318" s="2" t="s">
        <v>43</v>
      </c>
      <c r="D318" s="2" t="s">
        <v>44</v>
      </c>
      <c r="E318" s="2" t="s">
        <v>45</v>
      </c>
      <c r="F318">
        <v>4022</v>
      </c>
      <c r="G318" s="2" t="s">
        <v>86</v>
      </c>
      <c r="H318" s="2" t="s">
        <v>87</v>
      </c>
      <c r="I318" s="2" t="s">
        <v>27</v>
      </c>
      <c r="J318" s="2" t="s">
        <v>28</v>
      </c>
      <c r="K318" s="2" t="s">
        <v>27</v>
      </c>
      <c r="L318">
        <v>1051.74</v>
      </c>
      <c r="M318">
        <v>2</v>
      </c>
      <c r="N318">
        <v>18.7</v>
      </c>
      <c r="O318">
        <v>6500948</v>
      </c>
      <c r="P318" s="2" t="s">
        <v>29</v>
      </c>
      <c r="Q318" s="2" t="s">
        <v>23</v>
      </c>
      <c r="R318" s="2" t="s">
        <v>30</v>
      </c>
      <c r="S318">
        <v>6</v>
      </c>
      <c r="T318" s="1">
        <v>43181</v>
      </c>
      <c r="U318" s="1">
        <v>43191</v>
      </c>
      <c r="V318" s="2" t="s">
        <v>42</v>
      </c>
      <c r="W318" s="1">
        <f>fNotasFiscais[[#This Row],[Data da Coleta]]+fNotasFiscais[[#This Row],[Prazo Contratado]]</f>
        <v>43187</v>
      </c>
      <c r="X318" s="3">
        <f>IF(fNotasFiscais[[#This Row],[Data da Entrega]]&gt;fNotasFiscais[[#This Row],[Data Contratada]],0,1)</f>
        <v>0</v>
      </c>
      <c r="Y318" s="3">
        <f>IF(fNotasFiscais[[#This Row],[Ocorrência]]="",1,0)</f>
        <v>0</v>
      </c>
      <c r="Z318" s="2">
        <f>fNotasFiscais[[#This Row],[On Time]]*fNotasFiscais[[#This Row],[In Full]]</f>
        <v>0</v>
      </c>
      <c r="AA318">
        <f>IF(fNotasFiscais[[#This Row],[Nota Fiscal]]&lt;&gt;"",1,0)</f>
        <v>1</v>
      </c>
    </row>
    <row r="319" spans="1:27" x14ac:dyDescent="0.25">
      <c r="A319" s="1">
        <v>43181</v>
      </c>
      <c r="B319">
        <v>10728</v>
      </c>
      <c r="C319" s="2" t="s">
        <v>31</v>
      </c>
      <c r="D319" s="2" t="s">
        <v>32</v>
      </c>
      <c r="E319" s="2" t="s">
        <v>33</v>
      </c>
      <c r="F319">
        <v>4023</v>
      </c>
      <c r="G319" s="2" t="s">
        <v>88</v>
      </c>
      <c r="H319" s="2" t="s">
        <v>78</v>
      </c>
      <c r="I319" s="2" t="s">
        <v>39</v>
      </c>
      <c r="J319" s="2" t="s">
        <v>28</v>
      </c>
      <c r="K319" s="2" t="s">
        <v>39</v>
      </c>
      <c r="L319">
        <v>1045.67</v>
      </c>
      <c r="M319">
        <v>1</v>
      </c>
      <c r="N319">
        <v>1.1200000000000001</v>
      </c>
      <c r="O319">
        <v>6500948</v>
      </c>
      <c r="P319" s="2" t="s">
        <v>29</v>
      </c>
      <c r="Q319" s="2" t="s">
        <v>23</v>
      </c>
      <c r="R319" s="2" t="s">
        <v>30</v>
      </c>
      <c r="S319">
        <v>6</v>
      </c>
      <c r="T319" s="1">
        <v>43182</v>
      </c>
      <c r="U319" s="1">
        <v>43188</v>
      </c>
      <c r="V319" s="2"/>
      <c r="W319" s="1">
        <f>fNotasFiscais[[#This Row],[Data da Coleta]]+fNotasFiscais[[#This Row],[Prazo Contratado]]</f>
        <v>43188</v>
      </c>
      <c r="X319" s="3">
        <f>IF(fNotasFiscais[[#This Row],[Data da Entrega]]&gt;fNotasFiscais[[#This Row],[Data Contratada]],0,1)</f>
        <v>1</v>
      </c>
      <c r="Y319" s="3">
        <f>IF(fNotasFiscais[[#This Row],[Ocorrência]]="",1,0)</f>
        <v>1</v>
      </c>
      <c r="Z319" s="2">
        <f>fNotasFiscais[[#This Row],[On Time]]*fNotasFiscais[[#This Row],[In Full]]</f>
        <v>1</v>
      </c>
      <c r="AA319">
        <f>IF(fNotasFiscais[[#This Row],[Nota Fiscal]]&lt;&gt;"",1,0)</f>
        <v>1</v>
      </c>
    </row>
    <row r="320" spans="1:27" x14ac:dyDescent="0.25">
      <c r="A320" s="1">
        <v>43181</v>
      </c>
      <c r="B320">
        <v>10729</v>
      </c>
      <c r="C320" s="2" t="s">
        <v>54</v>
      </c>
      <c r="D320" s="2" t="s">
        <v>55</v>
      </c>
      <c r="E320" s="2" t="s">
        <v>56</v>
      </c>
      <c r="F320">
        <v>4022</v>
      </c>
      <c r="G320" s="2" t="s">
        <v>86</v>
      </c>
      <c r="H320" s="2" t="s">
        <v>87</v>
      </c>
      <c r="I320" s="2" t="s">
        <v>27</v>
      </c>
      <c r="J320" s="2" t="s">
        <v>28</v>
      </c>
      <c r="K320" s="2" t="s">
        <v>27</v>
      </c>
      <c r="L320">
        <v>23879.97</v>
      </c>
      <c r="M320">
        <v>33</v>
      </c>
      <c r="N320">
        <v>199.06800000000001</v>
      </c>
      <c r="O320">
        <v>6500948</v>
      </c>
      <c r="P320" s="2" t="s">
        <v>29</v>
      </c>
      <c r="Q320" s="2" t="s">
        <v>23</v>
      </c>
      <c r="R320" s="2" t="s">
        <v>30</v>
      </c>
      <c r="S320">
        <v>3</v>
      </c>
      <c r="T320" s="1">
        <v>43182</v>
      </c>
      <c r="U320" s="1">
        <v>43187</v>
      </c>
      <c r="V320" s="2"/>
      <c r="W320" s="1">
        <f>fNotasFiscais[[#This Row],[Data da Coleta]]+fNotasFiscais[[#This Row],[Prazo Contratado]]</f>
        <v>43185</v>
      </c>
      <c r="X320" s="3">
        <f>IF(fNotasFiscais[[#This Row],[Data da Entrega]]&gt;fNotasFiscais[[#This Row],[Data Contratada]],0,1)</f>
        <v>0</v>
      </c>
      <c r="Y320" s="3">
        <f>IF(fNotasFiscais[[#This Row],[Ocorrência]]="",1,0)</f>
        <v>1</v>
      </c>
      <c r="Z320" s="2">
        <f>fNotasFiscais[[#This Row],[On Time]]*fNotasFiscais[[#This Row],[In Full]]</f>
        <v>0</v>
      </c>
      <c r="AA320">
        <f>IF(fNotasFiscais[[#This Row],[Nota Fiscal]]&lt;&gt;"",1,0)</f>
        <v>1</v>
      </c>
    </row>
    <row r="321" spans="1:27" x14ac:dyDescent="0.25">
      <c r="A321" s="1">
        <v>43182</v>
      </c>
      <c r="B321">
        <v>10730</v>
      </c>
      <c r="C321" s="2" t="s">
        <v>40</v>
      </c>
      <c r="D321" s="2" t="s">
        <v>41</v>
      </c>
      <c r="E321" s="2" t="s">
        <v>33</v>
      </c>
      <c r="F321">
        <v>4027</v>
      </c>
      <c r="G321" s="2" t="s">
        <v>93</v>
      </c>
      <c r="H321" s="2" t="s">
        <v>91</v>
      </c>
      <c r="I321" s="2" t="s">
        <v>24</v>
      </c>
      <c r="J321" s="2" t="s">
        <v>28</v>
      </c>
      <c r="K321" s="2" t="s">
        <v>24</v>
      </c>
      <c r="L321">
        <v>908.64</v>
      </c>
      <c r="M321">
        <v>1</v>
      </c>
      <c r="N321">
        <v>1.1200000000000001</v>
      </c>
      <c r="O321">
        <v>6500948</v>
      </c>
      <c r="P321" s="2" t="s">
        <v>29</v>
      </c>
      <c r="Q321" s="2" t="s">
        <v>23</v>
      </c>
      <c r="R321" s="2" t="s">
        <v>30</v>
      </c>
      <c r="S321">
        <v>8</v>
      </c>
      <c r="T321" s="1">
        <v>43183</v>
      </c>
      <c r="U321" s="1">
        <v>43189</v>
      </c>
      <c r="V321" s="2" t="s">
        <v>42</v>
      </c>
      <c r="W321" s="1">
        <f>fNotasFiscais[[#This Row],[Data da Coleta]]+fNotasFiscais[[#This Row],[Prazo Contratado]]</f>
        <v>43191</v>
      </c>
      <c r="X321" s="3">
        <f>IF(fNotasFiscais[[#This Row],[Data da Entrega]]&gt;fNotasFiscais[[#This Row],[Data Contratada]],0,1)</f>
        <v>1</v>
      </c>
      <c r="Y321" s="3">
        <f>IF(fNotasFiscais[[#This Row],[Ocorrência]]="",1,0)</f>
        <v>0</v>
      </c>
      <c r="Z321" s="2">
        <f>fNotasFiscais[[#This Row],[On Time]]*fNotasFiscais[[#This Row],[In Full]]</f>
        <v>0</v>
      </c>
      <c r="AA321">
        <f>IF(fNotasFiscais[[#This Row],[Nota Fiscal]]&lt;&gt;"",1,0)</f>
        <v>1</v>
      </c>
    </row>
    <row r="322" spans="1:27" x14ac:dyDescent="0.25">
      <c r="A322" s="1">
        <v>43182</v>
      </c>
      <c r="B322">
        <v>10731</v>
      </c>
      <c r="C322" s="2" t="s">
        <v>43</v>
      </c>
      <c r="D322" s="2" t="s">
        <v>44</v>
      </c>
      <c r="E322" s="2" t="s">
        <v>45</v>
      </c>
      <c r="F322">
        <v>4027</v>
      </c>
      <c r="G322" s="2" t="s">
        <v>93</v>
      </c>
      <c r="H322" s="2" t="s">
        <v>91</v>
      </c>
      <c r="I322" s="2" t="s">
        <v>24</v>
      </c>
      <c r="J322" s="2" t="s">
        <v>28</v>
      </c>
      <c r="K322" s="2" t="s">
        <v>24</v>
      </c>
      <c r="L322">
        <v>35.119999999999997</v>
      </c>
      <c r="M322">
        <v>1</v>
      </c>
      <c r="N322">
        <v>0.16</v>
      </c>
      <c r="O322">
        <v>6500948</v>
      </c>
      <c r="P322" s="2" t="s">
        <v>29</v>
      </c>
      <c r="Q322" s="2" t="s">
        <v>23</v>
      </c>
      <c r="R322" s="2" t="s">
        <v>30</v>
      </c>
      <c r="S322">
        <v>10</v>
      </c>
      <c r="T322" s="1">
        <v>43183</v>
      </c>
      <c r="U322" s="1">
        <v>43184</v>
      </c>
      <c r="V322" s="2"/>
      <c r="W322" s="1">
        <f>fNotasFiscais[[#This Row],[Data da Coleta]]+fNotasFiscais[[#This Row],[Prazo Contratado]]</f>
        <v>43193</v>
      </c>
      <c r="X322" s="3">
        <f>IF(fNotasFiscais[[#This Row],[Data da Entrega]]&gt;fNotasFiscais[[#This Row],[Data Contratada]],0,1)</f>
        <v>1</v>
      </c>
      <c r="Y322" s="3">
        <f>IF(fNotasFiscais[[#This Row],[Ocorrência]]="",1,0)</f>
        <v>1</v>
      </c>
      <c r="Z322" s="2">
        <f>fNotasFiscais[[#This Row],[On Time]]*fNotasFiscais[[#This Row],[In Full]]</f>
        <v>1</v>
      </c>
      <c r="AA322">
        <f>IF(fNotasFiscais[[#This Row],[Nota Fiscal]]&lt;&gt;"",1,0)</f>
        <v>1</v>
      </c>
    </row>
    <row r="323" spans="1:27" x14ac:dyDescent="0.25">
      <c r="A323" s="1">
        <v>43182</v>
      </c>
      <c r="B323">
        <v>10732</v>
      </c>
      <c r="C323" s="2" t="s">
        <v>40</v>
      </c>
      <c r="D323" s="2" t="s">
        <v>41</v>
      </c>
      <c r="E323" s="2" t="s">
        <v>33</v>
      </c>
      <c r="F323">
        <v>4055</v>
      </c>
      <c r="G323" s="2" t="s">
        <v>120</v>
      </c>
      <c r="H323" s="2" t="s">
        <v>47</v>
      </c>
      <c r="I323" s="2" t="s">
        <v>48</v>
      </c>
      <c r="J323" s="2" t="s">
        <v>49</v>
      </c>
      <c r="K323" s="2" t="s">
        <v>48</v>
      </c>
      <c r="L323">
        <v>443.13</v>
      </c>
      <c r="M323">
        <v>1</v>
      </c>
      <c r="N323">
        <v>0.44</v>
      </c>
      <c r="O323">
        <v>6100231</v>
      </c>
      <c r="P323" s="2" t="s">
        <v>50</v>
      </c>
      <c r="Q323" s="2" t="s">
        <v>51</v>
      </c>
      <c r="R323" s="2" t="s">
        <v>30</v>
      </c>
      <c r="S323">
        <v>11</v>
      </c>
      <c r="T323" s="1">
        <v>43183</v>
      </c>
      <c r="U323" s="1">
        <v>43192</v>
      </c>
      <c r="V323" s="2"/>
      <c r="W323" s="1">
        <f>fNotasFiscais[[#This Row],[Data da Coleta]]+fNotasFiscais[[#This Row],[Prazo Contratado]]</f>
        <v>43194</v>
      </c>
      <c r="X323" s="3">
        <f>IF(fNotasFiscais[[#This Row],[Data da Entrega]]&gt;fNotasFiscais[[#This Row],[Data Contratada]],0,1)</f>
        <v>1</v>
      </c>
      <c r="Y323" s="3">
        <f>IF(fNotasFiscais[[#This Row],[Ocorrência]]="",1,0)</f>
        <v>1</v>
      </c>
      <c r="Z323" s="2">
        <f>fNotasFiscais[[#This Row],[On Time]]*fNotasFiscais[[#This Row],[In Full]]</f>
        <v>1</v>
      </c>
      <c r="AA323">
        <f>IF(fNotasFiscais[[#This Row],[Nota Fiscal]]&lt;&gt;"",1,0)</f>
        <v>1</v>
      </c>
    </row>
    <row r="324" spans="1:27" x14ac:dyDescent="0.25">
      <c r="A324" s="1">
        <v>43182</v>
      </c>
      <c r="B324">
        <v>10733</v>
      </c>
      <c r="C324" s="2" t="s">
        <v>43</v>
      </c>
      <c r="D324" s="2" t="s">
        <v>44</v>
      </c>
      <c r="E324" s="2" t="s">
        <v>45</v>
      </c>
      <c r="F324">
        <v>4028</v>
      </c>
      <c r="G324" s="2" t="s">
        <v>95</v>
      </c>
      <c r="H324" s="2" t="s">
        <v>26</v>
      </c>
      <c r="I324" s="2" t="s">
        <v>27</v>
      </c>
      <c r="J324" s="2" t="s">
        <v>28</v>
      </c>
      <c r="K324" s="2" t="s">
        <v>27</v>
      </c>
      <c r="L324">
        <v>71.05</v>
      </c>
      <c r="M324">
        <v>1</v>
      </c>
      <c r="N324">
        <v>0.73399999999999999</v>
      </c>
      <c r="O324">
        <v>6500948</v>
      </c>
      <c r="P324" s="2" t="s">
        <v>29</v>
      </c>
      <c r="Q324" s="2" t="s">
        <v>23</v>
      </c>
      <c r="R324" s="2" t="s">
        <v>30</v>
      </c>
      <c r="S324">
        <v>8</v>
      </c>
      <c r="T324" s="1">
        <v>43183</v>
      </c>
      <c r="U324" s="1">
        <v>43193</v>
      </c>
      <c r="V324" s="2"/>
      <c r="W324" s="1">
        <f>fNotasFiscais[[#This Row],[Data da Coleta]]+fNotasFiscais[[#This Row],[Prazo Contratado]]</f>
        <v>43191</v>
      </c>
      <c r="X324" s="3">
        <f>IF(fNotasFiscais[[#This Row],[Data da Entrega]]&gt;fNotasFiscais[[#This Row],[Data Contratada]],0,1)</f>
        <v>0</v>
      </c>
      <c r="Y324" s="3">
        <f>IF(fNotasFiscais[[#This Row],[Ocorrência]]="",1,0)</f>
        <v>1</v>
      </c>
      <c r="Z324" s="2">
        <f>fNotasFiscais[[#This Row],[On Time]]*fNotasFiscais[[#This Row],[In Full]]</f>
        <v>0</v>
      </c>
      <c r="AA324">
        <f>IF(fNotasFiscais[[#This Row],[Nota Fiscal]]&lt;&gt;"",1,0)</f>
        <v>1</v>
      </c>
    </row>
    <row r="325" spans="1:27" x14ac:dyDescent="0.25">
      <c r="A325" s="1">
        <v>43182</v>
      </c>
      <c r="B325">
        <v>10734</v>
      </c>
      <c r="C325" s="2" t="s">
        <v>43</v>
      </c>
      <c r="D325" s="2" t="s">
        <v>44</v>
      </c>
      <c r="E325" s="2" t="s">
        <v>45</v>
      </c>
      <c r="F325">
        <v>4041</v>
      </c>
      <c r="G325" s="2" t="s">
        <v>83</v>
      </c>
      <c r="H325" s="2" t="s">
        <v>51</v>
      </c>
      <c r="I325" s="2" t="s">
        <v>73</v>
      </c>
      <c r="J325" s="2" t="s">
        <v>49</v>
      </c>
      <c r="K325" s="2" t="s">
        <v>73</v>
      </c>
      <c r="L325">
        <v>85.89</v>
      </c>
      <c r="M325">
        <v>1</v>
      </c>
      <c r="N325">
        <v>0.14099999999999999</v>
      </c>
      <c r="O325">
        <v>6100231</v>
      </c>
      <c r="P325" s="2" t="s">
        <v>50</v>
      </c>
      <c r="Q325" s="2" t="s">
        <v>51</v>
      </c>
      <c r="R325" s="2" t="s">
        <v>30</v>
      </c>
      <c r="S325">
        <v>8</v>
      </c>
      <c r="T325" s="1">
        <v>43183</v>
      </c>
      <c r="U325" s="1">
        <v>43191</v>
      </c>
      <c r="V325" s="2"/>
      <c r="W325" s="1">
        <f>fNotasFiscais[[#This Row],[Data da Coleta]]+fNotasFiscais[[#This Row],[Prazo Contratado]]</f>
        <v>43191</v>
      </c>
      <c r="X325" s="3">
        <f>IF(fNotasFiscais[[#This Row],[Data da Entrega]]&gt;fNotasFiscais[[#This Row],[Data Contratada]],0,1)</f>
        <v>1</v>
      </c>
      <c r="Y325" s="3">
        <f>IF(fNotasFiscais[[#This Row],[Ocorrência]]="",1,0)</f>
        <v>1</v>
      </c>
      <c r="Z325" s="2">
        <f>fNotasFiscais[[#This Row],[On Time]]*fNotasFiscais[[#This Row],[In Full]]</f>
        <v>1</v>
      </c>
      <c r="AA325">
        <f>IF(fNotasFiscais[[#This Row],[Nota Fiscal]]&lt;&gt;"",1,0)</f>
        <v>1</v>
      </c>
    </row>
    <row r="326" spans="1:27" x14ac:dyDescent="0.25">
      <c r="A326" s="1">
        <v>43182</v>
      </c>
      <c r="B326">
        <v>10735</v>
      </c>
      <c r="C326" s="2" t="s">
        <v>31</v>
      </c>
      <c r="D326" s="2" t="s">
        <v>32</v>
      </c>
      <c r="E326" s="2" t="s">
        <v>33</v>
      </c>
      <c r="F326">
        <v>4041</v>
      </c>
      <c r="G326" s="2" t="s">
        <v>83</v>
      </c>
      <c r="H326" s="2" t="s">
        <v>51</v>
      </c>
      <c r="I326" s="2" t="s">
        <v>73</v>
      </c>
      <c r="J326" s="2" t="s">
        <v>49</v>
      </c>
      <c r="K326" s="2" t="s">
        <v>73</v>
      </c>
      <c r="L326">
        <v>319.33</v>
      </c>
      <c r="M326">
        <v>1</v>
      </c>
      <c r="N326">
        <v>9.24</v>
      </c>
      <c r="O326">
        <v>6100231</v>
      </c>
      <c r="P326" s="2" t="s">
        <v>50</v>
      </c>
      <c r="Q326" s="2" t="s">
        <v>51</v>
      </c>
      <c r="R326" s="2" t="s">
        <v>30</v>
      </c>
      <c r="S326">
        <v>7</v>
      </c>
      <c r="T326" s="1">
        <v>43183</v>
      </c>
      <c r="U326" s="1">
        <v>43188</v>
      </c>
      <c r="V326" s="2"/>
      <c r="W326" s="1">
        <f>fNotasFiscais[[#This Row],[Data da Coleta]]+fNotasFiscais[[#This Row],[Prazo Contratado]]</f>
        <v>43190</v>
      </c>
      <c r="X326" s="3">
        <f>IF(fNotasFiscais[[#This Row],[Data da Entrega]]&gt;fNotasFiscais[[#This Row],[Data Contratada]],0,1)</f>
        <v>1</v>
      </c>
      <c r="Y326" s="3">
        <f>IF(fNotasFiscais[[#This Row],[Ocorrência]]="",1,0)</f>
        <v>1</v>
      </c>
      <c r="Z326" s="2">
        <f>fNotasFiscais[[#This Row],[On Time]]*fNotasFiscais[[#This Row],[In Full]]</f>
        <v>1</v>
      </c>
      <c r="AA326">
        <f>IF(fNotasFiscais[[#This Row],[Nota Fiscal]]&lt;&gt;"",1,0)</f>
        <v>1</v>
      </c>
    </row>
    <row r="327" spans="1:27" x14ac:dyDescent="0.25">
      <c r="A327" s="1">
        <v>43182</v>
      </c>
      <c r="B327">
        <v>10736</v>
      </c>
      <c r="C327" s="2" t="s">
        <v>52</v>
      </c>
      <c r="D327" s="2" t="s">
        <v>53</v>
      </c>
      <c r="E327" s="2" t="s">
        <v>33</v>
      </c>
      <c r="F327">
        <v>4041</v>
      </c>
      <c r="G327" s="2" t="s">
        <v>83</v>
      </c>
      <c r="H327" s="2" t="s">
        <v>51</v>
      </c>
      <c r="I327" s="2" t="s">
        <v>73</v>
      </c>
      <c r="J327" s="2" t="s">
        <v>49</v>
      </c>
      <c r="K327" s="2" t="s">
        <v>73</v>
      </c>
      <c r="L327">
        <v>358.49</v>
      </c>
      <c r="M327">
        <v>1</v>
      </c>
      <c r="N327">
        <v>1.375</v>
      </c>
      <c r="O327">
        <v>6100231</v>
      </c>
      <c r="P327" s="2" t="s">
        <v>50</v>
      </c>
      <c r="Q327" s="2" t="s">
        <v>51</v>
      </c>
      <c r="R327" s="2" t="s">
        <v>30</v>
      </c>
      <c r="S327">
        <v>6</v>
      </c>
      <c r="T327" s="1">
        <v>43183</v>
      </c>
      <c r="U327" s="1">
        <v>43187</v>
      </c>
      <c r="V327" s="2"/>
      <c r="W327" s="1">
        <f>fNotasFiscais[[#This Row],[Data da Coleta]]+fNotasFiscais[[#This Row],[Prazo Contratado]]</f>
        <v>43189</v>
      </c>
      <c r="X327" s="3">
        <f>IF(fNotasFiscais[[#This Row],[Data da Entrega]]&gt;fNotasFiscais[[#This Row],[Data Contratada]],0,1)</f>
        <v>1</v>
      </c>
      <c r="Y327" s="3">
        <f>IF(fNotasFiscais[[#This Row],[Ocorrência]]="",1,0)</f>
        <v>1</v>
      </c>
      <c r="Z327" s="2">
        <f>fNotasFiscais[[#This Row],[On Time]]*fNotasFiscais[[#This Row],[In Full]]</f>
        <v>1</v>
      </c>
      <c r="AA327">
        <f>IF(fNotasFiscais[[#This Row],[Nota Fiscal]]&lt;&gt;"",1,0)</f>
        <v>1</v>
      </c>
    </row>
    <row r="328" spans="1:27" x14ac:dyDescent="0.25">
      <c r="A328" s="1">
        <v>43182</v>
      </c>
      <c r="B328">
        <v>10737</v>
      </c>
      <c r="C328" s="2" t="s">
        <v>54</v>
      </c>
      <c r="D328" s="2" t="s">
        <v>55</v>
      </c>
      <c r="E328" s="2" t="s">
        <v>56</v>
      </c>
      <c r="F328">
        <v>4028</v>
      </c>
      <c r="G328" s="2" t="s">
        <v>95</v>
      </c>
      <c r="H328" s="2" t="s">
        <v>26</v>
      </c>
      <c r="I328" s="2" t="s">
        <v>27</v>
      </c>
      <c r="J328" s="2" t="s">
        <v>28</v>
      </c>
      <c r="K328" s="2" t="s">
        <v>27</v>
      </c>
      <c r="L328">
        <v>650.22</v>
      </c>
      <c r="M328">
        <v>2</v>
      </c>
      <c r="N328">
        <v>26.84</v>
      </c>
      <c r="O328">
        <v>6500948</v>
      </c>
      <c r="P328" s="2" t="s">
        <v>29</v>
      </c>
      <c r="Q328" s="2" t="s">
        <v>23</v>
      </c>
      <c r="R328" s="2" t="s">
        <v>62</v>
      </c>
      <c r="S328">
        <v>11</v>
      </c>
      <c r="T328" s="1">
        <v>43183</v>
      </c>
      <c r="U328" s="1">
        <v>43186</v>
      </c>
      <c r="V328" s="2"/>
      <c r="W328" s="1">
        <f>fNotasFiscais[[#This Row],[Data da Coleta]]+fNotasFiscais[[#This Row],[Prazo Contratado]]</f>
        <v>43194</v>
      </c>
      <c r="X328" s="3">
        <f>IF(fNotasFiscais[[#This Row],[Data da Entrega]]&gt;fNotasFiscais[[#This Row],[Data Contratada]],0,1)</f>
        <v>1</v>
      </c>
      <c r="Y328" s="3">
        <f>IF(fNotasFiscais[[#This Row],[Ocorrência]]="",1,0)</f>
        <v>1</v>
      </c>
      <c r="Z328" s="2">
        <f>fNotasFiscais[[#This Row],[On Time]]*fNotasFiscais[[#This Row],[In Full]]</f>
        <v>1</v>
      </c>
      <c r="AA328">
        <f>IF(fNotasFiscais[[#This Row],[Nota Fiscal]]&lt;&gt;"",1,0)</f>
        <v>1</v>
      </c>
    </row>
    <row r="329" spans="1:27" x14ac:dyDescent="0.25">
      <c r="A329" s="1">
        <v>43183</v>
      </c>
      <c r="B329">
        <v>10738</v>
      </c>
      <c r="C329" s="2" t="s">
        <v>54</v>
      </c>
      <c r="D329" s="2" t="s">
        <v>55</v>
      </c>
      <c r="E329" s="2" t="s">
        <v>56</v>
      </c>
      <c r="F329">
        <v>4073</v>
      </c>
      <c r="G329" s="2" t="s">
        <v>142</v>
      </c>
      <c r="H329" s="2" t="s">
        <v>141</v>
      </c>
      <c r="I329" s="2" t="s">
        <v>33</v>
      </c>
      <c r="J329" s="2" t="s">
        <v>60</v>
      </c>
      <c r="K329" s="2" t="s">
        <v>33</v>
      </c>
      <c r="L329">
        <v>457.05</v>
      </c>
      <c r="M329">
        <v>1</v>
      </c>
      <c r="N329">
        <v>1.101</v>
      </c>
      <c r="O329">
        <v>6400835</v>
      </c>
      <c r="P329" s="2" t="s">
        <v>130</v>
      </c>
      <c r="Q329" s="2" t="s">
        <v>131</v>
      </c>
      <c r="R329" s="2" t="s">
        <v>30</v>
      </c>
      <c r="S329">
        <v>4</v>
      </c>
      <c r="T329" s="1">
        <v>43183</v>
      </c>
      <c r="U329" s="1">
        <v>43190</v>
      </c>
      <c r="V329" s="2"/>
      <c r="W329" s="1">
        <f>fNotasFiscais[[#This Row],[Data da Coleta]]+fNotasFiscais[[#This Row],[Prazo Contratado]]</f>
        <v>43187</v>
      </c>
      <c r="X329" s="3">
        <f>IF(fNotasFiscais[[#This Row],[Data da Entrega]]&gt;fNotasFiscais[[#This Row],[Data Contratada]],0,1)</f>
        <v>0</v>
      </c>
      <c r="Y329" s="3">
        <f>IF(fNotasFiscais[[#This Row],[Ocorrência]]="",1,0)</f>
        <v>1</v>
      </c>
      <c r="Z329" s="2">
        <f>fNotasFiscais[[#This Row],[On Time]]*fNotasFiscais[[#This Row],[In Full]]</f>
        <v>0</v>
      </c>
      <c r="AA329">
        <f>IF(fNotasFiscais[[#This Row],[Nota Fiscal]]&lt;&gt;"",1,0)</f>
        <v>1</v>
      </c>
    </row>
    <row r="330" spans="1:27" x14ac:dyDescent="0.25">
      <c r="A330" s="1">
        <v>43183</v>
      </c>
      <c r="B330">
        <v>10739</v>
      </c>
      <c r="C330" s="2" t="s">
        <v>40</v>
      </c>
      <c r="D330" s="2" t="s">
        <v>41</v>
      </c>
      <c r="E330" s="2" t="s">
        <v>33</v>
      </c>
      <c r="F330">
        <v>4055</v>
      </c>
      <c r="G330" s="2" t="s">
        <v>120</v>
      </c>
      <c r="H330" s="2" t="s">
        <v>47</v>
      </c>
      <c r="I330" s="2" t="s">
        <v>48</v>
      </c>
      <c r="J330" s="2" t="s">
        <v>49</v>
      </c>
      <c r="K330" s="2" t="s">
        <v>48</v>
      </c>
      <c r="L330">
        <v>1978.13</v>
      </c>
      <c r="M330">
        <v>1</v>
      </c>
      <c r="N330">
        <v>22</v>
      </c>
      <c r="O330">
        <v>6100231</v>
      </c>
      <c r="P330" s="2" t="s">
        <v>50</v>
      </c>
      <c r="Q330" s="2" t="s">
        <v>51</v>
      </c>
      <c r="R330" s="2" t="s">
        <v>30</v>
      </c>
      <c r="S330">
        <v>5</v>
      </c>
      <c r="T330" s="1">
        <v>43183</v>
      </c>
      <c r="U330" s="1">
        <v>43193</v>
      </c>
      <c r="V330" s="2"/>
      <c r="W330" s="1">
        <f>fNotasFiscais[[#This Row],[Data da Coleta]]+fNotasFiscais[[#This Row],[Prazo Contratado]]</f>
        <v>43188</v>
      </c>
      <c r="X330" s="3">
        <f>IF(fNotasFiscais[[#This Row],[Data da Entrega]]&gt;fNotasFiscais[[#This Row],[Data Contratada]],0,1)</f>
        <v>0</v>
      </c>
      <c r="Y330" s="3">
        <f>IF(fNotasFiscais[[#This Row],[Ocorrência]]="",1,0)</f>
        <v>1</v>
      </c>
      <c r="Z330" s="2">
        <f>fNotasFiscais[[#This Row],[On Time]]*fNotasFiscais[[#This Row],[In Full]]</f>
        <v>0</v>
      </c>
      <c r="AA330">
        <f>IF(fNotasFiscais[[#This Row],[Nota Fiscal]]&lt;&gt;"",1,0)</f>
        <v>1</v>
      </c>
    </row>
    <row r="331" spans="1:27" x14ac:dyDescent="0.25">
      <c r="A331" s="1">
        <v>43183</v>
      </c>
      <c r="B331">
        <v>10740</v>
      </c>
      <c r="C331" s="2" t="s">
        <v>22</v>
      </c>
      <c r="D331" s="2" t="s">
        <v>23</v>
      </c>
      <c r="E331" s="2" t="s">
        <v>24</v>
      </c>
      <c r="F331">
        <v>4073</v>
      </c>
      <c r="G331" s="2" t="s">
        <v>142</v>
      </c>
      <c r="H331" s="2" t="s">
        <v>141</v>
      </c>
      <c r="I331" s="2" t="s">
        <v>33</v>
      </c>
      <c r="J331" s="2" t="s">
        <v>60</v>
      </c>
      <c r="K331" s="2" t="s">
        <v>33</v>
      </c>
      <c r="L331">
        <v>2215.85</v>
      </c>
      <c r="M331">
        <v>2</v>
      </c>
      <c r="N331">
        <v>23.675999999999998</v>
      </c>
      <c r="O331">
        <v>6400835</v>
      </c>
      <c r="P331" s="2" t="s">
        <v>130</v>
      </c>
      <c r="Q331" s="2" t="s">
        <v>131</v>
      </c>
      <c r="R331" s="2" t="s">
        <v>30</v>
      </c>
      <c r="S331">
        <v>4</v>
      </c>
      <c r="T331" s="1">
        <v>43183</v>
      </c>
      <c r="U331" s="1">
        <v>43186</v>
      </c>
      <c r="V331" s="2"/>
      <c r="W331" s="1">
        <f>fNotasFiscais[[#This Row],[Data da Coleta]]+fNotasFiscais[[#This Row],[Prazo Contratado]]</f>
        <v>43187</v>
      </c>
      <c r="X331" s="3">
        <f>IF(fNotasFiscais[[#This Row],[Data da Entrega]]&gt;fNotasFiscais[[#This Row],[Data Contratada]],0,1)</f>
        <v>1</v>
      </c>
      <c r="Y331" s="3">
        <f>IF(fNotasFiscais[[#This Row],[Ocorrência]]="",1,0)</f>
        <v>1</v>
      </c>
      <c r="Z331" s="2">
        <f>fNotasFiscais[[#This Row],[On Time]]*fNotasFiscais[[#This Row],[In Full]]</f>
        <v>1</v>
      </c>
      <c r="AA331">
        <f>IF(fNotasFiscais[[#This Row],[Nota Fiscal]]&lt;&gt;"",1,0)</f>
        <v>1</v>
      </c>
    </row>
    <row r="332" spans="1:27" x14ac:dyDescent="0.25">
      <c r="A332" s="1">
        <v>43183</v>
      </c>
      <c r="B332">
        <v>10741</v>
      </c>
      <c r="C332" s="2" t="s">
        <v>22</v>
      </c>
      <c r="D332" s="2" t="s">
        <v>23</v>
      </c>
      <c r="E332" s="2" t="s">
        <v>24</v>
      </c>
      <c r="F332">
        <v>4041</v>
      </c>
      <c r="G332" s="2" t="s">
        <v>83</v>
      </c>
      <c r="H332" s="2" t="s">
        <v>51</v>
      </c>
      <c r="I332" s="2" t="s">
        <v>73</v>
      </c>
      <c r="J332" s="2" t="s">
        <v>49</v>
      </c>
      <c r="K332" s="2" t="s">
        <v>73</v>
      </c>
      <c r="L332">
        <v>106.33</v>
      </c>
      <c r="M332">
        <v>1</v>
      </c>
      <c r="N332">
        <v>6.1189999999999998</v>
      </c>
      <c r="O332">
        <v>6100231</v>
      </c>
      <c r="P332" s="2" t="s">
        <v>50</v>
      </c>
      <c r="Q332" s="2" t="s">
        <v>51</v>
      </c>
      <c r="R332" s="2" t="s">
        <v>30</v>
      </c>
      <c r="S332">
        <v>7</v>
      </c>
      <c r="T332" s="1">
        <v>43183</v>
      </c>
      <c r="U332" s="1">
        <v>43185</v>
      </c>
      <c r="V332" s="2"/>
      <c r="W332" s="1">
        <f>fNotasFiscais[[#This Row],[Data da Coleta]]+fNotasFiscais[[#This Row],[Prazo Contratado]]</f>
        <v>43190</v>
      </c>
      <c r="X332" s="3">
        <f>IF(fNotasFiscais[[#This Row],[Data da Entrega]]&gt;fNotasFiscais[[#This Row],[Data Contratada]],0,1)</f>
        <v>1</v>
      </c>
      <c r="Y332" s="3">
        <f>IF(fNotasFiscais[[#This Row],[Ocorrência]]="",1,0)</f>
        <v>1</v>
      </c>
      <c r="Z332" s="2">
        <f>fNotasFiscais[[#This Row],[On Time]]*fNotasFiscais[[#This Row],[In Full]]</f>
        <v>1</v>
      </c>
      <c r="AA332">
        <f>IF(fNotasFiscais[[#This Row],[Nota Fiscal]]&lt;&gt;"",1,0)</f>
        <v>1</v>
      </c>
    </row>
    <row r="333" spans="1:27" x14ac:dyDescent="0.25">
      <c r="A333" s="1">
        <v>43183</v>
      </c>
      <c r="B333">
        <v>10742</v>
      </c>
      <c r="C333" s="2" t="s">
        <v>31</v>
      </c>
      <c r="D333" s="2" t="s">
        <v>32</v>
      </c>
      <c r="E333" s="2" t="s">
        <v>33</v>
      </c>
      <c r="F333">
        <v>4041</v>
      </c>
      <c r="G333" s="2" t="s">
        <v>83</v>
      </c>
      <c r="H333" s="2" t="s">
        <v>51</v>
      </c>
      <c r="I333" s="2" t="s">
        <v>73</v>
      </c>
      <c r="J333" s="2" t="s">
        <v>49</v>
      </c>
      <c r="K333" s="2" t="s">
        <v>73</v>
      </c>
      <c r="L333">
        <v>282.8</v>
      </c>
      <c r="M333">
        <v>1</v>
      </c>
      <c r="N333">
        <v>2.9350000000000001</v>
      </c>
      <c r="O333">
        <v>6100231</v>
      </c>
      <c r="P333" s="2" t="s">
        <v>50</v>
      </c>
      <c r="Q333" s="2" t="s">
        <v>51</v>
      </c>
      <c r="R333" s="2" t="s">
        <v>30</v>
      </c>
      <c r="S333">
        <v>12</v>
      </c>
      <c r="T333" s="1">
        <v>43183</v>
      </c>
      <c r="U333" s="1">
        <v>43188</v>
      </c>
      <c r="V333" s="2"/>
      <c r="W333" s="1">
        <f>fNotasFiscais[[#This Row],[Data da Coleta]]+fNotasFiscais[[#This Row],[Prazo Contratado]]</f>
        <v>43195</v>
      </c>
      <c r="X333" s="3">
        <f>IF(fNotasFiscais[[#This Row],[Data da Entrega]]&gt;fNotasFiscais[[#This Row],[Data Contratada]],0,1)</f>
        <v>1</v>
      </c>
      <c r="Y333" s="3">
        <f>IF(fNotasFiscais[[#This Row],[Ocorrência]]="",1,0)</f>
        <v>1</v>
      </c>
      <c r="Z333" s="2">
        <f>fNotasFiscais[[#This Row],[On Time]]*fNotasFiscais[[#This Row],[In Full]]</f>
        <v>1</v>
      </c>
      <c r="AA333">
        <f>IF(fNotasFiscais[[#This Row],[Nota Fiscal]]&lt;&gt;"",1,0)</f>
        <v>1</v>
      </c>
    </row>
    <row r="334" spans="1:27" x14ac:dyDescent="0.25">
      <c r="A334" s="1">
        <v>43184</v>
      </c>
      <c r="B334">
        <v>10743</v>
      </c>
      <c r="C334" s="2" t="s">
        <v>43</v>
      </c>
      <c r="D334" s="2" t="s">
        <v>44</v>
      </c>
      <c r="E334" s="2" t="s">
        <v>45</v>
      </c>
      <c r="F334">
        <v>4062</v>
      </c>
      <c r="G334" s="2" t="s">
        <v>96</v>
      </c>
      <c r="H334" s="2" t="s">
        <v>97</v>
      </c>
      <c r="I334" s="2" t="s">
        <v>48</v>
      </c>
      <c r="J334" s="2" t="s">
        <v>49</v>
      </c>
      <c r="K334" s="2" t="s">
        <v>48</v>
      </c>
      <c r="L334">
        <v>663.6</v>
      </c>
      <c r="M334">
        <v>1</v>
      </c>
      <c r="N334">
        <v>1.65</v>
      </c>
      <c r="O334">
        <v>6100231</v>
      </c>
      <c r="P334" s="2" t="s">
        <v>50</v>
      </c>
      <c r="Q334" s="2" t="s">
        <v>51</v>
      </c>
      <c r="R334" s="2" t="s">
        <v>30</v>
      </c>
      <c r="S334">
        <v>6</v>
      </c>
      <c r="T334" s="1">
        <v>43184</v>
      </c>
      <c r="U334" s="1">
        <v>43190</v>
      </c>
      <c r="V334" s="2"/>
      <c r="W334" s="1">
        <f>fNotasFiscais[[#This Row],[Data da Coleta]]+fNotasFiscais[[#This Row],[Prazo Contratado]]</f>
        <v>43190</v>
      </c>
      <c r="X334" s="3">
        <f>IF(fNotasFiscais[[#This Row],[Data da Entrega]]&gt;fNotasFiscais[[#This Row],[Data Contratada]],0,1)</f>
        <v>1</v>
      </c>
      <c r="Y334" s="3">
        <f>IF(fNotasFiscais[[#This Row],[Ocorrência]]="",1,0)</f>
        <v>1</v>
      </c>
      <c r="Z334" s="2">
        <f>fNotasFiscais[[#This Row],[On Time]]*fNotasFiscais[[#This Row],[In Full]]</f>
        <v>1</v>
      </c>
      <c r="AA334">
        <f>IF(fNotasFiscais[[#This Row],[Nota Fiscal]]&lt;&gt;"",1,0)</f>
        <v>1</v>
      </c>
    </row>
    <row r="335" spans="1:27" x14ac:dyDescent="0.25">
      <c r="A335" s="1">
        <v>43184</v>
      </c>
      <c r="B335">
        <v>10744</v>
      </c>
      <c r="C335" s="2" t="s">
        <v>54</v>
      </c>
      <c r="D335" s="2" t="s">
        <v>55</v>
      </c>
      <c r="E335" s="2" t="s">
        <v>56</v>
      </c>
      <c r="F335">
        <v>4062</v>
      </c>
      <c r="G335" s="2" t="s">
        <v>96</v>
      </c>
      <c r="H335" s="2" t="s">
        <v>97</v>
      </c>
      <c r="I335" s="2" t="s">
        <v>48</v>
      </c>
      <c r="J335" s="2" t="s">
        <v>49</v>
      </c>
      <c r="K335" s="2" t="s">
        <v>48</v>
      </c>
      <c r="L335">
        <v>1159.69</v>
      </c>
      <c r="M335">
        <v>1</v>
      </c>
      <c r="N335">
        <v>2.202</v>
      </c>
      <c r="O335">
        <v>6100231</v>
      </c>
      <c r="P335" s="2" t="s">
        <v>50</v>
      </c>
      <c r="Q335" s="2" t="s">
        <v>51</v>
      </c>
      <c r="R335" s="2" t="s">
        <v>30</v>
      </c>
      <c r="S335">
        <v>4</v>
      </c>
      <c r="T335" s="1">
        <v>43184</v>
      </c>
      <c r="U335" s="1">
        <v>43185</v>
      </c>
      <c r="V335" s="2"/>
      <c r="W335" s="1">
        <f>fNotasFiscais[[#This Row],[Data da Coleta]]+fNotasFiscais[[#This Row],[Prazo Contratado]]</f>
        <v>43188</v>
      </c>
      <c r="X335" s="3">
        <f>IF(fNotasFiscais[[#This Row],[Data da Entrega]]&gt;fNotasFiscais[[#This Row],[Data Contratada]],0,1)</f>
        <v>1</v>
      </c>
      <c r="Y335" s="3">
        <f>IF(fNotasFiscais[[#This Row],[Ocorrência]]="",1,0)</f>
        <v>1</v>
      </c>
      <c r="Z335" s="2">
        <f>fNotasFiscais[[#This Row],[On Time]]*fNotasFiscais[[#This Row],[In Full]]</f>
        <v>1</v>
      </c>
      <c r="AA335">
        <f>IF(fNotasFiscais[[#This Row],[Nota Fiscal]]&lt;&gt;"",1,0)</f>
        <v>1</v>
      </c>
    </row>
    <row r="336" spans="1:27" x14ac:dyDescent="0.25">
      <c r="A336" s="1">
        <v>43187</v>
      </c>
      <c r="B336">
        <v>10745</v>
      </c>
      <c r="C336" s="2" t="s">
        <v>40</v>
      </c>
      <c r="D336" s="2" t="s">
        <v>41</v>
      </c>
      <c r="E336" s="2" t="s">
        <v>33</v>
      </c>
      <c r="F336">
        <v>4018</v>
      </c>
      <c r="G336" s="2" t="s">
        <v>77</v>
      </c>
      <c r="H336" s="2" t="s">
        <v>78</v>
      </c>
      <c r="I336" s="2" t="s">
        <v>39</v>
      </c>
      <c r="J336" s="2" t="s">
        <v>28</v>
      </c>
      <c r="K336" s="2" t="s">
        <v>39</v>
      </c>
      <c r="L336">
        <v>218.85</v>
      </c>
      <c r="M336">
        <v>1</v>
      </c>
      <c r="N336">
        <v>0.14099999999999999</v>
      </c>
      <c r="O336">
        <v>6500948</v>
      </c>
      <c r="P336" s="2" t="s">
        <v>29</v>
      </c>
      <c r="Q336" s="2" t="s">
        <v>23</v>
      </c>
      <c r="R336" s="2" t="s">
        <v>30</v>
      </c>
      <c r="S336">
        <v>11</v>
      </c>
      <c r="T336" s="1">
        <v>43187</v>
      </c>
      <c r="U336" s="1">
        <v>43194</v>
      </c>
      <c r="V336" s="2"/>
      <c r="W336" s="1">
        <f>fNotasFiscais[[#This Row],[Data da Coleta]]+fNotasFiscais[[#This Row],[Prazo Contratado]]</f>
        <v>43198</v>
      </c>
      <c r="X336" s="3">
        <f>IF(fNotasFiscais[[#This Row],[Data da Entrega]]&gt;fNotasFiscais[[#This Row],[Data Contratada]],0,1)</f>
        <v>1</v>
      </c>
      <c r="Y336" s="3">
        <f>IF(fNotasFiscais[[#This Row],[Ocorrência]]="",1,0)</f>
        <v>1</v>
      </c>
      <c r="Z336" s="2">
        <f>fNotasFiscais[[#This Row],[On Time]]*fNotasFiscais[[#This Row],[In Full]]</f>
        <v>1</v>
      </c>
      <c r="AA336">
        <f>IF(fNotasFiscais[[#This Row],[Nota Fiscal]]&lt;&gt;"",1,0)</f>
        <v>1</v>
      </c>
    </row>
    <row r="337" spans="1:27" x14ac:dyDescent="0.25">
      <c r="A337" s="1">
        <v>43188</v>
      </c>
      <c r="B337">
        <v>10746</v>
      </c>
      <c r="C337" s="2" t="s">
        <v>52</v>
      </c>
      <c r="D337" s="2" t="s">
        <v>53</v>
      </c>
      <c r="E337" s="2" t="s">
        <v>33</v>
      </c>
      <c r="F337">
        <v>4074</v>
      </c>
      <c r="G337" s="2" t="s">
        <v>143</v>
      </c>
      <c r="H337" s="2" t="s">
        <v>144</v>
      </c>
      <c r="I337" s="2" t="s">
        <v>33</v>
      </c>
      <c r="J337" s="2" t="s">
        <v>60</v>
      </c>
      <c r="K337" s="2" t="s">
        <v>33</v>
      </c>
      <c r="L337">
        <v>663.6</v>
      </c>
      <c r="M337">
        <v>1</v>
      </c>
      <c r="N337">
        <v>1.65</v>
      </c>
      <c r="O337">
        <v>6400835</v>
      </c>
      <c r="P337" s="2" t="s">
        <v>130</v>
      </c>
      <c r="Q337" s="2" t="s">
        <v>131</v>
      </c>
      <c r="R337" s="2" t="s">
        <v>30</v>
      </c>
      <c r="S337">
        <v>11</v>
      </c>
      <c r="T337" s="1">
        <v>43188</v>
      </c>
      <c r="U337" s="1">
        <v>43195</v>
      </c>
      <c r="V337" s="2"/>
      <c r="W337" s="1">
        <f>fNotasFiscais[[#This Row],[Data da Coleta]]+fNotasFiscais[[#This Row],[Prazo Contratado]]</f>
        <v>43199</v>
      </c>
      <c r="X337" s="3">
        <f>IF(fNotasFiscais[[#This Row],[Data da Entrega]]&gt;fNotasFiscais[[#This Row],[Data Contratada]],0,1)</f>
        <v>1</v>
      </c>
      <c r="Y337" s="3">
        <f>IF(fNotasFiscais[[#This Row],[Ocorrência]]="",1,0)</f>
        <v>1</v>
      </c>
      <c r="Z337" s="2">
        <f>fNotasFiscais[[#This Row],[On Time]]*fNotasFiscais[[#This Row],[In Full]]</f>
        <v>1</v>
      </c>
      <c r="AA337">
        <f>IF(fNotasFiscais[[#This Row],[Nota Fiscal]]&lt;&gt;"",1,0)</f>
        <v>1</v>
      </c>
    </row>
    <row r="338" spans="1:27" x14ac:dyDescent="0.25">
      <c r="A338" s="1">
        <v>43189</v>
      </c>
      <c r="B338">
        <v>10747</v>
      </c>
      <c r="C338" s="2" t="s">
        <v>34</v>
      </c>
      <c r="D338" s="2" t="s">
        <v>35</v>
      </c>
      <c r="E338" s="2" t="s">
        <v>36</v>
      </c>
      <c r="F338">
        <v>4068</v>
      </c>
      <c r="G338" s="2" t="s">
        <v>63</v>
      </c>
      <c r="H338" s="2" t="s">
        <v>64</v>
      </c>
      <c r="I338" s="2" t="s">
        <v>65</v>
      </c>
      <c r="J338" s="2" t="s">
        <v>49</v>
      </c>
      <c r="K338" s="2" t="s">
        <v>65</v>
      </c>
      <c r="L338">
        <v>851.29</v>
      </c>
      <c r="M338">
        <v>1</v>
      </c>
      <c r="N338">
        <v>5.28</v>
      </c>
      <c r="O338">
        <v>6100231</v>
      </c>
      <c r="P338" s="2" t="s">
        <v>50</v>
      </c>
      <c r="Q338" s="2" t="s">
        <v>51</v>
      </c>
      <c r="R338" s="2" t="s">
        <v>30</v>
      </c>
      <c r="S338">
        <v>1</v>
      </c>
      <c r="T338" s="1">
        <v>43189</v>
      </c>
      <c r="U338" s="1">
        <v>43197</v>
      </c>
      <c r="V338" s="2"/>
      <c r="W338" s="1">
        <f>fNotasFiscais[[#This Row],[Data da Coleta]]+fNotasFiscais[[#This Row],[Prazo Contratado]]</f>
        <v>43190</v>
      </c>
      <c r="X338" s="3">
        <f>IF(fNotasFiscais[[#This Row],[Data da Entrega]]&gt;fNotasFiscais[[#This Row],[Data Contratada]],0,1)</f>
        <v>0</v>
      </c>
      <c r="Y338" s="3">
        <f>IF(fNotasFiscais[[#This Row],[Ocorrência]]="",1,0)</f>
        <v>1</v>
      </c>
      <c r="Z338" s="2">
        <f>fNotasFiscais[[#This Row],[On Time]]*fNotasFiscais[[#This Row],[In Full]]</f>
        <v>0</v>
      </c>
      <c r="AA338">
        <f>IF(fNotasFiscais[[#This Row],[Nota Fiscal]]&lt;&gt;"",1,0)</f>
        <v>1</v>
      </c>
    </row>
    <row r="339" spans="1:27" x14ac:dyDescent="0.25">
      <c r="A339" s="1">
        <v>43189</v>
      </c>
      <c r="B339">
        <v>10748</v>
      </c>
      <c r="C339" s="2" t="s">
        <v>31</v>
      </c>
      <c r="D339" s="2" t="s">
        <v>32</v>
      </c>
      <c r="E339" s="2" t="s">
        <v>33</v>
      </c>
      <c r="F339">
        <v>4022</v>
      </c>
      <c r="G339" s="2" t="s">
        <v>86</v>
      </c>
      <c r="H339" s="2" t="s">
        <v>87</v>
      </c>
      <c r="I339" s="2" t="s">
        <v>27</v>
      </c>
      <c r="J339" s="2" t="s">
        <v>28</v>
      </c>
      <c r="K339" s="2" t="s">
        <v>27</v>
      </c>
      <c r="L339">
        <v>443.13</v>
      </c>
      <c r="M339">
        <v>1</v>
      </c>
      <c r="N339">
        <v>0.44</v>
      </c>
      <c r="O339">
        <v>6500948</v>
      </c>
      <c r="P339" s="2" t="s">
        <v>29</v>
      </c>
      <c r="Q339" s="2" t="s">
        <v>23</v>
      </c>
      <c r="R339" s="2" t="s">
        <v>30</v>
      </c>
      <c r="S339">
        <v>11</v>
      </c>
      <c r="T339" s="1">
        <v>43189</v>
      </c>
      <c r="U339" s="1">
        <v>43199</v>
      </c>
      <c r="V339" s="2"/>
      <c r="W339" s="1">
        <f>fNotasFiscais[[#This Row],[Data da Coleta]]+fNotasFiscais[[#This Row],[Prazo Contratado]]</f>
        <v>43200</v>
      </c>
      <c r="X339" s="3">
        <f>IF(fNotasFiscais[[#This Row],[Data da Entrega]]&gt;fNotasFiscais[[#This Row],[Data Contratada]],0,1)</f>
        <v>1</v>
      </c>
      <c r="Y339" s="3">
        <f>IF(fNotasFiscais[[#This Row],[Ocorrência]]="",1,0)</f>
        <v>1</v>
      </c>
      <c r="Z339" s="2">
        <f>fNotasFiscais[[#This Row],[On Time]]*fNotasFiscais[[#This Row],[In Full]]</f>
        <v>1</v>
      </c>
      <c r="AA339">
        <f>IF(fNotasFiscais[[#This Row],[Nota Fiscal]]&lt;&gt;"",1,0)</f>
        <v>1</v>
      </c>
    </row>
    <row r="340" spans="1:27" x14ac:dyDescent="0.25">
      <c r="A340" s="1">
        <v>43190</v>
      </c>
      <c r="B340">
        <v>10749</v>
      </c>
      <c r="C340" s="2" t="s">
        <v>54</v>
      </c>
      <c r="D340" s="2" t="s">
        <v>55</v>
      </c>
      <c r="E340" s="2" t="s">
        <v>56</v>
      </c>
      <c r="F340">
        <v>4075</v>
      </c>
      <c r="G340" s="2" t="s">
        <v>145</v>
      </c>
      <c r="H340" s="2" t="s">
        <v>129</v>
      </c>
      <c r="I340" s="2" t="s">
        <v>33</v>
      </c>
      <c r="J340" s="2" t="s">
        <v>60</v>
      </c>
      <c r="K340" s="2" t="s">
        <v>33</v>
      </c>
      <c r="L340">
        <v>780.13</v>
      </c>
      <c r="M340">
        <v>1</v>
      </c>
      <c r="N340">
        <v>1.101</v>
      </c>
      <c r="O340">
        <v>6400835</v>
      </c>
      <c r="P340" s="2" t="s">
        <v>130</v>
      </c>
      <c r="Q340" s="2" t="s">
        <v>131</v>
      </c>
      <c r="R340" s="2" t="s">
        <v>30</v>
      </c>
      <c r="S340">
        <v>4</v>
      </c>
      <c r="T340" s="1">
        <v>43190</v>
      </c>
      <c r="U340" s="1">
        <v>43195</v>
      </c>
      <c r="V340" s="2"/>
      <c r="W340" s="1">
        <f>fNotasFiscais[[#This Row],[Data da Coleta]]+fNotasFiscais[[#This Row],[Prazo Contratado]]</f>
        <v>43194</v>
      </c>
      <c r="X340" s="3">
        <f>IF(fNotasFiscais[[#This Row],[Data da Entrega]]&gt;fNotasFiscais[[#This Row],[Data Contratada]],0,1)</f>
        <v>0</v>
      </c>
      <c r="Y340" s="3">
        <f>IF(fNotasFiscais[[#This Row],[Ocorrência]]="",1,0)</f>
        <v>1</v>
      </c>
      <c r="Z340" s="2">
        <f>fNotasFiscais[[#This Row],[On Time]]*fNotasFiscais[[#This Row],[In Full]]</f>
        <v>0</v>
      </c>
      <c r="AA340">
        <f>IF(fNotasFiscais[[#This Row],[Nota Fiscal]]&lt;&gt;"",1,0)</f>
        <v>1</v>
      </c>
    </row>
    <row r="341" spans="1:27" x14ac:dyDescent="0.25">
      <c r="A341" s="1">
        <v>43190</v>
      </c>
      <c r="B341">
        <v>10750</v>
      </c>
      <c r="C341" s="2" t="s">
        <v>52</v>
      </c>
      <c r="D341" s="2" t="s">
        <v>53</v>
      </c>
      <c r="E341" s="2" t="s">
        <v>33</v>
      </c>
      <c r="F341">
        <v>4076</v>
      </c>
      <c r="G341" s="2" t="s">
        <v>146</v>
      </c>
      <c r="H341" s="2" t="s">
        <v>141</v>
      </c>
      <c r="I341" s="2" t="s">
        <v>33</v>
      </c>
      <c r="J341" s="2" t="s">
        <v>60</v>
      </c>
      <c r="K341" s="2" t="s">
        <v>33</v>
      </c>
      <c r="L341">
        <v>329.97</v>
      </c>
      <c r="M341">
        <v>1</v>
      </c>
      <c r="N341">
        <v>2.2000000000000002</v>
      </c>
      <c r="O341">
        <v>6400835</v>
      </c>
      <c r="P341" s="2" t="s">
        <v>130</v>
      </c>
      <c r="Q341" s="2" t="s">
        <v>131</v>
      </c>
      <c r="R341" s="2" t="s">
        <v>30</v>
      </c>
      <c r="S341">
        <v>2</v>
      </c>
      <c r="T341" s="1">
        <v>43190</v>
      </c>
      <c r="U341" s="1">
        <v>43197</v>
      </c>
      <c r="V341" s="2"/>
      <c r="W341" s="1">
        <f>fNotasFiscais[[#This Row],[Data da Coleta]]+fNotasFiscais[[#This Row],[Prazo Contratado]]</f>
        <v>43192</v>
      </c>
      <c r="X341" s="3">
        <f>IF(fNotasFiscais[[#This Row],[Data da Entrega]]&gt;fNotasFiscais[[#This Row],[Data Contratada]],0,1)</f>
        <v>0</v>
      </c>
      <c r="Y341" s="3">
        <f>IF(fNotasFiscais[[#This Row],[Ocorrência]]="",1,0)</f>
        <v>1</v>
      </c>
      <c r="Z341" s="2">
        <f>fNotasFiscais[[#This Row],[On Time]]*fNotasFiscais[[#This Row],[In Full]]</f>
        <v>0</v>
      </c>
      <c r="AA341">
        <f>IF(fNotasFiscais[[#This Row],[Nota Fiscal]]&lt;&gt;"",1,0)</f>
        <v>1</v>
      </c>
    </row>
    <row r="342" spans="1:27" x14ac:dyDescent="0.25">
      <c r="A342" s="1">
        <v>43190</v>
      </c>
      <c r="B342">
        <v>10751</v>
      </c>
      <c r="C342" s="2" t="s">
        <v>54</v>
      </c>
      <c r="D342" s="2" t="s">
        <v>55</v>
      </c>
      <c r="E342" s="2" t="s">
        <v>56</v>
      </c>
      <c r="F342">
        <v>4077</v>
      </c>
      <c r="G342" s="2" t="s">
        <v>147</v>
      </c>
      <c r="H342" s="2" t="s">
        <v>144</v>
      </c>
      <c r="I342" s="2" t="s">
        <v>33</v>
      </c>
      <c r="J342" s="2" t="s">
        <v>60</v>
      </c>
      <c r="K342" s="2" t="s">
        <v>33</v>
      </c>
      <c r="L342">
        <v>2978.16</v>
      </c>
      <c r="M342">
        <v>3</v>
      </c>
      <c r="N342">
        <v>45.54</v>
      </c>
      <c r="O342">
        <v>6400835</v>
      </c>
      <c r="P342" s="2" t="s">
        <v>130</v>
      </c>
      <c r="Q342" s="2" t="s">
        <v>131</v>
      </c>
      <c r="R342" s="2" t="s">
        <v>30</v>
      </c>
      <c r="S342">
        <v>1</v>
      </c>
      <c r="T342" s="1">
        <v>43190</v>
      </c>
      <c r="U342" s="1">
        <v>43194</v>
      </c>
      <c r="V342" s="2"/>
      <c r="W342" s="1">
        <f>fNotasFiscais[[#This Row],[Data da Coleta]]+fNotasFiscais[[#This Row],[Prazo Contratado]]</f>
        <v>43191</v>
      </c>
      <c r="X342" s="3">
        <f>IF(fNotasFiscais[[#This Row],[Data da Entrega]]&gt;fNotasFiscais[[#This Row],[Data Contratada]],0,1)</f>
        <v>0</v>
      </c>
      <c r="Y342" s="3">
        <f>IF(fNotasFiscais[[#This Row],[Ocorrência]]="",1,0)</f>
        <v>1</v>
      </c>
      <c r="Z342" s="2">
        <f>fNotasFiscais[[#This Row],[On Time]]*fNotasFiscais[[#This Row],[In Full]]</f>
        <v>0</v>
      </c>
      <c r="AA342">
        <f>IF(fNotasFiscais[[#This Row],[Nota Fiscal]]&lt;&gt;"",1,0)</f>
        <v>1</v>
      </c>
    </row>
    <row r="343" spans="1:27" x14ac:dyDescent="0.25">
      <c r="A343" s="1">
        <v>43190</v>
      </c>
      <c r="B343">
        <v>10752</v>
      </c>
      <c r="C343" s="2" t="s">
        <v>54</v>
      </c>
      <c r="D343" s="2" t="s">
        <v>55</v>
      </c>
      <c r="E343" s="2" t="s">
        <v>56</v>
      </c>
      <c r="F343">
        <v>4078</v>
      </c>
      <c r="G343" s="2" t="s">
        <v>148</v>
      </c>
      <c r="H343" s="2" t="s">
        <v>149</v>
      </c>
      <c r="I343" s="2" t="s">
        <v>33</v>
      </c>
      <c r="J343" s="2" t="s">
        <v>60</v>
      </c>
      <c r="K343" s="2" t="s">
        <v>33</v>
      </c>
      <c r="L343">
        <v>17901.61</v>
      </c>
      <c r="M343">
        <v>29</v>
      </c>
      <c r="N343">
        <v>104.39700000000001</v>
      </c>
      <c r="O343">
        <v>6400835</v>
      </c>
      <c r="P343" s="2" t="s">
        <v>130</v>
      </c>
      <c r="Q343" s="2" t="s">
        <v>131</v>
      </c>
      <c r="R343" s="2" t="s">
        <v>30</v>
      </c>
      <c r="S343">
        <v>8</v>
      </c>
      <c r="T343" s="1">
        <v>43190</v>
      </c>
      <c r="U343" s="1">
        <v>43192</v>
      </c>
      <c r="V343" s="2"/>
      <c r="W343" s="1">
        <f>fNotasFiscais[[#This Row],[Data da Coleta]]+fNotasFiscais[[#This Row],[Prazo Contratado]]</f>
        <v>43198</v>
      </c>
      <c r="X343" s="3">
        <f>IF(fNotasFiscais[[#This Row],[Data da Entrega]]&gt;fNotasFiscais[[#This Row],[Data Contratada]],0,1)</f>
        <v>1</v>
      </c>
      <c r="Y343" s="3">
        <f>IF(fNotasFiscais[[#This Row],[Ocorrência]]="",1,0)</f>
        <v>1</v>
      </c>
      <c r="Z343" s="2">
        <f>fNotasFiscais[[#This Row],[On Time]]*fNotasFiscais[[#This Row],[In Full]]</f>
        <v>1</v>
      </c>
      <c r="AA343">
        <f>IF(fNotasFiscais[[#This Row],[Nota Fiscal]]&lt;&gt;"",1,0)</f>
        <v>1</v>
      </c>
    </row>
    <row r="344" spans="1:27" x14ac:dyDescent="0.25">
      <c r="A344" s="1">
        <v>43190</v>
      </c>
      <c r="B344">
        <v>10753</v>
      </c>
      <c r="C344" s="2" t="s">
        <v>40</v>
      </c>
      <c r="D344" s="2" t="s">
        <v>41</v>
      </c>
      <c r="E344" s="2" t="s">
        <v>33</v>
      </c>
      <c r="F344">
        <v>4079</v>
      </c>
      <c r="G344" s="2" t="s">
        <v>150</v>
      </c>
      <c r="H344" s="2" t="s">
        <v>149</v>
      </c>
      <c r="I344" s="2" t="s">
        <v>33</v>
      </c>
      <c r="J344" s="2" t="s">
        <v>60</v>
      </c>
      <c r="K344" s="2" t="s">
        <v>33</v>
      </c>
      <c r="L344">
        <v>170.2</v>
      </c>
      <c r="M344">
        <v>1</v>
      </c>
      <c r="N344">
        <v>0.34699999999999998</v>
      </c>
      <c r="O344">
        <v>6400835</v>
      </c>
      <c r="P344" s="2" t="s">
        <v>130</v>
      </c>
      <c r="Q344" s="2" t="s">
        <v>131</v>
      </c>
      <c r="R344" s="2" t="s">
        <v>30</v>
      </c>
      <c r="S344">
        <v>4</v>
      </c>
      <c r="T344" s="1">
        <v>43190</v>
      </c>
      <c r="U344" s="1">
        <v>43191</v>
      </c>
      <c r="V344" s="2"/>
      <c r="W344" s="1">
        <f>fNotasFiscais[[#This Row],[Data da Coleta]]+fNotasFiscais[[#This Row],[Prazo Contratado]]</f>
        <v>43194</v>
      </c>
      <c r="X344" s="3">
        <f>IF(fNotasFiscais[[#This Row],[Data da Entrega]]&gt;fNotasFiscais[[#This Row],[Data Contratada]],0,1)</f>
        <v>1</v>
      </c>
      <c r="Y344" s="3">
        <f>IF(fNotasFiscais[[#This Row],[Ocorrência]]="",1,0)</f>
        <v>1</v>
      </c>
      <c r="Z344" s="2">
        <f>fNotasFiscais[[#This Row],[On Time]]*fNotasFiscais[[#This Row],[In Full]]</f>
        <v>1</v>
      </c>
      <c r="AA344">
        <f>IF(fNotasFiscais[[#This Row],[Nota Fiscal]]&lt;&gt;"",1,0)</f>
        <v>1</v>
      </c>
    </row>
    <row r="345" spans="1:27" x14ac:dyDescent="0.25">
      <c r="A345" s="1">
        <v>43190</v>
      </c>
      <c r="B345">
        <v>10754</v>
      </c>
      <c r="C345" s="2" t="s">
        <v>40</v>
      </c>
      <c r="D345" s="2" t="s">
        <v>41</v>
      </c>
      <c r="E345" s="2" t="s">
        <v>33</v>
      </c>
      <c r="F345">
        <v>4080</v>
      </c>
      <c r="G345" s="2" t="s">
        <v>151</v>
      </c>
      <c r="H345" s="2" t="s">
        <v>149</v>
      </c>
      <c r="I345" s="2" t="s">
        <v>33</v>
      </c>
      <c r="J345" s="2" t="s">
        <v>60</v>
      </c>
      <c r="K345" s="2" t="s">
        <v>33</v>
      </c>
      <c r="L345">
        <v>422.88</v>
      </c>
      <c r="M345">
        <v>1</v>
      </c>
      <c r="N345">
        <v>4.4409999999999998</v>
      </c>
      <c r="O345">
        <v>6400835</v>
      </c>
      <c r="P345" s="2" t="s">
        <v>130</v>
      </c>
      <c r="Q345" s="2" t="s">
        <v>131</v>
      </c>
      <c r="R345" s="2" t="s">
        <v>30</v>
      </c>
      <c r="S345">
        <v>5</v>
      </c>
      <c r="T345" s="1">
        <v>43190</v>
      </c>
      <c r="U345" s="1">
        <v>43192</v>
      </c>
      <c r="V345" s="2"/>
      <c r="W345" s="1">
        <f>fNotasFiscais[[#This Row],[Data da Coleta]]+fNotasFiscais[[#This Row],[Prazo Contratado]]</f>
        <v>43195</v>
      </c>
      <c r="X345" s="3">
        <f>IF(fNotasFiscais[[#This Row],[Data da Entrega]]&gt;fNotasFiscais[[#This Row],[Data Contratada]],0,1)</f>
        <v>1</v>
      </c>
      <c r="Y345" s="3">
        <f>IF(fNotasFiscais[[#This Row],[Ocorrência]]="",1,0)</f>
        <v>1</v>
      </c>
      <c r="Z345" s="2">
        <f>fNotasFiscais[[#This Row],[On Time]]*fNotasFiscais[[#This Row],[In Full]]</f>
        <v>1</v>
      </c>
      <c r="AA345">
        <f>IF(fNotasFiscais[[#This Row],[Nota Fiscal]]&lt;&gt;"",1,0)</f>
        <v>1</v>
      </c>
    </row>
    <row r="346" spans="1:27" x14ac:dyDescent="0.25">
      <c r="A346" s="1">
        <v>43190</v>
      </c>
      <c r="B346">
        <v>10755</v>
      </c>
      <c r="C346" s="2" t="s">
        <v>34</v>
      </c>
      <c r="D346" s="2" t="s">
        <v>35</v>
      </c>
      <c r="E346" s="2" t="s">
        <v>36</v>
      </c>
      <c r="F346">
        <v>4081</v>
      </c>
      <c r="G346" s="2" t="s">
        <v>152</v>
      </c>
      <c r="H346" s="2" t="s">
        <v>141</v>
      </c>
      <c r="I346" s="2" t="s">
        <v>33</v>
      </c>
      <c r="J346" s="2" t="s">
        <v>60</v>
      </c>
      <c r="K346" s="2" t="s">
        <v>33</v>
      </c>
      <c r="L346">
        <v>33.9</v>
      </c>
      <c r="M346">
        <v>1</v>
      </c>
      <c r="N346">
        <v>1.8220000000000001</v>
      </c>
      <c r="O346">
        <v>6400835</v>
      </c>
      <c r="P346" s="2" t="s">
        <v>130</v>
      </c>
      <c r="Q346" s="2" t="s">
        <v>131</v>
      </c>
      <c r="R346" s="2" t="s">
        <v>30</v>
      </c>
      <c r="S346">
        <v>5</v>
      </c>
      <c r="T346" s="1">
        <v>43190</v>
      </c>
      <c r="U346" s="1">
        <v>43196</v>
      </c>
      <c r="V346" s="2"/>
      <c r="W346" s="1">
        <f>fNotasFiscais[[#This Row],[Data da Coleta]]+fNotasFiscais[[#This Row],[Prazo Contratado]]</f>
        <v>43195</v>
      </c>
      <c r="X346" s="3">
        <f>IF(fNotasFiscais[[#This Row],[Data da Entrega]]&gt;fNotasFiscais[[#This Row],[Data Contratada]],0,1)</f>
        <v>0</v>
      </c>
      <c r="Y346" s="3">
        <f>IF(fNotasFiscais[[#This Row],[Ocorrência]]="",1,0)</f>
        <v>1</v>
      </c>
      <c r="Z346" s="2">
        <f>fNotasFiscais[[#This Row],[On Time]]*fNotasFiscais[[#This Row],[In Full]]</f>
        <v>0</v>
      </c>
      <c r="AA346">
        <f>IF(fNotasFiscais[[#This Row],[Nota Fiscal]]&lt;&gt;"",1,0)</f>
        <v>1</v>
      </c>
    </row>
    <row r="347" spans="1:27" x14ac:dyDescent="0.25">
      <c r="A347" s="1">
        <v>43190</v>
      </c>
      <c r="B347">
        <v>10756</v>
      </c>
      <c r="C347" s="2" t="s">
        <v>31</v>
      </c>
      <c r="D347" s="2" t="s">
        <v>32</v>
      </c>
      <c r="E347" s="2" t="s">
        <v>33</v>
      </c>
      <c r="F347">
        <v>4038</v>
      </c>
      <c r="G347" s="2" t="s">
        <v>72</v>
      </c>
      <c r="H347" s="2" t="s">
        <v>51</v>
      </c>
      <c r="I347" s="2" t="s">
        <v>73</v>
      </c>
      <c r="J347" s="2" t="s">
        <v>49</v>
      </c>
      <c r="K347" s="2" t="s">
        <v>73</v>
      </c>
      <c r="L347">
        <v>513.1</v>
      </c>
      <c r="M347">
        <v>2</v>
      </c>
      <c r="N347">
        <v>2.9580000000000002</v>
      </c>
      <c r="O347">
        <v>6100231</v>
      </c>
      <c r="P347" s="2" t="s">
        <v>50</v>
      </c>
      <c r="Q347" s="2" t="s">
        <v>51</v>
      </c>
      <c r="R347" s="2" t="s">
        <v>30</v>
      </c>
      <c r="S347">
        <v>10</v>
      </c>
      <c r="T347" s="1">
        <v>43190</v>
      </c>
      <c r="U347" s="1">
        <v>43198</v>
      </c>
      <c r="V347" s="2"/>
      <c r="W347" s="1">
        <f>fNotasFiscais[[#This Row],[Data da Coleta]]+fNotasFiscais[[#This Row],[Prazo Contratado]]</f>
        <v>43200</v>
      </c>
      <c r="X347" s="3">
        <f>IF(fNotasFiscais[[#This Row],[Data da Entrega]]&gt;fNotasFiscais[[#This Row],[Data Contratada]],0,1)</f>
        <v>1</v>
      </c>
      <c r="Y347" s="3">
        <f>IF(fNotasFiscais[[#This Row],[Ocorrência]]="",1,0)</f>
        <v>1</v>
      </c>
      <c r="Z347" s="2">
        <f>fNotasFiscais[[#This Row],[On Time]]*fNotasFiscais[[#This Row],[In Full]]</f>
        <v>1</v>
      </c>
      <c r="AA347">
        <f>IF(fNotasFiscais[[#This Row],[Nota Fiscal]]&lt;&gt;"",1,0)</f>
        <v>1</v>
      </c>
    </row>
    <row r="348" spans="1:27" x14ac:dyDescent="0.25">
      <c r="A348" s="1">
        <v>43190</v>
      </c>
      <c r="B348">
        <v>10757</v>
      </c>
      <c r="C348" s="2" t="s">
        <v>31</v>
      </c>
      <c r="D348" s="2" t="s">
        <v>32</v>
      </c>
      <c r="E348" s="2" t="s">
        <v>33</v>
      </c>
      <c r="F348">
        <v>4082</v>
      </c>
      <c r="G348" s="2" t="s">
        <v>153</v>
      </c>
      <c r="H348" s="2" t="s">
        <v>144</v>
      </c>
      <c r="I348" s="2" t="s">
        <v>33</v>
      </c>
      <c r="J348" s="2" t="s">
        <v>60</v>
      </c>
      <c r="K348" s="2" t="s">
        <v>33</v>
      </c>
      <c r="L348">
        <v>1383.72</v>
      </c>
      <c r="M348">
        <v>1</v>
      </c>
      <c r="N348">
        <v>2.802</v>
      </c>
      <c r="O348">
        <v>6400835</v>
      </c>
      <c r="P348" s="2" t="s">
        <v>130</v>
      </c>
      <c r="Q348" s="2" t="s">
        <v>131</v>
      </c>
      <c r="R348" s="2" t="s">
        <v>30</v>
      </c>
      <c r="S348">
        <v>5</v>
      </c>
      <c r="T348" s="1">
        <v>43190</v>
      </c>
      <c r="U348" s="1">
        <v>43195</v>
      </c>
      <c r="V348" s="2"/>
      <c r="W348" s="1">
        <f>fNotasFiscais[[#This Row],[Data da Coleta]]+fNotasFiscais[[#This Row],[Prazo Contratado]]</f>
        <v>43195</v>
      </c>
      <c r="X348" s="3">
        <f>IF(fNotasFiscais[[#This Row],[Data da Entrega]]&gt;fNotasFiscais[[#This Row],[Data Contratada]],0,1)</f>
        <v>1</v>
      </c>
      <c r="Y348" s="3">
        <f>IF(fNotasFiscais[[#This Row],[Ocorrência]]="",1,0)</f>
        <v>1</v>
      </c>
      <c r="Z348" s="2">
        <f>fNotasFiscais[[#This Row],[On Time]]*fNotasFiscais[[#This Row],[In Full]]</f>
        <v>1</v>
      </c>
      <c r="AA348">
        <f>IF(fNotasFiscais[[#This Row],[Nota Fiscal]]&lt;&gt;"",1,0)</f>
        <v>1</v>
      </c>
    </row>
    <row r="349" spans="1:27" x14ac:dyDescent="0.25">
      <c r="A349" s="1">
        <v>43190</v>
      </c>
      <c r="B349">
        <v>10758</v>
      </c>
      <c r="C349" s="2" t="s">
        <v>40</v>
      </c>
      <c r="D349" s="2" t="s">
        <v>41</v>
      </c>
      <c r="E349" s="2" t="s">
        <v>33</v>
      </c>
      <c r="F349">
        <v>4083</v>
      </c>
      <c r="G349" s="2" t="s">
        <v>154</v>
      </c>
      <c r="H349" s="2" t="s">
        <v>141</v>
      </c>
      <c r="I349" s="2" t="s">
        <v>33</v>
      </c>
      <c r="J349" s="2" t="s">
        <v>60</v>
      </c>
      <c r="K349" s="2" t="s">
        <v>33</v>
      </c>
      <c r="L349">
        <v>240.5</v>
      </c>
      <c r="M349">
        <v>1</v>
      </c>
      <c r="N349">
        <v>1.1200000000000001</v>
      </c>
      <c r="O349">
        <v>6400835</v>
      </c>
      <c r="P349" s="2" t="s">
        <v>130</v>
      </c>
      <c r="Q349" s="2" t="s">
        <v>131</v>
      </c>
      <c r="R349" s="2" t="s">
        <v>30</v>
      </c>
      <c r="S349">
        <v>12</v>
      </c>
      <c r="T349" s="1">
        <v>43190</v>
      </c>
      <c r="U349" s="1">
        <v>43196</v>
      </c>
      <c r="V349" s="2"/>
      <c r="W349" s="1">
        <f>fNotasFiscais[[#This Row],[Data da Coleta]]+fNotasFiscais[[#This Row],[Prazo Contratado]]</f>
        <v>43202</v>
      </c>
      <c r="X349" s="3">
        <f>IF(fNotasFiscais[[#This Row],[Data da Entrega]]&gt;fNotasFiscais[[#This Row],[Data Contratada]],0,1)</f>
        <v>1</v>
      </c>
      <c r="Y349" s="3">
        <f>IF(fNotasFiscais[[#This Row],[Ocorrência]]="",1,0)</f>
        <v>1</v>
      </c>
      <c r="Z349" s="2">
        <f>fNotasFiscais[[#This Row],[On Time]]*fNotasFiscais[[#This Row],[In Full]]</f>
        <v>1</v>
      </c>
      <c r="AA349">
        <f>IF(fNotasFiscais[[#This Row],[Nota Fiscal]]&lt;&gt;"",1,0)</f>
        <v>1</v>
      </c>
    </row>
    <row r="350" spans="1:27" x14ac:dyDescent="0.25">
      <c r="A350" s="1">
        <v>43190</v>
      </c>
      <c r="B350">
        <v>10759</v>
      </c>
      <c r="C350" s="2" t="s">
        <v>52</v>
      </c>
      <c r="D350" s="2" t="s">
        <v>53</v>
      </c>
      <c r="E350" s="2" t="s">
        <v>33</v>
      </c>
      <c r="F350">
        <v>4016</v>
      </c>
      <c r="G350" s="2" t="s">
        <v>68</v>
      </c>
      <c r="H350" s="2" t="s">
        <v>69</v>
      </c>
      <c r="I350" s="2" t="s">
        <v>36</v>
      </c>
      <c r="J350" s="2" t="s">
        <v>60</v>
      </c>
      <c r="K350" s="2" t="s">
        <v>36</v>
      </c>
      <c r="L350">
        <v>142.13</v>
      </c>
      <c r="M350">
        <v>1</v>
      </c>
      <c r="N350">
        <v>1.4670000000000001</v>
      </c>
      <c r="O350">
        <v>6600879</v>
      </c>
      <c r="P350" s="2" t="s">
        <v>61</v>
      </c>
      <c r="Q350" s="2" t="s">
        <v>35</v>
      </c>
      <c r="R350" s="2" t="s">
        <v>30</v>
      </c>
      <c r="S350">
        <v>10</v>
      </c>
      <c r="T350" s="1">
        <v>43190</v>
      </c>
      <c r="U350" s="1">
        <v>43200</v>
      </c>
      <c r="V350" s="2"/>
      <c r="W350" s="1">
        <f>fNotasFiscais[[#This Row],[Data da Coleta]]+fNotasFiscais[[#This Row],[Prazo Contratado]]</f>
        <v>43200</v>
      </c>
      <c r="X350" s="3">
        <f>IF(fNotasFiscais[[#This Row],[Data da Entrega]]&gt;fNotasFiscais[[#This Row],[Data Contratada]],0,1)</f>
        <v>1</v>
      </c>
      <c r="Y350" s="3">
        <f>IF(fNotasFiscais[[#This Row],[Ocorrência]]="",1,0)</f>
        <v>1</v>
      </c>
      <c r="Z350" s="2">
        <f>fNotasFiscais[[#This Row],[On Time]]*fNotasFiscais[[#This Row],[In Full]]</f>
        <v>1</v>
      </c>
      <c r="AA350">
        <f>IF(fNotasFiscais[[#This Row],[Nota Fiscal]]&lt;&gt;"",1,0)</f>
        <v>1</v>
      </c>
    </row>
    <row r="351" spans="1:27" x14ac:dyDescent="0.25">
      <c r="A351" s="1">
        <v>43190</v>
      </c>
      <c r="B351">
        <v>10760</v>
      </c>
      <c r="C351" s="2" t="s">
        <v>40</v>
      </c>
      <c r="D351" s="2" t="s">
        <v>41</v>
      </c>
      <c r="E351" s="2" t="s">
        <v>33</v>
      </c>
      <c r="F351">
        <v>4083</v>
      </c>
      <c r="G351" s="2" t="s">
        <v>154</v>
      </c>
      <c r="H351" s="2" t="s">
        <v>141</v>
      </c>
      <c r="I351" s="2" t="s">
        <v>33</v>
      </c>
      <c r="J351" s="2" t="s">
        <v>60</v>
      </c>
      <c r="K351" s="2" t="s">
        <v>33</v>
      </c>
      <c r="L351">
        <v>359.56</v>
      </c>
      <c r="M351">
        <v>1</v>
      </c>
      <c r="N351">
        <v>13.42</v>
      </c>
      <c r="O351">
        <v>6400835</v>
      </c>
      <c r="P351" s="2" t="s">
        <v>130</v>
      </c>
      <c r="Q351" s="2" t="s">
        <v>131</v>
      </c>
      <c r="R351" s="2" t="s">
        <v>30</v>
      </c>
      <c r="S351">
        <v>9</v>
      </c>
      <c r="T351" s="1">
        <v>43190</v>
      </c>
      <c r="U351" s="1">
        <v>43199</v>
      </c>
      <c r="V351" s="2"/>
      <c r="W351" s="1">
        <f>fNotasFiscais[[#This Row],[Data da Coleta]]+fNotasFiscais[[#This Row],[Prazo Contratado]]</f>
        <v>43199</v>
      </c>
      <c r="X351" s="3">
        <f>IF(fNotasFiscais[[#This Row],[Data da Entrega]]&gt;fNotasFiscais[[#This Row],[Data Contratada]],0,1)</f>
        <v>1</v>
      </c>
      <c r="Y351" s="3">
        <f>IF(fNotasFiscais[[#This Row],[Ocorrência]]="",1,0)</f>
        <v>1</v>
      </c>
      <c r="Z351" s="2">
        <f>fNotasFiscais[[#This Row],[On Time]]*fNotasFiscais[[#This Row],[In Full]]</f>
        <v>1</v>
      </c>
      <c r="AA351">
        <f>IF(fNotasFiscais[[#This Row],[Nota Fiscal]]&lt;&gt;"",1,0)</f>
        <v>1</v>
      </c>
    </row>
    <row r="352" spans="1:27" x14ac:dyDescent="0.25">
      <c r="A352" s="1">
        <v>43190</v>
      </c>
      <c r="B352">
        <v>10761</v>
      </c>
      <c r="C352" s="2" t="s">
        <v>34</v>
      </c>
      <c r="D352" s="2" t="s">
        <v>35</v>
      </c>
      <c r="E352" s="2" t="s">
        <v>36</v>
      </c>
      <c r="F352">
        <v>4083</v>
      </c>
      <c r="G352" s="2" t="s">
        <v>154</v>
      </c>
      <c r="H352" s="2" t="s">
        <v>141</v>
      </c>
      <c r="I352" s="2" t="s">
        <v>33</v>
      </c>
      <c r="J352" s="2" t="s">
        <v>60</v>
      </c>
      <c r="K352" s="2" t="s">
        <v>33</v>
      </c>
      <c r="L352">
        <v>26.21</v>
      </c>
      <c r="M352">
        <v>1</v>
      </c>
      <c r="N352">
        <v>0.112</v>
      </c>
      <c r="O352">
        <v>6400835</v>
      </c>
      <c r="P352" s="2" t="s">
        <v>130</v>
      </c>
      <c r="Q352" s="2" t="s">
        <v>131</v>
      </c>
      <c r="R352" s="2" t="s">
        <v>30</v>
      </c>
      <c r="S352">
        <v>3</v>
      </c>
      <c r="T352" s="1">
        <v>43190</v>
      </c>
      <c r="U352" s="1">
        <v>43195</v>
      </c>
      <c r="V352" s="2"/>
      <c r="W352" s="1">
        <f>fNotasFiscais[[#This Row],[Data da Coleta]]+fNotasFiscais[[#This Row],[Prazo Contratado]]</f>
        <v>43193</v>
      </c>
      <c r="X352" s="3">
        <f>IF(fNotasFiscais[[#This Row],[Data da Entrega]]&gt;fNotasFiscais[[#This Row],[Data Contratada]],0,1)</f>
        <v>0</v>
      </c>
      <c r="Y352" s="3">
        <f>IF(fNotasFiscais[[#This Row],[Ocorrência]]="",1,0)</f>
        <v>1</v>
      </c>
      <c r="Z352" s="2">
        <f>fNotasFiscais[[#This Row],[On Time]]*fNotasFiscais[[#This Row],[In Full]]</f>
        <v>0</v>
      </c>
      <c r="AA352">
        <f>IF(fNotasFiscais[[#This Row],[Nota Fiscal]]&lt;&gt;"",1,0)</f>
        <v>1</v>
      </c>
    </row>
    <row r="353" spans="1:27" x14ac:dyDescent="0.25">
      <c r="A353" s="1">
        <v>43190</v>
      </c>
      <c r="B353">
        <v>10762</v>
      </c>
      <c r="C353" s="2" t="s">
        <v>34</v>
      </c>
      <c r="D353" s="2" t="s">
        <v>35</v>
      </c>
      <c r="E353" s="2" t="s">
        <v>36</v>
      </c>
      <c r="F353">
        <v>4083</v>
      </c>
      <c r="G353" s="2" t="s">
        <v>154</v>
      </c>
      <c r="H353" s="2" t="s">
        <v>141</v>
      </c>
      <c r="I353" s="2" t="s">
        <v>33</v>
      </c>
      <c r="J353" s="2" t="s">
        <v>60</v>
      </c>
      <c r="K353" s="2" t="s">
        <v>33</v>
      </c>
      <c r="L353">
        <v>706.81</v>
      </c>
      <c r="M353">
        <v>1</v>
      </c>
      <c r="N353">
        <v>2.64</v>
      </c>
      <c r="O353">
        <v>6400835</v>
      </c>
      <c r="P353" s="2" t="s">
        <v>130</v>
      </c>
      <c r="Q353" s="2" t="s">
        <v>131</v>
      </c>
      <c r="R353" s="2" t="s">
        <v>30</v>
      </c>
      <c r="S353">
        <v>11</v>
      </c>
      <c r="T353" s="1">
        <v>43190</v>
      </c>
      <c r="U353" s="1">
        <v>43197</v>
      </c>
      <c r="V353" s="2"/>
      <c r="W353" s="1">
        <f>fNotasFiscais[[#This Row],[Data da Coleta]]+fNotasFiscais[[#This Row],[Prazo Contratado]]</f>
        <v>43201</v>
      </c>
      <c r="X353" s="3">
        <f>IF(fNotasFiscais[[#This Row],[Data da Entrega]]&gt;fNotasFiscais[[#This Row],[Data Contratada]],0,1)</f>
        <v>1</v>
      </c>
      <c r="Y353" s="3">
        <f>IF(fNotasFiscais[[#This Row],[Ocorrência]]="",1,0)</f>
        <v>1</v>
      </c>
      <c r="Z353" s="2">
        <f>fNotasFiscais[[#This Row],[On Time]]*fNotasFiscais[[#This Row],[In Full]]</f>
        <v>1</v>
      </c>
      <c r="AA353">
        <f>IF(fNotasFiscais[[#This Row],[Nota Fiscal]]&lt;&gt;"",1,0)</f>
        <v>1</v>
      </c>
    </row>
    <row r="354" spans="1:27" x14ac:dyDescent="0.25">
      <c r="A354" s="1">
        <v>43190</v>
      </c>
      <c r="B354">
        <v>10763</v>
      </c>
      <c r="C354" s="2" t="s">
        <v>43</v>
      </c>
      <c r="D354" s="2" t="s">
        <v>44</v>
      </c>
      <c r="E354" s="2" t="s">
        <v>45</v>
      </c>
      <c r="F354">
        <v>4083</v>
      </c>
      <c r="G354" s="2" t="s">
        <v>154</v>
      </c>
      <c r="H354" s="2" t="s">
        <v>141</v>
      </c>
      <c r="I354" s="2" t="s">
        <v>33</v>
      </c>
      <c r="J354" s="2" t="s">
        <v>60</v>
      </c>
      <c r="K354" s="2" t="s">
        <v>33</v>
      </c>
      <c r="L354">
        <v>1413.65</v>
      </c>
      <c r="M354">
        <v>2</v>
      </c>
      <c r="N354">
        <v>5.28</v>
      </c>
      <c r="O354">
        <v>6400835</v>
      </c>
      <c r="P354" s="2" t="s">
        <v>130</v>
      </c>
      <c r="Q354" s="2" t="s">
        <v>131</v>
      </c>
      <c r="R354" s="2" t="s">
        <v>30</v>
      </c>
      <c r="S354">
        <v>10</v>
      </c>
      <c r="T354" s="1">
        <v>43190</v>
      </c>
      <c r="U354" s="1">
        <v>43195</v>
      </c>
      <c r="V354" s="2"/>
      <c r="W354" s="1">
        <f>fNotasFiscais[[#This Row],[Data da Coleta]]+fNotasFiscais[[#This Row],[Prazo Contratado]]</f>
        <v>43200</v>
      </c>
      <c r="X354" s="3">
        <f>IF(fNotasFiscais[[#This Row],[Data da Entrega]]&gt;fNotasFiscais[[#This Row],[Data Contratada]],0,1)</f>
        <v>1</v>
      </c>
      <c r="Y354" s="3">
        <f>IF(fNotasFiscais[[#This Row],[Ocorrência]]="",1,0)</f>
        <v>1</v>
      </c>
      <c r="Z354" s="2">
        <f>fNotasFiscais[[#This Row],[On Time]]*fNotasFiscais[[#This Row],[In Full]]</f>
        <v>1</v>
      </c>
      <c r="AA354">
        <f>IF(fNotasFiscais[[#This Row],[Nota Fiscal]]&lt;&gt;"",1,0)</f>
        <v>1</v>
      </c>
    </row>
    <row r="355" spans="1:27" x14ac:dyDescent="0.25">
      <c r="A355" s="1">
        <v>43190</v>
      </c>
      <c r="B355">
        <v>10764</v>
      </c>
      <c r="C355" s="2" t="s">
        <v>52</v>
      </c>
      <c r="D355" s="2" t="s">
        <v>53</v>
      </c>
      <c r="E355" s="2" t="s">
        <v>33</v>
      </c>
      <c r="F355">
        <v>4016</v>
      </c>
      <c r="G355" s="2" t="s">
        <v>68</v>
      </c>
      <c r="H355" s="2" t="s">
        <v>69</v>
      </c>
      <c r="I355" s="2" t="s">
        <v>36</v>
      </c>
      <c r="J355" s="2" t="s">
        <v>60</v>
      </c>
      <c r="K355" s="2" t="s">
        <v>36</v>
      </c>
      <c r="L355">
        <v>1266.2</v>
      </c>
      <c r="M355">
        <v>1</v>
      </c>
      <c r="N355">
        <v>16.72</v>
      </c>
      <c r="O355">
        <v>6600879</v>
      </c>
      <c r="P355" s="2" t="s">
        <v>61</v>
      </c>
      <c r="Q355" s="2" t="s">
        <v>35</v>
      </c>
      <c r="R355" s="2" t="s">
        <v>30</v>
      </c>
      <c r="S355">
        <v>9</v>
      </c>
      <c r="T355" s="1">
        <v>43190</v>
      </c>
      <c r="U355" s="1">
        <v>43191</v>
      </c>
      <c r="V355" s="2"/>
      <c r="W355" s="1">
        <f>fNotasFiscais[[#This Row],[Data da Coleta]]+fNotasFiscais[[#This Row],[Prazo Contratado]]</f>
        <v>43199</v>
      </c>
      <c r="X355" s="3">
        <f>IF(fNotasFiscais[[#This Row],[Data da Entrega]]&gt;fNotasFiscais[[#This Row],[Data Contratada]],0,1)</f>
        <v>1</v>
      </c>
      <c r="Y355" s="3">
        <f>IF(fNotasFiscais[[#This Row],[Ocorrência]]="",1,0)</f>
        <v>1</v>
      </c>
      <c r="Z355" s="2">
        <f>fNotasFiscais[[#This Row],[On Time]]*fNotasFiscais[[#This Row],[In Full]]</f>
        <v>1</v>
      </c>
      <c r="AA355">
        <f>IF(fNotasFiscais[[#This Row],[Nota Fiscal]]&lt;&gt;"",1,0)</f>
        <v>1</v>
      </c>
    </row>
    <row r="356" spans="1:27" x14ac:dyDescent="0.25">
      <c r="A356" s="1">
        <v>43190</v>
      </c>
      <c r="B356">
        <v>10765</v>
      </c>
      <c r="C356" s="2" t="s">
        <v>34</v>
      </c>
      <c r="D356" s="2" t="s">
        <v>35</v>
      </c>
      <c r="E356" s="2" t="s">
        <v>36</v>
      </c>
      <c r="F356">
        <v>4016</v>
      </c>
      <c r="G356" s="2" t="s">
        <v>68</v>
      </c>
      <c r="H356" s="2" t="s">
        <v>69</v>
      </c>
      <c r="I356" s="2" t="s">
        <v>36</v>
      </c>
      <c r="J356" s="2" t="s">
        <v>60</v>
      </c>
      <c r="K356" s="2" t="s">
        <v>36</v>
      </c>
      <c r="L356">
        <v>507.66</v>
      </c>
      <c r="M356">
        <v>3</v>
      </c>
      <c r="N356">
        <v>1.04</v>
      </c>
      <c r="O356">
        <v>6600879</v>
      </c>
      <c r="P356" s="2" t="s">
        <v>61</v>
      </c>
      <c r="Q356" s="2" t="s">
        <v>35</v>
      </c>
      <c r="R356" s="2" t="s">
        <v>30</v>
      </c>
      <c r="S356">
        <v>5</v>
      </c>
      <c r="T356" s="1">
        <v>43190</v>
      </c>
      <c r="U356" s="1">
        <v>43194</v>
      </c>
      <c r="V356" s="2"/>
      <c r="W356" s="1">
        <f>fNotasFiscais[[#This Row],[Data da Coleta]]+fNotasFiscais[[#This Row],[Prazo Contratado]]</f>
        <v>43195</v>
      </c>
      <c r="X356" s="3">
        <f>IF(fNotasFiscais[[#This Row],[Data da Entrega]]&gt;fNotasFiscais[[#This Row],[Data Contratada]],0,1)</f>
        <v>1</v>
      </c>
      <c r="Y356" s="3">
        <f>IF(fNotasFiscais[[#This Row],[Ocorrência]]="",1,0)</f>
        <v>1</v>
      </c>
      <c r="Z356" s="2">
        <f>fNotasFiscais[[#This Row],[On Time]]*fNotasFiscais[[#This Row],[In Full]]</f>
        <v>1</v>
      </c>
      <c r="AA356">
        <f>IF(fNotasFiscais[[#This Row],[Nota Fiscal]]&lt;&gt;"",1,0)</f>
        <v>1</v>
      </c>
    </row>
    <row r="357" spans="1:27" x14ac:dyDescent="0.25">
      <c r="A357" s="1">
        <v>43190</v>
      </c>
      <c r="B357">
        <v>10766</v>
      </c>
      <c r="C357" s="2" t="s">
        <v>54</v>
      </c>
      <c r="D357" s="2" t="s">
        <v>55</v>
      </c>
      <c r="E357" s="2" t="s">
        <v>56</v>
      </c>
      <c r="F357">
        <v>4016</v>
      </c>
      <c r="G357" s="2" t="s">
        <v>68</v>
      </c>
      <c r="H357" s="2" t="s">
        <v>69</v>
      </c>
      <c r="I357" s="2" t="s">
        <v>36</v>
      </c>
      <c r="J357" s="2" t="s">
        <v>60</v>
      </c>
      <c r="K357" s="2" t="s">
        <v>36</v>
      </c>
      <c r="L357">
        <v>170.2</v>
      </c>
      <c r="M357">
        <v>1</v>
      </c>
      <c r="N357">
        <v>0.34699999999999998</v>
      </c>
      <c r="O357">
        <v>6600879</v>
      </c>
      <c r="P357" s="2" t="s">
        <v>61</v>
      </c>
      <c r="Q357" s="2" t="s">
        <v>35</v>
      </c>
      <c r="R357" s="2" t="s">
        <v>30</v>
      </c>
      <c r="S357">
        <v>1</v>
      </c>
      <c r="T357" s="1">
        <v>43190</v>
      </c>
      <c r="U357" s="1">
        <v>43193</v>
      </c>
      <c r="V357" s="2"/>
      <c r="W357" s="1">
        <f>fNotasFiscais[[#This Row],[Data da Coleta]]+fNotasFiscais[[#This Row],[Prazo Contratado]]</f>
        <v>43191</v>
      </c>
      <c r="X357" s="3">
        <f>IF(fNotasFiscais[[#This Row],[Data da Entrega]]&gt;fNotasFiscais[[#This Row],[Data Contratada]],0,1)</f>
        <v>0</v>
      </c>
      <c r="Y357" s="3">
        <f>IF(fNotasFiscais[[#This Row],[Ocorrência]]="",1,0)</f>
        <v>1</v>
      </c>
      <c r="Z357" s="2">
        <f>fNotasFiscais[[#This Row],[On Time]]*fNotasFiscais[[#This Row],[In Full]]</f>
        <v>0</v>
      </c>
      <c r="AA357">
        <f>IF(fNotasFiscais[[#This Row],[Nota Fiscal]]&lt;&gt;"",1,0)</f>
        <v>1</v>
      </c>
    </row>
    <row r="358" spans="1:27" x14ac:dyDescent="0.25">
      <c r="A358" s="1">
        <v>43190</v>
      </c>
      <c r="B358">
        <v>10767</v>
      </c>
      <c r="C358" s="2" t="s">
        <v>34</v>
      </c>
      <c r="D358" s="2" t="s">
        <v>35</v>
      </c>
      <c r="E358" s="2" t="s">
        <v>36</v>
      </c>
      <c r="F358">
        <v>4016</v>
      </c>
      <c r="G358" s="2" t="s">
        <v>68</v>
      </c>
      <c r="H358" s="2" t="s">
        <v>69</v>
      </c>
      <c r="I358" s="2" t="s">
        <v>36</v>
      </c>
      <c r="J358" s="2" t="s">
        <v>60</v>
      </c>
      <c r="K358" s="2" t="s">
        <v>36</v>
      </c>
      <c r="L358">
        <v>679.69</v>
      </c>
      <c r="M358">
        <v>2</v>
      </c>
      <c r="N358">
        <v>4.8620000000000001</v>
      </c>
      <c r="O358">
        <v>6600879</v>
      </c>
      <c r="P358" s="2" t="s">
        <v>61</v>
      </c>
      <c r="Q358" s="2" t="s">
        <v>35</v>
      </c>
      <c r="R358" s="2" t="s">
        <v>30</v>
      </c>
      <c r="S358">
        <v>8</v>
      </c>
      <c r="T358" s="1">
        <v>43190</v>
      </c>
      <c r="U358" s="1">
        <v>43200</v>
      </c>
      <c r="V358" s="2"/>
      <c r="W358" s="1">
        <f>fNotasFiscais[[#This Row],[Data da Coleta]]+fNotasFiscais[[#This Row],[Prazo Contratado]]</f>
        <v>43198</v>
      </c>
      <c r="X358" s="3">
        <f>IF(fNotasFiscais[[#This Row],[Data da Entrega]]&gt;fNotasFiscais[[#This Row],[Data Contratada]],0,1)</f>
        <v>0</v>
      </c>
      <c r="Y358" s="3">
        <f>IF(fNotasFiscais[[#This Row],[Ocorrência]]="",1,0)</f>
        <v>1</v>
      </c>
      <c r="Z358" s="2">
        <f>fNotasFiscais[[#This Row],[On Time]]*fNotasFiscais[[#This Row],[In Full]]</f>
        <v>0</v>
      </c>
      <c r="AA358">
        <f>IF(fNotasFiscais[[#This Row],[Nota Fiscal]]&lt;&gt;"",1,0)</f>
        <v>1</v>
      </c>
    </row>
    <row r="359" spans="1:27" x14ac:dyDescent="0.25">
      <c r="A359" s="1">
        <v>43190</v>
      </c>
      <c r="B359">
        <v>10768</v>
      </c>
      <c r="C359" s="2" t="s">
        <v>52</v>
      </c>
      <c r="D359" s="2" t="s">
        <v>53</v>
      </c>
      <c r="E359" s="2" t="s">
        <v>33</v>
      </c>
      <c r="F359">
        <v>4016</v>
      </c>
      <c r="G359" s="2" t="s">
        <v>68</v>
      </c>
      <c r="H359" s="2" t="s">
        <v>69</v>
      </c>
      <c r="I359" s="2" t="s">
        <v>36</v>
      </c>
      <c r="J359" s="2" t="s">
        <v>60</v>
      </c>
      <c r="K359" s="2" t="s">
        <v>36</v>
      </c>
      <c r="L359">
        <v>442.16</v>
      </c>
      <c r="M359">
        <v>1</v>
      </c>
      <c r="N359">
        <v>1.1200000000000001</v>
      </c>
      <c r="O359">
        <v>6600879</v>
      </c>
      <c r="P359" s="2" t="s">
        <v>61</v>
      </c>
      <c r="Q359" s="2" t="s">
        <v>35</v>
      </c>
      <c r="R359" s="2" t="s">
        <v>30</v>
      </c>
      <c r="S359">
        <v>5</v>
      </c>
      <c r="T359" s="1">
        <v>43190</v>
      </c>
      <c r="U359" s="1">
        <v>43195</v>
      </c>
      <c r="V359" s="2"/>
      <c r="W359" s="1">
        <f>fNotasFiscais[[#This Row],[Data da Coleta]]+fNotasFiscais[[#This Row],[Prazo Contratado]]</f>
        <v>43195</v>
      </c>
      <c r="X359" s="3">
        <f>IF(fNotasFiscais[[#This Row],[Data da Entrega]]&gt;fNotasFiscais[[#This Row],[Data Contratada]],0,1)</f>
        <v>1</v>
      </c>
      <c r="Y359" s="3">
        <f>IF(fNotasFiscais[[#This Row],[Ocorrência]]="",1,0)</f>
        <v>1</v>
      </c>
      <c r="Z359" s="2">
        <f>fNotasFiscais[[#This Row],[On Time]]*fNotasFiscais[[#This Row],[In Full]]</f>
        <v>1</v>
      </c>
      <c r="AA359">
        <f>IF(fNotasFiscais[[#This Row],[Nota Fiscal]]&lt;&gt;"",1,0)</f>
        <v>1</v>
      </c>
    </row>
    <row r="360" spans="1:27" x14ac:dyDescent="0.25">
      <c r="A360" s="1">
        <v>43190</v>
      </c>
      <c r="B360">
        <v>10769</v>
      </c>
      <c r="C360" s="2" t="s">
        <v>40</v>
      </c>
      <c r="D360" s="2" t="s">
        <v>41</v>
      </c>
      <c r="E360" s="2" t="s">
        <v>33</v>
      </c>
      <c r="F360">
        <v>4016</v>
      </c>
      <c r="G360" s="2" t="s">
        <v>68</v>
      </c>
      <c r="H360" s="2" t="s">
        <v>69</v>
      </c>
      <c r="I360" s="2" t="s">
        <v>36</v>
      </c>
      <c r="J360" s="2" t="s">
        <v>60</v>
      </c>
      <c r="K360" s="2" t="s">
        <v>36</v>
      </c>
      <c r="L360">
        <v>35677.370000000003</v>
      </c>
      <c r="M360">
        <v>42</v>
      </c>
      <c r="N360">
        <v>225.60599999999999</v>
      </c>
      <c r="O360">
        <v>6600879</v>
      </c>
      <c r="P360" s="2" t="s">
        <v>61</v>
      </c>
      <c r="Q360" s="2" t="s">
        <v>35</v>
      </c>
      <c r="R360" s="2" t="s">
        <v>30</v>
      </c>
      <c r="S360">
        <v>10</v>
      </c>
      <c r="T360" s="1">
        <v>43190</v>
      </c>
      <c r="U360" s="1">
        <v>43199</v>
      </c>
      <c r="V360" s="2"/>
      <c r="W360" s="1">
        <f>fNotasFiscais[[#This Row],[Data da Coleta]]+fNotasFiscais[[#This Row],[Prazo Contratado]]</f>
        <v>43200</v>
      </c>
      <c r="X360" s="3">
        <f>IF(fNotasFiscais[[#This Row],[Data da Entrega]]&gt;fNotasFiscais[[#This Row],[Data Contratada]],0,1)</f>
        <v>1</v>
      </c>
      <c r="Y360" s="3">
        <f>IF(fNotasFiscais[[#This Row],[Ocorrência]]="",1,0)</f>
        <v>1</v>
      </c>
      <c r="Z360" s="2">
        <f>fNotasFiscais[[#This Row],[On Time]]*fNotasFiscais[[#This Row],[In Full]]</f>
        <v>1</v>
      </c>
      <c r="AA360">
        <f>IF(fNotasFiscais[[#This Row],[Nota Fiscal]]&lt;&gt;"",1,0)</f>
        <v>1</v>
      </c>
    </row>
    <row r="361" spans="1:27" x14ac:dyDescent="0.25">
      <c r="A361" s="1">
        <v>43194</v>
      </c>
      <c r="B361">
        <v>10770</v>
      </c>
      <c r="C361" s="2" t="s">
        <v>34</v>
      </c>
      <c r="D361" s="2" t="s">
        <v>35</v>
      </c>
      <c r="E361" s="2" t="s">
        <v>36</v>
      </c>
      <c r="F361">
        <v>4084</v>
      </c>
      <c r="G361" s="2" t="s">
        <v>155</v>
      </c>
      <c r="H361" s="2" t="s">
        <v>149</v>
      </c>
      <c r="I361" s="2" t="s">
        <v>33</v>
      </c>
      <c r="J361" s="2" t="s">
        <v>60</v>
      </c>
      <c r="K361" s="2" t="s">
        <v>33</v>
      </c>
      <c r="L361">
        <v>1183.6500000000001</v>
      </c>
      <c r="M361">
        <v>1</v>
      </c>
      <c r="N361">
        <v>1.101</v>
      </c>
      <c r="O361">
        <v>6400835</v>
      </c>
      <c r="P361" s="2" t="s">
        <v>130</v>
      </c>
      <c r="Q361" s="2" t="s">
        <v>131</v>
      </c>
      <c r="R361" s="2" t="s">
        <v>30</v>
      </c>
      <c r="S361">
        <v>11</v>
      </c>
      <c r="T361" s="1">
        <v>43194</v>
      </c>
      <c r="U361" s="1">
        <v>43200</v>
      </c>
      <c r="V361" s="2"/>
      <c r="W361" s="1">
        <f>fNotasFiscais[[#This Row],[Data da Coleta]]+fNotasFiscais[[#This Row],[Prazo Contratado]]</f>
        <v>43205</v>
      </c>
      <c r="X361" s="3">
        <f>IF(fNotasFiscais[[#This Row],[Data da Entrega]]&gt;fNotasFiscais[[#This Row],[Data Contratada]],0,1)</f>
        <v>1</v>
      </c>
      <c r="Y361" s="3">
        <f>IF(fNotasFiscais[[#This Row],[Ocorrência]]="",1,0)</f>
        <v>1</v>
      </c>
      <c r="Z361" s="2">
        <f>fNotasFiscais[[#This Row],[On Time]]*fNotasFiscais[[#This Row],[In Full]]</f>
        <v>1</v>
      </c>
      <c r="AA361">
        <f>IF(fNotasFiscais[[#This Row],[Nota Fiscal]]&lt;&gt;"",1,0)</f>
        <v>1</v>
      </c>
    </row>
    <row r="362" spans="1:27" x14ac:dyDescent="0.25">
      <c r="A362" s="1">
        <v>43195</v>
      </c>
      <c r="B362">
        <v>10771</v>
      </c>
      <c r="C362" s="2" t="s">
        <v>40</v>
      </c>
      <c r="D362" s="2" t="s">
        <v>41</v>
      </c>
      <c r="E362" s="2" t="s">
        <v>33</v>
      </c>
      <c r="F362">
        <v>4085</v>
      </c>
      <c r="G362" s="2" t="s">
        <v>156</v>
      </c>
      <c r="H362" s="2" t="s">
        <v>141</v>
      </c>
      <c r="I362" s="2" t="s">
        <v>33</v>
      </c>
      <c r="J362" s="2" t="s">
        <v>60</v>
      </c>
      <c r="K362" s="2" t="s">
        <v>33</v>
      </c>
      <c r="L362">
        <v>37798.99</v>
      </c>
      <c r="M362">
        <v>38</v>
      </c>
      <c r="N362">
        <v>159.42099999999999</v>
      </c>
      <c r="O362">
        <v>6400835</v>
      </c>
      <c r="P362" s="2" t="s">
        <v>130</v>
      </c>
      <c r="Q362" s="2" t="s">
        <v>131</v>
      </c>
      <c r="R362" s="2" t="s">
        <v>30</v>
      </c>
      <c r="S362">
        <v>10</v>
      </c>
      <c r="T362" s="1">
        <v>43195</v>
      </c>
      <c r="U362" s="1">
        <v>43199</v>
      </c>
      <c r="V362" s="2"/>
      <c r="W362" s="1">
        <f>fNotasFiscais[[#This Row],[Data da Coleta]]+fNotasFiscais[[#This Row],[Prazo Contratado]]</f>
        <v>43205</v>
      </c>
      <c r="X362" s="3">
        <f>IF(fNotasFiscais[[#This Row],[Data da Entrega]]&gt;fNotasFiscais[[#This Row],[Data Contratada]],0,1)</f>
        <v>1</v>
      </c>
      <c r="Y362" s="3">
        <f>IF(fNotasFiscais[[#This Row],[Ocorrência]]="",1,0)</f>
        <v>1</v>
      </c>
      <c r="Z362" s="2">
        <f>fNotasFiscais[[#This Row],[On Time]]*fNotasFiscais[[#This Row],[In Full]]</f>
        <v>1</v>
      </c>
      <c r="AA362">
        <f>IF(fNotasFiscais[[#This Row],[Nota Fiscal]]&lt;&gt;"",1,0)</f>
        <v>1</v>
      </c>
    </row>
    <row r="363" spans="1:27" x14ac:dyDescent="0.25">
      <c r="A363" s="1">
        <v>43195</v>
      </c>
      <c r="B363">
        <v>10772</v>
      </c>
      <c r="C363" s="2" t="s">
        <v>52</v>
      </c>
      <c r="D363" s="2" t="s">
        <v>53</v>
      </c>
      <c r="E363" s="2" t="s">
        <v>33</v>
      </c>
      <c r="F363">
        <v>4022</v>
      </c>
      <c r="G363" s="2" t="s">
        <v>86</v>
      </c>
      <c r="H363" s="2" t="s">
        <v>87</v>
      </c>
      <c r="I363" s="2" t="s">
        <v>27</v>
      </c>
      <c r="J363" s="2" t="s">
        <v>28</v>
      </c>
      <c r="K363" s="2" t="s">
        <v>27</v>
      </c>
      <c r="L363">
        <v>1258.9000000000001</v>
      </c>
      <c r="M363">
        <v>1</v>
      </c>
      <c r="N363">
        <v>17.16</v>
      </c>
      <c r="O363">
        <v>6500948</v>
      </c>
      <c r="P363" s="2" t="s">
        <v>29</v>
      </c>
      <c r="Q363" s="2" t="s">
        <v>23</v>
      </c>
      <c r="R363" s="2" t="s">
        <v>30</v>
      </c>
      <c r="S363">
        <v>8</v>
      </c>
      <c r="T363" s="1">
        <v>43195</v>
      </c>
      <c r="U363" s="1">
        <v>43200</v>
      </c>
      <c r="V363" s="2"/>
      <c r="W363" s="1">
        <f>fNotasFiscais[[#This Row],[Data da Coleta]]+fNotasFiscais[[#This Row],[Prazo Contratado]]</f>
        <v>43203</v>
      </c>
      <c r="X363" s="3">
        <f>IF(fNotasFiscais[[#This Row],[Data da Entrega]]&gt;fNotasFiscais[[#This Row],[Data Contratada]],0,1)</f>
        <v>1</v>
      </c>
      <c r="Y363" s="3">
        <f>IF(fNotasFiscais[[#This Row],[Ocorrência]]="",1,0)</f>
        <v>1</v>
      </c>
      <c r="Z363" s="2">
        <f>fNotasFiscais[[#This Row],[On Time]]*fNotasFiscais[[#This Row],[In Full]]</f>
        <v>1</v>
      </c>
      <c r="AA363">
        <f>IF(fNotasFiscais[[#This Row],[Nota Fiscal]]&lt;&gt;"",1,0)</f>
        <v>1</v>
      </c>
    </row>
    <row r="364" spans="1:27" x14ac:dyDescent="0.25">
      <c r="A364" s="1">
        <v>43195</v>
      </c>
      <c r="B364">
        <v>10773</v>
      </c>
      <c r="C364" s="2" t="s">
        <v>43</v>
      </c>
      <c r="D364" s="2" t="s">
        <v>44</v>
      </c>
      <c r="E364" s="2" t="s">
        <v>45</v>
      </c>
      <c r="F364">
        <v>4022</v>
      </c>
      <c r="G364" s="2" t="s">
        <v>86</v>
      </c>
      <c r="H364" s="2" t="s">
        <v>87</v>
      </c>
      <c r="I364" s="2" t="s">
        <v>27</v>
      </c>
      <c r="J364" s="2" t="s">
        <v>28</v>
      </c>
      <c r="K364" s="2" t="s">
        <v>27</v>
      </c>
      <c r="L364">
        <v>2635.17</v>
      </c>
      <c r="M364">
        <v>13</v>
      </c>
      <c r="N364">
        <v>31.9</v>
      </c>
      <c r="O364">
        <v>6500948</v>
      </c>
      <c r="P364" s="2" t="s">
        <v>29</v>
      </c>
      <c r="Q364" s="2" t="s">
        <v>23</v>
      </c>
      <c r="R364" s="2" t="s">
        <v>30</v>
      </c>
      <c r="S364">
        <v>1</v>
      </c>
      <c r="T364" s="1">
        <v>43195</v>
      </c>
      <c r="U364" s="1">
        <v>43204</v>
      </c>
      <c r="V364" s="2" t="s">
        <v>42</v>
      </c>
      <c r="W364" s="1">
        <f>fNotasFiscais[[#This Row],[Data da Coleta]]+fNotasFiscais[[#This Row],[Prazo Contratado]]</f>
        <v>43196</v>
      </c>
      <c r="X364" s="3">
        <f>IF(fNotasFiscais[[#This Row],[Data da Entrega]]&gt;fNotasFiscais[[#This Row],[Data Contratada]],0,1)</f>
        <v>0</v>
      </c>
      <c r="Y364" s="3">
        <f>IF(fNotasFiscais[[#This Row],[Ocorrência]]="",1,0)</f>
        <v>0</v>
      </c>
      <c r="Z364" s="2">
        <f>fNotasFiscais[[#This Row],[On Time]]*fNotasFiscais[[#This Row],[In Full]]</f>
        <v>0</v>
      </c>
      <c r="AA364">
        <f>IF(fNotasFiscais[[#This Row],[Nota Fiscal]]&lt;&gt;"",1,0)</f>
        <v>1</v>
      </c>
    </row>
    <row r="365" spans="1:27" x14ac:dyDescent="0.25">
      <c r="A365" s="1">
        <v>43196</v>
      </c>
      <c r="B365">
        <v>10774</v>
      </c>
      <c r="C365" s="2" t="s">
        <v>40</v>
      </c>
      <c r="D365" s="2" t="s">
        <v>41</v>
      </c>
      <c r="E365" s="2" t="s">
        <v>33</v>
      </c>
      <c r="F365">
        <v>4086</v>
      </c>
      <c r="G365" s="2" t="s">
        <v>157</v>
      </c>
      <c r="H365" s="2" t="s">
        <v>149</v>
      </c>
      <c r="I365" s="2" t="s">
        <v>33</v>
      </c>
      <c r="J365" s="2" t="s">
        <v>60</v>
      </c>
      <c r="K365" s="2" t="s">
        <v>33</v>
      </c>
      <c r="L365">
        <v>1156.07</v>
      </c>
      <c r="M365">
        <v>1</v>
      </c>
      <c r="N365">
        <v>16.940000000000001</v>
      </c>
      <c r="O365">
        <v>6400835</v>
      </c>
      <c r="P365" s="2" t="s">
        <v>130</v>
      </c>
      <c r="Q365" s="2" t="s">
        <v>131</v>
      </c>
      <c r="R365" s="2" t="s">
        <v>30</v>
      </c>
      <c r="S365">
        <v>11</v>
      </c>
      <c r="T365" s="1">
        <v>43196</v>
      </c>
      <c r="U365" s="1">
        <v>43197</v>
      </c>
      <c r="V365" s="2"/>
      <c r="W365" s="1">
        <f>fNotasFiscais[[#This Row],[Data da Coleta]]+fNotasFiscais[[#This Row],[Prazo Contratado]]</f>
        <v>43207</v>
      </c>
      <c r="X365" s="3">
        <f>IF(fNotasFiscais[[#This Row],[Data da Entrega]]&gt;fNotasFiscais[[#This Row],[Data Contratada]],0,1)</f>
        <v>1</v>
      </c>
      <c r="Y365" s="3">
        <f>IF(fNotasFiscais[[#This Row],[Ocorrência]]="",1,0)</f>
        <v>1</v>
      </c>
      <c r="Z365" s="2">
        <f>fNotasFiscais[[#This Row],[On Time]]*fNotasFiscais[[#This Row],[In Full]]</f>
        <v>1</v>
      </c>
      <c r="AA365">
        <f>IF(fNotasFiscais[[#This Row],[Nota Fiscal]]&lt;&gt;"",1,0)</f>
        <v>1</v>
      </c>
    </row>
    <row r="366" spans="1:27" x14ac:dyDescent="0.25">
      <c r="A366" s="1">
        <v>43196</v>
      </c>
      <c r="B366">
        <v>10775</v>
      </c>
      <c r="C366" s="2" t="s">
        <v>54</v>
      </c>
      <c r="D366" s="2" t="s">
        <v>55</v>
      </c>
      <c r="E366" s="2" t="s">
        <v>56</v>
      </c>
      <c r="F366">
        <v>4087</v>
      </c>
      <c r="G366" s="2" t="s">
        <v>158</v>
      </c>
      <c r="H366" s="2" t="s">
        <v>149</v>
      </c>
      <c r="I366" s="2" t="s">
        <v>33</v>
      </c>
      <c r="J366" s="2" t="s">
        <v>60</v>
      </c>
      <c r="K366" s="2" t="s">
        <v>33</v>
      </c>
      <c r="L366">
        <v>306.87</v>
      </c>
      <c r="M366">
        <v>1</v>
      </c>
      <c r="N366">
        <v>0.44900000000000001</v>
      </c>
      <c r="O366">
        <v>6400835</v>
      </c>
      <c r="P366" s="2" t="s">
        <v>130</v>
      </c>
      <c r="Q366" s="2" t="s">
        <v>131</v>
      </c>
      <c r="R366" s="2" t="s">
        <v>30</v>
      </c>
      <c r="S366">
        <v>11</v>
      </c>
      <c r="T366" s="1">
        <v>43196</v>
      </c>
      <c r="U366" s="1">
        <v>43204</v>
      </c>
      <c r="V366" s="2"/>
      <c r="W366" s="1">
        <f>fNotasFiscais[[#This Row],[Data da Coleta]]+fNotasFiscais[[#This Row],[Prazo Contratado]]</f>
        <v>43207</v>
      </c>
      <c r="X366" s="3">
        <f>IF(fNotasFiscais[[#This Row],[Data da Entrega]]&gt;fNotasFiscais[[#This Row],[Data Contratada]],0,1)</f>
        <v>1</v>
      </c>
      <c r="Y366" s="3">
        <f>IF(fNotasFiscais[[#This Row],[Ocorrência]]="",1,0)</f>
        <v>1</v>
      </c>
      <c r="Z366" s="2">
        <f>fNotasFiscais[[#This Row],[On Time]]*fNotasFiscais[[#This Row],[In Full]]</f>
        <v>1</v>
      </c>
      <c r="AA366">
        <f>IF(fNotasFiscais[[#This Row],[Nota Fiscal]]&lt;&gt;"",1,0)</f>
        <v>1</v>
      </c>
    </row>
    <row r="367" spans="1:27" x14ac:dyDescent="0.25">
      <c r="A367" s="1">
        <v>43196</v>
      </c>
      <c r="B367">
        <v>10776</v>
      </c>
      <c r="C367" s="2" t="s">
        <v>31</v>
      </c>
      <c r="D367" s="2" t="s">
        <v>32</v>
      </c>
      <c r="E367" s="2" t="s">
        <v>33</v>
      </c>
      <c r="F367">
        <v>4088</v>
      </c>
      <c r="G367" s="2" t="s">
        <v>159</v>
      </c>
      <c r="H367" s="2" t="s">
        <v>160</v>
      </c>
      <c r="I367" s="2" t="s">
        <v>33</v>
      </c>
      <c r="J367" s="2" t="s">
        <v>60</v>
      </c>
      <c r="K367" s="2" t="s">
        <v>33</v>
      </c>
      <c r="L367">
        <v>606.66999999999996</v>
      </c>
      <c r="M367">
        <v>1</v>
      </c>
      <c r="N367">
        <v>1.65</v>
      </c>
      <c r="O367">
        <v>6400835</v>
      </c>
      <c r="P367" s="2" t="s">
        <v>130</v>
      </c>
      <c r="Q367" s="2" t="s">
        <v>131</v>
      </c>
      <c r="R367" s="2" t="s">
        <v>30</v>
      </c>
      <c r="S367">
        <v>11</v>
      </c>
      <c r="T367" s="1">
        <v>43196</v>
      </c>
      <c r="U367" s="1">
        <v>43203</v>
      </c>
      <c r="V367" s="2"/>
      <c r="W367" s="1">
        <f>fNotasFiscais[[#This Row],[Data da Coleta]]+fNotasFiscais[[#This Row],[Prazo Contratado]]</f>
        <v>43207</v>
      </c>
      <c r="X367" s="3">
        <f>IF(fNotasFiscais[[#This Row],[Data da Entrega]]&gt;fNotasFiscais[[#This Row],[Data Contratada]],0,1)</f>
        <v>1</v>
      </c>
      <c r="Y367" s="3">
        <f>IF(fNotasFiscais[[#This Row],[Ocorrência]]="",1,0)</f>
        <v>1</v>
      </c>
      <c r="Z367" s="2">
        <f>fNotasFiscais[[#This Row],[On Time]]*fNotasFiscais[[#This Row],[In Full]]</f>
        <v>1</v>
      </c>
      <c r="AA367">
        <f>IF(fNotasFiscais[[#This Row],[Nota Fiscal]]&lt;&gt;"",1,0)</f>
        <v>1</v>
      </c>
    </row>
    <row r="368" spans="1:27" x14ac:dyDescent="0.25">
      <c r="A368" s="1">
        <v>43197</v>
      </c>
      <c r="B368">
        <v>10777</v>
      </c>
      <c r="C368" s="2" t="s">
        <v>54</v>
      </c>
      <c r="D368" s="2" t="s">
        <v>55</v>
      </c>
      <c r="E368" s="2" t="s">
        <v>56</v>
      </c>
      <c r="F368">
        <v>4018</v>
      </c>
      <c r="G368" s="2" t="s">
        <v>77</v>
      </c>
      <c r="H368" s="2" t="s">
        <v>78</v>
      </c>
      <c r="I368" s="2" t="s">
        <v>39</v>
      </c>
      <c r="J368" s="2" t="s">
        <v>28</v>
      </c>
      <c r="K368" s="2" t="s">
        <v>39</v>
      </c>
      <c r="L368">
        <v>283.39999999999998</v>
      </c>
      <c r="M368">
        <v>2</v>
      </c>
      <c r="N368">
        <v>4.5730000000000004</v>
      </c>
      <c r="O368">
        <v>6500948</v>
      </c>
      <c r="P368" s="2" t="s">
        <v>29</v>
      </c>
      <c r="Q368" s="2" t="s">
        <v>23</v>
      </c>
      <c r="R368" s="2" t="s">
        <v>30</v>
      </c>
      <c r="S368">
        <v>4</v>
      </c>
      <c r="T368" s="1">
        <v>43197</v>
      </c>
      <c r="U368" s="1">
        <v>43206</v>
      </c>
      <c r="V368" s="2"/>
      <c r="W368" s="1">
        <f>fNotasFiscais[[#This Row],[Data da Coleta]]+fNotasFiscais[[#This Row],[Prazo Contratado]]</f>
        <v>43201</v>
      </c>
      <c r="X368" s="3">
        <f>IF(fNotasFiscais[[#This Row],[Data da Entrega]]&gt;fNotasFiscais[[#This Row],[Data Contratada]],0,1)</f>
        <v>0</v>
      </c>
      <c r="Y368" s="3">
        <f>IF(fNotasFiscais[[#This Row],[Ocorrência]]="",1,0)</f>
        <v>1</v>
      </c>
      <c r="Z368" s="2">
        <f>fNotasFiscais[[#This Row],[On Time]]*fNotasFiscais[[#This Row],[In Full]]</f>
        <v>0</v>
      </c>
      <c r="AA368">
        <f>IF(fNotasFiscais[[#This Row],[Nota Fiscal]]&lt;&gt;"",1,0)</f>
        <v>1</v>
      </c>
    </row>
    <row r="369" spans="1:27" x14ac:dyDescent="0.25">
      <c r="A369" s="1">
        <v>43197</v>
      </c>
      <c r="B369">
        <v>10778</v>
      </c>
      <c r="C369" s="2" t="s">
        <v>40</v>
      </c>
      <c r="D369" s="2" t="s">
        <v>41</v>
      </c>
      <c r="E369" s="2" t="s">
        <v>33</v>
      </c>
      <c r="F369">
        <v>4055</v>
      </c>
      <c r="G369" s="2" t="s">
        <v>120</v>
      </c>
      <c r="H369" s="2" t="s">
        <v>47</v>
      </c>
      <c r="I369" s="2" t="s">
        <v>48</v>
      </c>
      <c r="J369" s="2" t="s">
        <v>49</v>
      </c>
      <c r="K369" s="2" t="s">
        <v>48</v>
      </c>
      <c r="L369">
        <v>219.86</v>
      </c>
      <c r="M369">
        <v>1</v>
      </c>
      <c r="N369">
        <v>1.1200000000000001</v>
      </c>
      <c r="O369">
        <v>6100231</v>
      </c>
      <c r="P369" s="2" t="s">
        <v>50</v>
      </c>
      <c r="Q369" s="2" t="s">
        <v>51</v>
      </c>
      <c r="R369" s="2" t="s">
        <v>30</v>
      </c>
      <c r="S369">
        <v>9</v>
      </c>
      <c r="T369" s="1">
        <v>43197</v>
      </c>
      <c r="U369" s="1">
        <v>43200</v>
      </c>
      <c r="V369" s="2"/>
      <c r="W369" s="1">
        <f>fNotasFiscais[[#This Row],[Data da Coleta]]+fNotasFiscais[[#This Row],[Prazo Contratado]]</f>
        <v>43206</v>
      </c>
      <c r="X369" s="3">
        <f>IF(fNotasFiscais[[#This Row],[Data da Entrega]]&gt;fNotasFiscais[[#This Row],[Data Contratada]],0,1)</f>
        <v>1</v>
      </c>
      <c r="Y369" s="3">
        <f>IF(fNotasFiscais[[#This Row],[Ocorrência]]="",1,0)</f>
        <v>1</v>
      </c>
      <c r="Z369" s="2">
        <f>fNotasFiscais[[#This Row],[On Time]]*fNotasFiscais[[#This Row],[In Full]]</f>
        <v>1</v>
      </c>
      <c r="AA369">
        <f>IF(fNotasFiscais[[#This Row],[Nota Fiscal]]&lt;&gt;"",1,0)</f>
        <v>1</v>
      </c>
    </row>
    <row r="370" spans="1:27" x14ac:dyDescent="0.25">
      <c r="A370" s="1">
        <v>43197</v>
      </c>
      <c r="B370">
        <v>10779</v>
      </c>
      <c r="C370" s="2" t="s">
        <v>40</v>
      </c>
      <c r="D370" s="2" t="s">
        <v>41</v>
      </c>
      <c r="E370" s="2" t="s">
        <v>33</v>
      </c>
      <c r="F370">
        <v>4021</v>
      </c>
      <c r="G370" s="2" t="s">
        <v>85</v>
      </c>
      <c r="H370" s="2" t="s">
        <v>75</v>
      </c>
      <c r="I370" s="2" t="s">
        <v>39</v>
      </c>
      <c r="J370" s="2" t="s">
        <v>28</v>
      </c>
      <c r="K370" s="2" t="s">
        <v>39</v>
      </c>
      <c r="L370">
        <v>1114.3599999999999</v>
      </c>
      <c r="M370">
        <v>1</v>
      </c>
      <c r="N370">
        <v>11.837999999999999</v>
      </c>
      <c r="O370">
        <v>6500948</v>
      </c>
      <c r="P370" s="2" t="s">
        <v>29</v>
      </c>
      <c r="Q370" s="2" t="s">
        <v>23</v>
      </c>
      <c r="R370" s="2" t="s">
        <v>30</v>
      </c>
      <c r="S370">
        <v>8</v>
      </c>
      <c r="T370" s="1">
        <v>43197</v>
      </c>
      <c r="U370" s="1">
        <v>43203</v>
      </c>
      <c r="V370" s="2"/>
      <c r="W370" s="1">
        <f>fNotasFiscais[[#This Row],[Data da Coleta]]+fNotasFiscais[[#This Row],[Prazo Contratado]]</f>
        <v>43205</v>
      </c>
      <c r="X370" s="3">
        <f>IF(fNotasFiscais[[#This Row],[Data da Entrega]]&gt;fNotasFiscais[[#This Row],[Data Contratada]],0,1)</f>
        <v>1</v>
      </c>
      <c r="Y370" s="3">
        <f>IF(fNotasFiscais[[#This Row],[Ocorrência]]="",1,0)</f>
        <v>1</v>
      </c>
      <c r="Z370" s="2">
        <f>fNotasFiscais[[#This Row],[On Time]]*fNotasFiscais[[#This Row],[In Full]]</f>
        <v>1</v>
      </c>
      <c r="AA370">
        <f>IF(fNotasFiscais[[#This Row],[Nota Fiscal]]&lt;&gt;"",1,0)</f>
        <v>1</v>
      </c>
    </row>
    <row r="371" spans="1:27" x14ac:dyDescent="0.25">
      <c r="A371" s="1">
        <v>43197</v>
      </c>
      <c r="B371">
        <v>10780</v>
      </c>
      <c r="C371" s="2" t="s">
        <v>31</v>
      </c>
      <c r="D371" s="2" t="s">
        <v>32</v>
      </c>
      <c r="E371" s="2" t="s">
        <v>33</v>
      </c>
      <c r="F371">
        <v>4025</v>
      </c>
      <c r="G371" s="2" t="s">
        <v>90</v>
      </c>
      <c r="H371" s="2" t="s">
        <v>91</v>
      </c>
      <c r="I371" s="2" t="s">
        <v>24</v>
      </c>
      <c r="J371" s="2" t="s">
        <v>28</v>
      </c>
      <c r="K371" s="2" t="s">
        <v>24</v>
      </c>
      <c r="L371">
        <v>1740.86</v>
      </c>
      <c r="M371">
        <v>2</v>
      </c>
      <c r="N371">
        <v>0.73399999999999999</v>
      </c>
      <c r="O371">
        <v>6500948</v>
      </c>
      <c r="P371" s="2" t="s">
        <v>29</v>
      </c>
      <c r="Q371" s="2" t="s">
        <v>23</v>
      </c>
      <c r="R371" s="2" t="s">
        <v>30</v>
      </c>
      <c r="S371">
        <v>9</v>
      </c>
      <c r="T371" s="1">
        <v>43197</v>
      </c>
      <c r="U371" s="1">
        <v>43207</v>
      </c>
      <c r="V371" s="2"/>
      <c r="W371" s="1">
        <f>fNotasFiscais[[#This Row],[Data da Coleta]]+fNotasFiscais[[#This Row],[Prazo Contratado]]</f>
        <v>43206</v>
      </c>
      <c r="X371" s="3">
        <f>IF(fNotasFiscais[[#This Row],[Data da Entrega]]&gt;fNotasFiscais[[#This Row],[Data Contratada]],0,1)</f>
        <v>0</v>
      </c>
      <c r="Y371" s="3">
        <f>IF(fNotasFiscais[[#This Row],[Ocorrência]]="",1,0)</f>
        <v>1</v>
      </c>
      <c r="Z371" s="2">
        <f>fNotasFiscais[[#This Row],[On Time]]*fNotasFiscais[[#This Row],[In Full]]</f>
        <v>0</v>
      </c>
      <c r="AA371">
        <f>IF(fNotasFiscais[[#This Row],[Nota Fiscal]]&lt;&gt;"",1,0)</f>
        <v>1</v>
      </c>
    </row>
    <row r="372" spans="1:27" x14ac:dyDescent="0.25">
      <c r="A372" s="1">
        <v>43197</v>
      </c>
      <c r="B372">
        <v>10781</v>
      </c>
      <c r="C372" s="2" t="s">
        <v>43</v>
      </c>
      <c r="D372" s="2" t="s">
        <v>44</v>
      </c>
      <c r="E372" s="2" t="s">
        <v>45</v>
      </c>
      <c r="F372">
        <v>4028</v>
      </c>
      <c r="G372" s="2" t="s">
        <v>95</v>
      </c>
      <c r="H372" s="2" t="s">
        <v>26</v>
      </c>
      <c r="I372" s="2" t="s">
        <v>27</v>
      </c>
      <c r="J372" s="2" t="s">
        <v>28</v>
      </c>
      <c r="K372" s="2" t="s">
        <v>27</v>
      </c>
      <c r="L372">
        <v>7017.08</v>
      </c>
      <c r="M372">
        <v>8</v>
      </c>
      <c r="N372">
        <v>38.899000000000001</v>
      </c>
      <c r="O372">
        <v>6500948</v>
      </c>
      <c r="P372" s="2" t="s">
        <v>29</v>
      </c>
      <c r="Q372" s="2" t="s">
        <v>23</v>
      </c>
      <c r="R372" s="2" t="s">
        <v>30</v>
      </c>
      <c r="S372">
        <v>3</v>
      </c>
      <c r="T372" s="1">
        <v>43197</v>
      </c>
      <c r="U372" s="1">
        <v>43206</v>
      </c>
      <c r="V372" s="2"/>
      <c r="W372" s="1">
        <f>fNotasFiscais[[#This Row],[Data da Coleta]]+fNotasFiscais[[#This Row],[Prazo Contratado]]</f>
        <v>43200</v>
      </c>
      <c r="X372" s="3">
        <f>IF(fNotasFiscais[[#This Row],[Data da Entrega]]&gt;fNotasFiscais[[#This Row],[Data Contratada]],0,1)</f>
        <v>0</v>
      </c>
      <c r="Y372" s="3">
        <f>IF(fNotasFiscais[[#This Row],[Ocorrência]]="",1,0)</f>
        <v>1</v>
      </c>
      <c r="Z372" s="2">
        <f>fNotasFiscais[[#This Row],[On Time]]*fNotasFiscais[[#This Row],[In Full]]</f>
        <v>0</v>
      </c>
      <c r="AA372">
        <f>IF(fNotasFiscais[[#This Row],[Nota Fiscal]]&lt;&gt;"",1,0)</f>
        <v>1</v>
      </c>
    </row>
    <row r="373" spans="1:27" x14ac:dyDescent="0.25">
      <c r="A373" s="1">
        <v>43197</v>
      </c>
      <c r="B373">
        <v>10782</v>
      </c>
      <c r="C373" s="2" t="s">
        <v>40</v>
      </c>
      <c r="D373" s="2" t="s">
        <v>41</v>
      </c>
      <c r="E373" s="2" t="s">
        <v>33</v>
      </c>
      <c r="F373">
        <v>4029</v>
      </c>
      <c r="G373" s="2" t="s">
        <v>100</v>
      </c>
      <c r="H373" s="2" t="s">
        <v>101</v>
      </c>
      <c r="I373" s="2" t="s">
        <v>39</v>
      </c>
      <c r="J373" s="2" t="s">
        <v>28</v>
      </c>
      <c r="K373" s="2" t="s">
        <v>39</v>
      </c>
      <c r="L373">
        <v>258.22000000000003</v>
      </c>
      <c r="M373">
        <v>1</v>
      </c>
      <c r="N373">
        <v>0.16200000000000001</v>
      </c>
      <c r="O373">
        <v>6500948</v>
      </c>
      <c r="P373" s="2" t="s">
        <v>29</v>
      </c>
      <c r="Q373" s="2" t="s">
        <v>23</v>
      </c>
      <c r="R373" s="2" t="s">
        <v>30</v>
      </c>
      <c r="S373">
        <v>4</v>
      </c>
      <c r="T373" s="1">
        <v>43197</v>
      </c>
      <c r="U373" s="1">
        <v>43200</v>
      </c>
      <c r="V373" s="2"/>
      <c r="W373" s="1">
        <f>fNotasFiscais[[#This Row],[Data da Coleta]]+fNotasFiscais[[#This Row],[Prazo Contratado]]</f>
        <v>43201</v>
      </c>
      <c r="X373" s="3">
        <f>IF(fNotasFiscais[[#This Row],[Data da Entrega]]&gt;fNotasFiscais[[#This Row],[Data Contratada]],0,1)</f>
        <v>1</v>
      </c>
      <c r="Y373" s="3">
        <f>IF(fNotasFiscais[[#This Row],[Ocorrência]]="",1,0)</f>
        <v>1</v>
      </c>
      <c r="Z373" s="2">
        <f>fNotasFiscais[[#This Row],[On Time]]*fNotasFiscais[[#This Row],[In Full]]</f>
        <v>1</v>
      </c>
      <c r="AA373">
        <f>IF(fNotasFiscais[[#This Row],[Nota Fiscal]]&lt;&gt;"",1,0)</f>
        <v>1</v>
      </c>
    </row>
    <row r="374" spans="1:27" x14ac:dyDescent="0.25">
      <c r="A374" s="1">
        <v>43197</v>
      </c>
      <c r="B374">
        <v>10783</v>
      </c>
      <c r="C374" s="2" t="s">
        <v>43</v>
      </c>
      <c r="D374" s="2" t="s">
        <v>44</v>
      </c>
      <c r="E374" s="2" t="s">
        <v>45</v>
      </c>
      <c r="F374">
        <v>4021</v>
      </c>
      <c r="G374" s="2" t="s">
        <v>85</v>
      </c>
      <c r="H374" s="2" t="s">
        <v>75</v>
      </c>
      <c r="I374" s="2" t="s">
        <v>39</v>
      </c>
      <c r="J374" s="2" t="s">
        <v>28</v>
      </c>
      <c r="K374" s="2" t="s">
        <v>39</v>
      </c>
      <c r="L374">
        <v>24.76</v>
      </c>
      <c r="M374">
        <v>1</v>
      </c>
      <c r="N374">
        <v>0.217</v>
      </c>
      <c r="O374">
        <v>6500948</v>
      </c>
      <c r="P374" s="2" t="s">
        <v>29</v>
      </c>
      <c r="Q374" s="2" t="s">
        <v>23</v>
      </c>
      <c r="R374" s="2" t="s">
        <v>30</v>
      </c>
      <c r="S374">
        <v>2</v>
      </c>
      <c r="T374" s="1">
        <v>43197</v>
      </c>
      <c r="U374" s="1">
        <v>43206</v>
      </c>
      <c r="V374" s="2"/>
      <c r="W374" s="1">
        <f>fNotasFiscais[[#This Row],[Data da Coleta]]+fNotasFiscais[[#This Row],[Prazo Contratado]]</f>
        <v>43199</v>
      </c>
      <c r="X374" s="3">
        <f>IF(fNotasFiscais[[#This Row],[Data da Entrega]]&gt;fNotasFiscais[[#This Row],[Data Contratada]],0,1)</f>
        <v>0</v>
      </c>
      <c r="Y374" s="3">
        <f>IF(fNotasFiscais[[#This Row],[Ocorrência]]="",1,0)</f>
        <v>1</v>
      </c>
      <c r="Z374" s="2">
        <f>fNotasFiscais[[#This Row],[On Time]]*fNotasFiscais[[#This Row],[In Full]]</f>
        <v>0</v>
      </c>
      <c r="AA374">
        <f>IF(fNotasFiscais[[#This Row],[Nota Fiscal]]&lt;&gt;"",1,0)</f>
        <v>1</v>
      </c>
    </row>
    <row r="375" spans="1:27" x14ac:dyDescent="0.25">
      <c r="A375" s="1">
        <v>43197</v>
      </c>
      <c r="B375">
        <v>10784</v>
      </c>
      <c r="C375" s="2" t="s">
        <v>22</v>
      </c>
      <c r="D375" s="2" t="s">
        <v>23</v>
      </c>
      <c r="E375" s="2" t="s">
        <v>24</v>
      </c>
      <c r="F375">
        <v>4029</v>
      </c>
      <c r="G375" s="2" t="s">
        <v>100</v>
      </c>
      <c r="H375" s="2" t="s">
        <v>101</v>
      </c>
      <c r="I375" s="2" t="s">
        <v>39</v>
      </c>
      <c r="J375" s="2" t="s">
        <v>28</v>
      </c>
      <c r="K375" s="2" t="s">
        <v>39</v>
      </c>
      <c r="L375">
        <v>447.01</v>
      </c>
      <c r="M375">
        <v>1</v>
      </c>
      <c r="N375">
        <v>3.85</v>
      </c>
      <c r="O375">
        <v>6500948</v>
      </c>
      <c r="P375" s="2" t="s">
        <v>29</v>
      </c>
      <c r="Q375" s="2" t="s">
        <v>23</v>
      </c>
      <c r="R375" s="2" t="s">
        <v>30</v>
      </c>
      <c r="S375">
        <v>9</v>
      </c>
      <c r="T375" s="1">
        <v>43197</v>
      </c>
      <c r="U375" s="1">
        <v>43204</v>
      </c>
      <c r="V375" s="2"/>
      <c r="W375" s="1">
        <f>fNotasFiscais[[#This Row],[Data da Coleta]]+fNotasFiscais[[#This Row],[Prazo Contratado]]</f>
        <v>43206</v>
      </c>
      <c r="X375" s="3">
        <f>IF(fNotasFiscais[[#This Row],[Data da Entrega]]&gt;fNotasFiscais[[#This Row],[Data Contratada]],0,1)</f>
        <v>1</v>
      </c>
      <c r="Y375" s="3">
        <f>IF(fNotasFiscais[[#This Row],[Ocorrência]]="",1,0)</f>
        <v>1</v>
      </c>
      <c r="Z375" s="2">
        <f>fNotasFiscais[[#This Row],[On Time]]*fNotasFiscais[[#This Row],[In Full]]</f>
        <v>1</v>
      </c>
      <c r="AA375">
        <f>IF(fNotasFiscais[[#This Row],[Nota Fiscal]]&lt;&gt;"",1,0)</f>
        <v>1</v>
      </c>
    </row>
    <row r="376" spans="1:27" x14ac:dyDescent="0.25">
      <c r="A376" s="1">
        <v>43197</v>
      </c>
      <c r="B376">
        <v>10785</v>
      </c>
      <c r="C376" s="2" t="s">
        <v>54</v>
      </c>
      <c r="D376" s="2" t="s">
        <v>55</v>
      </c>
      <c r="E376" s="2" t="s">
        <v>56</v>
      </c>
      <c r="F376">
        <v>4025</v>
      </c>
      <c r="G376" s="2" t="s">
        <v>90</v>
      </c>
      <c r="H376" s="2" t="s">
        <v>91</v>
      </c>
      <c r="I376" s="2" t="s">
        <v>24</v>
      </c>
      <c r="J376" s="2" t="s">
        <v>28</v>
      </c>
      <c r="K376" s="2" t="s">
        <v>24</v>
      </c>
      <c r="L376">
        <v>554.4</v>
      </c>
      <c r="M376">
        <v>1</v>
      </c>
      <c r="N376">
        <v>12.462999999999999</v>
      </c>
      <c r="O376">
        <v>6500948</v>
      </c>
      <c r="P376" s="2" t="s">
        <v>29</v>
      </c>
      <c r="Q376" s="2" t="s">
        <v>23</v>
      </c>
      <c r="R376" s="2" t="s">
        <v>30</v>
      </c>
      <c r="S376">
        <v>12</v>
      </c>
      <c r="T376" s="1">
        <v>43197</v>
      </c>
      <c r="U376" s="1">
        <v>43203</v>
      </c>
      <c r="V376" s="2"/>
      <c r="W376" s="1">
        <f>fNotasFiscais[[#This Row],[Data da Coleta]]+fNotasFiscais[[#This Row],[Prazo Contratado]]</f>
        <v>43209</v>
      </c>
      <c r="X376" s="3">
        <f>IF(fNotasFiscais[[#This Row],[Data da Entrega]]&gt;fNotasFiscais[[#This Row],[Data Contratada]],0,1)</f>
        <v>1</v>
      </c>
      <c r="Y376" s="3">
        <f>IF(fNotasFiscais[[#This Row],[Ocorrência]]="",1,0)</f>
        <v>1</v>
      </c>
      <c r="Z376" s="2">
        <f>fNotasFiscais[[#This Row],[On Time]]*fNotasFiscais[[#This Row],[In Full]]</f>
        <v>1</v>
      </c>
      <c r="AA376">
        <f>IF(fNotasFiscais[[#This Row],[Nota Fiscal]]&lt;&gt;"",1,0)</f>
        <v>1</v>
      </c>
    </row>
    <row r="377" spans="1:27" x14ac:dyDescent="0.25">
      <c r="A377" s="1">
        <v>43197</v>
      </c>
      <c r="B377">
        <v>10786</v>
      </c>
      <c r="C377" s="2" t="s">
        <v>34</v>
      </c>
      <c r="D377" s="2" t="s">
        <v>35</v>
      </c>
      <c r="E377" s="2" t="s">
        <v>36</v>
      </c>
      <c r="F377">
        <v>4028</v>
      </c>
      <c r="G377" s="2" t="s">
        <v>95</v>
      </c>
      <c r="H377" s="2" t="s">
        <v>26</v>
      </c>
      <c r="I377" s="2" t="s">
        <v>27</v>
      </c>
      <c r="J377" s="2" t="s">
        <v>28</v>
      </c>
      <c r="K377" s="2" t="s">
        <v>27</v>
      </c>
      <c r="L377">
        <v>780.41</v>
      </c>
      <c r="M377">
        <v>1</v>
      </c>
      <c r="N377">
        <v>1.1200000000000001</v>
      </c>
      <c r="O377">
        <v>6500948</v>
      </c>
      <c r="P377" s="2" t="s">
        <v>29</v>
      </c>
      <c r="Q377" s="2" t="s">
        <v>23</v>
      </c>
      <c r="R377" s="2" t="s">
        <v>30</v>
      </c>
      <c r="S377">
        <v>3</v>
      </c>
      <c r="T377" s="1">
        <v>43197</v>
      </c>
      <c r="U377" s="1">
        <v>43205</v>
      </c>
      <c r="V377" s="2"/>
      <c r="W377" s="1">
        <f>fNotasFiscais[[#This Row],[Data da Coleta]]+fNotasFiscais[[#This Row],[Prazo Contratado]]</f>
        <v>43200</v>
      </c>
      <c r="X377" s="3">
        <f>IF(fNotasFiscais[[#This Row],[Data da Entrega]]&gt;fNotasFiscais[[#This Row],[Data Contratada]],0,1)</f>
        <v>0</v>
      </c>
      <c r="Y377" s="3">
        <f>IF(fNotasFiscais[[#This Row],[Ocorrência]]="",1,0)</f>
        <v>1</v>
      </c>
      <c r="Z377" s="2">
        <f>fNotasFiscais[[#This Row],[On Time]]*fNotasFiscais[[#This Row],[In Full]]</f>
        <v>0</v>
      </c>
      <c r="AA377">
        <f>IF(fNotasFiscais[[#This Row],[Nota Fiscal]]&lt;&gt;"",1,0)</f>
        <v>1</v>
      </c>
    </row>
    <row r="378" spans="1:27" x14ac:dyDescent="0.25">
      <c r="A378" s="1">
        <v>43197</v>
      </c>
      <c r="B378">
        <v>10787</v>
      </c>
      <c r="C378" s="2" t="s">
        <v>31</v>
      </c>
      <c r="D378" s="2" t="s">
        <v>32</v>
      </c>
      <c r="E378" s="2" t="s">
        <v>33</v>
      </c>
      <c r="F378">
        <v>4030</v>
      </c>
      <c r="G378" s="2" t="s">
        <v>102</v>
      </c>
      <c r="H378" s="2" t="s">
        <v>35</v>
      </c>
      <c r="I378" s="2" t="s">
        <v>36</v>
      </c>
      <c r="J378" s="2" t="s">
        <v>60</v>
      </c>
      <c r="K378" s="2" t="s">
        <v>36</v>
      </c>
      <c r="L378">
        <v>380.92</v>
      </c>
      <c r="M378">
        <v>3</v>
      </c>
      <c r="N378">
        <v>0.60099999999999998</v>
      </c>
      <c r="O378">
        <v>6600879</v>
      </c>
      <c r="P378" s="2" t="s">
        <v>61</v>
      </c>
      <c r="Q378" s="2" t="s">
        <v>35</v>
      </c>
      <c r="R378" s="2" t="s">
        <v>30</v>
      </c>
      <c r="S378">
        <v>9</v>
      </c>
      <c r="T378" s="1">
        <v>43197</v>
      </c>
      <c r="U378" s="1">
        <v>43204</v>
      </c>
      <c r="V378" s="2"/>
      <c r="W378" s="1">
        <f>fNotasFiscais[[#This Row],[Data da Coleta]]+fNotasFiscais[[#This Row],[Prazo Contratado]]</f>
        <v>43206</v>
      </c>
      <c r="X378" s="3">
        <f>IF(fNotasFiscais[[#This Row],[Data da Entrega]]&gt;fNotasFiscais[[#This Row],[Data Contratada]],0,1)</f>
        <v>1</v>
      </c>
      <c r="Y378" s="3">
        <f>IF(fNotasFiscais[[#This Row],[Ocorrência]]="",1,0)</f>
        <v>1</v>
      </c>
      <c r="Z378" s="2">
        <f>fNotasFiscais[[#This Row],[On Time]]*fNotasFiscais[[#This Row],[In Full]]</f>
        <v>1</v>
      </c>
      <c r="AA378">
        <f>IF(fNotasFiscais[[#This Row],[Nota Fiscal]]&lt;&gt;"",1,0)</f>
        <v>1</v>
      </c>
    </row>
    <row r="379" spans="1:27" x14ac:dyDescent="0.25">
      <c r="A379" s="1">
        <v>43197</v>
      </c>
      <c r="B379">
        <v>10788</v>
      </c>
      <c r="C379" s="2" t="s">
        <v>22</v>
      </c>
      <c r="D379" s="2" t="s">
        <v>23</v>
      </c>
      <c r="E379" s="2" t="s">
        <v>24</v>
      </c>
      <c r="F379">
        <v>4030</v>
      </c>
      <c r="G379" s="2" t="s">
        <v>102</v>
      </c>
      <c r="H379" s="2" t="s">
        <v>35</v>
      </c>
      <c r="I379" s="2" t="s">
        <v>36</v>
      </c>
      <c r="J379" s="2" t="s">
        <v>60</v>
      </c>
      <c r="K379" s="2" t="s">
        <v>36</v>
      </c>
      <c r="L379">
        <v>22.09</v>
      </c>
      <c r="M379">
        <v>1</v>
      </c>
      <c r="N379">
        <v>1.1200000000000001</v>
      </c>
      <c r="O379">
        <v>6600879</v>
      </c>
      <c r="P379" s="2" t="s">
        <v>61</v>
      </c>
      <c r="Q379" s="2" t="s">
        <v>35</v>
      </c>
      <c r="R379" s="2" t="s">
        <v>62</v>
      </c>
      <c r="S379">
        <v>9</v>
      </c>
      <c r="T379" s="1">
        <v>43197</v>
      </c>
      <c r="U379" s="1">
        <v>43200</v>
      </c>
      <c r="V379" s="2"/>
      <c r="W379" s="1">
        <f>fNotasFiscais[[#This Row],[Data da Coleta]]+fNotasFiscais[[#This Row],[Prazo Contratado]]</f>
        <v>43206</v>
      </c>
      <c r="X379" s="3">
        <f>IF(fNotasFiscais[[#This Row],[Data da Entrega]]&gt;fNotasFiscais[[#This Row],[Data Contratada]],0,1)</f>
        <v>1</v>
      </c>
      <c r="Y379" s="3">
        <f>IF(fNotasFiscais[[#This Row],[Ocorrência]]="",1,0)</f>
        <v>1</v>
      </c>
      <c r="Z379" s="2">
        <f>fNotasFiscais[[#This Row],[On Time]]*fNotasFiscais[[#This Row],[In Full]]</f>
        <v>1</v>
      </c>
      <c r="AA379">
        <f>IF(fNotasFiscais[[#This Row],[Nota Fiscal]]&lt;&gt;"",1,0)</f>
        <v>1</v>
      </c>
    </row>
    <row r="380" spans="1:27" x14ac:dyDescent="0.25">
      <c r="A380" s="1">
        <v>43197</v>
      </c>
      <c r="B380">
        <v>10789</v>
      </c>
      <c r="C380" s="2" t="s">
        <v>31</v>
      </c>
      <c r="D380" s="2" t="s">
        <v>32</v>
      </c>
      <c r="E380" s="2" t="s">
        <v>33</v>
      </c>
      <c r="F380">
        <v>4040</v>
      </c>
      <c r="G380" s="2" t="s">
        <v>117</v>
      </c>
      <c r="H380" s="2" t="s">
        <v>47</v>
      </c>
      <c r="I380" s="2" t="s">
        <v>48</v>
      </c>
      <c r="J380" s="2" t="s">
        <v>49</v>
      </c>
      <c r="K380" s="2" t="s">
        <v>48</v>
      </c>
      <c r="L380">
        <v>233.79</v>
      </c>
      <c r="M380">
        <v>1</v>
      </c>
      <c r="N380">
        <v>0.50600000000000001</v>
      </c>
      <c r="O380">
        <v>6100231</v>
      </c>
      <c r="P380" s="2" t="s">
        <v>50</v>
      </c>
      <c r="Q380" s="2" t="s">
        <v>51</v>
      </c>
      <c r="R380" s="2" t="s">
        <v>30</v>
      </c>
      <c r="S380">
        <v>6</v>
      </c>
      <c r="T380" s="1">
        <v>43197</v>
      </c>
      <c r="U380" s="1">
        <v>43206</v>
      </c>
      <c r="V380" s="2"/>
      <c r="W380" s="1">
        <f>fNotasFiscais[[#This Row],[Data da Coleta]]+fNotasFiscais[[#This Row],[Prazo Contratado]]</f>
        <v>43203</v>
      </c>
      <c r="X380" s="3">
        <f>IF(fNotasFiscais[[#This Row],[Data da Entrega]]&gt;fNotasFiscais[[#This Row],[Data Contratada]],0,1)</f>
        <v>0</v>
      </c>
      <c r="Y380" s="3">
        <f>IF(fNotasFiscais[[#This Row],[Ocorrência]]="",1,0)</f>
        <v>1</v>
      </c>
      <c r="Z380" s="2">
        <f>fNotasFiscais[[#This Row],[On Time]]*fNotasFiscais[[#This Row],[In Full]]</f>
        <v>0</v>
      </c>
      <c r="AA380">
        <f>IF(fNotasFiscais[[#This Row],[Nota Fiscal]]&lt;&gt;"",1,0)</f>
        <v>1</v>
      </c>
    </row>
    <row r="381" spans="1:27" x14ac:dyDescent="0.25">
      <c r="A381" s="1">
        <v>43197</v>
      </c>
      <c r="B381">
        <v>10790</v>
      </c>
      <c r="C381" s="2" t="s">
        <v>54</v>
      </c>
      <c r="D381" s="2" t="s">
        <v>55</v>
      </c>
      <c r="E381" s="2" t="s">
        <v>56</v>
      </c>
      <c r="F381">
        <v>4055</v>
      </c>
      <c r="G381" s="2" t="s">
        <v>120</v>
      </c>
      <c r="H381" s="2" t="s">
        <v>47</v>
      </c>
      <c r="I381" s="2" t="s">
        <v>48</v>
      </c>
      <c r="J381" s="2" t="s">
        <v>49</v>
      </c>
      <c r="K381" s="2" t="s">
        <v>48</v>
      </c>
      <c r="L381">
        <v>174.32</v>
      </c>
      <c r="M381">
        <v>1</v>
      </c>
      <c r="N381">
        <v>5.28</v>
      </c>
      <c r="O381">
        <v>6100231</v>
      </c>
      <c r="P381" s="2" t="s">
        <v>50</v>
      </c>
      <c r="Q381" s="2" t="s">
        <v>51</v>
      </c>
      <c r="R381" s="2" t="s">
        <v>30</v>
      </c>
      <c r="S381">
        <v>4</v>
      </c>
      <c r="T381" s="1">
        <v>43197</v>
      </c>
      <c r="U381" s="1">
        <v>43206</v>
      </c>
      <c r="V381" s="2"/>
      <c r="W381" s="1">
        <f>fNotasFiscais[[#This Row],[Data da Coleta]]+fNotasFiscais[[#This Row],[Prazo Contratado]]</f>
        <v>43201</v>
      </c>
      <c r="X381" s="3">
        <f>IF(fNotasFiscais[[#This Row],[Data da Entrega]]&gt;fNotasFiscais[[#This Row],[Data Contratada]],0,1)</f>
        <v>0</v>
      </c>
      <c r="Y381" s="3">
        <f>IF(fNotasFiscais[[#This Row],[Ocorrência]]="",1,0)</f>
        <v>1</v>
      </c>
      <c r="Z381" s="2">
        <f>fNotasFiscais[[#This Row],[On Time]]*fNotasFiscais[[#This Row],[In Full]]</f>
        <v>0</v>
      </c>
      <c r="AA381">
        <f>IF(fNotasFiscais[[#This Row],[Nota Fiscal]]&lt;&gt;"",1,0)</f>
        <v>1</v>
      </c>
    </row>
    <row r="382" spans="1:27" x14ac:dyDescent="0.25">
      <c r="A382" s="1">
        <v>43197</v>
      </c>
      <c r="B382">
        <v>10791</v>
      </c>
      <c r="C382" s="2" t="s">
        <v>52</v>
      </c>
      <c r="D382" s="2" t="s">
        <v>53</v>
      </c>
      <c r="E382" s="2" t="s">
        <v>33</v>
      </c>
      <c r="F382">
        <v>4040</v>
      </c>
      <c r="G382" s="2" t="s">
        <v>117</v>
      </c>
      <c r="H382" s="2" t="s">
        <v>47</v>
      </c>
      <c r="I382" s="2" t="s">
        <v>48</v>
      </c>
      <c r="J382" s="2" t="s">
        <v>49</v>
      </c>
      <c r="K382" s="2" t="s">
        <v>48</v>
      </c>
      <c r="L382">
        <v>213.6</v>
      </c>
      <c r="M382">
        <v>1</v>
      </c>
      <c r="N382">
        <v>0.53900000000000003</v>
      </c>
      <c r="O382">
        <v>6100231</v>
      </c>
      <c r="P382" s="2" t="s">
        <v>50</v>
      </c>
      <c r="Q382" s="2" t="s">
        <v>51</v>
      </c>
      <c r="R382" s="2" t="s">
        <v>30</v>
      </c>
      <c r="S382">
        <v>5</v>
      </c>
      <c r="T382" s="1">
        <v>43197</v>
      </c>
      <c r="U382" s="1">
        <v>43207</v>
      </c>
      <c r="V382" s="2"/>
      <c r="W382" s="1">
        <f>fNotasFiscais[[#This Row],[Data da Coleta]]+fNotasFiscais[[#This Row],[Prazo Contratado]]</f>
        <v>43202</v>
      </c>
      <c r="X382" s="3">
        <f>IF(fNotasFiscais[[#This Row],[Data da Entrega]]&gt;fNotasFiscais[[#This Row],[Data Contratada]],0,1)</f>
        <v>0</v>
      </c>
      <c r="Y382" s="3">
        <f>IF(fNotasFiscais[[#This Row],[Ocorrência]]="",1,0)</f>
        <v>1</v>
      </c>
      <c r="Z382" s="2">
        <f>fNotasFiscais[[#This Row],[On Time]]*fNotasFiscais[[#This Row],[In Full]]</f>
        <v>0</v>
      </c>
      <c r="AA382">
        <f>IF(fNotasFiscais[[#This Row],[Nota Fiscal]]&lt;&gt;"",1,0)</f>
        <v>1</v>
      </c>
    </row>
    <row r="383" spans="1:27" x14ac:dyDescent="0.25">
      <c r="A383" s="1">
        <v>43201</v>
      </c>
      <c r="B383">
        <v>10792</v>
      </c>
      <c r="C383" s="2" t="s">
        <v>22</v>
      </c>
      <c r="D383" s="2" t="s">
        <v>23</v>
      </c>
      <c r="E383" s="2" t="s">
        <v>24</v>
      </c>
      <c r="F383">
        <v>4012</v>
      </c>
      <c r="G383" s="2" t="s">
        <v>25</v>
      </c>
      <c r="H383" s="2" t="s">
        <v>26</v>
      </c>
      <c r="I383" s="2" t="s">
        <v>27</v>
      </c>
      <c r="J383" s="2" t="s">
        <v>28</v>
      </c>
      <c r="K383" s="2" t="s">
        <v>27</v>
      </c>
      <c r="L383">
        <v>125.92</v>
      </c>
      <c r="M383">
        <v>1</v>
      </c>
      <c r="N383">
        <v>0.45100000000000001</v>
      </c>
      <c r="O383">
        <v>6500948</v>
      </c>
      <c r="P383" s="2" t="s">
        <v>29</v>
      </c>
      <c r="Q383" s="2" t="s">
        <v>23</v>
      </c>
      <c r="R383" s="2" t="s">
        <v>30</v>
      </c>
      <c r="S383">
        <v>6</v>
      </c>
      <c r="T383" s="1">
        <v>43201</v>
      </c>
      <c r="U383" s="1">
        <v>43202</v>
      </c>
      <c r="V383" s="2"/>
      <c r="W383" s="1">
        <f>fNotasFiscais[[#This Row],[Data da Coleta]]+fNotasFiscais[[#This Row],[Prazo Contratado]]</f>
        <v>43207</v>
      </c>
      <c r="X383" s="3">
        <f>IF(fNotasFiscais[[#This Row],[Data da Entrega]]&gt;fNotasFiscais[[#This Row],[Data Contratada]],0,1)</f>
        <v>1</v>
      </c>
      <c r="Y383" s="3">
        <f>IF(fNotasFiscais[[#This Row],[Ocorrência]]="",1,0)</f>
        <v>1</v>
      </c>
      <c r="Z383" s="2">
        <f>fNotasFiscais[[#This Row],[On Time]]*fNotasFiscais[[#This Row],[In Full]]</f>
        <v>1</v>
      </c>
      <c r="AA383">
        <f>IF(fNotasFiscais[[#This Row],[Nota Fiscal]]&lt;&gt;"",1,0)</f>
        <v>1</v>
      </c>
    </row>
    <row r="384" spans="1:27" x14ac:dyDescent="0.25">
      <c r="A384" s="1">
        <v>43201</v>
      </c>
      <c r="B384">
        <v>10793</v>
      </c>
      <c r="C384" s="2" t="s">
        <v>54</v>
      </c>
      <c r="D384" s="2" t="s">
        <v>55</v>
      </c>
      <c r="E384" s="2" t="s">
        <v>56</v>
      </c>
      <c r="F384">
        <v>4034</v>
      </c>
      <c r="G384" s="2" t="s">
        <v>110</v>
      </c>
      <c r="H384" s="2" t="s">
        <v>51</v>
      </c>
      <c r="I384" s="2" t="s">
        <v>73</v>
      </c>
      <c r="J384" s="2" t="s">
        <v>49</v>
      </c>
      <c r="K384" s="2" t="s">
        <v>73</v>
      </c>
      <c r="L384">
        <v>3957.83</v>
      </c>
      <c r="M384">
        <v>1</v>
      </c>
      <c r="N384">
        <v>2.3130000000000002</v>
      </c>
      <c r="O384">
        <v>6100231</v>
      </c>
      <c r="P384" s="2" t="s">
        <v>50</v>
      </c>
      <c r="Q384" s="2" t="s">
        <v>51</v>
      </c>
      <c r="R384" s="2" t="s">
        <v>30</v>
      </c>
      <c r="S384">
        <v>7</v>
      </c>
      <c r="T384" s="1">
        <v>43201</v>
      </c>
      <c r="U384" s="1">
        <v>43203</v>
      </c>
      <c r="V384" s="2"/>
      <c r="W384" s="1">
        <f>fNotasFiscais[[#This Row],[Data da Coleta]]+fNotasFiscais[[#This Row],[Prazo Contratado]]</f>
        <v>43208</v>
      </c>
      <c r="X384" s="3">
        <f>IF(fNotasFiscais[[#This Row],[Data da Entrega]]&gt;fNotasFiscais[[#This Row],[Data Contratada]],0,1)</f>
        <v>1</v>
      </c>
      <c r="Y384" s="3">
        <f>IF(fNotasFiscais[[#This Row],[Ocorrência]]="",1,0)</f>
        <v>1</v>
      </c>
      <c r="Z384" s="2">
        <f>fNotasFiscais[[#This Row],[On Time]]*fNotasFiscais[[#This Row],[In Full]]</f>
        <v>1</v>
      </c>
      <c r="AA384">
        <f>IF(fNotasFiscais[[#This Row],[Nota Fiscal]]&lt;&gt;"",1,0)</f>
        <v>1</v>
      </c>
    </row>
    <row r="385" spans="1:27" x14ac:dyDescent="0.25">
      <c r="A385" s="1">
        <v>43201</v>
      </c>
      <c r="B385">
        <v>10794</v>
      </c>
      <c r="C385" s="2" t="s">
        <v>43</v>
      </c>
      <c r="D385" s="2" t="s">
        <v>44</v>
      </c>
      <c r="E385" s="2" t="s">
        <v>45</v>
      </c>
      <c r="F385">
        <v>4022</v>
      </c>
      <c r="G385" s="2" t="s">
        <v>86</v>
      </c>
      <c r="H385" s="2" t="s">
        <v>87</v>
      </c>
      <c r="I385" s="2" t="s">
        <v>27</v>
      </c>
      <c r="J385" s="2" t="s">
        <v>28</v>
      </c>
      <c r="K385" s="2" t="s">
        <v>27</v>
      </c>
      <c r="L385">
        <v>523.30999999999995</v>
      </c>
      <c r="M385">
        <v>1</v>
      </c>
      <c r="N385">
        <v>11.167</v>
      </c>
      <c r="O385">
        <v>6500948</v>
      </c>
      <c r="P385" s="2" t="s">
        <v>29</v>
      </c>
      <c r="Q385" s="2" t="s">
        <v>23</v>
      </c>
      <c r="R385" s="2" t="s">
        <v>62</v>
      </c>
      <c r="S385">
        <v>5</v>
      </c>
      <c r="T385" s="1">
        <v>43201</v>
      </c>
      <c r="U385" s="1">
        <v>43204</v>
      </c>
      <c r="V385" s="2"/>
      <c r="W385" s="1">
        <f>fNotasFiscais[[#This Row],[Data da Coleta]]+fNotasFiscais[[#This Row],[Prazo Contratado]]</f>
        <v>43206</v>
      </c>
      <c r="X385" s="3">
        <f>IF(fNotasFiscais[[#This Row],[Data da Entrega]]&gt;fNotasFiscais[[#This Row],[Data Contratada]],0,1)</f>
        <v>1</v>
      </c>
      <c r="Y385" s="3">
        <f>IF(fNotasFiscais[[#This Row],[Ocorrência]]="",1,0)</f>
        <v>1</v>
      </c>
      <c r="Z385" s="2">
        <f>fNotasFiscais[[#This Row],[On Time]]*fNotasFiscais[[#This Row],[In Full]]</f>
        <v>1</v>
      </c>
      <c r="AA385">
        <f>IF(fNotasFiscais[[#This Row],[Nota Fiscal]]&lt;&gt;"",1,0)</f>
        <v>1</v>
      </c>
    </row>
    <row r="386" spans="1:27" x14ac:dyDescent="0.25">
      <c r="A386" s="1">
        <v>43202</v>
      </c>
      <c r="B386">
        <v>10795</v>
      </c>
      <c r="C386" s="2" t="s">
        <v>54</v>
      </c>
      <c r="D386" s="2" t="s">
        <v>55</v>
      </c>
      <c r="E386" s="2" t="s">
        <v>56</v>
      </c>
      <c r="F386">
        <v>4057</v>
      </c>
      <c r="G386" s="2" t="s">
        <v>133</v>
      </c>
      <c r="H386" s="2" t="s">
        <v>97</v>
      </c>
      <c r="I386" s="2" t="s">
        <v>48</v>
      </c>
      <c r="J386" s="2" t="s">
        <v>49</v>
      </c>
      <c r="K386" s="2" t="s">
        <v>48</v>
      </c>
      <c r="L386">
        <v>754.21</v>
      </c>
      <c r="M386">
        <v>1</v>
      </c>
      <c r="N386">
        <v>22</v>
      </c>
      <c r="O386">
        <v>6100231</v>
      </c>
      <c r="P386" s="2" t="s">
        <v>50</v>
      </c>
      <c r="Q386" s="2" t="s">
        <v>51</v>
      </c>
      <c r="R386" s="2" t="s">
        <v>30</v>
      </c>
      <c r="S386">
        <v>6</v>
      </c>
      <c r="T386" s="1">
        <v>43202</v>
      </c>
      <c r="U386" s="1">
        <v>43209</v>
      </c>
      <c r="V386" s="2"/>
      <c r="W386" s="1">
        <f>fNotasFiscais[[#This Row],[Data da Coleta]]+fNotasFiscais[[#This Row],[Prazo Contratado]]</f>
        <v>43208</v>
      </c>
      <c r="X386" s="3">
        <f>IF(fNotasFiscais[[#This Row],[Data da Entrega]]&gt;fNotasFiscais[[#This Row],[Data Contratada]],0,1)</f>
        <v>0</v>
      </c>
      <c r="Y386" s="3">
        <f>IF(fNotasFiscais[[#This Row],[Ocorrência]]="",1,0)</f>
        <v>1</v>
      </c>
      <c r="Z386" s="2">
        <f>fNotasFiscais[[#This Row],[On Time]]*fNotasFiscais[[#This Row],[In Full]]</f>
        <v>0</v>
      </c>
      <c r="AA386">
        <f>IF(fNotasFiscais[[#This Row],[Nota Fiscal]]&lt;&gt;"",1,0)</f>
        <v>1</v>
      </c>
    </row>
    <row r="387" spans="1:27" x14ac:dyDescent="0.25">
      <c r="A387" s="1">
        <v>43202</v>
      </c>
      <c r="B387">
        <v>10796</v>
      </c>
      <c r="C387" s="2" t="s">
        <v>40</v>
      </c>
      <c r="D387" s="2" t="s">
        <v>41</v>
      </c>
      <c r="E387" s="2" t="s">
        <v>33</v>
      </c>
      <c r="F387">
        <v>4012</v>
      </c>
      <c r="G387" s="2" t="s">
        <v>25</v>
      </c>
      <c r="H387" s="2" t="s">
        <v>26</v>
      </c>
      <c r="I387" s="2" t="s">
        <v>27</v>
      </c>
      <c r="J387" s="2" t="s">
        <v>28</v>
      </c>
      <c r="K387" s="2" t="s">
        <v>27</v>
      </c>
      <c r="L387">
        <v>5692.77</v>
      </c>
      <c r="M387">
        <v>20</v>
      </c>
      <c r="N387">
        <v>62.445999999999998</v>
      </c>
      <c r="O387">
        <v>6500948</v>
      </c>
      <c r="P387" s="2" t="s">
        <v>29</v>
      </c>
      <c r="Q387" s="2" t="s">
        <v>23</v>
      </c>
      <c r="R387" s="2" t="s">
        <v>30</v>
      </c>
      <c r="S387">
        <v>3</v>
      </c>
      <c r="T387" s="1">
        <v>43202</v>
      </c>
      <c r="U387" s="1">
        <v>43212</v>
      </c>
      <c r="V387" s="2" t="s">
        <v>57</v>
      </c>
      <c r="W387" s="1">
        <f>fNotasFiscais[[#This Row],[Data da Coleta]]+fNotasFiscais[[#This Row],[Prazo Contratado]]</f>
        <v>43205</v>
      </c>
      <c r="X387" s="3">
        <f>IF(fNotasFiscais[[#This Row],[Data da Entrega]]&gt;fNotasFiscais[[#This Row],[Data Contratada]],0,1)</f>
        <v>0</v>
      </c>
      <c r="Y387" s="3">
        <f>IF(fNotasFiscais[[#This Row],[Ocorrência]]="",1,0)</f>
        <v>0</v>
      </c>
      <c r="Z387" s="2">
        <f>fNotasFiscais[[#This Row],[On Time]]*fNotasFiscais[[#This Row],[In Full]]</f>
        <v>0</v>
      </c>
      <c r="AA387">
        <f>IF(fNotasFiscais[[#This Row],[Nota Fiscal]]&lt;&gt;"",1,0)</f>
        <v>1</v>
      </c>
    </row>
    <row r="388" spans="1:27" x14ac:dyDescent="0.25">
      <c r="A388" s="1">
        <v>43202</v>
      </c>
      <c r="B388">
        <v>10797</v>
      </c>
      <c r="C388" s="2" t="s">
        <v>22</v>
      </c>
      <c r="D388" s="2" t="s">
        <v>23</v>
      </c>
      <c r="E388" s="2" t="s">
        <v>24</v>
      </c>
      <c r="F388">
        <v>4014</v>
      </c>
      <c r="G388" s="2" t="s">
        <v>58</v>
      </c>
      <c r="H388" s="2" t="s">
        <v>59</v>
      </c>
      <c r="I388" s="2" t="s">
        <v>36</v>
      </c>
      <c r="J388" s="2" t="s">
        <v>60</v>
      </c>
      <c r="K388" s="2" t="s">
        <v>36</v>
      </c>
      <c r="L388">
        <v>2829.41</v>
      </c>
      <c r="M388">
        <v>16</v>
      </c>
      <c r="N388">
        <v>49.518000000000001</v>
      </c>
      <c r="O388">
        <v>6600879</v>
      </c>
      <c r="P388" s="2" t="s">
        <v>61</v>
      </c>
      <c r="Q388" s="2" t="s">
        <v>35</v>
      </c>
      <c r="R388" s="2" t="s">
        <v>30</v>
      </c>
      <c r="S388">
        <v>11</v>
      </c>
      <c r="T388" s="1">
        <v>43202</v>
      </c>
      <c r="U388" s="1">
        <v>43212</v>
      </c>
      <c r="V388" s="2"/>
      <c r="W388" s="1">
        <f>fNotasFiscais[[#This Row],[Data da Coleta]]+fNotasFiscais[[#This Row],[Prazo Contratado]]</f>
        <v>43213</v>
      </c>
      <c r="X388" s="3">
        <f>IF(fNotasFiscais[[#This Row],[Data da Entrega]]&gt;fNotasFiscais[[#This Row],[Data Contratada]],0,1)</f>
        <v>1</v>
      </c>
      <c r="Y388" s="3">
        <f>IF(fNotasFiscais[[#This Row],[Ocorrência]]="",1,0)</f>
        <v>1</v>
      </c>
      <c r="Z388" s="2">
        <f>fNotasFiscais[[#This Row],[On Time]]*fNotasFiscais[[#This Row],[In Full]]</f>
        <v>1</v>
      </c>
      <c r="AA388">
        <f>IF(fNotasFiscais[[#This Row],[Nota Fiscal]]&lt;&gt;"",1,0)</f>
        <v>1</v>
      </c>
    </row>
    <row r="389" spans="1:27" x14ac:dyDescent="0.25">
      <c r="A389" s="1">
        <v>43202</v>
      </c>
      <c r="B389">
        <v>10798</v>
      </c>
      <c r="C389" s="2" t="s">
        <v>54</v>
      </c>
      <c r="D389" s="2" t="s">
        <v>55</v>
      </c>
      <c r="E389" s="2" t="s">
        <v>56</v>
      </c>
      <c r="F389">
        <v>4014</v>
      </c>
      <c r="G389" s="2" t="s">
        <v>58</v>
      </c>
      <c r="H389" s="2" t="s">
        <v>59</v>
      </c>
      <c r="I389" s="2" t="s">
        <v>36</v>
      </c>
      <c r="J389" s="2" t="s">
        <v>60</v>
      </c>
      <c r="K389" s="2" t="s">
        <v>36</v>
      </c>
      <c r="L389">
        <v>1905.34</v>
      </c>
      <c r="M389">
        <v>1</v>
      </c>
      <c r="N389">
        <v>1.1200000000000001</v>
      </c>
      <c r="O389">
        <v>6600879</v>
      </c>
      <c r="P389" s="2" t="s">
        <v>61</v>
      </c>
      <c r="Q389" s="2" t="s">
        <v>35</v>
      </c>
      <c r="R389" s="2" t="s">
        <v>30</v>
      </c>
      <c r="S389">
        <v>1</v>
      </c>
      <c r="T389" s="1">
        <v>43202</v>
      </c>
      <c r="U389" s="1">
        <v>43208</v>
      </c>
      <c r="V389" s="2"/>
      <c r="W389" s="1">
        <f>fNotasFiscais[[#This Row],[Data da Coleta]]+fNotasFiscais[[#This Row],[Prazo Contratado]]</f>
        <v>43203</v>
      </c>
      <c r="X389" s="3">
        <f>IF(fNotasFiscais[[#This Row],[Data da Entrega]]&gt;fNotasFiscais[[#This Row],[Data Contratada]],0,1)</f>
        <v>0</v>
      </c>
      <c r="Y389" s="3">
        <f>IF(fNotasFiscais[[#This Row],[Ocorrência]]="",1,0)</f>
        <v>1</v>
      </c>
      <c r="Z389" s="2">
        <f>fNotasFiscais[[#This Row],[On Time]]*fNotasFiscais[[#This Row],[In Full]]</f>
        <v>0</v>
      </c>
      <c r="AA389">
        <f>IF(fNotasFiscais[[#This Row],[Nota Fiscal]]&lt;&gt;"",1,0)</f>
        <v>1</v>
      </c>
    </row>
    <row r="390" spans="1:27" x14ac:dyDescent="0.25">
      <c r="A390" s="1">
        <v>43202</v>
      </c>
      <c r="B390">
        <v>10799</v>
      </c>
      <c r="C390" s="2" t="s">
        <v>54</v>
      </c>
      <c r="D390" s="2" t="s">
        <v>55</v>
      </c>
      <c r="E390" s="2" t="s">
        <v>56</v>
      </c>
      <c r="F390">
        <v>4014</v>
      </c>
      <c r="G390" s="2" t="s">
        <v>58</v>
      </c>
      <c r="H390" s="2" t="s">
        <v>59</v>
      </c>
      <c r="I390" s="2" t="s">
        <v>36</v>
      </c>
      <c r="J390" s="2" t="s">
        <v>60</v>
      </c>
      <c r="K390" s="2" t="s">
        <v>36</v>
      </c>
      <c r="L390">
        <v>573.01</v>
      </c>
      <c r="M390">
        <v>1</v>
      </c>
      <c r="N390">
        <v>1.76</v>
      </c>
      <c r="O390">
        <v>6600879</v>
      </c>
      <c r="P390" s="2" t="s">
        <v>61</v>
      </c>
      <c r="Q390" s="2" t="s">
        <v>35</v>
      </c>
      <c r="R390" s="2" t="s">
        <v>30</v>
      </c>
      <c r="S390">
        <v>2</v>
      </c>
      <c r="T390" s="1">
        <v>43202</v>
      </c>
      <c r="U390" s="1">
        <v>43212</v>
      </c>
      <c r="V390" s="2"/>
      <c r="W390" s="1">
        <f>fNotasFiscais[[#This Row],[Data da Coleta]]+fNotasFiscais[[#This Row],[Prazo Contratado]]</f>
        <v>43204</v>
      </c>
      <c r="X390" s="3">
        <f>IF(fNotasFiscais[[#This Row],[Data da Entrega]]&gt;fNotasFiscais[[#This Row],[Data Contratada]],0,1)</f>
        <v>0</v>
      </c>
      <c r="Y390" s="3">
        <f>IF(fNotasFiscais[[#This Row],[Ocorrência]]="",1,0)</f>
        <v>1</v>
      </c>
      <c r="Z390" s="2">
        <f>fNotasFiscais[[#This Row],[On Time]]*fNotasFiscais[[#This Row],[In Full]]</f>
        <v>0</v>
      </c>
      <c r="AA390">
        <f>IF(fNotasFiscais[[#This Row],[Nota Fiscal]]&lt;&gt;"",1,0)</f>
        <v>1</v>
      </c>
    </row>
    <row r="391" spans="1:27" x14ac:dyDescent="0.25">
      <c r="A391" s="1">
        <v>43202</v>
      </c>
      <c r="B391">
        <v>10800</v>
      </c>
      <c r="C391" s="2" t="s">
        <v>22</v>
      </c>
      <c r="D391" s="2" t="s">
        <v>23</v>
      </c>
      <c r="E391" s="2" t="s">
        <v>24</v>
      </c>
      <c r="F391">
        <v>4032</v>
      </c>
      <c r="G391" s="2" t="s">
        <v>108</v>
      </c>
      <c r="H391" s="2" t="s">
        <v>51</v>
      </c>
      <c r="I391" s="2" t="s">
        <v>73</v>
      </c>
      <c r="J391" s="2" t="s">
        <v>49</v>
      </c>
      <c r="K391" s="2" t="s">
        <v>73</v>
      </c>
      <c r="L391">
        <v>382.36</v>
      </c>
      <c r="M391">
        <v>2</v>
      </c>
      <c r="N391">
        <v>10.965999999999999</v>
      </c>
      <c r="O391">
        <v>6100231</v>
      </c>
      <c r="P391" s="2" t="s">
        <v>50</v>
      </c>
      <c r="Q391" s="2" t="s">
        <v>51</v>
      </c>
      <c r="R391" s="2" t="s">
        <v>30</v>
      </c>
      <c r="S391">
        <v>8</v>
      </c>
      <c r="T391" s="1">
        <v>43202</v>
      </c>
      <c r="U391" s="1">
        <v>43208</v>
      </c>
      <c r="V391" s="2"/>
      <c r="W391" s="1">
        <f>fNotasFiscais[[#This Row],[Data da Coleta]]+fNotasFiscais[[#This Row],[Prazo Contratado]]</f>
        <v>43210</v>
      </c>
      <c r="X391" s="3">
        <f>IF(fNotasFiscais[[#This Row],[Data da Entrega]]&gt;fNotasFiscais[[#This Row],[Data Contratada]],0,1)</f>
        <v>1</v>
      </c>
      <c r="Y391" s="3">
        <f>IF(fNotasFiscais[[#This Row],[Ocorrência]]="",1,0)</f>
        <v>1</v>
      </c>
      <c r="Z391" s="2">
        <f>fNotasFiscais[[#This Row],[On Time]]*fNotasFiscais[[#This Row],[In Full]]</f>
        <v>1</v>
      </c>
      <c r="AA391">
        <f>IF(fNotasFiscais[[#This Row],[Nota Fiscal]]&lt;&gt;"",1,0)</f>
        <v>1</v>
      </c>
    </row>
    <row r="392" spans="1:27" x14ac:dyDescent="0.25">
      <c r="A392" s="1">
        <v>43203</v>
      </c>
      <c r="B392">
        <v>10801</v>
      </c>
      <c r="C392" s="2" t="s">
        <v>22</v>
      </c>
      <c r="D392" s="2" t="s">
        <v>23</v>
      </c>
      <c r="E392" s="2" t="s">
        <v>24</v>
      </c>
      <c r="F392">
        <v>4089</v>
      </c>
      <c r="G392" s="2" t="s">
        <v>161</v>
      </c>
      <c r="H392" s="2" t="s">
        <v>32</v>
      </c>
      <c r="I392" s="2" t="s">
        <v>33</v>
      </c>
      <c r="J392" s="2" t="s">
        <v>60</v>
      </c>
      <c r="K392" s="2" t="s">
        <v>33</v>
      </c>
      <c r="L392">
        <v>498.77</v>
      </c>
      <c r="M392">
        <v>1</v>
      </c>
      <c r="N392">
        <v>6.6</v>
      </c>
      <c r="O392">
        <v>6400835</v>
      </c>
      <c r="P392" s="2" t="s">
        <v>130</v>
      </c>
      <c r="Q392" s="2" t="s">
        <v>131</v>
      </c>
      <c r="R392" s="2" t="s">
        <v>30</v>
      </c>
      <c r="S392">
        <v>7</v>
      </c>
      <c r="T392" s="1">
        <v>43203</v>
      </c>
      <c r="U392" s="1">
        <v>43204</v>
      </c>
      <c r="V392" s="2"/>
      <c r="W392" s="1">
        <f>fNotasFiscais[[#This Row],[Data da Coleta]]+fNotasFiscais[[#This Row],[Prazo Contratado]]</f>
        <v>43210</v>
      </c>
      <c r="X392" s="3">
        <f>IF(fNotasFiscais[[#This Row],[Data da Entrega]]&gt;fNotasFiscais[[#This Row],[Data Contratada]],0,1)</f>
        <v>1</v>
      </c>
      <c r="Y392" s="3">
        <f>IF(fNotasFiscais[[#This Row],[Ocorrência]]="",1,0)</f>
        <v>1</v>
      </c>
      <c r="Z392" s="2">
        <f>fNotasFiscais[[#This Row],[On Time]]*fNotasFiscais[[#This Row],[In Full]]</f>
        <v>1</v>
      </c>
      <c r="AA392">
        <f>IF(fNotasFiscais[[#This Row],[Nota Fiscal]]&lt;&gt;"",1,0)</f>
        <v>1</v>
      </c>
    </row>
    <row r="393" spans="1:27" x14ac:dyDescent="0.25">
      <c r="A393" s="1">
        <v>43208</v>
      </c>
      <c r="B393">
        <v>10802</v>
      </c>
      <c r="C393" s="2" t="s">
        <v>34</v>
      </c>
      <c r="D393" s="2" t="s">
        <v>35</v>
      </c>
      <c r="E393" s="2" t="s">
        <v>36</v>
      </c>
      <c r="F393">
        <v>4090</v>
      </c>
      <c r="G393" s="2" t="s">
        <v>162</v>
      </c>
      <c r="H393" s="2" t="s">
        <v>32</v>
      </c>
      <c r="I393" s="2" t="s">
        <v>33</v>
      </c>
      <c r="J393" s="2" t="s">
        <v>60</v>
      </c>
      <c r="K393" s="2" t="s">
        <v>33</v>
      </c>
      <c r="L393">
        <v>2601.77</v>
      </c>
      <c r="M393">
        <v>13</v>
      </c>
      <c r="N393">
        <v>44.750999999999998</v>
      </c>
      <c r="O393">
        <v>6400835</v>
      </c>
      <c r="P393" s="2" t="s">
        <v>130</v>
      </c>
      <c r="Q393" s="2" t="s">
        <v>131</v>
      </c>
      <c r="R393" s="2" t="s">
        <v>30</v>
      </c>
      <c r="S393">
        <v>1</v>
      </c>
      <c r="T393" s="1">
        <v>43208</v>
      </c>
      <c r="U393" s="1">
        <v>43217</v>
      </c>
      <c r="V393" s="2"/>
      <c r="W393" s="1">
        <f>fNotasFiscais[[#This Row],[Data da Coleta]]+fNotasFiscais[[#This Row],[Prazo Contratado]]</f>
        <v>43209</v>
      </c>
      <c r="X393" s="3">
        <f>IF(fNotasFiscais[[#This Row],[Data da Entrega]]&gt;fNotasFiscais[[#This Row],[Data Contratada]],0,1)</f>
        <v>0</v>
      </c>
      <c r="Y393" s="3">
        <f>IF(fNotasFiscais[[#This Row],[Ocorrência]]="",1,0)</f>
        <v>1</v>
      </c>
      <c r="Z393" s="2">
        <f>fNotasFiscais[[#This Row],[On Time]]*fNotasFiscais[[#This Row],[In Full]]</f>
        <v>0</v>
      </c>
      <c r="AA393">
        <f>IF(fNotasFiscais[[#This Row],[Nota Fiscal]]&lt;&gt;"",1,0)</f>
        <v>1</v>
      </c>
    </row>
    <row r="394" spans="1:27" x14ac:dyDescent="0.25">
      <c r="A394" s="1">
        <v>43208</v>
      </c>
      <c r="B394">
        <v>10803</v>
      </c>
      <c r="C394" s="2" t="s">
        <v>22</v>
      </c>
      <c r="D394" s="2" t="s">
        <v>23</v>
      </c>
      <c r="E394" s="2" t="s">
        <v>24</v>
      </c>
      <c r="F394">
        <v>4091</v>
      </c>
      <c r="G394" s="2" t="s">
        <v>163</v>
      </c>
      <c r="H394" s="2" t="s">
        <v>32</v>
      </c>
      <c r="I394" s="2" t="s">
        <v>33</v>
      </c>
      <c r="J394" s="2" t="s">
        <v>60</v>
      </c>
      <c r="K394" s="2" t="s">
        <v>33</v>
      </c>
      <c r="L394">
        <v>163.72999999999999</v>
      </c>
      <c r="M394">
        <v>1</v>
      </c>
      <c r="N394">
        <v>3.3</v>
      </c>
      <c r="O394">
        <v>6400835</v>
      </c>
      <c r="P394" s="2" t="s">
        <v>130</v>
      </c>
      <c r="Q394" s="2" t="s">
        <v>131</v>
      </c>
      <c r="R394" s="2" t="s">
        <v>30</v>
      </c>
      <c r="S394">
        <v>7</v>
      </c>
      <c r="T394" s="1">
        <v>43208</v>
      </c>
      <c r="U394" s="1">
        <v>43215</v>
      </c>
      <c r="V394" s="2"/>
      <c r="W394" s="1">
        <f>fNotasFiscais[[#This Row],[Data da Coleta]]+fNotasFiscais[[#This Row],[Prazo Contratado]]</f>
        <v>43215</v>
      </c>
      <c r="X394" s="3">
        <f>IF(fNotasFiscais[[#This Row],[Data da Entrega]]&gt;fNotasFiscais[[#This Row],[Data Contratada]],0,1)</f>
        <v>1</v>
      </c>
      <c r="Y394" s="3">
        <f>IF(fNotasFiscais[[#This Row],[Ocorrência]]="",1,0)</f>
        <v>1</v>
      </c>
      <c r="Z394" s="2">
        <f>fNotasFiscais[[#This Row],[On Time]]*fNotasFiscais[[#This Row],[In Full]]</f>
        <v>1</v>
      </c>
      <c r="AA394">
        <f>IF(fNotasFiscais[[#This Row],[Nota Fiscal]]&lt;&gt;"",1,0)</f>
        <v>1</v>
      </c>
    </row>
    <row r="395" spans="1:27" x14ac:dyDescent="0.25">
      <c r="A395" s="1">
        <v>43208</v>
      </c>
      <c r="B395">
        <v>10804</v>
      </c>
      <c r="C395" s="2" t="s">
        <v>22</v>
      </c>
      <c r="D395" s="2" t="s">
        <v>23</v>
      </c>
      <c r="E395" s="2" t="s">
        <v>24</v>
      </c>
      <c r="F395">
        <v>4092</v>
      </c>
      <c r="G395" s="2" t="s">
        <v>164</v>
      </c>
      <c r="H395" s="2" t="s">
        <v>165</v>
      </c>
      <c r="I395" s="2" t="s">
        <v>24</v>
      </c>
      <c r="J395" s="2" t="s">
        <v>28</v>
      </c>
      <c r="K395" s="2" t="s">
        <v>24</v>
      </c>
      <c r="L395">
        <v>726.83</v>
      </c>
      <c r="M395">
        <v>4</v>
      </c>
      <c r="N395">
        <v>6.556</v>
      </c>
      <c r="O395">
        <v>6500948</v>
      </c>
      <c r="P395" s="2" t="s">
        <v>29</v>
      </c>
      <c r="Q395" s="2" t="s">
        <v>23</v>
      </c>
      <c r="R395" s="2" t="s">
        <v>30</v>
      </c>
      <c r="S395">
        <v>8</v>
      </c>
      <c r="T395" s="1">
        <v>43208</v>
      </c>
      <c r="U395" s="1">
        <v>43212</v>
      </c>
      <c r="V395" s="2"/>
      <c r="W395" s="1">
        <f>fNotasFiscais[[#This Row],[Data da Coleta]]+fNotasFiscais[[#This Row],[Prazo Contratado]]</f>
        <v>43216</v>
      </c>
      <c r="X395" s="3">
        <f>IF(fNotasFiscais[[#This Row],[Data da Entrega]]&gt;fNotasFiscais[[#This Row],[Data Contratada]],0,1)</f>
        <v>1</v>
      </c>
      <c r="Y395" s="3">
        <f>IF(fNotasFiscais[[#This Row],[Ocorrência]]="",1,0)</f>
        <v>1</v>
      </c>
      <c r="Z395" s="2">
        <f>fNotasFiscais[[#This Row],[On Time]]*fNotasFiscais[[#This Row],[In Full]]</f>
        <v>1</v>
      </c>
      <c r="AA395">
        <f>IF(fNotasFiscais[[#This Row],[Nota Fiscal]]&lt;&gt;"",1,0)</f>
        <v>1</v>
      </c>
    </row>
    <row r="396" spans="1:27" x14ac:dyDescent="0.25">
      <c r="A396" s="1">
        <v>43208</v>
      </c>
      <c r="B396">
        <v>10805</v>
      </c>
      <c r="C396" s="2" t="s">
        <v>31</v>
      </c>
      <c r="D396" s="2" t="s">
        <v>32</v>
      </c>
      <c r="E396" s="2" t="s">
        <v>33</v>
      </c>
      <c r="F396">
        <v>4092</v>
      </c>
      <c r="G396" s="2" t="s">
        <v>164</v>
      </c>
      <c r="H396" s="2" t="s">
        <v>165</v>
      </c>
      <c r="I396" s="2" t="s">
        <v>24</v>
      </c>
      <c r="J396" s="2" t="s">
        <v>28</v>
      </c>
      <c r="K396" s="2" t="s">
        <v>24</v>
      </c>
      <c r="L396">
        <v>1253.53</v>
      </c>
      <c r="M396">
        <v>6</v>
      </c>
      <c r="N396">
        <v>3.1349999999999998</v>
      </c>
      <c r="O396">
        <v>6500948</v>
      </c>
      <c r="P396" s="2" t="s">
        <v>29</v>
      </c>
      <c r="Q396" s="2" t="s">
        <v>23</v>
      </c>
      <c r="R396" s="2" t="s">
        <v>30</v>
      </c>
      <c r="S396">
        <v>3</v>
      </c>
      <c r="T396" s="1">
        <v>43208</v>
      </c>
      <c r="U396" s="1">
        <v>43216</v>
      </c>
      <c r="V396" s="2"/>
      <c r="W396" s="1">
        <f>fNotasFiscais[[#This Row],[Data da Coleta]]+fNotasFiscais[[#This Row],[Prazo Contratado]]</f>
        <v>43211</v>
      </c>
      <c r="X396" s="3">
        <f>IF(fNotasFiscais[[#This Row],[Data da Entrega]]&gt;fNotasFiscais[[#This Row],[Data Contratada]],0,1)</f>
        <v>0</v>
      </c>
      <c r="Y396" s="3">
        <f>IF(fNotasFiscais[[#This Row],[Ocorrência]]="",1,0)</f>
        <v>1</v>
      </c>
      <c r="Z396" s="2">
        <f>fNotasFiscais[[#This Row],[On Time]]*fNotasFiscais[[#This Row],[In Full]]</f>
        <v>0</v>
      </c>
      <c r="AA396">
        <f>IF(fNotasFiscais[[#This Row],[Nota Fiscal]]&lt;&gt;"",1,0)</f>
        <v>1</v>
      </c>
    </row>
    <row r="397" spans="1:27" x14ac:dyDescent="0.25">
      <c r="A397" s="1">
        <v>43209</v>
      </c>
      <c r="B397">
        <v>10806</v>
      </c>
      <c r="C397" s="2" t="s">
        <v>22</v>
      </c>
      <c r="D397" s="2" t="s">
        <v>23</v>
      </c>
      <c r="E397" s="2" t="s">
        <v>24</v>
      </c>
      <c r="F397">
        <v>4093</v>
      </c>
      <c r="G397" s="2" t="s">
        <v>166</v>
      </c>
      <c r="H397" s="2" t="s">
        <v>167</v>
      </c>
      <c r="I397" s="2" t="s">
        <v>168</v>
      </c>
      <c r="J397" s="2" t="s">
        <v>169</v>
      </c>
      <c r="K397" s="2" t="s">
        <v>168</v>
      </c>
      <c r="L397">
        <v>572.44000000000005</v>
      </c>
      <c r="M397">
        <v>1</v>
      </c>
      <c r="N397">
        <v>1.76</v>
      </c>
      <c r="O397">
        <v>6900304</v>
      </c>
      <c r="P397" s="2" t="s">
        <v>170</v>
      </c>
      <c r="Q397" s="2" t="s">
        <v>171</v>
      </c>
      <c r="R397" s="2" t="s">
        <v>30</v>
      </c>
      <c r="S397">
        <v>3</v>
      </c>
      <c r="T397" s="1">
        <v>43209</v>
      </c>
      <c r="U397" s="1">
        <v>43219</v>
      </c>
      <c r="V397" s="2" t="s">
        <v>57</v>
      </c>
      <c r="W397" s="1">
        <f>fNotasFiscais[[#This Row],[Data da Coleta]]+fNotasFiscais[[#This Row],[Prazo Contratado]]</f>
        <v>43212</v>
      </c>
      <c r="X397" s="3">
        <f>IF(fNotasFiscais[[#This Row],[Data da Entrega]]&gt;fNotasFiscais[[#This Row],[Data Contratada]],0,1)</f>
        <v>0</v>
      </c>
      <c r="Y397" s="3">
        <f>IF(fNotasFiscais[[#This Row],[Ocorrência]]="",1,0)</f>
        <v>0</v>
      </c>
      <c r="Z397" s="2">
        <f>fNotasFiscais[[#This Row],[On Time]]*fNotasFiscais[[#This Row],[In Full]]</f>
        <v>0</v>
      </c>
      <c r="AA397">
        <f>IF(fNotasFiscais[[#This Row],[Nota Fiscal]]&lt;&gt;"",1,0)</f>
        <v>1</v>
      </c>
    </row>
    <row r="398" spans="1:27" x14ac:dyDescent="0.25">
      <c r="A398" s="1">
        <v>43209</v>
      </c>
      <c r="B398">
        <v>10807</v>
      </c>
      <c r="C398" s="2" t="s">
        <v>22</v>
      </c>
      <c r="D398" s="2" t="s">
        <v>23</v>
      </c>
      <c r="E398" s="2" t="s">
        <v>24</v>
      </c>
      <c r="F398">
        <v>4089</v>
      </c>
      <c r="G398" s="2" t="s">
        <v>161</v>
      </c>
      <c r="H398" s="2" t="s">
        <v>32</v>
      </c>
      <c r="I398" s="2" t="s">
        <v>33</v>
      </c>
      <c r="J398" s="2" t="s">
        <v>60</v>
      </c>
      <c r="K398" s="2" t="s">
        <v>33</v>
      </c>
      <c r="L398">
        <v>1034.3599999999999</v>
      </c>
      <c r="M398">
        <v>3</v>
      </c>
      <c r="N398">
        <v>14.927</v>
      </c>
      <c r="O398">
        <v>6400835</v>
      </c>
      <c r="P398" s="2" t="s">
        <v>130</v>
      </c>
      <c r="Q398" s="2" t="s">
        <v>131</v>
      </c>
      <c r="R398" s="2" t="s">
        <v>30</v>
      </c>
      <c r="S398">
        <v>7</v>
      </c>
      <c r="T398" s="1">
        <v>43209</v>
      </c>
      <c r="U398" s="1">
        <v>43214</v>
      </c>
      <c r="V398" s="2"/>
      <c r="W398" s="1">
        <f>fNotasFiscais[[#This Row],[Data da Coleta]]+fNotasFiscais[[#This Row],[Prazo Contratado]]</f>
        <v>43216</v>
      </c>
      <c r="X398" s="3">
        <f>IF(fNotasFiscais[[#This Row],[Data da Entrega]]&gt;fNotasFiscais[[#This Row],[Data Contratada]],0,1)</f>
        <v>1</v>
      </c>
      <c r="Y398" s="3">
        <f>IF(fNotasFiscais[[#This Row],[Ocorrência]]="",1,0)</f>
        <v>1</v>
      </c>
      <c r="Z398" s="2">
        <f>fNotasFiscais[[#This Row],[On Time]]*fNotasFiscais[[#This Row],[In Full]]</f>
        <v>1</v>
      </c>
      <c r="AA398">
        <f>IF(fNotasFiscais[[#This Row],[Nota Fiscal]]&lt;&gt;"",1,0)</f>
        <v>1</v>
      </c>
    </row>
    <row r="399" spans="1:27" x14ac:dyDescent="0.25">
      <c r="A399" s="1">
        <v>43209</v>
      </c>
      <c r="B399">
        <v>10808</v>
      </c>
      <c r="C399" s="2" t="s">
        <v>22</v>
      </c>
      <c r="D399" s="2" t="s">
        <v>23</v>
      </c>
      <c r="E399" s="2" t="s">
        <v>24</v>
      </c>
      <c r="F399">
        <v>4089</v>
      </c>
      <c r="G399" s="2" t="s">
        <v>161</v>
      </c>
      <c r="H399" s="2" t="s">
        <v>32</v>
      </c>
      <c r="I399" s="2" t="s">
        <v>33</v>
      </c>
      <c r="J399" s="2" t="s">
        <v>60</v>
      </c>
      <c r="K399" s="2" t="s">
        <v>33</v>
      </c>
      <c r="L399">
        <v>2183.15</v>
      </c>
      <c r="M399">
        <v>3</v>
      </c>
      <c r="N399">
        <v>35.706000000000003</v>
      </c>
      <c r="O399">
        <v>6400835</v>
      </c>
      <c r="P399" s="2" t="s">
        <v>130</v>
      </c>
      <c r="Q399" s="2" t="s">
        <v>131</v>
      </c>
      <c r="R399" s="2" t="s">
        <v>30</v>
      </c>
      <c r="S399">
        <v>11</v>
      </c>
      <c r="T399" s="1">
        <v>43209</v>
      </c>
      <c r="U399" s="1">
        <v>43219</v>
      </c>
      <c r="V399" s="2"/>
      <c r="W399" s="1">
        <f>fNotasFiscais[[#This Row],[Data da Coleta]]+fNotasFiscais[[#This Row],[Prazo Contratado]]</f>
        <v>43220</v>
      </c>
      <c r="X399" s="3">
        <f>IF(fNotasFiscais[[#This Row],[Data da Entrega]]&gt;fNotasFiscais[[#This Row],[Data Contratada]],0,1)</f>
        <v>1</v>
      </c>
      <c r="Y399" s="3">
        <f>IF(fNotasFiscais[[#This Row],[Ocorrência]]="",1,0)</f>
        <v>1</v>
      </c>
      <c r="Z399" s="2">
        <f>fNotasFiscais[[#This Row],[On Time]]*fNotasFiscais[[#This Row],[In Full]]</f>
        <v>1</v>
      </c>
      <c r="AA399">
        <f>IF(fNotasFiscais[[#This Row],[Nota Fiscal]]&lt;&gt;"",1,0)</f>
        <v>1</v>
      </c>
    </row>
    <row r="400" spans="1:27" x14ac:dyDescent="0.25">
      <c r="A400" s="1">
        <v>43209</v>
      </c>
      <c r="B400">
        <v>10809</v>
      </c>
      <c r="C400" s="2" t="s">
        <v>40</v>
      </c>
      <c r="D400" s="2" t="s">
        <v>41</v>
      </c>
      <c r="E400" s="2" t="s">
        <v>33</v>
      </c>
      <c r="F400">
        <v>4069</v>
      </c>
      <c r="G400" s="2" t="s">
        <v>135</v>
      </c>
      <c r="H400" s="2" t="s">
        <v>47</v>
      </c>
      <c r="I400" s="2" t="s">
        <v>48</v>
      </c>
      <c r="J400" s="2" t="s">
        <v>49</v>
      </c>
      <c r="K400" s="2" t="s">
        <v>48</v>
      </c>
      <c r="L400">
        <v>237.41</v>
      </c>
      <c r="M400">
        <v>1</v>
      </c>
      <c r="N400">
        <v>1.21</v>
      </c>
      <c r="O400">
        <v>6100231</v>
      </c>
      <c r="P400" s="2" t="s">
        <v>50</v>
      </c>
      <c r="Q400" s="2" t="s">
        <v>51</v>
      </c>
      <c r="R400" s="2" t="s">
        <v>30</v>
      </c>
      <c r="S400">
        <v>6</v>
      </c>
      <c r="T400" s="1">
        <v>43209</v>
      </c>
      <c r="U400" s="1">
        <v>43214</v>
      </c>
      <c r="V400" s="2"/>
      <c r="W400" s="1">
        <f>fNotasFiscais[[#This Row],[Data da Coleta]]+fNotasFiscais[[#This Row],[Prazo Contratado]]</f>
        <v>43215</v>
      </c>
      <c r="X400" s="3">
        <f>IF(fNotasFiscais[[#This Row],[Data da Entrega]]&gt;fNotasFiscais[[#This Row],[Data Contratada]],0,1)</f>
        <v>1</v>
      </c>
      <c r="Y400" s="3">
        <f>IF(fNotasFiscais[[#This Row],[Ocorrência]]="",1,0)</f>
        <v>1</v>
      </c>
      <c r="Z400" s="2">
        <f>fNotasFiscais[[#This Row],[On Time]]*fNotasFiscais[[#This Row],[In Full]]</f>
        <v>1</v>
      </c>
      <c r="AA400">
        <f>IF(fNotasFiscais[[#This Row],[Nota Fiscal]]&lt;&gt;"",1,0)</f>
        <v>1</v>
      </c>
    </row>
    <row r="401" spans="1:27" x14ac:dyDescent="0.25">
      <c r="A401" s="1">
        <v>43210</v>
      </c>
      <c r="B401">
        <v>10810</v>
      </c>
      <c r="C401" s="2" t="s">
        <v>31</v>
      </c>
      <c r="D401" s="2" t="s">
        <v>32</v>
      </c>
      <c r="E401" s="2" t="s">
        <v>33</v>
      </c>
      <c r="F401">
        <v>4083</v>
      </c>
      <c r="G401" s="2" t="s">
        <v>154</v>
      </c>
      <c r="H401" s="2" t="s">
        <v>141</v>
      </c>
      <c r="I401" s="2" t="s">
        <v>33</v>
      </c>
      <c r="J401" s="2" t="s">
        <v>60</v>
      </c>
      <c r="K401" s="2" t="s">
        <v>33</v>
      </c>
      <c r="L401">
        <v>198.17</v>
      </c>
      <c r="M401">
        <v>1</v>
      </c>
      <c r="N401">
        <v>0.99</v>
      </c>
      <c r="O401">
        <v>6400835</v>
      </c>
      <c r="P401" s="2" t="s">
        <v>130</v>
      </c>
      <c r="Q401" s="2" t="s">
        <v>131</v>
      </c>
      <c r="R401" s="2" t="s">
        <v>30</v>
      </c>
      <c r="S401">
        <v>10</v>
      </c>
      <c r="T401" s="1">
        <v>43210</v>
      </c>
      <c r="U401" s="1">
        <v>43215</v>
      </c>
      <c r="V401" s="2"/>
      <c r="W401" s="1">
        <f>fNotasFiscais[[#This Row],[Data da Coleta]]+fNotasFiscais[[#This Row],[Prazo Contratado]]</f>
        <v>43220</v>
      </c>
      <c r="X401" s="3">
        <f>IF(fNotasFiscais[[#This Row],[Data da Entrega]]&gt;fNotasFiscais[[#This Row],[Data Contratada]],0,1)</f>
        <v>1</v>
      </c>
      <c r="Y401" s="3">
        <f>IF(fNotasFiscais[[#This Row],[Ocorrência]]="",1,0)</f>
        <v>1</v>
      </c>
      <c r="Z401" s="2">
        <f>fNotasFiscais[[#This Row],[On Time]]*fNotasFiscais[[#This Row],[In Full]]</f>
        <v>1</v>
      </c>
      <c r="AA401">
        <f>IF(fNotasFiscais[[#This Row],[Nota Fiscal]]&lt;&gt;"",1,0)</f>
        <v>1</v>
      </c>
    </row>
    <row r="402" spans="1:27" x14ac:dyDescent="0.25">
      <c r="A402" s="1">
        <v>43210</v>
      </c>
      <c r="B402">
        <v>10811</v>
      </c>
      <c r="C402" s="2" t="s">
        <v>54</v>
      </c>
      <c r="D402" s="2" t="s">
        <v>55</v>
      </c>
      <c r="E402" s="2" t="s">
        <v>56</v>
      </c>
      <c r="F402">
        <v>4083</v>
      </c>
      <c r="G402" s="2" t="s">
        <v>154</v>
      </c>
      <c r="H402" s="2" t="s">
        <v>141</v>
      </c>
      <c r="I402" s="2" t="s">
        <v>33</v>
      </c>
      <c r="J402" s="2" t="s">
        <v>60</v>
      </c>
      <c r="K402" s="2" t="s">
        <v>33</v>
      </c>
      <c r="L402">
        <v>952.67</v>
      </c>
      <c r="M402">
        <v>1</v>
      </c>
      <c r="N402">
        <v>3.52</v>
      </c>
      <c r="O402">
        <v>6400835</v>
      </c>
      <c r="P402" s="2" t="s">
        <v>130</v>
      </c>
      <c r="Q402" s="2" t="s">
        <v>131</v>
      </c>
      <c r="R402" s="2" t="s">
        <v>30</v>
      </c>
      <c r="S402">
        <v>2</v>
      </c>
      <c r="T402" s="1">
        <v>43210</v>
      </c>
      <c r="U402" s="1">
        <v>43215</v>
      </c>
      <c r="V402" s="2"/>
      <c r="W402" s="1">
        <f>fNotasFiscais[[#This Row],[Data da Coleta]]+fNotasFiscais[[#This Row],[Prazo Contratado]]</f>
        <v>43212</v>
      </c>
      <c r="X402" s="3">
        <f>IF(fNotasFiscais[[#This Row],[Data da Entrega]]&gt;fNotasFiscais[[#This Row],[Data Contratada]],0,1)</f>
        <v>0</v>
      </c>
      <c r="Y402" s="3">
        <f>IF(fNotasFiscais[[#This Row],[Ocorrência]]="",1,0)</f>
        <v>1</v>
      </c>
      <c r="Z402" s="2">
        <f>fNotasFiscais[[#This Row],[On Time]]*fNotasFiscais[[#This Row],[In Full]]</f>
        <v>0</v>
      </c>
      <c r="AA402">
        <f>IF(fNotasFiscais[[#This Row],[Nota Fiscal]]&lt;&gt;"",1,0)</f>
        <v>1</v>
      </c>
    </row>
    <row r="403" spans="1:27" x14ac:dyDescent="0.25">
      <c r="A403" s="1">
        <v>43210</v>
      </c>
      <c r="B403">
        <v>10812</v>
      </c>
      <c r="C403" s="2" t="s">
        <v>54</v>
      </c>
      <c r="D403" s="2" t="s">
        <v>55</v>
      </c>
      <c r="E403" s="2" t="s">
        <v>56</v>
      </c>
      <c r="F403">
        <v>4022</v>
      </c>
      <c r="G403" s="2" t="s">
        <v>86</v>
      </c>
      <c r="H403" s="2" t="s">
        <v>87</v>
      </c>
      <c r="I403" s="2" t="s">
        <v>27</v>
      </c>
      <c r="J403" s="2" t="s">
        <v>28</v>
      </c>
      <c r="K403" s="2" t="s">
        <v>27</v>
      </c>
      <c r="L403">
        <v>1941.4</v>
      </c>
      <c r="M403">
        <v>6</v>
      </c>
      <c r="N403">
        <v>47.523000000000003</v>
      </c>
      <c r="O403">
        <v>6500948</v>
      </c>
      <c r="P403" s="2" t="s">
        <v>29</v>
      </c>
      <c r="Q403" s="2" t="s">
        <v>23</v>
      </c>
      <c r="R403" s="2" t="s">
        <v>30</v>
      </c>
      <c r="S403">
        <v>11</v>
      </c>
      <c r="T403" s="1">
        <v>43210</v>
      </c>
      <c r="U403" s="1">
        <v>43217</v>
      </c>
      <c r="V403" s="2"/>
      <c r="W403" s="1">
        <f>fNotasFiscais[[#This Row],[Data da Coleta]]+fNotasFiscais[[#This Row],[Prazo Contratado]]</f>
        <v>43221</v>
      </c>
      <c r="X403" s="3">
        <f>IF(fNotasFiscais[[#This Row],[Data da Entrega]]&gt;fNotasFiscais[[#This Row],[Data Contratada]],0,1)</f>
        <v>1</v>
      </c>
      <c r="Y403" s="3">
        <f>IF(fNotasFiscais[[#This Row],[Ocorrência]]="",1,0)</f>
        <v>1</v>
      </c>
      <c r="Z403" s="2">
        <f>fNotasFiscais[[#This Row],[On Time]]*fNotasFiscais[[#This Row],[In Full]]</f>
        <v>1</v>
      </c>
      <c r="AA403">
        <f>IF(fNotasFiscais[[#This Row],[Nota Fiscal]]&lt;&gt;"",1,0)</f>
        <v>1</v>
      </c>
    </row>
    <row r="404" spans="1:27" x14ac:dyDescent="0.25">
      <c r="A404" s="1">
        <v>43210</v>
      </c>
      <c r="B404">
        <v>10813</v>
      </c>
      <c r="C404" s="2" t="s">
        <v>43</v>
      </c>
      <c r="D404" s="2" t="s">
        <v>44</v>
      </c>
      <c r="E404" s="2" t="s">
        <v>45</v>
      </c>
      <c r="F404">
        <v>4083</v>
      </c>
      <c r="G404" s="2" t="s">
        <v>154</v>
      </c>
      <c r="H404" s="2" t="s">
        <v>141</v>
      </c>
      <c r="I404" s="2" t="s">
        <v>33</v>
      </c>
      <c r="J404" s="2" t="s">
        <v>60</v>
      </c>
      <c r="K404" s="2" t="s">
        <v>33</v>
      </c>
      <c r="L404">
        <v>199.26</v>
      </c>
      <c r="M404">
        <v>1</v>
      </c>
      <c r="N404">
        <v>0.99</v>
      </c>
      <c r="O404">
        <v>6400835</v>
      </c>
      <c r="P404" s="2" t="s">
        <v>130</v>
      </c>
      <c r="Q404" s="2" t="s">
        <v>131</v>
      </c>
      <c r="R404" s="2" t="s">
        <v>30</v>
      </c>
      <c r="S404">
        <v>6</v>
      </c>
      <c r="T404" s="1">
        <v>43210</v>
      </c>
      <c r="U404" s="1">
        <v>43216</v>
      </c>
      <c r="V404" s="2" t="s">
        <v>57</v>
      </c>
      <c r="W404" s="1">
        <f>fNotasFiscais[[#This Row],[Data da Coleta]]+fNotasFiscais[[#This Row],[Prazo Contratado]]</f>
        <v>43216</v>
      </c>
      <c r="X404" s="3">
        <f>IF(fNotasFiscais[[#This Row],[Data da Entrega]]&gt;fNotasFiscais[[#This Row],[Data Contratada]],0,1)</f>
        <v>1</v>
      </c>
      <c r="Y404" s="3">
        <f>IF(fNotasFiscais[[#This Row],[Ocorrência]]="",1,0)</f>
        <v>0</v>
      </c>
      <c r="Z404" s="2">
        <f>fNotasFiscais[[#This Row],[On Time]]*fNotasFiscais[[#This Row],[In Full]]</f>
        <v>0</v>
      </c>
      <c r="AA404">
        <f>IF(fNotasFiscais[[#This Row],[Nota Fiscal]]&lt;&gt;"",1,0)</f>
        <v>1</v>
      </c>
    </row>
    <row r="405" spans="1:27" x14ac:dyDescent="0.25">
      <c r="A405" s="1">
        <v>43210</v>
      </c>
      <c r="B405">
        <v>10814</v>
      </c>
      <c r="C405" s="2" t="s">
        <v>22</v>
      </c>
      <c r="D405" s="2" t="s">
        <v>23</v>
      </c>
      <c r="E405" s="2" t="s">
        <v>24</v>
      </c>
      <c r="F405">
        <v>4083</v>
      </c>
      <c r="G405" s="2" t="s">
        <v>154</v>
      </c>
      <c r="H405" s="2" t="s">
        <v>141</v>
      </c>
      <c r="I405" s="2" t="s">
        <v>33</v>
      </c>
      <c r="J405" s="2" t="s">
        <v>60</v>
      </c>
      <c r="K405" s="2" t="s">
        <v>33</v>
      </c>
      <c r="L405">
        <v>718.95</v>
      </c>
      <c r="M405">
        <v>1</v>
      </c>
      <c r="N405">
        <v>20.239999999999998</v>
      </c>
      <c r="O405">
        <v>6400835</v>
      </c>
      <c r="P405" s="2" t="s">
        <v>130</v>
      </c>
      <c r="Q405" s="2" t="s">
        <v>131</v>
      </c>
      <c r="R405" s="2" t="s">
        <v>30</v>
      </c>
      <c r="S405">
        <v>4</v>
      </c>
      <c r="T405" s="1">
        <v>43210</v>
      </c>
      <c r="U405" s="1">
        <v>43215</v>
      </c>
      <c r="V405" s="2" t="s">
        <v>57</v>
      </c>
      <c r="W405" s="1">
        <f>fNotasFiscais[[#This Row],[Data da Coleta]]+fNotasFiscais[[#This Row],[Prazo Contratado]]</f>
        <v>43214</v>
      </c>
      <c r="X405" s="3">
        <f>IF(fNotasFiscais[[#This Row],[Data da Entrega]]&gt;fNotasFiscais[[#This Row],[Data Contratada]],0,1)</f>
        <v>0</v>
      </c>
      <c r="Y405" s="3">
        <f>IF(fNotasFiscais[[#This Row],[Ocorrência]]="",1,0)</f>
        <v>0</v>
      </c>
      <c r="Z405" s="2">
        <f>fNotasFiscais[[#This Row],[On Time]]*fNotasFiscais[[#This Row],[In Full]]</f>
        <v>0</v>
      </c>
      <c r="AA405">
        <f>IF(fNotasFiscais[[#This Row],[Nota Fiscal]]&lt;&gt;"",1,0)</f>
        <v>1</v>
      </c>
    </row>
    <row r="406" spans="1:27" x14ac:dyDescent="0.25">
      <c r="A406" s="1">
        <v>43210</v>
      </c>
      <c r="B406">
        <v>10815</v>
      </c>
      <c r="C406" s="2" t="s">
        <v>34</v>
      </c>
      <c r="D406" s="2" t="s">
        <v>35</v>
      </c>
      <c r="E406" s="2" t="s">
        <v>36</v>
      </c>
      <c r="F406">
        <v>4083</v>
      </c>
      <c r="G406" s="2" t="s">
        <v>154</v>
      </c>
      <c r="H406" s="2" t="s">
        <v>141</v>
      </c>
      <c r="I406" s="2" t="s">
        <v>33</v>
      </c>
      <c r="J406" s="2" t="s">
        <v>60</v>
      </c>
      <c r="K406" s="2" t="s">
        <v>33</v>
      </c>
      <c r="L406">
        <v>1073.79</v>
      </c>
      <c r="M406">
        <v>2</v>
      </c>
      <c r="N406">
        <v>18.645</v>
      </c>
      <c r="O406">
        <v>6400835</v>
      </c>
      <c r="P406" s="2" t="s">
        <v>130</v>
      </c>
      <c r="Q406" s="2" t="s">
        <v>131</v>
      </c>
      <c r="R406" s="2" t="s">
        <v>30</v>
      </c>
      <c r="S406">
        <v>2</v>
      </c>
      <c r="T406" s="1">
        <v>43210</v>
      </c>
      <c r="U406" s="1">
        <v>43216</v>
      </c>
      <c r="V406" s="2"/>
      <c r="W406" s="1">
        <f>fNotasFiscais[[#This Row],[Data da Coleta]]+fNotasFiscais[[#This Row],[Prazo Contratado]]</f>
        <v>43212</v>
      </c>
      <c r="X406" s="3">
        <f>IF(fNotasFiscais[[#This Row],[Data da Entrega]]&gt;fNotasFiscais[[#This Row],[Data Contratada]],0,1)</f>
        <v>0</v>
      </c>
      <c r="Y406" s="3">
        <f>IF(fNotasFiscais[[#This Row],[Ocorrência]]="",1,0)</f>
        <v>1</v>
      </c>
      <c r="Z406" s="2">
        <f>fNotasFiscais[[#This Row],[On Time]]*fNotasFiscais[[#This Row],[In Full]]</f>
        <v>0</v>
      </c>
      <c r="AA406">
        <f>IF(fNotasFiscais[[#This Row],[Nota Fiscal]]&lt;&gt;"",1,0)</f>
        <v>1</v>
      </c>
    </row>
    <row r="407" spans="1:27" x14ac:dyDescent="0.25">
      <c r="A407" s="1">
        <v>43214</v>
      </c>
      <c r="B407">
        <v>10816</v>
      </c>
      <c r="C407" s="2" t="s">
        <v>54</v>
      </c>
      <c r="D407" s="2" t="s">
        <v>55</v>
      </c>
      <c r="E407" s="2" t="s">
        <v>56</v>
      </c>
      <c r="F407">
        <v>4024</v>
      </c>
      <c r="G407" s="2" t="s">
        <v>89</v>
      </c>
      <c r="H407" s="2" t="s">
        <v>23</v>
      </c>
      <c r="I407" s="2" t="s">
        <v>24</v>
      </c>
      <c r="J407" s="2" t="s">
        <v>28</v>
      </c>
      <c r="K407" s="2" t="s">
        <v>24</v>
      </c>
      <c r="L407">
        <v>3482.23</v>
      </c>
      <c r="M407">
        <v>12</v>
      </c>
      <c r="N407">
        <v>4.18</v>
      </c>
      <c r="O407">
        <v>6500948</v>
      </c>
      <c r="P407" s="2" t="s">
        <v>29</v>
      </c>
      <c r="Q407" s="2" t="s">
        <v>23</v>
      </c>
      <c r="R407" s="2" t="s">
        <v>30</v>
      </c>
      <c r="S407">
        <v>11</v>
      </c>
      <c r="T407" s="1">
        <v>43214</v>
      </c>
      <c r="U407" s="1">
        <v>43215</v>
      </c>
      <c r="V407" s="2"/>
      <c r="W407" s="1">
        <f>fNotasFiscais[[#This Row],[Data da Coleta]]+fNotasFiscais[[#This Row],[Prazo Contratado]]</f>
        <v>43225</v>
      </c>
      <c r="X407" s="3">
        <f>IF(fNotasFiscais[[#This Row],[Data da Entrega]]&gt;fNotasFiscais[[#This Row],[Data Contratada]],0,1)</f>
        <v>1</v>
      </c>
      <c r="Y407" s="3">
        <f>IF(fNotasFiscais[[#This Row],[Ocorrência]]="",1,0)</f>
        <v>1</v>
      </c>
      <c r="Z407" s="2">
        <f>fNotasFiscais[[#This Row],[On Time]]*fNotasFiscais[[#This Row],[In Full]]</f>
        <v>1</v>
      </c>
      <c r="AA407">
        <f>IF(fNotasFiscais[[#This Row],[Nota Fiscal]]&lt;&gt;"",1,0)</f>
        <v>1</v>
      </c>
    </row>
    <row r="408" spans="1:27" x14ac:dyDescent="0.25">
      <c r="A408" s="1">
        <v>43214</v>
      </c>
      <c r="B408">
        <v>10817</v>
      </c>
      <c r="C408" s="2" t="s">
        <v>22</v>
      </c>
      <c r="D408" s="2" t="s">
        <v>23</v>
      </c>
      <c r="E408" s="2" t="s">
        <v>24</v>
      </c>
      <c r="F408">
        <v>4035</v>
      </c>
      <c r="G408" s="2" t="s">
        <v>111</v>
      </c>
      <c r="H408" s="2" t="s">
        <v>47</v>
      </c>
      <c r="I408" s="2" t="s">
        <v>48</v>
      </c>
      <c r="J408" s="2" t="s">
        <v>49</v>
      </c>
      <c r="K408" s="2" t="s">
        <v>48</v>
      </c>
      <c r="L408">
        <v>951.49</v>
      </c>
      <c r="M408">
        <v>3</v>
      </c>
      <c r="N408">
        <v>6.1920000000000002</v>
      </c>
      <c r="O408">
        <v>6100231</v>
      </c>
      <c r="P408" s="2" t="s">
        <v>50</v>
      </c>
      <c r="Q408" s="2" t="s">
        <v>51</v>
      </c>
      <c r="R408" s="2" t="s">
        <v>30</v>
      </c>
      <c r="S408">
        <v>1</v>
      </c>
      <c r="T408" s="1">
        <v>43214</v>
      </c>
      <c r="U408" s="1">
        <v>43219</v>
      </c>
      <c r="V408" s="2"/>
      <c r="W408" s="1">
        <f>fNotasFiscais[[#This Row],[Data da Coleta]]+fNotasFiscais[[#This Row],[Prazo Contratado]]</f>
        <v>43215</v>
      </c>
      <c r="X408" s="3">
        <f>IF(fNotasFiscais[[#This Row],[Data da Entrega]]&gt;fNotasFiscais[[#This Row],[Data Contratada]],0,1)</f>
        <v>0</v>
      </c>
      <c r="Y408" s="3">
        <f>IF(fNotasFiscais[[#This Row],[Ocorrência]]="",1,0)</f>
        <v>1</v>
      </c>
      <c r="Z408" s="2">
        <f>fNotasFiscais[[#This Row],[On Time]]*fNotasFiscais[[#This Row],[In Full]]</f>
        <v>0</v>
      </c>
      <c r="AA408">
        <f>IF(fNotasFiscais[[#This Row],[Nota Fiscal]]&lt;&gt;"",1,0)</f>
        <v>1</v>
      </c>
    </row>
    <row r="409" spans="1:27" x14ac:dyDescent="0.25">
      <c r="A409" s="1">
        <v>43214</v>
      </c>
      <c r="B409">
        <v>10818</v>
      </c>
      <c r="C409" s="2" t="s">
        <v>52</v>
      </c>
      <c r="D409" s="2" t="s">
        <v>53</v>
      </c>
      <c r="E409" s="2" t="s">
        <v>33</v>
      </c>
      <c r="F409">
        <v>4035</v>
      </c>
      <c r="G409" s="2" t="s">
        <v>111</v>
      </c>
      <c r="H409" s="2" t="s">
        <v>47</v>
      </c>
      <c r="I409" s="2" t="s">
        <v>48</v>
      </c>
      <c r="J409" s="2" t="s">
        <v>49</v>
      </c>
      <c r="K409" s="2" t="s">
        <v>48</v>
      </c>
      <c r="L409">
        <v>426.37</v>
      </c>
      <c r="M409">
        <v>1</v>
      </c>
      <c r="N409">
        <v>1.595</v>
      </c>
      <c r="O409">
        <v>6100231</v>
      </c>
      <c r="P409" s="2" t="s">
        <v>50</v>
      </c>
      <c r="Q409" s="2" t="s">
        <v>51</v>
      </c>
      <c r="R409" s="2" t="s">
        <v>30</v>
      </c>
      <c r="S409">
        <v>8</v>
      </c>
      <c r="T409" s="1">
        <v>43214</v>
      </c>
      <c r="U409" s="1">
        <v>43223</v>
      </c>
      <c r="V409" s="2"/>
      <c r="W409" s="1">
        <f>fNotasFiscais[[#This Row],[Data da Coleta]]+fNotasFiscais[[#This Row],[Prazo Contratado]]</f>
        <v>43222</v>
      </c>
      <c r="X409" s="3">
        <f>IF(fNotasFiscais[[#This Row],[Data da Entrega]]&gt;fNotasFiscais[[#This Row],[Data Contratada]],0,1)</f>
        <v>0</v>
      </c>
      <c r="Y409" s="3">
        <f>IF(fNotasFiscais[[#This Row],[Ocorrência]]="",1,0)</f>
        <v>1</v>
      </c>
      <c r="Z409" s="2">
        <f>fNotasFiscais[[#This Row],[On Time]]*fNotasFiscais[[#This Row],[In Full]]</f>
        <v>0</v>
      </c>
      <c r="AA409">
        <f>IF(fNotasFiscais[[#This Row],[Nota Fiscal]]&lt;&gt;"",1,0)</f>
        <v>1</v>
      </c>
    </row>
    <row r="410" spans="1:27" x14ac:dyDescent="0.25">
      <c r="A410" s="1">
        <v>43214</v>
      </c>
      <c r="B410">
        <v>10819</v>
      </c>
      <c r="C410" s="2" t="s">
        <v>22</v>
      </c>
      <c r="D410" s="2" t="s">
        <v>23</v>
      </c>
      <c r="E410" s="2" t="s">
        <v>24</v>
      </c>
      <c r="F410">
        <v>4035</v>
      </c>
      <c r="G410" s="2" t="s">
        <v>111</v>
      </c>
      <c r="H410" s="2" t="s">
        <v>47</v>
      </c>
      <c r="I410" s="2" t="s">
        <v>48</v>
      </c>
      <c r="J410" s="2" t="s">
        <v>49</v>
      </c>
      <c r="K410" s="2" t="s">
        <v>48</v>
      </c>
      <c r="L410">
        <v>917.6</v>
      </c>
      <c r="M410">
        <v>1</v>
      </c>
      <c r="N410">
        <v>8.25</v>
      </c>
      <c r="O410">
        <v>6100231</v>
      </c>
      <c r="P410" s="2" t="s">
        <v>50</v>
      </c>
      <c r="Q410" s="2" t="s">
        <v>51</v>
      </c>
      <c r="R410" s="2" t="s">
        <v>30</v>
      </c>
      <c r="S410">
        <v>8</v>
      </c>
      <c r="T410" s="1">
        <v>43214</v>
      </c>
      <c r="U410" s="1">
        <v>43217</v>
      </c>
      <c r="V410" s="2" t="s">
        <v>42</v>
      </c>
      <c r="W410" s="1">
        <f>fNotasFiscais[[#This Row],[Data da Coleta]]+fNotasFiscais[[#This Row],[Prazo Contratado]]</f>
        <v>43222</v>
      </c>
      <c r="X410" s="3">
        <f>IF(fNotasFiscais[[#This Row],[Data da Entrega]]&gt;fNotasFiscais[[#This Row],[Data Contratada]],0,1)</f>
        <v>1</v>
      </c>
      <c r="Y410" s="3">
        <f>IF(fNotasFiscais[[#This Row],[Ocorrência]]="",1,0)</f>
        <v>0</v>
      </c>
      <c r="Z410" s="2">
        <f>fNotasFiscais[[#This Row],[On Time]]*fNotasFiscais[[#This Row],[In Full]]</f>
        <v>0</v>
      </c>
      <c r="AA410">
        <f>IF(fNotasFiscais[[#This Row],[Nota Fiscal]]&lt;&gt;"",1,0)</f>
        <v>1</v>
      </c>
    </row>
    <row r="411" spans="1:27" x14ac:dyDescent="0.25">
      <c r="A411" s="1">
        <v>43215</v>
      </c>
      <c r="B411">
        <v>10820</v>
      </c>
      <c r="C411" s="2" t="s">
        <v>40</v>
      </c>
      <c r="D411" s="2" t="s">
        <v>41</v>
      </c>
      <c r="E411" s="2" t="s">
        <v>33</v>
      </c>
      <c r="F411">
        <v>4027</v>
      </c>
      <c r="G411" s="2" t="s">
        <v>93</v>
      </c>
      <c r="H411" s="2" t="s">
        <v>91</v>
      </c>
      <c r="I411" s="2" t="s">
        <v>24</v>
      </c>
      <c r="J411" s="2" t="s">
        <v>28</v>
      </c>
      <c r="K411" s="2" t="s">
        <v>24</v>
      </c>
      <c r="L411">
        <v>1458.96</v>
      </c>
      <c r="M411">
        <v>4</v>
      </c>
      <c r="N411">
        <v>9.3279999999999994</v>
      </c>
      <c r="O411">
        <v>6500948</v>
      </c>
      <c r="P411" s="2" t="s">
        <v>29</v>
      </c>
      <c r="Q411" s="2" t="s">
        <v>23</v>
      </c>
      <c r="R411" s="2" t="s">
        <v>30</v>
      </c>
      <c r="S411">
        <v>4</v>
      </c>
      <c r="T411" s="1">
        <v>43215</v>
      </c>
      <c r="U411" s="1">
        <v>43220</v>
      </c>
      <c r="V411" s="2"/>
      <c r="W411" s="1">
        <f>fNotasFiscais[[#This Row],[Data da Coleta]]+fNotasFiscais[[#This Row],[Prazo Contratado]]</f>
        <v>43219</v>
      </c>
      <c r="X411" s="3">
        <f>IF(fNotasFiscais[[#This Row],[Data da Entrega]]&gt;fNotasFiscais[[#This Row],[Data Contratada]],0,1)</f>
        <v>0</v>
      </c>
      <c r="Y411" s="3">
        <f>IF(fNotasFiscais[[#This Row],[Ocorrência]]="",1,0)</f>
        <v>1</v>
      </c>
      <c r="Z411" s="2">
        <f>fNotasFiscais[[#This Row],[On Time]]*fNotasFiscais[[#This Row],[In Full]]</f>
        <v>0</v>
      </c>
      <c r="AA411">
        <f>IF(fNotasFiscais[[#This Row],[Nota Fiscal]]&lt;&gt;"",1,0)</f>
        <v>1</v>
      </c>
    </row>
    <row r="412" spans="1:27" x14ac:dyDescent="0.25">
      <c r="A412" s="1">
        <v>43215</v>
      </c>
      <c r="B412">
        <v>10821</v>
      </c>
      <c r="C412" s="2" t="s">
        <v>40</v>
      </c>
      <c r="D412" s="2" t="s">
        <v>41</v>
      </c>
      <c r="E412" s="2" t="s">
        <v>33</v>
      </c>
      <c r="F412">
        <v>4026</v>
      </c>
      <c r="G412" s="2" t="s">
        <v>92</v>
      </c>
      <c r="H412" s="2" t="s">
        <v>35</v>
      </c>
      <c r="I412" s="2" t="s">
        <v>36</v>
      </c>
      <c r="J412" s="2" t="s">
        <v>60</v>
      </c>
      <c r="K412" s="2" t="s">
        <v>36</v>
      </c>
      <c r="L412">
        <v>1797.75</v>
      </c>
      <c r="M412">
        <v>5</v>
      </c>
      <c r="N412">
        <v>67.099999999999994</v>
      </c>
      <c r="O412">
        <v>6600879</v>
      </c>
      <c r="P412" s="2" t="s">
        <v>61</v>
      </c>
      <c r="Q412" s="2" t="s">
        <v>35</v>
      </c>
      <c r="R412" s="2" t="s">
        <v>30</v>
      </c>
      <c r="S412">
        <v>6</v>
      </c>
      <c r="T412" s="1">
        <v>43215</v>
      </c>
      <c r="U412" s="1">
        <v>43224</v>
      </c>
      <c r="V412" s="2"/>
      <c r="W412" s="1">
        <f>fNotasFiscais[[#This Row],[Data da Coleta]]+fNotasFiscais[[#This Row],[Prazo Contratado]]</f>
        <v>43221</v>
      </c>
      <c r="X412" s="3">
        <f>IF(fNotasFiscais[[#This Row],[Data da Entrega]]&gt;fNotasFiscais[[#This Row],[Data Contratada]],0,1)</f>
        <v>0</v>
      </c>
      <c r="Y412" s="3">
        <f>IF(fNotasFiscais[[#This Row],[Ocorrência]]="",1,0)</f>
        <v>1</v>
      </c>
      <c r="Z412" s="2">
        <f>fNotasFiscais[[#This Row],[On Time]]*fNotasFiscais[[#This Row],[In Full]]</f>
        <v>0</v>
      </c>
      <c r="AA412">
        <f>IF(fNotasFiscais[[#This Row],[Nota Fiscal]]&lt;&gt;"",1,0)</f>
        <v>1</v>
      </c>
    </row>
    <row r="413" spans="1:27" x14ac:dyDescent="0.25">
      <c r="A413" s="1">
        <v>43215</v>
      </c>
      <c r="B413">
        <v>10822</v>
      </c>
      <c r="C413" s="2" t="s">
        <v>31</v>
      </c>
      <c r="D413" s="2" t="s">
        <v>32</v>
      </c>
      <c r="E413" s="2" t="s">
        <v>33</v>
      </c>
      <c r="F413">
        <v>4062</v>
      </c>
      <c r="G413" s="2" t="s">
        <v>96</v>
      </c>
      <c r="H413" s="2" t="s">
        <v>97</v>
      </c>
      <c r="I413" s="2" t="s">
        <v>48</v>
      </c>
      <c r="J413" s="2" t="s">
        <v>49</v>
      </c>
      <c r="K413" s="2" t="s">
        <v>48</v>
      </c>
      <c r="L413">
        <v>3078.05</v>
      </c>
      <c r="M413">
        <v>7</v>
      </c>
      <c r="N413">
        <v>14.454000000000001</v>
      </c>
      <c r="O413">
        <v>6100231</v>
      </c>
      <c r="P413" s="2" t="s">
        <v>50</v>
      </c>
      <c r="Q413" s="2" t="s">
        <v>51</v>
      </c>
      <c r="R413" s="2" t="s">
        <v>30</v>
      </c>
      <c r="S413">
        <v>8</v>
      </c>
      <c r="T413" s="1">
        <v>43215</v>
      </c>
      <c r="U413" s="1">
        <v>43217</v>
      </c>
      <c r="V413" s="2"/>
      <c r="W413" s="1">
        <f>fNotasFiscais[[#This Row],[Data da Coleta]]+fNotasFiscais[[#This Row],[Prazo Contratado]]</f>
        <v>43223</v>
      </c>
      <c r="X413" s="3">
        <f>IF(fNotasFiscais[[#This Row],[Data da Entrega]]&gt;fNotasFiscais[[#This Row],[Data Contratada]],0,1)</f>
        <v>1</v>
      </c>
      <c r="Y413" s="3">
        <f>IF(fNotasFiscais[[#This Row],[Ocorrência]]="",1,0)</f>
        <v>1</v>
      </c>
      <c r="Z413" s="2">
        <f>fNotasFiscais[[#This Row],[On Time]]*fNotasFiscais[[#This Row],[In Full]]</f>
        <v>1</v>
      </c>
      <c r="AA413">
        <f>IF(fNotasFiscais[[#This Row],[Nota Fiscal]]&lt;&gt;"",1,0)</f>
        <v>1</v>
      </c>
    </row>
    <row r="414" spans="1:27" x14ac:dyDescent="0.25">
      <c r="A414" s="1">
        <v>43215</v>
      </c>
      <c r="B414">
        <v>10823</v>
      </c>
      <c r="C414" s="2" t="s">
        <v>31</v>
      </c>
      <c r="D414" s="2" t="s">
        <v>32</v>
      </c>
      <c r="E414" s="2" t="s">
        <v>33</v>
      </c>
      <c r="F414">
        <v>4028</v>
      </c>
      <c r="G414" s="2" t="s">
        <v>95</v>
      </c>
      <c r="H414" s="2" t="s">
        <v>26</v>
      </c>
      <c r="I414" s="2" t="s">
        <v>27</v>
      </c>
      <c r="J414" s="2" t="s">
        <v>28</v>
      </c>
      <c r="K414" s="2" t="s">
        <v>27</v>
      </c>
      <c r="L414">
        <v>2093.5500000000002</v>
      </c>
      <c r="M414">
        <v>1</v>
      </c>
      <c r="N414">
        <v>5.2309999999999999</v>
      </c>
      <c r="O414">
        <v>6500948</v>
      </c>
      <c r="P414" s="2" t="s">
        <v>29</v>
      </c>
      <c r="Q414" s="2" t="s">
        <v>23</v>
      </c>
      <c r="R414" s="2" t="s">
        <v>30</v>
      </c>
      <c r="S414">
        <v>1</v>
      </c>
      <c r="T414" s="1">
        <v>43215</v>
      </c>
      <c r="U414" s="1">
        <v>43217</v>
      </c>
      <c r="V414" s="2"/>
      <c r="W414" s="1">
        <f>fNotasFiscais[[#This Row],[Data da Coleta]]+fNotasFiscais[[#This Row],[Prazo Contratado]]</f>
        <v>43216</v>
      </c>
      <c r="X414" s="3">
        <f>IF(fNotasFiscais[[#This Row],[Data da Entrega]]&gt;fNotasFiscais[[#This Row],[Data Contratada]],0,1)</f>
        <v>0</v>
      </c>
      <c r="Y414" s="3">
        <f>IF(fNotasFiscais[[#This Row],[Ocorrência]]="",1,0)</f>
        <v>1</v>
      </c>
      <c r="Z414" s="2">
        <f>fNotasFiscais[[#This Row],[On Time]]*fNotasFiscais[[#This Row],[In Full]]</f>
        <v>0</v>
      </c>
      <c r="AA414">
        <f>IF(fNotasFiscais[[#This Row],[Nota Fiscal]]&lt;&gt;"",1,0)</f>
        <v>1</v>
      </c>
    </row>
    <row r="415" spans="1:27" x14ac:dyDescent="0.25">
      <c r="A415" s="1">
        <v>43215</v>
      </c>
      <c r="B415">
        <v>10824</v>
      </c>
      <c r="C415" s="2" t="s">
        <v>52</v>
      </c>
      <c r="D415" s="2" t="s">
        <v>53</v>
      </c>
      <c r="E415" s="2" t="s">
        <v>33</v>
      </c>
      <c r="F415">
        <v>4027</v>
      </c>
      <c r="G415" s="2" t="s">
        <v>93</v>
      </c>
      <c r="H415" s="2" t="s">
        <v>91</v>
      </c>
      <c r="I415" s="2" t="s">
        <v>24</v>
      </c>
      <c r="J415" s="2" t="s">
        <v>28</v>
      </c>
      <c r="K415" s="2" t="s">
        <v>24</v>
      </c>
      <c r="L415">
        <v>308.68</v>
      </c>
      <c r="M415">
        <v>1</v>
      </c>
      <c r="N415">
        <v>10.78</v>
      </c>
      <c r="O415">
        <v>6500948</v>
      </c>
      <c r="P415" s="2" t="s">
        <v>29</v>
      </c>
      <c r="Q415" s="2" t="s">
        <v>23</v>
      </c>
      <c r="R415" s="2" t="s">
        <v>30</v>
      </c>
      <c r="S415">
        <v>9</v>
      </c>
      <c r="T415" s="1">
        <v>43215</v>
      </c>
      <c r="U415" s="1">
        <v>43222</v>
      </c>
      <c r="V415" s="2" t="s">
        <v>42</v>
      </c>
      <c r="W415" s="1">
        <f>fNotasFiscais[[#This Row],[Data da Coleta]]+fNotasFiscais[[#This Row],[Prazo Contratado]]</f>
        <v>43224</v>
      </c>
      <c r="X415" s="3">
        <f>IF(fNotasFiscais[[#This Row],[Data da Entrega]]&gt;fNotasFiscais[[#This Row],[Data Contratada]],0,1)</f>
        <v>1</v>
      </c>
      <c r="Y415" s="3">
        <f>IF(fNotasFiscais[[#This Row],[Ocorrência]]="",1,0)</f>
        <v>0</v>
      </c>
      <c r="Z415" s="2">
        <f>fNotasFiscais[[#This Row],[On Time]]*fNotasFiscais[[#This Row],[In Full]]</f>
        <v>0</v>
      </c>
      <c r="AA415">
        <f>IF(fNotasFiscais[[#This Row],[Nota Fiscal]]&lt;&gt;"",1,0)</f>
        <v>1</v>
      </c>
    </row>
    <row r="416" spans="1:27" x14ac:dyDescent="0.25">
      <c r="A416" s="1">
        <v>43215</v>
      </c>
      <c r="B416">
        <v>10825</v>
      </c>
      <c r="C416" s="2" t="s">
        <v>31</v>
      </c>
      <c r="D416" s="2" t="s">
        <v>32</v>
      </c>
      <c r="E416" s="2" t="s">
        <v>33</v>
      </c>
      <c r="F416">
        <v>4026</v>
      </c>
      <c r="G416" s="2" t="s">
        <v>92</v>
      </c>
      <c r="H416" s="2" t="s">
        <v>35</v>
      </c>
      <c r="I416" s="2" t="s">
        <v>36</v>
      </c>
      <c r="J416" s="2" t="s">
        <v>60</v>
      </c>
      <c r="K416" s="2" t="s">
        <v>36</v>
      </c>
      <c r="L416">
        <v>1072.4000000000001</v>
      </c>
      <c r="M416">
        <v>2</v>
      </c>
      <c r="N416">
        <v>4.048</v>
      </c>
      <c r="O416">
        <v>6600879</v>
      </c>
      <c r="P416" s="2" t="s">
        <v>61</v>
      </c>
      <c r="Q416" s="2" t="s">
        <v>35</v>
      </c>
      <c r="R416" s="2" t="s">
        <v>30</v>
      </c>
      <c r="S416">
        <v>10</v>
      </c>
      <c r="T416" s="1">
        <v>43215</v>
      </c>
      <c r="U416" s="1">
        <v>43220</v>
      </c>
      <c r="V416" s="2"/>
      <c r="W416" s="1">
        <f>fNotasFiscais[[#This Row],[Data da Coleta]]+fNotasFiscais[[#This Row],[Prazo Contratado]]</f>
        <v>43225</v>
      </c>
      <c r="X416" s="3">
        <f>IF(fNotasFiscais[[#This Row],[Data da Entrega]]&gt;fNotasFiscais[[#This Row],[Data Contratada]],0,1)</f>
        <v>1</v>
      </c>
      <c r="Y416" s="3">
        <f>IF(fNotasFiscais[[#This Row],[Ocorrência]]="",1,0)</f>
        <v>1</v>
      </c>
      <c r="Z416" s="2">
        <f>fNotasFiscais[[#This Row],[On Time]]*fNotasFiscais[[#This Row],[In Full]]</f>
        <v>1</v>
      </c>
      <c r="AA416">
        <f>IF(fNotasFiscais[[#This Row],[Nota Fiscal]]&lt;&gt;"",1,0)</f>
        <v>1</v>
      </c>
    </row>
    <row r="417" spans="1:27" x14ac:dyDescent="0.25">
      <c r="A417" s="1">
        <v>43215</v>
      </c>
      <c r="B417">
        <v>10826</v>
      </c>
      <c r="C417" s="2" t="s">
        <v>34</v>
      </c>
      <c r="D417" s="2" t="s">
        <v>35</v>
      </c>
      <c r="E417" s="2" t="s">
        <v>36</v>
      </c>
      <c r="F417">
        <v>4030</v>
      </c>
      <c r="G417" s="2" t="s">
        <v>102</v>
      </c>
      <c r="H417" s="2" t="s">
        <v>35</v>
      </c>
      <c r="I417" s="2" t="s">
        <v>36</v>
      </c>
      <c r="J417" s="2" t="s">
        <v>60</v>
      </c>
      <c r="K417" s="2" t="s">
        <v>36</v>
      </c>
      <c r="L417">
        <v>3620.52</v>
      </c>
      <c r="M417">
        <v>7</v>
      </c>
      <c r="N417">
        <v>11.347</v>
      </c>
      <c r="O417">
        <v>6600879</v>
      </c>
      <c r="P417" s="2" t="s">
        <v>61</v>
      </c>
      <c r="Q417" s="2" t="s">
        <v>35</v>
      </c>
      <c r="R417" s="2" t="s">
        <v>30</v>
      </c>
      <c r="S417">
        <v>12</v>
      </c>
      <c r="T417" s="1">
        <v>43215</v>
      </c>
      <c r="U417" s="1">
        <v>43216</v>
      </c>
      <c r="V417" s="2"/>
      <c r="W417" s="1">
        <f>fNotasFiscais[[#This Row],[Data da Coleta]]+fNotasFiscais[[#This Row],[Prazo Contratado]]</f>
        <v>43227</v>
      </c>
      <c r="X417" s="3">
        <f>IF(fNotasFiscais[[#This Row],[Data da Entrega]]&gt;fNotasFiscais[[#This Row],[Data Contratada]],0,1)</f>
        <v>1</v>
      </c>
      <c r="Y417" s="3">
        <f>IF(fNotasFiscais[[#This Row],[Ocorrência]]="",1,0)</f>
        <v>1</v>
      </c>
      <c r="Z417" s="2">
        <f>fNotasFiscais[[#This Row],[On Time]]*fNotasFiscais[[#This Row],[In Full]]</f>
        <v>1</v>
      </c>
      <c r="AA417">
        <f>IF(fNotasFiscais[[#This Row],[Nota Fiscal]]&lt;&gt;"",1,0)</f>
        <v>1</v>
      </c>
    </row>
    <row r="418" spans="1:27" x14ac:dyDescent="0.25">
      <c r="A418" s="1">
        <v>43215</v>
      </c>
      <c r="B418">
        <v>10827</v>
      </c>
      <c r="C418" s="2" t="s">
        <v>31</v>
      </c>
      <c r="D418" s="2" t="s">
        <v>32</v>
      </c>
      <c r="E418" s="2" t="s">
        <v>33</v>
      </c>
      <c r="F418">
        <v>4028</v>
      </c>
      <c r="G418" s="2" t="s">
        <v>95</v>
      </c>
      <c r="H418" s="2" t="s">
        <v>26</v>
      </c>
      <c r="I418" s="2" t="s">
        <v>27</v>
      </c>
      <c r="J418" s="2" t="s">
        <v>28</v>
      </c>
      <c r="K418" s="2" t="s">
        <v>27</v>
      </c>
      <c r="L418">
        <v>3778.11</v>
      </c>
      <c r="M418">
        <v>7</v>
      </c>
      <c r="N418">
        <v>24.687000000000001</v>
      </c>
      <c r="O418">
        <v>6500948</v>
      </c>
      <c r="P418" s="2" t="s">
        <v>29</v>
      </c>
      <c r="Q418" s="2" t="s">
        <v>23</v>
      </c>
      <c r="R418" s="2" t="s">
        <v>30</v>
      </c>
      <c r="S418">
        <v>4</v>
      </c>
      <c r="T418" s="1">
        <v>43215</v>
      </c>
      <c r="U418" s="1">
        <v>43221</v>
      </c>
      <c r="V418" s="2" t="s">
        <v>42</v>
      </c>
      <c r="W418" s="1">
        <f>fNotasFiscais[[#This Row],[Data da Coleta]]+fNotasFiscais[[#This Row],[Prazo Contratado]]</f>
        <v>43219</v>
      </c>
      <c r="X418" s="3">
        <f>IF(fNotasFiscais[[#This Row],[Data da Entrega]]&gt;fNotasFiscais[[#This Row],[Data Contratada]],0,1)</f>
        <v>0</v>
      </c>
      <c r="Y418" s="3">
        <f>IF(fNotasFiscais[[#This Row],[Ocorrência]]="",1,0)</f>
        <v>0</v>
      </c>
      <c r="Z418" s="2">
        <f>fNotasFiscais[[#This Row],[On Time]]*fNotasFiscais[[#This Row],[In Full]]</f>
        <v>0</v>
      </c>
      <c r="AA418">
        <f>IF(fNotasFiscais[[#This Row],[Nota Fiscal]]&lt;&gt;"",1,0)</f>
        <v>1</v>
      </c>
    </row>
    <row r="419" spans="1:27" x14ac:dyDescent="0.25">
      <c r="A419" s="1">
        <v>43215</v>
      </c>
      <c r="B419">
        <v>10828</v>
      </c>
      <c r="C419" s="2" t="s">
        <v>52</v>
      </c>
      <c r="D419" s="2" t="s">
        <v>53</v>
      </c>
      <c r="E419" s="2" t="s">
        <v>33</v>
      </c>
      <c r="F419">
        <v>4062</v>
      </c>
      <c r="G419" s="2" t="s">
        <v>96</v>
      </c>
      <c r="H419" s="2" t="s">
        <v>97</v>
      </c>
      <c r="I419" s="2" t="s">
        <v>48</v>
      </c>
      <c r="J419" s="2" t="s">
        <v>49</v>
      </c>
      <c r="K419" s="2" t="s">
        <v>48</v>
      </c>
      <c r="L419">
        <v>195.22</v>
      </c>
      <c r="M419">
        <v>1</v>
      </c>
      <c r="N419">
        <v>0.31900000000000001</v>
      </c>
      <c r="O419">
        <v>6100231</v>
      </c>
      <c r="P419" s="2" t="s">
        <v>50</v>
      </c>
      <c r="Q419" s="2" t="s">
        <v>51</v>
      </c>
      <c r="R419" s="2" t="s">
        <v>30</v>
      </c>
      <c r="S419">
        <v>8</v>
      </c>
      <c r="T419" s="1">
        <v>43215</v>
      </c>
      <c r="U419" s="1">
        <v>43224</v>
      </c>
      <c r="V419" s="2"/>
      <c r="W419" s="1">
        <f>fNotasFiscais[[#This Row],[Data da Coleta]]+fNotasFiscais[[#This Row],[Prazo Contratado]]</f>
        <v>43223</v>
      </c>
      <c r="X419" s="3">
        <f>IF(fNotasFiscais[[#This Row],[Data da Entrega]]&gt;fNotasFiscais[[#This Row],[Data Contratada]],0,1)</f>
        <v>0</v>
      </c>
      <c r="Y419" s="3">
        <f>IF(fNotasFiscais[[#This Row],[Ocorrência]]="",1,0)</f>
        <v>1</v>
      </c>
      <c r="Z419" s="2">
        <f>fNotasFiscais[[#This Row],[On Time]]*fNotasFiscais[[#This Row],[In Full]]</f>
        <v>0</v>
      </c>
      <c r="AA419">
        <f>IF(fNotasFiscais[[#This Row],[Nota Fiscal]]&lt;&gt;"",1,0)</f>
        <v>1</v>
      </c>
    </row>
    <row r="420" spans="1:27" x14ac:dyDescent="0.25">
      <c r="A420" s="1">
        <v>43215</v>
      </c>
      <c r="B420">
        <v>10829</v>
      </c>
      <c r="C420" s="2" t="s">
        <v>34</v>
      </c>
      <c r="D420" s="2" t="s">
        <v>35</v>
      </c>
      <c r="E420" s="2" t="s">
        <v>36</v>
      </c>
      <c r="F420">
        <v>4030</v>
      </c>
      <c r="G420" s="2" t="s">
        <v>102</v>
      </c>
      <c r="H420" s="2" t="s">
        <v>35</v>
      </c>
      <c r="I420" s="2" t="s">
        <v>36</v>
      </c>
      <c r="J420" s="2" t="s">
        <v>60</v>
      </c>
      <c r="K420" s="2" t="s">
        <v>36</v>
      </c>
      <c r="L420">
        <v>917.89</v>
      </c>
      <c r="M420">
        <v>1</v>
      </c>
      <c r="N420">
        <v>12.98</v>
      </c>
      <c r="O420">
        <v>6600879</v>
      </c>
      <c r="P420" s="2" t="s">
        <v>61</v>
      </c>
      <c r="Q420" s="2" t="s">
        <v>35</v>
      </c>
      <c r="R420" s="2" t="s">
        <v>30</v>
      </c>
      <c r="S420">
        <v>7</v>
      </c>
      <c r="T420" s="1">
        <v>43215</v>
      </c>
      <c r="U420" s="1">
        <v>43222</v>
      </c>
      <c r="V420" s="2"/>
      <c r="W420" s="1">
        <f>fNotasFiscais[[#This Row],[Data da Coleta]]+fNotasFiscais[[#This Row],[Prazo Contratado]]</f>
        <v>43222</v>
      </c>
      <c r="X420" s="3">
        <f>IF(fNotasFiscais[[#This Row],[Data da Entrega]]&gt;fNotasFiscais[[#This Row],[Data Contratada]],0,1)</f>
        <v>1</v>
      </c>
      <c r="Y420" s="3">
        <f>IF(fNotasFiscais[[#This Row],[Ocorrência]]="",1,0)</f>
        <v>1</v>
      </c>
      <c r="Z420" s="2">
        <f>fNotasFiscais[[#This Row],[On Time]]*fNotasFiscais[[#This Row],[In Full]]</f>
        <v>1</v>
      </c>
      <c r="AA420">
        <f>IF(fNotasFiscais[[#This Row],[Nota Fiscal]]&lt;&gt;"",1,0)</f>
        <v>1</v>
      </c>
    </row>
    <row r="421" spans="1:27" x14ac:dyDescent="0.25">
      <c r="A421" s="1">
        <v>43215</v>
      </c>
      <c r="B421">
        <v>10830</v>
      </c>
      <c r="C421" s="2" t="s">
        <v>52</v>
      </c>
      <c r="D421" s="2" t="s">
        <v>53</v>
      </c>
      <c r="E421" s="2" t="s">
        <v>33</v>
      </c>
      <c r="F421">
        <v>4055</v>
      </c>
      <c r="G421" s="2" t="s">
        <v>120</v>
      </c>
      <c r="H421" s="2" t="s">
        <v>47</v>
      </c>
      <c r="I421" s="2" t="s">
        <v>48</v>
      </c>
      <c r="J421" s="2" t="s">
        <v>49</v>
      </c>
      <c r="K421" s="2" t="s">
        <v>48</v>
      </c>
      <c r="L421">
        <v>665.43</v>
      </c>
      <c r="M421">
        <v>2</v>
      </c>
      <c r="N421">
        <v>4.7930000000000001</v>
      </c>
      <c r="O421">
        <v>6100231</v>
      </c>
      <c r="P421" s="2" t="s">
        <v>50</v>
      </c>
      <c r="Q421" s="2" t="s">
        <v>51</v>
      </c>
      <c r="R421" s="2" t="s">
        <v>30</v>
      </c>
      <c r="S421">
        <v>6</v>
      </c>
      <c r="T421" s="1">
        <v>43215</v>
      </c>
      <c r="U421" s="1">
        <v>43220</v>
      </c>
      <c r="V421" s="2"/>
      <c r="W421" s="1">
        <f>fNotasFiscais[[#This Row],[Data da Coleta]]+fNotasFiscais[[#This Row],[Prazo Contratado]]</f>
        <v>43221</v>
      </c>
      <c r="X421" s="3">
        <f>IF(fNotasFiscais[[#This Row],[Data da Entrega]]&gt;fNotasFiscais[[#This Row],[Data Contratada]],0,1)</f>
        <v>1</v>
      </c>
      <c r="Y421" s="3">
        <f>IF(fNotasFiscais[[#This Row],[Ocorrência]]="",1,0)</f>
        <v>1</v>
      </c>
      <c r="Z421" s="2">
        <f>fNotasFiscais[[#This Row],[On Time]]*fNotasFiscais[[#This Row],[In Full]]</f>
        <v>1</v>
      </c>
      <c r="AA421">
        <f>IF(fNotasFiscais[[#This Row],[Nota Fiscal]]&lt;&gt;"",1,0)</f>
        <v>1</v>
      </c>
    </row>
    <row r="422" spans="1:27" x14ac:dyDescent="0.25">
      <c r="A422" s="1">
        <v>43215</v>
      </c>
      <c r="B422">
        <v>10831</v>
      </c>
      <c r="C422" s="2" t="s">
        <v>22</v>
      </c>
      <c r="D422" s="2" t="s">
        <v>23</v>
      </c>
      <c r="E422" s="2" t="s">
        <v>24</v>
      </c>
      <c r="F422">
        <v>4055</v>
      </c>
      <c r="G422" s="2" t="s">
        <v>120</v>
      </c>
      <c r="H422" s="2" t="s">
        <v>47</v>
      </c>
      <c r="I422" s="2" t="s">
        <v>48</v>
      </c>
      <c r="J422" s="2" t="s">
        <v>49</v>
      </c>
      <c r="K422" s="2" t="s">
        <v>48</v>
      </c>
      <c r="L422">
        <v>15279.03</v>
      </c>
      <c r="M422">
        <v>16</v>
      </c>
      <c r="N422">
        <v>97.622</v>
      </c>
      <c r="O422">
        <v>6100231</v>
      </c>
      <c r="P422" s="2" t="s">
        <v>50</v>
      </c>
      <c r="Q422" s="2" t="s">
        <v>51</v>
      </c>
      <c r="R422" s="2" t="s">
        <v>30</v>
      </c>
      <c r="S422">
        <v>8</v>
      </c>
      <c r="T422" s="1">
        <v>43215</v>
      </c>
      <c r="U422" s="1">
        <v>43222</v>
      </c>
      <c r="V422" s="2"/>
      <c r="W422" s="1">
        <f>fNotasFiscais[[#This Row],[Data da Coleta]]+fNotasFiscais[[#This Row],[Prazo Contratado]]</f>
        <v>43223</v>
      </c>
      <c r="X422" s="3">
        <f>IF(fNotasFiscais[[#This Row],[Data da Entrega]]&gt;fNotasFiscais[[#This Row],[Data Contratada]],0,1)</f>
        <v>1</v>
      </c>
      <c r="Y422" s="3">
        <f>IF(fNotasFiscais[[#This Row],[Ocorrência]]="",1,0)</f>
        <v>1</v>
      </c>
      <c r="Z422" s="2">
        <f>fNotasFiscais[[#This Row],[On Time]]*fNotasFiscais[[#This Row],[In Full]]</f>
        <v>1</v>
      </c>
      <c r="AA422">
        <f>IF(fNotasFiscais[[#This Row],[Nota Fiscal]]&lt;&gt;"",1,0)</f>
        <v>1</v>
      </c>
    </row>
    <row r="423" spans="1:27" x14ac:dyDescent="0.25">
      <c r="A423" s="1">
        <v>43215</v>
      </c>
      <c r="B423">
        <v>10832</v>
      </c>
      <c r="C423" s="2" t="s">
        <v>34</v>
      </c>
      <c r="D423" s="2" t="s">
        <v>35</v>
      </c>
      <c r="E423" s="2" t="s">
        <v>36</v>
      </c>
      <c r="F423">
        <v>4040</v>
      </c>
      <c r="G423" s="2" t="s">
        <v>117</v>
      </c>
      <c r="H423" s="2" t="s">
        <v>47</v>
      </c>
      <c r="I423" s="2" t="s">
        <v>48</v>
      </c>
      <c r="J423" s="2" t="s">
        <v>49</v>
      </c>
      <c r="K423" s="2" t="s">
        <v>48</v>
      </c>
      <c r="L423">
        <v>1828.01</v>
      </c>
      <c r="M423">
        <v>1</v>
      </c>
      <c r="N423">
        <v>1.1200000000000001</v>
      </c>
      <c r="O423">
        <v>6100231</v>
      </c>
      <c r="P423" s="2" t="s">
        <v>50</v>
      </c>
      <c r="Q423" s="2" t="s">
        <v>51</v>
      </c>
      <c r="R423" s="2" t="s">
        <v>30</v>
      </c>
      <c r="S423">
        <v>11</v>
      </c>
      <c r="T423" s="1">
        <v>43215</v>
      </c>
      <c r="U423" s="1">
        <v>43224</v>
      </c>
      <c r="V423" s="2"/>
      <c r="W423" s="1">
        <f>fNotasFiscais[[#This Row],[Data da Coleta]]+fNotasFiscais[[#This Row],[Prazo Contratado]]</f>
        <v>43226</v>
      </c>
      <c r="X423" s="3">
        <f>IF(fNotasFiscais[[#This Row],[Data da Entrega]]&gt;fNotasFiscais[[#This Row],[Data Contratada]],0,1)</f>
        <v>1</v>
      </c>
      <c r="Y423" s="3">
        <f>IF(fNotasFiscais[[#This Row],[Ocorrência]]="",1,0)</f>
        <v>1</v>
      </c>
      <c r="Z423" s="2">
        <f>fNotasFiscais[[#This Row],[On Time]]*fNotasFiscais[[#This Row],[In Full]]</f>
        <v>1</v>
      </c>
      <c r="AA423">
        <f>IF(fNotasFiscais[[#This Row],[Nota Fiscal]]&lt;&gt;"",1,0)</f>
        <v>1</v>
      </c>
    </row>
    <row r="424" spans="1:27" x14ac:dyDescent="0.25">
      <c r="A424" s="1">
        <v>43215</v>
      </c>
      <c r="B424">
        <v>10833</v>
      </c>
      <c r="C424" s="2" t="s">
        <v>34</v>
      </c>
      <c r="D424" s="2" t="s">
        <v>35</v>
      </c>
      <c r="E424" s="2" t="s">
        <v>36</v>
      </c>
      <c r="F424">
        <v>4040</v>
      </c>
      <c r="G424" s="2" t="s">
        <v>117</v>
      </c>
      <c r="H424" s="2" t="s">
        <v>47</v>
      </c>
      <c r="I424" s="2" t="s">
        <v>48</v>
      </c>
      <c r="J424" s="2" t="s">
        <v>49</v>
      </c>
      <c r="K424" s="2" t="s">
        <v>48</v>
      </c>
      <c r="L424">
        <v>1279.06</v>
      </c>
      <c r="M424">
        <v>2</v>
      </c>
      <c r="N424">
        <v>7.3259999999999996</v>
      </c>
      <c r="O424">
        <v>6100231</v>
      </c>
      <c r="P424" s="2" t="s">
        <v>50</v>
      </c>
      <c r="Q424" s="2" t="s">
        <v>51</v>
      </c>
      <c r="R424" s="2" t="s">
        <v>30</v>
      </c>
      <c r="S424">
        <v>3</v>
      </c>
      <c r="T424" s="1">
        <v>43215</v>
      </c>
      <c r="U424" s="1">
        <v>43225</v>
      </c>
      <c r="V424" s="2"/>
      <c r="W424" s="1">
        <f>fNotasFiscais[[#This Row],[Data da Coleta]]+fNotasFiscais[[#This Row],[Prazo Contratado]]</f>
        <v>43218</v>
      </c>
      <c r="X424" s="3">
        <f>IF(fNotasFiscais[[#This Row],[Data da Entrega]]&gt;fNotasFiscais[[#This Row],[Data Contratada]],0,1)</f>
        <v>0</v>
      </c>
      <c r="Y424" s="3">
        <f>IF(fNotasFiscais[[#This Row],[Ocorrência]]="",1,0)</f>
        <v>1</v>
      </c>
      <c r="Z424" s="2">
        <f>fNotasFiscais[[#This Row],[On Time]]*fNotasFiscais[[#This Row],[In Full]]</f>
        <v>0</v>
      </c>
      <c r="AA424">
        <f>IF(fNotasFiscais[[#This Row],[Nota Fiscal]]&lt;&gt;"",1,0)</f>
        <v>1</v>
      </c>
    </row>
    <row r="425" spans="1:27" x14ac:dyDescent="0.25">
      <c r="A425" s="1">
        <v>43216</v>
      </c>
      <c r="B425">
        <v>10834</v>
      </c>
      <c r="C425" s="2" t="s">
        <v>43</v>
      </c>
      <c r="D425" s="2" t="s">
        <v>44</v>
      </c>
      <c r="E425" s="2" t="s">
        <v>45</v>
      </c>
      <c r="F425">
        <v>4043</v>
      </c>
      <c r="G425" s="2" t="s">
        <v>114</v>
      </c>
      <c r="H425" s="2" t="s">
        <v>115</v>
      </c>
      <c r="I425" s="2" t="s">
        <v>107</v>
      </c>
      <c r="J425" s="2" t="s">
        <v>49</v>
      </c>
      <c r="K425" s="2" t="s">
        <v>107</v>
      </c>
      <c r="L425">
        <v>1878.73</v>
      </c>
      <c r="M425">
        <v>1</v>
      </c>
      <c r="N425">
        <v>18.260000000000002</v>
      </c>
      <c r="O425">
        <v>6100231</v>
      </c>
      <c r="P425" s="2" t="s">
        <v>50</v>
      </c>
      <c r="Q425" s="2" t="s">
        <v>51</v>
      </c>
      <c r="R425" s="2" t="s">
        <v>30</v>
      </c>
      <c r="S425">
        <v>4</v>
      </c>
      <c r="T425" s="1">
        <v>43216</v>
      </c>
      <c r="U425" s="1">
        <v>43219</v>
      </c>
      <c r="V425" s="2"/>
      <c r="W425" s="1">
        <f>fNotasFiscais[[#This Row],[Data da Coleta]]+fNotasFiscais[[#This Row],[Prazo Contratado]]</f>
        <v>43220</v>
      </c>
      <c r="X425" s="3">
        <f>IF(fNotasFiscais[[#This Row],[Data da Entrega]]&gt;fNotasFiscais[[#This Row],[Data Contratada]],0,1)</f>
        <v>1</v>
      </c>
      <c r="Y425" s="3">
        <f>IF(fNotasFiscais[[#This Row],[Ocorrência]]="",1,0)</f>
        <v>1</v>
      </c>
      <c r="Z425" s="2">
        <f>fNotasFiscais[[#This Row],[On Time]]*fNotasFiscais[[#This Row],[In Full]]</f>
        <v>1</v>
      </c>
      <c r="AA425">
        <f>IF(fNotasFiscais[[#This Row],[Nota Fiscal]]&lt;&gt;"",1,0)</f>
        <v>1</v>
      </c>
    </row>
    <row r="426" spans="1:27" x14ac:dyDescent="0.25">
      <c r="A426" s="1">
        <v>43216</v>
      </c>
      <c r="B426">
        <v>10835</v>
      </c>
      <c r="C426" s="2" t="s">
        <v>40</v>
      </c>
      <c r="D426" s="2" t="s">
        <v>41</v>
      </c>
      <c r="E426" s="2" t="s">
        <v>33</v>
      </c>
      <c r="F426">
        <v>4033</v>
      </c>
      <c r="G426" s="2" t="s">
        <v>109</v>
      </c>
      <c r="H426" s="2" t="s">
        <v>51</v>
      </c>
      <c r="I426" s="2" t="s">
        <v>73</v>
      </c>
      <c r="J426" s="2" t="s">
        <v>49</v>
      </c>
      <c r="K426" s="2" t="s">
        <v>73</v>
      </c>
      <c r="L426">
        <v>3902.89</v>
      </c>
      <c r="M426">
        <v>11</v>
      </c>
      <c r="N426">
        <v>34.597000000000001</v>
      </c>
      <c r="O426">
        <v>6100231</v>
      </c>
      <c r="P426" s="2" t="s">
        <v>50</v>
      </c>
      <c r="Q426" s="2" t="s">
        <v>51</v>
      </c>
      <c r="R426" s="2" t="s">
        <v>30</v>
      </c>
      <c r="S426">
        <v>7</v>
      </c>
      <c r="T426" s="1">
        <v>43216</v>
      </c>
      <c r="U426" s="1">
        <v>43222</v>
      </c>
      <c r="V426" s="2"/>
      <c r="W426" s="1">
        <f>fNotasFiscais[[#This Row],[Data da Coleta]]+fNotasFiscais[[#This Row],[Prazo Contratado]]</f>
        <v>43223</v>
      </c>
      <c r="X426" s="3">
        <f>IF(fNotasFiscais[[#This Row],[Data da Entrega]]&gt;fNotasFiscais[[#This Row],[Data Contratada]],0,1)</f>
        <v>1</v>
      </c>
      <c r="Y426" s="3">
        <f>IF(fNotasFiscais[[#This Row],[Ocorrência]]="",1,0)</f>
        <v>1</v>
      </c>
      <c r="Z426" s="2">
        <f>fNotasFiscais[[#This Row],[On Time]]*fNotasFiscais[[#This Row],[In Full]]</f>
        <v>1</v>
      </c>
      <c r="AA426">
        <f>IF(fNotasFiscais[[#This Row],[Nota Fiscal]]&lt;&gt;"",1,0)</f>
        <v>1</v>
      </c>
    </row>
    <row r="427" spans="1:27" x14ac:dyDescent="0.25">
      <c r="A427" s="1">
        <v>43216</v>
      </c>
      <c r="B427">
        <v>10836</v>
      </c>
      <c r="C427" s="2" t="s">
        <v>54</v>
      </c>
      <c r="D427" s="2" t="s">
        <v>55</v>
      </c>
      <c r="E427" s="2" t="s">
        <v>56</v>
      </c>
      <c r="F427">
        <v>4018</v>
      </c>
      <c r="G427" s="2" t="s">
        <v>77</v>
      </c>
      <c r="H427" s="2" t="s">
        <v>78</v>
      </c>
      <c r="I427" s="2" t="s">
        <v>39</v>
      </c>
      <c r="J427" s="2" t="s">
        <v>28</v>
      </c>
      <c r="K427" s="2" t="s">
        <v>39</v>
      </c>
      <c r="L427">
        <v>152.21</v>
      </c>
      <c r="M427">
        <v>1</v>
      </c>
      <c r="N427">
        <v>1.1200000000000001</v>
      </c>
      <c r="O427">
        <v>6500948</v>
      </c>
      <c r="P427" s="2" t="s">
        <v>29</v>
      </c>
      <c r="Q427" s="2" t="s">
        <v>23</v>
      </c>
      <c r="R427" s="2" t="s">
        <v>30</v>
      </c>
      <c r="S427">
        <v>2</v>
      </c>
      <c r="T427" s="1">
        <v>43216</v>
      </c>
      <c r="U427" s="1">
        <v>43220</v>
      </c>
      <c r="V427" s="2"/>
      <c r="W427" s="1">
        <f>fNotasFiscais[[#This Row],[Data da Coleta]]+fNotasFiscais[[#This Row],[Prazo Contratado]]</f>
        <v>43218</v>
      </c>
      <c r="X427" s="3">
        <f>IF(fNotasFiscais[[#This Row],[Data da Entrega]]&gt;fNotasFiscais[[#This Row],[Data Contratada]],0,1)</f>
        <v>0</v>
      </c>
      <c r="Y427" s="3">
        <f>IF(fNotasFiscais[[#This Row],[Ocorrência]]="",1,0)</f>
        <v>1</v>
      </c>
      <c r="Z427" s="2">
        <f>fNotasFiscais[[#This Row],[On Time]]*fNotasFiscais[[#This Row],[In Full]]</f>
        <v>0</v>
      </c>
      <c r="AA427">
        <f>IF(fNotasFiscais[[#This Row],[Nota Fiscal]]&lt;&gt;"",1,0)</f>
        <v>1</v>
      </c>
    </row>
    <row r="428" spans="1:27" x14ac:dyDescent="0.25">
      <c r="A428" s="1">
        <v>43217</v>
      </c>
      <c r="B428">
        <v>10837</v>
      </c>
      <c r="C428" s="2" t="s">
        <v>40</v>
      </c>
      <c r="D428" s="2" t="s">
        <v>41</v>
      </c>
      <c r="E428" s="2" t="s">
        <v>33</v>
      </c>
      <c r="F428">
        <v>4094</v>
      </c>
      <c r="G428" s="2" t="s">
        <v>172</v>
      </c>
      <c r="H428" s="2" t="s">
        <v>173</v>
      </c>
      <c r="I428" s="2" t="s">
        <v>174</v>
      </c>
      <c r="J428" s="2" t="s">
        <v>175</v>
      </c>
      <c r="K428" s="2" t="s">
        <v>174</v>
      </c>
      <c r="L428">
        <v>2255.58</v>
      </c>
      <c r="M428">
        <v>6</v>
      </c>
      <c r="N428">
        <v>77.88</v>
      </c>
      <c r="O428">
        <v>6700091</v>
      </c>
      <c r="P428" s="2" t="s">
        <v>176</v>
      </c>
      <c r="Q428" s="2" t="s">
        <v>173</v>
      </c>
      <c r="R428" s="2" t="s">
        <v>30</v>
      </c>
      <c r="S428">
        <v>5</v>
      </c>
      <c r="T428" s="1">
        <v>43217</v>
      </c>
      <c r="U428" s="1">
        <v>43219</v>
      </c>
      <c r="V428" s="2"/>
      <c r="W428" s="1">
        <f>fNotasFiscais[[#This Row],[Data da Coleta]]+fNotasFiscais[[#This Row],[Prazo Contratado]]</f>
        <v>43222</v>
      </c>
      <c r="X428" s="3">
        <f>IF(fNotasFiscais[[#This Row],[Data da Entrega]]&gt;fNotasFiscais[[#This Row],[Data Contratada]],0,1)</f>
        <v>1</v>
      </c>
      <c r="Y428" s="3">
        <f>IF(fNotasFiscais[[#This Row],[Ocorrência]]="",1,0)</f>
        <v>1</v>
      </c>
      <c r="Z428" s="2">
        <f>fNotasFiscais[[#This Row],[On Time]]*fNotasFiscais[[#This Row],[In Full]]</f>
        <v>1</v>
      </c>
      <c r="AA428">
        <f>IF(fNotasFiscais[[#This Row],[Nota Fiscal]]&lt;&gt;"",1,0)</f>
        <v>1</v>
      </c>
    </row>
    <row r="429" spans="1:27" x14ac:dyDescent="0.25">
      <c r="A429" s="1">
        <v>43217</v>
      </c>
      <c r="B429">
        <v>10838</v>
      </c>
      <c r="C429" s="2" t="s">
        <v>22</v>
      </c>
      <c r="D429" s="2" t="s">
        <v>23</v>
      </c>
      <c r="E429" s="2" t="s">
        <v>24</v>
      </c>
      <c r="F429">
        <v>4060</v>
      </c>
      <c r="G429" s="2" t="s">
        <v>134</v>
      </c>
      <c r="H429" s="2" t="s">
        <v>115</v>
      </c>
      <c r="I429" s="2" t="s">
        <v>107</v>
      </c>
      <c r="J429" s="2" t="s">
        <v>49</v>
      </c>
      <c r="K429" s="2" t="s">
        <v>107</v>
      </c>
      <c r="L429">
        <v>4514.3500000000004</v>
      </c>
      <c r="M429">
        <v>3</v>
      </c>
      <c r="N429">
        <v>47.52</v>
      </c>
      <c r="O429">
        <v>6100231</v>
      </c>
      <c r="P429" s="2" t="s">
        <v>50</v>
      </c>
      <c r="Q429" s="2" t="s">
        <v>51</v>
      </c>
      <c r="R429" s="2" t="s">
        <v>30</v>
      </c>
      <c r="S429">
        <v>8</v>
      </c>
      <c r="T429" s="1">
        <v>43217</v>
      </c>
      <c r="U429" s="1">
        <v>43226</v>
      </c>
      <c r="V429" s="2"/>
      <c r="W429" s="1">
        <f>fNotasFiscais[[#This Row],[Data da Coleta]]+fNotasFiscais[[#This Row],[Prazo Contratado]]</f>
        <v>43225</v>
      </c>
      <c r="X429" s="3">
        <f>IF(fNotasFiscais[[#This Row],[Data da Entrega]]&gt;fNotasFiscais[[#This Row],[Data Contratada]],0,1)</f>
        <v>0</v>
      </c>
      <c r="Y429" s="3">
        <f>IF(fNotasFiscais[[#This Row],[Ocorrência]]="",1,0)</f>
        <v>1</v>
      </c>
      <c r="Z429" s="2">
        <f>fNotasFiscais[[#This Row],[On Time]]*fNotasFiscais[[#This Row],[In Full]]</f>
        <v>0</v>
      </c>
      <c r="AA429">
        <f>IF(fNotasFiscais[[#This Row],[Nota Fiscal]]&lt;&gt;"",1,0)</f>
        <v>1</v>
      </c>
    </row>
    <row r="430" spans="1:27" x14ac:dyDescent="0.25">
      <c r="A430" s="1">
        <v>43218</v>
      </c>
      <c r="B430">
        <v>10839</v>
      </c>
      <c r="C430" s="2" t="s">
        <v>40</v>
      </c>
      <c r="D430" s="2" t="s">
        <v>41</v>
      </c>
      <c r="E430" s="2" t="s">
        <v>33</v>
      </c>
      <c r="F430">
        <v>4014</v>
      </c>
      <c r="G430" s="2" t="s">
        <v>58</v>
      </c>
      <c r="H430" s="2" t="s">
        <v>59</v>
      </c>
      <c r="I430" s="2" t="s">
        <v>36</v>
      </c>
      <c r="J430" s="2" t="s">
        <v>60</v>
      </c>
      <c r="K430" s="2" t="s">
        <v>36</v>
      </c>
      <c r="L430">
        <v>5842.25</v>
      </c>
      <c r="M430">
        <v>9</v>
      </c>
      <c r="N430">
        <v>30.655999999999999</v>
      </c>
      <c r="O430">
        <v>6600879</v>
      </c>
      <c r="P430" s="2" t="s">
        <v>61</v>
      </c>
      <c r="Q430" s="2" t="s">
        <v>35</v>
      </c>
      <c r="R430" s="2" t="s">
        <v>30</v>
      </c>
      <c r="S430">
        <v>5</v>
      </c>
      <c r="T430" s="1">
        <v>43218</v>
      </c>
      <c r="U430" s="1">
        <v>43220</v>
      </c>
      <c r="V430" s="2"/>
      <c r="W430" s="1">
        <f>fNotasFiscais[[#This Row],[Data da Coleta]]+fNotasFiscais[[#This Row],[Prazo Contratado]]</f>
        <v>43223</v>
      </c>
      <c r="X430" s="3">
        <f>IF(fNotasFiscais[[#This Row],[Data da Entrega]]&gt;fNotasFiscais[[#This Row],[Data Contratada]],0,1)</f>
        <v>1</v>
      </c>
      <c r="Y430" s="3">
        <f>IF(fNotasFiscais[[#This Row],[Ocorrência]]="",1,0)</f>
        <v>1</v>
      </c>
      <c r="Z430" s="2">
        <f>fNotasFiscais[[#This Row],[On Time]]*fNotasFiscais[[#This Row],[In Full]]</f>
        <v>1</v>
      </c>
      <c r="AA430">
        <f>IF(fNotasFiscais[[#This Row],[Nota Fiscal]]&lt;&gt;"",1,0)</f>
        <v>1</v>
      </c>
    </row>
    <row r="431" spans="1:27" x14ac:dyDescent="0.25">
      <c r="A431" s="1">
        <v>43218</v>
      </c>
      <c r="B431">
        <v>10840</v>
      </c>
      <c r="C431" s="2" t="s">
        <v>40</v>
      </c>
      <c r="D431" s="2" t="s">
        <v>41</v>
      </c>
      <c r="E431" s="2" t="s">
        <v>33</v>
      </c>
      <c r="F431">
        <v>4056</v>
      </c>
      <c r="G431" s="2" t="s">
        <v>119</v>
      </c>
      <c r="H431" s="2" t="s">
        <v>51</v>
      </c>
      <c r="I431" s="2" t="s">
        <v>73</v>
      </c>
      <c r="J431" s="2" t="s">
        <v>49</v>
      </c>
      <c r="K431" s="2" t="s">
        <v>73</v>
      </c>
      <c r="L431">
        <v>2027.44</v>
      </c>
      <c r="M431">
        <v>1</v>
      </c>
      <c r="N431">
        <v>1.1200000000000001</v>
      </c>
      <c r="O431">
        <v>6100231</v>
      </c>
      <c r="P431" s="2" t="s">
        <v>50</v>
      </c>
      <c r="Q431" s="2" t="s">
        <v>51</v>
      </c>
      <c r="R431" s="2" t="s">
        <v>30</v>
      </c>
      <c r="S431">
        <v>4</v>
      </c>
      <c r="T431" s="1">
        <v>43218</v>
      </c>
      <c r="U431" s="1">
        <v>43223</v>
      </c>
      <c r="V431" s="2"/>
      <c r="W431" s="1">
        <f>fNotasFiscais[[#This Row],[Data da Coleta]]+fNotasFiscais[[#This Row],[Prazo Contratado]]</f>
        <v>43222</v>
      </c>
      <c r="X431" s="3">
        <f>IF(fNotasFiscais[[#This Row],[Data da Entrega]]&gt;fNotasFiscais[[#This Row],[Data Contratada]],0,1)</f>
        <v>0</v>
      </c>
      <c r="Y431" s="3">
        <f>IF(fNotasFiscais[[#This Row],[Ocorrência]]="",1,0)</f>
        <v>1</v>
      </c>
      <c r="Z431" s="2">
        <f>fNotasFiscais[[#This Row],[On Time]]*fNotasFiscais[[#This Row],[In Full]]</f>
        <v>0</v>
      </c>
      <c r="AA431">
        <f>IF(fNotasFiscais[[#This Row],[Nota Fiscal]]&lt;&gt;"",1,0)</f>
        <v>1</v>
      </c>
    </row>
    <row r="432" spans="1:27" x14ac:dyDescent="0.25">
      <c r="A432" s="1">
        <v>43218</v>
      </c>
      <c r="B432">
        <v>10841</v>
      </c>
      <c r="C432" s="2" t="s">
        <v>52</v>
      </c>
      <c r="D432" s="2" t="s">
        <v>53</v>
      </c>
      <c r="E432" s="2" t="s">
        <v>33</v>
      </c>
      <c r="F432">
        <v>4014</v>
      </c>
      <c r="G432" s="2" t="s">
        <v>58</v>
      </c>
      <c r="H432" s="2" t="s">
        <v>59</v>
      </c>
      <c r="I432" s="2" t="s">
        <v>36</v>
      </c>
      <c r="J432" s="2" t="s">
        <v>60</v>
      </c>
      <c r="K432" s="2" t="s">
        <v>36</v>
      </c>
      <c r="L432">
        <v>2896.55</v>
      </c>
      <c r="M432">
        <v>4</v>
      </c>
      <c r="N432">
        <v>9.4619999999999997</v>
      </c>
      <c r="O432">
        <v>6600879</v>
      </c>
      <c r="P432" s="2" t="s">
        <v>61</v>
      </c>
      <c r="Q432" s="2" t="s">
        <v>35</v>
      </c>
      <c r="R432" s="2" t="s">
        <v>30</v>
      </c>
      <c r="S432">
        <v>9</v>
      </c>
      <c r="T432" s="1">
        <v>43218</v>
      </c>
      <c r="U432" s="1">
        <v>43219</v>
      </c>
      <c r="V432" s="2"/>
      <c r="W432" s="1">
        <f>fNotasFiscais[[#This Row],[Data da Coleta]]+fNotasFiscais[[#This Row],[Prazo Contratado]]</f>
        <v>43227</v>
      </c>
      <c r="X432" s="3">
        <f>IF(fNotasFiscais[[#This Row],[Data da Entrega]]&gt;fNotasFiscais[[#This Row],[Data Contratada]],0,1)</f>
        <v>1</v>
      </c>
      <c r="Y432" s="3">
        <f>IF(fNotasFiscais[[#This Row],[Ocorrência]]="",1,0)</f>
        <v>1</v>
      </c>
      <c r="Z432" s="2">
        <f>fNotasFiscais[[#This Row],[On Time]]*fNotasFiscais[[#This Row],[In Full]]</f>
        <v>1</v>
      </c>
      <c r="AA432">
        <f>IF(fNotasFiscais[[#This Row],[Nota Fiscal]]&lt;&gt;"",1,0)</f>
        <v>1</v>
      </c>
    </row>
    <row r="433" spans="1:27" x14ac:dyDescent="0.25">
      <c r="A433" s="1">
        <v>43218</v>
      </c>
      <c r="B433">
        <v>10842</v>
      </c>
      <c r="C433" s="2" t="s">
        <v>52</v>
      </c>
      <c r="D433" s="2" t="s">
        <v>53</v>
      </c>
      <c r="E433" s="2" t="s">
        <v>33</v>
      </c>
      <c r="F433">
        <v>4014</v>
      </c>
      <c r="G433" s="2" t="s">
        <v>58</v>
      </c>
      <c r="H433" s="2" t="s">
        <v>59</v>
      </c>
      <c r="I433" s="2" t="s">
        <v>36</v>
      </c>
      <c r="J433" s="2" t="s">
        <v>60</v>
      </c>
      <c r="K433" s="2" t="s">
        <v>36</v>
      </c>
      <c r="L433">
        <v>1110.33</v>
      </c>
      <c r="M433">
        <v>2</v>
      </c>
      <c r="N433">
        <v>9.3810000000000002</v>
      </c>
      <c r="O433">
        <v>6600879</v>
      </c>
      <c r="P433" s="2" t="s">
        <v>61</v>
      </c>
      <c r="Q433" s="2" t="s">
        <v>35</v>
      </c>
      <c r="R433" s="2" t="s">
        <v>30</v>
      </c>
      <c r="S433">
        <v>3</v>
      </c>
      <c r="T433" s="1">
        <v>43218</v>
      </c>
      <c r="U433" s="1">
        <v>43219</v>
      </c>
      <c r="V433" s="2"/>
      <c r="W433" s="1">
        <f>fNotasFiscais[[#This Row],[Data da Coleta]]+fNotasFiscais[[#This Row],[Prazo Contratado]]</f>
        <v>43221</v>
      </c>
      <c r="X433" s="3">
        <f>IF(fNotasFiscais[[#This Row],[Data da Entrega]]&gt;fNotasFiscais[[#This Row],[Data Contratada]],0,1)</f>
        <v>1</v>
      </c>
      <c r="Y433" s="3">
        <f>IF(fNotasFiscais[[#This Row],[Ocorrência]]="",1,0)</f>
        <v>1</v>
      </c>
      <c r="Z433" s="2">
        <f>fNotasFiscais[[#This Row],[On Time]]*fNotasFiscais[[#This Row],[In Full]]</f>
        <v>1</v>
      </c>
      <c r="AA433">
        <f>IF(fNotasFiscais[[#This Row],[Nota Fiscal]]&lt;&gt;"",1,0)</f>
        <v>1</v>
      </c>
    </row>
    <row r="434" spans="1:27" x14ac:dyDescent="0.25">
      <c r="A434" s="1">
        <v>43218</v>
      </c>
      <c r="B434">
        <v>10843</v>
      </c>
      <c r="C434" s="2" t="s">
        <v>54</v>
      </c>
      <c r="D434" s="2" t="s">
        <v>55</v>
      </c>
      <c r="E434" s="2" t="s">
        <v>56</v>
      </c>
      <c r="F434">
        <v>4056</v>
      </c>
      <c r="G434" s="2" t="s">
        <v>119</v>
      </c>
      <c r="H434" s="2" t="s">
        <v>51</v>
      </c>
      <c r="I434" s="2" t="s">
        <v>73</v>
      </c>
      <c r="J434" s="2" t="s">
        <v>49</v>
      </c>
      <c r="K434" s="2" t="s">
        <v>73</v>
      </c>
      <c r="L434">
        <v>906.39</v>
      </c>
      <c r="M434">
        <v>1</v>
      </c>
      <c r="N434">
        <v>5.7759999999999998</v>
      </c>
      <c r="O434">
        <v>6100231</v>
      </c>
      <c r="P434" s="2" t="s">
        <v>50</v>
      </c>
      <c r="Q434" s="2" t="s">
        <v>51</v>
      </c>
      <c r="R434" s="2" t="s">
        <v>30</v>
      </c>
      <c r="S434">
        <v>9</v>
      </c>
      <c r="T434" s="1">
        <v>43218</v>
      </c>
      <c r="U434" s="1">
        <v>43225</v>
      </c>
      <c r="V434" s="2"/>
      <c r="W434" s="1">
        <f>fNotasFiscais[[#This Row],[Data da Coleta]]+fNotasFiscais[[#This Row],[Prazo Contratado]]</f>
        <v>43227</v>
      </c>
      <c r="X434" s="3">
        <f>IF(fNotasFiscais[[#This Row],[Data da Entrega]]&gt;fNotasFiscais[[#This Row],[Data Contratada]],0,1)</f>
        <v>1</v>
      </c>
      <c r="Y434" s="3">
        <f>IF(fNotasFiscais[[#This Row],[Ocorrência]]="",1,0)</f>
        <v>1</v>
      </c>
      <c r="Z434" s="2">
        <f>fNotasFiscais[[#This Row],[On Time]]*fNotasFiscais[[#This Row],[In Full]]</f>
        <v>1</v>
      </c>
      <c r="AA434">
        <f>IF(fNotasFiscais[[#This Row],[Nota Fiscal]]&lt;&gt;"",1,0)</f>
        <v>1</v>
      </c>
    </row>
    <row r="435" spans="1:27" x14ac:dyDescent="0.25">
      <c r="A435" s="1">
        <v>43218</v>
      </c>
      <c r="B435">
        <v>10844</v>
      </c>
      <c r="C435" s="2" t="s">
        <v>34</v>
      </c>
      <c r="D435" s="2" t="s">
        <v>35</v>
      </c>
      <c r="E435" s="2" t="s">
        <v>36</v>
      </c>
      <c r="F435">
        <v>4056</v>
      </c>
      <c r="G435" s="2" t="s">
        <v>119</v>
      </c>
      <c r="H435" s="2" t="s">
        <v>51</v>
      </c>
      <c r="I435" s="2" t="s">
        <v>73</v>
      </c>
      <c r="J435" s="2" t="s">
        <v>49</v>
      </c>
      <c r="K435" s="2" t="s">
        <v>73</v>
      </c>
      <c r="L435">
        <v>1016.61</v>
      </c>
      <c r="M435">
        <v>1</v>
      </c>
      <c r="N435">
        <v>15.18</v>
      </c>
      <c r="O435">
        <v>6100231</v>
      </c>
      <c r="P435" s="2" t="s">
        <v>50</v>
      </c>
      <c r="Q435" s="2" t="s">
        <v>51</v>
      </c>
      <c r="R435" s="2" t="s">
        <v>30</v>
      </c>
      <c r="S435">
        <v>5</v>
      </c>
      <c r="T435" s="1">
        <v>43218</v>
      </c>
      <c r="U435" s="1">
        <v>43223</v>
      </c>
      <c r="V435" s="2"/>
      <c r="W435" s="1">
        <f>fNotasFiscais[[#This Row],[Data da Coleta]]+fNotasFiscais[[#This Row],[Prazo Contratado]]</f>
        <v>43223</v>
      </c>
      <c r="X435" s="3">
        <f>IF(fNotasFiscais[[#This Row],[Data da Entrega]]&gt;fNotasFiscais[[#This Row],[Data Contratada]],0,1)</f>
        <v>1</v>
      </c>
      <c r="Y435" s="3">
        <f>IF(fNotasFiscais[[#This Row],[Ocorrência]]="",1,0)</f>
        <v>1</v>
      </c>
      <c r="Z435" s="2">
        <f>fNotasFiscais[[#This Row],[On Time]]*fNotasFiscais[[#This Row],[In Full]]</f>
        <v>1</v>
      </c>
      <c r="AA435">
        <f>IF(fNotasFiscais[[#This Row],[Nota Fiscal]]&lt;&gt;"",1,0)</f>
        <v>1</v>
      </c>
    </row>
    <row r="436" spans="1:27" x14ac:dyDescent="0.25">
      <c r="A436" s="1">
        <v>43220</v>
      </c>
      <c r="B436">
        <v>10845</v>
      </c>
      <c r="C436" s="2" t="s">
        <v>40</v>
      </c>
      <c r="D436" s="2" t="s">
        <v>41</v>
      </c>
      <c r="E436" s="2" t="s">
        <v>33</v>
      </c>
      <c r="F436">
        <v>4022</v>
      </c>
      <c r="G436" s="2" t="s">
        <v>86</v>
      </c>
      <c r="H436" s="2" t="s">
        <v>87</v>
      </c>
      <c r="I436" s="2" t="s">
        <v>27</v>
      </c>
      <c r="J436" s="2" t="s">
        <v>28</v>
      </c>
      <c r="K436" s="2" t="s">
        <v>27</v>
      </c>
      <c r="L436">
        <v>7595.06</v>
      </c>
      <c r="M436">
        <v>10</v>
      </c>
      <c r="N436">
        <v>52.103999999999999</v>
      </c>
      <c r="O436">
        <v>6500948</v>
      </c>
      <c r="P436" s="2" t="s">
        <v>29</v>
      </c>
      <c r="Q436" s="2" t="s">
        <v>23</v>
      </c>
      <c r="R436" s="2" t="s">
        <v>30</v>
      </c>
      <c r="S436">
        <v>5</v>
      </c>
      <c r="T436" s="1">
        <v>43220</v>
      </c>
      <c r="U436" s="1">
        <v>43221</v>
      </c>
      <c r="V436" s="2"/>
      <c r="W436" s="1">
        <f>fNotasFiscais[[#This Row],[Data da Coleta]]+fNotasFiscais[[#This Row],[Prazo Contratado]]</f>
        <v>43225</v>
      </c>
      <c r="X436" s="3">
        <f>IF(fNotasFiscais[[#This Row],[Data da Entrega]]&gt;fNotasFiscais[[#This Row],[Data Contratada]],0,1)</f>
        <v>1</v>
      </c>
      <c r="Y436" s="3">
        <f>IF(fNotasFiscais[[#This Row],[Ocorrência]]="",1,0)</f>
        <v>1</v>
      </c>
      <c r="Z436" s="2">
        <f>fNotasFiscais[[#This Row],[On Time]]*fNotasFiscais[[#This Row],[In Full]]</f>
        <v>1</v>
      </c>
      <c r="AA436">
        <f>IF(fNotasFiscais[[#This Row],[Nota Fiscal]]&lt;&gt;"",1,0)</f>
        <v>1</v>
      </c>
    </row>
    <row r="437" spans="1:27" x14ac:dyDescent="0.25">
      <c r="A437" s="1">
        <v>43220</v>
      </c>
      <c r="B437">
        <v>10846</v>
      </c>
      <c r="C437" s="2" t="s">
        <v>52</v>
      </c>
      <c r="D437" s="2" t="s">
        <v>53</v>
      </c>
      <c r="E437" s="2" t="s">
        <v>33</v>
      </c>
      <c r="F437">
        <v>4022</v>
      </c>
      <c r="G437" s="2" t="s">
        <v>86</v>
      </c>
      <c r="H437" s="2" t="s">
        <v>87</v>
      </c>
      <c r="I437" s="2" t="s">
        <v>27</v>
      </c>
      <c r="J437" s="2" t="s">
        <v>28</v>
      </c>
      <c r="K437" s="2" t="s">
        <v>27</v>
      </c>
      <c r="L437">
        <v>3901.99</v>
      </c>
      <c r="M437">
        <v>8</v>
      </c>
      <c r="N437">
        <v>27.454999999999998</v>
      </c>
      <c r="O437">
        <v>6500948</v>
      </c>
      <c r="P437" s="2" t="s">
        <v>29</v>
      </c>
      <c r="Q437" s="2" t="s">
        <v>23</v>
      </c>
      <c r="R437" s="2" t="s">
        <v>30</v>
      </c>
      <c r="S437">
        <v>6</v>
      </c>
      <c r="T437" s="1">
        <v>43220</v>
      </c>
      <c r="U437" s="1">
        <v>43228</v>
      </c>
      <c r="V437" s="2"/>
      <c r="W437" s="1">
        <f>fNotasFiscais[[#This Row],[Data da Coleta]]+fNotasFiscais[[#This Row],[Prazo Contratado]]</f>
        <v>43226</v>
      </c>
      <c r="X437" s="3">
        <f>IF(fNotasFiscais[[#This Row],[Data da Entrega]]&gt;fNotasFiscais[[#This Row],[Data Contratada]],0,1)</f>
        <v>0</v>
      </c>
      <c r="Y437" s="3">
        <f>IF(fNotasFiscais[[#This Row],[Ocorrência]]="",1,0)</f>
        <v>1</v>
      </c>
      <c r="Z437" s="2">
        <f>fNotasFiscais[[#This Row],[On Time]]*fNotasFiscais[[#This Row],[In Full]]</f>
        <v>0</v>
      </c>
      <c r="AA437">
        <f>IF(fNotasFiscais[[#This Row],[Nota Fiscal]]&lt;&gt;"",1,0)</f>
        <v>1</v>
      </c>
    </row>
    <row r="438" spans="1:27" x14ac:dyDescent="0.25">
      <c r="A438" s="1">
        <v>43222</v>
      </c>
      <c r="B438">
        <v>10847</v>
      </c>
      <c r="C438" s="2" t="s">
        <v>52</v>
      </c>
      <c r="D438" s="2" t="s">
        <v>53</v>
      </c>
      <c r="E438" s="2" t="s">
        <v>33</v>
      </c>
      <c r="F438">
        <v>4013</v>
      </c>
      <c r="G438" s="2" t="s">
        <v>37</v>
      </c>
      <c r="H438" s="2" t="s">
        <v>38</v>
      </c>
      <c r="I438" s="2" t="s">
        <v>39</v>
      </c>
      <c r="J438" s="2" t="s">
        <v>28</v>
      </c>
      <c r="K438" s="2" t="s">
        <v>39</v>
      </c>
      <c r="L438">
        <v>1137.07</v>
      </c>
      <c r="M438">
        <v>1</v>
      </c>
      <c r="N438">
        <v>1.1200000000000001</v>
      </c>
      <c r="O438">
        <v>6500948</v>
      </c>
      <c r="P438" s="2" t="s">
        <v>29</v>
      </c>
      <c r="Q438" s="2" t="s">
        <v>23</v>
      </c>
      <c r="R438" s="2" t="s">
        <v>30</v>
      </c>
      <c r="S438">
        <v>10</v>
      </c>
      <c r="T438" s="1">
        <v>43222</v>
      </c>
      <c r="U438" s="1">
        <v>43228</v>
      </c>
      <c r="V438" s="2"/>
      <c r="W438" s="1">
        <f>fNotasFiscais[[#This Row],[Data da Coleta]]+fNotasFiscais[[#This Row],[Prazo Contratado]]</f>
        <v>43232</v>
      </c>
      <c r="X438" s="3">
        <f>IF(fNotasFiscais[[#This Row],[Data da Entrega]]&gt;fNotasFiscais[[#This Row],[Data Contratada]],0,1)</f>
        <v>1</v>
      </c>
      <c r="Y438" s="3">
        <f>IF(fNotasFiscais[[#This Row],[Ocorrência]]="",1,0)</f>
        <v>1</v>
      </c>
      <c r="Z438" s="2">
        <f>fNotasFiscais[[#This Row],[On Time]]*fNotasFiscais[[#This Row],[In Full]]</f>
        <v>1</v>
      </c>
      <c r="AA438">
        <f>IF(fNotasFiscais[[#This Row],[Nota Fiscal]]&lt;&gt;"",1,0)</f>
        <v>1</v>
      </c>
    </row>
    <row r="439" spans="1:27" x14ac:dyDescent="0.25">
      <c r="A439" s="1">
        <v>43223</v>
      </c>
      <c r="B439">
        <v>10848</v>
      </c>
      <c r="C439" s="2" t="s">
        <v>40</v>
      </c>
      <c r="D439" s="2" t="s">
        <v>41</v>
      </c>
      <c r="E439" s="2" t="s">
        <v>33</v>
      </c>
      <c r="F439">
        <v>4013</v>
      </c>
      <c r="G439" s="2" t="s">
        <v>37</v>
      </c>
      <c r="H439" s="2" t="s">
        <v>38</v>
      </c>
      <c r="I439" s="2" t="s">
        <v>39</v>
      </c>
      <c r="J439" s="2" t="s">
        <v>28</v>
      </c>
      <c r="K439" s="2" t="s">
        <v>39</v>
      </c>
      <c r="L439">
        <v>1317.58</v>
      </c>
      <c r="M439">
        <v>1</v>
      </c>
      <c r="N439">
        <v>1.1200000000000001</v>
      </c>
      <c r="O439">
        <v>6500948</v>
      </c>
      <c r="P439" s="2" t="s">
        <v>29</v>
      </c>
      <c r="Q439" s="2" t="s">
        <v>23</v>
      </c>
      <c r="R439" s="2" t="s">
        <v>30</v>
      </c>
      <c r="S439">
        <v>11</v>
      </c>
      <c r="T439" s="1">
        <v>43223</v>
      </c>
      <c r="U439" s="1">
        <v>43233</v>
      </c>
      <c r="V439" s="2"/>
      <c r="W439" s="1">
        <f>fNotasFiscais[[#This Row],[Data da Coleta]]+fNotasFiscais[[#This Row],[Prazo Contratado]]</f>
        <v>43234</v>
      </c>
      <c r="X439" s="3">
        <f>IF(fNotasFiscais[[#This Row],[Data da Entrega]]&gt;fNotasFiscais[[#This Row],[Data Contratada]],0,1)</f>
        <v>1</v>
      </c>
      <c r="Y439" s="3">
        <f>IF(fNotasFiscais[[#This Row],[Ocorrência]]="",1,0)</f>
        <v>1</v>
      </c>
      <c r="Z439" s="2">
        <f>fNotasFiscais[[#This Row],[On Time]]*fNotasFiscais[[#This Row],[In Full]]</f>
        <v>1</v>
      </c>
      <c r="AA439">
        <f>IF(fNotasFiscais[[#This Row],[Nota Fiscal]]&lt;&gt;"",1,0)</f>
        <v>1</v>
      </c>
    </row>
    <row r="440" spans="1:27" x14ac:dyDescent="0.25">
      <c r="A440" s="1">
        <v>43223</v>
      </c>
      <c r="B440">
        <v>10849</v>
      </c>
      <c r="C440" s="2" t="s">
        <v>34</v>
      </c>
      <c r="D440" s="2" t="s">
        <v>35</v>
      </c>
      <c r="E440" s="2" t="s">
        <v>36</v>
      </c>
      <c r="F440">
        <v>4044</v>
      </c>
      <c r="G440" s="2" t="s">
        <v>123</v>
      </c>
      <c r="H440" s="2" t="s">
        <v>35</v>
      </c>
      <c r="I440" s="2" t="s">
        <v>36</v>
      </c>
      <c r="J440" s="2" t="s">
        <v>60</v>
      </c>
      <c r="K440" s="2" t="s">
        <v>36</v>
      </c>
      <c r="L440">
        <v>6204.24</v>
      </c>
      <c r="M440">
        <v>7</v>
      </c>
      <c r="N440">
        <v>37.18</v>
      </c>
      <c r="O440">
        <v>6600879</v>
      </c>
      <c r="P440" s="2" t="s">
        <v>61</v>
      </c>
      <c r="Q440" s="2" t="s">
        <v>35</v>
      </c>
      <c r="R440" s="2" t="s">
        <v>30</v>
      </c>
      <c r="S440">
        <v>4</v>
      </c>
      <c r="T440" s="1">
        <v>43223</v>
      </c>
      <c r="U440" s="1">
        <v>43224</v>
      </c>
      <c r="V440" s="2"/>
      <c r="W440" s="1">
        <f>fNotasFiscais[[#This Row],[Data da Coleta]]+fNotasFiscais[[#This Row],[Prazo Contratado]]</f>
        <v>43227</v>
      </c>
      <c r="X440" s="3">
        <f>IF(fNotasFiscais[[#This Row],[Data da Entrega]]&gt;fNotasFiscais[[#This Row],[Data Contratada]],0,1)</f>
        <v>1</v>
      </c>
      <c r="Y440" s="3">
        <f>IF(fNotasFiscais[[#This Row],[Ocorrência]]="",1,0)</f>
        <v>1</v>
      </c>
      <c r="Z440" s="2">
        <f>fNotasFiscais[[#This Row],[On Time]]*fNotasFiscais[[#This Row],[In Full]]</f>
        <v>1</v>
      </c>
      <c r="AA440">
        <f>IF(fNotasFiscais[[#This Row],[Nota Fiscal]]&lt;&gt;"",1,0)</f>
        <v>1</v>
      </c>
    </row>
    <row r="441" spans="1:27" x14ac:dyDescent="0.25">
      <c r="A441" s="1">
        <v>43223</v>
      </c>
      <c r="B441">
        <v>10850</v>
      </c>
      <c r="C441" s="2" t="s">
        <v>31</v>
      </c>
      <c r="D441" s="2" t="s">
        <v>32</v>
      </c>
      <c r="E441" s="2" t="s">
        <v>33</v>
      </c>
      <c r="F441">
        <v>4045</v>
      </c>
      <c r="G441" s="2" t="s">
        <v>124</v>
      </c>
      <c r="H441" s="2" t="s">
        <v>35</v>
      </c>
      <c r="I441" s="2" t="s">
        <v>36</v>
      </c>
      <c r="J441" s="2" t="s">
        <v>60</v>
      </c>
      <c r="K441" s="2" t="s">
        <v>36</v>
      </c>
      <c r="L441">
        <v>403.2</v>
      </c>
      <c r="M441">
        <v>8</v>
      </c>
      <c r="N441">
        <v>17.905999999999999</v>
      </c>
      <c r="O441">
        <v>6600879</v>
      </c>
      <c r="P441" s="2" t="s">
        <v>61</v>
      </c>
      <c r="Q441" s="2" t="s">
        <v>35</v>
      </c>
      <c r="R441" s="2" t="s">
        <v>30</v>
      </c>
      <c r="S441">
        <v>7</v>
      </c>
      <c r="T441" s="1">
        <v>43223</v>
      </c>
      <c r="U441" s="1">
        <v>43227</v>
      </c>
      <c r="V441" s="2"/>
      <c r="W441" s="1">
        <f>fNotasFiscais[[#This Row],[Data da Coleta]]+fNotasFiscais[[#This Row],[Prazo Contratado]]</f>
        <v>43230</v>
      </c>
      <c r="X441" s="3">
        <f>IF(fNotasFiscais[[#This Row],[Data da Entrega]]&gt;fNotasFiscais[[#This Row],[Data Contratada]],0,1)</f>
        <v>1</v>
      </c>
      <c r="Y441" s="3">
        <f>IF(fNotasFiscais[[#This Row],[Ocorrência]]="",1,0)</f>
        <v>1</v>
      </c>
      <c r="Z441" s="2">
        <f>fNotasFiscais[[#This Row],[On Time]]*fNotasFiscais[[#This Row],[In Full]]</f>
        <v>1</v>
      </c>
      <c r="AA441">
        <f>IF(fNotasFiscais[[#This Row],[Nota Fiscal]]&lt;&gt;"",1,0)</f>
        <v>1</v>
      </c>
    </row>
    <row r="442" spans="1:27" x14ac:dyDescent="0.25">
      <c r="A442" s="1">
        <v>43223</v>
      </c>
      <c r="B442">
        <v>10851</v>
      </c>
      <c r="C442" s="2" t="s">
        <v>40</v>
      </c>
      <c r="D442" s="2" t="s">
        <v>41</v>
      </c>
      <c r="E442" s="2" t="s">
        <v>33</v>
      </c>
      <c r="F442">
        <v>4044</v>
      </c>
      <c r="G442" s="2" t="s">
        <v>123</v>
      </c>
      <c r="H442" s="2" t="s">
        <v>35</v>
      </c>
      <c r="I442" s="2" t="s">
        <v>36</v>
      </c>
      <c r="J442" s="2" t="s">
        <v>60</v>
      </c>
      <c r="K442" s="2" t="s">
        <v>36</v>
      </c>
      <c r="L442">
        <v>2728.28</v>
      </c>
      <c r="M442">
        <v>1</v>
      </c>
      <c r="N442">
        <v>1.1200000000000001</v>
      </c>
      <c r="O442">
        <v>6600879</v>
      </c>
      <c r="P442" s="2" t="s">
        <v>61</v>
      </c>
      <c r="Q442" s="2" t="s">
        <v>35</v>
      </c>
      <c r="R442" s="2" t="s">
        <v>30</v>
      </c>
      <c r="S442">
        <v>4</v>
      </c>
      <c r="T442" s="1">
        <v>43223</v>
      </c>
      <c r="U442" s="1">
        <v>43225</v>
      </c>
      <c r="V442" s="2"/>
      <c r="W442" s="1">
        <f>fNotasFiscais[[#This Row],[Data da Coleta]]+fNotasFiscais[[#This Row],[Prazo Contratado]]</f>
        <v>43227</v>
      </c>
      <c r="X442" s="3">
        <f>IF(fNotasFiscais[[#This Row],[Data da Entrega]]&gt;fNotasFiscais[[#This Row],[Data Contratada]],0,1)</f>
        <v>1</v>
      </c>
      <c r="Y442" s="3">
        <f>IF(fNotasFiscais[[#This Row],[Ocorrência]]="",1,0)</f>
        <v>1</v>
      </c>
      <c r="Z442" s="2">
        <f>fNotasFiscais[[#This Row],[On Time]]*fNotasFiscais[[#This Row],[In Full]]</f>
        <v>1</v>
      </c>
      <c r="AA442">
        <f>IF(fNotasFiscais[[#This Row],[Nota Fiscal]]&lt;&gt;"",1,0)</f>
        <v>1</v>
      </c>
    </row>
    <row r="443" spans="1:27" x14ac:dyDescent="0.25">
      <c r="A443" s="1">
        <v>43223</v>
      </c>
      <c r="B443">
        <v>10852</v>
      </c>
      <c r="C443" s="2" t="s">
        <v>31</v>
      </c>
      <c r="D443" s="2" t="s">
        <v>32</v>
      </c>
      <c r="E443" s="2" t="s">
        <v>33</v>
      </c>
      <c r="F443">
        <v>4045</v>
      </c>
      <c r="G443" s="2" t="s">
        <v>124</v>
      </c>
      <c r="H443" s="2" t="s">
        <v>35</v>
      </c>
      <c r="I443" s="2" t="s">
        <v>36</v>
      </c>
      <c r="J443" s="2" t="s">
        <v>60</v>
      </c>
      <c r="K443" s="2" t="s">
        <v>36</v>
      </c>
      <c r="L443">
        <v>565.65</v>
      </c>
      <c r="M443">
        <v>1</v>
      </c>
      <c r="N443">
        <v>1.1200000000000001</v>
      </c>
      <c r="O443">
        <v>6600879</v>
      </c>
      <c r="P443" s="2" t="s">
        <v>61</v>
      </c>
      <c r="Q443" s="2" t="s">
        <v>35</v>
      </c>
      <c r="R443" s="2" t="s">
        <v>30</v>
      </c>
      <c r="S443">
        <v>2</v>
      </c>
      <c r="T443" s="1">
        <v>43223</v>
      </c>
      <c r="U443" s="1">
        <v>43230</v>
      </c>
      <c r="V443" s="2"/>
      <c r="W443" s="1">
        <f>fNotasFiscais[[#This Row],[Data da Coleta]]+fNotasFiscais[[#This Row],[Prazo Contratado]]</f>
        <v>43225</v>
      </c>
      <c r="X443" s="3">
        <f>IF(fNotasFiscais[[#This Row],[Data da Entrega]]&gt;fNotasFiscais[[#This Row],[Data Contratada]],0,1)</f>
        <v>0</v>
      </c>
      <c r="Y443" s="3">
        <f>IF(fNotasFiscais[[#This Row],[Ocorrência]]="",1,0)</f>
        <v>1</v>
      </c>
      <c r="Z443" s="2">
        <f>fNotasFiscais[[#This Row],[On Time]]*fNotasFiscais[[#This Row],[In Full]]</f>
        <v>0</v>
      </c>
      <c r="AA443">
        <f>IF(fNotasFiscais[[#This Row],[Nota Fiscal]]&lt;&gt;"",1,0)</f>
        <v>1</v>
      </c>
    </row>
    <row r="444" spans="1:27" x14ac:dyDescent="0.25">
      <c r="A444" s="1">
        <v>43223</v>
      </c>
      <c r="B444">
        <v>10853</v>
      </c>
      <c r="C444" s="2" t="s">
        <v>52</v>
      </c>
      <c r="D444" s="2" t="s">
        <v>53</v>
      </c>
      <c r="E444" s="2" t="s">
        <v>33</v>
      </c>
      <c r="F444">
        <v>4044</v>
      </c>
      <c r="G444" s="2" t="s">
        <v>123</v>
      </c>
      <c r="H444" s="2" t="s">
        <v>35</v>
      </c>
      <c r="I444" s="2" t="s">
        <v>36</v>
      </c>
      <c r="J444" s="2" t="s">
        <v>60</v>
      </c>
      <c r="K444" s="2" t="s">
        <v>36</v>
      </c>
      <c r="L444">
        <v>832.06</v>
      </c>
      <c r="M444">
        <v>1</v>
      </c>
      <c r="N444">
        <v>1.1200000000000001</v>
      </c>
      <c r="O444">
        <v>6600879</v>
      </c>
      <c r="P444" s="2" t="s">
        <v>61</v>
      </c>
      <c r="Q444" s="2" t="s">
        <v>35</v>
      </c>
      <c r="R444" s="2" t="s">
        <v>30</v>
      </c>
      <c r="S444">
        <v>10</v>
      </c>
      <c r="T444" s="1">
        <v>43223</v>
      </c>
      <c r="U444" s="1">
        <v>43228</v>
      </c>
      <c r="V444" s="2"/>
      <c r="W444" s="1">
        <f>fNotasFiscais[[#This Row],[Data da Coleta]]+fNotasFiscais[[#This Row],[Prazo Contratado]]</f>
        <v>43233</v>
      </c>
      <c r="X444" s="3">
        <f>IF(fNotasFiscais[[#This Row],[Data da Entrega]]&gt;fNotasFiscais[[#This Row],[Data Contratada]],0,1)</f>
        <v>1</v>
      </c>
      <c r="Y444" s="3">
        <f>IF(fNotasFiscais[[#This Row],[Ocorrência]]="",1,0)</f>
        <v>1</v>
      </c>
      <c r="Z444" s="2">
        <f>fNotasFiscais[[#This Row],[On Time]]*fNotasFiscais[[#This Row],[In Full]]</f>
        <v>1</v>
      </c>
      <c r="AA444">
        <f>IF(fNotasFiscais[[#This Row],[Nota Fiscal]]&lt;&gt;"",1,0)</f>
        <v>1</v>
      </c>
    </row>
    <row r="445" spans="1:27" x14ac:dyDescent="0.25">
      <c r="A445" s="1">
        <v>43223</v>
      </c>
      <c r="B445">
        <v>10854</v>
      </c>
      <c r="C445" s="2" t="s">
        <v>52</v>
      </c>
      <c r="D445" s="2" t="s">
        <v>53</v>
      </c>
      <c r="E445" s="2" t="s">
        <v>33</v>
      </c>
      <c r="F445">
        <v>4045</v>
      </c>
      <c r="G445" s="2" t="s">
        <v>124</v>
      </c>
      <c r="H445" s="2" t="s">
        <v>35</v>
      </c>
      <c r="I445" s="2" t="s">
        <v>36</v>
      </c>
      <c r="J445" s="2" t="s">
        <v>60</v>
      </c>
      <c r="K445" s="2" t="s">
        <v>36</v>
      </c>
      <c r="L445">
        <v>2897.31</v>
      </c>
      <c r="M445">
        <v>6</v>
      </c>
      <c r="N445">
        <v>22.628</v>
      </c>
      <c r="O445">
        <v>6600879</v>
      </c>
      <c r="P445" s="2" t="s">
        <v>61</v>
      </c>
      <c r="Q445" s="2" t="s">
        <v>35</v>
      </c>
      <c r="R445" s="2" t="s">
        <v>30</v>
      </c>
      <c r="S445">
        <v>7</v>
      </c>
      <c r="T445" s="1">
        <v>43223</v>
      </c>
      <c r="U445" s="1">
        <v>43228</v>
      </c>
      <c r="V445" s="2"/>
      <c r="W445" s="1">
        <f>fNotasFiscais[[#This Row],[Data da Coleta]]+fNotasFiscais[[#This Row],[Prazo Contratado]]</f>
        <v>43230</v>
      </c>
      <c r="X445" s="3">
        <f>IF(fNotasFiscais[[#This Row],[Data da Entrega]]&gt;fNotasFiscais[[#This Row],[Data Contratada]],0,1)</f>
        <v>1</v>
      </c>
      <c r="Y445" s="3">
        <f>IF(fNotasFiscais[[#This Row],[Ocorrência]]="",1,0)</f>
        <v>1</v>
      </c>
      <c r="Z445" s="2">
        <f>fNotasFiscais[[#This Row],[On Time]]*fNotasFiscais[[#This Row],[In Full]]</f>
        <v>1</v>
      </c>
      <c r="AA445">
        <f>IF(fNotasFiscais[[#This Row],[Nota Fiscal]]&lt;&gt;"",1,0)</f>
        <v>1</v>
      </c>
    </row>
    <row r="446" spans="1:27" x14ac:dyDescent="0.25">
      <c r="A446" s="1">
        <v>43224</v>
      </c>
      <c r="B446">
        <v>10855</v>
      </c>
      <c r="C446" s="2" t="s">
        <v>34</v>
      </c>
      <c r="D446" s="2" t="s">
        <v>35</v>
      </c>
      <c r="E446" s="2" t="s">
        <v>36</v>
      </c>
      <c r="F446">
        <v>4024</v>
      </c>
      <c r="G446" s="2" t="s">
        <v>89</v>
      </c>
      <c r="H446" s="2" t="s">
        <v>23</v>
      </c>
      <c r="I446" s="2" t="s">
        <v>24</v>
      </c>
      <c r="J446" s="2" t="s">
        <v>28</v>
      </c>
      <c r="K446" s="2" t="s">
        <v>24</v>
      </c>
      <c r="L446">
        <v>208.52</v>
      </c>
      <c r="M446">
        <v>1</v>
      </c>
      <c r="N446">
        <v>1.1200000000000001</v>
      </c>
      <c r="O446">
        <v>6500948</v>
      </c>
      <c r="P446" s="2" t="s">
        <v>29</v>
      </c>
      <c r="Q446" s="2" t="s">
        <v>23</v>
      </c>
      <c r="R446" s="2" t="s">
        <v>30</v>
      </c>
      <c r="S446">
        <v>4</v>
      </c>
      <c r="T446" s="1">
        <v>43224</v>
      </c>
      <c r="U446" s="1">
        <v>43232</v>
      </c>
      <c r="V446" s="2"/>
      <c r="W446" s="1">
        <f>fNotasFiscais[[#This Row],[Data da Coleta]]+fNotasFiscais[[#This Row],[Prazo Contratado]]</f>
        <v>43228</v>
      </c>
      <c r="X446" s="3">
        <f>IF(fNotasFiscais[[#This Row],[Data da Entrega]]&gt;fNotasFiscais[[#This Row],[Data Contratada]],0,1)</f>
        <v>0</v>
      </c>
      <c r="Y446" s="3">
        <f>IF(fNotasFiscais[[#This Row],[Ocorrência]]="",1,0)</f>
        <v>1</v>
      </c>
      <c r="Z446" s="2">
        <f>fNotasFiscais[[#This Row],[On Time]]*fNotasFiscais[[#This Row],[In Full]]</f>
        <v>0</v>
      </c>
      <c r="AA446">
        <f>IF(fNotasFiscais[[#This Row],[Nota Fiscal]]&lt;&gt;"",1,0)</f>
        <v>1</v>
      </c>
    </row>
    <row r="447" spans="1:27" x14ac:dyDescent="0.25">
      <c r="A447" s="1">
        <v>43225</v>
      </c>
      <c r="B447">
        <v>10856</v>
      </c>
      <c r="C447" s="2" t="s">
        <v>54</v>
      </c>
      <c r="D447" s="2" t="s">
        <v>55</v>
      </c>
      <c r="E447" s="2" t="s">
        <v>56</v>
      </c>
      <c r="F447">
        <v>4023</v>
      </c>
      <c r="G447" s="2" t="s">
        <v>88</v>
      </c>
      <c r="H447" s="2" t="s">
        <v>78</v>
      </c>
      <c r="I447" s="2" t="s">
        <v>39</v>
      </c>
      <c r="J447" s="2" t="s">
        <v>28</v>
      </c>
      <c r="K447" s="2" t="s">
        <v>39</v>
      </c>
      <c r="L447">
        <v>375.09</v>
      </c>
      <c r="M447">
        <v>1</v>
      </c>
      <c r="N447">
        <v>0.79200000000000004</v>
      </c>
      <c r="O447">
        <v>6500948</v>
      </c>
      <c r="P447" s="2" t="s">
        <v>29</v>
      </c>
      <c r="Q447" s="2" t="s">
        <v>23</v>
      </c>
      <c r="R447" s="2" t="s">
        <v>30</v>
      </c>
      <c r="S447">
        <v>5</v>
      </c>
      <c r="T447" s="1">
        <v>43225</v>
      </c>
      <c r="U447" s="1">
        <v>43230</v>
      </c>
      <c r="V447" s="2"/>
      <c r="W447" s="1">
        <f>fNotasFiscais[[#This Row],[Data da Coleta]]+fNotasFiscais[[#This Row],[Prazo Contratado]]</f>
        <v>43230</v>
      </c>
      <c r="X447" s="3">
        <f>IF(fNotasFiscais[[#This Row],[Data da Entrega]]&gt;fNotasFiscais[[#This Row],[Data Contratada]],0,1)</f>
        <v>1</v>
      </c>
      <c r="Y447" s="3">
        <f>IF(fNotasFiscais[[#This Row],[Ocorrência]]="",1,0)</f>
        <v>1</v>
      </c>
      <c r="Z447" s="2">
        <f>fNotasFiscais[[#This Row],[On Time]]*fNotasFiscais[[#This Row],[In Full]]</f>
        <v>1</v>
      </c>
      <c r="AA447">
        <f>IF(fNotasFiscais[[#This Row],[Nota Fiscal]]&lt;&gt;"",1,0)</f>
        <v>1</v>
      </c>
    </row>
    <row r="448" spans="1:27" x14ac:dyDescent="0.25">
      <c r="A448" s="1">
        <v>43225</v>
      </c>
      <c r="B448">
        <v>10857</v>
      </c>
      <c r="C448" s="2" t="s">
        <v>31</v>
      </c>
      <c r="D448" s="2" t="s">
        <v>32</v>
      </c>
      <c r="E448" s="2" t="s">
        <v>33</v>
      </c>
      <c r="F448">
        <v>4022</v>
      </c>
      <c r="G448" s="2" t="s">
        <v>86</v>
      </c>
      <c r="H448" s="2" t="s">
        <v>87</v>
      </c>
      <c r="I448" s="2" t="s">
        <v>27</v>
      </c>
      <c r="J448" s="2" t="s">
        <v>28</v>
      </c>
      <c r="K448" s="2" t="s">
        <v>27</v>
      </c>
      <c r="L448">
        <v>5247.97</v>
      </c>
      <c r="M448">
        <v>10</v>
      </c>
      <c r="N448">
        <v>36.024999999999999</v>
      </c>
      <c r="O448">
        <v>6500948</v>
      </c>
      <c r="P448" s="2" t="s">
        <v>29</v>
      </c>
      <c r="Q448" s="2" t="s">
        <v>23</v>
      </c>
      <c r="R448" s="2" t="s">
        <v>30</v>
      </c>
      <c r="S448">
        <v>3</v>
      </c>
      <c r="T448" s="1">
        <v>43225</v>
      </c>
      <c r="U448" s="1">
        <v>43227</v>
      </c>
      <c r="V448" s="2"/>
      <c r="W448" s="1">
        <f>fNotasFiscais[[#This Row],[Data da Coleta]]+fNotasFiscais[[#This Row],[Prazo Contratado]]</f>
        <v>43228</v>
      </c>
      <c r="X448" s="3">
        <f>IF(fNotasFiscais[[#This Row],[Data da Entrega]]&gt;fNotasFiscais[[#This Row],[Data Contratada]],0,1)</f>
        <v>1</v>
      </c>
      <c r="Y448" s="3">
        <f>IF(fNotasFiscais[[#This Row],[Ocorrência]]="",1,0)</f>
        <v>1</v>
      </c>
      <c r="Z448" s="2">
        <f>fNotasFiscais[[#This Row],[On Time]]*fNotasFiscais[[#This Row],[In Full]]</f>
        <v>1</v>
      </c>
      <c r="AA448">
        <f>IF(fNotasFiscais[[#This Row],[Nota Fiscal]]&lt;&gt;"",1,0)</f>
        <v>1</v>
      </c>
    </row>
    <row r="449" spans="1:27" x14ac:dyDescent="0.25">
      <c r="A449" s="1">
        <v>43228</v>
      </c>
      <c r="B449">
        <v>10858</v>
      </c>
      <c r="C449" s="2" t="s">
        <v>54</v>
      </c>
      <c r="D449" s="2" t="s">
        <v>55</v>
      </c>
      <c r="E449" s="2" t="s">
        <v>56</v>
      </c>
      <c r="F449">
        <v>4027</v>
      </c>
      <c r="G449" s="2" t="s">
        <v>93</v>
      </c>
      <c r="H449" s="2" t="s">
        <v>91</v>
      </c>
      <c r="I449" s="2" t="s">
        <v>24</v>
      </c>
      <c r="J449" s="2" t="s">
        <v>28</v>
      </c>
      <c r="K449" s="2" t="s">
        <v>24</v>
      </c>
      <c r="L449">
        <v>1311.92</v>
      </c>
      <c r="M449">
        <v>1</v>
      </c>
      <c r="N449">
        <v>1.1200000000000001</v>
      </c>
      <c r="O449">
        <v>6500948</v>
      </c>
      <c r="P449" s="2" t="s">
        <v>29</v>
      </c>
      <c r="Q449" s="2" t="s">
        <v>23</v>
      </c>
      <c r="R449" s="2" t="s">
        <v>30</v>
      </c>
      <c r="S449">
        <v>12</v>
      </c>
      <c r="T449" s="1">
        <v>43228</v>
      </c>
      <c r="U449" s="1">
        <v>43236</v>
      </c>
      <c r="V449" s="2"/>
      <c r="W449" s="1">
        <f>fNotasFiscais[[#This Row],[Data da Coleta]]+fNotasFiscais[[#This Row],[Prazo Contratado]]</f>
        <v>43240</v>
      </c>
      <c r="X449" s="3">
        <f>IF(fNotasFiscais[[#This Row],[Data da Entrega]]&gt;fNotasFiscais[[#This Row],[Data Contratada]],0,1)</f>
        <v>1</v>
      </c>
      <c r="Y449" s="3">
        <f>IF(fNotasFiscais[[#This Row],[Ocorrência]]="",1,0)</f>
        <v>1</v>
      </c>
      <c r="Z449" s="2">
        <f>fNotasFiscais[[#This Row],[On Time]]*fNotasFiscais[[#This Row],[In Full]]</f>
        <v>1</v>
      </c>
      <c r="AA449">
        <f>IF(fNotasFiscais[[#This Row],[Nota Fiscal]]&lt;&gt;"",1,0)</f>
        <v>1</v>
      </c>
    </row>
    <row r="450" spans="1:27" x14ac:dyDescent="0.25">
      <c r="A450" s="1">
        <v>43228</v>
      </c>
      <c r="B450">
        <v>10859</v>
      </c>
      <c r="C450" s="2" t="s">
        <v>40</v>
      </c>
      <c r="D450" s="2" t="s">
        <v>41</v>
      </c>
      <c r="E450" s="2" t="s">
        <v>33</v>
      </c>
      <c r="F450">
        <v>4027</v>
      </c>
      <c r="G450" s="2" t="s">
        <v>93</v>
      </c>
      <c r="H450" s="2" t="s">
        <v>91</v>
      </c>
      <c r="I450" s="2" t="s">
        <v>24</v>
      </c>
      <c r="J450" s="2" t="s">
        <v>28</v>
      </c>
      <c r="K450" s="2" t="s">
        <v>24</v>
      </c>
      <c r="L450">
        <v>6119.43</v>
      </c>
      <c r="M450">
        <v>10</v>
      </c>
      <c r="N450">
        <v>40.018000000000001</v>
      </c>
      <c r="O450">
        <v>6500948</v>
      </c>
      <c r="P450" s="2" t="s">
        <v>29</v>
      </c>
      <c r="Q450" s="2" t="s">
        <v>23</v>
      </c>
      <c r="R450" s="2" t="s">
        <v>30</v>
      </c>
      <c r="S450">
        <v>11</v>
      </c>
      <c r="T450" s="1">
        <v>43228</v>
      </c>
      <c r="U450" s="1">
        <v>43229</v>
      </c>
      <c r="V450" s="2"/>
      <c r="W450" s="1">
        <f>fNotasFiscais[[#This Row],[Data da Coleta]]+fNotasFiscais[[#This Row],[Prazo Contratado]]</f>
        <v>43239</v>
      </c>
      <c r="X450" s="3">
        <f>IF(fNotasFiscais[[#This Row],[Data da Entrega]]&gt;fNotasFiscais[[#This Row],[Data Contratada]],0,1)</f>
        <v>1</v>
      </c>
      <c r="Y450" s="3">
        <f>IF(fNotasFiscais[[#This Row],[Ocorrência]]="",1,0)</f>
        <v>1</v>
      </c>
      <c r="Z450" s="2">
        <f>fNotasFiscais[[#This Row],[On Time]]*fNotasFiscais[[#This Row],[In Full]]</f>
        <v>1</v>
      </c>
      <c r="AA450">
        <f>IF(fNotasFiscais[[#This Row],[Nota Fiscal]]&lt;&gt;"",1,0)</f>
        <v>1</v>
      </c>
    </row>
    <row r="451" spans="1:27" x14ac:dyDescent="0.25">
      <c r="A451" s="1">
        <v>43228</v>
      </c>
      <c r="B451">
        <v>10860</v>
      </c>
      <c r="C451" s="2" t="s">
        <v>52</v>
      </c>
      <c r="D451" s="2" t="s">
        <v>53</v>
      </c>
      <c r="E451" s="2" t="s">
        <v>33</v>
      </c>
      <c r="F451">
        <v>4026</v>
      </c>
      <c r="G451" s="2" t="s">
        <v>92</v>
      </c>
      <c r="H451" s="2" t="s">
        <v>35</v>
      </c>
      <c r="I451" s="2" t="s">
        <v>36</v>
      </c>
      <c r="J451" s="2" t="s">
        <v>60</v>
      </c>
      <c r="K451" s="2" t="s">
        <v>36</v>
      </c>
      <c r="L451">
        <v>83.44</v>
      </c>
      <c r="M451">
        <v>1</v>
      </c>
      <c r="N451">
        <v>0.11899999999999999</v>
      </c>
      <c r="O451">
        <v>6600879</v>
      </c>
      <c r="P451" s="2" t="s">
        <v>61</v>
      </c>
      <c r="Q451" s="2" t="s">
        <v>35</v>
      </c>
      <c r="R451" s="2" t="s">
        <v>30</v>
      </c>
      <c r="S451">
        <v>8</v>
      </c>
      <c r="T451" s="1">
        <v>43228</v>
      </c>
      <c r="U451" s="1">
        <v>43234</v>
      </c>
      <c r="V451" s="2"/>
      <c r="W451" s="1">
        <f>fNotasFiscais[[#This Row],[Data da Coleta]]+fNotasFiscais[[#This Row],[Prazo Contratado]]</f>
        <v>43236</v>
      </c>
      <c r="X451" s="3">
        <f>IF(fNotasFiscais[[#This Row],[Data da Entrega]]&gt;fNotasFiscais[[#This Row],[Data Contratada]],0,1)</f>
        <v>1</v>
      </c>
      <c r="Y451" s="3">
        <f>IF(fNotasFiscais[[#This Row],[Ocorrência]]="",1,0)</f>
        <v>1</v>
      </c>
      <c r="Z451" s="2">
        <f>fNotasFiscais[[#This Row],[On Time]]*fNotasFiscais[[#This Row],[In Full]]</f>
        <v>1</v>
      </c>
      <c r="AA451">
        <f>IF(fNotasFiscais[[#This Row],[Nota Fiscal]]&lt;&gt;"",1,0)</f>
        <v>1</v>
      </c>
    </row>
    <row r="452" spans="1:27" x14ac:dyDescent="0.25">
      <c r="A452" s="1">
        <v>43228</v>
      </c>
      <c r="B452">
        <v>10861</v>
      </c>
      <c r="C452" s="2" t="s">
        <v>43</v>
      </c>
      <c r="D452" s="2" t="s">
        <v>44</v>
      </c>
      <c r="E452" s="2" t="s">
        <v>45</v>
      </c>
      <c r="F452">
        <v>4029</v>
      </c>
      <c r="G452" s="2" t="s">
        <v>100</v>
      </c>
      <c r="H452" s="2" t="s">
        <v>101</v>
      </c>
      <c r="I452" s="2" t="s">
        <v>39</v>
      </c>
      <c r="J452" s="2" t="s">
        <v>28</v>
      </c>
      <c r="K452" s="2" t="s">
        <v>39</v>
      </c>
      <c r="L452">
        <v>75.099999999999994</v>
      </c>
      <c r="M452">
        <v>6</v>
      </c>
      <c r="N452">
        <v>20.38</v>
      </c>
      <c r="O452">
        <v>6500948</v>
      </c>
      <c r="P452" s="2" t="s">
        <v>29</v>
      </c>
      <c r="Q452" s="2" t="s">
        <v>23</v>
      </c>
      <c r="R452" s="2" t="s">
        <v>30</v>
      </c>
      <c r="S452">
        <v>11</v>
      </c>
      <c r="T452" s="1">
        <v>43228</v>
      </c>
      <c r="U452" s="1">
        <v>43235</v>
      </c>
      <c r="V452" s="2"/>
      <c r="W452" s="1">
        <f>fNotasFiscais[[#This Row],[Data da Coleta]]+fNotasFiscais[[#This Row],[Prazo Contratado]]</f>
        <v>43239</v>
      </c>
      <c r="X452" s="3">
        <f>IF(fNotasFiscais[[#This Row],[Data da Entrega]]&gt;fNotasFiscais[[#This Row],[Data Contratada]],0,1)</f>
        <v>1</v>
      </c>
      <c r="Y452" s="3">
        <f>IF(fNotasFiscais[[#This Row],[Ocorrência]]="",1,0)</f>
        <v>1</v>
      </c>
      <c r="Z452" s="2">
        <f>fNotasFiscais[[#This Row],[On Time]]*fNotasFiscais[[#This Row],[In Full]]</f>
        <v>1</v>
      </c>
      <c r="AA452">
        <f>IF(fNotasFiscais[[#This Row],[Nota Fiscal]]&lt;&gt;"",1,0)</f>
        <v>1</v>
      </c>
    </row>
    <row r="453" spans="1:27" x14ac:dyDescent="0.25">
      <c r="A453" s="1">
        <v>43228</v>
      </c>
      <c r="B453">
        <v>10862</v>
      </c>
      <c r="C453" s="2" t="s">
        <v>43</v>
      </c>
      <c r="D453" s="2" t="s">
        <v>44</v>
      </c>
      <c r="E453" s="2" t="s">
        <v>45</v>
      </c>
      <c r="F453">
        <v>4025</v>
      </c>
      <c r="G453" s="2" t="s">
        <v>90</v>
      </c>
      <c r="H453" s="2" t="s">
        <v>91</v>
      </c>
      <c r="I453" s="2" t="s">
        <v>24</v>
      </c>
      <c r="J453" s="2" t="s">
        <v>28</v>
      </c>
      <c r="K453" s="2" t="s">
        <v>24</v>
      </c>
      <c r="L453">
        <v>4359.78</v>
      </c>
      <c r="M453">
        <v>1</v>
      </c>
      <c r="N453">
        <v>1.1200000000000001</v>
      </c>
      <c r="O453">
        <v>6500948</v>
      </c>
      <c r="P453" s="2" t="s">
        <v>29</v>
      </c>
      <c r="Q453" s="2" t="s">
        <v>23</v>
      </c>
      <c r="R453" s="2" t="s">
        <v>30</v>
      </c>
      <c r="S453">
        <v>7</v>
      </c>
      <c r="T453" s="1">
        <v>43228</v>
      </c>
      <c r="U453" s="1">
        <v>43230</v>
      </c>
      <c r="V453" s="2"/>
      <c r="W453" s="1">
        <f>fNotasFiscais[[#This Row],[Data da Coleta]]+fNotasFiscais[[#This Row],[Prazo Contratado]]</f>
        <v>43235</v>
      </c>
      <c r="X453" s="3">
        <f>IF(fNotasFiscais[[#This Row],[Data da Entrega]]&gt;fNotasFiscais[[#This Row],[Data Contratada]],0,1)</f>
        <v>1</v>
      </c>
      <c r="Y453" s="3">
        <f>IF(fNotasFiscais[[#This Row],[Ocorrência]]="",1,0)</f>
        <v>1</v>
      </c>
      <c r="Z453" s="2">
        <f>fNotasFiscais[[#This Row],[On Time]]*fNotasFiscais[[#This Row],[In Full]]</f>
        <v>1</v>
      </c>
      <c r="AA453">
        <f>IF(fNotasFiscais[[#This Row],[Nota Fiscal]]&lt;&gt;"",1,0)</f>
        <v>1</v>
      </c>
    </row>
    <row r="454" spans="1:27" x14ac:dyDescent="0.25">
      <c r="A454" s="1">
        <v>43228</v>
      </c>
      <c r="B454">
        <v>10863</v>
      </c>
      <c r="C454" s="2" t="s">
        <v>31</v>
      </c>
      <c r="D454" s="2" t="s">
        <v>32</v>
      </c>
      <c r="E454" s="2" t="s">
        <v>33</v>
      </c>
      <c r="F454">
        <v>4028</v>
      </c>
      <c r="G454" s="2" t="s">
        <v>95</v>
      </c>
      <c r="H454" s="2" t="s">
        <v>26</v>
      </c>
      <c r="I454" s="2" t="s">
        <v>27</v>
      </c>
      <c r="J454" s="2" t="s">
        <v>28</v>
      </c>
      <c r="K454" s="2" t="s">
        <v>27</v>
      </c>
      <c r="L454">
        <v>2056.94</v>
      </c>
      <c r="M454">
        <v>3</v>
      </c>
      <c r="N454">
        <v>5.8630000000000004</v>
      </c>
      <c r="O454">
        <v>6500948</v>
      </c>
      <c r="P454" s="2" t="s">
        <v>29</v>
      </c>
      <c r="Q454" s="2" t="s">
        <v>23</v>
      </c>
      <c r="R454" s="2" t="s">
        <v>30</v>
      </c>
      <c r="S454">
        <v>3</v>
      </c>
      <c r="T454" s="1">
        <v>43228</v>
      </c>
      <c r="U454" s="1">
        <v>43231</v>
      </c>
      <c r="V454" s="2"/>
      <c r="W454" s="1">
        <f>fNotasFiscais[[#This Row],[Data da Coleta]]+fNotasFiscais[[#This Row],[Prazo Contratado]]</f>
        <v>43231</v>
      </c>
      <c r="X454" s="3">
        <f>IF(fNotasFiscais[[#This Row],[Data da Entrega]]&gt;fNotasFiscais[[#This Row],[Data Contratada]],0,1)</f>
        <v>1</v>
      </c>
      <c r="Y454" s="3">
        <f>IF(fNotasFiscais[[#This Row],[Ocorrência]]="",1,0)</f>
        <v>1</v>
      </c>
      <c r="Z454" s="2">
        <f>fNotasFiscais[[#This Row],[On Time]]*fNotasFiscais[[#This Row],[In Full]]</f>
        <v>1</v>
      </c>
      <c r="AA454">
        <f>IF(fNotasFiscais[[#This Row],[Nota Fiscal]]&lt;&gt;"",1,0)</f>
        <v>1</v>
      </c>
    </row>
    <row r="455" spans="1:27" x14ac:dyDescent="0.25">
      <c r="A455" s="1">
        <v>43228</v>
      </c>
      <c r="B455">
        <v>10864</v>
      </c>
      <c r="C455" s="2" t="s">
        <v>34</v>
      </c>
      <c r="D455" s="2" t="s">
        <v>35</v>
      </c>
      <c r="E455" s="2" t="s">
        <v>36</v>
      </c>
      <c r="F455">
        <v>4032</v>
      </c>
      <c r="G455" s="2" t="s">
        <v>108</v>
      </c>
      <c r="H455" s="2" t="s">
        <v>51</v>
      </c>
      <c r="I455" s="2" t="s">
        <v>73</v>
      </c>
      <c r="J455" s="2" t="s">
        <v>49</v>
      </c>
      <c r="K455" s="2" t="s">
        <v>73</v>
      </c>
      <c r="L455">
        <v>2408.7600000000002</v>
      </c>
      <c r="M455">
        <v>3</v>
      </c>
      <c r="N455">
        <v>7.798</v>
      </c>
      <c r="O455">
        <v>6100231</v>
      </c>
      <c r="P455" s="2" t="s">
        <v>50</v>
      </c>
      <c r="Q455" s="2" t="s">
        <v>51</v>
      </c>
      <c r="R455" s="2" t="s">
        <v>30</v>
      </c>
      <c r="S455">
        <v>5</v>
      </c>
      <c r="T455" s="1">
        <v>43228</v>
      </c>
      <c r="U455" s="1">
        <v>43230</v>
      </c>
      <c r="V455" s="2"/>
      <c r="W455" s="1">
        <f>fNotasFiscais[[#This Row],[Data da Coleta]]+fNotasFiscais[[#This Row],[Prazo Contratado]]</f>
        <v>43233</v>
      </c>
      <c r="X455" s="3">
        <f>IF(fNotasFiscais[[#This Row],[Data da Entrega]]&gt;fNotasFiscais[[#This Row],[Data Contratada]],0,1)</f>
        <v>1</v>
      </c>
      <c r="Y455" s="3">
        <f>IF(fNotasFiscais[[#This Row],[Ocorrência]]="",1,0)</f>
        <v>1</v>
      </c>
      <c r="Z455" s="2">
        <f>fNotasFiscais[[#This Row],[On Time]]*fNotasFiscais[[#This Row],[In Full]]</f>
        <v>1</v>
      </c>
      <c r="AA455">
        <f>IF(fNotasFiscais[[#This Row],[Nota Fiscal]]&lt;&gt;"",1,0)</f>
        <v>1</v>
      </c>
    </row>
    <row r="456" spans="1:27" x14ac:dyDescent="0.25">
      <c r="A456" s="1">
        <v>43228</v>
      </c>
      <c r="B456">
        <v>10865</v>
      </c>
      <c r="C456" s="2" t="s">
        <v>34</v>
      </c>
      <c r="D456" s="2" t="s">
        <v>35</v>
      </c>
      <c r="E456" s="2" t="s">
        <v>36</v>
      </c>
      <c r="F456">
        <v>4026</v>
      </c>
      <c r="G456" s="2" t="s">
        <v>92</v>
      </c>
      <c r="H456" s="2" t="s">
        <v>35</v>
      </c>
      <c r="I456" s="2" t="s">
        <v>36</v>
      </c>
      <c r="J456" s="2" t="s">
        <v>60</v>
      </c>
      <c r="K456" s="2" t="s">
        <v>36</v>
      </c>
      <c r="L456">
        <v>3861.55</v>
      </c>
      <c r="M456">
        <v>7</v>
      </c>
      <c r="N456">
        <v>21.155999999999999</v>
      </c>
      <c r="O456">
        <v>6600879</v>
      </c>
      <c r="P456" s="2" t="s">
        <v>61</v>
      </c>
      <c r="Q456" s="2" t="s">
        <v>35</v>
      </c>
      <c r="R456" s="2" t="s">
        <v>30</v>
      </c>
      <c r="S456">
        <v>8</v>
      </c>
      <c r="T456" s="1">
        <v>43228</v>
      </c>
      <c r="U456" s="1">
        <v>43235</v>
      </c>
      <c r="V456" s="2"/>
      <c r="W456" s="1">
        <f>fNotasFiscais[[#This Row],[Data da Coleta]]+fNotasFiscais[[#This Row],[Prazo Contratado]]</f>
        <v>43236</v>
      </c>
      <c r="X456" s="3">
        <f>IF(fNotasFiscais[[#This Row],[Data da Entrega]]&gt;fNotasFiscais[[#This Row],[Data Contratada]],0,1)</f>
        <v>1</v>
      </c>
      <c r="Y456" s="3">
        <f>IF(fNotasFiscais[[#This Row],[Ocorrência]]="",1,0)</f>
        <v>1</v>
      </c>
      <c r="Z456" s="2">
        <f>fNotasFiscais[[#This Row],[On Time]]*fNotasFiscais[[#This Row],[In Full]]</f>
        <v>1</v>
      </c>
      <c r="AA456">
        <f>IF(fNotasFiscais[[#This Row],[Nota Fiscal]]&lt;&gt;"",1,0)</f>
        <v>1</v>
      </c>
    </row>
    <row r="457" spans="1:27" x14ac:dyDescent="0.25">
      <c r="A457" s="1">
        <v>43228</v>
      </c>
      <c r="B457">
        <v>10866</v>
      </c>
      <c r="C457" s="2" t="s">
        <v>54</v>
      </c>
      <c r="D457" s="2" t="s">
        <v>55</v>
      </c>
      <c r="E457" s="2" t="s">
        <v>56</v>
      </c>
      <c r="F457">
        <v>4029</v>
      </c>
      <c r="G457" s="2" t="s">
        <v>100</v>
      </c>
      <c r="H457" s="2" t="s">
        <v>101</v>
      </c>
      <c r="I457" s="2" t="s">
        <v>39</v>
      </c>
      <c r="J457" s="2" t="s">
        <v>28</v>
      </c>
      <c r="K457" s="2" t="s">
        <v>39</v>
      </c>
      <c r="L457">
        <v>40.799999999999997</v>
      </c>
      <c r="M457">
        <v>1</v>
      </c>
      <c r="N457">
        <v>1.1200000000000001</v>
      </c>
      <c r="O457">
        <v>6500948</v>
      </c>
      <c r="P457" s="2" t="s">
        <v>29</v>
      </c>
      <c r="Q457" s="2" t="s">
        <v>23</v>
      </c>
      <c r="R457" s="2" t="s">
        <v>30</v>
      </c>
      <c r="S457">
        <v>7</v>
      </c>
      <c r="T457" s="1">
        <v>43228</v>
      </c>
      <c r="U457" s="1">
        <v>43231</v>
      </c>
      <c r="V457" s="2"/>
      <c r="W457" s="1">
        <f>fNotasFiscais[[#This Row],[Data da Coleta]]+fNotasFiscais[[#This Row],[Prazo Contratado]]</f>
        <v>43235</v>
      </c>
      <c r="X457" s="3">
        <f>IF(fNotasFiscais[[#This Row],[Data da Entrega]]&gt;fNotasFiscais[[#This Row],[Data Contratada]],0,1)</f>
        <v>1</v>
      </c>
      <c r="Y457" s="3">
        <f>IF(fNotasFiscais[[#This Row],[Ocorrência]]="",1,0)</f>
        <v>1</v>
      </c>
      <c r="Z457" s="2">
        <f>fNotasFiscais[[#This Row],[On Time]]*fNotasFiscais[[#This Row],[In Full]]</f>
        <v>1</v>
      </c>
      <c r="AA457">
        <f>IF(fNotasFiscais[[#This Row],[Nota Fiscal]]&lt;&gt;"",1,0)</f>
        <v>1</v>
      </c>
    </row>
    <row r="458" spans="1:27" x14ac:dyDescent="0.25">
      <c r="A458" s="1">
        <v>43228</v>
      </c>
      <c r="B458">
        <v>10867</v>
      </c>
      <c r="C458" s="2" t="s">
        <v>40</v>
      </c>
      <c r="D458" s="2" t="s">
        <v>41</v>
      </c>
      <c r="E458" s="2" t="s">
        <v>33</v>
      </c>
      <c r="F458">
        <v>4025</v>
      </c>
      <c r="G458" s="2" t="s">
        <v>90</v>
      </c>
      <c r="H458" s="2" t="s">
        <v>91</v>
      </c>
      <c r="I458" s="2" t="s">
        <v>24</v>
      </c>
      <c r="J458" s="2" t="s">
        <v>28</v>
      </c>
      <c r="K458" s="2" t="s">
        <v>24</v>
      </c>
      <c r="L458">
        <v>108.49</v>
      </c>
      <c r="M458">
        <v>1</v>
      </c>
      <c r="N458">
        <v>0.26400000000000001</v>
      </c>
      <c r="O458">
        <v>6500948</v>
      </c>
      <c r="P458" s="2" t="s">
        <v>29</v>
      </c>
      <c r="Q458" s="2" t="s">
        <v>23</v>
      </c>
      <c r="R458" s="2" t="s">
        <v>30</v>
      </c>
      <c r="S458">
        <v>1</v>
      </c>
      <c r="T458" s="1">
        <v>43228</v>
      </c>
      <c r="U458" s="1">
        <v>43235</v>
      </c>
      <c r="V458" s="2"/>
      <c r="W458" s="1">
        <f>fNotasFiscais[[#This Row],[Data da Coleta]]+fNotasFiscais[[#This Row],[Prazo Contratado]]</f>
        <v>43229</v>
      </c>
      <c r="X458" s="3">
        <f>IF(fNotasFiscais[[#This Row],[Data da Entrega]]&gt;fNotasFiscais[[#This Row],[Data Contratada]],0,1)</f>
        <v>0</v>
      </c>
      <c r="Y458" s="3">
        <f>IF(fNotasFiscais[[#This Row],[Ocorrência]]="",1,0)</f>
        <v>1</v>
      </c>
      <c r="Z458" s="2">
        <f>fNotasFiscais[[#This Row],[On Time]]*fNotasFiscais[[#This Row],[In Full]]</f>
        <v>0</v>
      </c>
      <c r="AA458">
        <f>IF(fNotasFiscais[[#This Row],[Nota Fiscal]]&lt;&gt;"",1,0)</f>
        <v>1</v>
      </c>
    </row>
    <row r="459" spans="1:27" x14ac:dyDescent="0.25">
      <c r="A459" s="1">
        <v>43228</v>
      </c>
      <c r="B459">
        <v>10868</v>
      </c>
      <c r="C459" s="2" t="s">
        <v>34</v>
      </c>
      <c r="D459" s="2" t="s">
        <v>35</v>
      </c>
      <c r="E459" s="2" t="s">
        <v>36</v>
      </c>
      <c r="F459">
        <v>4028</v>
      </c>
      <c r="G459" s="2" t="s">
        <v>95</v>
      </c>
      <c r="H459" s="2" t="s">
        <v>26</v>
      </c>
      <c r="I459" s="2" t="s">
        <v>27</v>
      </c>
      <c r="J459" s="2" t="s">
        <v>28</v>
      </c>
      <c r="K459" s="2" t="s">
        <v>27</v>
      </c>
      <c r="L459">
        <v>1410.57</v>
      </c>
      <c r="M459">
        <v>4</v>
      </c>
      <c r="N459">
        <v>48.4</v>
      </c>
      <c r="O459">
        <v>6500948</v>
      </c>
      <c r="P459" s="2" t="s">
        <v>29</v>
      </c>
      <c r="Q459" s="2" t="s">
        <v>23</v>
      </c>
      <c r="R459" s="2" t="s">
        <v>30</v>
      </c>
      <c r="S459">
        <v>1</v>
      </c>
      <c r="T459" s="1">
        <v>43228</v>
      </c>
      <c r="U459" s="1">
        <v>43236</v>
      </c>
      <c r="V459" s="2"/>
      <c r="W459" s="1">
        <f>fNotasFiscais[[#This Row],[Data da Coleta]]+fNotasFiscais[[#This Row],[Prazo Contratado]]</f>
        <v>43229</v>
      </c>
      <c r="X459" s="3">
        <f>IF(fNotasFiscais[[#This Row],[Data da Entrega]]&gt;fNotasFiscais[[#This Row],[Data Contratada]],0,1)</f>
        <v>0</v>
      </c>
      <c r="Y459" s="3">
        <f>IF(fNotasFiscais[[#This Row],[Ocorrência]]="",1,0)</f>
        <v>1</v>
      </c>
      <c r="Z459" s="2">
        <f>fNotasFiscais[[#This Row],[On Time]]*fNotasFiscais[[#This Row],[In Full]]</f>
        <v>0</v>
      </c>
      <c r="AA459">
        <f>IF(fNotasFiscais[[#This Row],[Nota Fiscal]]&lt;&gt;"",1,0)</f>
        <v>1</v>
      </c>
    </row>
    <row r="460" spans="1:27" x14ac:dyDescent="0.25">
      <c r="A460" s="1">
        <v>43230</v>
      </c>
      <c r="B460">
        <v>10869</v>
      </c>
      <c r="C460" s="2" t="s">
        <v>22</v>
      </c>
      <c r="D460" s="2" t="s">
        <v>23</v>
      </c>
      <c r="E460" s="2" t="s">
        <v>24</v>
      </c>
      <c r="F460">
        <v>4064</v>
      </c>
      <c r="G460" s="2" t="s">
        <v>128</v>
      </c>
      <c r="H460" s="2" t="s">
        <v>129</v>
      </c>
      <c r="I460" s="2" t="s">
        <v>33</v>
      </c>
      <c r="J460" s="2" t="s">
        <v>60</v>
      </c>
      <c r="K460" s="2" t="s">
        <v>33</v>
      </c>
      <c r="L460">
        <v>158.29</v>
      </c>
      <c r="M460">
        <v>1</v>
      </c>
      <c r="N460">
        <v>0.42799999999999999</v>
      </c>
      <c r="O460">
        <v>6400835</v>
      </c>
      <c r="P460" s="2" t="s">
        <v>130</v>
      </c>
      <c r="Q460" s="2" t="s">
        <v>131</v>
      </c>
      <c r="R460" s="2" t="s">
        <v>30</v>
      </c>
      <c r="S460">
        <v>7</v>
      </c>
      <c r="T460" s="1">
        <v>43230</v>
      </c>
      <c r="U460" s="1">
        <v>43233</v>
      </c>
      <c r="V460" s="2"/>
      <c r="W460" s="1">
        <f>fNotasFiscais[[#This Row],[Data da Coleta]]+fNotasFiscais[[#This Row],[Prazo Contratado]]</f>
        <v>43237</v>
      </c>
      <c r="X460" s="3">
        <f>IF(fNotasFiscais[[#This Row],[Data da Entrega]]&gt;fNotasFiscais[[#This Row],[Data Contratada]],0,1)</f>
        <v>1</v>
      </c>
      <c r="Y460" s="3">
        <f>IF(fNotasFiscais[[#This Row],[Ocorrência]]="",1,0)</f>
        <v>1</v>
      </c>
      <c r="Z460" s="2">
        <f>fNotasFiscais[[#This Row],[On Time]]*fNotasFiscais[[#This Row],[In Full]]</f>
        <v>1</v>
      </c>
      <c r="AA460">
        <f>IF(fNotasFiscais[[#This Row],[Nota Fiscal]]&lt;&gt;"",1,0)</f>
        <v>1</v>
      </c>
    </row>
    <row r="461" spans="1:27" x14ac:dyDescent="0.25">
      <c r="A461" s="1">
        <v>43230</v>
      </c>
      <c r="B461">
        <v>10870</v>
      </c>
      <c r="C461" s="2" t="s">
        <v>22</v>
      </c>
      <c r="D461" s="2" t="s">
        <v>23</v>
      </c>
      <c r="E461" s="2" t="s">
        <v>24</v>
      </c>
      <c r="F461">
        <v>4064</v>
      </c>
      <c r="G461" s="2" t="s">
        <v>128</v>
      </c>
      <c r="H461" s="2" t="s">
        <v>129</v>
      </c>
      <c r="I461" s="2" t="s">
        <v>33</v>
      </c>
      <c r="J461" s="2" t="s">
        <v>60</v>
      </c>
      <c r="K461" s="2" t="s">
        <v>33</v>
      </c>
      <c r="L461">
        <v>10034.82</v>
      </c>
      <c r="M461">
        <v>13</v>
      </c>
      <c r="N461">
        <v>66.475999999999999</v>
      </c>
      <c r="O461">
        <v>6400835</v>
      </c>
      <c r="P461" s="2" t="s">
        <v>130</v>
      </c>
      <c r="Q461" s="2" t="s">
        <v>131</v>
      </c>
      <c r="R461" s="2" t="s">
        <v>62</v>
      </c>
      <c r="S461">
        <v>7</v>
      </c>
      <c r="T461" s="1">
        <v>43230</v>
      </c>
      <c r="U461" s="1">
        <v>43233</v>
      </c>
      <c r="V461" s="2"/>
      <c r="W461" s="1">
        <f>fNotasFiscais[[#This Row],[Data da Coleta]]+fNotasFiscais[[#This Row],[Prazo Contratado]]</f>
        <v>43237</v>
      </c>
      <c r="X461" s="3">
        <f>IF(fNotasFiscais[[#This Row],[Data da Entrega]]&gt;fNotasFiscais[[#This Row],[Data Contratada]],0,1)</f>
        <v>1</v>
      </c>
      <c r="Y461" s="3">
        <f>IF(fNotasFiscais[[#This Row],[Ocorrência]]="",1,0)</f>
        <v>1</v>
      </c>
      <c r="Z461" s="2">
        <f>fNotasFiscais[[#This Row],[On Time]]*fNotasFiscais[[#This Row],[In Full]]</f>
        <v>1</v>
      </c>
      <c r="AA461">
        <f>IF(fNotasFiscais[[#This Row],[Nota Fiscal]]&lt;&gt;"",1,0)</f>
        <v>1</v>
      </c>
    </row>
    <row r="462" spans="1:27" x14ac:dyDescent="0.25">
      <c r="A462" s="1">
        <v>43230</v>
      </c>
      <c r="B462">
        <v>10871</v>
      </c>
      <c r="C462" s="2" t="s">
        <v>34</v>
      </c>
      <c r="D462" s="2" t="s">
        <v>35</v>
      </c>
      <c r="E462" s="2" t="s">
        <v>36</v>
      </c>
      <c r="F462">
        <v>4064</v>
      </c>
      <c r="G462" s="2" t="s">
        <v>128</v>
      </c>
      <c r="H462" s="2" t="s">
        <v>129</v>
      </c>
      <c r="I462" s="2" t="s">
        <v>33</v>
      </c>
      <c r="J462" s="2" t="s">
        <v>60</v>
      </c>
      <c r="K462" s="2" t="s">
        <v>33</v>
      </c>
      <c r="L462">
        <v>1316.26</v>
      </c>
      <c r="M462">
        <v>1</v>
      </c>
      <c r="N462">
        <v>1.1200000000000001</v>
      </c>
      <c r="O462">
        <v>6400835</v>
      </c>
      <c r="P462" s="2" t="s">
        <v>130</v>
      </c>
      <c r="Q462" s="2" t="s">
        <v>131</v>
      </c>
      <c r="R462" s="2" t="s">
        <v>30</v>
      </c>
      <c r="S462">
        <v>9</v>
      </c>
      <c r="T462" s="1">
        <v>43230</v>
      </c>
      <c r="U462" s="1">
        <v>43232</v>
      </c>
      <c r="V462" s="2"/>
      <c r="W462" s="1">
        <f>fNotasFiscais[[#This Row],[Data da Coleta]]+fNotasFiscais[[#This Row],[Prazo Contratado]]</f>
        <v>43239</v>
      </c>
      <c r="X462" s="3">
        <f>IF(fNotasFiscais[[#This Row],[Data da Entrega]]&gt;fNotasFiscais[[#This Row],[Data Contratada]],0,1)</f>
        <v>1</v>
      </c>
      <c r="Y462" s="3">
        <f>IF(fNotasFiscais[[#This Row],[Ocorrência]]="",1,0)</f>
        <v>1</v>
      </c>
      <c r="Z462" s="2">
        <f>fNotasFiscais[[#This Row],[On Time]]*fNotasFiscais[[#This Row],[In Full]]</f>
        <v>1</v>
      </c>
      <c r="AA462">
        <f>IF(fNotasFiscais[[#This Row],[Nota Fiscal]]&lt;&gt;"",1,0)</f>
        <v>1</v>
      </c>
    </row>
    <row r="463" spans="1:27" x14ac:dyDescent="0.25">
      <c r="A463" s="1">
        <v>43230</v>
      </c>
      <c r="B463">
        <v>10872</v>
      </c>
      <c r="C463" s="2" t="s">
        <v>34</v>
      </c>
      <c r="D463" s="2" t="s">
        <v>35</v>
      </c>
      <c r="E463" s="2" t="s">
        <v>36</v>
      </c>
      <c r="F463">
        <v>4064</v>
      </c>
      <c r="G463" s="2" t="s">
        <v>128</v>
      </c>
      <c r="H463" s="2" t="s">
        <v>129</v>
      </c>
      <c r="I463" s="2" t="s">
        <v>33</v>
      </c>
      <c r="J463" s="2" t="s">
        <v>60</v>
      </c>
      <c r="K463" s="2" t="s">
        <v>33</v>
      </c>
      <c r="L463">
        <v>10.47</v>
      </c>
      <c r="M463">
        <v>1</v>
      </c>
      <c r="N463">
        <v>1.1200000000000001</v>
      </c>
      <c r="O463">
        <v>6400835</v>
      </c>
      <c r="P463" s="2" t="s">
        <v>130</v>
      </c>
      <c r="Q463" s="2" t="s">
        <v>131</v>
      </c>
      <c r="R463" s="2" t="s">
        <v>30</v>
      </c>
      <c r="S463">
        <v>8</v>
      </c>
      <c r="T463" s="1">
        <v>43230</v>
      </c>
      <c r="U463" s="1">
        <v>43234</v>
      </c>
      <c r="V463" s="2"/>
      <c r="W463" s="1">
        <f>fNotasFiscais[[#This Row],[Data da Coleta]]+fNotasFiscais[[#This Row],[Prazo Contratado]]</f>
        <v>43238</v>
      </c>
      <c r="X463" s="3">
        <f>IF(fNotasFiscais[[#This Row],[Data da Entrega]]&gt;fNotasFiscais[[#This Row],[Data Contratada]],0,1)</f>
        <v>1</v>
      </c>
      <c r="Y463" s="3">
        <f>IF(fNotasFiscais[[#This Row],[Ocorrência]]="",1,0)</f>
        <v>1</v>
      </c>
      <c r="Z463" s="2">
        <f>fNotasFiscais[[#This Row],[On Time]]*fNotasFiscais[[#This Row],[In Full]]</f>
        <v>1</v>
      </c>
      <c r="AA463">
        <f>IF(fNotasFiscais[[#This Row],[Nota Fiscal]]&lt;&gt;"",1,0)</f>
        <v>1</v>
      </c>
    </row>
    <row r="464" spans="1:27" x14ac:dyDescent="0.25">
      <c r="A464" s="1">
        <v>43231</v>
      </c>
      <c r="B464">
        <v>10873</v>
      </c>
      <c r="C464" s="2" t="s">
        <v>43</v>
      </c>
      <c r="D464" s="2" t="s">
        <v>44</v>
      </c>
      <c r="E464" s="2" t="s">
        <v>45</v>
      </c>
      <c r="F464">
        <v>4049</v>
      </c>
      <c r="G464" s="2" t="s">
        <v>118</v>
      </c>
      <c r="H464" s="2" t="s">
        <v>97</v>
      </c>
      <c r="I464" s="2" t="s">
        <v>48</v>
      </c>
      <c r="J464" s="2" t="s">
        <v>49</v>
      </c>
      <c r="K464" s="2" t="s">
        <v>48</v>
      </c>
      <c r="L464">
        <v>1325.2</v>
      </c>
      <c r="M464">
        <v>3</v>
      </c>
      <c r="N464">
        <v>8.032</v>
      </c>
      <c r="O464">
        <v>6100231</v>
      </c>
      <c r="P464" s="2" t="s">
        <v>50</v>
      </c>
      <c r="Q464" s="2" t="s">
        <v>51</v>
      </c>
      <c r="R464" s="2" t="s">
        <v>30</v>
      </c>
      <c r="S464">
        <v>12</v>
      </c>
      <c r="T464" s="1">
        <v>43231</v>
      </c>
      <c r="U464" s="1">
        <v>43237</v>
      </c>
      <c r="V464" s="2"/>
      <c r="W464" s="1">
        <f>fNotasFiscais[[#This Row],[Data da Coleta]]+fNotasFiscais[[#This Row],[Prazo Contratado]]</f>
        <v>43243</v>
      </c>
      <c r="X464" s="3">
        <f>IF(fNotasFiscais[[#This Row],[Data da Entrega]]&gt;fNotasFiscais[[#This Row],[Data Contratada]],0,1)</f>
        <v>1</v>
      </c>
      <c r="Y464" s="3">
        <f>IF(fNotasFiscais[[#This Row],[Ocorrência]]="",1,0)</f>
        <v>1</v>
      </c>
      <c r="Z464" s="2">
        <f>fNotasFiscais[[#This Row],[On Time]]*fNotasFiscais[[#This Row],[In Full]]</f>
        <v>1</v>
      </c>
      <c r="AA464">
        <f>IF(fNotasFiscais[[#This Row],[Nota Fiscal]]&lt;&gt;"",1,0)</f>
        <v>1</v>
      </c>
    </row>
    <row r="465" spans="1:27" x14ac:dyDescent="0.25">
      <c r="A465" s="1">
        <v>43231</v>
      </c>
      <c r="B465">
        <v>10874</v>
      </c>
      <c r="C465" s="2" t="s">
        <v>54</v>
      </c>
      <c r="D465" s="2" t="s">
        <v>55</v>
      </c>
      <c r="E465" s="2" t="s">
        <v>56</v>
      </c>
      <c r="F465">
        <v>4049</v>
      </c>
      <c r="G465" s="2" t="s">
        <v>118</v>
      </c>
      <c r="H465" s="2" t="s">
        <v>97</v>
      </c>
      <c r="I465" s="2" t="s">
        <v>48</v>
      </c>
      <c r="J465" s="2" t="s">
        <v>49</v>
      </c>
      <c r="K465" s="2" t="s">
        <v>48</v>
      </c>
      <c r="L465">
        <v>721.17</v>
      </c>
      <c r="M465">
        <v>2</v>
      </c>
      <c r="N465">
        <v>26.84</v>
      </c>
      <c r="O465">
        <v>6100231</v>
      </c>
      <c r="P465" s="2" t="s">
        <v>50</v>
      </c>
      <c r="Q465" s="2" t="s">
        <v>51</v>
      </c>
      <c r="R465" s="2" t="s">
        <v>30</v>
      </c>
      <c r="S465">
        <v>12</v>
      </c>
      <c r="T465" s="1">
        <v>43231</v>
      </c>
      <c r="U465" s="1">
        <v>43241</v>
      </c>
      <c r="V465" s="2"/>
      <c r="W465" s="1">
        <f>fNotasFiscais[[#This Row],[Data da Coleta]]+fNotasFiscais[[#This Row],[Prazo Contratado]]</f>
        <v>43243</v>
      </c>
      <c r="X465" s="3">
        <f>IF(fNotasFiscais[[#This Row],[Data da Entrega]]&gt;fNotasFiscais[[#This Row],[Data Contratada]],0,1)</f>
        <v>1</v>
      </c>
      <c r="Y465" s="3">
        <f>IF(fNotasFiscais[[#This Row],[Ocorrência]]="",1,0)</f>
        <v>1</v>
      </c>
      <c r="Z465" s="2">
        <f>fNotasFiscais[[#This Row],[On Time]]*fNotasFiscais[[#This Row],[In Full]]</f>
        <v>1</v>
      </c>
      <c r="AA465">
        <f>IF(fNotasFiscais[[#This Row],[Nota Fiscal]]&lt;&gt;"",1,0)</f>
        <v>1</v>
      </c>
    </row>
    <row r="466" spans="1:27" x14ac:dyDescent="0.25">
      <c r="A466" s="1">
        <v>43231</v>
      </c>
      <c r="B466">
        <v>10875</v>
      </c>
      <c r="C466" s="2" t="s">
        <v>22</v>
      </c>
      <c r="D466" s="2" t="s">
        <v>23</v>
      </c>
      <c r="E466" s="2" t="s">
        <v>24</v>
      </c>
      <c r="F466">
        <v>4049</v>
      </c>
      <c r="G466" s="2" t="s">
        <v>118</v>
      </c>
      <c r="H466" s="2" t="s">
        <v>97</v>
      </c>
      <c r="I466" s="2" t="s">
        <v>48</v>
      </c>
      <c r="J466" s="2" t="s">
        <v>49</v>
      </c>
      <c r="K466" s="2" t="s">
        <v>48</v>
      </c>
      <c r="L466">
        <v>1403.6</v>
      </c>
      <c r="M466">
        <v>2</v>
      </c>
      <c r="N466">
        <v>10.615</v>
      </c>
      <c r="O466">
        <v>6100231</v>
      </c>
      <c r="P466" s="2" t="s">
        <v>50</v>
      </c>
      <c r="Q466" s="2" t="s">
        <v>51</v>
      </c>
      <c r="R466" s="2" t="s">
        <v>30</v>
      </c>
      <c r="S466">
        <v>2</v>
      </c>
      <c r="T466" s="1">
        <v>43231</v>
      </c>
      <c r="U466" s="1">
        <v>43239</v>
      </c>
      <c r="V466" s="2"/>
      <c r="W466" s="1">
        <f>fNotasFiscais[[#This Row],[Data da Coleta]]+fNotasFiscais[[#This Row],[Prazo Contratado]]</f>
        <v>43233</v>
      </c>
      <c r="X466" s="3">
        <f>IF(fNotasFiscais[[#This Row],[Data da Entrega]]&gt;fNotasFiscais[[#This Row],[Data Contratada]],0,1)</f>
        <v>0</v>
      </c>
      <c r="Y466" s="3">
        <f>IF(fNotasFiscais[[#This Row],[Ocorrência]]="",1,0)</f>
        <v>1</v>
      </c>
      <c r="Z466" s="2">
        <f>fNotasFiscais[[#This Row],[On Time]]*fNotasFiscais[[#This Row],[In Full]]</f>
        <v>0</v>
      </c>
      <c r="AA466">
        <f>IF(fNotasFiscais[[#This Row],[Nota Fiscal]]&lt;&gt;"",1,0)</f>
        <v>1</v>
      </c>
    </row>
    <row r="467" spans="1:27" x14ac:dyDescent="0.25">
      <c r="A467" s="1">
        <v>43231</v>
      </c>
      <c r="B467">
        <v>10876</v>
      </c>
      <c r="C467" s="2" t="s">
        <v>40</v>
      </c>
      <c r="D467" s="2" t="s">
        <v>41</v>
      </c>
      <c r="E467" s="2" t="s">
        <v>33</v>
      </c>
      <c r="F467">
        <v>4049</v>
      </c>
      <c r="G467" s="2" t="s">
        <v>118</v>
      </c>
      <c r="H467" s="2" t="s">
        <v>97</v>
      </c>
      <c r="I467" s="2" t="s">
        <v>48</v>
      </c>
      <c r="J467" s="2" t="s">
        <v>49</v>
      </c>
      <c r="K467" s="2" t="s">
        <v>48</v>
      </c>
      <c r="L467">
        <v>2422.33</v>
      </c>
      <c r="M467">
        <v>2</v>
      </c>
      <c r="N467">
        <v>32.340000000000003</v>
      </c>
      <c r="O467">
        <v>6100231</v>
      </c>
      <c r="P467" s="2" t="s">
        <v>50</v>
      </c>
      <c r="Q467" s="2" t="s">
        <v>51</v>
      </c>
      <c r="R467" s="2" t="s">
        <v>30</v>
      </c>
      <c r="S467">
        <v>10</v>
      </c>
      <c r="T467" s="1">
        <v>43231</v>
      </c>
      <c r="U467" s="1">
        <v>43238</v>
      </c>
      <c r="V467" s="2"/>
      <c r="W467" s="1">
        <f>fNotasFiscais[[#This Row],[Data da Coleta]]+fNotasFiscais[[#This Row],[Prazo Contratado]]</f>
        <v>43241</v>
      </c>
      <c r="X467" s="3">
        <f>IF(fNotasFiscais[[#This Row],[Data da Entrega]]&gt;fNotasFiscais[[#This Row],[Data Contratada]],0,1)</f>
        <v>1</v>
      </c>
      <c r="Y467" s="3">
        <f>IF(fNotasFiscais[[#This Row],[Ocorrência]]="",1,0)</f>
        <v>1</v>
      </c>
      <c r="Z467" s="2">
        <f>fNotasFiscais[[#This Row],[On Time]]*fNotasFiscais[[#This Row],[In Full]]</f>
        <v>1</v>
      </c>
      <c r="AA467">
        <f>IF(fNotasFiscais[[#This Row],[Nota Fiscal]]&lt;&gt;"",1,0)</f>
        <v>1</v>
      </c>
    </row>
    <row r="468" spans="1:27" x14ac:dyDescent="0.25">
      <c r="A468" s="1">
        <v>43231</v>
      </c>
      <c r="B468">
        <v>10877</v>
      </c>
      <c r="C468" s="2" t="s">
        <v>52</v>
      </c>
      <c r="D468" s="2" t="s">
        <v>53</v>
      </c>
      <c r="E468" s="2" t="s">
        <v>33</v>
      </c>
      <c r="F468">
        <v>4049</v>
      </c>
      <c r="G468" s="2" t="s">
        <v>118</v>
      </c>
      <c r="H468" s="2" t="s">
        <v>97</v>
      </c>
      <c r="I468" s="2" t="s">
        <v>48</v>
      </c>
      <c r="J468" s="2" t="s">
        <v>49</v>
      </c>
      <c r="K468" s="2" t="s">
        <v>48</v>
      </c>
      <c r="L468">
        <v>1381.58</v>
      </c>
      <c r="M468">
        <v>4</v>
      </c>
      <c r="N468">
        <v>6.82</v>
      </c>
      <c r="O468">
        <v>6100231</v>
      </c>
      <c r="P468" s="2" t="s">
        <v>50</v>
      </c>
      <c r="Q468" s="2" t="s">
        <v>51</v>
      </c>
      <c r="R468" s="2" t="s">
        <v>30</v>
      </c>
      <c r="S468">
        <v>3</v>
      </c>
      <c r="T468" s="1">
        <v>43231</v>
      </c>
      <c r="U468" s="1">
        <v>43240</v>
      </c>
      <c r="V468" s="2"/>
      <c r="W468" s="1">
        <f>fNotasFiscais[[#This Row],[Data da Coleta]]+fNotasFiscais[[#This Row],[Prazo Contratado]]</f>
        <v>43234</v>
      </c>
      <c r="X468" s="3">
        <f>IF(fNotasFiscais[[#This Row],[Data da Entrega]]&gt;fNotasFiscais[[#This Row],[Data Contratada]],0,1)</f>
        <v>0</v>
      </c>
      <c r="Y468" s="3">
        <f>IF(fNotasFiscais[[#This Row],[Ocorrência]]="",1,0)</f>
        <v>1</v>
      </c>
      <c r="Z468" s="2">
        <f>fNotasFiscais[[#This Row],[On Time]]*fNotasFiscais[[#This Row],[In Full]]</f>
        <v>0</v>
      </c>
      <c r="AA468">
        <f>IF(fNotasFiscais[[#This Row],[Nota Fiscal]]&lt;&gt;"",1,0)</f>
        <v>1</v>
      </c>
    </row>
    <row r="469" spans="1:27" x14ac:dyDescent="0.25">
      <c r="A469" s="1">
        <v>43231</v>
      </c>
      <c r="B469">
        <v>10878</v>
      </c>
      <c r="C469" s="2" t="s">
        <v>52</v>
      </c>
      <c r="D469" s="2" t="s">
        <v>53</v>
      </c>
      <c r="E469" s="2" t="s">
        <v>33</v>
      </c>
      <c r="F469">
        <v>4049</v>
      </c>
      <c r="G469" s="2" t="s">
        <v>118</v>
      </c>
      <c r="H469" s="2" t="s">
        <v>97</v>
      </c>
      <c r="I469" s="2" t="s">
        <v>48</v>
      </c>
      <c r="J469" s="2" t="s">
        <v>49</v>
      </c>
      <c r="K469" s="2" t="s">
        <v>48</v>
      </c>
      <c r="L469">
        <v>5620.08</v>
      </c>
      <c r="M469">
        <v>10</v>
      </c>
      <c r="N469">
        <v>66.617000000000004</v>
      </c>
      <c r="O469">
        <v>6100231</v>
      </c>
      <c r="P469" s="2" t="s">
        <v>50</v>
      </c>
      <c r="Q469" s="2" t="s">
        <v>51</v>
      </c>
      <c r="R469" s="2" t="s">
        <v>30</v>
      </c>
      <c r="S469">
        <v>2</v>
      </c>
      <c r="T469" s="1">
        <v>43231</v>
      </c>
      <c r="U469" s="1">
        <v>43239</v>
      </c>
      <c r="V469" s="2"/>
      <c r="W469" s="1">
        <f>fNotasFiscais[[#This Row],[Data da Coleta]]+fNotasFiscais[[#This Row],[Prazo Contratado]]</f>
        <v>43233</v>
      </c>
      <c r="X469" s="3">
        <f>IF(fNotasFiscais[[#This Row],[Data da Entrega]]&gt;fNotasFiscais[[#This Row],[Data Contratada]],0,1)</f>
        <v>0</v>
      </c>
      <c r="Y469" s="3">
        <f>IF(fNotasFiscais[[#This Row],[Ocorrência]]="",1,0)</f>
        <v>1</v>
      </c>
      <c r="Z469" s="2">
        <f>fNotasFiscais[[#This Row],[On Time]]*fNotasFiscais[[#This Row],[In Full]]</f>
        <v>0</v>
      </c>
      <c r="AA469">
        <f>IF(fNotasFiscais[[#This Row],[Nota Fiscal]]&lt;&gt;"",1,0)</f>
        <v>1</v>
      </c>
    </row>
    <row r="470" spans="1:27" x14ac:dyDescent="0.25">
      <c r="A470" s="1">
        <v>43231</v>
      </c>
      <c r="B470">
        <v>10879</v>
      </c>
      <c r="C470" s="2" t="s">
        <v>43</v>
      </c>
      <c r="D470" s="2" t="s">
        <v>44</v>
      </c>
      <c r="E470" s="2" t="s">
        <v>45</v>
      </c>
      <c r="F470">
        <v>4049</v>
      </c>
      <c r="G470" s="2" t="s">
        <v>118</v>
      </c>
      <c r="H470" s="2" t="s">
        <v>97</v>
      </c>
      <c r="I470" s="2" t="s">
        <v>48</v>
      </c>
      <c r="J470" s="2" t="s">
        <v>49</v>
      </c>
      <c r="K470" s="2" t="s">
        <v>48</v>
      </c>
      <c r="L470">
        <v>405.13</v>
      </c>
      <c r="M470">
        <v>1</v>
      </c>
      <c r="N470">
        <v>0.749</v>
      </c>
      <c r="O470">
        <v>6100231</v>
      </c>
      <c r="P470" s="2" t="s">
        <v>50</v>
      </c>
      <c r="Q470" s="2" t="s">
        <v>51</v>
      </c>
      <c r="R470" s="2" t="s">
        <v>30</v>
      </c>
      <c r="S470">
        <v>3</v>
      </c>
      <c r="T470" s="1">
        <v>43231</v>
      </c>
      <c r="U470" s="1">
        <v>43240</v>
      </c>
      <c r="V470" s="2"/>
      <c r="W470" s="1">
        <f>fNotasFiscais[[#This Row],[Data da Coleta]]+fNotasFiscais[[#This Row],[Prazo Contratado]]</f>
        <v>43234</v>
      </c>
      <c r="X470" s="3">
        <f>IF(fNotasFiscais[[#This Row],[Data da Entrega]]&gt;fNotasFiscais[[#This Row],[Data Contratada]],0,1)</f>
        <v>0</v>
      </c>
      <c r="Y470" s="3">
        <f>IF(fNotasFiscais[[#This Row],[Ocorrência]]="",1,0)</f>
        <v>1</v>
      </c>
      <c r="Z470" s="2">
        <f>fNotasFiscais[[#This Row],[On Time]]*fNotasFiscais[[#This Row],[In Full]]</f>
        <v>0</v>
      </c>
      <c r="AA470">
        <f>IF(fNotasFiscais[[#This Row],[Nota Fiscal]]&lt;&gt;"",1,0)</f>
        <v>1</v>
      </c>
    </row>
    <row r="471" spans="1:27" x14ac:dyDescent="0.25">
      <c r="A471" s="1">
        <v>43231</v>
      </c>
      <c r="B471">
        <v>10880</v>
      </c>
      <c r="C471" s="2" t="s">
        <v>31</v>
      </c>
      <c r="D471" s="2" t="s">
        <v>32</v>
      </c>
      <c r="E471" s="2" t="s">
        <v>33</v>
      </c>
      <c r="F471">
        <v>4049</v>
      </c>
      <c r="G471" s="2" t="s">
        <v>118</v>
      </c>
      <c r="H471" s="2" t="s">
        <v>97</v>
      </c>
      <c r="I471" s="2" t="s">
        <v>48</v>
      </c>
      <c r="J471" s="2" t="s">
        <v>49</v>
      </c>
      <c r="K471" s="2" t="s">
        <v>48</v>
      </c>
      <c r="L471">
        <v>908.64</v>
      </c>
      <c r="M471">
        <v>29</v>
      </c>
      <c r="N471">
        <v>139.43799999999999</v>
      </c>
      <c r="O471">
        <v>6100231</v>
      </c>
      <c r="P471" s="2" t="s">
        <v>50</v>
      </c>
      <c r="Q471" s="2" t="s">
        <v>51</v>
      </c>
      <c r="R471" s="2" t="s">
        <v>30</v>
      </c>
      <c r="S471">
        <v>11</v>
      </c>
      <c r="T471" s="1">
        <v>43231</v>
      </c>
      <c r="U471" s="1">
        <v>43233</v>
      </c>
      <c r="V471" s="2"/>
      <c r="W471" s="1">
        <f>fNotasFiscais[[#This Row],[Data da Coleta]]+fNotasFiscais[[#This Row],[Prazo Contratado]]</f>
        <v>43242</v>
      </c>
      <c r="X471" s="3">
        <f>IF(fNotasFiscais[[#This Row],[Data da Entrega]]&gt;fNotasFiscais[[#This Row],[Data Contratada]],0,1)</f>
        <v>1</v>
      </c>
      <c r="Y471" s="3">
        <f>IF(fNotasFiscais[[#This Row],[Ocorrência]]="",1,0)</f>
        <v>1</v>
      </c>
      <c r="Z471" s="2">
        <f>fNotasFiscais[[#This Row],[On Time]]*fNotasFiscais[[#This Row],[In Full]]</f>
        <v>1</v>
      </c>
      <c r="AA471">
        <f>IF(fNotasFiscais[[#This Row],[Nota Fiscal]]&lt;&gt;"",1,0)</f>
        <v>1</v>
      </c>
    </row>
    <row r="472" spans="1:27" x14ac:dyDescent="0.25">
      <c r="A472" s="1">
        <v>43231</v>
      </c>
      <c r="B472">
        <v>10881</v>
      </c>
      <c r="C472" s="2" t="s">
        <v>52</v>
      </c>
      <c r="D472" s="2" t="s">
        <v>53</v>
      </c>
      <c r="E472" s="2" t="s">
        <v>33</v>
      </c>
      <c r="F472">
        <v>4049</v>
      </c>
      <c r="G472" s="2" t="s">
        <v>118</v>
      </c>
      <c r="H472" s="2" t="s">
        <v>97</v>
      </c>
      <c r="I472" s="2" t="s">
        <v>48</v>
      </c>
      <c r="J472" s="2" t="s">
        <v>49</v>
      </c>
      <c r="K472" s="2" t="s">
        <v>48</v>
      </c>
      <c r="L472">
        <v>17608.57</v>
      </c>
      <c r="M472">
        <v>1</v>
      </c>
      <c r="N472">
        <v>1.1200000000000001</v>
      </c>
      <c r="O472">
        <v>6100231</v>
      </c>
      <c r="P472" s="2" t="s">
        <v>50</v>
      </c>
      <c r="Q472" s="2" t="s">
        <v>51</v>
      </c>
      <c r="R472" s="2" t="s">
        <v>30</v>
      </c>
      <c r="S472">
        <v>7</v>
      </c>
      <c r="T472" s="1">
        <v>43231</v>
      </c>
      <c r="U472" s="1">
        <v>43233</v>
      </c>
      <c r="V472" s="2"/>
      <c r="W472" s="1">
        <f>fNotasFiscais[[#This Row],[Data da Coleta]]+fNotasFiscais[[#This Row],[Prazo Contratado]]</f>
        <v>43238</v>
      </c>
      <c r="X472" s="3">
        <f>IF(fNotasFiscais[[#This Row],[Data da Entrega]]&gt;fNotasFiscais[[#This Row],[Data Contratada]],0,1)</f>
        <v>1</v>
      </c>
      <c r="Y472" s="3">
        <f>IF(fNotasFiscais[[#This Row],[Ocorrência]]="",1,0)</f>
        <v>1</v>
      </c>
      <c r="Z472" s="2">
        <f>fNotasFiscais[[#This Row],[On Time]]*fNotasFiscais[[#This Row],[In Full]]</f>
        <v>1</v>
      </c>
      <c r="AA472">
        <f>IF(fNotasFiscais[[#This Row],[Nota Fiscal]]&lt;&gt;"",1,0)</f>
        <v>1</v>
      </c>
    </row>
    <row r="473" spans="1:27" x14ac:dyDescent="0.25">
      <c r="A473" s="1">
        <v>43231</v>
      </c>
      <c r="B473">
        <v>10882</v>
      </c>
      <c r="C473" s="2" t="s">
        <v>54</v>
      </c>
      <c r="D473" s="2" t="s">
        <v>55</v>
      </c>
      <c r="E473" s="2" t="s">
        <v>56</v>
      </c>
      <c r="F473">
        <v>4049</v>
      </c>
      <c r="G473" s="2" t="s">
        <v>118</v>
      </c>
      <c r="H473" s="2" t="s">
        <v>97</v>
      </c>
      <c r="I473" s="2" t="s">
        <v>48</v>
      </c>
      <c r="J473" s="2" t="s">
        <v>49</v>
      </c>
      <c r="K473" s="2" t="s">
        <v>48</v>
      </c>
      <c r="L473">
        <v>20363.14</v>
      </c>
      <c r="M473">
        <v>20</v>
      </c>
      <c r="N473">
        <v>113.544</v>
      </c>
      <c r="O473">
        <v>6100231</v>
      </c>
      <c r="P473" s="2" t="s">
        <v>50</v>
      </c>
      <c r="Q473" s="2" t="s">
        <v>51</v>
      </c>
      <c r="R473" s="2" t="s">
        <v>30</v>
      </c>
      <c r="S473">
        <v>12</v>
      </c>
      <c r="T473" s="1">
        <v>43231</v>
      </c>
      <c r="U473" s="1">
        <v>43238</v>
      </c>
      <c r="V473" s="2"/>
      <c r="W473" s="1">
        <f>fNotasFiscais[[#This Row],[Data da Coleta]]+fNotasFiscais[[#This Row],[Prazo Contratado]]</f>
        <v>43243</v>
      </c>
      <c r="X473" s="3">
        <f>IF(fNotasFiscais[[#This Row],[Data da Entrega]]&gt;fNotasFiscais[[#This Row],[Data Contratada]],0,1)</f>
        <v>1</v>
      </c>
      <c r="Y473" s="3">
        <f>IF(fNotasFiscais[[#This Row],[Ocorrência]]="",1,0)</f>
        <v>1</v>
      </c>
      <c r="Z473" s="2">
        <f>fNotasFiscais[[#This Row],[On Time]]*fNotasFiscais[[#This Row],[In Full]]</f>
        <v>1</v>
      </c>
      <c r="AA473">
        <f>IF(fNotasFiscais[[#This Row],[Nota Fiscal]]&lt;&gt;"",1,0)</f>
        <v>1</v>
      </c>
    </row>
    <row r="474" spans="1:27" x14ac:dyDescent="0.25">
      <c r="A474" s="1">
        <v>43232</v>
      </c>
      <c r="B474">
        <v>10883</v>
      </c>
      <c r="C474" s="2" t="s">
        <v>52</v>
      </c>
      <c r="D474" s="2" t="s">
        <v>53</v>
      </c>
      <c r="E474" s="2" t="s">
        <v>33</v>
      </c>
      <c r="F474">
        <v>4095</v>
      </c>
      <c r="G474" s="2" t="s">
        <v>177</v>
      </c>
      <c r="H474" s="2" t="s">
        <v>44</v>
      </c>
      <c r="I474" s="2" t="s">
        <v>45</v>
      </c>
      <c r="J474" s="2" t="s">
        <v>60</v>
      </c>
      <c r="K474" s="2" t="s">
        <v>45</v>
      </c>
      <c r="L474">
        <v>978.93</v>
      </c>
      <c r="M474">
        <v>1</v>
      </c>
      <c r="N474">
        <v>1.1200000000000001</v>
      </c>
      <c r="O474">
        <v>6140092</v>
      </c>
      <c r="P474" s="2" t="s">
        <v>137</v>
      </c>
      <c r="Q474" s="2" t="s">
        <v>138</v>
      </c>
      <c r="R474" s="2" t="s">
        <v>30</v>
      </c>
      <c r="S474">
        <v>4</v>
      </c>
      <c r="T474" s="1">
        <v>43232</v>
      </c>
      <c r="U474" s="1">
        <v>43233</v>
      </c>
      <c r="V474" s="2"/>
      <c r="W474" s="1">
        <f>fNotasFiscais[[#This Row],[Data da Coleta]]+fNotasFiscais[[#This Row],[Prazo Contratado]]</f>
        <v>43236</v>
      </c>
      <c r="X474" s="3">
        <f>IF(fNotasFiscais[[#This Row],[Data da Entrega]]&gt;fNotasFiscais[[#This Row],[Data Contratada]],0,1)</f>
        <v>1</v>
      </c>
      <c r="Y474" s="3">
        <f>IF(fNotasFiscais[[#This Row],[Ocorrência]]="",1,0)</f>
        <v>1</v>
      </c>
      <c r="Z474" s="2">
        <f>fNotasFiscais[[#This Row],[On Time]]*fNotasFiscais[[#This Row],[In Full]]</f>
        <v>1</v>
      </c>
      <c r="AA474">
        <f>IF(fNotasFiscais[[#This Row],[Nota Fiscal]]&lt;&gt;"",1,0)</f>
        <v>1</v>
      </c>
    </row>
    <row r="475" spans="1:27" x14ac:dyDescent="0.25">
      <c r="A475" s="1">
        <v>43232</v>
      </c>
      <c r="B475">
        <v>10884</v>
      </c>
      <c r="C475" s="2" t="s">
        <v>54</v>
      </c>
      <c r="D475" s="2" t="s">
        <v>55</v>
      </c>
      <c r="E475" s="2" t="s">
        <v>56</v>
      </c>
      <c r="F475">
        <v>4022</v>
      </c>
      <c r="G475" s="2" t="s">
        <v>86</v>
      </c>
      <c r="H475" s="2" t="s">
        <v>87</v>
      </c>
      <c r="I475" s="2" t="s">
        <v>27</v>
      </c>
      <c r="J475" s="2" t="s">
        <v>28</v>
      </c>
      <c r="K475" s="2" t="s">
        <v>27</v>
      </c>
      <c r="L475">
        <v>5336.21</v>
      </c>
      <c r="M475">
        <v>3</v>
      </c>
      <c r="N475">
        <v>7.0369999999999999</v>
      </c>
      <c r="O475">
        <v>6500948</v>
      </c>
      <c r="P475" s="2" t="s">
        <v>29</v>
      </c>
      <c r="Q475" s="2" t="s">
        <v>23</v>
      </c>
      <c r="R475" s="2" t="s">
        <v>30</v>
      </c>
      <c r="S475">
        <v>8</v>
      </c>
      <c r="T475" s="1">
        <v>43232</v>
      </c>
      <c r="U475" s="1">
        <v>43242</v>
      </c>
      <c r="V475" s="2"/>
      <c r="W475" s="1">
        <f>fNotasFiscais[[#This Row],[Data da Coleta]]+fNotasFiscais[[#This Row],[Prazo Contratado]]</f>
        <v>43240</v>
      </c>
      <c r="X475" s="3">
        <f>IF(fNotasFiscais[[#This Row],[Data da Entrega]]&gt;fNotasFiscais[[#This Row],[Data Contratada]],0,1)</f>
        <v>0</v>
      </c>
      <c r="Y475" s="3">
        <f>IF(fNotasFiscais[[#This Row],[Ocorrência]]="",1,0)</f>
        <v>1</v>
      </c>
      <c r="Z475" s="2">
        <f>fNotasFiscais[[#This Row],[On Time]]*fNotasFiscais[[#This Row],[In Full]]</f>
        <v>0</v>
      </c>
      <c r="AA475">
        <f>IF(fNotasFiscais[[#This Row],[Nota Fiscal]]&lt;&gt;"",1,0)</f>
        <v>1</v>
      </c>
    </row>
    <row r="476" spans="1:27" x14ac:dyDescent="0.25">
      <c r="A476" s="1">
        <v>43232</v>
      </c>
      <c r="B476">
        <v>10885</v>
      </c>
      <c r="C476" s="2" t="s">
        <v>43</v>
      </c>
      <c r="D476" s="2" t="s">
        <v>44</v>
      </c>
      <c r="E476" s="2" t="s">
        <v>45</v>
      </c>
      <c r="F476">
        <v>4016</v>
      </c>
      <c r="G476" s="2" t="s">
        <v>68</v>
      </c>
      <c r="H476" s="2" t="s">
        <v>69</v>
      </c>
      <c r="I476" s="2" t="s">
        <v>36</v>
      </c>
      <c r="J476" s="2" t="s">
        <v>60</v>
      </c>
      <c r="K476" s="2" t="s">
        <v>36</v>
      </c>
      <c r="L476">
        <v>243.53</v>
      </c>
      <c r="M476">
        <v>1</v>
      </c>
      <c r="N476">
        <v>1.1200000000000001</v>
      </c>
      <c r="O476">
        <v>6600879</v>
      </c>
      <c r="P476" s="2" t="s">
        <v>61</v>
      </c>
      <c r="Q476" s="2" t="s">
        <v>35</v>
      </c>
      <c r="R476" s="2" t="s">
        <v>30</v>
      </c>
      <c r="S476">
        <v>2</v>
      </c>
      <c r="T476" s="1">
        <v>43232</v>
      </c>
      <c r="U476" s="1">
        <v>43242</v>
      </c>
      <c r="V476" s="2"/>
      <c r="W476" s="1">
        <f>fNotasFiscais[[#This Row],[Data da Coleta]]+fNotasFiscais[[#This Row],[Prazo Contratado]]</f>
        <v>43234</v>
      </c>
      <c r="X476" s="3">
        <f>IF(fNotasFiscais[[#This Row],[Data da Entrega]]&gt;fNotasFiscais[[#This Row],[Data Contratada]],0,1)</f>
        <v>0</v>
      </c>
      <c r="Y476" s="3">
        <f>IF(fNotasFiscais[[#This Row],[Ocorrência]]="",1,0)</f>
        <v>1</v>
      </c>
      <c r="Z476" s="2">
        <f>fNotasFiscais[[#This Row],[On Time]]*fNotasFiscais[[#This Row],[In Full]]</f>
        <v>0</v>
      </c>
      <c r="AA476">
        <f>IF(fNotasFiscais[[#This Row],[Nota Fiscal]]&lt;&gt;"",1,0)</f>
        <v>1</v>
      </c>
    </row>
    <row r="477" spans="1:27" x14ac:dyDescent="0.25">
      <c r="A477" s="1">
        <v>43232</v>
      </c>
      <c r="B477">
        <v>10886</v>
      </c>
      <c r="C477" s="2" t="s">
        <v>52</v>
      </c>
      <c r="D477" s="2" t="s">
        <v>53</v>
      </c>
      <c r="E477" s="2" t="s">
        <v>33</v>
      </c>
      <c r="F477">
        <v>4016</v>
      </c>
      <c r="G477" s="2" t="s">
        <v>68</v>
      </c>
      <c r="H477" s="2" t="s">
        <v>69</v>
      </c>
      <c r="I477" s="2" t="s">
        <v>36</v>
      </c>
      <c r="J477" s="2" t="s">
        <v>60</v>
      </c>
      <c r="K477" s="2" t="s">
        <v>36</v>
      </c>
      <c r="L477">
        <v>5526.45</v>
      </c>
      <c r="M477">
        <v>16</v>
      </c>
      <c r="N477">
        <v>214.72</v>
      </c>
      <c r="O477">
        <v>6600879</v>
      </c>
      <c r="P477" s="2" t="s">
        <v>61</v>
      </c>
      <c r="Q477" s="2" t="s">
        <v>35</v>
      </c>
      <c r="R477" s="2" t="s">
        <v>30</v>
      </c>
      <c r="S477">
        <v>12</v>
      </c>
      <c r="T477" s="1">
        <v>43232</v>
      </c>
      <c r="U477" s="1">
        <v>43234</v>
      </c>
      <c r="V477" s="2"/>
      <c r="W477" s="1">
        <f>fNotasFiscais[[#This Row],[Data da Coleta]]+fNotasFiscais[[#This Row],[Prazo Contratado]]</f>
        <v>43244</v>
      </c>
      <c r="X477" s="3">
        <f>IF(fNotasFiscais[[#This Row],[Data da Entrega]]&gt;fNotasFiscais[[#This Row],[Data Contratada]],0,1)</f>
        <v>1</v>
      </c>
      <c r="Y477" s="3">
        <f>IF(fNotasFiscais[[#This Row],[Ocorrência]]="",1,0)</f>
        <v>1</v>
      </c>
      <c r="Z477" s="2">
        <f>fNotasFiscais[[#This Row],[On Time]]*fNotasFiscais[[#This Row],[In Full]]</f>
        <v>1</v>
      </c>
      <c r="AA477">
        <f>IF(fNotasFiscais[[#This Row],[Nota Fiscal]]&lt;&gt;"",1,0)</f>
        <v>1</v>
      </c>
    </row>
    <row r="478" spans="1:27" x14ac:dyDescent="0.25">
      <c r="A478" s="1">
        <v>43232</v>
      </c>
      <c r="B478">
        <v>10887</v>
      </c>
      <c r="C478" s="2" t="s">
        <v>31</v>
      </c>
      <c r="D478" s="2" t="s">
        <v>32</v>
      </c>
      <c r="E478" s="2" t="s">
        <v>33</v>
      </c>
      <c r="F478">
        <v>4016</v>
      </c>
      <c r="G478" s="2" t="s">
        <v>68</v>
      </c>
      <c r="H478" s="2" t="s">
        <v>69</v>
      </c>
      <c r="I478" s="2" t="s">
        <v>36</v>
      </c>
      <c r="J478" s="2" t="s">
        <v>60</v>
      </c>
      <c r="K478" s="2" t="s">
        <v>36</v>
      </c>
      <c r="L478">
        <v>774.57</v>
      </c>
      <c r="M478">
        <v>3</v>
      </c>
      <c r="N478">
        <v>4.343</v>
      </c>
      <c r="O478">
        <v>6600879</v>
      </c>
      <c r="P478" s="2" t="s">
        <v>61</v>
      </c>
      <c r="Q478" s="2" t="s">
        <v>35</v>
      </c>
      <c r="R478" s="2" t="s">
        <v>30</v>
      </c>
      <c r="S478">
        <v>12</v>
      </c>
      <c r="T478" s="1">
        <v>43232</v>
      </c>
      <c r="U478" s="1">
        <v>43233</v>
      </c>
      <c r="V478" s="2"/>
      <c r="W478" s="1">
        <f>fNotasFiscais[[#This Row],[Data da Coleta]]+fNotasFiscais[[#This Row],[Prazo Contratado]]</f>
        <v>43244</v>
      </c>
      <c r="X478" s="3">
        <f>IF(fNotasFiscais[[#This Row],[Data da Entrega]]&gt;fNotasFiscais[[#This Row],[Data Contratada]],0,1)</f>
        <v>1</v>
      </c>
      <c r="Y478" s="3">
        <f>IF(fNotasFiscais[[#This Row],[Ocorrência]]="",1,0)</f>
        <v>1</v>
      </c>
      <c r="Z478" s="2">
        <f>fNotasFiscais[[#This Row],[On Time]]*fNotasFiscais[[#This Row],[In Full]]</f>
        <v>1</v>
      </c>
      <c r="AA478">
        <f>IF(fNotasFiscais[[#This Row],[Nota Fiscal]]&lt;&gt;"",1,0)</f>
        <v>1</v>
      </c>
    </row>
    <row r="479" spans="1:27" x14ac:dyDescent="0.25">
      <c r="A479" s="1">
        <v>43232</v>
      </c>
      <c r="B479">
        <v>10888</v>
      </c>
      <c r="C479" s="2" t="s">
        <v>43</v>
      </c>
      <c r="D479" s="2" t="s">
        <v>44</v>
      </c>
      <c r="E479" s="2" t="s">
        <v>45</v>
      </c>
      <c r="F479">
        <v>4016</v>
      </c>
      <c r="G479" s="2" t="s">
        <v>68</v>
      </c>
      <c r="H479" s="2" t="s">
        <v>69</v>
      </c>
      <c r="I479" s="2" t="s">
        <v>36</v>
      </c>
      <c r="J479" s="2" t="s">
        <v>60</v>
      </c>
      <c r="K479" s="2" t="s">
        <v>36</v>
      </c>
      <c r="L479">
        <v>109.04</v>
      </c>
      <c r="M479">
        <v>1</v>
      </c>
      <c r="N479">
        <v>1.1200000000000001</v>
      </c>
      <c r="O479">
        <v>6600879</v>
      </c>
      <c r="P479" s="2" t="s">
        <v>61</v>
      </c>
      <c r="Q479" s="2" t="s">
        <v>35</v>
      </c>
      <c r="R479" s="2" t="s">
        <v>30</v>
      </c>
      <c r="S479">
        <v>1</v>
      </c>
      <c r="T479" s="1">
        <v>43232</v>
      </c>
      <c r="U479" s="1">
        <v>43240</v>
      </c>
      <c r="V479" s="2"/>
      <c r="W479" s="1">
        <f>fNotasFiscais[[#This Row],[Data da Coleta]]+fNotasFiscais[[#This Row],[Prazo Contratado]]</f>
        <v>43233</v>
      </c>
      <c r="X479" s="3">
        <f>IF(fNotasFiscais[[#This Row],[Data da Entrega]]&gt;fNotasFiscais[[#This Row],[Data Contratada]],0,1)</f>
        <v>0</v>
      </c>
      <c r="Y479" s="3">
        <f>IF(fNotasFiscais[[#This Row],[Ocorrência]]="",1,0)</f>
        <v>1</v>
      </c>
      <c r="Z479" s="2">
        <f>fNotasFiscais[[#This Row],[On Time]]*fNotasFiscais[[#This Row],[In Full]]</f>
        <v>0</v>
      </c>
      <c r="AA479">
        <f>IF(fNotasFiscais[[#This Row],[Nota Fiscal]]&lt;&gt;"",1,0)</f>
        <v>1</v>
      </c>
    </row>
    <row r="480" spans="1:27" x14ac:dyDescent="0.25">
      <c r="A480" s="1">
        <v>43232</v>
      </c>
      <c r="B480">
        <v>10889</v>
      </c>
      <c r="C480" s="2" t="s">
        <v>54</v>
      </c>
      <c r="D480" s="2" t="s">
        <v>55</v>
      </c>
      <c r="E480" s="2" t="s">
        <v>56</v>
      </c>
      <c r="F480">
        <v>4016</v>
      </c>
      <c r="G480" s="2" t="s">
        <v>68</v>
      </c>
      <c r="H480" s="2" t="s">
        <v>69</v>
      </c>
      <c r="I480" s="2" t="s">
        <v>36</v>
      </c>
      <c r="J480" s="2" t="s">
        <v>60</v>
      </c>
      <c r="K480" s="2" t="s">
        <v>36</v>
      </c>
      <c r="L480">
        <v>6689.08</v>
      </c>
      <c r="M480">
        <v>11</v>
      </c>
      <c r="N480">
        <v>33.332000000000001</v>
      </c>
      <c r="O480">
        <v>6600879</v>
      </c>
      <c r="P480" s="2" t="s">
        <v>61</v>
      </c>
      <c r="Q480" s="2" t="s">
        <v>35</v>
      </c>
      <c r="R480" s="2" t="s">
        <v>30</v>
      </c>
      <c r="S480">
        <v>12</v>
      </c>
      <c r="T480" s="1">
        <v>43232</v>
      </c>
      <c r="U480" s="1">
        <v>43234</v>
      </c>
      <c r="V480" s="2"/>
      <c r="W480" s="1">
        <f>fNotasFiscais[[#This Row],[Data da Coleta]]+fNotasFiscais[[#This Row],[Prazo Contratado]]</f>
        <v>43244</v>
      </c>
      <c r="X480" s="3">
        <f>IF(fNotasFiscais[[#This Row],[Data da Entrega]]&gt;fNotasFiscais[[#This Row],[Data Contratada]],0,1)</f>
        <v>1</v>
      </c>
      <c r="Y480" s="3">
        <f>IF(fNotasFiscais[[#This Row],[Ocorrência]]="",1,0)</f>
        <v>1</v>
      </c>
      <c r="Z480" s="2">
        <f>fNotasFiscais[[#This Row],[On Time]]*fNotasFiscais[[#This Row],[In Full]]</f>
        <v>1</v>
      </c>
      <c r="AA480">
        <f>IF(fNotasFiscais[[#This Row],[Nota Fiscal]]&lt;&gt;"",1,0)</f>
        <v>1</v>
      </c>
    </row>
    <row r="481" spans="1:27" x14ac:dyDescent="0.25">
      <c r="A481" s="1">
        <v>43235</v>
      </c>
      <c r="B481">
        <v>10890</v>
      </c>
      <c r="C481" s="2" t="s">
        <v>31</v>
      </c>
      <c r="D481" s="2" t="s">
        <v>32</v>
      </c>
      <c r="E481" s="2" t="s">
        <v>33</v>
      </c>
      <c r="F481">
        <v>4084</v>
      </c>
      <c r="G481" s="2" t="s">
        <v>155</v>
      </c>
      <c r="H481" s="2" t="s">
        <v>149</v>
      </c>
      <c r="I481" s="2" t="s">
        <v>33</v>
      </c>
      <c r="J481" s="2" t="s">
        <v>60</v>
      </c>
      <c r="K481" s="2" t="s">
        <v>33</v>
      </c>
      <c r="L481">
        <v>2130.5700000000002</v>
      </c>
      <c r="M481">
        <v>3</v>
      </c>
      <c r="N481">
        <v>2.0470000000000002</v>
      </c>
      <c r="O481">
        <v>6400835</v>
      </c>
      <c r="P481" s="2" t="s">
        <v>130</v>
      </c>
      <c r="Q481" s="2" t="s">
        <v>131</v>
      </c>
      <c r="R481" s="2" t="s">
        <v>30</v>
      </c>
      <c r="S481">
        <v>3</v>
      </c>
      <c r="T481" s="1">
        <v>43235</v>
      </c>
      <c r="U481" s="1">
        <v>43239</v>
      </c>
      <c r="V481" s="2"/>
      <c r="W481" s="1">
        <f>fNotasFiscais[[#This Row],[Data da Coleta]]+fNotasFiscais[[#This Row],[Prazo Contratado]]</f>
        <v>43238</v>
      </c>
      <c r="X481" s="3">
        <f>IF(fNotasFiscais[[#This Row],[Data da Entrega]]&gt;fNotasFiscais[[#This Row],[Data Contratada]],0,1)</f>
        <v>0</v>
      </c>
      <c r="Y481" s="3">
        <f>IF(fNotasFiscais[[#This Row],[Ocorrência]]="",1,0)</f>
        <v>1</v>
      </c>
      <c r="Z481" s="2">
        <f>fNotasFiscais[[#This Row],[On Time]]*fNotasFiscais[[#This Row],[In Full]]</f>
        <v>0</v>
      </c>
      <c r="AA481">
        <f>IF(fNotasFiscais[[#This Row],[Nota Fiscal]]&lt;&gt;"",1,0)</f>
        <v>1</v>
      </c>
    </row>
    <row r="482" spans="1:27" x14ac:dyDescent="0.25">
      <c r="A482" s="1">
        <v>43237</v>
      </c>
      <c r="B482">
        <v>10891</v>
      </c>
      <c r="C482" s="2" t="s">
        <v>34</v>
      </c>
      <c r="D482" s="2" t="s">
        <v>35</v>
      </c>
      <c r="E482" s="2" t="s">
        <v>36</v>
      </c>
      <c r="F482">
        <v>4012</v>
      </c>
      <c r="G482" s="2" t="s">
        <v>25</v>
      </c>
      <c r="H482" s="2" t="s">
        <v>26</v>
      </c>
      <c r="I482" s="2" t="s">
        <v>27</v>
      </c>
      <c r="J482" s="2" t="s">
        <v>28</v>
      </c>
      <c r="K482" s="2" t="s">
        <v>27</v>
      </c>
      <c r="L482">
        <v>2255.62</v>
      </c>
      <c r="M482">
        <v>5</v>
      </c>
      <c r="N482">
        <v>10.271000000000001</v>
      </c>
      <c r="O482">
        <v>6500948</v>
      </c>
      <c r="P482" s="2" t="s">
        <v>29</v>
      </c>
      <c r="Q482" s="2" t="s">
        <v>23</v>
      </c>
      <c r="R482" s="2" t="s">
        <v>30</v>
      </c>
      <c r="S482">
        <v>5</v>
      </c>
      <c r="T482" s="1">
        <v>43237</v>
      </c>
      <c r="U482" s="1">
        <v>43245</v>
      </c>
      <c r="V482" s="2"/>
      <c r="W482" s="1">
        <f>fNotasFiscais[[#This Row],[Data da Coleta]]+fNotasFiscais[[#This Row],[Prazo Contratado]]</f>
        <v>43242</v>
      </c>
      <c r="X482" s="3">
        <f>IF(fNotasFiscais[[#This Row],[Data da Entrega]]&gt;fNotasFiscais[[#This Row],[Data Contratada]],0,1)</f>
        <v>0</v>
      </c>
      <c r="Y482" s="3">
        <f>IF(fNotasFiscais[[#This Row],[Ocorrência]]="",1,0)</f>
        <v>1</v>
      </c>
      <c r="Z482" s="2">
        <f>fNotasFiscais[[#This Row],[On Time]]*fNotasFiscais[[#This Row],[In Full]]</f>
        <v>0</v>
      </c>
      <c r="AA482">
        <f>IF(fNotasFiscais[[#This Row],[Nota Fiscal]]&lt;&gt;"",1,0)</f>
        <v>1</v>
      </c>
    </row>
    <row r="483" spans="1:27" x14ac:dyDescent="0.25">
      <c r="A483" s="1">
        <v>43237</v>
      </c>
      <c r="B483">
        <v>10892</v>
      </c>
      <c r="C483" s="2" t="s">
        <v>22</v>
      </c>
      <c r="D483" s="2" t="s">
        <v>23</v>
      </c>
      <c r="E483" s="2" t="s">
        <v>24</v>
      </c>
      <c r="F483">
        <v>4018</v>
      </c>
      <c r="G483" s="2" t="s">
        <v>77</v>
      </c>
      <c r="H483" s="2" t="s">
        <v>78</v>
      </c>
      <c r="I483" s="2" t="s">
        <v>39</v>
      </c>
      <c r="J483" s="2" t="s">
        <v>28</v>
      </c>
      <c r="K483" s="2" t="s">
        <v>39</v>
      </c>
      <c r="L483">
        <v>121.02</v>
      </c>
      <c r="M483">
        <v>1</v>
      </c>
      <c r="N483">
        <v>5.5</v>
      </c>
      <c r="O483">
        <v>6500948</v>
      </c>
      <c r="P483" s="2" t="s">
        <v>29</v>
      </c>
      <c r="Q483" s="2" t="s">
        <v>23</v>
      </c>
      <c r="R483" s="2" t="s">
        <v>30</v>
      </c>
      <c r="S483">
        <v>1</v>
      </c>
      <c r="T483" s="1">
        <v>43237</v>
      </c>
      <c r="U483" s="1">
        <v>43245</v>
      </c>
      <c r="V483" s="2"/>
      <c r="W483" s="1">
        <f>fNotasFiscais[[#This Row],[Data da Coleta]]+fNotasFiscais[[#This Row],[Prazo Contratado]]</f>
        <v>43238</v>
      </c>
      <c r="X483" s="3">
        <f>IF(fNotasFiscais[[#This Row],[Data da Entrega]]&gt;fNotasFiscais[[#This Row],[Data Contratada]],0,1)</f>
        <v>0</v>
      </c>
      <c r="Y483" s="3">
        <f>IF(fNotasFiscais[[#This Row],[Ocorrência]]="",1,0)</f>
        <v>1</v>
      </c>
      <c r="Z483" s="2">
        <f>fNotasFiscais[[#This Row],[On Time]]*fNotasFiscais[[#This Row],[In Full]]</f>
        <v>0</v>
      </c>
      <c r="AA483">
        <f>IF(fNotasFiscais[[#This Row],[Nota Fiscal]]&lt;&gt;"",1,0)</f>
        <v>1</v>
      </c>
    </row>
    <row r="484" spans="1:27" x14ac:dyDescent="0.25">
      <c r="A484" s="1">
        <v>43237</v>
      </c>
      <c r="B484">
        <v>10893</v>
      </c>
      <c r="C484" s="2" t="s">
        <v>43</v>
      </c>
      <c r="D484" s="2" t="s">
        <v>44</v>
      </c>
      <c r="E484" s="2" t="s">
        <v>45</v>
      </c>
      <c r="F484">
        <v>4083</v>
      </c>
      <c r="G484" s="2" t="s">
        <v>154</v>
      </c>
      <c r="H484" s="2" t="s">
        <v>141</v>
      </c>
      <c r="I484" s="2" t="s">
        <v>33</v>
      </c>
      <c r="J484" s="2" t="s">
        <v>60</v>
      </c>
      <c r="K484" s="2" t="s">
        <v>33</v>
      </c>
      <c r="L484">
        <v>3135.17</v>
      </c>
      <c r="M484">
        <v>4</v>
      </c>
      <c r="N484">
        <v>6.0830000000000002</v>
      </c>
      <c r="O484">
        <v>6400835</v>
      </c>
      <c r="P484" s="2" t="s">
        <v>130</v>
      </c>
      <c r="Q484" s="2" t="s">
        <v>131</v>
      </c>
      <c r="R484" s="2" t="s">
        <v>30</v>
      </c>
      <c r="S484">
        <v>1</v>
      </c>
      <c r="T484" s="1">
        <v>43237</v>
      </c>
      <c r="U484" s="1">
        <v>43241</v>
      </c>
      <c r="V484" s="2"/>
      <c r="W484" s="1">
        <f>fNotasFiscais[[#This Row],[Data da Coleta]]+fNotasFiscais[[#This Row],[Prazo Contratado]]</f>
        <v>43238</v>
      </c>
      <c r="X484" s="3">
        <f>IF(fNotasFiscais[[#This Row],[Data da Entrega]]&gt;fNotasFiscais[[#This Row],[Data Contratada]],0,1)</f>
        <v>0</v>
      </c>
      <c r="Y484" s="3">
        <f>IF(fNotasFiscais[[#This Row],[Ocorrência]]="",1,0)</f>
        <v>1</v>
      </c>
      <c r="Z484" s="2">
        <f>fNotasFiscais[[#This Row],[On Time]]*fNotasFiscais[[#This Row],[In Full]]</f>
        <v>0</v>
      </c>
      <c r="AA484">
        <f>IF(fNotasFiscais[[#This Row],[Nota Fiscal]]&lt;&gt;"",1,0)</f>
        <v>1</v>
      </c>
    </row>
    <row r="485" spans="1:27" x14ac:dyDescent="0.25">
      <c r="A485" s="1">
        <v>43237</v>
      </c>
      <c r="B485">
        <v>10894</v>
      </c>
      <c r="C485" s="2" t="s">
        <v>43</v>
      </c>
      <c r="D485" s="2" t="s">
        <v>44</v>
      </c>
      <c r="E485" s="2" t="s">
        <v>45</v>
      </c>
      <c r="F485">
        <v>4083</v>
      </c>
      <c r="G485" s="2" t="s">
        <v>154</v>
      </c>
      <c r="H485" s="2" t="s">
        <v>141</v>
      </c>
      <c r="I485" s="2" t="s">
        <v>33</v>
      </c>
      <c r="J485" s="2" t="s">
        <v>60</v>
      </c>
      <c r="K485" s="2" t="s">
        <v>33</v>
      </c>
      <c r="L485">
        <v>2028.75</v>
      </c>
      <c r="M485">
        <v>4</v>
      </c>
      <c r="N485">
        <v>8.3070000000000004</v>
      </c>
      <c r="O485">
        <v>6400835</v>
      </c>
      <c r="P485" s="2" t="s">
        <v>130</v>
      </c>
      <c r="Q485" s="2" t="s">
        <v>131</v>
      </c>
      <c r="R485" s="2" t="s">
        <v>30</v>
      </c>
      <c r="S485">
        <v>12</v>
      </c>
      <c r="T485" s="1">
        <v>43237</v>
      </c>
      <c r="U485" s="1">
        <v>43239</v>
      </c>
      <c r="V485" s="2"/>
      <c r="W485" s="1">
        <f>fNotasFiscais[[#This Row],[Data da Coleta]]+fNotasFiscais[[#This Row],[Prazo Contratado]]</f>
        <v>43249</v>
      </c>
      <c r="X485" s="3">
        <f>IF(fNotasFiscais[[#This Row],[Data da Entrega]]&gt;fNotasFiscais[[#This Row],[Data Contratada]],0,1)</f>
        <v>1</v>
      </c>
      <c r="Y485" s="3">
        <f>IF(fNotasFiscais[[#This Row],[Ocorrência]]="",1,0)</f>
        <v>1</v>
      </c>
      <c r="Z485" s="2">
        <f>fNotasFiscais[[#This Row],[On Time]]*fNotasFiscais[[#This Row],[In Full]]</f>
        <v>1</v>
      </c>
      <c r="AA485">
        <f>IF(fNotasFiscais[[#This Row],[Nota Fiscal]]&lt;&gt;"",1,0)</f>
        <v>1</v>
      </c>
    </row>
    <row r="486" spans="1:27" x14ac:dyDescent="0.25">
      <c r="A486" s="1">
        <v>43237</v>
      </c>
      <c r="B486">
        <v>10895</v>
      </c>
      <c r="C486" s="2" t="s">
        <v>34</v>
      </c>
      <c r="D486" s="2" t="s">
        <v>35</v>
      </c>
      <c r="E486" s="2" t="s">
        <v>36</v>
      </c>
      <c r="F486">
        <v>4083</v>
      </c>
      <c r="G486" s="2" t="s">
        <v>154</v>
      </c>
      <c r="H486" s="2" t="s">
        <v>141</v>
      </c>
      <c r="I486" s="2" t="s">
        <v>33</v>
      </c>
      <c r="J486" s="2" t="s">
        <v>60</v>
      </c>
      <c r="K486" s="2" t="s">
        <v>33</v>
      </c>
      <c r="L486">
        <v>1007.98</v>
      </c>
      <c r="M486">
        <v>1</v>
      </c>
      <c r="N486">
        <v>1.1200000000000001</v>
      </c>
      <c r="O486">
        <v>6400835</v>
      </c>
      <c r="P486" s="2" t="s">
        <v>130</v>
      </c>
      <c r="Q486" s="2" t="s">
        <v>131</v>
      </c>
      <c r="R486" s="2" t="s">
        <v>30</v>
      </c>
      <c r="S486">
        <v>6</v>
      </c>
      <c r="T486" s="1">
        <v>43237</v>
      </c>
      <c r="U486" s="1">
        <v>43246</v>
      </c>
      <c r="V486" s="2"/>
      <c r="W486" s="1">
        <f>fNotasFiscais[[#This Row],[Data da Coleta]]+fNotasFiscais[[#This Row],[Prazo Contratado]]</f>
        <v>43243</v>
      </c>
      <c r="X486" s="3">
        <f>IF(fNotasFiscais[[#This Row],[Data da Entrega]]&gt;fNotasFiscais[[#This Row],[Data Contratada]],0,1)</f>
        <v>0</v>
      </c>
      <c r="Y486" s="3">
        <f>IF(fNotasFiscais[[#This Row],[Ocorrência]]="",1,0)</f>
        <v>1</v>
      </c>
      <c r="Z486" s="2">
        <f>fNotasFiscais[[#This Row],[On Time]]*fNotasFiscais[[#This Row],[In Full]]</f>
        <v>0</v>
      </c>
      <c r="AA486">
        <f>IF(fNotasFiscais[[#This Row],[Nota Fiscal]]&lt;&gt;"",1,0)</f>
        <v>1</v>
      </c>
    </row>
    <row r="487" spans="1:27" x14ac:dyDescent="0.25">
      <c r="A487" s="1">
        <v>43237</v>
      </c>
      <c r="B487">
        <v>10896</v>
      </c>
      <c r="C487" s="2" t="s">
        <v>54</v>
      </c>
      <c r="D487" s="2" t="s">
        <v>55</v>
      </c>
      <c r="E487" s="2" t="s">
        <v>56</v>
      </c>
      <c r="F487">
        <v>4083</v>
      </c>
      <c r="G487" s="2" t="s">
        <v>154</v>
      </c>
      <c r="H487" s="2" t="s">
        <v>141</v>
      </c>
      <c r="I487" s="2" t="s">
        <v>33</v>
      </c>
      <c r="J487" s="2" t="s">
        <v>60</v>
      </c>
      <c r="K487" s="2" t="s">
        <v>33</v>
      </c>
      <c r="L487">
        <v>499.49</v>
      </c>
      <c r="M487">
        <v>1</v>
      </c>
      <c r="N487">
        <v>0.68799999999999994</v>
      </c>
      <c r="O487">
        <v>6400835</v>
      </c>
      <c r="P487" s="2" t="s">
        <v>130</v>
      </c>
      <c r="Q487" s="2" t="s">
        <v>131</v>
      </c>
      <c r="R487" s="2" t="s">
        <v>30</v>
      </c>
      <c r="S487">
        <v>2</v>
      </c>
      <c r="T487" s="1">
        <v>43237</v>
      </c>
      <c r="U487" s="1">
        <v>43242</v>
      </c>
      <c r="V487" s="2"/>
      <c r="W487" s="1">
        <f>fNotasFiscais[[#This Row],[Data da Coleta]]+fNotasFiscais[[#This Row],[Prazo Contratado]]</f>
        <v>43239</v>
      </c>
      <c r="X487" s="3">
        <f>IF(fNotasFiscais[[#This Row],[Data da Entrega]]&gt;fNotasFiscais[[#This Row],[Data Contratada]],0,1)</f>
        <v>0</v>
      </c>
      <c r="Y487" s="3">
        <f>IF(fNotasFiscais[[#This Row],[Ocorrência]]="",1,0)</f>
        <v>1</v>
      </c>
      <c r="Z487" s="2">
        <f>fNotasFiscais[[#This Row],[On Time]]*fNotasFiscais[[#This Row],[In Full]]</f>
        <v>0</v>
      </c>
      <c r="AA487">
        <f>IF(fNotasFiscais[[#This Row],[Nota Fiscal]]&lt;&gt;"",1,0)</f>
        <v>1</v>
      </c>
    </row>
    <row r="488" spans="1:27" x14ac:dyDescent="0.25">
      <c r="A488" s="1">
        <v>43237</v>
      </c>
      <c r="B488">
        <v>10897</v>
      </c>
      <c r="C488" s="2" t="s">
        <v>43</v>
      </c>
      <c r="D488" s="2" t="s">
        <v>44</v>
      </c>
      <c r="E488" s="2" t="s">
        <v>45</v>
      </c>
      <c r="F488">
        <v>4083</v>
      </c>
      <c r="G488" s="2" t="s">
        <v>154</v>
      </c>
      <c r="H488" s="2" t="s">
        <v>141</v>
      </c>
      <c r="I488" s="2" t="s">
        <v>33</v>
      </c>
      <c r="J488" s="2" t="s">
        <v>60</v>
      </c>
      <c r="K488" s="2" t="s">
        <v>33</v>
      </c>
      <c r="L488">
        <v>727.46</v>
      </c>
      <c r="M488">
        <v>1</v>
      </c>
      <c r="N488">
        <v>2.202</v>
      </c>
      <c r="O488">
        <v>6400835</v>
      </c>
      <c r="P488" s="2" t="s">
        <v>130</v>
      </c>
      <c r="Q488" s="2" t="s">
        <v>131</v>
      </c>
      <c r="R488" s="2" t="s">
        <v>30</v>
      </c>
      <c r="S488">
        <v>10</v>
      </c>
      <c r="T488" s="1">
        <v>43237</v>
      </c>
      <c r="U488" s="1">
        <v>43240</v>
      </c>
      <c r="V488" s="2"/>
      <c r="W488" s="1">
        <f>fNotasFiscais[[#This Row],[Data da Coleta]]+fNotasFiscais[[#This Row],[Prazo Contratado]]</f>
        <v>43247</v>
      </c>
      <c r="X488" s="3">
        <f>IF(fNotasFiscais[[#This Row],[Data da Entrega]]&gt;fNotasFiscais[[#This Row],[Data Contratada]],0,1)</f>
        <v>1</v>
      </c>
      <c r="Y488" s="3">
        <f>IF(fNotasFiscais[[#This Row],[Ocorrência]]="",1,0)</f>
        <v>1</v>
      </c>
      <c r="Z488" s="2">
        <f>fNotasFiscais[[#This Row],[On Time]]*fNotasFiscais[[#This Row],[In Full]]</f>
        <v>1</v>
      </c>
      <c r="AA488">
        <f>IF(fNotasFiscais[[#This Row],[Nota Fiscal]]&lt;&gt;"",1,0)</f>
        <v>1</v>
      </c>
    </row>
    <row r="489" spans="1:27" x14ac:dyDescent="0.25">
      <c r="A489" s="1">
        <v>43238</v>
      </c>
      <c r="B489">
        <v>10898</v>
      </c>
      <c r="C489" s="2" t="s">
        <v>43</v>
      </c>
      <c r="D489" s="2" t="s">
        <v>44</v>
      </c>
      <c r="E489" s="2" t="s">
        <v>45</v>
      </c>
      <c r="F489">
        <v>4033</v>
      </c>
      <c r="G489" s="2" t="s">
        <v>109</v>
      </c>
      <c r="H489" s="2" t="s">
        <v>51</v>
      </c>
      <c r="I489" s="2" t="s">
        <v>73</v>
      </c>
      <c r="J489" s="2" t="s">
        <v>49</v>
      </c>
      <c r="K489" s="2" t="s">
        <v>73</v>
      </c>
      <c r="L489">
        <v>387.36</v>
      </c>
      <c r="M489">
        <v>1</v>
      </c>
      <c r="N489">
        <v>0.33</v>
      </c>
      <c r="O489">
        <v>6100231</v>
      </c>
      <c r="P489" s="2" t="s">
        <v>50</v>
      </c>
      <c r="Q489" s="2" t="s">
        <v>51</v>
      </c>
      <c r="R489" s="2" t="s">
        <v>30</v>
      </c>
      <c r="S489">
        <v>9</v>
      </c>
      <c r="T489" s="1">
        <v>43238</v>
      </c>
      <c r="U489" s="1">
        <v>43244</v>
      </c>
      <c r="V489" s="2"/>
      <c r="W489" s="1">
        <f>fNotasFiscais[[#This Row],[Data da Coleta]]+fNotasFiscais[[#This Row],[Prazo Contratado]]</f>
        <v>43247</v>
      </c>
      <c r="X489" s="3">
        <f>IF(fNotasFiscais[[#This Row],[Data da Entrega]]&gt;fNotasFiscais[[#This Row],[Data Contratada]],0,1)</f>
        <v>1</v>
      </c>
      <c r="Y489" s="3">
        <f>IF(fNotasFiscais[[#This Row],[Ocorrência]]="",1,0)</f>
        <v>1</v>
      </c>
      <c r="Z489" s="2">
        <f>fNotasFiscais[[#This Row],[On Time]]*fNotasFiscais[[#This Row],[In Full]]</f>
        <v>1</v>
      </c>
      <c r="AA489">
        <f>IF(fNotasFiscais[[#This Row],[Nota Fiscal]]&lt;&gt;"",1,0)</f>
        <v>1</v>
      </c>
    </row>
    <row r="490" spans="1:27" x14ac:dyDescent="0.25">
      <c r="A490" s="1">
        <v>43238</v>
      </c>
      <c r="B490">
        <v>10899</v>
      </c>
      <c r="C490" s="2" t="s">
        <v>52</v>
      </c>
      <c r="D490" s="2" t="s">
        <v>53</v>
      </c>
      <c r="E490" s="2" t="s">
        <v>33</v>
      </c>
      <c r="F490">
        <v>4022</v>
      </c>
      <c r="G490" s="2" t="s">
        <v>86</v>
      </c>
      <c r="H490" s="2" t="s">
        <v>87</v>
      </c>
      <c r="I490" s="2" t="s">
        <v>27</v>
      </c>
      <c r="J490" s="2" t="s">
        <v>28</v>
      </c>
      <c r="K490" s="2" t="s">
        <v>27</v>
      </c>
      <c r="L490">
        <v>2678.17</v>
      </c>
      <c r="M490">
        <v>2</v>
      </c>
      <c r="N490">
        <v>6.82</v>
      </c>
      <c r="O490">
        <v>6500948</v>
      </c>
      <c r="P490" s="2" t="s">
        <v>29</v>
      </c>
      <c r="Q490" s="2" t="s">
        <v>23</v>
      </c>
      <c r="R490" s="2" t="s">
        <v>30</v>
      </c>
      <c r="S490">
        <v>8</v>
      </c>
      <c r="T490" s="1">
        <v>43238</v>
      </c>
      <c r="U490" s="1">
        <v>43239</v>
      </c>
      <c r="V490" s="2"/>
      <c r="W490" s="1">
        <f>fNotasFiscais[[#This Row],[Data da Coleta]]+fNotasFiscais[[#This Row],[Prazo Contratado]]</f>
        <v>43246</v>
      </c>
      <c r="X490" s="3">
        <f>IF(fNotasFiscais[[#This Row],[Data da Entrega]]&gt;fNotasFiscais[[#This Row],[Data Contratada]],0,1)</f>
        <v>1</v>
      </c>
      <c r="Y490" s="3">
        <f>IF(fNotasFiscais[[#This Row],[Ocorrência]]="",1,0)</f>
        <v>1</v>
      </c>
      <c r="Z490" s="2">
        <f>fNotasFiscais[[#This Row],[On Time]]*fNotasFiscais[[#This Row],[In Full]]</f>
        <v>1</v>
      </c>
      <c r="AA490">
        <f>IF(fNotasFiscais[[#This Row],[Nota Fiscal]]&lt;&gt;"",1,0)</f>
        <v>1</v>
      </c>
    </row>
    <row r="491" spans="1:27" x14ac:dyDescent="0.25">
      <c r="A491" s="1">
        <v>43239</v>
      </c>
      <c r="B491">
        <v>10900</v>
      </c>
      <c r="C491" s="2" t="s">
        <v>54</v>
      </c>
      <c r="D491" s="2" t="s">
        <v>55</v>
      </c>
      <c r="E491" s="2" t="s">
        <v>56</v>
      </c>
      <c r="F491">
        <v>4034</v>
      </c>
      <c r="G491" s="2" t="s">
        <v>110</v>
      </c>
      <c r="H491" s="2" t="s">
        <v>51</v>
      </c>
      <c r="I491" s="2" t="s">
        <v>73</v>
      </c>
      <c r="J491" s="2" t="s">
        <v>49</v>
      </c>
      <c r="K491" s="2" t="s">
        <v>73</v>
      </c>
      <c r="L491">
        <v>360.57</v>
      </c>
      <c r="M491">
        <v>1</v>
      </c>
      <c r="N491">
        <v>13.42</v>
      </c>
      <c r="O491">
        <v>6100231</v>
      </c>
      <c r="P491" s="2" t="s">
        <v>50</v>
      </c>
      <c r="Q491" s="2" t="s">
        <v>51</v>
      </c>
      <c r="R491" s="2" t="s">
        <v>30</v>
      </c>
      <c r="S491">
        <v>12</v>
      </c>
      <c r="T491" s="1">
        <v>43239</v>
      </c>
      <c r="U491" s="1">
        <v>43241</v>
      </c>
      <c r="V491" s="2"/>
      <c r="W491" s="1">
        <f>fNotasFiscais[[#This Row],[Data da Coleta]]+fNotasFiscais[[#This Row],[Prazo Contratado]]</f>
        <v>43251</v>
      </c>
      <c r="X491" s="3">
        <f>IF(fNotasFiscais[[#This Row],[Data da Entrega]]&gt;fNotasFiscais[[#This Row],[Data Contratada]],0,1)</f>
        <v>1</v>
      </c>
      <c r="Y491" s="3">
        <f>IF(fNotasFiscais[[#This Row],[Ocorrência]]="",1,0)</f>
        <v>1</v>
      </c>
      <c r="Z491" s="2">
        <f>fNotasFiscais[[#This Row],[On Time]]*fNotasFiscais[[#This Row],[In Full]]</f>
        <v>1</v>
      </c>
      <c r="AA491">
        <f>IF(fNotasFiscais[[#This Row],[Nota Fiscal]]&lt;&gt;"",1,0)</f>
        <v>1</v>
      </c>
    </row>
    <row r="492" spans="1:27" x14ac:dyDescent="0.25">
      <c r="A492" s="1">
        <v>43243</v>
      </c>
      <c r="B492">
        <v>10901</v>
      </c>
      <c r="C492" s="2" t="s">
        <v>52</v>
      </c>
      <c r="D492" s="2" t="s">
        <v>53</v>
      </c>
      <c r="E492" s="2" t="s">
        <v>33</v>
      </c>
      <c r="F492">
        <v>4027</v>
      </c>
      <c r="G492" s="2" t="s">
        <v>93</v>
      </c>
      <c r="H492" s="2" t="s">
        <v>91</v>
      </c>
      <c r="I492" s="2" t="s">
        <v>24</v>
      </c>
      <c r="J492" s="2" t="s">
        <v>28</v>
      </c>
      <c r="K492" s="2" t="s">
        <v>24</v>
      </c>
      <c r="L492">
        <v>6853.02</v>
      </c>
      <c r="M492">
        <v>4</v>
      </c>
      <c r="N492">
        <v>20.02</v>
      </c>
      <c r="O492">
        <v>6500948</v>
      </c>
      <c r="P492" s="2" t="s">
        <v>29</v>
      </c>
      <c r="Q492" s="2" t="s">
        <v>23</v>
      </c>
      <c r="R492" s="2" t="s">
        <v>30</v>
      </c>
      <c r="S492">
        <v>6</v>
      </c>
      <c r="T492" s="1">
        <v>43243</v>
      </c>
      <c r="U492" s="1">
        <v>43247</v>
      </c>
      <c r="V492" s="2"/>
      <c r="W492" s="1">
        <f>fNotasFiscais[[#This Row],[Data da Coleta]]+fNotasFiscais[[#This Row],[Prazo Contratado]]</f>
        <v>43249</v>
      </c>
      <c r="X492" s="3">
        <f>IF(fNotasFiscais[[#This Row],[Data da Entrega]]&gt;fNotasFiscais[[#This Row],[Data Contratada]],0,1)</f>
        <v>1</v>
      </c>
      <c r="Y492" s="3">
        <f>IF(fNotasFiscais[[#This Row],[Ocorrência]]="",1,0)</f>
        <v>1</v>
      </c>
      <c r="Z492" s="2">
        <f>fNotasFiscais[[#This Row],[On Time]]*fNotasFiscais[[#This Row],[In Full]]</f>
        <v>1</v>
      </c>
      <c r="AA492">
        <f>IF(fNotasFiscais[[#This Row],[Nota Fiscal]]&lt;&gt;"",1,0)</f>
        <v>1</v>
      </c>
    </row>
    <row r="493" spans="1:27" x14ac:dyDescent="0.25">
      <c r="A493" s="1">
        <v>43243</v>
      </c>
      <c r="B493">
        <v>10902</v>
      </c>
      <c r="C493" s="2" t="s">
        <v>54</v>
      </c>
      <c r="D493" s="2" t="s">
        <v>55</v>
      </c>
      <c r="E493" s="2" t="s">
        <v>56</v>
      </c>
      <c r="F493">
        <v>4021</v>
      </c>
      <c r="G493" s="2" t="s">
        <v>85</v>
      </c>
      <c r="H493" s="2" t="s">
        <v>75</v>
      </c>
      <c r="I493" s="2" t="s">
        <v>39</v>
      </c>
      <c r="J493" s="2" t="s">
        <v>28</v>
      </c>
      <c r="K493" s="2" t="s">
        <v>39</v>
      </c>
      <c r="L493">
        <v>211.84</v>
      </c>
      <c r="M493">
        <v>1</v>
      </c>
      <c r="N493">
        <v>0.51400000000000001</v>
      </c>
      <c r="O493">
        <v>6500948</v>
      </c>
      <c r="P493" s="2" t="s">
        <v>29</v>
      </c>
      <c r="Q493" s="2" t="s">
        <v>23</v>
      </c>
      <c r="R493" s="2" t="s">
        <v>30</v>
      </c>
      <c r="S493">
        <v>12</v>
      </c>
      <c r="T493" s="1">
        <v>43243</v>
      </c>
      <c r="U493" s="1">
        <v>43251</v>
      </c>
      <c r="V493" s="2"/>
      <c r="W493" s="1">
        <f>fNotasFiscais[[#This Row],[Data da Coleta]]+fNotasFiscais[[#This Row],[Prazo Contratado]]</f>
        <v>43255</v>
      </c>
      <c r="X493" s="3">
        <f>IF(fNotasFiscais[[#This Row],[Data da Entrega]]&gt;fNotasFiscais[[#This Row],[Data Contratada]],0,1)</f>
        <v>1</v>
      </c>
      <c r="Y493" s="3">
        <f>IF(fNotasFiscais[[#This Row],[Ocorrência]]="",1,0)</f>
        <v>1</v>
      </c>
      <c r="Z493" s="2">
        <f>fNotasFiscais[[#This Row],[On Time]]*fNotasFiscais[[#This Row],[In Full]]</f>
        <v>1</v>
      </c>
      <c r="AA493">
        <f>IF(fNotasFiscais[[#This Row],[Nota Fiscal]]&lt;&gt;"",1,0)</f>
        <v>1</v>
      </c>
    </row>
    <row r="494" spans="1:27" x14ac:dyDescent="0.25">
      <c r="A494" s="1">
        <v>43243</v>
      </c>
      <c r="B494">
        <v>10903</v>
      </c>
      <c r="C494" s="2" t="s">
        <v>31</v>
      </c>
      <c r="D494" s="2" t="s">
        <v>32</v>
      </c>
      <c r="E494" s="2" t="s">
        <v>33</v>
      </c>
      <c r="F494">
        <v>4028</v>
      </c>
      <c r="G494" s="2" t="s">
        <v>95</v>
      </c>
      <c r="H494" s="2" t="s">
        <v>26</v>
      </c>
      <c r="I494" s="2" t="s">
        <v>27</v>
      </c>
      <c r="J494" s="2" t="s">
        <v>28</v>
      </c>
      <c r="K494" s="2" t="s">
        <v>27</v>
      </c>
      <c r="L494">
        <v>533.12</v>
      </c>
      <c r="M494">
        <v>1</v>
      </c>
      <c r="N494">
        <v>2.024</v>
      </c>
      <c r="O494">
        <v>6500948</v>
      </c>
      <c r="P494" s="2" t="s">
        <v>29</v>
      </c>
      <c r="Q494" s="2" t="s">
        <v>23</v>
      </c>
      <c r="R494" s="2" t="s">
        <v>30</v>
      </c>
      <c r="S494">
        <v>8</v>
      </c>
      <c r="T494" s="1">
        <v>43243</v>
      </c>
      <c r="U494" s="1">
        <v>43247</v>
      </c>
      <c r="V494" s="2"/>
      <c r="W494" s="1">
        <f>fNotasFiscais[[#This Row],[Data da Coleta]]+fNotasFiscais[[#This Row],[Prazo Contratado]]</f>
        <v>43251</v>
      </c>
      <c r="X494" s="3">
        <f>IF(fNotasFiscais[[#This Row],[Data da Entrega]]&gt;fNotasFiscais[[#This Row],[Data Contratada]],0,1)</f>
        <v>1</v>
      </c>
      <c r="Y494" s="3">
        <f>IF(fNotasFiscais[[#This Row],[Ocorrência]]="",1,0)</f>
        <v>1</v>
      </c>
      <c r="Z494" s="2">
        <f>fNotasFiscais[[#This Row],[On Time]]*fNotasFiscais[[#This Row],[In Full]]</f>
        <v>1</v>
      </c>
      <c r="AA494">
        <f>IF(fNotasFiscais[[#This Row],[Nota Fiscal]]&lt;&gt;"",1,0)</f>
        <v>1</v>
      </c>
    </row>
    <row r="495" spans="1:27" x14ac:dyDescent="0.25">
      <c r="A495" s="1">
        <v>43243</v>
      </c>
      <c r="B495">
        <v>10904</v>
      </c>
      <c r="C495" s="2" t="s">
        <v>31</v>
      </c>
      <c r="D495" s="2" t="s">
        <v>32</v>
      </c>
      <c r="E495" s="2" t="s">
        <v>33</v>
      </c>
      <c r="F495">
        <v>4028</v>
      </c>
      <c r="G495" s="2" t="s">
        <v>95</v>
      </c>
      <c r="H495" s="2" t="s">
        <v>26</v>
      </c>
      <c r="I495" s="2" t="s">
        <v>27</v>
      </c>
      <c r="J495" s="2" t="s">
        <v>28</v>
      </c>
      <c r="K495" s="2" t="s">
        <v>27</v>
      </c>
      <c r="L495">
        <v>5840.6</v>
      </c>
      <c r="M495">
        <v>5</v>
      </c>
      <c r="N495">
        <v>25.12</v>
      </c>
      <c r="O495">
        <v>6500948</v>
      </c>
      <c r="P495" s="2" t="s">
        <v>29</v>
      </c>
      <c r="Q495" s="2" t="s">
        <v>23</v>
      </c>
      <c r="R495" s="2" t="s">
        <v>62</v>
      </c>
      <c r="S495">
        <v>9</v>
      </c>
      <c r="T495" s="1">
        <v>43243</v>
      </c>
      <c r="U495" s="1">
        <v>43246</v>
      </c>
      <c r="V495" s="2"/>
      <c r="W495" s="1">
        <f>fNotasFiscais[[#This Row],[Data da Coleta]]+fNotasFiscais[[#This Row],[Prazo Contratado]]</f>
        <v>43252</v>
      </c>
      <c r="X495" s="3">
        <f>IF(fNotasFiscais[[#This Row],[Data da Entrega]]&gt;fNotasFiscais[[#This Row],[Data Contratada]],0,1)</f>
        <v>1</v>
      </c>
      <c r="Y495" s="3">
        <f>IF(fNotasFiscais[[#This Row],[Ocorrência]]="",1,0)</f>
        <v>1</v>
      </c>
      <c r="Z495" s="2">
        <f>fNotasFiscais[[#This Row],[On Time]]*fNotasFiscais[[#This Row],[In Full]]</f>
        <v>1</v>
      </c>
      <c r="AA495">
        <f>IF(fNotasFiscais[[#This Row],[Nota Fiscal]]&lt;&gt;"",1,0)</f>
        <v>1</v>
      </c>
    </row>
    <row r="496" spans="1:27" x14ac:dyDescent="0.25">
      <c r="A496" s="1">
        <v>43243</v>
      </c>
      <c r="B496">
        <v>10905</v>
      </c>
      <c r="C496" s="2" t="s">
        <v>54</v>
      </c>
      <c r="D496" s="2" t="s">
        <v>55</v>
      </c>
      <c r="E496" s="2" t="s">
        <v>56</v>
      </c>
      <c r="F496">
        <v>4027</v>
      </c>
      <c r="G496" s="2" t="s">
        <v>93</v>
      </c>
      <c r="H496" s="2" t="s">
        <v>91</v>
      </c>
      <c r="I496" s="2" t="s">
        <v>24</v>
      </c>
      <c r="J496" s="2" t="s">
        <v>28</v>
      </c>
      <c r="K496" s="2" t="s">
        <v>24</v>
      </c>
      <c r="L496">
        <v>985.23</v>
      </c>
      <c r="M496">
        <v>4</v>
      </c>
      <c r="N496">
        <v>6.6879999999999997</v>
      </c>
      <c r="O496">
        <v>6500948</v>
      </c>
      <c r="P496" s="2" t="s">
        <v>29</v>
      </c>
      <c r="Q496" s="2" t="s">
        <v>23</v>
      </c>
      <c r="R496" s="2" t="s">
        <v>30</v>
      </c>
      <c r="S496">
        <v>10</v>
      </c>
      <c r="T496" s="1">
        <v>43243</v>
      </c>
      <c r="U496" s="1">
        <v>43252</v>
      </c>
      <c r="V496" s="2"/>
      <c r="W496" s="1">
        <f>fNotasFiscais[[#This Row],[Data da Coleta]]+fNotasFiscais[[#This Row],[Prazo Contratado]]</f>
        <v>43253</v>
      </c>
      <c r="X496" s="3">
        <f>IF(fNotasFiscais[[#This Row],[Data da Entrega]]&gt;fNotasFiscais[[#This Row],[Data Contratada]],0,1)</f>
        <v>1</v>
      </c>
      <c r="Y496" s="3">
        <f>IF(fNotasFiscais[[#This Row],[Ocorrência]]="",1,0)</f>
        <v>1</v>
      </c>
      <c r="Z496" s="2">
        <f>fNotasFiscais[[#This Row],[On Time]]*fNotasFiscais[[#This Row],[In Full]]</f>
        <v>1</v>
      </c>
      <c r="AA496">
        <f>IF(fNotasFiscais[[#This Row],[Nota Fiscal]]&lt;&gt;"",1,0)</f>
        <v>1</v>
      </c>
    </row>
    <row r="497" spans="1:27" x14ac:dyDescent="0.25">
      <c r="A497" s="1">
        <v>43243</v>
      </c>
      <c r="B497">
        <v>10906</v>
      </c>
      <c r="C497" s="2" t="s">
        <v>52</v>
      </c>
      <c r="D497" s="2" t="s">
        <v>53</v>
      </c>
      <c r="E497" s="2" t="s">
        <v>33</v>
      </c>
      <c r="F497">
        <v>4021</v>
      </c>
      <c r="G497" s="2" t="s">
        <v>85</v>
      </c>
      <c r="H497" s="2" t="s">
        <v>75</v>
      </c>
      <c r="I497" s="2" t="s">
        <v>39</v>
      </c>
      <c r="J497" s="2" t="s">
        <v>28</v>
      </c>
      <c r="K497" s="2" t="s">
        <v>39</v>
      </c>
      <c r="L497">
        <v>527.39</v>
      </c>
      <c r="M497">
        <v>1</v>
      </c>
      <c r="N497">
        <v>1.1200000000000001</v>
      </c>
      <c r="O497">
        <v>6500948</v>
      </c>
      <c r="P497" s="2" t="s">
        <v>29</v>
      </c>
      <c r="Q497" s="2" t="s">
        <v>23</v>
      </c>
      <c r="R497" s="2" t="s">
        <v>30</v>
      </c>
      <c r="S497">
        <v>2</v>
      </c>
      <c r="T497" s="1">
        <v>43243</v>
      </c>
      <c r="U497" s="1">
        <v>43253</v>
      </c>
      <c r="V497" s="2"/>
      <c r="W497" s="1">
        <f>fNotasFiscais[[#This Row],[Data da Coleta]]+fNotasFiscais[[#This Row],[Prazo Contratado]]</f>
        <v>43245</v>
      </c>
      <c r="X497" s="3">
        <f>IF(fNotasFiscais[[#This Row],[Data da Entrega]]&gt;fNotasFiscais[[#This Row],[Data Contratada]],0,1)</f>
        <v>0</v>
      </c>
      <c r="Y497" s="3">
        <f>IF(fNotasFiscais[[#This Row],[Ocorrência]]="",1,0)</f>
        <v>1</v>
      </c>
      <c r="Z497" s="2">
        <f>fNotasFiscais[[#This Row],[On Time]]*fNotasFiscais[[#This Row],[In Full]]</f>
        <v>0</v>
      </c>
      <c r="AA497">
        <f>IF(fNotasFiscais[[#This Row],[Nota Fiscal]]&lt;&gt;"",1,0)</f>
        <v>1</v>
      </c>
    </row>
    <row r="498" spans="1:27" x14ac:dyDescent="0.25">
      <c r="A498" s="1">
        <v>43243</v>
      </c>
      <c r="B498">
        <v>10907</v>
      </c>
      <c r="C498" s="2" t="s">
        <v>31</v>
      </c>
      <c r="D498" s="2" t="s">
        <v>32</v>
      </c>
      <c r="E498" s="2" t="s">
        <v>33</v>
      </c>
      <c r="F498">
        <v>4028</v>
      </c>
      <c r="G498" s="2" t="s">
        <v>95</v>
      </c>
      <c r="H498" s="2" t="s">
        <v>26</v>
      </c>
      <c r="I498" s="2" t="s">
        <v>27</v>
      </c>
      <c r="J498" s="2" t="s">
        <v>28</v>
      </c>
      <c r="K498" s="2" t="s">
        <v>27</v>
      </c>
      <c r="L498">
        <v>684.09</v>
      </c>
      <c r="M498">
        <v>1</v>
      </c>
      <c r="N498">
        <v>0.77600000000000002</v>
      </c>
      <c r="O498">
        <v>6500948</v>
      </c>
      <c r="P498" s="2" t="s">
        <v>29</v>
      </c>
      <c r="Q498" s="2" t="s">
        <v>23</v>
      </c>
      <c r="R498" s="2" t="s">
        <v>30</v>
      </c>
      <c r="S498">
        <v>9</v>
      </c>
      <c r="T498" s="1">
        <v>43243</v>
      </c>
      <c r="U498" s="1">
        <v>43245</v>
      </c>
      <c r="V498" s="2"/>
      <c r="W498" s="1">
        <f>fNotasFiscais[[#This Row],[Data da Coleta]]+fNotasFiscais[[#This Row],[Prazo Contratado]]</f>
        <v>43252</v>
      </c>
      <c r="X498" s="3">
        <f>IF(fNotasFiscais[[#This Row],[Data da Entrega]]&gt;fNotasFiscais[[#This Row],[Data Contratada]],0,1)</f>
        <v>1</v>
      </c>
      <c r="Y498" s="3">
        <f>IF(fNotasFiscais[[#This Row],[Ocorrência]]="",1,0)</f>
        <v>1</v>
      </c>
      <c r="Z498" s="2">
        <f>fNotasFiscais[[#This Row],[On Time]]*fNotasFiscais[[#This Row],[In Full]]</f>
        <v>1</v>
      </c>
      <c r="AA498">
        <f>IF(fNotasFiscais[[#This Row],[Nota Fiscal]]&lt;&gt;"",1,0)</f>
        <v>1</v>
      </c>
    </row>
    <row r="499" spans="1:27" x14ac:dyDescent="0.25">
      <c r="A499" s="1">
        <v>43243</v>
      </c>
      <c r="B499">
        <v>10908</v>
      </c>
      <c r="C499" s="2" t="s">
        <v>54</v>
      </c>
      <c r="D499" s="2" t="s">
        <v>55</v>
      </c>
      <c r="E499" s="2" t="s">
        <v>56</v>
      </c>
      <c r="F499">
        <v>4028</v>
      </c>
      <c r="G499" s="2" t="s">
        <v>95</v>
      </c>
      <c r="H499" s="2" t="s">
        <v>26</v>
      </c>
      <c r="I499" s="2" t="s">
        <v>27</v>
      </c>
      <c r="J499" s="2" t="s">
        <v>28</v>
      </c>
      <c r="K499" s="2" t="s">
        <v>27</v>
      </c>
      <c r="L499">
        <v>10604.14</v>
      </c>
      <c r="M499">
        <v>18</v>
      </c>
      <c r="N499">
        <v>65.087999999999994</v>
      </c>
      <c r="O499">
        <v>6500948</v>
      </c>
      <c r="P499" s="2" t="s">
        <v>29</v>
      </c>
      <c r="Q499" s="2" t="s">
        <v>23</v>
      </c>
      <c r="R499" s="2" t="s">
        <v>30</v>
      </c>
      <c r="S499">
        <v>11</v>
      </c>
      <c r="T499" s="1">
        <v>43243</v>
      </c>
      <c r="U499" s="1">
        <v>43247</v>
      </c>
      <c r="V499" s="2"/>
      <c r="W499" s="1">
        <f>fNotasFiscais[[#This Row],[Data da Coleta]]+fNotasFiscais[[#This Row],[Prazo Contratado]]</f>
        <v>43254</v>
      </c>
      <c r="X499" s="3">
        <f>IF(fNotasFiscais[[#This Row],[Data da Entrega]]&gt;fNotasFiscais[[#This Row],[Data Contratada]],0,1)</f>
        <v>1</v>
      </c>
      <c r="Y499" s="3">
        <f>IF(fNotasFiscais[[#This Row],[Ocorrência]]="",1,0)</f>
        <v>1</v>
      </c>
      <c r="Z499" s="2">
        <f>fNotasFiscais[[#This Row],[On Time]]*fNotasFiscais[[#This Row],[In Full]]</f>
        <v>1</v>
      </c>
      <c r="AA499">
        <f>IF(fNotasFiscais[[#This Row],[Nota Fiscal]]&lt;&gt;"",1,0)</f>
        <v>1</v>
      </c>
    </row>
    <row r="500" spans="1:27" x14ac:dyDescent="0.25">
      <c r="A500" s="1">
        <v>43245</v>
      </c>
      <c r="B500">
        <v>10909</v>
      </c>
      <c r="C500" s="2" t="s">
        <v>22</v>
      </c>
      <c r="D500" s="2" t="s">
        <v>23</v>
      </c>
      <c r="E500" s="2" t="s">
        <v>24</v>
      </c>
      <c r="F500">
        <v>4022</v>
      </c>
      <c r="G500" s="2" t="s">
        <v>86</v>
      </c>
      <c r="H500" s="2" t="s">
        <v>87</v>
      </c>
      <c r="I500" s="2" t="s">
        <v>27</v>
      </c>
      <c r="J500" s="2" t="s">
        <v>28</v>
      </c>
      <c r="K500" s="2" t="s">
        <v>27</v>
      </c>
      <c r="L500">
        <v>1748.44</v>
      </c>
      <c r="M500">
        <v>1</v>
      </c>
      <c r="N500">
        <v>1.1200000000000001</v>
      </c>
      <c r="O500">
        <v>6500948</v>
      </c>
      <c r="P500" s="2" t="s">
        <v>29</v>
      </c>
      <c r="Q500" s="2" t="s">
        <v>23</v>
      </c>
      <c r="R500" s="2" t="s">
        <v>30</v>
      </c>
      <c r="S500">
        <v>11</v>
      </c>
      <c r="T500" s="1">
        <v>43245</v>
      </c>
      <c r="U500" s="1">
        <v>43254</v>
      </c>
      <c r="V500" s="2"/>
      <c r="W500" s="1">
        <f>fNotasFiscais[[#This Row],[Data da Coleta]]+fNotasFiscais[[#This Row],[Prazo Contratado]]</f>
        <v>43256</v>
      </c>
      <c r="X500" s="3">
        <f>IF(fNotasFiscais[[#This Row],[Data da Entrega]]&gt;fNotasFiscais[[#This Row],[Data Contratada]],0,1)</f>
        <v>1</v>
      </c>
      <c r="Y500" s="3">
        <f>IF(fNotasFiscais[[#This Row],[Ocorrência]]="",1,0)</f>
        <v>1</v>
      </c>
      <c r="Z500" s="2">
        <f>fNotasFiscais[[#This Row],[On Time]]*fNotasFiscais[[#This Row],[In Full]]</f>
        <v>1</v>
      </c>
      <c r="AA500">
        <f>IF(fNotasFiscais[[#This Row],[Nota Fiscal]]&lt;&gt;"",1,0)</f>
        <v>1</v>
      </c>
    </row>
    <row r="501" spans="1:27" x14ac:dyDescent="0.25">
      <c r="A501" s="1">
        <v>43246</v>
      </c>
      <c r="B501">
        <v>10910</v>
      </c>
      <c r="C501" s="2" t="s">
        <v>40</v>
      </c>
      <c r="D501" s="2" t="s">
        <v>41</v>
      </c>
      <c r="E501" s="2" t="s">
        <v>33</v>
      </c>
      <c r="F501">
        <v>4096</v>
      </c>
      <c r="G501" s="2" t="s">
        <v>178</v>
      </c>
      <c r="H501" s="2" t="s">
        <v>44</v>
      </c>
      <c r="I501" s="2" t="s">
        <v>45</v>
      </c>
      <c r="J501" s="2" t="s">
        <v>60</v>
      </c>
      <c r="K501" s="2" t="s">
        <v>45</v>
      </c>
      <c r="L501">
        <v>915.89</v>
      </c>
      <c r="M501">
        <v>2</v>
      </c>
      <c r="N501">
        <v>1.3640000000000001</v>
      </c>
      <c r="O501">
        <v>6140092</v>
      </c>
      <c r="P501" s="2" t="s">
        <v>137</v>
      </c>
      <c r="Q501" s="2" t="s">
        <v>138</v>
      </c>
      <c r="R501" s="2" t="s">
        <v>30</v>
      </c>
      <c r="S501">
        <v>7</v>
      </c>
      <c r="T501" s="1">
        <v>43246</v>
      </c>
      <c r="U501" s="1">
        <v>43255</v>
      </c>
      <c r="V501" s="2"/>
      <c r="W501" s="1">
        <f>fNotasFiscais[[#This Row],[Data da Coleta]]+fNotasFiscais[[#This Row],[Prazo Contratado]]</f>
        <v>43253</v>
      </c>
      <c r="X501" s="3">
        <f>IF(fNotasFiscais[[#This Row],[Data da Entrega]]&gt;fNotasFiscais[[#This Row],[Data Contratada]],0,1)</f>
        <v>0</v>
      </c>
      <c r="Y501" s="3">
        <f>IF(fNotasFiscais[[#This Row],[Ocorrência]]="",1,0)</f>
        <v>1</v>
      </c>
      <c r="Z501" s="2">
        <f>fNotasFiscais[[#This Row],[On Time]]*fNotasFiscais[[#This Row],[In Full]]</f>
        <v>0</v>
      </c>
      <c r="AA501">
        <f>IF(fNotasFiscais[[#This Row],[Nota Fiscal]]&lt;&gt;"",1,0)</f>
        <v>1</v>
      </c>
    </row>
    <row r="502" spans="1:27" x14ac:dyDescent="0.25">
      <c r="A502" s="1">
        <v>43246</v>
      </c>
      <c r="B502">
        <v>10911</v>
      </c>
      <c r="C502" s="2" t="s">
        <v>52</v>
      </c>
      <c r="D502" s="2" t="s">
        <v>53</v>
      </c>
      <c r="E502" s="2" t="s">
        <v>33</v>
      </c>
      <c r="F502">
        <v>4017</v>
      </c>
      <c r="G502" s="2" t="s">
        <v>74</v>
      </c>
      <c r="H502" s="2" t="s">
        <v>75</v>
      </c>
      <c r="I502" s="2" t="s">
        <v>39</v>
      </c>
      <c r="J502" s="2" t="s">
        <v>28</v>
      </c>
      <c r="K502" s="2" t="s">
        <v>39</v>
      </c>
      <c r="L502">
        <v>727.46</v>
      </c>
      <c r="M502">
        <v>1</v>
      </c>
      <c r="N502">
        <v>2.202</v>
      </c>
      <c r="O502">
        <v>6500948</v>
      </c>
      <c r="P502" s="2" t="s">
        <v>29</v>
      </c>
      <c r="Q502" s="2" t="s">
        <v>23</v>
      </c>
      <c r="R502" s="2" t="s">
        <v>30</v>
      </c>
      <c r="S502">
        <v>2</v>
      </c>
      <c r="T502" s="1">
        <v>43246</v>
      </c>
      <c r="U502" s="1">
        <v>43250</v>
      </c>
      <c r="V502" s="2"/>
      <c r="W502" s="1">
        <f>fNotasFiscais[[#This Row],[Data da Coleta]]+fNotasFiscais[[#This Row],[Prazo Contratado]]</f>
        <v>43248</v>
      </c>
      <c r="X502" s="3">
        <f>IF(fNotasFiscais[[#This Row],[Data da Entrega]]&gt;fNotasFiscais[[#This Row],[Data Contratada]],0,1)</f>
        <v>0</v>
      </c>
      <c r="Y502" s="3">
        <f>IF(fNotasFiscais[[#This Row],[Ocorrência]]="",1,0)</f>
        <v>1</v>
      </c>
      <c r="Z502" s="2">
        <f>fNotasFiscais[[#This Row],[On Time]]*fNotasFiscais[[#This Row],[In Full]]</f>
        <v>0</v>
      </c>
      <c r="AA502">
        <f>IF(fNotasFiscais[[#This Row],[Nota Fiscal]]&lt;&gt;"",1,0)</f>
        <v>1</v>
      </c>
    </row>
    <row r="503" spans="1:27" x14ac:dyDescent="0.25">
      <c r="A503" s="1">
        <v>43249</v>
      </c>
      <c r="B503">
        <v>10912</v>
      </c>
      <c r="C503" s="2" t="s">
        <v>40</v>
      </c>
      <c r="D503" s="2" t="s">
        <v>41</v>
      </c>
      <c r="E503" s="2" t="s">
        <v>33</v>
      </c>
      <c r="F503">
        <v>4069</v>
      </c>
      <c r="G503" s="2" t="s">
        <v>135</v>
      </c>
      <c r="H503" s="2" t="s">
        <v>47</v>
      </c>
      <c r="I503" s="2" t="s">
        <v>48</v>
      </c>
      <c r="J503" s="2" t="s">
        <v>49</v>
      </c>
      <c r="K503" s="2" t="s">
        <v>48</v>
      </c>
      <c r="L503">
        <v>3098.95</v>
      </c>
      <c r="M503">
        <v>6</v>
      </c>
      <c r="N503">
        <v>30.361999999999998</v>
      </c>
      <c r="O503">
        <v>6100231</v>
      </c>
      <c r="P503" s="2" t="s">
        <v>50</v>
      </c>
      <c r="Q503" s="2" t="s">
        <v>51</v>
      </c>
      <c r="R503" s="2" t="s">
        <v>30</v>
      </c>
      <c r="S503">
        <v>9</v>
      </c>
      <c r="T503" s="1">
        <v>43249</v>
      </c>
      <c r="U503" s="1">
        <v>43251</v>
      </c>
      <c r="V503" s="2"/>
      <c r="W503" s="1">
        <f>fNotasFiscais[[#This Row],[Data da Coleta]]+fNotasFiscais[[#This Row],[Prazo Contratado]]</f>
        <v>43258</v>
      </c>
      <c r="X503" s="3">
        <f>IF(fNotasFiscais[[#This Row],[Data da Entrega]]&gt;fNotasFiscais[[#This Row],[Data Contratada]],0,1)</f>
        <v>1</v>
      </c>
      <c r="Y503" s="3">
        <f>IF(fNotasFiscais[[#This Row],[Ocorrência]]="",1,0)</f>
        <v>1</v>
      </c>
      <c r="Z503" s="2">
        <f>fNotasFiscais[[#This Row],[On Time]]*fNotasFiscais[[#This Row],[In Full]]</f>
        <v>1</v>
      </c>
      <c r="AA503">
        <f>IF(fNotasFiscais[[#This Row],[Nota Fiscal]]&lt;&gt;"",1,0)</f>
        <v>1</v>
      </c>
    </row>
    <row r="504" spans="1:27" x14ac:dyDescent="0.25">
      <c r="A504" s="1">
        <v>43250</v>
      </c>
      <c r="B504">
        <v>10913</v>
      </c>
      <c r="C504" s="2" t="s">
        <v>52</v>
      </c>
      <c r="D504" s="2" t="s">
        <v>53</v>
      </c>
      <c r="E504" s="2" t="s">
        <v>33</v>
      </c>
      <c r="F504">
        <v>4033</v>
      </c>
      <c r="G504" s="2" t="s">
        <v>109</v>
      </c>
      <c r="H504" s="2" t="s">
        <v>51</v>
      </c>
      <c r="I504" s="2" t="s">
        <v>73</v>
      </c>
      <c r="J504" s="2" t="s">
        <v>49</v>
      </c>
      <c r="K504" s="2" t="s">
        <v>73</v>
      </c>
      <c r="L504">
        <v>639.53</v>
      </c>
      <c r="M504">
        <v>1</v>
      </c>
      <c r="N504">
        <v>3.6629999999999998</v>
      </c>
      <c r="O504">
        <v>6100231</v>
      </c>
      <c r="P504" s="2" t="s">
        <v>50</v>
      </c>
      <c r="Q504" s="2" t="s">
        <v>51</v>
      </c>
      <c r="R504" s="2" t="s">
        <v>30</v>
      </c>
      <c r="S504">
        <v>9</v>
      </c>
      <c r="T504" s="1">
        <v>43250</v>
      </c>
      <c r="U504" s="1">
        <v>43258</v>
      </c>
      <c r="V504" s="2"/>
      <c r="W504" s="1">
        <f>fNotasFiscais[[#This Row],[Data da Coleta]]+fNotasFiscais[[#This Row],[Prazo Contratado]]</f>
        <v>43259</v>
      </c>
      <c r="X504" s="3">
        <f>IF(fNotasFiscais[[#This Row],[Data da Entrega]]&gt;fNotasFiscais[[#This Row],[Data Contratada]],0,1)</f>
        <v>1</v>
      </c>
      <c r="Y504" s="3">
        <f>IF(fNotasFiscais[[#This Row],[Ocorrência]]="",1,0)</f>
        <v>1</v>
      </c>
      <c r="Z504" s="2">
        <f>fNotasFiscais[[#This Row],[On Time]]*fNotasFiscais[[#This Row],[In Full]]</f>
        <v>1</v>
      </c>
      <c r="AA504">
        <f>IF(fNotasFiscais[[#This Row],[Nota Fiscal]]&lt;&gt;"",1,0)</f>
        <v>1</v>
      </c>
    </row>
    <row r="505" spans="1:27" x14ac:dyDescent="0.25">
      <c r="A505" s="1">
        <v>43250</v>
      </c>
      <c r="B505">
        <v>10914</v>
      </c>
      <c r="C505" s="2" t="s">
        <v>40</v>
      </c>
      <c r="D505" s="2" t="s">
        <v>41</v>
      </c>
      <c r="E505" s="2" t="s">
        <v>33</v>
      </c>
      <c r="F505">
        <v>4033</v>
      </c>
      <c r="G505" s="2" t="s">
        <v>109</v>
      </c>
      <c r="H505" s="2" t="s">
        <v>51</v>
      </c>
      <c r="I505" s="2" t="s">
        <v>73</v>
      </c>
      <c r="J505" s="2" t="s">
        <v>49</v>
      </c>
      <c r="K505" s="2" t="s">
        <v>73</v>
      </c>
      <c r="L505">
        <v>413.71</v>
      </c>
      <c r="M505">
        <v>1</v>
      </c>
      <c r="N505">
        <v>0.79200000000000004</v>
      </c>
      <c r="O505">
        <v>6100231</v>
      </c>
      <c r="P505" s="2" t="s">
        <v>50</v>
      </c>
      <c r="Q505" s="2" t="s">
        <v>51</v>
      </c>
      <c r="R505" s="2" t="s">
        <v>30</v>
      </c>
      <c r="S505">
        <v>5</v>
      </c>
      <c r="T505" s="1">
        <v>43250</v>
      </c>
      <c r="U505" s="1">
        <v>43255</v>
      </c>
      <c r="V505" s="2"/>
      <c r="W505" s="1">
        <f>fNotasFiscais[[#This Row],[Data da Coleta]]+fNotasFiscais[[#This Row],[Prazo Contratado]]</f>
        <v>43255</v>
      </c>
      <c r="X505" s="3">
        <f>IF(fNotasFiscais[[#This Row],[Data da Entrega]]&gt;fNotasFiscais[[#This Row],[Data Contratada]],0,1)</f>
        <v>1</v>
      </c>
      <c r="Y505" s="3">
        <f>IF(fNotasFiscais[[#This Row],[Ocorrência]]="",1,0)</f>
        <v>1</v>
      </c>
      <c r="Z505" s="2">
        <f>fNotasFiscais[[#This Row],[On Time]]*fNotasFiscais[[#This Row],[In Full]]</f>
        <v>1</v>
      </c>
      <c r="AA505">
        <f>IF(fNotasFiscais[[#This Row],[Nota Fiscal]]&lt;&gt;"",1,0)</f>
        <v>1</v>
      </c>
    </row>
    <row r="506" spans="1:27" x14ac:dyDescent="0.25">
      <c r="A506" s="1">
        <v>43251</v>
      </c>
      <c r="B506">
        <v>10915</v>
      </c>
      <c r="C506" s="2" t="s">
        <v>34</v>
      </c>
      <c r="D506" s="2" t="s">
        <v>35</v>
      </c>
      <c r="E506" s="2" t="s">
        <v>36</v>
      </c>
      <c r="F506">
        <v>4013</v>
      </c>
      <c r="G506" s="2" t="s">
        <v>37</v>
      </c>
      <c r="H506" s="2" t="s">
        <v>38</v>
      </c>
      <c r="I506" s="2" t="s">
        <v>39</v>
      </c>
      <c r="J506" s="2" t="s">
        <v>28</v>
      </c>
      <c r="K506" s="2" t="s">
        <v>39</v>
      </c>
      <c r="L506">
        <v>723.17</v>
      </c>
      <c r="M506">
        <v>1</v>
      </c>
      <c r="N506">
        <v>1.101</v>
      </c>
      <c r="O506">
        <v>6500948</v>
      </c>
      <c r="P506" s="2" t="s">
        <v>29</v>
      </c>
      <c r="Q506" s="2" t="s">
        <v>23</v>
      </c>
      <c r="R506" s="2" t="s">
        <v>30</v>
      </c>
      <c r="S506">
        <v>8</v>
      </c>
      <c r="T506" s="1">
        <v>43251</v>
      </c>
      <c r="U506" s="1">
        <v>43258</v>
      </c>
      <c r="V506" s="2"/>
      <c r="W506" s="1">
        <f>fNotasFiscais[[#This Row],[Data da Coleta]]+fNotasFiscais[[#This Row],[Prazo Contratado]]</f>
        <v>43259</v>
      </c>
      <c r="X506" s="3">
        <f>IF(fNotasFiscais[[#This Row],[Data da Entrega]]&gt;fNotasFiscais[[#This Row],[Data Contratada]],0,1)</f>
        <v>1</v>
      </c>
      <c r="Y506" s="3">
        <f>IF(fNotasFiscais[[#This Row],[Ocorrência]]="",1,0)</f>
        <v>1</v>
      </c>
      <c r="Z506" s="2">
        <f>fNotasFiscais[[#This Row],[On Time]]*fNotasFiscais[[#This Row],[In Full]]</f>
        <v>1</v>
      </c>
      <c r="AA506">
        <f>IF(fNotasFiscais[[#This Row],[Nota Fiscal]]&lt;&gt;"",1,0)</f>
        <v>1</v>
      </c>
    </row>
    <row r="507" spans="1:27" x14ac:dyDescent="0.25">
      <c r="A507" s="1">
        <v>43252</v>
      </c>
      <c r="B507">
        <v>10916</v>
      </c>
      <c r="C507" s="2" t="s">
        <v>43</v>
      </c>
      <c r="D507" s="2" t="s">
        <v>44</v>
      </c>
      <c r="E507" s="2" t="s">
        <v>45</v>
      </c>
      <c r="F507">
        <v>4097</v>
      </c>
      <c r="G507" s="2" t="s">
        <v>179</v>
      </c>
      <c r="H507" s="2" t="s">
        <v>165</v>
      </c>
      <c r="I507" s="2" t="s">
        <v>24</v>
      </c>
      <c r="J507" s="2" t="s">
        <v>28</v>
      </c>
      <c r="K507" s="2" t="s">
        <v>24</v>
      </c>
      <c r="L507">
        <v>2247.5100000000002</v>
      </c>
      <c r="M507">
        <v>4</v>
      </c>
      <c r="N507">
        <v>2.74</v>
      </c>
      <c r="O507">
        <v>6500948</v>
      </c>
      <c r="P507" s="2" t="s">
        <v>29</v>
      </c>
      <c r="Q507" s="2" t="s">
        <v>23</v>
      </c>
      <c r="R507" s="2" t="s">
        <v>30</v>
      </c>
      <c r="S507">
        <v>6</v>
      </c>
      <c r="T507" s="1">
        <v>43252</v>
      </c>
      <c r="U507" s="1">
        <v>43258</v>
      </c>
      <c r="V507" s="2"/>
      <c r="W507" s="1">
        <f>fNotasFiscais[[#This Row],[Data da Coleta]]+fNotasFiscais[[#This Row],[Prazo Contratado]]</f>
        <v>43258</v>
      </c>
      <c r="X507" s="3">
        <f>IF(fNotasFiscais[[#This Row],[Data da Entrega]]&gt;fNotasFiscais[[#This Row],[Data Contratada]],0,1)</f>
        <v>1</v>
      </c>
      <c r="Y507" s="3">
        <f>IF(fNotasFiscais[[#This Row],[Ocorrência]]="",1,0)</f>
        <v>1</v>
      </c>
      <c r="Z507" s="2">
        <f>fNotasFiscais[[#This Row],[On Time]]*fNotasFiscais[[#This Row],[In Full]]</f>
        <v>1</v>
      </c>
      <c r="AA507">
        <f>IF(fNotasFiscais[[#This Row],[Nota Fiscal]]&lt;&gt;"",1,0)</f>
        <v>1</v>
      </c>
    </row>
    <row r="508" spans="1:27" x14ac:dyDescent="0.25">
      <c r="A508" s="1">
        <v>43252</v>
      </c>
      <c r="B508">
        <v>10917</v>
      </c>
      <c r="C508" s="2" t="s">
        <v>22</v>
      </c>
      <c r="D508" s="2" t="s">
        <v>23</v>
      </c>
      <c r="E508" s="2" t="s">
        <v>24</v>
      </c>
      <c r="F508">
        <v>4098</v>
      </c>
      <c r="G508" s="2" t="s">
        <v>180</v>
      </c>
      <c r="H508" s="2" t="s">
        <v>167</v>
      </c>
      <c r="I508" s="2" t="s">
        <v>168</v>
      </c>
      <c r="J508" s="2" t="s">
        <v>169</v>
      </c>
      <c r="K508" s="2" t="s">
        <v>168</v>
      </c>
      <c r="L508">
        <v>2678.17</v>
      </c>
      <c r="M508">
        <v>2</v>
      </c>
      <c r="N508">
        <v>6.82</v>
      </c>
      <c r="O508">
        <v>6900304</v>
      </c>
      <c r="P508" s="2" t="s">
        <v>170</v>
      </c>
      <c r="Q508" s="2" t="s">
        <v>171</v>
      </c>
      <c r="R508" s="2" t="s">
        <v>30</v>
      </c>
      <c r="S508">
        <v>11</v>
      </c>
      <c r="T508" s="1">
        <v>43252</v>
      </c>
      <c r="U508" s="1">
        <v>43260</v>
      </c>
      <c r="V508" s="2"/>
      <c r="W508" s="1">
        <f>fNotasFiscais[[#This Row],[Data da Coleta]]+fNotasFiscais[[#This Row],[Prazo Contratado]]</f>
        <v>43263</v>
      </c>
      <c r="X508" s="3">
        <f>IF(fNotasFiscais[[#This Row],[Data da Entrega]]&gt;fNotasFiscais[[#This Row],[Data Contratada]],0,1)</f>
        <v>1</v>
      </c>
      <c r="Y508" s="3">
        <f>IF(fNotasFiscais[[#This Row],[Ocorrência]]="",1,0)</f>
        <v>1</v>
      </c>
      <c r="Z508" s="2">
        <f>fNotasFiscais[[#This Row],[On Time]]*fNotasFiscais[[#This Row],[In Full]]</f>
        <v>1</v>
      </c>
      <c r="AA508">
        <f>IF(fNotasFiscais[[#This Row],[Nota Fiscal]]&lt;&gt;"",1,0)</f>
        <v>1</v>
      </c>
    </row>
    <row r="509" spans="1:27" x14ac:dyDescent="0.25">
      <c r="A509" s="1">
        <v>43252</v>
      </c>
      <c r="B509">
        <v>10918</v>
      </c>
      <c r="C509" s="2" t="s">
        <v>22</v>
      </c>
      <c r="D509" s="2" t="s">
        <v>23</v>
      </c>
      <c r="E509" s="2" t="s">
        <v>24</v>
      </c>
      <c r="F509">
        <v>4099</v>
      </c>
      <c r="G509" s="2" t="s">
        <v>181</v>
      </c>
      <c r="H509" s="2" t="s">
        <v>165</v>
      </c>
      <c r="I509" s="2" t="s">
        <v>24</v>
      </c>
      <c r="J509" s="2" t="s">
        <v>28</v>
      </c>
      <c r="K509" s="2" t="s">
        <v>24</v>
      </c>
      <c r="L509">
        <v>37515.75</v>
      </c>
      <c r="M509">
        <v>54</v>
      </c>
      <c r="N509">
        <v>183.702</v>
      </c>
      <c r="O509">
        <v>6500948</v>
      </c>
      <c r="P509" s="2" t="s">
        <v>29</v>
      </c>
      <c r="Q509" s="2" t="s">
        <v>23</v>
      </c>
      <c r="R509" s="2" t="s">
        <v>30</v>
      </c>
      <c r="S509">
        <v>2</v>
      </c>
      <c r="T509" s="1">
        <v>43252</v>
      </c>
      <c r="U509" s="1">
        <v>43256</v>
      </c>
      <c r="V509" s="2"/>
      <c r="W509" s="1">
        <f>fNotasFiscais[[#This Row],[Data da Coleta]]+fNotasFiscais[[#This Row],[Prazo Contratado]]</f>
        <v>43254</v>
      </c>
      <c r="X509" s="3">
        <f>IF(fNotasFiscais[[#This Row],[Data da Entrega]]&gt;fNotasFiscais[[#This Row],[Data Contratada]],0,1)</f>
        <v>0</v>
      </c>
      <c r="Y509" s="3">
        <f>IF(fNotasFiscais[[#This Row],[Ocorrência]]="",1,0)</f>
        <v>1</v>
      </c>
      <c r="Z509" s="2">
        <f>fNotasFiscais[[#This Row],[On Time]]*fNotasFiscais[[#This Row],[In Full]]</f>
        <v>0</v>
      </c>
      <c r="AA509">
        <f>IF(fNotasFiscais[[#This Row],[Nota Fiscal]]&lt;&gt;"",1,0)</f>
        <v>1</v>
      </c>
    </row>
    <row r="510" spans="1:27" x14ac:dyDescent="0.25">
      <c r="A510" s="1">
        <v>43252</v>
      </c>
      <c r="B510">
        <v>10919</v>
      </c>
      <c r="C510" s="2" t="s">
        <v>34</v>
      </c>
      <c r="D510" s="2" t="s">
        <v>35</v>
      </c>
      <c r="E510" s="2" t="s">
        <v>36</v>
      </c>
      <c r="F510">
        <v>4041</v>
      </c>
      <c r="G510" s="2" t="s">
        <v>83</v>
      </c>
      <c r="H510" s="2" t="s">
        <v>51</v>
      </c>
      <c r="I510" s="2" t="s">
        <v>73</v>
      </c>
      <c r="J510" s="2" t="s">
        <v>49</v>
      </c>
      <c r="K510" s="2" t="s">
        <v>73</v>
      </c>
      <c r="L510">
        <v>2156.33</v>
      </c>
      <c r="M510">
        <v>1</v>
      </c>
      <c r="N510">
        <v>1.1200000000000001</v>
      </c>
      <c r="O510">
        <v>6100231</v>
      </c>
      <c r="P510" s="2" t="s">
        <v>50</v>
      </c>
      <c r="Q510" s="2" t="s">
        <v>51</v>
      </c>
      <c r="R510" s="2" t="s">
        <v>30</v>
      </c>
      <c r="S510">
        <v>3</v>
      </c>
      <c r="T510" s="1">
        <v>43252</v>
      </c>
      <c r="U510" s="1">
        <v>43259</v>
      </c>
      <c r="V510" s="2"/>
      <c r="W510" s="1">
        <f>fNotasFiscais[[#This Row],[Data da Coleta]]+fNotasFiscais[[#This Row],[Prazo Contratado]]</f>
        <v>43255</v>
      </c>
      <c r="X510" s="3">
        <f>IF(fNotasFiscais[[#This Row],[Data da Entrega]]&gt;fNotasFiscais[[#This Row],[Data Contratada]],0,1)</f>
        <v>0</v>
      </c>
      <c r="Y510" s="3">
        <f>IF(fNotasFiscais[[#This Row],[Ocorrência]]="",1,0)</f>
        <v>1</v>
      </c>
      <c r="Z510" s="2">
        <f>fNotasFiscais[[#This Row],[On Time]]*fNotasFiscais[[#This Row],[In Full]]</f>
        <v>0</v>
      </c>
      <c r="AA510">
        <f>IF(fNotasFiscais[[#This Row],[Nota Fiscal]]&lt;&gt;"",1,0)</f>
        <v>1</v>
      </c>
    </row>
    <row r="511" spans="1:27" x14ac:dyDescent="0.25">
      <c r="A511" s="1">
        <v>43252</v>
      </c>
      <c r="B511">
        <v>10920</v>
      </c>
      <c r="C511" s="2" t="s">
        <v>31</v>
      </c>
      <c r="D511" s="2" t="s">
        <v>32</v>
      </c>
      <c r="E511" s="2" t="s">
        <v>33</v>
      </c>
      <c r="F511">
        <v>4100</v>
      </c>
      <c r="G511" s="2" t="s">
        <v>182</v>
      </c>
      <c r="H511" s="2" t="s">
        <v>183</v>
      </c>
      <c r="I511" s="2" t="s">
        <v>33</v>
      </c>
      <c r="J511" s="2" t="s">
        <v>60</v>
      </c>
      <c r="K511" s="2" t="s">
        <v>33</v>
      </c>
      <c r="L511">
        <v>13.59</v>
      </c>
      <c r="M511">
        <v>1</v>
      </c>
      <c r="N511">
        <v>3.3000000000000002E-2</v>
      </c>
      <c r="O511">
        <v>6400835</v>
      </c>
      <c r="P511" s="2" t="s">
        <v>130</v>
      </c>
      <c r="Q511" s="2" t="s">
        <v>131</v>
      </c>
      <c r="R511" s="2" t="s">
        <v>30</v>
      </c>
      <c r="S511">
        <v>8</v>
      </c>
      <c r="T511" s="1">
        <v>43252</v>
      </c>
      <c r="U511" s="1">
        <v>43256</v>
      </c>
      <c r="V511" s="2"/>
      <c r="W511" s="1">
        <f>fNotasFiscais[[#This Row],[Data da Coleta]]+fNotasFiscais[[#This Row],[Prazo Contratado]]</f>
        <v>43260</v>
      </c>
      <c r="X511" s="3">
        <f>IF(fNotasFiscais[[#This Row],[Data da Entrega]]&gt;fNotasFiscais[[#This Row],[Data Contratada]],0,1)</f>
        <v>1</v>
      </c>
      <c r="Y511" s="3">
        <f>IF(fNotasFiscais[[#This Row],[Ocorrência]]="",1,0)</f>
        <v>1</v>
      </c>
      <c r="Z511" s="2">
        <f>fNotasFiscais[[#This Row],[On Time]]*fNotasFiscais[[#This Row],[In Full]]</f>
        <v>1</v>
      </c>
      <c r="AA511">
        <f>IF(fNotasFiscais[[#This Row],[Nota Fiscal]]&lt;&gt;"",1,0)</f>
        <v>1</v>
      </c>
    </row>
    <row r="512" spans="1:27" x14ac:dyDescent="0.25">
      <c r="A512" s="1">
        <v>43252</v>
      </c>
      <c r="B512">
        <v>10921</v>
      </c>
      <c r="C512" s="2" t="s">
        <v>22</v>
      </c>
      <c r="D512" s="2" t="s">
        <v>23</v>
      </c>
      <c r="E512" s="2" t="s">
        <v>24</v>
      </c>
      <c r="F512">
        <v>4101</v>
      </c>
      <c r="G512" s="2" t="s">
        <v>184</v>
      </c>
      <c r="H512" s="2" t="s">
        <v>183</v>
      </c>
      <c r="I512" s="2" t="s">
        <v>33</v>
      </c>
      <c r="J512" s="2" t="s">
        <v>60</v>
      </c>
      <c r="K512" s="2" t="s">
        <v>33</v>
      </c>
      <c r="L512">
        <v>3248.73</v>
      </c>
      <c r="M512">
        <v>6</v>
      </c>
      <c r="N512">
        <v>18.068999999999999</v>
      </c>
      <c r="O512">
        <v>6400835</v>
      </c>
      <c r="P512" s="2" t="s">
        <v>130</v>
      </c>
      <c r="Q512" s="2" t="s">
        <v>131</v>
      </c>
      <c r="R512" s="2" t="s">
        <v>30</v>
      </c>
      <c r="S512">
        <v>8</v>
      </c>
      <c r="T512" s="1">
        <v>43252</v>
      </c>
      <c r="U512" s="1">
        <v>43253</v>
      </c>
      <c r="V512" s="2"/>
      <c r="W512" s="1">
        <f>fNotasFiscais[[#This Row],[Data da Coleta]]+fNotasFiscais[[#This Row],[Prazo Contratado]]</f>
        <v>43260</v>
      </c>
      <c r="X512" s="3">
        <f>IF(fNotasFiscais[[#This Row],[Data da Entrega]]&gt;fNotasFiscais[[#This Row],[Data Contratada]],0,1)</f>
        <v>1</v>
      </c>
      <c r="Y512" s="3">
        <f>IF(fNotasFiscais[[#This Row],[Ocorrência]]="",1,0)</f>
        <v>1</v>
      </c>
      <c r="Z512" s="2">
        <f>fNotasFiscais[[#This Row],[On Time]]*fNotasFiscais[[#This Row],[In Full]]</f>
        <v>1</v>
      </c>
      <c r="AA512">
        <f>IF(fNotasFiscais[[#This Row],[Nota Fiscal]]&lt;&gt;"",1,0)</f>
        <v>1</v>
      </c>
    </row>
    <row r="513" spans="1:27" x14ac:dyDescent="0.25">
      <c r="A513" s="1">
        <v>43252</v>
      </c>
      <c r="B513">
        <v>10922</v>
      </c>
      <c r="C513" s="2" t="s">
        <v>52</v>
      </c>
      <c r="D513" s="2" t="s">
        <v>53</v>
      </c>
      <c r="E513" s="2" t="s">
        <v>33</v>
      </c>
      <c r="F513">
        <v>4102</v>
      </c>
      <c r="G513" s="2" t="s">
        <v>185</v>
      </c>
      <c r="H513" s="2" t="s">
        <v>173</v>
      </c>
      <c r="I513" s="2" t="s">
        <v>174</v>
      </c>
      <c r="J513" s="2" t="s">
        <v>175</v>
      </c>
      <c r="K513" s="2" t="s">
        <v>174</v>
      </c>
      <c r="L513">
        <v>1758.74</v>
      </c>
      <c r="M513">
        <v>1</v>
      </c>
      <c r="N513">
        <v>1.76</v>
      </c>
      <c r="O513">
        <v>6700091</v>
      </c>
      <c r="P513" s="2" t="s">
        <v>176</v>
      </c>
      <c r="Q513" s="2" t="s">
        <v>173</v>
      </c>
      <c r="R513" s="2" t="s">
        <v>30</v>
      </c>
      <c r="S513">
        <v>1</v>
      </c>
      <c r="T513" s="1">
        <v>43252</v>
      </c>
      <c r="U513" s="1">
        <v>43255</v>
      </c>
      <c r="V513" s="2"/>
      <c r="W513" s="1">
        <f>fNotasFiscais[[#This Row],[Data da Coleta]]+fNotasFiscais[[#This Row],[Prazo Contratado]]</f>
        <v>43253</v>
      </c>
      <c r="X513" s="3">
        <f>IF(fNotasFiscais[[#This Row],[Data da Entrega]]&gt;fNotasFiscais[[#This Row],[Data Contratada]],0,1)</f>
        <v>0</v>
      </c>
      <c r="Y513" s="3">
        <f>IF(fNotasFiscais[[#This Row],[Ocorrência]]="",1,0)</f>
        <v>1</v>
      </c>
      <c r="Z513" s="2">
        <f>fNotasFiscais[[#This Row],[On Time]]*fNotasFiscais[[#This Row],[In Full]]</f>
        <v>0</v>
      </c>
      <c r="AA513">
        <f>IF(fNotasFiscais[[#This Row],[Nota Fiscal]]&lt;&gt;"",1,0)</f>
        <v>1</v>
      </c>
    </row>
    <row r="514" spans="1:27" x14ac:dyDescent="0.25">
      <c r="A514" s="1">
        <v>43253</v>
      </c>
      <c r="B514">
        <v>10923</v>
      </c>
      <c r="C514" s="2" t="s">
        <v>54</v>
      </c>
      <c r="D514" s="2" t="s">
        <v>55</v>
      </c>
      <c r="E514" s="2" t="s">
        <v>56</v>
      </c>
      <c r="F514">
        <v>4022</v>
      </c>
      <c r="G514" s="2" t="s">
        <v>86</v>
      </c>
      <c r="H514" s="2" t="s">
        <v>87</v>
      </c>
      <c r="I514" s="2" t="s">
        <v>27</v>
      </c>
      <c r="J514" s="2" t="s">
        <v>28</v>
      </c>
      <c r="K514" s="2" t="s">
        <v>27</v>
      </c>
      <c r="L514">
        <v>1577.68</v>
      </c>
      <c r="M514">
        <v>2</v>
      </c>
      <c r="N514">
        <v>7.04</v>
      </c>
      <c r="O514">
        <v>6500948</v>
      </c>
      <c r="P514" s="2" t="s">
        <v>29</v>
      </c>
      <c r="Q514" s="2" t="s">
        <v>23</v>
      </c>
      <c r="R514" s="2" t="s">
        <v>30</v>
      </c>
      <c r="S514">
        <v>12</v>
      </c>
      <c r="T514" s="1">
        <v>43253</v>
      </c>
      <c r="U514" s="1">
        <v>43259</v>
      </c>
      <c r="V514" s="2"/>
      <c r="W514" s="1">
        <f>fNotasFiscais[[#This Row],[Data da Coleta]]+fNotasFiscais[[#This Row],[Prazo Contratado]]</f>
        <v>43265</v>
      </c>
      <c r="X514" s="3">
        <f>IF(fNotasFiscais[[#This Row],[Data da Entrega]]&gt;fNotasFiscais[[#This Row],[Data Contratada]],0,1)</f>
        <v>1</v>
      </c>
      <c r="Y514" s="3">
        <f>IF(fNotasFiscais[[#This Row],[Ocorrência]]="",1,0)</f>
        <v>1</v>
      </c>
      <c r="Z514" s="2">
        <f>fNotasFiscais[[#This Row],[On Time]]*fNotasFiscais[[#This Row],[In Full]]</f>
        <v>1</v>
      </c>
      <c r="AA514">
        <f>IF(fNotasFiscais[[#This Row],[Nota Fiscal]]&lt;&gt;"",1,0)</f>
        <v>1</v>
      </c>
    </row>
    <row r="515" spans="1:27" x14ac:dyDescent="0.25">
      <c r="A515" s="1">
        <v>43253</v>
      </c>
      <c r="B515">
        <v>10924</v>
      </c>
      <c r="C515" s="2" t="s">
        <v>22</v>
      </c>
      <c r="D515" s="2" t="s">
        <v>23</v>
      </c>
      <c r="E515" s="2" t="s">
        <v>24</v>
      </c>
      <c r="F515">
        <v>4022</v>
      </c>
      <c r="G515" s="2" t="s">
        <v>86</v>
      </c>
      <c r="H515" s="2" t="s">
        <v>87</v>
      </c>
      <c r="I515" s="2" t="s">
        <v>27</v>
      </c>
      <c r="J515" s="2" t="s">
        <v>28</v>
      </c>
      <c r="K515" s="2" t="s">
        <v>27</v>
      </c>
      <c r="L515">
        <v>23135.11</v>
      </c>
      <c r="M515">
        <v>35</v>
      </c>
      <c r="N515">
        <v>93.183000000000007</v>
      </c>
      <c r="O515">
        <v>6500948</v>
      </c>
      <c r="P515" s="2" t="s">
        <v>29</v>
      </c>
      <c r="Q515" s="2" t="s">
        <v>23</v>
      </c>
      <c r="R515" s="2" t="s">
        <v>30</v>
      </c>
      <c r="S515">
        <v>5</v>
      </c>
      <c r="T515" s="1">
        <v>43253</v>
      </c>
      <c r="U515" s="1">
        <v>43255</v>
      </c>
      <c r="V515" s="2"/>
      <c r="W515" s="1">
        <f>fNotasFiscais[[#This Row],[Data da Coleta]]+fNotasFiscais[[#This Row],[Prazo Contratado]]</f>
        <v>43258</v>
      </c>
      <c r="X515" s="3">
        <f>IF(fNotasFiscais[[#This Row],[Data da Entrega]]&gt;fNotasFiscais[[#This Row],[Data Contratada]],0,1)</f>
        <v>1</v>
      </c>
      <c r="Y515" s="3">
        <f>IF(fNotasFiscais[[#This Row],[Ocorrência]]="",1,0)</f>
        <v>1</v>
      </c>
      <c r="Z515" s="2">
        <f>fNotasFiscais[[#This Row],[On Time]]*fNotasFiscais[[#This Row],[In Full]]</f>
        <v>1</v>
      </c>
      <c r="AA515">
        <f>IF(fNotasFiscais[[#This Row],[Nota Fiscal]]&lt;&gt;"",1,0)</f>
        <v>1</v>
      </c>
    </row>
    <row r="516" spans="1:27" x14ac:dyDescent="0.25">
      <c r="A516" s="1">
        <v>43253</v>
      </c>
      <c r="B516">
        <v>10925</v>
      </c>
      <c r="C516" s="2" t="s">
        <v>34</v>
      </c>
      <c r="D516" s="2" t="s">
        <v>35</v>
      </c>
      <c r="E516" s="2" t="s">
        <v>36</v>
      </c>
      <c r="F516">
        <v>4016</v>
      </c>
      <c r="G516" s="2" t="s">
        <v>68</v>
      </c>
      <c r="H516" s="2" t="s">
        <v>69</v>
      </c>
      <c r="I516" s="2" t="s">
        <v>36</v>
      </c>
      <c r="J516" s="2" t="s">
        <v>60</v>
      </c>
      <c r="K516" s="2" t="s">
        <v>36</v>
      </c>
      <c r="L516">
        <v>1100.6199999999999</v>
      </c>
      <c r="M516">
        <v>1</v>
      </c>
      <c r="N516">
        <v>1.1200000000000001</v>
      </c>
      <c r="O516">
        <v>6600879</v>
      </c>
      <c r="P516" s="2" t="s">
        <v>61</v>
      </c>
      <c r="Q516" s="2" t="s">
        <v>35</v>
      </c>
      <c r="R516" s="2" t="s">
        <v>30</v>
      </c>
      <c r="S516">
        <v>7</v>
      </c>
      <c r="T516" s="1">
        <v>43253</v>
      </c>
      <c r="U516" s="1">
        <v>43254</v>
      </c>
      <c r="V516" s="2"/>
      <c r="W516" s="1">
        <f>fNotasFiscais[[#This Row],[Data da Coleta]]+fNotasFiscais[[#This Row],[Prazo Contratado]]</f>
        <v>43260</v>
      </c>
      <c r="X516" s="3">
        <f>IF(fNotasFiscais[[#This Row],[Data da Entrega]]&gt;fNotasFiscais[[#This Row],[Data Contratada]],0,1)</f>
        <v>1</v>
      </c>
      <c r="Y516" s="3">
        <f>IF(fNotasFiscais[[#This Row],[Ocorrência]]="",1,0)</f>
        <v>1</v>
      </c>
      <c r="Z516" s="2">
        <f>fNotasFiscais[[#This Row],[On Time]]*fNotasFiscais[[#This Row],[In Full]]</f>
        <v>1</v>
      </c>
      <c r="AA516">
        <f>IF(fNotasFiscais[[#This Row],[Nota Fiscal]]&lt;&gt;"",1,0)</f>
        <v>1</v>
      </c>
    </row>
    <row r="517" spans="1:27" x14ac:dyDescent="0.25">
      <c r="A517" s="1">
        <v>43253</v>
      </c>
      <c r="B517">
        <v>10926</v>
      </c>
      <c r="C517" s="2" t="s">
        <v>31</v>
      </c>
      <c r="D517" s="2" t="s">
        <v>32</v>
      </c>
      <c r="E517" s="2" t="s">
        <v>33</v>
      </c>
      <c r="F517">
        <v>4016</v>
      </c>
      <c r="G517" s="2" t="s">
        <v>68</v>
      </c>
      <c r="H517" s="2" t="s">
        <v>69</v>
      </c>
      <c r="I517" s="2" t="s">
        <v>36</v>
      </c>
      <c r="J517" s="2" t="s">
        <v>60</v>
      </c>
      <c r="K517" s="2" t="s">
        <v>36</v>
      </c>
      <c r="L517">
        <v>1022.51</v>
      </c>
      <c r="M517">
        <v>1</v>
      </c>
      <c r="N517">
        <v>15.18</v>
      </c>
      <c r="O517">
        <v>6600879</v>
      </c>
      <c r="P517" s="2" t="s">
        <v>61</v>
      </c>
      <c r="Q517" s="2" t="s">
        <v>35</v>
      </c>
      <c r="R517" s="2" t="s">
        <v>30</v>
      </c>
      <c r="S517">
        <v>1</v>
      </c>
      <c r="T517" s="1">
        <v>43253</v>
      </c>
      <c r="U517" s="1">
        <v>43260</v>
      </c>
      <c r="V517" s="2"/>
      <c r="W517" s="1">
        <f>fNotasFiscais[[#This Row],[Data da Coleta]]+fNotasFiscais[[#This Row],[Prazo Contratado]]</f>
        <v>43254</v>
      </c>
      <c r="X517" s="3">
        <f>IF(fNotasFiscais[[#This Row],[Data da Entrega]]&gt;fNotasFiscais[[#This Row],[Data Contratada]],0,1)</f>
        <v>0</v>
      </c>
      <c r="Y517" s="3">
        <f>IF(fNotasFiscais[[#This Row],[Ocorrência]]="",1,0)</f>
        <v>1</v>
      </c>
      <c r="Z517" s="2">
        <f>fNotasFiscais[[#This Row],[On Time]]*fNotasFiscais[[#This Row],[In Full]]</f>
        <v>0</v>
      </c>
      <c r="AA517">
        <f>IF(fNotasFiscais[[#This Row],[Nota Fiscal]]&lt;&gt;"",1,0)</f>
        <v>1</v>
      </c>
    </row>
    <row r="518" spans="1:27" x14ac:dyDescent="0.25">
      <c r="A518" s="1">
        <v>43253</v>
      </c>
      <c r="B518">
        <v>10927</v>
      </c>
      <c r="C518" s="2" t="s">
        <v>22</v>
      </c>
      <c r="D518" s="2" t="s">
        <v>23</v>
      </c>
      <c r="E518" s="2" t="s">
        <v>24</v>
      </c>
      <c r="F518">
        <v>4016</v>
      </c>
      <c r="G518" s="2" t="s">
        <v>68</v>
      </c>
      <c r="H518" s="2" t="s">
        <v>69</v>
      </c>
      <c r="I518" s="2" t="s">
        <v>36</v>
      </c>
      <c r="J518" s="2" t="s">
        <v>60</v>
      </c>
      <c r="K518" s="2" t="s">
        <v>36</v>
      </c>
      <c r="L518">
        <v>709.1</v>
      </c>
      <c r="M518">
        <v>1</v>
      </c>
      <c r="N518">
        <v>0.38600000000000001</v>
      </c>
      <c r="O518">
        <v>6600879</v>
      </c>
      <c r="P518" s="2" t="s">
        <v>61</v>
      </c>
      <c r="Q518" s="2" t="s">
        <v>35</v>
      </c>
      <c r="R518" s="2" t="s">
        <v>30</v>
      </c>
      <c r="S518">
        <v>11</v>
      </c>
      <c r="T518" s="1">
        <v>43253</v>
      </c>
      <c r="U518" s="1">
        <v>43255</v>
      </c>
      <c r="V518" s="2"/>
      <c r="W518" s="1">
        <f>fNotasFiscais[[#This Row],[Data da Coleta]]+fNotasFiscais[[#This Row],[Prazo Contratado]]</f>
        <v>43264</v>
      </c>
      <c r="X518" s="3">
        <f>IF(fNotasFiscais[[#This Row],[Data da Entrega]]&gt;fNotasFiscais[[#This Row],[Data Contratada]],0,1)</f>
        <v>1</v>
      </c>
      <c r="Y518" s="3">
        <f>IF(fNotasFiscais[[#This Row],[Ocorrência]]="",1,0)</f>
        <v>1</v>
      </c>
      <c r="Z518" s="2">
        <f>fNotasFiscais[[#This Row],[On Time]]*fNotasFiscais[[#This Row],[In Full]]</f>
        <v>1</v>
      </c>
      <c r="AA518">
        <f>IF(fNotasFiscais[[#This Row],[Nota Fiscal]]&lt;&gt;"",1,0)</f>
        <v>1</v>
      </c>
    </row>
    <row r="519" spans="1:27" x14ac:dyDescent="0.25">
      <c r="A519" s="1">
        <v>43253</v>
      </c>
      <c r="B519">
        <v>10928</v>
      </c>
      <c r="C519" s="2" t="s">
        <v>22</v>
      </c>
      <c r="D519" s="2" t="s">
        <v>23</v>
      </c>
      <c r="E519" s="2" t="s">
        <v>24</v>
      </c>
      <c r="F519">
        <v>4016</v>
      </c>
      <c r="G519" s="2" t="s">
        <v>68</v>
      </c>
      <c r="H519" s="2" t="s">
        <v>69</v>
      </c>
      <c r="I519" s="2" t="s">
        <v>36</v>
      </c>
      <c r="J519" s="2" t="s">
        <v>60</v>
      </c>
      <c r="K519" s="2" t="s">
        <v>36</v>
      </c>
      <c r="L519">
        <v>793.17</v>
      </c>
      <c r="M519">
        <v>2</v>
      </c>
      <c r="N519">
        <v>26.84</v>
      </c>
      <c r="O519">
        <v>6600879</v>
      </c>
      <c r="P519" s="2" t="s">
        <v>61</v>
      </c>
      <c r="Q519" s="2" t="s">
        <v>35</v>
      </c>
      <c r="R519" s="2" t="s">
        <v>30</v>
      </c>
      <c r="S519">
        <v>7</v>
      </c>
      <c r="T519" s="1">
        <v>43253</v>
      </c>
      <c r="U519" s="1">
        <v>43258</v>
      </c>
      <c r="V519" s="2"/>
      <c r="W519" s="1">
        <f>fNotasFiscais[[#This Row],[Data da Coleta]]+fNotasFiscais[[#This Row],[Prazo Contratado]]</f>
        <v>43260</v>
      </c>
      <c r="X519" s="3">
        <f>IF(fNotasFiscais[[#This Row],[Data da Entrega]]&gt;fNotasFiscais[[#This Row],[Data Contratada]],0,1)</f>
        <v>1</v>
      </c>
      <c r="Y519" s="3">
        <f>IF(fNotasFiscais[[#This Row],[Ocorrência]]="",1,0)</f>
        <v>1</v>
      </c>
      <c r="Z519" s="2">
        <f>fNotasFiscais[[#This Row],[On Time]]*fNotasFiscais[[#This Row],[In Full]]</f>
        <v>1</v>
      </c>
      <c r="AA519">
        <f>IF(fNotasFiscais[[#This Row],[Nota Fiscal]]&lt;&gt;"",1,0)</f>
        <v>1</v>
      </c>
    </row>
    <row r="520" spans="1:27" x14ac:dyDescent="0.25">
      <c r="A520" s="1">
        <v>43253</v>
      </c>
      <c r="B520">
        <v>10929</v>
      </c>
      <c r="C520" s="2" t="s">
        <v>22</v>
      </c>
      <c r="D520" s="2" t="s">
        <v>23</v>
      </c>
      <c r="E520" s="2" t="s">
        <v>24</v>
      </c>
      <c r="F520">
        <v>4016</v>
      </c>
      <c r="G520" s="2" t="s">
        <v>68</v>
      </c>
      <c r="H520" s="2" t="s">
        <v>69</v>
      </c>
      <c r="I520" s="2" t="s">
        <v>36</v>
      </c>
      <c r="J520" s="2" t="s">
        <v>60</v>
      </c>
      <c r="K520" s="2" t="s">
        <v>36</v>
      </c>
      <c r="L520">
        <v>3206.18</v>
      </c>
      <c r="M520">
        <v>3</v>
      </c>
      <c r="N520">
        <v>7.4820000000000002</v>
      </c>
      <c r="O520">
        <v>6600879</v>
      </c>
      <c r="P520" s="2" t="s">
        <v>61</v>
      </c>
      <c r="Q520" s="2" t="s">
        <v>35</v>
      </c>
      <c r="R520" s="2" t="s">
        <v>30</v>
      </c>
      <c r="S520">
        <v>12</v>
      </c>
      <c r="T520" s="1">
        <v>43253</v>
      </c>
      <c r="U520" s="1">
        <v>43260</v>
      </c>
      <c r="V520" s="2"/>
      <c r="W520" s="1">
        <f>fNotasFiscais[[#This Row],[Data da Coleta]]+fNotasFiscais[[#This Row],[Prazo Contratado]]</f>
        <v>43265</v>
      </c>
      <c r="X520" s="3">
        <f>IF(fNotasFiscais[[#This Row],[Data da Entrega]]&gt;fNotasFiscais[[#This Row],[Data Contratada]],0,1)</f>
        <v>1</v>
      </c>
      <c r="Y520" s="3">
        <f>IF(fNotasFiscais[[#This Row],[Ocorrência]]="",1,0)</f>
        <v>1</v>
      </c>
      <c r="Z520" s="2">
        <f>fNotasFiscais[[#This Row],[On Time]]*fNotasFiscais[[#This Row],[In Full]]</f>
        <v>1</v>
      </c>
      <c r="AA520">
        <f>IF(fNotasFiscais[[#This Row],[Nota Fiscal]]&lt;&gt;"",1,0)</f>
        <v>1</v>
      </c>
    </row>
    <row r="521" spans="1:27" x14ac:dyDescent="0.25">
      <c r="A521" s="1">
        <v>43256</v>
      </c>
      <c r="B521">
        <v>10930</v>
      </c>
      <c r="C521" s="2" t="s">
        <v>31</v>
      </c>
      <c r="D521" s="2" t="s">
        <v>32</v>
      </c>
      <c r="E521" s="2" t="s">
        <v>33</v>
      </c>
      <c r="F521">
        <v>4064</v>
      </c>
      <c r="G521" s="2" t="s">
        <v>128</v>
      </c>
      <c r="H521" s="2" t="s">
        <v>129</v>
      </c>
      <c r="I521" s="2" t="s">
        <v>33</v>
      </c>
      <c r="J521" s="2" t="s">
        <v>60</v>
      </c>
      <c r="K521" s="2" t="s">
        <v>33</v>
      </c>
      <c r="L521">
        <v>4700.34</v>
      </c>
      <c r="M521">
        <v>1</v>
      </c>
      <c r="N521">
        <v>17.82</v>
      </c>
      <c r="O521">
        <v>6400835</v>
      </c>
      <c r="P521" s="2" t="s">
        <v>130</v>
      </c>
      <c r="Q521" s="2" t="s">
        <v>131</v>
      </c>
      <c r="R521" s="2" t="s">
        <v>30</v>
      </c>
      <c r="S521">
        <v>3</v>
      </c>
      <c r="T521" s="1">
        <v>43256</v>
      </c>
      <c r="U521" s="1">
        <v>43265</v>
      </c>
      <c r="V521" s="2"/>
      <c r="W521" s="1">
        <f>fNotasFiscais[[#This Row],[Data da Coleta]]+fNotasFiscais[[#This Row],[Prazo Contratado]]</f>
        <v>43259</v>
      </c>
      <c r="X521" s="3">
        <f>IF(fNotasFiscais[[#This Row],[Data da Entrega]]&gt;fNotasFiscais[[#This Row],[Data Contratada]],0,1)</f>
        <v>0</v>
      </c>
      <c r="Y521" s="3">
        <f>IF(fNotasFiscais[[#This Row],[Ocorrência]]="",1,0)</f>
        <v>1</v>
      </c>
      <c r="Z521" s="2">
        <f>fNotasFiscais[[#This Row],[On Time]]*fNotasFiscais[[#This Row],[In Full]]</f>
        <v>0</v>
      </c>
      <c r="AA521">
        <f>IF(fNotasFiscais[[#This Row],[Nota Fiscal]]&lt;&gt;"",1,0)</f>
        <v>1</v>
      </c>
    </row>
    <row r="522" spans="1:27" x14ac:dyDescent="0.25">
      <c r="A522" s="1">
        <v>43256</v>
      </c>
      <c r="B522">
        <v>10931</v>
      </c>
      <c r="C522" s="2" t="s">
        <v>52</v>
      </c>
      <c r="D522" s="2" t="s">
        <v>53</v>
      </c>
      <c r="E522" s="2" t="s">
        <v>33</v>
      </c>
      <c r="F522">
        <v>4064</v>
      </c>
      <c r="G522" s="2" t="s">
        <v>128</v>
      </c>
      <c r="H522" s="2" t="s">
        <v>129</v>
      </c>
      <c r="I522" s="2" t="s">
        <v>33</v>
      </c>
      <c r="J522" s="2" t="s">
        <v>60</v>
      </c>
      <c r="K522" s="2" t="s">
        <v>33</v>
      </c>
      <c r="L522">
        <v>1016.61</v>
      </c>
      <c r="M522">
        <v>1</v>
      </c>
      <c r="N522">
        <v>15.18</v>
      </c>
      <c r="O522">
        <v>6400835</v>
      </c>
      <c r="P522" s="2" t="s">
        <v>130</v>
      </c>
      <c r="Q522" s="2" t="s">
        <v>131</v>
      </c>
      <c r="R522" s="2" t="s">
        <v>30</v>
      </c>
      <c r="S522">
        <v>9</v>
      </c>
      <c r="T522" s="1">
        <v>43256</v>
      </c>
      <c r="U522" s="1">
        <v>43263</v>
      </c>
      <c r="V522" s="2"/>
      <c r="W522" s="1">
        <f>fNotasFiscais[[#This Row],[Data da Coleta]]+fNotasFiscais[[#This Row],[Prazo Contratado]]</f>
        <v>43265</v>
      </c>
      <c r="X522" s="3">
        <f>IF(fNotasFiscais[[#This Row],[Data da Entrega]]&gt;fNotasFiscais[[#This Row],[Data Contratada]],0,1)</f>
        <v>1</v>
      </c>
      <c r="Y522" s="3">
        <f>IF(fNotasFiscais[[#This Row],[Ocorrência]]="",1,0)</f>
        <v>1</v>
      </c>
      <c r="Z522" s="2">
        <f>fNotasFiscais[[#This Row],[On Time]]*fNotasFiscais[[#This Row],[In Full]]</f>
        <v>1</v>
      </c>
      <c r="AA522">
        <f>IF(fNotasFiscais[[#This Row],[Nota Fiscal]]&lt;&gt;"",1,0)</f>
        <v>1</v>
      </c>
    </row>
    <row r="523" spans="1:27" x14ac:dyDescent="0.25">
      <c r="A523" s="1">
        <v>43256</v>
      </c>
      <c r="B523">
        <v>10932</v>
      </c>
      <c r="C523" s="2" t="s">
        <v>54</v>
      </c>
      <c r="D523" s="2" t="s">
        <v>55</v>
      </c>
      <c r="E523" s="2" t="s">
        <v>56</v>
      </c>
      <c r="F523">
        <v>4064</v>
      </c>
      <c r="G523" s="2" t="s">
        <v>128</v>
      </c>
      <c r="H523" s="2" t="s">
        <v>129</v>
      </c>
      <c r="I523" s="2" t="s">
        <v>33</v>
      </c>
      <c r="J523" s="2" t="s">
        <v>60</v>
      </c>
      <c r="K523" s="2" t="s">
        <v>33</v>
      </c>
      <c r="L523">
        <v>680.15</v>
      </c>
      <c r="M523">
        <v>1</v>
      </c>
      <c r="N523">
        <v>0.77600000000000002</v>
      </c>
      <c r="O523">
        <v>6400835</v>
      </c>
      <c r="P523" s="2" t="s">
        <v>130</v>
      </c>
      <c r="Q523" s="2" t="s">
        <v>131</v>
      </c>
      <c r="R523" s="2" t="s">
        <v>30</v>
      </c>
      <c r="S523">
        <v>6</v>
      </c>
      <c r="T523" s="1">
        <v>43256</v>
      </c>
      <c r="U523" s="1">
        <v>43264</v>
      </c>
      <c r="V523" s="2"/>
      <c r="W523" s="1">
        <f>fNotasFiscais[[#This Row],[Data da Coleta]]+fNotasFiscais[[#This Row],[Prazo Contratado]]</f>
        <v>43262</v>
      </c>
      <c r="X523" s="3">
        <f>IF(fNotasFiscais[[#This Row],[Data da Entrega]]&gt;fNotasFiscais[[#This Row],[Data Contratada]],0,1)</f>
        <v>0</v>
      </c>
      <c r="Y523" s="3">
        <f>IF(fNotasFiscais[[#This Row],[Ocorrência]]="",1,0)</f>
        <v>1</v>
      </c>
      <c r="Z523" s="2">
        <f>fNotasFiscais[[#This Row],[On Time]]*fNotasFiscais[[#This Row],[In Full]]</f>
        <v>0</v>
      </c>
      <c r="AA523">
        <f>IF(fNotasFiscais[[#This Row],[Nota Fiscal]]&lt;&gt;"",1,0)</f>
        <v>1</v>
      </c>
    </row>
    <row r="524" spans="1:27" x14ac:dyDescent="0.25">
      <c r="A524" s="1">
        <v>43256</v>
      </c>
      <c r="B524">
        <v>10933</v>
      </c>
      <c r="C524" s="2" t="s">
        <v>34</v>
      </c>
      <c r="D524" s="2" t="s">
        <v>35</v>
      </c>
      <c r="E524" s="2" t="s">
        <v>36</v>
      </c>
      <c r="F524">
        <v>4064</v>
      </c>
      <c r="G524" s="2" t="s">
        <v>128</v>
      </c>
      <c r="H524" s="2" t="s">
        <v>129</v>
      </c>
      <c r="I524" s="2" t="s">
        <v>33</v>
      </c>
      <c r="J524" s="2" t="s">
        <v>60</v>
      </c>
      <c r="K524" s="2" t="s">
        <v>33</v>
      </c>
      <c r="L524">
        <v>2803.28</v>
      </c>
      <c r="M524">
        <v>6</v>
      </c>
      <c r="N524">
        <v>29.245999999999999</v>
      </c>
      <c r="O524">
        <v>6400835</v>
      </c>
      <c r="P524" s="2" t="s">
        <v>130</v>
      </c>
      <c r="Q524" s="2" t="s">
        <v>131</v>
      </c>
      <c r="R524" s="2" t="s">
        <v>30</v>
      </c>
      <c r="S524">
        <v>10</v>
      </c>
      <c r="T524" s="1">
        <v>43256</v>
      </c>
      <c r="U524" s="1">
        <v>43265</v>
      </c>
      <c r="V524" s="2"/>
      <c r="W524" s="1">
        <f>fNotasFiscais[[#This Row],[Data da Coleta]]+fNotasFiscais[[#This Row],[Prazo Contratado]]</f>
        <v>43266</v>
      </c>
      <c r="X524" s="3">
        <f>IF(fNotasFiscais[[#This Row],[Data da Entrega]]&gt;fNotasFiscais[[#This Row],[Data Contratada]],0,1)</f>
        <v>1</v>
      </c>
      <c r="Y524" s="3">
        <f>IF(fNotasFiscais[[#This Row],[Ocorrência]]="",1,0)</f>
        <v>1</v>
      </c>
      <c r="Z524" s="2">
        <f>fNotasFiscais[[#This Row],[On Time]]*fNotasFiscais[[#This Row],[In Full]]</f>
        <v>1</v>
      </c>
      <c r="AA524">
        <f>IF(fNotasFiscais[[#This Row],[Nota Fiscal]]&lt;&gt;"",1,0)</f>
        <v>1</v>
      </c>
    </row>
    <row r="525" spans="1:27" x14ac:dyDescent="0.25">
      <c r="A525" s="1">
        <v>43259</v>
      </c>
      <c r="B525">
        <v>10934</v>
      </c>
      <c r="C525" s="2" t="s">
        <v>43</v>
      </c>
      <c r="D525" s="2" t="s">
        <v>44</v>
      </c>
      <c r="E525" s="2" t="s">
        <v>45</v>
      </c>
      <c r="F525">
        <v>4014</v>
      </c>
      <c r="G525" s="2" t="s">
        <v>58</v>
      </c>
      <c r="H525" s="2" t="s">
        <v>59</v>
      </c>
      <c r="I525" s="2" t="s">
        <v>36</v>
      </c>
      <c r="J525" s="2" t="s">
        <v>60</v>
      </c>
      <c r="K525" s="2" t="s">
        <v>36</v>
      </c>
      <c r="L525">
        <v>873.36</v>
      </c>
      <c r="M525">
        <v>1</v>
      </c>
      <c r="N525">
        <v>14.177</v>
      </c>
      <c r="O525">
        <v>6600879</v>
      </c>
      <c r="P525" s="2" t="s">
        <v>61</v>
      </c>
      <c r="Q525" s="2" t="s">
        <v>35</v>
      </c>
      <c r="R525" s="2" t="s">
        <v>30</v>
      </c>
      <c r="S525">
        <v>9</v>
      </c>
      <c r="T525" s="1">
        <v>43259</v>
      </c>
      <c r="U525" s="1">
        <v>43260</v>
      </c>
      <c r="V525" s="2"/>
      <c r="W525" s="1">
        <f>fNotasFiscais[[#This Row],[Data da Coleta]]+fNotasFiscais[[#This Row],[Prazo Contratado]]</f>
        <v>43268</v>
      </c>
      <c r="X525" s="3">
        <f>IF(fNotasFiscais[[#This Row],[Data da Entrega]]&gt;fNotasFiscais[[#This Row],[Data Contratada]],0,1)</f>
        <v>1</v>
      </c>
      <c r="Y525" s="3">
        <f>IF(fNotasFiscais[[#This Row],[Ocorrência]]="",1,0)</f>
        <v>1</v>
      </c>
      <c r="Z525" s="2">
        <f>fNotasFiscais[[#This Row],[On Time]]*fNotasFiscais[[#This Row],[In Full]]</f>
        <v>1</v>
      </c>
      <c r="AA525">
        <f>IF(fNotasFiscais[[#This Row],[Nota Fiscal]]&lt;&gt;"",1,0)</f>
        <v>1</v>
      </c>
    </row>
    <row r="526" spans="1:27" x14ac:dyDescent="0.25">
      <c r="A526" s="1">
        <v>43259</v>
      </c>
      <c r="B526">
        <v>10935</v>
      </c>
      <c r="C526" s="2" t="s">
        <v>31</v>
      </c>
      <c r="D526" s="2" t="s">
        <v>32</v>
      </c>
      <c r="E526" s="2" t="s">
        <v>33</v>
      </c>
      <c r="F526">
        <v>4014</v>
      </c>
      <c r="G526" s="2" t="s">
        <v>58</v>
      </c>
      <c r="H526" s="2" t="s">
        <v>59</v>
      </c>
      <c r="I526" s="2" t="s">
        <v>36</v>
      </c>
      <c r="J526" s="2" t="s">
        <v>60</v>
      </c>
      <c r="K526" s="2" t="s">
        <v>36</v>
      </c>
      <c r="L526">
        <v>1375.79</v>
      </c>
      <c r="M526">
        <v>3</v>
      </c>
      <c r="N526">
        <v>8.14</v>
      </c>
      <c r="O526">
        <v>6600879</v>
      </c>
      <c r="P526" s="2" t="s">
        <v>61</v>
      </c>
      <c r="Q526" s="2" t="s">
        <v>35</v>
      </c>
      <c r="R526" s="2" t="s">
        <v>30</v>
      </c>
      <c r="S526">
        <v>8</v>
      </c>
      <c r="T526" s="1">
        <v>43259</v>
      </c>
      <c r="U526" s="1">
        <v>43267</v>
      </c>
      <c r="V526" s="2"/>
      <c r="W526" s="1">
        <f>fNotasFiscais[[#This Row],[Data da Coleta]]+fNotasFiscais[[#This Row],[Prazo Contratado]]</f>
        <v>43267</v>
      </c>
      <c r="X526" s="3">
        <f>IF(fNotasFiscais[[#This Row],[Data da Entrega]]&gt;fNotasFiscais[[#This Row],[Data Contratada]],0,1)</f>
        <v>1</v>
      </c>
      <c r="Y526" s="3">
        <f>IF(fNotasFiscais[[#This Row],[Ocorrência]]="",1,0)</f>
        <v>1</v>
      </c>
      <c r="Z526" s="2">
        <f>fNotasFiscais[[#This Row],[On Time]]*fNotasFiscais[[#This Row],[In Full]]</f>
        <v>1</v>
      </c>
      <c r="AA526">
        <f>IF(fNotasFiscais[[#This Row],[Nota Fiscal]]&lt;&gt;"",1,0)</f>
        <v>1</v>
      </c>
    </row>
    <row r="527" spans="1:27" x14ac:dyDescent="0.25">
      <c r="A527" s="1">
        <v>43259</v>
      </c>
      <c r="B527">
        <v>10936</v>
      </c>
      <c r="C527" s="2" t="s">
        <v>43</v>
      </c>
      <c r="D527" s="2" t="s">
        <v>44</v>
      </c>
      <c r="E527" s="2" t="s">
        <v>45</v>
      </c>
      <c r="F527">
        <v>4014</v>
      </c>
      <c r="G527" s="2" t="s">
        <v>58</v>
      </c>
      <c r="H527" s="2" t="s">
        <v>59</v>
      </c>
      <c r="I527" s="2" t="s">
        <v>36</v>
      </c>
      <c r="J527" s="2" t="s">
        <v>60</v>
      </c>
      <c r="K527" s="2" t="s">
        <v>36</v>
      </c>
      <c r="L527">
        <v>267.52</v>
      </c>
      <c r="M527">
        <v>3</v>
      </c>
      <c r="N527">
        <v>2.532</v>
      </c>
      <c r="O527">
        <v>6600879</v>
      </c>
      <c r="P527" s="2" t="s">
        <v>61</v>
      </c>
      <c r="Q527" s="2" t="s">
        <v>35</v>
      </c>
      <c r="R527" s="2" t="s">
        <v>30</v>
      </c>
      <c r="S527">
        <v>9</v>
      </c>
      <c r="T527" s="1">
        <v>43259</v>
      </c>
      <c r="U527" s="1">
        <v>43264</v>
      </c>
      <c r="V527" s="2" t="s">
        <v>42</v>
      </c>
      <c r="W527" s="1">
        <f>fNotasFiscais[[#This Row],[Data da Coleta]]+fNotasFiscais[[#This Row],[Prazo Contratado]]</f>
        <v>43268</v>
      </c>
      <c r="X527" s="3">
        <f>IF(fNotasFiscais[[#This Row],[Data da Entrega]]&gt;fNotasFiscais[[#This Row],[Data Contratada]],0,1)</f>
        <v>1</v>
      </c>
      <c r="Y527" s="3">
        <f>IF(fNotasFiscais[[#This Row],[Ocorrência]]="",1,0)</f>
        <v>0</v>
      </c>
      <c r="Z527" s="2">
        <f>fNotasFiscais[[#This Row],[On Time]]*fNotasFiscais[[#This Row],[In Full]]</f>
        <v>0</v>
      </c>
      <c r="AA527">
        <f>IF(fNotasFiscais[[#This Row],[Nota Fiscal]]&lt;&gt;"",1,0)</f>
        <v>1</v>
      </c>
    </row>
    <row r="528" spans="1:27" x14ac:dyDescent="0.25">
      <c r="A528" s="1">
        <v>43260</v>
      </c>
      <c r="B528">
        <v>10937</v>
      </c>
      <c r="C528" s="2" t="s">
        <v>52</v>
      </c>
      <c r="D528" s="2" t="s">
        <v>53</v>
      </c>
      <c r="E528" s="2" t="s">
        <v>33</v>
      </c>
      <c r="F528">
        <v>4013</v>
      </c>
      <c r="G528" s="2" t="s">
        <v>37</v>
      </c>
      <c r="H528" s="2" t="s">
        <v>38</v>
      </c>
      <c r="I528" s="2" t="s">
        <v>39</v>
      </c>
      <c r="J528" s="2" t="s">
        <v>28</v>
      </c>
      <c r="K528" s="2" t="s">
        <v>39</v>
      </c>
      <c r="L528">
        <v>928.46</v>
      </c>
      <c r="M528">
        <v>1</v>
      </c>
      <c r="N528">
        <v>1.1200000000000001</v>
      </c>
      <c r="O528">
        <v>6500948</v>
      </c>
      <c r="P528" s="2" t="s">
        <v>29</v>
      </c>
      <c r="Q528" s="2" t="s">
        <v>23</v>
      </c>
      <c r="R528" s="2" t="s">
        <v>30</v>
      </c>
      <c r="S528">
        <v>6</v>
      </c>
      <c r="T528" s="1">
        <v>43260</v>
      </c>
      <c r="U528" s="1">
        <v>43264</v>
      </c>
      <c r="V528" s="2"/>
      <c r="W528" s="1">
        <f>fNotasFiscais[[#This Row],[Data da Coleta]]+fNotasFiscais[[#This Row],[Prazo Contratado]]</f>
        <v>43266</v>
      </c>
      <c r="X528" s="3">
        <f>IF(fNotasFiscais[[#This Row],[Data da Entrega]]&gt;fNotasFiscais[[#This Row],[Data Contratada]],0,1)</f>
        <v>1</v>
      </c>
      <c r="Y528" s="3">
        <f>IF(fNotasFiscais[[#This Row],[Ocorrência]]="",1,0)</f>
        <v>1</v>
      </c>
      <c r="Z528" s="2">
        <f>fNotasFiscais[[#This Row],[On Time]]*fNotasFiscais[[#This Row],[In Full]]</f>
        <v>1</v>
      </c>
      <c r="AA528">
        <f>IF(fNotasFiscais[[#This Row],[Nota Fiscal]]&lt;&gt;"",1,0)</f>
        <v>1</v>
      </c>
    </row>
    <row r="529" spans="1:27" x14ac:dyDescent="0.25">
      <c r="A529" s="1">
        <v>43260</v>
      </c>
      <c r="B529">
        <v>10938</v>
      </c>
      <c r="C529" s="2" t="s">
        <v>22</v>
      </c>
      <c r="D529" s="2" t="s">
        <v>23</v>
      </c>
      <c r="E529" s="2" t="s">
        <v>24</v>
      </c>
      <c r="F529">
        <v>4027</v>
      </c>
      <c r="G529" s="2" t="s">
        <v>93</v>
      </c>
      <c r="H529" s="2" t="s">
        <v>91</v>
      </c>
      <c r="I529" s="2" t="s">
        <v>24</v>
      </c>
      <c r="J529" s="2" t="s">
        <v>28</v>
      </c>
      <c r="K529" s="2" t="s">
        <v>24</v>
      </c>
      <c r="L529">
        <v>1217.21</v>
      </c>
      <c r="M529">
        <v>2</v>
      </c>
      <c r="N529">
        <v>7.9169999999999998</v>
      </c>
      <c r="O529">
        <v>6500948</v>
      </c>
      <c r="P529" s="2" t="s">
        <v>29</v>
      </c>
      <c r="Q529" s="2" t="s">
        <v>23</v>
      </c>
      <c r="R529" s="2" t="s">
        <v>30</v>
      </c>
      <c r="S529">
        <v>4</v>
      </c>
      <c r="T529" s="1">
        <v>43260</v>
      </c>
      <c r="U529" s="1">
        <v>43266</v>
      </c>
      <c r="V529" s="2" t="s">
        <v>42</v>
      </c>
      <c r="W529" s="1">
        <f>fNotasFiscais[[#This Row],[Data da Coleta]]+fNotasFiscais[[#This Row],[Prazo Contratado]]</f>
        <v>43264</v>
      </c>
      <c r="X529" s="3">
        <f>IF(fNotasFiscais[[#This Row],[Data da Entrega]]&gt;fNotasFiscais[[#This Row],[Data Contratada]],0,1)</f>
        <v>0</v>
      </c>
      <c r="Y529" s="3">
        <f>IF(fNotasFiscais[[#This Row],[Ocorrência]]="",1,0)</f>
        <v>0</v>
      </c>
      <c r="Z529" s="2">
        <f>fNotasFiscais[[#This Row],[On Time]]*fNotasFiscais[[#This Row],[In Full]]</f>
        <v>0</v>
      </c>
      <c r="AA529">
        <f>IF(fNotasFiscais[[#This Row],[Nota Fiscal]]&lt;&gt;"",1,0)</f>
        <v>1</v>
      </c>
    </row>
    <row r="530" spans="1:27" x14ac:dyDescent="0.25">
      <c r="A530" s="1">
        <v>43260</v>
      </c>
      <c r="B530">
        <v>10939</v>
      </c>
      <c r="C530" s="2" t="s">
        <v>52</v>
      </c>
      <c r="D530" s="2" t="s">
        <v>53</v>
      </c>
      <c r="E530" s="2" t="s">
        <v>33</v>
      </c>
      <c r="F530">
        <v>4027</v>
      </c>
      <c r="G530" s="2" t="s">
        <v>93</v>
      </c>
      <c r="H530" s="2" t="s">
        <v>91</v>
      </c>
      <c r="I530" s="2" t="s">
        <v>24</v>
      </c>
      <c r="J530" s="2" t="s">
        <v>28</v>
      </c>
      <c r="K530" s="2" t="s">
        <v>24</v>
      </c>
      <c r="L530">
        <v>69.25</v>
      </c>
      <c r="M530">
        <v>1</v>
      </c>
      <c r="N530">
        <v>1.1200000000000001</v>
      </c>
      <c r="O530">
        <v>6500948</v>
      </c>
      <c r="P530" s="2" t="s">
        <v>29</v>
      </c>
      <c r="Q530" s="2" t="s">
        <v>23</v>
      </c>
      <c r="R530" s="2" t="s">
        <v>30</v>
      </c>
      <c r="S530">
        <v>3</v>
      </c>
      <c r="T530" s="1">
        <v>43260</v>
      </c>
      <c r="U530" s="1">
        <v>43264</v>
      </c>
      <c r="V530" s="2"/>
      <c r="W530" s="1">
        <f>fNotasFiscais[[#This Row],[Data da Coleta]]+fNotasFiscais[[#This Row],[Prazo Contratado]]</f>
        <v>43263</v>
      </c>
      <c r="X530" s="3">
        <f>IF(fNotasFiscais[[#This Row],[Data da Entrega]]&gt;fNotasFiscais[[#This Row],[Data Contratada]],0,1)</f>
        <v>0</v>
      </c>
      <c r="Y530" s="3">
        <f>IF(fNotasFiscais[[#This Row],[Ocorrência]]="",1,0)</f>
        <v>1</v>
      </c>
      <c r="Z530" s="2">
        <f>fNotasFiscais[[#This Row],[On Time]]*fNotasFiscais[[#This Row],[In Full]]</f>
        <v>0</v>
      </c>
      <c r="AA530">
        <f>IF(fNotasFiscais[[#This Row],[Nota Fiscal]]&lt;&gt;"",1,0)</f>
        <v>1</v>
      </c>
    </row>
    <row r="531" spans="1:27" x14ac:dyDescent="0.25">
      <c r="A531" s="1">
        <v>43260</v>
      </c>
      <c r="B531">
        <v>10940</v>
      </c>
      <c r="C531" s="2" t="s">
        <v>52</v>
      </c>
      <c r="D531" s="2" t="s">
        <v>53</v>
      </c>
      <c r="E531" s="2" t="s">
        <v>33</v>
      </c>
      <c r="F531">
        <v>4062</v>
      </c>
      <c r="G531" s="2" t="s">
        <v>96</v>
      </c>
      <c r="H531" s="2" t="s">
        <v>97</v>
      </c>
      <c r="I531" s="2" t="s">
        <v>48</v>
      </c>
      <c r="J531" s="2" t="s">
        <v>49</v>
      </c>
      <c r="K531" s="2" t="s">
        <v>48</v>
      </c>
      <c r="L531">
        <v>91.4</v>
      </c>
      <c r="M531">
        <v>1</v>
      </c>
      <c r="N531">
        <v>0.24</v>
      </c>
      <c r="O531">
        <v>6100231</v>
      </c>
      <c r="P531" s="2" t="s">
        <v>50</v>
      </c>
      <c r="Q531" s="2" t="s">
        <v>51</v>
      </c>
      <c r="R531" s="2" t="s">
        <v>30</v>
      </c>
      <c r="S531">
        <v>9</v>
      </c>
      <c r="T531" s="1">
        <v>43260</v>
      </c>
      <c r="U531" s="1">
        <v>43270</v>
      </c>
      <c r="V531" s="2"/>
      <c r="W531" s="1">
        <f>fNotasFiscais[[#This Row],[Data da Coleta]]+fNotasFiscais[[#This Row],[Prazo Contratado]]</f>
        <v>43269</v>
      </c>
      <c r="X531" s="3">
        <f>IF(fNotasFiscais[[#This Row],[Data da Entrega]]&gt;fNotasFiscais[[#This Row],[Data Contratada]],0,1)</f>
        <v>0</v>
      </c>
      <c r="Y531" s="3">
        <f>IF(fNotasFiscais[[#This Row],[Ocorrência]]="",1,0)</f>
        <v>1</v>
      </c>
      <c r="Z531" s="2">
        <f>fNotasFiscais[[#This Row],[On Time]]*fNotasFiscais[[#This Row],[In Full]]</f>
        <v>0</v>
      </c>
      <c r="AA531">
        <f>IF(fNotasFiscais[[#This Row],[Nota Fiscal]]&lt;&gt;"",1,0)</f>
        <v>1</v>
      </c>
    </row>
    <row r="532" spans="1:27" x14ac:dyDescent="0.25">
      <c r="A532" s="1">
        <v>43260</v>
      </c>
      <c r="B532">
        <v>10941</v>
      </c>
      <c r="C532" s="2" t="s">
        <v>40</v>
      </c>
      <c r="D532" s="2" t="s">
        <v>41</v>
      </c>
      <c r="E532" s="2" t="s">
        <v>33</v>
      </c>
      <c r="F532">
        <v>4032</v>
      </c>
      <c r="G532" s="2" t="s">
        <v>108</v>
      </c>
      <c r="H532" s="2" t="s">
        <v>51</v>
      </c>
      <c r="I532" s="2" t="s">
        <v>73</v>
      </c>
      <c r="J532" s="2" t="s">
        <v>49</v>
      </c>
      <c r="K532" s="2" t="s">
        <v>73</v>
      </c>
      <c r="L532">
        <v>253.02</v>
      </c>
      <c r="M532">
        <v>4</v>
      </c>
      <c r="N532">
        <v>8.7840000000000007</v>
      </c>
      <c r="O532">
        <v>6100231</v>
      </c>
      <c r="P532" s="2" t="s">
        <v>50</v>
      </c>
      <c r="Q532" s="2" t="s">
        <v>51</v>
      </c>
      <c r="R532" s="2" t="s">
        <v>30</v>
      </c>
      <c r="S532">
        <v>1</v>
      </c>
      <c r="T532" s="1">
        <v>43260</v>
      </c>
      <c r="U532" s="1">
        <v>43269</v>
      </c>
      <c r="V532" s="2"/>
      <c r="W532" s="1">
        <f>fNotasFiscais[[#This Row],[Data da Coleta]]+fNotasFiscais[[#This Row],[Prazo Contratado]]</f>
        <v>43261</v>
      </c>
      <c r="X532" s="3">
        <f>IF(fNotasFiscais[[#This Row],[Data da Entrega]]&gt;fNotasFiscais[[#This Row],[Data Contratada]],0,1)</f>
        <v>0</v>
      </c>
      <c r="Y532" s="3">
        <f>IF(fNotasFiscais[[#This Row],[Ocorrência]]="",1,0)</f>
        <v>1</v>
      </c>
      <c r="Z532" s="2">
        <f>fNotasFiscais[[#This Row],[On Time]]*fNotasFiscais[[#This Row],[In Full]]</f>
        <v>0</v>
      </c>
      <c r="AA532">
        <f>IF(fNotasFiscais[[#This Row],[Nota Fiscal]]&lt;&gt;"",1,0)</f>
        <v>1</v>
      </c>
    </row>
    <row r="533" spans="1:27" x14ac:dyDescent="0.25">
      <c r="A533" s="1">
        <v>43260</v>
      </c>
      <c r="B533">
        <v>10942</v>
      </c>
      <c r="C533" s="2" t="s">
        <v>22</v>
      </c>
      <c r="D533" s="2" t="s">
        <v>23</v>
      </c>
      <c r="E533" s="2" t="s">
        <v>24</v>
      </c>
      <c r="F533">
        <v>4055</v>
      </c>
      <c r="G533" s="2" t="s">
        <v>120</v>
      </c>
      <c r="H533" s="2" t="s">
        <v>47</v>
      </c>
      <c r="I533" s="2" t="s">
        <v>48</v>
      </c>
      <c r="J533" s="2" t="s">
        <v>49</v>
      </c>
      <c r="K533" s="2" t="s">
        <v>48</v>
      </c>
      <c r="L533">
        <v>1230.1500000000001</v>
      </c>
      <c r="M533">
        <v>1</v>
      </c>
      <c r="N533">
        <v>1.1200000000000001</v>
      </c>
      <c r="O533">
        <v>6100231</v>
      </c>
      <c r="P533" s="2" t="s">
        <v>50</v>
      </c>
      <c r="Q533" s="2" t="s">
        <v>51</v>
      </c>
      <c r="R533" s="2" t="s">
        <v>30</v>
      </c>
      <c r="S533">
        <v>3</v>
      </c>
      <c r="T533" s="1">
        <v>43260</v>
      </c>
      <c r="U533" s="1">
        <v>43264</v>
      </c>
      <c r="V533" s="2"/>
      <c r="W533" s="1">
        <f>fNotasFiscais[[#This Row],[Data da Coleta]]+fNotasFiscais[[#This Row],[Prazo Contratado]]</f>
        <v>43263</v>
      </c>
      <c r="X533" s="3">
        <f>IF(fNotasFiscais[[#This Row],[Data da Entrega]]&gt;fNotasFiscais[[#This Row],[Data Contratada]],0,1)</f>
        <v>0</v>
      </c>
      <c r="Y533" s="3">
        <f>IF(fNotasFiscais[[#This Row],[Ocorrência]]="",1,0)</f>
        <v>1</v>
      </c>
      <c r="Z533" s="2">
        <f>fNotasFiscais[[#This Row],[On Time]]*fNotasFiscais[[#This Row],[In Full]]</f>
        <v>0</v>
      </c>
      <c r="AA533">
        <f>IF(fNotasFiscais[[#This Row],[Nota Fiscal]]&lt;&gt;"",1,0)</f>
        <v>1</v>
      </c>
    </row>
    <row r="534" spans="1:27" x14ac:dyDescent="0.25">
      <c r="A534" s="1">
        <v>43260</v>
      </c>
      <c r="B534">
        <v>10943</v>
      </c>
      <c r="C534" s="2" t="s">
        <v>40</v>
      </c>
      <c r="D534" s="2" t="s">
        <v>41</v>
      </c>
      <c r="E534" s="2" t="s">
        <v>33</v>
      </c>
      <c r="F534">
        <v>4030</v>
      </c>
      <c r="G534" s="2" t="s">
        <v>102</v>
      </c>
      <c r="H534" s="2" t="s">
        <v>35</v>
      </c>
      <c r="I534" s="2" t="s">
        <v>36</v>
      </c>
      <c r="J534" s="2" t="s">
        <v>60</v>
      </c>
      <c r="K534" s="2" t="s">
        <v>36</v>
      </c>
      <c r="L534">
        <v>1636.3</v>
      </c>
      <c r="M534">
        <v>1</v>
      </c>
      <c r="N534">
        <v>11</v>
      </c>
      <c r="O534">
        <v>6600879</v>
      </c>
      <c r="P534" s="2" t="s">
        <v>61</v>
      </c>
      <c r="Q534" s="2" t="s">
        <v>35</v>
      </c>
      <c r="R534" s="2" t="s">
        <v>30</v>
      </c>
      <c r="S534">
        <v>6</v>
      </c>
      <c r="T534" s="1">
        <v>43260</v>
      </c>
      <c r="U534" s="1">
        <v>43267</v>
      </c>
      <c r="V534" s="2" t="s">
        <v>42</v>
      </c>
      <c r="W534" s="1">
        <f>fNotasFiscais[[#This Row],[Data da Coleta]]+fNotasFiscais[[#This Row],[Prazo Contratado]]</f>
        <v>43266</v>
      </c>
      <c r="X534" s="3">
        <f>IF(fNotasFiscais[[#This Row],[Data da Entrega]]&gt;fNotasFiscais[[#This Row],[Data Contratada]],0,1)</f>
        <v>0</v>
      </c>
      <c r="Y534" s="3">
        <f>IF(fNotasFiscais[[#This Row],[Ocorrência]]="",1,0)</f>
        <v>0</v>
      </c>
      <c r="Z534" s="2">
        <f>fNotasFiscais[[#This Row],[On Time]]*fNotasFiscais[[#This Row],[In Full]]</f>
        <v>0</v>
      </c>
      <c r="AA534">
        <f>IF(fNotasFiscais[[#This Row],[Nota Fiscal]]&lt;&gt;"",1,0)</f>
        <v>1</v>
      </c>
    </row>
    <row r="535" spans="1:27" x14ac:dyDescent="0.25">
      <c r="A535" s="1">
        <v>43260</v>
      </c>
      <c r="B535">
        <v>10944</v>
      </c>
      <c r="C535" s="2" t="s">
        <v>43</v>
      </c>
      <c r="D535" s="2" t="s">
        <v>44</v>
      </c>
      <c r="E535" s="2" t="s">
        <v>45</v>
      </c>
      <c r="F535">
        <v>4030</v>
      </c>
      <c r="G535" s="2" t="s">
        <v>102</v>
      </c>
      <c r="H535" s="2" t="s">
        <v>35</v>
      </c>
      <c r="I535" s="2" t="s">
        <v>36</v>
      </c>
      <c r="J535" s="2" t="s">
        <v>60</v>
      </c>
      <c r="K535" s="2" t="s">
        <v>36</v>
      </c>
      <c r="L535">
        <v>1638.39</v>
      </c>
      <c r="M535">
        <v>2</v>
      </c>
      <c r="N535">
        <v>0.61599999999999999</v>
      </c>
      <c r="O535">
        <v>6600879</v>
      </c>
      <c r="P535" s="2" t="s">
        <v>61</v>
      </c>
      <c r="Q535" s="2" t="s">
        <v>35</v>
      </c>
      <c r="R535" s="2" t="s">
        <v>30</v>
      </c>
      <c r="S535">
        <v>2</v>
      </c>
      <c r="T535" s="1">
        <v>43260</v>
      </c>
      <c r="U535" s="1">
        <v>43266</v>
      </c>
      <c r="V535" s="2"/>
      <c r="W535" s="1">
        <f>fNotasFiscais[[#This Row],[Data da Coleta]]+fNotasFiscais[[#This Row],[Prazo Contratado]]</f>
        <v>43262</v>
      </c>
      <c r="X535" s="3">
        <f>IF(fNotasFiscais[[#This Row],[Data da Entrega]]&gt;fNotasFiscais[[#This Row],[Data Contratada]],0,1)</f>
        <v>0</v>
      </c>
      <c r="Y535" s="3">
        <f>IF(fNotasFiscais[[#This Row],[Ocorrência]]="",1,0)</f>
        <v>1</v>
      </c>
      <c r="Z535" s="2">
        <f>fNotasFiscais[[#This Row],[On Time]]*fNotasFiscais[[#This Row],[In Full]]</f>
        <v>0</v>
      </c>
      <c r="AA535">
        <f>IF(fNotasFiscais[[#This Row],[Nota Fiscal]]&lt;&gt;"",1,0)</f>
        <v>1</v>
      </c>
    </row>
    <row r="536" spans="1:27" x14ac:dyDescent="0.25">
      <c r="A536" s="1">
        <v>43260</v>
      </c>
      <c r="B536">
        <v>10945</v>
      </c>
      <c r="C536" s="2" t="s">
        <v>34</v>
      </c>
      <c r="D536" s="2" t="s">
        <v>35</v>
      </c>
      <c r="E536" s="2" t="s">
        <v>36</v>
      </c>
      <c r="F536">
        <v>4040</v>
      </c>
      <c r="G536" s="2" t="s">
        <v>117</v>
      </c>
      <c r="H536" s="2" t="s">
        <v>47</v>
      </c>
      <c r="I536" s="2" t="s">
        <v>48</v>
      </c>
      <c r="J536" s="2" t="s">
        <v>49</v>
      </c>
      <c r="K536" s="2" t="s">
        <v>48</v>
      </c>
      <c r="L536">
        <v>651.69000000000005</v>
      </c>
      <c r="M536">
        <v>2</v>
      </c>
      <c r="N536">
        <v>11.304</v>
      </c>
      <c r="O536">
        <v>6100231</v>
      </c>
      <c r="P536" s="2" t="s">
        <v>50</v>
      </c>
      <c r="Q536" s="2" t="s">
        <v>51</v>
      </c>
      <c r="R536" s="2" t="s">
        <v>62</v>
      </c>
      <c r="S536">
        <v>6</v>
      </c>
      <c r="T536" s="1">
        <v>43260</v>
      </c>
      <c r="U536" s="1">
        <v>43263</v>
      </c>
      <c r="V536" s="2" t="s">
        <v>42</v>
      </c>
      <c r="W536" s="1">
        <f>fNotasFiscais[[#This Row],[Data da Coleta]]+fNotasFiscais[[#This Row],[Prazo Contratado]]</f>
        <v>43266</v>
      </c>
      <c r="X536" s="3">
        <f>IF(fNotasFiscais[[#This Row],[Data da Entrega]]&gt;fNotasFiscais[[#This Row],[Data Contratada]],0,1)</f>
        <v>1</v>
      </c>
      <c r="Y536" s="3">
        <f>IF(fNotasFiscais[[#This Row],[Ocorrência]]="",1,0)</f>
        <v>0</v>
      </c>
      <c r="Z536" s="2">
        <f>fNotasFiscais[[#This Row],[On Time]]*fNotasFiscais[[#This Row],[In Full]]</f>
        <v>0</v>
      </c>
      <c r="AA536">
        <f>IF(fNotasFiscais[[#This Row],[Nota Fiscal]]&lt;&gt;"",1,0)</f>
        <v>1</v>
      </c>
    </row>
    <row r="537" spans="1:27" x14ac:dyDescent="0.25">
      <c r="A537" s="1">
        <v>43260</v>
      </c>
      <c r="B537">
        <v>10946</v>
      </c>
      <c r="C537" s="2" t="s">
        <v>43</v>
      </c>
      <c r="D537" s="2" t="s">
        <v>44</v>
      </c>
      <c r="E537" s="2" t="s">
        <v>45</v>
      </c>
      <c r="F537">
        <v>4062</v>
      </c>
      <c r="G537" s="2" t="s">
        <v>96</v>
      </c>
      <c r="H537" s="2" t="s">
        <v>97</v>
      </c>
      <c r="I537" s="2" t="s">
        <v>48</v>
      </c>
      <c r="J537" s="2" t="s">
        <v>49</v>
      </c>
      <c r="K537" s="2" t="s">
        <v>48</v>
      </c>
      <c r="L537">
        <v>1072.4000000000001</v>
      </c>
      <c r="M537">
        <v>2</v>
      </c>
      <c r="N537">
        <v>4.048</v>
      </c>
      <c r="O537">
        <v>6100231</v>
      </c>
      <c r="P537" s="2" t="s">
        <v>50</v>
      </c>
      <c r="Q537" s="2" t="s">
        <v>51</v>
      </c>
      <c r="R537" s="2" t="s">
        <v>30</v>
      </c>
      <c r="S537">
        <v>11</v>
      </c>
      <c r="T537" s="1">
        <v>43260</v>
      </c>
      <c r="U537" s="1">
        <v>43268</v>
      </c>
      <c r="V537" s="2"/>
      <c r="W537" s="1">
        <f>fNotasFiscais[[#This Row],[Data da Coleta]]+fNotasFiscais[[#This Row],[Prazo Contratado]]</f>
        <v>43271</v>
      </c>
      <c r="X537" s="3">
        <f>IF(fNotasFiscais[[#This Row],[Data da Entrega]]&gt;fNotasFiscais[[#This Row],[Data Contratada]],0,1)</f>
        <v>1</v>
      </c>
      <c r="Y537" s="3">
        <f>IF(fNotasFiscais[[#This Row],[Ocorrência]]="",1,0)</f>
        <v>1</v>
      </c>
      <c r="Z537" s="2">
        <f>fNotasFiscais[[#This Row],[On Time]]*fNotasFiscais[[#This Row],[In Full]]</f>
        <v>1</v>
      </c>
      <c r="AA537">
        <f>IF(fNotasFiscais[[#This Row],[Nota Fiscal]]&lt;&gt;"",1,0)</f>
        <v>1</v>
      </c>
    </row>
    <row r="538" spans="1:27" x14ac:dyDescent="0.25">
      <c r="A538" s="1">
        <v>43260</v>
      </c>
      <c r="B538">
        <v>10947</v>
      </c>
      <c r="C538" s="2" t="s">
        <v>52</v>
      </c>
      <c r="D538" s="2" t="s">
        <v>53</v>
      </c>
      <c r="E538" s="2" t="s">
        <v>33</v>
      </c>
      <c r="F538">
        <v>4055</v>
      </c>
      <c r="G538" s="2" t="s">
        <v>120</v>
      </c>
      <c r="H538" s="2" t="s">
        <v>47</v>
      </c>
      <c r="I538" s="2" t="s">
        <v>48</v>
      </c>
      <c r="J538" s="2" t="s">
        <v>49</v>
      </c>
      <c r="K538" s="2" t="s">
        <v>48</v>
      </c>
      <c r="L538">
        <v>1972.74</v>
      </c>
      <c r="M538">
        <v>2</v>
      </c>
      <c r="N538">
        <v>6.9969999999999999</v>
      </c>
      <c r="O538">
        <v>6100231</v>
      </c>
      <c r="P538" s="2" t="s">
        <v>50</v>
      </c>
      <c r="Q538" s="2" t="s">
        <v>51</v>
      </c>
      <c r="R538" s="2" t="s">
        <v>30</v>
      </c>
      <c r="S538">
        <v>4</v>
      </c>
      <c r="T538" s="1">
        <v>43260</v>
      </c>
      <c r="U538" s="1">
        <v>43262</v>
      </c>
      <c r="V538" s="2"/>
      <c r="W538" s="1">
        <f>fNotasFiscais[[#This Row],[Data da Coleta]]+fNotasFiscais[[#This Row],[Prazo Contratado]]</f>
        <v>43264</v>
      </c>
      <c r="X538" s="3">
        <f>IF(fNotasFiscais[[#This Row],[Data da Entrega]]&gt;fNotasFiscais[[#This Row],[Data Contratada]],0,1)</f>
        <v>1</v>
      </c>
      <c r="Y538" s="3">
        <f>IF(fNotasFiscais[[#This Row],[Ocorrência]]="",1,0)</f>
        <v>1</v>
      </c>
      <c r="Z538" s="2">
        <f>fNotasFiscais[[#This Row],[On Time]]*fNotasFiscais[[#This Row],[In Full]]</f>
        <v>1</v>
      </c>
      <c r="AA538">
        <f>IF(fNotasFiscais[[#This Row],[Nota Fiscal]]&lt;&gt;"",1,0)</f>
        <v>1</v>
      </c>
    </row>
    <row r="539" spans="1:27" x14ac:dyDescent="0.25">
      <c r="A539" s="1">
        <v>43260</v>
      </c>
      <c r="B539">
        <v>10948</v>
      </c>
      <c r="C539" s="2" t="s">
        <v>22</v>
      </c>
      <c r="D539" s="2" t="s">
        <v>23</v>
      </c>
      <c r="E539" s="2" t="s">
        <v>24</v>
      </c>
      <c r="F539">
        <v>4040</v>
      </c>
      <c r="G539" s="2" t="s">
        <v>117</v>
      </c>
      <c r="H539" s="2" t="s">
        <v>47</v>
      </c>
      <c r="I539" s="2" t="s">
        <v>48</v>
      </c>
      <c r="J539" s="2" t="s">
        <v>49</v>
      </c>
      <c r="K539" s="2" t="s">
        <v>48</v>
      </c>
      <c r="L539">
        <v>1268.7</v>
      </c>
      <c r="M539">
        <v>2</v>
      </c>
      <c r="N539">
        <v>9.3520000000000003</v>
      </c>
      <c r="O539">
        <v>6100231</v>
      </c>
      <c r="P539" s="2" t="s">
        <v>50</v>
      </c>
      <c r="Q539" s="2" t="s">
        <v>51</v>
      </c>
      <c r="R539" s="2" t="s">
        <v>30</v>
      </c>
      <c r="S539">
        <v>7</v>
      </c>
      <c r="T539" s="1">
        <v>43260</v>
      </c>
      <c r="U539" s="1">
        <v>43262</v>
      </c>
      <c r="V539" s="2"/>
      <c r="W539" s="1">
        <f>fNotasFiscais[[#This Row],[Data da Coleta]]+fNotasFiscais[[#This Row],[Prazo Contratado]]</f>
        <v>43267</v>
      </c>
      <c r="X539" s="3">
        <f>IF(fNotasFiscais[[#This Row],[Data da Entrega]]&gt;fNotasFiscais[[#This Row],[Data Contratada]],0,1)</f>
        <v>1</v>
      </c>
      <c r="Y539" s="3">
        <f>IF(fNotasFiscais[[#This Row],[Ocorrência]]="",1,0)</f>
        <v>1</v>
      </c>
      <c r="Z539" s="2">
        <f>fNotasFiscais[[#This Row],[On Time]]*fNotasFiscais[[#This Row],[In Full]]</f>
        <v>1</v>
      </c>
      <c r="AA539">
        <f>IF(fNotasFiscais[[#This Row],[Nota Fiscal]]&lt;&gt;"",1,0)</f>
        <v>1</v>
      </c>
    </row>
    <row r="540" spans="1:27" x14ac:dyDescent="0.25">
      <c r="A540" s="1">
        <v>43264</v>
      </c>
      <c r="B540">
        <v>10949</v>
      </c>
      <c r="C540" s="2" t="s">
        <v>22</v>
      </c>
      <c r="D540" s="2" t="s">
        <v>23</v>
      </c>
      <c r="E540" s="2" t="s">
        <v>24</v>
      </c>
      <c r="F540">
        <v>4103</v>
      </c>
      <c r="G540" s="2" t="s">
        <v>186</v>
      </c>
      <c r="H540" s="2" t="s">
        <v>165</v>
      </c>
      <c r="I540" s="2" t="s">
        <v>24</v>
      </c>
      <c r="J540" s="2" t="s">
        <v>28</v>
      </c>
      <c r="K540" s="2" t="s">
        <v>24</v>
      </c>
      <c r="L540">
        <v>100.23</v>
      </c>
      <c r="M540">
        <v>2</v>
      </c>
      <c r="N540">
        <v>9.3209999999999997</v>
      </c>
      <c r="O540">
        <v>6500948</v>
      </c>
      <c r="P540" s="2" t="s">
        <v>29</v>
      </c>
      <c r="Q540" s="2" t="s">
        <v>23</v>
      </c>
      <c r="R540" s="2" t="s">
        <v>30</v>
      </c>
      <c r="S540">
        <v>5</v>
      </c>
      <c r="T540" s="1">
        <v>43264</v>
      </c>
      <c r="U540" s="1">
        <v>43267</v>
      </c>
      <c r="V540" s="2"/>
      <c r="W540" s="1">
        <f>fNotasFiscais[[#This Row],[Data da Coleta]]+fNotasFiscais[[#This Row],[Prazo Contratado]]</f>
        <v>43269</v>
      </c>
      <c r="X540" s="3">
        <f>IF(fNotasFiscais[[#This Row],[Data da Entrega]]&gt;fNotasFiscais[[#This Row],[Data Contratada]],0,1)</f>
        <v>1</v>
      </c>
      <c r="Y540" s="3">
        <f>IF(fNotasFiscais[[#This Row],[Ocorrência]]="",1,0)</f>
        <v>1</v>
      </c>
      <c r="Z540" s="2">
        <f>fNotasFiscais[[#This Row],[On Time]]*fNotasFiscais[[#This Row],[In Full]]</f>
        <v>1</v>
      </c>
      <c r="AA540">
        <f>IF(fNotasFiscais[[#This Row],[Nota Fiscal]]&lt;&gt;"",1,0)</f>
        <v>1</v>
      </c>
    </row>
    <row r="541" spans="1:27" x14ac:dyDescent="0.25">
      <c r="A541" s="1">
        <v>43264</v>
      </c>
      <c r="B541">
        <v>10950</v>
      </c>
      <c r="C541" s="2" t="s">
        <v>43</v>
      </c>
      <c r="D541" s="2" t="s">
        <v>44</v>
      </c>
      <c r="E541" s="2" t="s">
        <v>45</v>
      </c>
      <c r="F541">
        <v>4056</v>
      </c>
      <c r="G541" s="2" t="s">
        <v>119</v>
      </c>
      <c r="H541" s="2" t="s">
        <v>51</v>
      </c>
      <c r="I541" s="2" t="s">
        <v>73</v>
      </c>
      <c r="J541" s="2" t="s">
        <v>49</v>
      </c>
      <c r="K541" s="2" t="s">
        <v>73</v>
      </c>
      <c r="L541">
        <v>955.24</v>
      </c>
      <c r="M541">
        <v>1</v>
      </c>
      <c r="N541">
        <v>1.1200000000000001</v>
      </c>
      <c r="O541">
        <v>6100231</v>
      </c>
      <c r="P541" s="2" t="s">
        <v>50</v>
      </c>
      <c r="Q541" s="2" t="s">
        <v>51</v>
      </c>
      <c r="R541" s="2" t="s">
        <v>30</v>
      </c>
      <c r="S541">
        <v>4</v>
      </c>
      <c r="T541" s="1">
        <v>43264</v>
      </c>
      <c r="U541" s="1">
        <v>43273</v>
      </c>
      <c r="V541" s="2"/>
      <c r="W541" s="1">
        <f>fNotasFiscais[[#This Row],[Data da Coleta]]+fNotasFiscais[[#This Row],[Prazo Contratado]]</f>
        <v>43268</v>
      </c>
      <c r="X541" s="3">
        <f>IF(fNotasFiscais[[#This Row],[Data da Entrega]]&gt;fNotasFiscais[[#This Row],[Data Contratada]],0,1)</f>
        <v>0</v>
      </c>
      <c r="Y541" s="3">
        <f>IF(fNotasFiscais[[#This Row],[Ocorrência]]="",1,0)</f>
        <v>1</v>
      </c>
      <c r="Z541" s="2">
        <f>fNotasFiscais[[#This Row],[On Time]]*fNotasFiscais[[#This Row],[In Full]]</f>
        <v>0</v>
      </c>
      <c r="AA541">
        <f>IF(fNotasFiscais[[#This Row],[Nota Fiscal]]&lt;&gt;"",1,0)</f>
        <v>1</v>
      </c>
    </row>
    <row r="542" spans="1:27" x14ac:dyDescent="0.25">
      <c r="A542" s="1">
        <v>43264</v>
      </c>
      <c r="B542">
        <v>10951</v>
      </c>
      <c r="C542" s="2" t="s">
        <v>40</v>
      </c>
      <c r="D542" s="2" t="s">
        <v>41</v>
      </c>
      <c r="E542" s="2" t="s">
        <v>33</v>
      </c>
      <c r="F542">
        <v>4013</v>
      </c>
      <c r="G542" s="2" t="s">
        <v>37</v>
      </c>
      <c r="H542" s="2" t="s">
        <v>38</v>
      </c>
      <c r="I542" s="2" t="s">
        <v>39</v>
      </c>
      <c r="J542" s="2" t="s">
        <v>28</v>
      </c>
      <c r="K542" s="2" t="s">
        <v>39</v>
      </c>
      <c r="L542">
        <v>13.69</v>
      </c>
      <c r="M542">
        <v>1</v>
      </c>
      <c r="N542">
        <v>1.1200000000000001</v>
      </c>
      <c r="O542">
        <v>6500948</v>
      </c>
      <c r="P542" s="2" t="s">
        <v>29</v>
      </c>
      <c r="Q542" s="2" t="s">
        <v>23</v>
      </c>
      <c r="R542" s="2" t="s">
        <v>30</v>
      </c>
      <c r="S542">
        <v>7</v>
      </c>
      <c r="T542" s="1">
        <v>43264</v>
      </c>
      <c r="U542" s="1">
        <v>43266</v>
      </c>
      <c r="V542" s="2"/>
      <c r="W542" s="1">
        <f>fNotasFiscais[[#This Row],[Data da Coleta]]+fNotasFiscais[[#This Row],[Prazo Contratado]]</f>
        <v>43271</v>
      </c>
      <c r="X542" s="3">
        <f>IF(fNotasFiscais[[#This Row],[Data da Entrega]]&gt;fNotasFiscais[[#This Row],[Data Contratada]],0,1)</f>
        <v>1</v>
      </c>
      <c r="Y542" s="3">
        <f>IF(fNotasFiscais[[#This Row],[Ocorrência]]="",1,0)</f>
        <v>1</v>
      </c>
      <c r="Z542" s="2">
        <f>fNotasFiscais[[#This Row],[On Time]]*fNotasFiscais[[#This Row],[In Full]]</f>
        <v>1</v>
      </c>
      <c r="AA542">
        <f>IF(fNotasFiscais[[#This Row],[Nota Fiscal]]&lt;&gt;"",1,0)</f>
        <v>1</v>
      </c>
    </row>
    <row r="543" spans="1:27" x14ac:dyDescent="0.25">
      <c r="A543" s="1">
        <v>43264</v>
      </c>
      <c r="B543">
        <v>10952</v>
      </c>
      <c r="C543" s="2" t="s">
        <v>43</v>
      </c>
      <c r="D543" s="2" t="s">
        <v>44</v>
      </c>
      <c r="E543" s="2" t="s">
        <v>45</v>
      </c>
      <c r="F543">
        <v>4013</v>
      </c>
      <c r="G543" s="2" t="s">
        <v>37</v>
      </c>
      <c r="H543" s="2" t="s">
        <v>38</v>
      </c>
      <c r="I543" s="2" t="s">
        <v>39</v>
      </c>
      <c r="J543" s="2" t="s">
        <v>28</v>
      </c>
      <c r="K543" s="2" t="s">
        <v>39</v>
      </c>
      <c r="L543">
        <v>6309.71</v>
      </c>
      <c r="M543">
        <v>10</v>
      </c>
      <c r="N543">
        <v>35.621000000000002</v>
      </c>
      <c r="O543">
        <v>6500948</v>
      </c>
      <c r="P543" s="2" t="s">
        <v>29</v>
      </c>
      <c r="Q543" s="2" t="s">
        <v>23</v>
      </c>
      <c r="R543" s="2" t="s">
        <v>30</v>
      </c>
      <c r="S543">
        <v>6</v>
      </c>
      <c r="T543" s="1">
        <v>43264</v>
      </c>
      <c r="U543" s="1">
        <v>43269</v>
      </c>
      <c r="V543" s="2"/>
      <c r="W543" s="1">
        <f>fNotasFiscais[[#This Row],[Data da Coleta]]+fNotasFiscais[[#This Row],[Prazo Contratado]]</f>
        <v>43270</v>
      </c>
      <c r="X543" s="3">
        <f>IF(fNotasFiscais[[#This Row],[Data da Entrega]]&gt;fNotasFiscais[[#This Row],[Data Contratada]],0,1)</f>
        <v>1</v>
      </c>
      <c r="Y543" s="3">
        <f>IF(fNotasFiscais[[#This Row],[Ocorrência]]="",1,0)</f>
        <v>1</v>
      </c>
      <c r="Z543" s="2">
        <f>fNotasFiscais[[#This Row],[On Time]]*fNotasFiscais[[#This Row],[In Full]]</f>
        <v>1</v>
      </c>
      <c r="AA543">
        <f>IF(fNotasFiscais[[#This Row],[Nota Fiscal]]&lt;&gt;"",1,0)</f>
        <v>1</v>
      </c>
    </row>
    <row r="544" spans="1:27" x14ac:dyDescent="0.25">
      <c r="A544" s="1">
        <v>43264</v>
      </c>
      <c r="B544">
        <v>10953</v>
      </c>
      <c r="C544" s="2" t="s">
        <v>34</v>
      </c>
      <c r="D544" s="2" t="s">
        <v>35</v>
      </c>
      <c r="E544" s="2" t="s">
        <v>36</v>
      </c>
      <c r="F544">
        <v>4013</v>
      </c>
      <c r="G544" s="2" t="s">
        <v>37</v>
      </c>
      <c r="H544" s="2" t="s">
        <v>38</v>
      </c>
      <c r="I544" s="2" t="s">
        <v>39</v>
      </c>
      <c r="J544" s="2" t="s">
        <v>28</v>
      </c>
      <c r="K544" s="2" t="s">
        <v>39</v>
      </c>
      <c r="L544">
        <v>765.22</v>
      </c>
      <c r="M544">
        <v>1</v>
      </c>
      <c r="N544">
        <v>1.1200000000000001</v>
      </c>
      <c r="O544">
        <v>6500948</v>
      </c>
      <c r="P544" s="2" t="s">
        <v>29</v>
      </c>
      <c r="Q544" s="2" t="s">
        <v>23</v>
      </c>
      <c r="R544" s="2" t="s">
        <v>30</v>
      </c>
      <c r="S544">
        <v>9</v>
      </c>
      <c r="T544" s="1">
        <v>43264</v>
      </c>
      <c r="U544" s="1">
        <v>43269</v>
      </c>
      <c r="V544" s="2"/>
      <c r="W544" s="1">
        <f>fNotasFiscais[[#This Row],[Data da Coleta]]+fNotasFiscais[[#This Row],[Prazo Contratado]]</f>
        <v>43273</v>
      </c>
      <c r="X544" s="3">
        <f>IF(fNotasFiscais[[#This Row],[Data da Entrega]]&gt;fNotasFiscais[[#This Row],[Data Contratada]],0,1)</f>
        <v>1</v>
      </c>
      <c r="Y544" s="3">
        <f>IF(fNotasFiscais[[#This Row],[Ocorrência]]="",1,0)</f>
        <v>1</v>
      </c>
      <c r="Z544" s="2">
        <f>fNotasFiscais[[#This Row],[On Time]]*fNotasFiscais[[#This Row],[In Full]]</f>
        <v>1</v>
      </c>
      <c r="AA544">
        <f>IF(fNotasFiscais[[#This Row],[Nota Fiscal]]&lt;&gt;"",1,0)</f>
        <v>1</v>
      </c>
    </row>
    <row r="545" spans="1:27" x14ac:dyDescent="0.25">
      <c r="A545" s="1">
        <v>43264</v>
      </c>
      <c r="B545">
        <v>10954</v>
      </c>
      <c r="C545" s="2" t="s">
        <v>22</v>
      </c>
      <c r="D545" s="2" t="s">
        <v>23</v>
      </c>
      <c r="E545" s="2" t="s">
        <v>24</v>
      </c>
      <c r="F545">
        <v>4013</v>
      </c>
      <c r="G545" s="2" t="s">
        <v>37</v>
      </c>
      <c r="H545" s="2" t="s">
        <v>38</v>
      </c>
      <c r="I545" s="2" t="s">
        <v>39</v>
      </c>
      <c r="J545" s="2" t="s">
        <v>28</v>
      </c>
      <c r="K545" s="2" t="s">
        <v>39</v>
      </c>
      <c r="L545">
        <v>221.01</v>
      </c>
      <c r="M545">
        <v>1</v>
      </c>
      <c r="N545">
        <v>0.16800000000000001</v>
      </c>
      <c r="O545">
        <v>6500948</v>
      </c>
      <c r="P545" s="2" t="s">
        <v>29</v>
      </c>
      <c r="Q545" s="2" t="s">
        <v>23</v>
      </c>
      <c r="R545" s="2" t="s">
        <v>30</v>
      </c>
      <c r="S545">
        <v>2</v>
      </c>
      <c r="T545" s="1">
        <v>43264</v>
      </c>
      <c r="U545" s="1">
        <v>43268</v>
      </c>
      <c r="V545" s="2"/>
      <c r="W545" s="1">
        <f>fNotasFiscais[[#This Row],[Data da Coleta]]+fNotasFiscais[[#This Row],[Prazo Contratado]]</f>
        <v>43266</v>
      </c>
      <c r="X545" s="3">
        <f>IF(fNotasFiscais[[#This Row],[Data da Entrega]]&gt;fNotasFiscais[[#This Row],[Data Contratada]],0,1)</f>
        <v>0</v>
      </c>
      <c r="Y545" s="3">
        <f>IF(fNotasFiscais[[#This Row],[Ocorrência]]="",1,0)</f>
        <v>1</v>
      </c>
      <c r="Z545" s="2">
        <f>fNotasFiscais[[#This Row],[On Time]]*fNotasFiscais[[#This Row],[In Full]]</f>
        <v>0</v>
      </c>
      <c r="AA545">
        <f>IF(fNotasFiscais[[#This Row],[Nota Fiscal]]&lt;&gt;"",1,0)</f>
        <v>1</v>
      </c>
    </row>
    <row r="546" spans="1:27" x14ac:dyDescent="0.25">
      <c r="A546" s="1">
        <v>43264</v>
      </c>
      <c r="B546">
        <v>10955</v>
      </c>
      <c r="C546" s="2" t="s">
        <v>43</v>
      </c>
      <c r="D546" s="2" t="s">
        <v>44</v>
      </c>
      <c r="E546" s="2" t="s">
        <v>45</v>
      </c>
      <c r="F546">
        <v>4056</v>
      </c>
      <c r="G546" s="2" t="s">
        <v>119</v>
      </c>
      <c r="H546" s="2" t="s">
        <v>51</v>
      </c>
      <c r="I546" s="2" t="s">
        <v>73</v>
      </c>
      <c r="J546" s="2" t="s">
        <v>49</v>
      </c>
      <c r="K546" s="2" t="s">
        <v>73</v>
      </c>
      <c r="L546">
        <v>2864.71</v>
      </c>
      <c r="M546">
        <v>3</v>
      </c>
      <c r="N546">
        <v>14.444000000000001</v>
      </c>
      <c r="O546">
        <v>6100231</v>
      </c>
      <c r="P546" s="2" t="s">
        <v>50</v>
      </c>
      <c r="Q546" s="2" t="s">
        <v>51</v>
      </c>
      <c r="R546" s="2" t="s">
        <v>30</v>
      </c>
      <c r="S546">
        <v>9</v>
      </c>
      <c r="T546" s="1">
        <v>43264</v>
      </c>
      <c r="U546" s="1">
        <v>43272</v>
      </c>
      <c r="V546" s="2"/>
      <c r="W546" s="1">
        <f>fNotasFiscais[[#This Row],[Data da Coleta]]+fNotasFiscais[[#This Row],[Prazo Contratado]]</f>
        <v>43273</v>
      </c>
      <c r="X546" s="3">
        <f>IF(fNotasFiscais[[#This Row],[Data da Entrega]]&gt;fNotasFiscais[[#This Row],[Data Contratada]],0,1)</f>
        <v>1</v>
      </c>
      <c r="Y546" s="3">
        <f>IF(fNotasFiscais[[#This Row],[Ocorrência]]="",1,0)</f>
        <v>1</v>
      </c>
      <c r="Z546" s="2">
        <f>fNotasFiscais[[#This Row],[On Time]]*fNotasFiscais[[#This Row],[In Full]]</f>
        <v>1</v>
      </c>
      <c r="AA546">
        <f>IF(fNotasFiscais[[#This Row],[Nota Fiscal]]&lt;&gt;"",1,0)</f>
        <v>1</v>
      </c>
    </row>
    <row r="547" spans="1:27" x14ac:dyDescent="0.25">
      <c r="A547" s="1">
        <v>43264</v>
      </c>
      <c r="B547">
        <v>10956</v>
      </c>
      <c r="C547" s="2" t="s">
        <v>22</v>
      </c>
      <c r="D547" s="2" t="s">
        <v>23</v>
      </c>
      <c r="E547" s="2" t="s">
        <v>24</v>
      </c>
      <c r="F547">
        <v>4056</v>
      </c>
      <c r="G547" s="2" t="s">
        <v>119</v>
      </c>
      <c r="H547" s="2" t="s">
        <v>51</v>
      </c>
      <c r="I547" s="2" t="s">
        <v>73</v>
      </c>
      <c r="J547" s="2" t="s">
        <v>49</v>
      </c>
      <c r="K547" s="2" t="s">
        <v>73</v>
      </c>
      <c r="L547">
        <v>58.86</v>
      </c>
      <c r="M547">
        <v>1</v>
      </c>
      <c r="N547">
        <v>1.1200000000000001</v>
      </c>
      <c r="O547">
        <v>6100231</v>
      </c>
      <c r="P547" s="2" t="s">
        <v>50</v>
      </c>
      <c r="Q547" s="2" t="s">
        <v>51</v>
      </c>
      <c r="R547" s="2" t="s">
        <v>30</v>
      </c>
      <c r="S547">
        <v>2</v>
      </c>
      <c r="T547" s="1">
        <v>43264</v>
      </c>
      <c r="U547" s="1">
        <v>43271</v>
      </c>
      <c r="V547" s="2"/>
      <c r="W547" s="1">
        <f>fNotasFiscais[[#This Row],[Data da Coleta]]+fNotasFiscais[[#This Row],[Prazo Contratado]]</f>
        <v>43266</v>
      </c>
      <c r="X547" s="3">
        <f>IF(fNotasFiscais[[#This Row],[Data da Entrega]]&gt;fNotasFiscais[[#This Row],[Data Contratada]],0,1)</f>
        <v>0</v>
      </c>
      <c r="Y547" s="3">
        <f>IF(fNotasFiscais[[#This Row],[Ocorrência]]="",1,0)</f>
        <v>1</v>
      </c>
      <c r="Z547" s="2">
        <f>fNotasFiscais[[#This Row],[On Time]]*fNotasFiscais[[#This Row],[In Full]]</f>
        <v>0</v>
      </c>
      <c r="AA547">
        <f>IF(fNotasFiscais[[#This Row],[Nota Fiscal]]&lt;&gt;"",1,0)</f>
        <v>1</v>
      </c>
    </row>
    <row r="548" spans="1:27" x14ac:dyDescent="0.25">
      <c r="A548" s="1">
        <v>43264</v>
      </c>
      <c r="B548">
        <v>10957</v>
      </c>
      <c r="C548" s="2" t="s">
        <v>43</v>
      </c>
      <c r="D548" s="2" t="s">
        <v>44</v>
      </c>
      <c r="E548" s="2" t="s">
        <v>45</v>
      </c>
      <c r="F548">
        <v>4013</v>
      </c>
      <c r="G548" s="2" t="s">
        <v>37</v>
      </c>
      <c r="H548" s="2" t="s">
        <v>38</v>
      </c>
      <c r="I548" s="2" t="s">
        <v>39</v>
      </c>
      <c r="J548" s="2" t="s">
        <v>28</v>
      </c>
      <c r="K548" s="2" t="s">
        <v>39</v>
      </c>
      <c r="L548">
        <v>1186.99</v>
      </c>
      <c r="M548">
        <v>1</v>
      </c>
      <c r="N548">
        <v>3.19</v>
      </c>
      <c r="O548">
        <v>6500948</v>
      </c>
      <c r="P548" s="2" t="s">
        <v>29</v>
      </c>
      <c r="Q548" s="2" t="s">
        <v>23</v>
      </c>
      <c r="R548" s="2" t="s">
        <v>30</v>
      </c>
      <c r="S548">
        <v>1</v>
      </c>
      <c r="T548" s="1">
        <v>43264</v>
      </c>
      <c r="U548" s="1">
        <v>43271</v>
      </c>
      <c r="V548" s="2"/>
      <c r="W548" s="1">
        <f>fNotasFiscais[[#This Row],[Data da Coleta]]+fNotasFiscais[[#This Row],[Prazo Contratado]]</f>
        <v>43265</v>
      </c>
      <c r="X548" s="3">
        <f>IF(fNotasFiscais[[#This Row],[Data da Entrega]]&gt;fNotasFiscais[[#This Row],[Data Contratada]],0,1)</f>
        <v>0</v>
      </c>
      <c r="Y548" s="3">
        <f>IF(fNotasFiscais[[#This Row],[Ocorrência]]="",1,0)</f>
        <v>1</v>
      </c>
      <c r="Z548" s="2">
        <f>fNotasFiscais[[#This Row],[On Time]]*fNotasFiscais[[#This Row],[In Full]]</f>
        <v>0</v>
      </c>
      <c r="AA548">
        <f>IF(fNotasFiscais[[#This Row],[Nota Fiscal]]&lt;&gt;"",1,0)</f>
        <v>1</v>
      </c>
    </row>
    <row r="549" spans="1:27" x14ac:dyDescent="0.25">
      <c r="A549" s="1">
        <v>43264</v>
      </c>
      <c r="B549">
        <v>10958</v>
      </c>
      <c r="C549" s="2" t="s">
        <v>54</v>
      </c>
      <c r="D549" s="2" t="s">
        <v>55</v>
      </c>
      <c r="E549" s="2" t="s">
        <v>56</v>
      </c>
      <c r="F549">
        <v>4013</v>
      </c>
      <c r="G549" s="2" t="s">
        <v>37</v>
      </c>
      <c r="H549" s="2" t="s">
        <v>38</v>
      </c>
      <c r="I549" s="2" t="s">
        <v>39</v>
      </c>
      <c r="J549" s="2" t="s">
        <v>28</v>
      </c>
      <c r="K549" s="2" t="s">
        <v>39</v>
      </c>
      <c r="L549">
        <v>3598.73</v>
      </c>
      <c r="M549">
        <v>7</v>
      </c>
      <c r="N549">
        <v>27.385999999999999</v>
      </c>
      <c r="O549">
        <v>6500948</v>
      </c>
      <c r="P549" s="2" t="s">
        <v>29</v>
      </c>
      <c r="Q549" s="2" t="s">
        <v>23</v>
      </c>
      <c r="R549" s="2" t="s">
        <v>30</v>
      </c>
      <c r="S549">
        <v>4</v>
      </c>
      <c r="T549" s="1">
        <v>43264</v>
      </c>
      <c r="U549" s="1">
        <v>43267</v>
      </c>
      <c r="V549" s="2"/>
      <c r="W549" s="1">
        <f>fNotasFiscais[[#This Row],[Data da Coleta]]+fNotasFiscais[[#This Row],[Prazo Contratado]]</f>
        <v>43268</v>
      </c>
      <c r="X549" s="3">
        <f>IF(fNotasFiscais[[#This Row],[Data da Entrega]]&gt;fNotasFiscais[[#This Row],[Data Contratada]],0,1)</f>
        <v>1</v>
      </c>
      <c r="Y549" s="3">
        <f>IF(fNotasFiscais[[#This Row],[Ocorrência]]="",1,0)</f>
        <v>1</v>
      </c>
      <c r="Z549" s="2">
        <f>fNotasFiscais[[#This Row],[On Time]]*fNotasFiscais[[#This Row],[In Full]]</f>
        <v>1</v>
      </c>
      <c r="AA549">
        <f>IF(fNotasFiscais[[#This Row],[Nota Fiscal]]&lt;&gt;"",1,0)</f>
        <v>1</v>
      </c>
    </row>
    <row r="550" spans="1:27" x14ac:dyDescent="0.25">
      <c r="A550" s="1">
        <v>43264</v>
      </c>
      <c r="B550">
        <v>10959</v>
      </c>
      <c r="C550" s="2" t="s">
        <v>34</v>
      </c>
      <c r="D550" s="2" t="s">
        <v>35</v>
      </c>
      <c r="E550" s="2" t="s">
        <v>36</v>
      </c>
      <c r="F550">
        <v>4013</v>
      </c>
      <c r="G550" s="2" t="s">
        <v>37</v>
      </c>
      <c r="H550" s="2" t="s">
        <v>38</v>
      </c>
      <c r="I550" s="2" t="s">
        <v>39</v>
      </c>
      <c r="J550" s="2" t="s">
        <v>28</v>
      </c>
      <c r="K550" s="2" t="s">
        <v>39</v>
      </c>
      <c r="L550">
        <v>2962.3</v>
      </c>
      <c r="M550">
        <v>9</v>
      </c>
      <c r="N550">
        <v>115.5</v>
      </c>
      <c r="O550">
        <v>6500948</v>
      </c>
      <c r="P550" s="2" t="s">
        <v>29</v>
      </c>
      <c r="Q550" s="2" t="s">
        <v>23</v>
      </c>
      <c r="R550" s="2" t="s">
        <v>30</v>
      </c>
      <c r="S550">
        <v>3</v>
      </c>
      <c r="T550" s="1">
        <v>43264</v>
      </c>
      <c r="U550" s="1">
        <v>43269</v>
      </c>
      <c r="V550" s="2"/>
      <c r="W550" s="1">
        <f>fNotasFiscais[[#This Row],[Data da Coleta]]+fNotasFiscais[[#This Row],[Prazo Contratado]]</f>
        <v>43267</v>
      </c>
      <c r="X550" s="3">
        <f>IF(fNotasFiscais[[#This Row],[Data da Entrega]]&gt;fNotasFiscais[[#This Row],[Data Contratada]],0,1)</f>
        <v>0</v>
      </c>
      <c r="Y550" s="3">
        <f>IF(fNotasFiscais[[#This Row],[Ocorrência]]="",1,0)</f>
        <v>1</v>
      </c>
      <c r="Z550" s="2">
        <f>fNotasFiscais[[#This Row],[On Time]]*fNotasFiscais[[#This Row],[In Full]]</f>
        <v>0</v>
      </c>
      <c r="AA550">
        <f>IF(fNotasFiscais[[#This Row],[Nota Fiscal]]&lt;&gt;"",1,0)</f>
        <v>1</v>
      </c>
    </row>
    <row r="551" spans="1:27" x14ac:dyDescent="0.25">
      <c r="A551" s="1">
        <v>43264</v>
      </c>
      <c r="B551">
        <v>10960</v>
      </c>
      <c r="C551" s="2" t="s">
        <v>52</v>
      </c>
      <c r="D551" s="2" t="s">
        <v>53</v>
      </c>
      <c r="E551" s="2" t="s">
        <v>33</v>
      </c>
      <c r="F551">
        <v>4013</v>
      </c>
      <c r="G551" s="2" t="s">
        <v>37</v>
      </c>
      <c r="H551" s="2" t="s">
        <v>38</v>
      </c>
      <c r="I551" s="2" t="s">
        <v>39</v>
      </c>
      <c r="J551" s="2" t="s">
        <v>28</v>
      </c>
      <c r="K551" s="2" t="s">
        <v>39</v>
      </c>
      <c r="L551">
        <v>3967.27</v>
      </c>
      <c r="M551">
        <v>5</v>
      </c>
      <c r="N551">
        <v>26.045000000000002</v>
      </c>
      <c r="O551">
        <v>6500948</v>
      </c>
      <c r="P551" s="2" t="s">
        <v>29</v>
      </c>
      <c r="Q551" s="2" t="s">
        <v>23</v>
      </c>
      <c r="R551" s="2" t="s">
        <v>30</v>
      </c>
      <c r="S551">
        <v>2</v>
      </c>
      <c r="T551" s="1">
        <v>43264</v>
      </c>
      <c r="U551" s="1">
        <v>43273</v>
      </c>
      <c r="V551" s="2"/>
      <c r="W551" s="1">
        <f>fNotasFiscais[[#This Row],[Data da Coleta]]+fNotasFiscais[[#This Row],[Prazo Contratado]]</f>
        <v>43266</v>
      </c>
      <c r="X551" s="3">
        <f>IF(fNotasFiscais[[#This Row],[Data da Entrega]]&gt;fNotasFiscais[[#This Row],[Data Contratada]],0,1)</f>
        <v>0</v>
      </c>
      <c r="Y551" s="3">
        <f>IF(fNotasFiscais[[#This Row],[Ocorrência]]="",1,0)</f>
        <v>1</v>
      </c>
      <c r="Z551" s="2">
        <f>fNotasFiscais[[#This Row],[On Time]]*fNotasFiscais[[#This Row],[In Full]]</f>
        <v>0</v>
      </c>
      <c r="AA551">
        <f>IF(fNotasFiscais[[#This Row],[Nota Fiscal]]&lt;&gt;"",1,0)</f>
        <v>1</v>
      </c>
    </row>
    <row r="552" spans="1:27" x14ac:dyDescent="0.25">
      <c r="A552" s="1">
        <v>43264</v>
      </c>
      <c r="B552">
        <v>10961</v>
      </c>
      <c r="C552" s="2" t="s">
        <v>31</v>
      </c>
      <c r="D552" s="2" t="s">
        <v>32</v>
      </c>
      <c r="E552" s="2" t="s">
        <v>33</v>
      </c>
      <c r="F552">
        <v>4013</v>
      </c>
      <c r="G552" s="2" t="s">
        <v>37</v>
      </c>
      <c r="H552" s="2" t="s">
        <v>38</v>
      </c>
      <c r="I552" s="2" t="s">
        <v>39</v>
      </c>
      <c r="J552" s="2" t="s">
        <v>28</v>
      </c>
      <c r="K552" s="2" t="s">
        <v>39</v>
      </c>
      <c r="L552">
        <v>509.09</v>
      </c>
      <c r="M552">
        <v>1</v>
      </c>
      <c r="N552">
        <v>1.544</v>
      </c>
      <c r="O552">
        <v>6500948</v>
      </c>
      <c r="P552" s="2" t="s">
        <v>29</v>
      </c>
      <c r="Q552" s="2" t="s">
        <v>23</v>
      </c>
      <c r="R552" s="2" t="s">
        <v>30</v>
      </c>
      <c r="S552">
        <v>9</v>
      </c>
      <c r="T552" s="1">
        <v>43264</v>
      </c>
      <c r="U552" s="1">
        <v>43273</v>
      </c>
      <c r="V552" s="2"/>
      <c r="W552" s="1">
        <f>fNotasFiscais[[#This Row],[Data da Coleta]]+fNotasFiscais[[#This Row],[Prazo Contratado]]</f>
        <v>43273</v>
      </c>
      <c r="X552" s="3">
        <f>IF(fNotasFiscais[[#This Row],[Data da Entrega]]&gt;fNotasFiscais[[#This Row],[Data Contratada]],0,1)</f>
        <v>1</v>
      </c>
      <c r="Y552" s="3">
        <f>IF(fNotasFiscais[[#This Row],[Ocorrência]]="",1,0)</f>
        <v>1</v>
      </c>
      <c r="Z552" s="2">
        <f>fNotasFiscais[[#This Row],[On Time]]*fNotasFiscais[[#This Row],[In Full]]</f>
        <v>1</v>
      </c>
      <c r="AA552">
        <f>IF(fNotasFiscais[[#This Row],[Nota Fiscal]]&lt;&gt;"",1,0)</f>
        <v>1</v>
      </c>
    </row>
    <row r="553" spans="1:27" x14ac:dyDescent="0.25">
      <c r="A553" s="1">
        <v>43264</v>
      </c>
      <c r="B553">
        <v>10962</v>
      </c>
      <c r="C553" s="2" t="s">
        <v>22</v>
      </c>
      <c r="D553" s="2" t="s">
        <v>23</v>
      </c>
      <c r="E553" s="2" t="s">
        <v>24</v>
      </c>
      <c r="F553">
        <v>4013</v>
      </c>
      <c r="G553" s="2" t="s">
        <v>37</v>
      </c>
      <c r="H553" s="2" t="s">
        <v>38</v>
      </c>
      <c r="I553" s="2" t="s">
        <v>39</v>
      </c>
      <c r="J553" s="2" t="s">
        <v>28</v>
      </c>
      <c r="K553" s="2" t="s">
        <v>39</v>
      </c>
      <c r="L553">
        <v>1698.96</v>
      </c>
      <c r="M553">
        <v>4</v>
      </c>
      <c r="N553">
        <v>8.0120000000000005</v>
      </c>
      <c r="O553">
        <v>6500948</v>
      </c>
      <c r="P553" s="2" t="s">
        <v>29</v>
      </c>
      <c r="Q553" s="2" t="s">
        <v>23</v>
      </c>
      <c r="R553" s="2" t="s">
        <v>30</v>
      </c>
      <c r="S553">
        <v>12</v>
      </c>
      <c r="T553" s="1">
        <v>43264</v>
      </c>
      <c r="U553" s="1">
        <v>43265</v>
      </c>
      <c r="V553" s="2"/>
      <c r="W553" s="1">
        <f>fNotasFiscais[[#This Row],[Data da Coleta]]+fNotasFiscais[[#This Row],[Prazo Contratado]]</f>
        <v>43276</v>
      </c>
      <c r="X553" s="3">
        <f>IF(fNotasFiscais[[#This Row],[Data da Entrega]]&gt;fNotasFiscais[[#This Row],[Data Contratada]],0,1)</f>
        <v>1</v>
      </c>
      <c r="Y553" s="3">
        <f>IF(fNotasFiscais[[#This Row],[Ocorrência]]="",1,0)</f>
        <v>1</v>
      </c>
      <c r="Z553" s="2">
        <f>fNotasFiscais[[#This Row],[On Time]]*fNotasFiscais[[#This Row],[In Full]]</f>
        <v>1</v>
      </c>
      <c r="AA553">
        <f>IF(fNotasFiscais[[#This Row],[Nota Fiscal]]&lt;&gt;"",1,0)</f>
        <v>1</v>
      </c>
    </row>
    <row r="554" spans="1:27" x14ac:dyDescent="0.25">
      <c r="A554" s="1">
        <v>43264</v>
      </c>
      <c r="B554">
        <v>10963</v>
      </c>
      <c r="C554" s="2" t="s">
        <v>43</v>
      </c>
      <c r="D554" s="2" t="s">
        <v>44</v>
      </c>
      <c r="E554" s="2" t="s">
        <v>45</v>
      </c>
      <c r="F554">
        <v>4013</v>
      </c>
      <c r="G554" s="2" t="s">
        <v>37</v>
      </c>
      <c r="H554" s="2" t="s">
        <v>38</v>
      </c>
      <c r="I554" s="2" t="s">
        <v>39</v>
      </c>
      <c r="J554" s="2" t="s">
        <v>28</v>
      </c>
      <c r="K554" s="2" t="s">
        <v>39</v>
      </c>
      <c r="L554">
        <v>15077.5</v>
      </c>
      <c r="M554">
        <v>10</v>
      </c>
      <c r="N554">
        <v>93.155000000000001</v>
      </c>
      <c r="O554">
        <v>6500948</v>
      </c>
      <c r="P554" s="2" t="s">
        <v>29</v>
      </c>
      <c r="Q554" s="2" t="s">
        <v>23</v>
      </c>
      <c r="R554" s="2" t="s">
        <v>30</v>
      </c>
      <c r="S554">
        <v>10</v>
      </c>
      <c r="T554" s="1">
        <v>43264</v>
      </c>
      <c r="U554" s="1">
        <v>43265</v>
      </c>
      <c r="V554" s="2"/>
      <c r="W554" s="1">
        <f>fNotasFiscais[[#This Row],[Data da Coleta]]+fNotasFiscais[[#This Row],[Prazo Contratado]]</f>
        <v>43274</v>
      </c>
      <c r="X554" s="3">
        <f>IF(fNotasFiscais[[#This Row],[Data da Entrega]]&gt;fNotasFiscais[[#This Row],[Data Contratada]],0,1)</f>
        <v>1</v>
      </c>
      <c r="Y554" s="3">
        <f>IF(fNotasFiscais[[#This Row],[Ocorrência]]="",1,0)</f>
        <v>1</v>
      </c>
      <c r="Z554" s="2">
        <f>fNotasFiscais[[#This Row],[On Time]]*fNotasFiscais[[#This Row],[In Full]]</f>
        <v>1</v>
      </c>
      <c r="AA554">
        <f>IF(fNotasFiscais[[#This Row],[Nota Fiscal]]&lt;&gt;"",1,0)</f>
        <v>1</v>
      </c>
    </row>
    <row r="555" spans="1:27" x14ac:dyDescent="0.25">
      <c r="A555" s="1">
        <v>43264</v>
      </c>
      <c r="B555">
        <v>10964</v>
      </c>
      <c r="C555" s="2" t="s">
        <v>40</v>
      </c>
      <c r="D555" s="2" t="s">
        <v>41</v>
      </c>
      <c r="E555" s="2" t="s">
        <v>33</v>
      </c>
      <c r="F555">
        <v>4013</v>
      </c>
      <c r="G555" s="2" t="s">
        <v>37</v>
      </c>
      <c r="H555" s="2" t="s">
        <v>38</v>
      </c>
      <c r="I555" s="2" t="s">
        <v>39</v>
      </c>
      <c r="J555" s="2" t="s">
        <v>28</v>
      </c>
      <c r="K555" s="2" t="s">
        <v>39</v>
      </c>
      <c r="L555">
        <v>761.28</v>
      </c>
      <c r="M555">
        <v>1</v>
      </c>
      <c r="N555">
        <v>1.1200000000000001</v>
      </c>
      <c r="O555">
        <v>6500948</v>
      </c>
      <c r="P555" s="2" t="s">
        <v>29</v>
      </c>
      <c r="Q555" s="2" t="s">
        <v>23</v>
      </c>
      <c r="R555" s="2" t="s">
        <v>30</v>
      </c>
      <c r="S555">
        <v>1</v>
      </c>
      <c r="T555" s="1">
        <v>43264</v>
      </c>
      <c r="U555" s="1">
        <v>43265</v>
      </c>
      <c r="V555" s="2"/>
      <c r="W555" s="1">
        <f>fNotasFiscais[[#This Row],[Data da Coleta]]+fNotasFiscais[[#This Row],[Prazo Contratado]]</f>
        <v>43265</v>
      </c>
      <c r="X555" s="3">
        <f>IF(fNotasFiscais[[#This Row],[Data da Entrega]]&gt;fNotasFiscais[[#This Row],[Data Contratada]],0,1)</f>
        <v>1</v>
      </c>
      <c r="Y555" s="3">
        <f>IF(fNotasFiscais[[#This Row],[Ocorrência]]="",1,0)</f>
        <v>1</v>
      </c>
      <c r="Z555" s="2">
        <f>fNotasFiscais[[#This Row],[On Time]]*fNotasFiscais[[#This Row],[In Full]]</f>
        <v>1</v>
      </c>
      <c r="AA555">
        <f>IF(fNotasFiscais[[#This Row],[Nota Fiscal]]&lt;&gt;"",1,0)</f>
        <v>1</v>
      </c>
    </row>
    <row r="556" spans="1:27" x14ac:dyDescent="0.25">
      <c r="A556" s="1">
        <v>43264</v>
      </c>
      <c r="B556">
        <v>10965</v>
      </c>
      <c r="C556" s="2" t="s">
        <v>43</v>
      </c>
      <c r="D556" s="2" t="s">
        <v>44</v>
      </c>
      <c r="E556" s="2" t="s">
        <v>45</v>
      </c>
      <c r="F556">
        <v>4013</v>
      </c>
      <c r="G556" s="2" t="s">
        <v>37</v>
      </c>
      <c r="H556" s="2" t="s">
        <v>38</v>
      </c>
      <c r="I556" s="2" t="s">
        <v>39</v>
      </c>
      <c r="J556" s="2" t="s">
        <v>28</v>
      </c>
      <c r="K556" s="2" t="s">
        <v>39</v>
      </c>
      <c r="L556">
        <v>2747.94</v>
      </c>
      <c r="M556">
        <v>4</v>
      </c>
      <c r="N556">
        <v>45.1</v>
      </c>
      <c r="O556">
        <v>6500948</v>
      </c>
      <c r="P556" s="2" t="s">
        <v>29</v>
      </c>
      <c r="Q556" s="2" t="s">
        <v>23</v>
      </c>
      <c r="R556" s="2" t="s">
        <v>30</v>
      </c>
      <c r="S556">
        <v>4</v>
      </c>
      <c r="T556" s="1">
        <v>43264</v>
      </c>
      <c r="U556" s="1">
        <v>43271</v>
      </c>
      <c r="V556" s="2"/>
      <c r="W556" s="1">
        <f>fNotasFiscais[[#This Row],[Data da Coleta]]+fNotasFiscais[[#This Row],[Prazo Contratado]]</f>
        <v>43268</v>
      </c>
      <c r="X556" s="3">
        <f>IF(fNotasFiscais[[#This Row],[Data da Entrega]]&gt;fNotasFiscais[[#This Row],[Data Contratada]],0,1)</f>
        <v>0</v>
      </c>
      <c r="Y556" s="3">
        <f>IF(fNotasFiscais[[#This Row],[Ocorrência]]="",1,0)</f>
        <v>1</v>
      </c>
      <c r="Z556" s="2">
        <f>fNotasFiscais[[#This Row],[On Time]]*fNotasFiscais[[#This Row],[In Full]]</f>
        <v>0</v>
      </c>
      <c r="AA556">
        <f>IF(fNotasFiscais[[#This Row],[Nota Fiscal]]&lt;&gt;"",1,0)</f>
        <v>1</v>
      </c>
    </row>
    <row r="557" spans="1:27" x14ac:dyDescent="0.25">
      <c r="A557" s="1">
        <v>43264</v>
      </c>
      <c r="B557">
        <v>10966</v>
      </c>
      <c r="C557" s="2" t="s">
        <v>54</v>
      </c>
      <c r="D557" s="2" t="s">
        <v>55</v>
      </c>
      <c r="E557" s="2" t="s">
        <v>56</v>
      </c>
      <c r="F557">
        <v>4013</v>
      </c>
      <c r="G557" s="2" t="s">
        <v>37</v>
      </c>
      <c r="H557" s="2" t="s">
        <v>38</v>
      </c>
      <c r="I557" s="2" t="s">
        <v>39</v>
      </c>
      <c r="J557" s="2" t="s">
        <v>28</v>
      </c>
      <c r="K557" s="2" t="s">
        <v>39</v>
      </c>
      <c r="L557">
        <v>351.85</v>
      </c>
      <c r="M557">
        <v>1</v>
      </c>
      <c r="N557">
        <v>10.119999999999999</v>
      </c>
      <c r="O557">
        <v>6500948</v>
      </c>
      <c r="P557" s="2" t="s">
        <v>29</v>
      </c>
      <c r="Q557" s="2" t="s">
        <v>23</v>
      </c>
      <c r="R557" s="2" t="s">
        <v>30</v>
      </c>
      <c r="S557">
        <v>6</v>
      </c>
      <c r="T557" s="1">
        <v>43264</v>
      </c>
      <c r="U557" s="1">
        <v>43270</v>
      </c>
      <c r="V557" s="2"/>
      <c r="W557" s="1">
        <f>fNotasFiscais[[#This Row],[Data da Coleta]]+fNotasFiscais[[#This Row],[Prazo Contratado]]</f>
        <v>43270</v>
      </c>
      <c r="X557" s="3">
        <f>IF(fNotasFiscais[[#This Row],[Data da Entrega]]&gt;fNotasFiscais[[#This Row],[Data Contratada]],0,1)</f>
        <v>1</v>
      </c>
      <c r="Y557" s="3">
        <f>IF(fNotasFiscais[[#This Row],[Ocorrência]]="",1,0)</f>
        <v>1</v>
      </c>
      <c r="Z557" s="2">
        <f>fNotasFiscais[[#This Row],[On Time]]*fNotasFiscais[[#This Row],[In Full]]</f>
        <v>1</v>
      </c>
      <c r="AA557">
        <f>IF(fNotasFiscais[[#This Row],[Nota Fiscal]]&lt;&gt;"",1,0)</f>
        <v>1</v>
      </c>
    </row>
    <row r="558" spans="1:27" x14ac:dyDescent="0.25">
      <c r="A558" s="1">
        <v>43264</v>
      </c>
      <c r="B558">
        <v>10967</v>
      </c>
      <c r="C558" s="2" t="s">
        <v>40</v>
      </c>
      <c r="D558" s="2" t="s">
        <v>41</v>
      </c>
      <c r="E558" s="2" t="s">
        <v>33</v>
      </c>
      <c r="F558">
        <v>4013</v>
      </c>
      <c r="G558" s="2" t="s">
        <v>37</v>
      </c>
      <c r="H558" s="2" t="s">
        <v>38</v>
      </c>
      <c r="I558" s="2" t="s">
        <v>39</v>
      </c>
      <c r="J558" s="2" t="s">
        <v>28</v>
      </c>
      <c r="K558" s="2" t="s">
        <v>39</v>
      </c>
      <c r="L558">
        <v>293.37</v>
      </c>
      <c r="M558">
        <v>1</v>
      </c>
      <c r="N558">
        <v>0.22</v>
      </c>
      <c r="O558">
        <v>6500948</v>
      </c>
      <c r="P558" s="2" t="s">
        <v>29</v>
      </c>
      <c r="Q558" s="2" t="s">
        <v>23</v>
      </c>
      <c r="R558" s="2" t="s">
        <v>30</v>
      </c>
      <c r="S558">
        <v>5</v>
      </c>
      <c r="T558" s="1">
        <v>43264</v>
      </c>
      <c r="U558" s="1">
        <v>43265</v>
      </c>
      <c r="V558" s="2"/>
      <c r="W558" s="1">
        <f>fNotasFiscais[[#This Row],[Data da Coleta]]+fNotasFiscais[[#This Row],[Prazo Contratado]]</f>
        <v>43269</v>
      </c>
      <c r="X558" s="3">
        <f>IF(fNotasFiscais[[#This Row],[Data da Entrega]]&gt;fNotasFiscais[[#This Row],[Data Contratada]],0,1)</f>
        <v>1</v>
      </c>
      <c r="Y558" s="3">
        <f>IF(fNotasFiscais[[#This Row],[Ocorrência]]="",1,0)</f>
        <v>1</v>
      </c>
      <c r="Z558" s="2">
        <f>fNotasFiscais[[#This Row],[On Time]]*fNotasFiscais[[#This Row],[In Full]]</f>
        <v>1</v>
      </c>
      <c r="AA558">
        <f>IF(fNotasFiscais[[#This Row],[Nota Fiscal]]&lt;&gt;"",1,0)</f>
        <v>1</v>
      </c>
    </row>
    <row r="559" spans="1:27" x14ac:dyDescent="0.25">
      <c r="A559" s="1">
        <v>43265</v>
      </c>
      <c r="B559">
        <v>10968</v>
      </c>
      <c r="C559" s="2" t="s">
        <v>43</v>
      </c>
      <c r="D559" s="2" t="s">
        <v>44</v>
      </c>
      <c r="E559" s="2" t="s">
        <v>45</v>
      </c>
      <c r="F559">
        <v>4060</v>
      </c>
      <c r="G559" s="2" t="s">
        <v>134</v>
      </c>
      <c r="H559" s="2" t="s">
        <v>115</v>
      </c>
      <c r="I559" s="2" t="s">
        <v>107</v>
      </c>
      <c r="J559" s="2" t="s">
        <v>49</v>
      </c>
      <c r="K559" s="2" t="s">
        <v>107</v>
      </c>
      <c r="L559">
        <v>880.09</v>
      </c>
      <c r="M559">
        <v>3</v>
      </c>
      <c r="N559">
        <v>0.66</v>
      </c>
      <c r="O559">
        <v>6100231</v>
      </c>
      <c r="P559" s="2" t="s">
        <v>50</v>
      </c>
      <c r="Q559" s="2" t="s">
        <v>51</v>
      </c>
      <c r="R559" s="2" t="s">
        <v>30</v>
      </c>
      <c r="S559">
        <v>4</v>
      </c>
      <c r="T559" s="1">
        <v>43265</v>
      </c>
      <c r="U559" s="1">
        <v>43275</v>
      </c>
      <c r="V559" s="2" t="s">
        <v>57</v>
      </c>
      <c r="W559" s="1">
        <f>fNotasFiscais[[#This Row],[Data da Coleta]]+fNotasFiscais[[#This Row],[Prazo Contratado]]</f>
        <v>43269</v>
      </c>
      <c r="X559" s="3">
        <f>IF(fNotasFiscais[[#This Row],[Data da Entrega]]&gt;fNotasFiscais[[#This Row],[Data Contratada]],0,1)</f>
        <v>0</v>
      </c>
      <c r="Y559" s="3">
        <f>IF(fNotasFiscais[[#This Row],[Ocorrência]]="",1,0)</f>
        <v>0</v>
      </c>
      <c r="Z559" s="2">
        <f>fNotasFiscais[[#This Row],[On Time]]*fNotasFiscais[[#This Row],[In Full]]</f>
        <v>0</v>
      </c>
      <c r="AA559">
        <f>IF(fNotasFiscais[[#This Row],[Nota Fiscal]]&lt;&gt;"",1,0)</f>
        <v>1</v>
      </c>
    </row>
    <row r="560" spans="1:27" x14ac:dyDescent="0.25">
      <c r="A560" s="1">
        <v>43265</v>
      </c>
      <c r="B560">
        <v>10969</v>
      </c>
      <c r="C560" s="2" t="s">
        <v>31</v>
      </c>
      <c r="D560" s="2" t="s">
        <v>32</v>
      </c>
      <c r="E560" s="2" t="s">
        <v>33</v>
      </c>
      <c r="F560">
        <v>4069</v>
      </c>
      <c r="G560" s="2" t="s">
        <v>135</v>
      </c>
      <c r="H560" s="2" t="s">
        <v>47</v>
      </c>
      <c r="I560" s="2" t="s">
        <v>48</v>
      </c>
      <c r="J560" s="2" t="s">
        <v>49</v>
      </c>
      <c r="K560" s="2" t="s">
        <v>48</v>
      </c>
      <c r="L560">
        <v>4854.3</v>
      </c>
      <c r="M560">
        <v>7</v>
      </c>
      <c r="N560">
        <v>136.84</v>
      </c>
      <c r="O560">
        <v>6100231</v>
      </c>
      <c r="P560" s="2" t="s">
        <v>50</v>
      </c>
      <c r="Q560" s="2" t="s">
        <v>51</v>
      </c>
      <c r="R560" s="2" t="s">
        <v>30</v>
      </c>
      <c r="S560">
        <v>3</v>
      </c>
      <c r="T560" s="1">
        <v>43265</v>
      </c>
      <c r="U560" s="1">
        <v>43270</v>
      </c>
      <c r="V560" s="2"/>
      <c r="W560" s="1">
        <f>fNotasFiscais[[#This Row],[Data da Coleta]]+fNotasFiscais[[#This Row],[Prazo Contratado]]</f>
        <v>43268</v>
      </c>
      <c r="X560" s="3">
        <f>IF(fNotasFiscais[[#This Row],[Data da Entrega]]&gt;fNotasFiscais[[#This Row],[Data Contratada]],0,1)</f>
        <v>0</v>
      </c>
      <c r="Y560" s="3">
        <f>IF(fNotasFiscais[[#This Row],[Ocorrência]]="",1,0)</f>
        <v>1</v>
      </c>
      <c r="Z560" s="2">
        <f>fNotasFiscais[[#This Row],[On Time]]*fNotasFiscais[[#This Row],[In Full]]</f>
        <v>0</v>
      </c>
      <c r="AA560">
        <f>IF(fNotasFiscais[[#This Row],[Nota Fiscal]]&lt;&gt;"",1,0)</f>
        <v>1</v>
      </c>
    </row>
    <row r="561" spans="1:27" x14ac:dyDescent="0.25">
      <c r="A561" s="1">
        <v>43265</v>
      </c>
      <c r="B561">
        <v>10970</v>
      </c>
      <c r="C561" s="2" t="s">
        <v>54</v>
      </c>
      <c r="D561" s="2" t="s">
        <v>55</v>
      </c>
      <c r="E561" s="2" t="s">
        <v>56</v>
      </c>
      <c r="F561">
        <v>4013</v>
      </c>
      <c r="G561" s="2" t="s">
        <v>37</v>
      </c>
      <c r="H561" s="2" t="s">
        <v>38</v>
      </c>
      <c r="I561" s="2" t="s">
        <v>39</v>
      </c>
      <c r="J561" s="2" t="s">
        <v>28</v>
      </c>
      <c r="K561" s="2" t="s">
        <v>39</v>
      </c>
      <c r="L561">
        <v>692.48</v>
      </c>
      <c r="M561">
        <v>1</v>
      </c>
      <c r="N561">
        <v>1.155</v>
      </c>
      <c r="O561">
        <v>6500948</v>
      </c>
      <c r="P561" s="2" t="s">
        <v>29</v>
      </c>
      <c r="Q561" s="2" t="s">
        <v>23</v>
      </c>
      <c r="R561" s="2" t="s">
        <v>30</v>
      </c>
      <c r="S561">
        <v>10</v>
      </c>
      <c r="T561" s="1">
        <v>43265</v>
      </c>
      <c r="U561" s="1">
        <v>43274</v>
      </c>
      <c r="V561" s="2"/>
      <c r="W561" s="1">
        <f>fNotasFiscais[[#This Row],[Data da Coleta]]+fNotasFiscais[[#This Row],[Prazo Contratado]]</f>
        <v>43275</v>
      </c>
      <c r="X561" s="3">
        <f>IF(fNotasFiscais[[#This Row],[Data da Entrega]]&gt;fNotasFiscais[[#This Row],[Data Contratada]],0,1)</f>
        <v>1</v>
      </c>
      <c r="Y561" s="3">
        <f>IF(fNotasFiscais[[#This Row],[Ocorrência]]="",1,0)</f>
        <v>1</v>
      </c>
      <c r="Z561" s="2">
        <f>fNotasFiscais[[#This Row],[On Time]]*fNotasFiscais[[#This Row],[In Full]]</f>
        <v>1</v>
      </c>
      <c r="AA561">
        <f>IF(fNotasFiscais[[#This Row],[Nota Fiscal]]&lt;&gt;"",1,0)</f>
        <v>1</v>
      </c>
    </row>
    <row r="562" spans="1:27" x14ac:dyDescent="0.25">
      <c r="A562" s="1">
        <v>43265</v>
      </c>
      <c r="B562">
        <v>10971</v>
      </c>
      <c r="C562" s="2" t="s">
        <v>52</v>
      </c>
      <c r="D562" s="2" t="s">
        <v>53</v>
      </c>
      <c r="E562" s="2" t="s">
        <v>33</v>
      </c>
      <c r="F562">
        <v>4083</v>
      </c>
      <c r="G562" s="2" t="s">
        <v>154</v>
      </c>
      <c r="H562" s="2" t="s">
        <v>141</v>
      </c>
      <c r="I562" s="2" t="s">
        <v>33</v>
      </c>
      <c r="J562" s="2" t="s">
        <v>60</v>
      </c>
      <c r="K562" s="2" t="s">
        <v>33</v>
      </c>
      <c r="L562">
        <v>1576.67</v>
      </c>
      <c r="M562">
        <v>3</v>
      </c>
      <c r="N562">
        <v>3.5259999999999998</v>
      </c>
      <c r="O562">
        <v>6400835</v>
      </c>
      <c r="P562" s="2" t="s">
        <v>130</v>
      </c>
      <c r="Q562" s="2" t="s">
        <v>131</v>
      </c>
      <c r="R562" s="2" t="s">
        <v>30</v>
      </c>
      <c r="S562">
        <v>8</v>
      </c>
      <c r="T562" s="1">
        <v>43265</v>
      </c>
      <c r="U562" s="1">
        <v>43267</v>
      </c>
      <c r="V562" s="2"/>
      <c r="W562" s="1">
        <f>fNotasFiscais[[#This Row],[Data da Coleta]]+fNotasFiscais[[#This Row],[Prazo Contratado]]</f>
        <v>43273</v>
      </c>
      <c r="X562" s="3">
        <f>IF(fNotasFiscais[[#This Row],[Data da Entrega]]&gt;fNotasFiscais[[#This Row],[Data Contratada]],0,1)</f>
        <v>1</v>
      </c>
      <c r="Y562" s="3">
        <f>IF(fNotasFiscais[[#This Row],[Ocorrência]]="",1,0)</f>
        <v>1</v>
      </c>
      <c r="Z562" s="2">
        <f>fNotasFiscais[[#This Row],[On Time]]*fNotasFiscais[[#This Row],[In Full]]</f>
        <v>1</v>
      </c>
      <c r="AA562">
        <f>IF(fNotasFiscais[[#This Row],[Nota Fiscal]]&lt;&gt;"",1,0)</f>
        <v>1</v>
      </c>
    </row>
    <row r="563" spans="1:27" x14ac:dyDescent="0.25">
      <c r="A563" s="1">
        <v>43265</v>
      </c>
      <c r="B563">
        <v>10972</v>
      </c>
      <c r="C563" s="2" t="s">
        <v>34</v>
      </c>
      <c r="D563" s="2" t="s">
        <v>35</v>
      </c>
      <c r="E563" s="2" t="s">
        <v>36</v>
      </c>
      <c r="F563">
        <v>4083</v>
      </c>
      <c r="G563" s="2" t="s">
        <v>154</v>
      </c>
      <c r="H563" s="2" t="s">
        <v>141</v>
      </c>
      <c r="I563" s="2" t="s">
        <v>33</v>
      </c>
      <c r="J563" s="2" t="s">
        <v>60</v>
      </c>
      <c r="K563" s="2" t="s">
        <v>33</v>
      </c>
      <c r="L563">
        <v>9423.14</v>
      </c>
      <c r="M563">
        <v>3</v>
      </c>
      <c r="N563">
        <v>23.635999999999999</v>
      </c>
      <c r="O563">
        <v>6400835</v>
      </c>
      <c r="P563" s="2" t="s">
        <v>130</v>
      </c>
      <c r="Q563" s="2" t="s">
        <v>131</v>
      </c>
      <c r="R563" s="2" t="s">
        <v>30</v>
      </c>
      <c r="S563">
        <v>4</v>
      </c>
      <c r="T563" s="1">
        <v>43265</v>
      </c>
      <c r="U563" s="1">
        <v>43269</v>
      </c>
      <c r="V563" s="2"/>
      <c r="W563" s="1">
        <f>fNotasFiscais[[#This Row],[Data da Coleta]]+fNotasFiscais[[#This Row],[Prazo Contratado]]</f>
        <v>43269</v>
      </c>
      <c r="X563" s="3">
        <f>IF(fNotasFiscais[[#This Row],[Data da Entrega]]&gt;fNotasFiscais[[#This Row],[Data Contratada]],0,1)</f>
        <v>1</v>
      </c>
      <c r="Y563" s="3">
        <f>IF(fNotasFiscais[[#This Row],[Ocorrência]]="",1,0)</f>
        <v>1</v>
      </c>
      <c r="Z563" s="2">
        <f>fNotasFiscais[[#This Row],[On Time]]*fNotasFiscais[[#This Row],[In Full]]</f>
        <v>1</v>
      </c>
      <c r="AA563">
        <f>IF(fNotasFiscais[[#This Row],[Nota Fiscal]]&lt;&gt;"",1,0)</f>
        <v>1</v>
      </c>
    </row>
    <row r="564" spans="1:27" x14ac:dyDescent="0.25">
      <c r="A564" s="1">
        <v>43265</v>
      </c>
      <c r="B564">
        <v>10973</v>
      </c>
      <c r="C564" s="2" t="s">
        <v>22</v>
      </c>
      <c r="D564" s="2" t="s">
        <v>23</v>
      </c>
      <c r="E564" s="2" t="s">
        <v>24</v>
      </c>
      <c r="F564">
        <v>4083</v>
      </c>
      <c r="G564" s="2" t="s">
        <v>154</v>
      </c>
      <c r="H564" s="2" t="s">
        <v>141</v>
      </c>
      <c r="I564" s="2" t="s">
        <v>33</v>
      </c>
      <c r="J564" s="2" t="s">
        <v>60</v>
      </c>
      <c r="K564" s="2" t="s">
        <v>33</v>
      </c>
      <c r="L564">
        <v>1911.35</v>
      </c>
      <c r="M564">
        <v>6</v>
      </c>
      <c r="N564">
        <v>66.120999999999995</v>
      </c>
      <c r="O564">
        <v>6400835</v>
      </c>
      <c r="P564" s="2" t="s">
        <v>130</v>
      </c>
      <c r="Q564" s="2" t="s">
        <v>131</v>
      </c>
      <c r="R564" s="2" t="s">
        <v>30</v>
      </c>
      <c r="S564">
        <v>8</v>
      </c>
      <c r="T564" s="1">
        <v>43265</v>
      </c>
      <c r="U564" s="1">
        <v>43273</v>
      </c>
      <c r="V564" s="2" t="s">
        <v>57</v>
      </c>
      <c r="W564" s="1">
        <f>fNotasFiscais[[#This Row],[Data da Coleta]]+fNotasFiscais[[#This Row],[Prazo Contratado]]</f>
        <v>43273</v>
      </c>
      <c r="X564" s="3">
        <f>IF(fNotasFiscais[[#This Row],[Data da Entrega]]&gt;fNotasFiscais[[#This Row],[Data Contratada]],0,1)</f>
        <v>1</v>
      </c>
      <c r="Y564" s="3">
        <f>IF(fNotasFiscais[[#This Row],[Ocorrência]]="",1,0)</f>
        <v>0</v>
      </c>
      <c r="Z564" s="2">
        <f>fNotasFiscais[[#This Row],[On Time]]*fNotasFiscais[[#This Row],[In Full]]</f>
        <v>0</v>
      </c>
      <c r="AA564">
        <f>IF(fNotasFiscais[[#This Row],[Nota Fiscal]]&lt;&gt;"",1,0)</f>
        <v>1</v>
      </c>
    </row>
    <row r="565" spans="1:27" x14ac:dyDescent="0.25">
      <c r="A565" s="1">
        <v>43265</v>
      </c>
      <c r="B565">
        <v>10974</v>
      </c>
      <c r="C565" s="2" t="s">
        <v>31</v>
      </c>
      <c r="D565" s="2" t="s">
        <v>32</v>
      </c>
      <c r="E565" s="2" t="s">
        <v>33</v>
      </c>
      <c r="F565">
        <v>4032</v>
      </c>
      <c r="G565" s="2" t="s">
        <v>108</v>
      </c>
      <c r="H565" s="2" t="s">
        <v>51</v>
      </c>
      <c r="I565" s="2" t="s">
        <v>73</v>
      </c>
      <c r="J565" s="2" t="s">
        <v>49</v>
      </c>
      <c r="K565" s="2" t="s">
        <v>73</v>
      </c>
      <c r="L565">
        <v>1466.82</v>
      </c>
      <c r="M565">
        <v>5</v>
      </c>
      <c r="N565">
        <v>1.1000000000000001</v>
      </c>
      <c r="O565">
        <v>6100231</v>
      </c>
      <c r="P565" s="2" t="s">
        <v>50</v>
      </c>
      <c r="Q565" s="2" t="s">
        <v>51</v>
      </c>
      <c r="R565" s="2" t="s">
        <v>30</v>
      </c>
      <c r="S565">
        <v>12</v>
      </c>
      <c r="T565" s="1">
        <v>43265</v>
      </c>
      <c r="U565" s="1">
        <v>43273</v>
      </c>
      <c r="V565" s="2"/>
      <c r="W565" s="1">
        <f>fNotasFiscais[[#This Row],[Data da Coleta]]+fNotasFiscais[[#This Row],[Prazo Contratado]]</f>
        <v>43277</v>
      </c>
      <c r="X565" s="3">
        <f>IF(fNotasFiscais[[#This Row],[Data da Entrega]]&gt;fNotasFiscais[[#This Row],[Data Contratada]],0,1)</f>
        <v>1</v>
      </c>
      <c r="Y565" s="3">
        <f>IF(fNotasFiscais[[#This Row],[Ocorrência]]="",1,0)</f>
        <v>1</v>
      </c>
      <c r="Z565" s="2">
        <f>fNotasFiscais[[#This Row],[On Time]]*fNotasFiscais[[#This Row],[In Full]]</f>
        <v>1</v>
      </c>
      <c r="AA565">
        <f>IF(fNotasFiscais[[#This Row],[Nota Fiscal]]&lt;&gt;"",1,0)</f>
        <v>1</v>
      </c>
    </row>
    <row r="566" spans="1:27" x14ac:dyDescent="0.25">
      <c r="A566" s="1">
        <v>43265</v>
      </c>
      <c r="B566">
        <v>10975</v>
      </c>
      <c r="C566" s="2" t="s">
        <v>54</v>
      </c>
      <c r="D566" s="2" t="s">
        <v>55</v>
      </c>
      <c r="E566" s="2" t="s">
        <v>56</v>
      </c>
      <c r="F566">
        <v>4083</v>
      </c>
      <c r="G566" s="2" t="s">
        <v>154</v>
      </c>
      <c r="H566" s="2" t="s">
        <v>141</v>
      </c>
      <c r="I566" s="2" t="s">
        <v>33</v>
      </c>
      <c r="J566" s="2" t="s">
        <v>60</v>
      </c>
      <c r="K566" s="2" t="s">
        <v>33</v>
      </c>
      <c r="L566">
        <v>120.14</v>
      </c>
      <c r="M566">
        <v>1</v>
      </c>
      <c r="N566">
        <v>4.4000000000000004</v>
      </c>
      <c r="O566">
        <v>6400835</v>
      </c>
      <c r="P566" s="2" t="s">
        <v>130</v>
      </c>
      <c r="Q566" s="2" t="s">
        <v>131</v>
      </c>
      <c r="R566" s="2" t="s">
        <v>30</v>
      </c>
      <c r="S566">
        <v>10</v>
      </c>
      <c r="T566" s="1">
        <v>43265</v>
      </c>
      <c r="U566" s="1">
        <v>43272</v>
      </c>
      <c r="V566" s="2"/>
      <c r="W566" s="1">
        <f>fNotasFiscais[[#This Row],[Data da Coleta]]+fNotasFiscais[[#This Row],[Prazo Contratado]]</f>
        <v>43275</v>
      </c>
      <c r="X566" s="3">
        <f>IF(fNotasFiscais[[#This Row],[Data da Entrega]]&gt;fNotasFiscais[[#This Row],[Data Contratada]],0,1)</f>
        <v>1</v>
      </c>
      <c r="Y566" s="3">
        <f>IF(fNotasFiscais[[#This Row],[Ocorrência]]="",1,0)</f>
        <v>1</v>
      </c>
      <c r="Z566" s="2">
        <f>fNotasFiscais[[#This Row],[On Time]]*fNotasFiscais[[#This Row],[In Full]]</f>
        <v>1</v>
      </c>
      <c r="AA566">
        <f>IF(fNotasFiscais[[#This Row],[Nota Fiscal]]&lt;&gt;"",1,0)</f>
        <v>1</v>
      </c>
    </row>
    <row r="567" spans="1:27" x14ac:dyDescent="0.25">
      <c r="A567" s="1">
        <v>43265</v>
      </c>
      <c r="B567">
        <v>10976</v>
      </c>
      <c r="C567" s="2" t="s">
        <v>22</v>
      </c>
      <c r="D567" s="2" t="s">
        <v>23</v>
      </c>
      <c r="E567" s="2" t="s">
        <v>24</v>
      </c>
      <c r="F567">
        <v>4083</v>
      </c>
      <c r="G567" s="2" t="s">
        <v>154</v>
      </c>
      <c r="H567" s="2" t="s">
        <v>141</v>
      </c>
      <c r="I567" s="2" t="s">
        <v>33</v>
      </c>
      <c r="J567" s="2" t="s">
        <v>60</v>
      </c>
      <c r="K567" s="2" t="s">
        <v>33</v>
      </c>
      <c r="L567">
        <v>880.09</v>
      </c>
      <c r="M567">
        <v>3</v>
      </c>
      <c r="N567">
        <v>0.66</v>
      </c>
      <c r="O567">
        <v>6400835</v>
      </c>
      <c r="P567" s="2" t="s">
        <v>130</v>
      </c>
      <c r="Q567" s="2" t="s">
        <v>131</v>
      </c>
      <c r="R567" s="2" t="s">
        <v>30</v>
      </c>
      <c r="S567">
        <v>4</v>
      </c>
      <c r="T567" s="1">
        <v>43265</v>
      </c>
      <c r="U567" s="1">
        <v>43275</v>
      </c>
      <c r="V567" s="2"/>
      <c r="W567" s="1">
        <f>fNotasFiscais[[#This Row],[Data da Coleta]]+fNotasFiscais[[#This Row],[Prazo Contratado]]</f>
        <v>43269</v>
      </c>
      <c r="X567" s="3">
        <f>IF(fNotasFiscais[[#This Row],[Data da Entrega]]&gt;fNotasFiscais[[#This Row],[Data Contratada]],0,1)</f>
        <v>0</v>
      </c>
      <c r="Y567" s="3">
        <f>IF(fNotasFiscais[[#This Row],[Ocorrência]]="",1,0)</f>
        <v>1</v>
      </c>
      <c r="Z567" s="2">
        <f>fNotasFiscais[[#This Row],[On Time]]*fNotasFiscais[[#This Row],[In Full]]</f>
        <v>0</v>
      </c>
      <c r="AA567">
        <f>IF(fNotasFiscais[[#This Row],[Nota Fiscal]]&lt;&gt;"",1,0)</f>
        <v>1</v>
      </c>
    </row>
    <row r="568" spans="1:27" x14ac:dyDescent="0.25">
      <c r="A568" s="1">
        <v>43267</v>
      </c>
      <c r="B568">
        <v>10977</v>
      </c>
      <c r="C568" s="2" t="s">
        <v>52</v>
      </c>
      <c r="D568" s="2" t="s">
        <v>53</v>
      </c>
      <c r="E568" s="2" t="s">
        <v>33</v>
      </c>
      <c r="F568">
        <v>4104</v>
      </c>
      <c r="G568" s="2" t="s">
        <v>187</v>
      </c>
      <c r="H568" s="2" t="s">
        <v>35</v>
      </c>
      <c r="I568" s="2" t="s">
        <v>36</v>
      </c>
      <c r="J568" s="2" t="s">
        <v>60</v>
      </c>
      <c r="K568" s="2" t="s">
        <v>36</v>
      </c>
      <c r="L568">
        <v>105.48</v>
      </c>
      <c r="M568">
        <v>1</v>
      </c>
      <c r="N568">
        <v>4.4000000000000004</v>
      </c>
      <c r="O568">
        <v>6600879</v>
      </c>
      <c r="P568" s="2" t="s">
        <v>61</v>
      </c>
      <c r="Q568" s="2" t="s">
        <v>35</v>
      </c>
      <c r="R568" s="2" t="s">
        <v>30</v>
      </c>
      <c r="S568">
        <v>8</v>
      </c>
      <c r="T568" s="1">
        <v>43267</v>
      </c>
      <c r="U568" s="1">
        <v>43270</v>
      </c>
      <c r="V568" s="2" t="s">
        <v>57</v>
      </c>
      <c r="W568" s="1">
        <f>fNotasFiscais[[#This Row],[Data da Coleta]]+fNotasFiscais[[#This Row],[Prazo Contratado]]</f>
        <v>43275</v>
      </c>
      <c r="X568" s="3">
        <f>IF(fNotasFiscais[[#This Row],[Data da Entrega]]&gt;fNotasFiscais[[#This Row],[Data Contratada]],0,1)</f>
        <v>1</v>
      </c>
      <c r="Y568" s="3">
        <f>IF(fNotasFiscais[[#This Row],[Ocorrência]]="",1,0)</f>
        <v>0</v>
      </c>
      <c r="Z568" s="2">
        <f>fNotasFiscais[[#This Row],[On Time]]*fNotasFiscais[[#This Row],[In Full]]</f>
        <v>0</v>
      </c>
      <c r="AA568">
        <f>IF(fNotasFiscais[[#This Row],[Nota Fiscal]]&lt;&gt;"",1,0)</f>
        <v>1</v>
      </c>
    </row>
    <row r="569" spans="1:27" x14ac:dyDescent="0.25">
      <c r="A569" s="1">
        <v>43267</v>
      </c>
      <c r="B569">
        <v>10978</v>
      </c>
      <c r="C569" s="2" t="s">
        <v>52</v>
      </c>
      <c r="D569" s="2" t="s">
        <v>53</v>
      </c>
      <c r="E569" s="2" t="s">
        <v>33</v>
      </c>
      <c r="F569">
        <v>4044</v>
      </c>
      <c r="G569" s="2" t="s">
        <v>123</v>
      </c>
      <c r="H569" s="2" t="s">
        <v>35</v>
      </c>
      <c r="I569" s="2" t="s">
        <v>36</v>
      </c>
      <c r="J569" s="2" t="s">
        <v>60</v>
      </c>
      <c r="K569" s="2" t="s">
        <v>36</v>
      </c>
      <c r="L569">
        <v>1174.5899999999999</v>
      </c>
      <c r="M569">
        <v>8</v>
      </c>
      <c r="N569">
        <v>5.7309999999999999</v>
      </c>
      <c r="O569">
        <v>6600879</v>
      </c>
      <c r="P569" s="2" t="s">
        <v>61</v>
      </c>
      <c r="Q569" s="2" t="s">
        <v>35</v>
      </c>
      <c r="R569" s="2" t="s">
        <v>30</v>
      </c>
      <c r="S569">
        <v>8</v>
      </c>
      <c r="T569" s="1">
        <v>43267</v>
      </c>
      <c r="U569" s="1">
        <v>43271</v>
      </c>
      <c r="V569" s="2" t="s">
        <v>57</v>
      </c>
      <c r="W569" s="1">
        <f>fNotasFiscais[[#This Row],[Data da Coleta]]+fNotasFiscais[[#This Row],[Prazo Contratado]]</f>
        <v>43275</v>
      </c>
      <c r="X569" s="3">
        <f>IF(fNotasFiscais[[#This Row],[Data da Entrega]]&gt;fNotasFiscais[[#This Row],[Data Contratada]],0,1)</f>
        <v>1</v>
      </c>
      <c r="Y569" s="3">
        <f>IF(fNotasFiscais[[#This Row],[Ocorrência]]="",1,0)</f>
        <v>0</v>
      </c>
      <c r="Z569" s="2">
        <f>fNotasFiscais[[#This Row],[On Time]]*fNotasFiscais[[#This Row],[In Full]]</f>
        <v>0</v>
      </c>
      <c r="AA569">
        <f>IF(fNotasFiscais[[#This Row],[Nota Fiscal]]&lt;&gt;"",1,0)</f>
        <v>1</v>
      </c>
    </row>
    <row r="570" spans="1:27" x14ac:dyDescent="0.25">
      <c r="A570" s="1">
        <v>43267</v>
      </c>
      <c r="B570">
        <v>10979</v>
      </c>
      <c r="C570" s="2" t="s">
        <v>43</v>
      </c>
      <c r="D570" s="2" t="s">
        <v>44</v>
      </c>
      <c r="E570" s="2" t="s">
        <v>45</v>
      </c>
      <c r="F570">
        <v>4045</v>
      </c>
      <c r="G570" s="2" t="s">
        <v>124</v>
      </c>
      <c r="H570" s="2" t="s">
        <v>35</v>
      </c>
      <c r="I570" s="2" t="s">
        <v>36</v>
      </c>
      <c r="J570" s="2" t="s">
        <v>60</v>
      </c>
      <c r="K570" s="2" t="s">
        <v>36</v>
      </c>
      <c r="L570">
        <v>290.23</v>
      </c>
      <c r="M570">
        <v>1</v>
      </c>
      <c r="N570">
        <v>0.22</v>
      </c>
      <c r="O570">
        <v>6600879</v>
      </c>
      <c r="P570" s="2" t="s">
        <v>61</v>
      </c>
      <c r="Q570" s="2" t="s">
        <v>35</v>
      </c>
      <c r="R570" s="2" t="s">
        <v>30</v>
      </c>
      <c r="S570">
        <v>12</v>
      </c>
      <c r="T570" s="1">
        <v>43267</v>
      </c>
      <c r="U570" s="1">
        <v>43270</v>
      </c>
      <c r="V570" s="2"/>
      <c r="W570" s="1">
        <f>fNotasFiscais[[#This Row],[Data da Coleta]]+fNotasFiscais[[#This Row],[Prazo Contratado]]</f>
        <v>43279</v>
      </c>
      <c r="X570" s="3">
        <f>IF(fNotasFiscais[[#This Row],[Data da Entrega]]&gt;fNotasFiscais[[#This Row],[Data Contratada]],0,1)</f>
        <v>1</v>
      </c>
      <c r="Y570" s="3">
        <f>IF(fNotasFiscais[[#This Row],[Ocorrência]]="",1,0)</f>
        <v>1</v>
      </c>
      <c r="Z570" s="2">
        <f>fNotasFiscais[[#This Row],[On Time]]*fNotasFiscais[[#This Row],[In Full]]</f>
        <v>1</v>
      </c>
      <c r="AA570">
        <f>IF(fNotasFiscais[[#This Row],[Nota Fiscal]]&lt;&gt;"",1,0)</f>
        <v>1</v>
      </c>
    </row>
    <row r="571" spans="1:27" x14ac:dyDescent="0.25">
      <c r="A571" s="1">
        <v>43267</v>
      </c>
      <c r="B571">
        <v>10980</v>
      </c>
      <c r="C571" s="2" t="s">
        <v>31</v>
      </c>
      <c r="D571" s="2" t="s">
        <v>32</v>
      </c>
      <c r="E571" s="2" t="s">
        <v>33</v>
      </c>
      <c r="F571">
        <v>4022</v>
      </c>
      <c r="G571" s="2" t="s">
        <v>86</v>
      </c>
      <c r="H571" s="2" t="s">
        <v>87</v>
      </c>
      <c r="I571" s="2" t="s">
        <v>27</v>
      </c>
      <c r="J571" s="2" t="s">
        <v>28</v>
      </c>
      <c r="K571" s="2" t="s">
        <v>27</v>
      </c>
      <c r="L571">
        <v>353.95</v>
      </c>
      <c r="M571">
        <v>1</v>
      </c>
      <c r="N571">
        <v>8.734</v>
      </c>
      <c r="O571">
        <v>6500948</v>
      </c>
      <c r="P571" s="2" t="s">
        <v>29</v>
      </c>
      <c r="Q571" s="2" t="s">
        <v>23</v>
      </c>
      <c r="R571" s="2" t="s">
        <v>30</v>
      </c>
      <c r="S571">
        <v>9</v>
      </c>
      <c r="T571" s="1">
        <v>43267</v>
      </c>
      <c r="U571" s="1">
        <v>43270</v>
      </c>
      <c r="V571" s="2"/>
      <c r="W571" s="1">
        <f>fNotasFiscais[[#This Row],[Data da Coleta]]+fNotasFiscais[[#This Row],[Prazo Contratado]]</f>
        <v>43276</v>
      </c>
      <c r="X571" s="3">
        <f>IF(fNotasFiscais[[#This Row],[Data da Entrega]]&gt;fNotasFiscais[[#This Row],[Data Contratada]],0,1)</f>
        <v>1</v>
      </c>
      <c r="Y571" s="3">
        <f>IF(fNotasFiscais[[#This Row],[Ocorrência]]="",1,0)</f>
        <v>1</v>
      </c>
      <c r="Z571" s="2">
        <f>fNotasFiscais[[#This Row],[On Time]]*fNotasFiscais[[#This Row],[In Full]]</f>
        <v>1</v>
      </c>
      <c r="AA571">
        <f>IF(fNotasFiscais[[#This Row],[Nota Fiscal]]&lt;&gt;"",1,0)</f>
        <v>1</v>
      </c>
    </row>
    <row r="572" spans="1:27" x14ac:dyDescent="0.25">
      <c r="A572" s="1">
        <v>43267</v>
      </c>
      <c r="B572">
        <v>10981</v>
      </c>
      <c r="C572" s="2" t="s">
        <v>52</v>
      </c>
      <c r="D572" s="2" t="s">
        <v>53</v>
      </c>
      <c r="E572" s="2" t="s">
        <v>33</v>
      </c>
      <c r="F572">
        <v>4044</v>
      </c>
      <c r="G572" s="2" t="s">
        <v>123</v>
      </c>
      <c r="H572" s="2" t="s">
        <v>35</v>
      </c>
      <c r="I572" s="2" t="s">
        <v>36</v>
      </c>
      <c r="J572" s="2" t="s">
        <v>60</v>
      </c>
      <c r="K572" s="2" t="s">
        <v>36</v>
      </c>
      <c r="L572">
        <v>1027.25</v>
      </c>
      <c r="M572">
        <v>3</v>
      </c>
      <c r="N572">
        <v>2.145</v>
      </c>
      <c r="O572">
        <v>6600879</v>
      </c>
      <c r="P572" s="2" t="s">
        <v>61</v>
      </c>
      <c r="Q572" s="2" t="s">
        <v>35</v>
      </c>
      <c r="R572" s="2" t="s">
        <v>30</v>
      </c>
      <c r="S572">
        <v>9</v>
      </c>
      <c r="T572" s="1">
        <v>43267</v>
      </c>
      <c r="U572" s="1">
        <v>43271</v>
      </c>
      <c r="V572" s="2"/>
      <c r="W572" s="1">
        <f>fNotasFiscais[[#This Row],[Data da Coleta]]+fNotasFiscais[[#This Row],[Prazo Contratado]]</f>
        <v>43276</v>
      </c>
      <c r="X572" s="3">
        <f>IF(fNotasFiscais[[#This Row],[Data da Entrega]]&gt;fNotasFiscais[[#This Row],[Data Contratada]],0,1)</f>
        <v>1</v>
      </c>
      <c r="Y572" s="3">
        <f>IF(fNotasFiscais[[#This Row],[Ocorrência]]="",1,0)</f>
        <v>1</v>
      </c>
      <c r="Z572" s="2">
        <f>fNotasFiscais[[#This Row],[On Time]]*fNotasFiscais[[#This Row],[In Full]]</f>
        <v>1</v>
      </c>
      <c r="AA572">
        <f>IF(fNotasFiscais[[#This Row],[Nota Fiscal]]&lt;&gt;"",1,0)</f>
        <v>1</v>
      </c>
    </row>
    <row r="573" spans="1:27" x14ac:dyDescent="0.25">
      <c r="A573" s="1">
        <v>43267</v>
      </c>
      <c r="B573">
        <v>10982</v>
      </c>
      <c r="C573" s="2" t="s">
        <v>34</v>
      </c>
      <c r="D573" s="2" t="s">
        <v>35</v>
      </c>
      <c r="E573" s="2" t="s">
        <v>36</v>
      </c>
      <c r="F573">
        <v>4045</v>
      </c>
      <c r="G573" s="2" t="s">
        <v>124</v>
      </c>
      <c r="H573" s="2" t="s">
        <v>35</v>
      </c>
      <c r="I573" s="2" t="s">
        <v>36</v>
      </c>
      <c r="J573" s="2" t="s">
        <v>60</v>
      </c>
      <c r="K573" s="2" t="s">
        <v>36</v>
      </c>
      <c r="L573">
        <v>358.26</v>
      </c>
      <c r="M573">
        <v>1</v>
      </c>
      <c r="N573">
        <v>13.2</v>
      </c>
      <c r="O573">
        <v>6600879</v>
      </c>
      <c r="P573" s="2" t="s">
        <v>61</v>
      </c>
      <c r="Q573" s="2" t="s">
        <v>35</v>
      </c>
      <c r="R573" s="2" t="s">
        <v>30</v>
      </c>
      <c r="S573">
        <v>2</v>
      </c>
      <c r="T573" s="1">
        <v>43267</v>
      </c>
      <c r="U573" s="1">
        <v>43268</v>
      </c>
      <c r="V573" s="2" t="s">
        <v>57</v>
      </c>
      <c r="W573" s="1">
        <f>fNotasFiscais[[#This Row],[Data da Coleta]]+fNotasFiscais[[#This Row],[Prazo Contratado]]</f>
        <v>43269</v>
      </c>
      <c r="X573" s="3">
        <f>IF(fNotasFiscais[[#This Row],[Data da Entrega]]&gt;fNotasFiscais[[#This Row],[Data Contratada]],0,1)</f>
        <v>1</v>
      </c>
      <c r="Y573" s="3">
        <f>IF(fNotasFiscais[[#This Row],[Ocorrência]]="",1,0)</f>
        <v>0</v>
      </c>
      <c r="Z573" s="2">
        <f>fNotasFiscais[[#This Row],[On Time]]*fNotasFiscais[[#This Row],[In Full]]</f>
        <v>0</v>
      </c>
      <c r="AA573">
        <f>IF(fNotasFiscais[[#This Row],[Nota Fiscal]]&lt;&gt;"",1,0)</f>
        <v>1</v>
      </c>
    </row>
    <row r="574" spans="1:27" x14ac:dyDescent="0.25">
      <c r="A574" s="1">
        <v>43267</v>
      </c>
      <c r="B574">
        <v>10983</v>
      </c>
      <c r="C574" s="2" t="s">
        <v>54</v>
      </c>
      <c r="D574" s="2" t="s">
        <v>55</v>
      </c>
      <c r="E574" s="2" t="s">
        <v>56</v>
      </c>
      <c r="F574">
        <v>4044</v>
      </c>
      <c r="G574" s="2" t="s">
        <v>123</v>
      </c>
      <c r="H574" s="2" t="s">
        <v>35</v>
      </c>
      <c r="I574" s="2" t="s">
        <v>36</v>
      </c>
      <c r="J574" s="2" t="s">
        <v>60</v>
      </c>
      <c r="K574" s="2" t="s">
        <v>36</v>
      </c>
      <c r="L574">
        <v>293.37</v>
      </c>
      <c r="M574">
        <v>1</v>
      </c>
      <c r="N574">
        <v>0.22</v>
      </c>
      <c r="O574">
        <v>6600879</v>
      </c>
      <c r="P574" s="2" t="s">
        <v>61</v>
      </c>
      <c r="Q574" s="2" t="s">
        <v>35</v>
      </c>
      <c r="R574" s="2" t="s">
        <v>30</v>
      </c>
      <c r="S574">
        <v>8</v>
      </c>
      <c r="T574" s="1">
        <v>43267</v>
      </c>
      <c r="U574" s="1">
        <v>43276</v>
      </c>
      <c r="V574" s="2"/>
      <c r="W574" s="1">
        <f>fNotasFiscais[[#This Row],[Data da Coleta]]+fNotasFiscais[[#This Row],[Prazo Contratado]]</f>
        <v>43275</v>
      </c>
      <c r="X574" s="3">
        <f>IF(fNotasFiscais[[#This Row],[Data da Entrega]]&gt;fNotasFiscais[[#This Row],[Data Contratada]],0,1)</f>
        <v>0</v>
      </c>
      <c r="Y574" s="3">
        <f>IF(fNotasFiscais[[#This Row],[Ocorrência]]="",1,0)</f>
        <v>1</v>
      </c>
      <c r="Z574" s="2">
        <f>fNotasFiscais[[#This Row],[On Time]]*fNotasFiscais[[#This Row],[In Full]]</f>
        <v>0</v>
      </c>
      <c r="AA574">
        <f>IF(fNotasFiscais[[#This Row],[Nota Fiscal]]&lt;&gt;"",1,0)</f>
        <v>1</v>
      </c>
    </row>
    <row r="575" spans="1:27" x14ac:dyDescent="0.25">
      <c r="A575" s="1">
        <v>43267</v>
      </c>
      <c r="B575">
        <v>10984</v>
      </c>
      <c r="C575" s="2" t="s">
        <v>52</v>
      </c>
      <c r="D575" s="2" t="s">
        <v>53</v>
      </c>
      <c r="E575" s="2" t="s">
        <v>33</v>
      </c>
      <c r="F575">
        <v>4045</v>
      </c>
      <c r="G575" s="2" t="s">
        <v>124</v>
      </c>
      <c r="H575" s="2" t="s">
        <v>35</v>
      </c>
      <c r="I575" s="2" t="s">
        <v>36</v>
      </c>
      <c r="J575" s="2" t="s">
        <v>60</v>
      </c>
      <c r="K575" s="2" t="s">
        <v>36</v>
      </c>
      <c r="L575">
        <v>2279.38</v>
      </c>
      <c r="M575">
        <v>7</v>
      </c>
      <c r="N575">
        <v>7.1539999999999999</v>
      </c>
      <c r="O575">
        <v>6600879</v>
      </c>
      <c r="P575" s="2" t="s">
        <v>61</v>
      </c>
      <c r="Q575" s="2" t="s">
        <v>35</v>
      </c>
      <c r="R575" s="2" t="s">
        <v>30</v>
      </c>
      <c r="S575">
        <v>8</v>
      </c>
      <c r="T575" s="1">
        <v>43267</v>
      </c>
      <c r="U575" s="1">
        <v>43270</v>
      </c>
      <c r="V575" s="2"/>
      <c r="W575" s="1">
        <f>fNotasFiscais[[#This Row],[Data da Coleta]]+fNotasFiscais[[#This Row],[Prazo Contratado]]</f>
        <v>43275</v>
      </c>
      <c r="X575" s="3">
        <f>IF(fNotasFiscais[[#This Row],[Data da Entrega]]&gt;fNotasFiscais[[#This Row],[Data Contratada]],0,1)</f>
        <v>1</v>
      </c>
      <c r="Y575" s="3">
        <f>IF(fNotasFiscais[[#This Row],[Ocorrência]]="",1,0)</f>
        <v>1</v>
      </c>
      <c r="Z575" s="2">
        <f>fNotasFiscais[[#This Row],[On Time]]*fNotasFiscais[[#This Row],[In Full]]</f>
        <v>1</v>
      </c>
      <c r="AA575">
        <f>IF(fNotasFiscais[[#This Row],[Nota Fiscal]]&lt;&gt;"",1,0)</f>
        <v>1</v>
      </c>
    </row>
    <row r="576" spans="1:27" x14ac:dyDescent="0.25">
      <c r="A576" s="1">
        <v>43272</v>
      </c>
      <c r="B576">
        <v>10985</v>
      </c>
      <c r="C576" s="2" t="s">
        <v>34</v>
      </c>
      <c r="D576" s="2" t="s">
        <v>35</v>
      </c>
      <c r="E576" s="2" t="s">
        <v>36</v>
      </c>
      <c r="F576">
        <v>4069</v>
      </c>
      <c r="G576" s="2" t="s">
        <v>135</v>
      </c>
      <c r="H576" s="2" t="s">
        <v>47</v>
      </c>
      <c r="I576" s="2" t="s">
        <v>48</v>
      </c>
      <c r="J576" s="2" t="s">
        <v>49</v>
      </c>
      <c r="K576" s="2" t="s">
        <v>48</v>
      </c>
      <c r="L576">
        <v>1611.08</v>
      </c>
      <c r="M576">
        <v>2</v>
      </c>
      <c r="N576">
        <v>46.503</v>
      </c>
      <c r="O576">
        <v>6100231</v>
      </c>
      <c r="P576" s="2" t="s">
        <v>50</v>
      </c>
      <c r="Q576" s="2" t="s">
        <v>51</v>
      </c>
      <c r="R576" s="2" t="s">
        <v>30</v>
      </c>
      <c r="S576">
        <v>10</v>
      </c>
      <c r="T576" s="1">
        <v>43272</v>
      </c>
      <c r="U576" s="1">
        <v>43276</v>
      </c>
      <c r="V576" s="2"/>
      <c r="W576" s="1">
        <f>fNotasFiscais[[#This Row],[Data da Coleta]]+fNotasFiscais[[#This Row],[Prazo Contratado]]</f>
        <v>43282</v>
      </c>
      <c r="X576" s="3">
        <f>IF(fNotasFiscais[[#This Row],[Data da Entrega]]&gt;fNotasFiscais[[#This Row],[Data Contratada]],0,1)</f>
        <v>1</v>
      </c>
      <c r="Y576" s="3">
        <f>IF(fNotasFiscais[[#This Row],[Ocorrência]]="",1,0)</f>
        <v>1</v>
      </c>
      <c r="Z576" s="2">
        <f>fNotasFiscais[[#This Row],[On Time]]*fNotasFiscais[[#This Row],[In Full]]</f>
        <v>1</v>
      </c>
      <c r="AA576">
        <f>IF(fNotasFiscais[[#This Row],[Nota Fiscal]]&lt;&gt;"",1,0)</f>
        <v>1</v>
      </c>
    </row>
    <row r="577" spans="1:27" x14ac:dyDescent="0.25">
      <c r="A577" s="1">
        <v>43272</v>
      </c>
      <c r="B577">
        <v>10986</v>
      </c>
      <c r="C577" s="2" t="s">
        <v>22</v>
      </c>
      <c r="D577" s="2" t="s">
        <v>23</v>
      </c>
      <c r="E577" s="2" t="s">
        <v>24</v>
      </c>
      <c r="F577">
        <v>4035</v>
      </c>
      <c r="G577" s="2" t="s">
        <v>111</v>
      </c>
      <c r="H577" s="2" t="s">
        <v>47</v>
      </c>
      <c r="I577" s="2" t="s">
        <v>48</v>
      </c>
      <c r="J577" s="2" t="s">
        <v>49</v>
      </c>
      <c r="K577" s="2" t="s">
        <v>48</v>
      </c>
      <c r="L577">
        <v>560.69000000000005</v>
      </c>
      <c r="M577">
        <v>2</v>
      </c>
      <c r="N577">
        <v>1.837</v>
      </c>
      <c r="O577">
        <v>6100231</v>
      </c>
      <c r="P577" s="2" t="s">
        <v>50</v>
      </c>
      <c r="Q577" s="2" t="s">
        <v>51</v>
      </c>
      <c r="R577" s="2" t="s">
        <v>30</v>
      </c>
      <c r="S577">
        <v>12</v>
      </c>
      <c r="T577" s="1">
        <v>43272</v>
      </c>
      <c r="U577" s="1">
        <v>43280</v>
      </c>
      <c r="V577" s="2"/>
      <c r="W577" s="1">
        <f>fNotasFiscais[[#This Row],[Data da Coleta]]+fNotasFiscais[[#This Row],[Prazo Contratado]]</f>
        <v>43284</v>
      </c>
      <c r="X577" s="3">
        <f>IF(fNotasFiscais[[#This Row],[Data da Entrega]]&gt;fNotasFiscais[[#This Row],[Data Contratada]],0,1)</f>
        <v>1</v>
      </c>
      <c r="Y577" s="3">
        <f>IF(fNotasFiscais[[#This Row],[Ocorrência]]="",1,0)</f>
        <v>1</v>
      </c>
      <c r="Z577" s="2">
        <f>fNotasFiscais[[#This Row],[On Time]]*fNotasFiscais[[#This Row],[In Full]]</f>
        <v>1</v>
      </c>
      <c r="AA577">
        <f>IF(fNotasFiscais[[#This Row],[Nota Fiscal]]&lt;&gt;"",1,0)</f>
        <v>1</v>
      </c>
    </row>
    <row r="578" spans="1:27" x14ac:dyDescent="0.25">
      <c r="A578" s="1">
        <v>43272</v>
      </c>
      <c r="B578">
        <v>10987</v>
      </c>
      <c r="C578" s="2" t="s">
        <v>22</v>
      </c>
      <c r="D578" s="2" t="s">
        <v>23</v>
      </c>
      <c r="E578" s="2" t="s">
        <v>24</v>
      </c>
      <c r="F578">
        <v>4035</v>
      </c>
      <c r="G578" s="2" t="s">
        <v>111</v>
      </c>
      <c r="H578" s="2" t="s">
        <v>47</v>
      </c>
      <c r="I578" s="2" t="s">
        <v>48</v>
      </c>
      <c r="J578" s="2" t="s">
        <v>49</v>
      </c>
      <c r="K578" s="2" t="s">
        <v>48</v>
      </c>
      <c r="L578">
        <v>589.57000000000005</v>
      </c>
      <c r="M578">
        <v>2</v>
      </c>
      <c r="N578">
        <v>0.44</v>
      </c>
      <c r="O578">
        <v>6100231</v>
      </c>
      <c r="P578" s="2" t="s">
        <v>50</v>
      </c>
      <c r="Q578" s="2" t="s">
        <v>51</v>
      </c>
      <c r="R578" s="2" t="s">
        <v>30</v>
      </c>
      <c r="S578">
        <v>3</v>
      </c>
      <c r="T578" s="1">
        <v>43272</v>
      </c>
      <c r="U578" s="1">
        <v>43277</v>
      </c>
      <c r="V578" s="2"/>
      <c r="W578" s="1">
        <f>fNotasFiscais[[#This Row],[Data da Coleta]]+fNotasFiscais[[#This Row],[Prazo Contratado]]</f>
        <v>43275</v>
      </c>
      <c r="X578" s="3">
        <f>IF(fNotasFiscais[[#This Row],[Data da Entrega]]&gt;fNotasFiscais[[#This Row],[Data Contratada]],0,1)</f>
        <v>0</v>
      </c>
      <c r="Y578" s="3">
        <f>IF(fNotasFiscais[[#This Row],[Ocorrência]]="",1,0)</f>
        <v>1</v>
      </c>
      <c r="Z578" s="2">
        <f>fNotasFiscais[[#This Row],[On Time]]*fNotasFiscais[[#This Row],[In Full]]</f>
        <v>0</v>
      </c>
      <c r="AA578">
        <f>IF(fNotasFiscais[[#This Row],[Nota Fiscal]]&lt;&gt;"",1,0)</f>
        <v>1</v>
      </c>
    </row>
    <row r="579" spans="1:27" x14ac:dyDescent="0.25">
      <c r="A579" s="1">
        <v>43272</v>
      </c>
      <c r="B579">
        <v>10988</v>
      </c>
      <c r="C579" s="2" t="s">
        <v>40</v>
      </c>
      <c r="D579" s="2" t="s">
        <v>41</v>
      </c>
      <c r="E579" s="2" t="s">
        <v>33</v>
      </c>
      <c r="F579">
        <v>4035</v>
      </c>
      <c r="G579" s="2" t="s">
        <v>111</v>
      </c>
      <c r="H579" s="2" t="s">
        <v>47</v>
      </c>
      <c r="I579" s="2" t="s">
        <v>48</v>
      </c>
      <c r="J579" s="2" t="s">
        <v>49</v>
      </c>
      <c r="K579" s="2" t="s">
        <v>48</v>
      </c>
      <c r="L579">
        <v>345.5</v>
      </c>
      <c r="M579">
        <v>1</v>
      </c>
      <c r="N579">
        <v>8.734</v>
      </c>
      <c r="O579">
        <v>6100231</v>
      </c>
      <c r="P579" s="2" t="s">
        <v>50</v>
      </c>
      <c r="Q579" s="2" t="s">
        <v>51</v>
      </c>
      <c r="R579" s="2" t="s">
        <v>30</v>
      </c>
      <c r="S579">
        <v>10</v>
      </c>
      <c r="T579" s="1">
        <v>43272</v>
      </c>
      <c r="U579" s="1">
        <v>43278</v>
      </c>
      <c r="V579" s="2"/>
      <c r="W579" s="1">
        <f>fNotasFiscais[[#This Row],[Data da Coleta]]+fNotasFiscais[[#This Row],[Prazo Contratado]]</f>
        <v>43282</v>
      </c>
      <c r="X579" s="3">
        <f>IF(fNotasFiscais[[#This Row],[Data da Entrega]]&gt;fNotasFiscais[[#This Row],[Data Contratada]],0,1)</f>
        <v>1</v>
      </c>
      <c r="Y579" s="3">
        <f>IF(fNotasFiscais[[#This Row],[Ocorrência]]="",1,0)</f>
        <v>1</v>
      </c>
      <c r="Z579" s="2">
        <f>fNotasFiscais[[#This Row],[On Time]]*fNotasFiscais[[#This Row],[In Full]]</f>
        <v>1</v>
      </c>
      <c r="AA579">
        <f>IF(fNotasFiscais[[#This Row],[Nota Fiscal]]&lt;&gt;"",1,0)</f>
        <v>1</v>
      </c>
    </row>
    <row r="580" spans="1:27" x14ac:dyDescent="0.25">
      <c r="A580" s="1">
        <v>43274</v>
      </c>
      <c r="B580">
        <v>10989</v>
      </c>
      <c r="C580" s="2" t="s">
        <v>52</v>
      </c>
      <c r="D580" s="2" t="s">
        <v>53</v>
      </c>
      <c r="E580" s="2" t="s">
        <v>33</v>
      </c>
      <c r="F580">
        <v>4017</v>
      </c>
      <c r="G580" s="2" t="s">
        <v>74</v>
      </c>
      <c r="H580" s="2" t="s">
        <v>75</v>
      </c>
      <c r="I580" s="2" t="s">
        <v>39</v>
      </c>
      <c r="J580" s="2" t="s">
        <v>28</v>
      </c>
      <c r="K580" s="2" t="s">
        <v>39</v>
      </c>
      <c r="L580">
        <v>195.94</v>
      </c>
      <c r="M580">
        <v>2</v>
      </c>
      <c r="N580">
        <v>101.145</v>
      </c>
      <c r="O580">
        <v>6500948</v>
      </c>
      <c r="P580" s="2" t="s">
        <v>29</v>
      </c>
      <c r="Q580" s="2" t="s">
        <v>23</v>
      </c>
      <c r="R580" s="2" t="s">
        <v>30</v>
      </c>
      <c r="S580">
        <v>3</v>
      </c>
      <c r="T580" s="1">
        <v>43274</v>
      </c>
      <c r="U580" s="1">
        <v>43277</v>
      </c>
      <c r="V580" s="2"/>
      <c r="W580" s="1">
        <f>fNotasFiscais[[#This Row],[Data da Coleta]]+fNotasFiscais[[#This Row],[Prazo Contratado]]</f>
        <v>43277</v>
      </c>
      <c r="X580" s="3">
        <f>IF(fNotasFiscais[[#This Row],[Data da Entrega]]&gt;fNotasFiscais[[#This Row],[Data Contratada]],0,1)</f>
        <v>1</v>
      </c>
      <c r="Y580" s="3">
        <f>IF(fNotasFiscais[[#This Row],[Ocorrência]]="",1,0)</f>
        <v>1</v>
      </c>
      <c r="Z580" s="2">
        <f>fNotasFiscais[[#This Row],[On Time]]*fNotasFiscais[[#This Row],[In Full]]</f>
        <v>1</v>
      </c>
      <c r="AA580">
        <f>IF(fNotasFiscais[[#This Row],[Nota Fiscal]]&lt;&gt;"",1,0)</f>
        <v>1</v>
      </c>
    </row>
    <row r="581" spans="1:27" x14ac:dyDescent="0.25">
      <c r="A581" s="1">
        <v>43274</v>
      </c>
      <c r="B581">
        <v>10990</v>
      </c>
      <c r="C581" s="2" t="s">
        <v>22</v>
      </c>
      <c r="D581" s="2" t="s">
        <v>23</v>
      </c>
      <c r="E581" s="2" t="s">
        <v>24</v>
      </c>
      <c r="F581">
        <v>4027</v>
      </c>
      <c r="G581" s="2" t="s">
        <v>93</v>
      </c>
      <c r="H581" s="2" t="s">
        <v>91</v>
      </c>
      <c r="I581" s="2" t="s">
        <v>24</v>
      </c>
      <c r="J581" s="2" t="s">
        <v>28</v>
      </c>
      <c r="K581" s="2" t="s">
        <v>24</v>
      </c>
      <c r="L581">
        <v>713.99</v>
      </c>
      <c r="M581">
        <v>2</v>
      </c>
      <c r="N581">
        <v>2.0990000000000002</v>
      </c>
      <c r="O581">
        <v>6500948</v>
      </c>
      <c r="P581" s="2" t="s">
        <v>29</v>
      </c>
      <c r="Q581" s="2" t="s">
        <v>23</v>
      </c>
      <c r="R581" s="2" t="s">
        <v>30</v>
      </c>
      <c r="S581">
        <v>4</v>
      </c>
      <c r="T581" s="1">
        <v>43274</v>
      </c>
      <c r="U581" s="1">
        <v>43282</v>
      </c>
      <c r="V581" s="2"/>
      <c r="W581" s="1">
        <f>fNotasFiscais[[#This Row],[Data da Coleta]]+fNotasFiscais[[#This Row],[Prazo Contratado]]</f>
        <v>43278</v>
      </c>
      <c r="X581" s="3">
        <f>IF(fNotasFiscais[[#This Row],[Data da Entrega]]&gt;fNotasFiscais[[#This Row],[Data Contratada]],0,1)</f>
        <v>0</v>
      </c>
      <c r="Y581" s="3">
        <f>IF(fNotasFiscais[[#This Row],[Ocorrência]]="",1,0)</f>
        <v>1</v>
      </c>
      <c r="Z581" s="2">
        <f>fNotasFiscais[[#This Row],[On Time]]*fNotasFiscais[[#This Row],[In Full]]</f>
        <v>0</v>
      </c>
      <c r="AA581">
        <f>IF(fNotasFiscais[[#This Row],[Nota Fiscal]]&lt;&gt;"",1,0)</f>
        <v>1</v>
      </c>
    </row>
    <row r="582" spans="1:27" x14ac:dyDescent="0.25">
      <c r="A582" s="1">
        <v>43274</v>
      </c>
      <c r="B582">
        <v>10991</v>
      </c>
      <c r="C582" s="2" t="s">
        <v>52</v>
      </c>
      <c r="D582" s="2" t="s">
        <v>53</v>
      </c>
      <c r="E582" s="2" t="s">
        <v>33</v>
      </c>
      <c r="F582">
        <v>4027</v>
      </c>
      <c r="G582" s="2" t="s">
        <v>93</v>
      </c>
      <c r="H582" s="2" t="s">
        <v>91</v>
      </c>
      <c r="I582" s="2" t="s">
        <v>24</v>
      </c>
      <c r="J582" s="2" t="s">
        <v>28</v>
      </c>
      <c r="K582" s="2" t="s">
        <v>24</v>
      </c>
      <c r="L582">
        <v>1590.91</v>
      </c>
      <c r="M582">
        <v>2</v>
      </c>
      <c r="N582">
        <v>21.876000000000001</v>
      </c>
      <c r="O582">
        <v>6500948</v>
      </c>
      <c r="P582" s="2" t="s">
        <v>29</v>
      </c>
      <c r="Q582" s="2" t="s">
        <v>23</v>
      </c>
      <c r="R582" s="2" t="s">
        <v>30</v>
      </c>
      <c r="S582">
        <v>3</v>
      </c>
      <c r="T582" s="1">
        <v>43274</v>
      </c>
      <c r="U582" s="1">
        <v>43280</v>
      </c>
      <c r="V582" s="2"/>
      <c r="W582" s="1">
        <f>fNotasFiscais[[#This Row],[Data da Coleta]]+fNotasFiscais[[#This Row],[Prazo Contratado]]</f>
        <v>43277</v>
      </c>
      <c r="X582" s="3">
        <f>IF(fNotasFiscais[[#This Row],[Data da Entrega]]&gt;fNotasFiscais[[#This Row],[Data Contratada]],0,1)</f>
        <v>0</v>
      </c>
      <c r="Y582" s="3">
        <f>IF(fNotasFiscais[[#This Row],[Ocorrência]]="",1,0)</f>
        <v>1</v>
      </c>
      <c r="Z582" s="2">
        <f>fNotasFiscais[[#This Row],[On Time]]*fNotasFiscais[[#This Row],[In Full]]</f>
        <v>0</v>
      </c>
      <c r="AA582">
        <f>IF(fNotasFiscais[[#This Row],[Nota Fiscal]]&lt;&gt;"",1,0)</f>
        <v>1</v>
      </c>
    </row>
    <row r="583" spans="1:27" x14ac:dyDescent="0.25">
      <c r="A583" s="1">
        <v>43274</v>
      </c>
      <c r="B583">
        <v>10992</v>
      </c>
      <c r="C583" s="2" t="s">
        <v>52</v>
      </c>
      <c r="D583" s="2" t="s">
        <v>53</v>
      </c>
      <c r="E583" s="2" t="s">
        <v>33</v>
      </c>
      <c r="F583">
        <v>4028</v>
      </c>
      <c r="G583" s="2" t="s">
        <v>95</v>
      </c>
      <c r="H583" s="2" t="s">
        <v>26</v>
      </c>
      <c r="I583" s="2" t="s">
        <v>27</v>
      </c>
      <c r="J583" s="2" t="s">
        <v>28</v>
      </c>
      <c r="K583" s="2" t="s">
        <v>27</v>
      </c>
      <c r="L583">
        <v>5463.62</v>
      </c>
      <c r="M583">
        <v>2</v>
      </c>
      <c r="N583">
        <v>22.474</v>
      </c>
      <c r="O583">
        <v>6500948</v>
      </c>
      <c r="P583" s="2" t="s">
        <v>29</v>
      </c>
      <c r="Q583" s="2" t="s">
        <v>23</v>
      </c>
      <c r="R583" s="2" t="s">
        <v>30</v>
      </c>
      <c r="S583">
        <v>8</v>
      </c>
      <c r="T583" s="1">
        <v>43274</v>
      </c>
      <c r="U583" s="1">
        <v>43283</v>
      </c>
      <c r="V583" s="2"/>
      <c r="W583" s="1">
        <f>fNotasFiscais[[#This Row],[Data da Coleta]]+fNotasFiscais[[#This Row],[Prazo Contratado]]</f>
        <v>43282</v>
      </c>
      <c r="X583" s="3">
        <f>IF(fNotasFiscais[[#This Row],[Data da Entrega]]&gt;fNotasFiscais[[#This Row],[Data Contratada]],0,1)</f>
        <v>0</v>
      </c>
      <c r="Y583" s="3">
        <f>IF(fNotasFiscais[[#This Row],[Ocorrência]]="",1,0)</f>
        <v>1</v>
      </c>
      <c r="Z583" s="2">
        <f>fNotasFiscais[[#This Row],[On Time]]*fNotasFiscais[[#This Row],[In Full]]</f>
        <v>0</v>
      </c>
      <c r="AA583">
        <f>IF(fNotasFiscais[[#This Row],[Nota Fiscal]]&lt;&gt;"",1,0)</f>
        <v>1</v>
      </c>
    </row>
    <row r="584" spans="1:27" x14ac:dyDescent="0.25">
      <c r="A584" s="1">
        <v>43274</v>
      </c>
      <c r="B584">
        <v>10993</v>
      </c>
      <c r="C584" s="2" t="s">
        <v>54</v>
      </c>
      <c r="D584" s="2" t="s">
        <v>55</v>
      </c>
      <c r="E584" s="2" t="s">
        <v>56</v>
      </c>
      <c r="F584">
        <v>4028</v>
      </c>
      <c r="G584" s="2" t="s">
        <v>95</v>
      </c>
      <c r="H584" s="2" t="s">
        <v>26</v>
      </c>
      <c r="I584" s="2" t="s">
        <v>27</v>
      </c>
      <c r="J584" s="2" t="s">
        <v>28</v>
      </c>
      <c r="K584" s="2" t="s">
        <v>27</v>
      </c>
      <c r="L584">
        <v>1428.65</v>
      </c>
      <c r="M584">
        <v>1</v>
      </c>
      <c r="N584">
        <v>0.69299999999999995</v>
      </c>
      <c r="O584">
        <v>6500948</v>
      </c>
      <c r="P584" s="2" t="s">
        <v>29</v>
      </c>
      <c r="Q584" s="2" t="s">
        <v>23</v>
      </c>
      <c r="R584" s="2" t="s">
        <v>30</v>
      </c>
      <c r="S584">
        <v>7</v>
      </c>
      <c r="T584" s="1">
        <v>43274</v>
      </c>
      <c r="U584" s="1">
        <v>43281</v>
      </c>
      <c r="V584" s="2"/>
      <c r="W584" s="1">
        <f>fNotasFiscais[[#This Row],[Data da Coleta]]+fNotasFiscais[[#This Row],[Prazo Contratado]]</f>
        <v>43281</v>
      </c>
      <c r="X584" s="3">
        <f>IF(fNotasFiscais[[#This Row],[Data da Entrega]]&gt;fNotasFiscais[[#This Row],[Data Contratada]],0,1)</f>
        <v>1</v>
      </c>
      <c r="Y584" s="3">
        <f>IF(fNotasFiscais[[#This Row],[Ocorrência]]="",1,0)</f>
        <v>1</v>
      </c>
      <c r="Z584" s="2">
        <f>fNotasFiscais[[#This Row],[On Time]]*fNotasFiscais[[#This Row],[In Full]]</f>
        <v>1</v>
      </c>
      <c r="AA584">
        <f>IF(fNotasFiscais[[#This Row],[Nota Fiscal]]&lt;&gt;"",1,0)</f>
        <v>1</v>
      </c>
    </row>
    <row r="585" spans="1:27" x14ac:dyDescent="0.25">
      <c r="A585" s="1">
        <v>43274</v>
      </c>
      <c r="B585">
        <v>10994</v>
      </c>
      <c r="C585" s="2" t="s">
        <v>22</v>
      </c>
      <c r="D585" s="2" t="s">
        <v>23</v>
      </c>
      <c r="E585" s="2" t="s">
        <v>24</v>
      </c>
      <c r="F585">
        <v>4055</v>
      </c>
      <c r="G585" s="2" t="s">
        <v>120</v>
      </c>
      <c r="H585" s="2" t="s">
        <v>47</v>
      </c>
      <c r="I585" s="2" t="s">
        <v>48</v>
      </c>
      <c r="J585" s="2" t="s">
        <v>49</v>
      </c>
      <c r="K585" s="2" t="s">
        <v>48</v>
      </c>
      <c r="L585">
        <v>3347.52</v>
      </c>
      <c r="M585">
        <v>6</v>
      </c>
      <c r="N585">
        <v>6.82</v>
      </c>
      <c r="O585">
        <v>6100231</v>
      </c>
      <c r="P585" s="2" t="s">
        <v>50</v>
      </c>
      <c r="Q585" s="2" t="s">
        <v>51</v>
      </c>
      <c r="R585" s="2" t="s">
        <v>30</v>
      </c>
      <c r="S585">
        <v>11</v>
      </c>
      <c r="T585" s="1">
        <v>43274</v>
      </c>
      <c r="U585" s="1">
        <v>43279</v>
      </c>
      <c r="V585" s="2" t="s">
        <v>57</v>
      </c>
      <c r="W585" s="1">
        <f>fNotasFiscais[[#This Row],[Data da Coleta]]+fNotasFiscais[[#This Row],[Prazo Contratado]]</f>
        <v>43285</v>
      </c>
      <c r="X585" s="3">
        <f>IF(fNotasFiscais[[#This Row],[Data da Entrega]]&gt;fNotasFiscais[[#This Row],[Data Contratada]],0,1)</f>
        <v>1</v>
      </c>
      <c r="Y585" s="3">
        <f>IF(fNotasFiscais[[#This Row],[Ocorrência]]="",1,0)</f>
        <v>0</v>
      </c>
      <c r="Z585" s="2">
        <f>fNotasFiscais[[#This Row],[On Time]]*fNotasFiscais[[#This Row],[In Full]]</f>
        <v>0</v>
      </c>
      <c r="AA585">
        <f>IF(fNotasFiscais[[#This Row],[Nota Fiscal]]&lt;&gt;"",1,0)</f>
        <v>1</v>
      </c>
    </row>
    <row r="586" spans="1:27" x14ac:dyDescent="0.25">
      <c r="A586" s="1">
        <v>43274</v>
      </c>
      <c r="B586">
        <v>10995</v>
      </c>
      <c r="C586" s="2" t="s">
        <v>54</v>
      </c>
      <c r="D586" s="2" t="s">
        <v>55</v>
      </c>
      <c r="E586" s="2" t="s">
        <v>56</v>
      </c>
      <c r="F586">
        <v>4055</v>
      </c>
      <c r="G586" s="2" t="s">
        <v>120</v>
      </c>
      <c r="H586" s="2" t="s">
        <v>47</v>
      </c>
      <c r="I586" s="2" t="s">
        <v>48</v>
      </c>
      <c r="J586" s="2" t="s">
        <v>49</v>
      </c>
      <c r="K586" s="2" t="s">
        <v>48</v>
      </c>
      <c r="L586">
        <v>657.05</v>
      </c>
      <c r="M586">
        <v>1</v>
      </c>
      <c r="N586">
        <v>5.7640000000000002</v>
      </c>
      <c r="O586">
        <v>6100231</v>
      </c>
      <c r="P586" s="2" t="s">
        <v>50</v>
      </c>
      <c r="Q586" s="2" t="s">
        <v>51</v>
      </c>
      <c r="R586" s="2" t="s">
        <v>30</v>
      </c>
      <c r="S586">
        <v>2</v>
      </c>
      <c r="T586" s="1">
        <v>43274</v>
      </c>
      <c r="U586" s="1">
        <v>43279</v>
      </c>
      <c r="V586" s="2"/>
      <c r="W586" s="1">
        <f>fNotasFiscais[[#This Row],[Data da Coleta]]+fNotasFiscais[[#This Row],[Prazo Contratado]]</f>
        <v>43276</v>
      </c>
      <c r="X586" s="3">
        <f>IF(fNotasFiscais[[#This Row],[Data da Entrega]]&gt;fNotasFiscais[[#This Row],[Data Contratada]],0,1)</f>
        <v>0</v>
      </c>
      <c r="Y586" s="3">
        <f>IF(fNotasFiscais[[#This Row],[Ocorrência]]="",1,0)</f>
        <v>1</v>
      </c>
      <c r="Z586" s="2">
        <f>fNotasFiscais[[#This Row],[On Time]]*fNotasFiscais[[#This Row],[In Full]]</f>
        <v>0</v>
      </c>
      <c r="AA586">
        <f>IF(fNotasFiscais[[#This Row],[Nota Fiscal]]&lt;&gt;"",1,0)</f>
        <v>1</v>
      </c>
    </row>
    <row r="587" spans="1:27" x14ac:dyDescent="0.25">
      <c r="A587" s="1">
        <v>43277</v>
      </c>
      <c r="B587">
        <v>10996</v>
      </c>
      <c r="C587" s="2" t="s">
        <v>43</v>
      </c>
      <c r="D587" s="2" t="s">
        <v>44</v>
      </c>
      <c r="E587" s="2" t="s">
        <v>45</v>
      </c>
      <c r="F587">
        <v>4018</v>
      </c>
      <c r="G587" s="2" t="s">
        <v>77</v>
      </c>
      <c r="H587" s="2" t="s">
        <v>78</v>
      </c>
      <c r="I587" s="2" t="s">
        <v>39</v>
      </c>
      <c r="J587" s="2" t="s">
        <v>28</v>
      </c>
      <c r="K587" s="2" t="s">
        <v>39</v>
      </c>
      <c r="L587">
        <v>1285.4000000000001</v>
      </c>
      <c r="M587">
        <v>2</v>
      </c>
      <c r="N587">
        <v>3.3</v>
      </c>
      <c r="O587">
        <v>6500948</v>
      </c>
      <c r="P587" s="2" t="s">
        <v>29</v>
      </c>
      <c r="Q587" s="2" t="s">
        <v>23</v>
      </c>
      <c r="R587" s="2" t="s">
        <v>30</v>
      </c>
      <c r="S587">
        <v>1</v>
      </c>
      <c r="T587" s="1">
        <v>43277</v>
      </c>
      <c r="U587" s="1">
        <v>43279</v>
      </c>
      <c r="V587" s="2"/>
      <c r="W587" s="1">
        <f>fNotasFiscais[[#This Row],[Data da Coleta]]+fNotasFiscais[[#This Row],[Prazo Contratado]]</f>
        <v>43278</v>
      </c>
      <c r="X587" s="3">
        <f>IF(fNotasFiscais[[#This Row],[Data da Entrega]]&gt;fNotasFiscais[[#This Row],[Data Contratada]],0,1)</f>
        <v>0</v>
      </c>
      <c r="Y587" s="3">
        <f>IF(fNotasFiscais[[#This Row],[Ocorrência]]="",1,0)</f>
        <v>1</v>
      </c>
      <c r="Z587" s="2">
        <f>fNotasFiscais[[#This Row],[On Time]]*fNotasFiscais[[#This Row],[In Full]]</f>
        <v>0</v>
      </c>
      <c r="AA587">
        <f>IF(fNotasFiscais[[#This Row],[Nota Fiscal]]&lt;&gt;"",1,0)</f>
        <v>1</v>
      </c>
    </row>
    <row r="588" spans="1:27" x14ac:dyDescent="0.25">
      <c r="A588" s="1">
        <v>43278</v>
      </c>
      <c r="B588">
        <v>10997</v>
      </c>
      <c r="C588" s="2" t="s">
        <v>52</v>
      </c>
      <c r="D588" s="2" t="s">
        <v>53</v>
      </c>
      <c r="E588" s="2" t="s">
        <v>33</v>
      </c>
      <c r="F588">
        <v>4104</v>
      </c>
      <c r="G588" s="2" t="s">
        <v>187</v>
      </c>
      <c r="H588" s="2" t="s">
        <v>35</v>
      </c>
      <c r="I588" s="2" t="s">
        <v>36</v>
      </c>
      <c r="J588" s="2" t="s">
        <v>60</v>
      </c>
      <c r="K588" s="2" t="s">
        <v>36</v>
      </c>
      <c r="L588">
        <v>527.5</v>
      </c>
      <c r="M588">
        <v>1</v>
      </c>
      <c r="N588">
        <v>1.1970000000000001</v>
      </c>
      <c r="O588">
        <v>6600879</v>
      </c>
      <c r="P588" s="2" t="s">
        <v>61</v>
      </c>
      <c r="Q588" s="2" t="s">
        <v>35</v>
      </c>
      <c r="R588" s="2" t="s">
        <v>30</v>
      </c>
      <c r="S588">
        <v>6</v>
      </c>
      <c r="T588" s="1">
        <v>43278</v>
      </c>
      <c r="U588" s="1">
        <v>43285</v>
      </c>
      <c r="V588" s="2"/>
      <c r="W588" s="1">
        <f>fNotasFiscais[[#This Row],[Data da Coleta]]+fNotasFiscais[[#This Row],[Prazo Contratado]]</f>
        <v>43284</v>
      </c>
      <c r="X588" s="3">
        <f>IF(fNotasFiscais[[#This Row],[Data da Entrega]]&gt;fNotasFiscais[[#This Row],[Data Contratada]],0,1)</f>
        <v>0</v>
      </c>
      <c r="Y588" s="3">
        <f>IF(fNotasFiscais[[#This Row],[Ocorrência]]="",1,0)</f>
        <v>1</v>
      </c>
      <c r="Z588" s="2">
        <f>fNotasFiscais[[#This Row],[On Time]]*fNotasFiscais[[#This Row],[In Full]]</f>
        <v>0</v>
      </c>
      <c r="AA588">
        <f>IF(fNotasFiscais[[#This Row],[Nota Fiscal]]&lt;&gt;"",1,0)</f>
        <v>1</v>
      </c>
    </row>
    <row r="589" spans="1:27" x14ac:dyDescent="0.25">
      <c r="A589" s="1">
        <v>43278</v>
      </c>
      <c r="B589">
        <v>10998</v>
      </c>
      <c r="C589" s="2" t="s">
        <v>34</v>
      </c>
      <c r="D589" s="2" t="s">
        <v>35</v>
      </c>
      <c r="E589" s="2" t="s">
        <v>36</v>
      </c>
      <c r="F589">
        <v>4105</v>
      </c>
      <c r="G589" s="2" t="s">
        <v>188</v>
      </c>
      <c r="H589" s="2" t="s">
        <v>44</v>
      </c>
      <c r="I589" s="2" t="s">
        <v>45</v>
      </c>
      <c r="J589" s="2" t="s">
        <v>60</v>
      </c>
      <c r="K589" s="2" t="s">
        <v>45</v>
      </c>
      <c r="L589">
        <v>1576.65</v>
      </c>
      <c r="M589">
        <v>2</v>
      </c>
      <c r="N589">
        <v>11.551</v>
      </c>
      <c r="O589">
        <v>6140092</v>
      </c>
      <c r="P589" s="2" t="s">
        <v>137</v>
      </c>
      <c r="Q589" s="2" t="s">
        <v>138</v>
      </c>
      <c r="R589" s="2" t="s">
        <v>30</v>
      </c>
      <c r="S589">
        <v>10</v>
      </c>
      <c r="T589" s="1">
        <v>43278</v>
      </c>
      <c r="U589" s="1">
        <v>43281</v>
      </c>
      <c r="V589" s="2" t="s">
        <v>57</v>
      </c>
      <c r="W589" s="1">
        <f>fNotasFiscais[[#This Row],[Data da Coleta]]+fNotasFiscais[[#This Row],[Prazo Contratado]]</f>
        <v>43288</v>
      </c>
      <c r="X589" s="3">
        <f>IF(fNotasFiscais[[#This Row],[Data da Entrega]]&gt;fNotasFiscais[[#This Row],[Data Contratada]],0,1)</f>
        <v>1</v>
      </c>
      <c r="Y589" s="3">
        <f>IF(fNotasFiscais[[#This Row],[Ocorrência]]="",1,0)</f>
        <v>0</v>
      </c>
      <c r="Z589" s="2">
        <f>fNotasFiscais[[#This Row],[On Time]]*fNotasFiscais[[#This Row],[In Full]]</f>
        <v>0</v>
      </c>
      <c r="AA589">
        <f>IF(fNotasFiscais[[#This Row],[Nota Fiscal]]&lt;&gt;"",1,0)</f>
        <v>1</v>
      </c>
    </row>
    <row r="590" spans="1:27" x14ac:dyDescent="0.25">
      <c r="A590" s="1">
        <v>43278</v>
      </c>
      <c r="B590">
        <v>10999</v>
      </c>
      <c r="C590" s="2" t="s">
        <v>40</v>
      </c>
      <c r="D590" s="2" t="s">
        <v>41</v>
      </c>
      <c r="E590" s="2" t="s">
        <v>33</v>
      </c>
      <c r="F590">
        <v>4022</v>
      </c>
      <c r="G590" s="2" t="s">
        <v>86</v>
      </c>
      <c r="H590" s="2" t="s">
        <v>87</v>
      </c>
      <c r="I590" s="2" t="s">
        <v>27</v>
      </c>
      <c r="J590" s="2" t="s">
        <v>28</v>
      </c>
      <c r="K590" s="2" t="s">
        <v>27</v>
      </c>
      <c r="L590">
        <v>15.55</v>
      </c>
      <c r="M590">
        <v>1</v>
      </c>
      <c r="N590">
        <v>0.05</v>
      </c>
      <c r="O590">
        <v>6500948</v>
      </c>
      <c r="P590" s="2" t="s">
        <v>29</v>
      </c>
      <c r="Q590" s="2" t="s">
        <v>23</v>
      </c>
      <c r="R590" s="2" t="s">
        <v>30</v>
      </c>
      <c r="S590">
        <v>5</v>
      </c>
      <c r="T590" s="1">
        <v>43278</v>
      </c>
      <c r="U590" s="1">
        <v>43283</v>
      </c>
      <c r="V590" s="2"/>
      <c r="W590" s="1">
        <f>fNotasFiscais[[#This Row],[Data da Coleta]]+fNotasFiscais[[#This Row],[Prazo Contratado]]</f>
        <v>43283</v>
      </c>
      <c r="X590" s="3">
        <f>IF(fNotasFiscais[[#This Row],[Data da Entrega]]&gt;fNotasFiscais[[#This Row],[Data Contratada]],0,1)</f>
        <v>1</v>
      </c>
      <c r="Y590" s="3">
        <f>IF(fNotasFiscais[[#This Row],[Ocorrência]]="",1,0)</f>
        <v>1</v>
      </c>
      <c r="Z590" s="2">
        <f>fNotasFiscais[[#This Row],[On Time]]*fNotasFiscais[[#This Row],[In Full]]</f>
        <v>1</v>
      </c>
      <c r="AA590">
        <f>IF(fNotasFiscais[[#This Row],[Nota Fiscal]]&lt;&gt;"",1,0)</f>
        <v>1</v>
      </c>
    </row>
    <row r="591" spans="1:27" x14ac:dyDescent="0.25">
      <c r="A591" s="1">
        <v>43279</v>
      </c>
      <c r="B591">
        <v>11000</v>
      </c>
      <c r="C591" s="2" t="s">
        <v>34</v>
      </c>
      <c r="D591" s="2" t="s">
        <v>35</v>
      </c>
      <c r="E591" s="2" t="s">
        <v>36</v>
      </c>
      <c r="F591">
        <v>4048</v>
      </c>
      <c r="G591" s="2" t="s">
        <v>126</v>
      </c>
      <c r="H591" s="2" t="s">
        <v>47</v>
      </c>
      <c r="I591" s="2" t="s">
        <v>48</v>
      </c>
      <c r="J591" s="2" t="s">
        <v>49</v>
      </c>
      <c r="K591" s="2" t="s">
        <v>48</v>
      </c>
      <c r="L591">
        <v>1712.16</v>
      </c>
      <c r="M591">
        <v>1</v>
      </c>
      <c r="N591">
        <v>3.41</v>
      </c>
      <c r="O591">
        <v>6100231</v>
      </c>
      <c r="P591" s="2" t="s">
        <v>50</v>
      </c>
      <c r="Q591" s="2" t="s">
        <v>51</v>
      </c>
      <c r="R591" s="2" t="s">
        <v>30</v>
      </c>
      <c r="S591">
        <v>4</v>
      </c>
      <c r="T591" s="1">
        <v>43279</v>
      </c>
      <c r="U591" s="1">
        <v>43281</v>
      </c>
      <c r="V591" s="2"/>
      <c r="W591" s="1">
        <f>fNotasFiscais[[#This Row],[Data da Coleta]]+fNotasFiscais[[#This Row],[Prazo Contratado]]</f>
        <v>43283</v>
      </c>
      <c r="X591" s="3">
        <f>IF(fNotasFiscais[[#This Row],[Data da Entrega]]&gt;fNotasFiscais[[#This Row],[Data Contratada]],0,1)</f>
        <v>1</v>
      </c>
      <c r="Y591" s="3">
        <f>IF(fNotasFiscais[[#This Row],[Ocorrência]]="",1,0)</f>
        <v>1</v>
      </c>
      <c r="Z591" s="2">
        <f>fNotasFiscais[[#This Row],[On Time]]*fNotasFiscais[[#This Row],[In Full]]</f>
        <v>1</v>
      </c>
      <c r="AA591">
        <f>IF(fNotasFiscais[[#This Row],[Nota Fiscal]]&lt;&gt;"",1,0)</f>
        <v>1</v>
      </c>
    </row>
    <row r="592" spans="1:27" x14ac:dyDescent="0.25">
      <c r="A592" s="1">
        <v>43279</v>
      </c>
      <c r="B592">
        <v>11001</v>
      </c>
      <c r="C592" s="2" t="s">
        <v>31</v>
      </c>
      <c r="D592" s="2" t="s">
        <v>32</v>
      </c>
      <c r="E592" s="2" t="s">
        <v>33</v>
      </c>
      <c r="F592">
        <v>4106</v>
      </c>
      <c r="G592" s="2" t="s">
        <v>189</v>
      </c>
      <c r="H592" s="2" t="s">
        <v>44</v>
      </c>
      <c r="I592" s="2" t="s">
        <v>45</v>
      </c>
      <c r="J592" s="2" t="s">
        <v>60</v>
      </c>
      <c r="K592" s="2" t="s">
        <v>45</v>
      </c>
      <c r="L592">
        <v>7519.42</v>
      </c>
      <c r="M592">
        <v>11</v>
      </c>
      <c r="N592">
        <v>35.904000000000003</v>
      </c>
      <c r="O592">
        <v>6140092</v>
      </c>
      <c r="P592" s="2" t="s">
        <v>137</v>
      </c>
      <c r="Q592" s="2" t="s">
        <v>138</v>
      </c>
      <c r="R592" s="2" t="s">
        <v>30</v>
      </c>
      <c r="S592">
        <v>9</v>
      </c>
      <c r="T592" s="1">
        <v>43279</v>
      </c>
      <c r="U592" s="1">
        <v>43283</v>
      </c>
      <c r="V592" s="2"/>
      <c r="W592" s="1">
        <f>fNotasFiscais[[#This Row],[Data da Coleta]]+fNotasFiscais[[#This Row],[Prazo Contratado]]</f>
        <v>43288</v>
      </c>
      <c r="X592" s="3">
        <f>IF(fNotasFiscais[[#This Row],[Data da Entrega]]&gt;fNotasFiscais[[#This Row],[Data Contratada]],0,1)</f>
        <v>1</v>
      </c>
      <c r="Y592" s="3">
        <f>IF(fNotasFiscais[[#This Row],[Ocorrência]]="",1,0)</f>
        <v>1</v>
      </c>
      <c r="Z592" s="2">
        <f>fNotasFiscais[[#This Row],[On Time]]*fNotasFiscais[[#This Row],[In Full]]</f>
        <v>1</v>
      </c>
      <c r="AA592">
        <f>IF(fNotasFiscais[[#This Row],[Nota Fiscal]]&lt;&gt;"",1,0)</f>
        <v>1</v>
      </c>
    </row>
    <row r="593" spans="1:27" x14ac:dyDescent="0.25">
      <c r="A593" s="1">
        <v>43279</v>
      </c>
      <c r="B593">
        <v>11002</v>
      </c>
      <c r="C593" s="2" t="s">
        <v>22</v>
      </c>
      <c r="D593" s="2" t="s">
        <v>23</v>
      </c>
      <c r="E593" s="2" t="s">
        <v>24</v>
      </c>
      <c r="F593">
        <v>4107</v>
      </c>
      <c r="G593" s="2" t="s">
        <v>190</v>
      </c>
      <c r="H593" s="2" t="s">
        <v>173</v>
      </c>
      <c r="I593" s="2" t="s">
        <v>174</v>
      </c>
      <c r="J593" s="2" t="s">
        <v>175</v>
      </c>
      <c r="K593" s="2" t="s">
        <v>174</v>
      </c>
      <c r="L593">
        <v>635.28</v>
      </c>
      <c r="M593">
        <v>2</v>
      </c>
      <c r="N593">
        <v>26.84</v>
      </c>
      <c r="O593">
        <v>6700091</v>
      </c>
      <c r="P593" s="2" t="s">
        <v>176</v>
      </c>
      <c r="Q593" s="2" t="s">
        <v>173</v>
      </c>
      <c r="R593" s="2" t="s">
        <v>30</v>
      </c>
      <c r="S593">
        <v>10</v>
      </c>
      <c r="T593" s="1">
        <v>43279</v>
      </c>
      <c r="U593" s="1">
        <v>43281</v>
      </c>
      <c r="V593" s="2"/>
      <c r="W593" s="1">
        <f>fNotasFiscais[[#This Row],[Data da Coleta]]+fNotasFiscais[[#This Row],[Prazo Contratado]]</f>
        <v>43289</v>
      </c>
      <c r="X593" s="3">
        <f>IF(fNotasFiscais[[#This Row],[Data da Entrega]]&gt;fNotasFiscais[[#This Row],[Data Contratada]],0,1)</f>
        <v>1</v>
      </c>
      <c r="Y593" s="3">
        <f>IF(fNotasFiscais[[#This Row],[Ocorrência]]="",1,0)</f>
        <v>1</v>
      </c>
      <c r="Z593" s="2">
        <f>fNotasFiscais[[#This Row],[On Time]]*fNotasFiscais[[#This Row],[In Full]]</f>
        <v>1</v>
      </c>
      <c r="AA593">
        <f>IF(fNotasFiscais[[#This Row],[Nota Fiscal]]&lt;&gt;"",1,0)</f>
        <v>1</v>
      </c>
    </row>
    <row r="594" spans="1:27" x14ac:dyDescent="0.25">
      <c r="A594" s="1">
        <v>43279</v>
      </c>
      <c r="B594">
        <v>11003</v>
      </c>
      <c r="C594" s="2" t="s">
        <v>40</v>
      </c>
      <c r="D594" s="2" t="s">
        <v>41</v>
      </c>
      <c r="E594" s="2" t="s">
        <v>33</v>
      </c>
      <c r="F594">
        <v>4108</v>
      </c>
      <c r="G594" s="2" t="s">
        <v>191</v>
      </c>
      <c r="H594" s="2" t="s">
        <v>44</v>
      </c>
      <c r="I594" s="2" t="s">
        <v>45</v>
      </c>
      <c r="J594" s="2" t="s">
        <v>60</v>
      </c>
      <c r="K594" s="2" t="s">
        <v>45</v>
      </c>
      <c r="L594">
        <v>8824.73</v>
      </c>
      <c r="M594">
        <v>7</v>
      </c>
      <c r="N594">
        <v>16.643000000000001</v>
      </c>
      <c r="O594">
        <v>6140092</v>
      </c>
      <c r="P594" s="2" t="s">
        <v>137</v>
      </c>
      <c r="Q594" s="2" t="s">
        <v>138</v>
      </c>
      <c r="R594" s="2" t="s">
        <v>30</v>
      </c>
      <c r="S594">
        <v>7</v>
      </c>
      <c r="T594" s="1">
        <v>43279</v>
      </c>
      <c r="U594" s="1">
        <v>43281</v>
      </c>
      <c r="V594" s="2"/>
      <c r="W594" s="1">
        <f>fNotasFiscais[[#This Row],[Data da Coleta]]+fNotasFiscais[[#This Row],[Prazo Contratado]]</f>
        <v>43286</v>
      </c>
      <c r="X594" s="3">
        <f>IF(fNotasFiscais[[#This Row],[Data da Entrega]]&gt;fNotasFiscais[[#This Row],[Data Contratada]],0,1)</f>
        <v>1</v>
      </c>
      <c r="Y594" s="3">
        <f>IF(fNotasFiscais[[#This Row],[Ocorrência]]="",1,0)</f>
        <v>1</v>
      </c>
      <c r="Z594" s="2">
        <f>fNotasFiscais[[#This Row],[On Time]]*fNotasFiscais[[#This Row],[In Full]]</f>
        <v>1</v>
      </c>
      <c r="AA594">
        <f>IF(fNotasFiscais[[#This Row],[Nota Fiscal]]&lt;&gt;"",1,0)</f>
        <v>1</v>
      </c>
    </row>
    <row r="595" spans="1:27" x14ac:dyDescent="0.25">
      <c r="A595" s="1">
        <v>43279</v>
      </c>
      <c r="B595">
        <v>11004</v>
      </c>
      <c r="C595" s="2" t="s">
        <v>31</v>
      </c>
      <c r="D595" s="2" t="s">
        <v>32</v>
      </c>
      <c r="E595" s="2" t="s">
        <v>33</v>
      </c>
      <c r="F595">
        <v>4109</v>
      </c>
      <c r="G595" s="2" t="s">
        <v>192</v>
      </c>
      <c r="H595" s="2" t="s">
        <v>167</v>
      </c>
      <c r="I595" s="2" t="s">
        <v>168</v>
      </c>
      <c r="J595" s="2" t="s">
        <v>169</v>
      </c>
      <c r="K595" s="2" t="s">
        <v>168</v>
      </c>
      <c r="L595">
        <v>636.20000000000005</v>
      </c>
      <c r="M595">
        <v>1</v>
      </c>
      <c r="N595">
        <v>1.65</v>
      </c>
      <c r="O595">
        <v>6900304</v>
      </c>
      <c r="P595" s="2" t="s">
        <v>170</v>
      </c>
      <c r="Q595" s="2" t="s">
        <v>171</v>
      </c>
      <c r="R595" s="2" t="s">
        <v>30</v>
      </c>
      <c r="S595">
        <v>2</v>
      </c>
      <c r="T595" s="1">
        <v>43279</v>
      </c>
      <c r="U595" s="1">
        <v>43280</v>
      </c>
      <c r="V595" s="2"/>
      <c r="W595" s="1">
        <f>fNotasFiscais[[#This Row],[Data da Coleta]]+fNotasFiscais[[#This Row],[Prazo Contratado]]</f>
        <v>43281</v>
      </c>
      <c r="X595" s="3">
        <f>IF(fNotasFiscais[[#This Row],[Data da Entrega]]&gt;fNotasFiscais[[#This Row],[Data Contratada]],0,1)</f>
        <v>1</v>
      </c>
      <c r="Y595" s="3">
        <f>IF(fNotasFiscais[[#This Row],[Ocorrência]]="",1,0)</f>
        <v>1</v>
      </c>
      <c r="Z595" s="2">
        <f>fNotasFiscais[[#This Row],[On Time]]*fNotasFiscais[[#This Row],[In Full]]</f>
        <v>1</v>
      </c>
      <c r="AA595">
        <f>IF(fNotasFiscais[[#This Row],[Nota Fiscal]]&lt;&gt;"",1,0)</f>
        <v>1</v>
      </c>
    </row>
    <row r="596" spans="1:27" x14ac:dyDescent="0.25">
      <c r="A596" s="1">
        <v>43279</v>
      </c>
      <c r="B596">
        <v>11005</v>
      </c>
      <c r="C596" s="2" t="s">
        <v>54</v>
      </c>
      <c r="D596" s="2" t="s">
        <v>55</v>
      </c>
      <c r="E596" s="2" t="s">
        <v>56</v>
      </c>
      <c r="F596">
        <v>4110</v>
      </c>
      <c r="G596" s="2" t="s">
        <v>193</v>
      </c>
      <c r="H596" s="2" t="s">
        <v>167</v>
      </c>
      <c r="I596" s="2" t="s">
        <v>168</v>
      </c>
      <c r="J596" s="2" t="s">
        <v>169</v>
      </c>
      <c r="K596" s="2" t="s">
        <v>168</v>
      </c>
      <c r="L596">
        <v>1924.04</v>
      </c>
      <c r="M596">
        <v>3</v>
      </c>
      <c r="N596">
        <v>7.48</v>
      </c>
      <c r="O596">
        <v>6900304</v>
      </c>
      <c r="P596" s="2" t="s">
        <v>170</v>
      </c>
      <c r="Q596" s="2" t="s">
        <v>171</v>
      </c>
      <c r="R596" s="2" t="s">
        <v>30</v>
      </c>
      <c r="S596">
        <v>10</v>
      </c>
      <c r="T596" s="1">
        <v>43279</v>
      </c>
      <c r="U596" s="1">
        <v>43280</v>
      </c>
      <c r="V596" s="2"/>
      <c r="W596" s="1">
        <f>fNotasFiscais[[#This Row],[Data da Coleta]]+fNotasFiscais[[#This Row],[Prazo Contratado]]</f>
        <v>43289</v>
      </c>
      <c r="X596" s="3">
        <f>IF(fNotasFiscais[[#This Row],[Data da Entrega]]&gt;fNotasFiscais[[#This Row],[Data Contratada]],0,1)</f>
        <v>1</v>
      </c>
      <c r="Y596" s="3">
        <f>IF(fNotasFiscais[[#This Row],[Ocorrência]]="",1,0)</f>
        <v>1</v>
      </c>
      <c r="Z596" s="2">
        <f>fNotasFiscais[[#This Row],[On Time]]*fNotasFiscais[[#This Row],[In Full]]</f>
        <v>1</v>
      </c>
      <c r="AA596">
        <f>IF(fNotasFiscais[[#This Row],[Nota Fiscal]]&lt;&gt;"",1,0)</f>
        <v>1</v>
      </c>
    </row>
    <row r="597" spans="1:27" x14ac:dyDescent="0.25">
      <c r="A597" s="1">
        <v>43280</v>
      </c>
      <c r="B597">
        <v>11006</v>
      </c>
      <c r="C597" s="2" t="s">
        <v>43</v>
      </c>
      <c r="D597" s="2" t="s">
        <v>44</v>
      </c>
      <c r="E597" s="2" t="s">
        <v>45</v>
      </c>
      <c r="F597">
        <v>4024</v>
      </c>
      <c r="G597" s="2" t="s">
        <v>89</v>
      </c>
      <c r="H597" s="2" t="s">
        <v>23</v>
      </c>
      <c r="I597" s="2" t="s">
        <v>24</v>
      </c>
      <c r="J597" s="2" t="s">
        <v>28</v>
      </c>
      <c r="K597" s="2" t="s">
        <v>24</v>
      </c>
      <c r="L597">
        <v>483.74</v>
      </c>
      <c r="M597">
        <v>1</v>
      </c>
      <c r="N597">
        <v>0.748</v>
      </c>
      <c r="O597">
        <v>6500948</v>
      </c>
      <c r="P597" s="2" t="s">
        <v>29</v>
      </c>
      <c r="Q597" s="2" t="s">
        <v>23</v>
      </c>
      <c r="R597" s="2" t="s">
        <v>30</v>
      </c>
      <c r="S597">
        <v>4</v>
      </c>
      <c r="T597" s="1">
        <v>43280</v>
      </c>
      <c r="U597" s="1">
        <v>43284</v>
      </c>
      <c r="V597" s="2"/>
      <c r="W597" s="1">
        <f>fNotasFiscais[[#This Row],[Data da Coleta]]+fNotasFiscais[[#This Row],[Prazo Contratado]]</f>
        <v>43284</v>
      </c>
      <c r="X597" s="3">
        <f>IF(fNotasFiscais[[#This Row],[Data da Entrega]]&gt;fNotasFiscais[[#This Row],[Data Contratada]],0,1)</f>
        <v>1</v>
      </c>
      <c r="Y597" s="3">
        <f>IF(fNotasFiscais[[#This Row],[Ocorrência]]="",1,0)</f>
        <v>1</v>
      </c>
      <c r="Z597" s="2">
        <f>fNotasFiscais[[#This Row],[On Time]]*fNotasFiscais[[#This Row],[In Full]]</f>
        <v>1</v>
      </c>
      <c r="AA597">
        <f>IF(fNotasFiscais[[#This Row],[Nota Fiscal]]&lt;&gt;"",1,0)</f>
        <v>1</v>
      </c>
    </row>
    <row r="598" spans="1:27" x14ac:dyDescent="0.25">
      <c r="A598" s="1">
        <v>43280</v>
      </c>
      <c r="B598">
        <v>11007</v>
      </c>
      <c r="C598" s="2" t="s">
        <v>22</v>
      </c>
      <c r="D598" s="2" t="s">
        <v>23</v>
      </c>
      <c r="E598" s="2" t="s">
        <v>24</v>
      </c>
      <c r="F598">
        <v>4023</v>
      </c>
      <c r="G598" s="2" t="s">
        <v>88</v>
      </c>
      <c r="H598" s="2" t="s">
        <v>78</v>
      </c>
      <c r="I598" s="2" t="s">
        <v>39</v>
      </c>
      <c r="J598" s="2" t="s">
        <v>28</v>
      </c>
      <c r="K598" s="2" t="s">
        <v>39</v>
      </c>
      <c r="L598">
        <v>4216.6099999999997</v>
      </c>
      <c r="M598">
        <v>3</v>
      </c>
      <c r="N598">
        <v>12.718</v>
      </c>
      <c r="O598">
        <v>6500948</v>
      </c>
      <c r="P598" s="2" t="s">
        <v>29</v>
      </c>
      <c r="Q598" s="2" t="s">
        <v>23</v>
      </c>
      <c r="R598" s="2" t="s">
        <v>30</v>
      </c>
      <c r="S598">
        <v>10</v>
      </c>
      <c r="T598" s="1">
        <v>43280</v>
      </c>
      <c r="U598" s="1">
        <v>43290</v>
      </c>
      <c r="V598" s="2"/>
      <c r="W598" s="1">
        <f>fNotasFiscais[[#This Row],[Data da Coleta]]+fNotasFiscais[[#This Row],[Prazo Contratado]]</f>
        <v>43290</v>
      </c>
      <c r="X598" s="3">
        <f>IF(fNotasFiscais[[#This Row],[Data da Entrega]]&gt;fNotasFiscais[[#This Row],[Data Contratada]],0,1)</f>
        <v>1</v>
      </c>
      <c r="Y598" s="3">
        <f>IF(fNotasFiscais[[#This Row],[Ocorrência]]="",1,0)</f>
        <v>1</v>
      </c>
      <c r="Z598" s="2">
        <f>fNotasFiscais[[#This Row],[On Time]]*fNotasFiscais[[#This Row],[In Full]]</f>
        <v>1</v>
      </c>
      <c r="AA598">
        <f>IF(fNotasFiscais[[#This Row],[Nota Fiscal]]&lt;&gt;"",1,0)</f>
        <v>1</v>
      </c>
    </row>
    <row r="599" spans="1:27" x14ac:dyDescent="0.25">
      <c r="A599" s="1">
        <v>43281</v>
      </c>
      <c r="B599">
        <v>11008</v>
      </c>
      <c r="C599" s="2" t="s">
        <v>31</v>
      </c>
      <c r="D599" s="2" t="s">
        <v>32</v>
      </c>
      <c r="E599" s="2" t="s">
        <v>33</v>
      </c>
      <c r="F599">
        <v>4014</v>
      </c>
      <c r="G599" s="2" t="s">
        <v>58</v>
      </c>
      <c r="H599" s="2" t="s">
        <v>59</v>
      </c>
      <c r="I599" s="2" t="s">
        <v>36</v>
      </c>
      <c r="J599" s="2" t="s">
        <v>60</v>
      </c>
      <c r="K599" s="2" t="s">
        <v>36</v>
      </c>
      <c r="L599">
        <v>44.21</v>
      </c>
      <c r="M599">
        <v>1</v>
      </c>
      <c r="N599">
        <v>0.252</v>
      </c>
      <c r="O599">
        <v>6600879</v>
      </c>
      <c r="P599" s="2" t="s">
        <v>61</v>
      </c>
      <c r="Q599" s="2" t="s">
        <v>35</v>
      </c>
      <c r="R599" s="2" t="s">
        <v>30</v>
      </c>
      <c r="S599">
        <v>4</v>
      </c>
      <c r="T599" s="1">
        <v>43281</v>
      </c>
      <c r="U599" s="1">
        <v>43282</v>
      </c>
      <c r="V599" s="2"/>
      <c r="W599" s="1">
        <f>fNotasFiscais[[#This Row],[Data da Coleta]]+fNotasFiscais[[#This Row],[Prazo Contratado]]</f>
        <v>43285</v>
      </c>
      <c r="X599" s="3">
        <f>IF(fNotasFiscais[[#This Row],[Data da Entrega]]&gt;fNotasFiscais[[#This Row],[Data Contratada]],0,1)</f>
        <v>1</v>
      </c>
      <c r="Y599" s="3">
        <f>IF(fNotasFiscais[[#This Row],[Ocorrência]]="",1,0)</f>
        <v>1</v>
      </c>
      <c r="Z599" s="2">
        <f>fNotasFiscais[[#This Row],[On Time]]*fNotasFiscais[[#This Row],[In Full]]</f>
        <v>1</v>
      </c>
      <c r="AA599">
        <f>IF(fNotasFiscais[[#This Row],[Nota Fiscal]]&lt;&gt;"",1,0)</f>
        <v>1</v>
      </c>
    </row>
    <row r="600" spans="1:27" x14ac:dyDescent="0.25">
      <c r="A600" s="1">
        <v>43281</v>
      </c>
      <c r="B600">
        <v>11009</v>
      </c>
      <c r="C600" s="2" t="s">
        <v>52</v>
      </c>
      <c r="D600" s="2" t="s">
        <v>53</v>
      </c>
      <c r="E600" s="2" t="s">
        <v>33</v>
      </c>
      <c r="F600">
        <v>4014</v>
      </c>
      <c r="G600" s="2" t="s">
        <v>58</v>
      </c>
      <c r="H600" s="2" t="s">
        <v>59</v>
      </c>
      <c r="I600" s="2" t="s">
        <v>36</v>
      </c>
      <c r="J600" s="2" t="s">
        <v>60</v>
      </c>
      <c r="K600" s="2" t="s">
        <v>36</v>
      </c>
      <c r="L600">
        <v>329.09</v>
      </c>
      <c r="M600">
        <v>1</v>
      </c>
      <c r="N600">
        <v>0.68200000000000005</v>
      </c>
      <c r="O600">
        <v>6600879</v>
      </c>
      <c r="P600" s="2" t="s">
        <v>61</v>
      </c>
      <c r="Q600" s="2" t="s">
        <v>35</v>
      </c>
      <c r="R600" s="2" t="s">
        <v>30</v>
      </c>
      <c r="S600">
        <v>9</v>
      </c>
      <c r="T600" s="1">
        <v>43281</v>
      </c>
      <c r="U600" s="1">
        <v>43289</v>
      </c>
      <c r="V600" s="2" t="s">
        <v>42</v>
      </c>
      <c r="W600" s="1">
        <f>fNotasFiscais[[#This Row],[Data da Coleta]]+fNotasFiscais[[#This Row],[Prazo Contratado]]</f>
        <v>43290</v>
      </c>
      <c r="X600" s="3">
        <f>IF(fNotasFiscais[[#This Row],[Data da Entrega]]&gt;fNotasFiscais[[#This Row],[Data Contratada]],0,1)</f>
        <v>1</v>
      </c>
      <c r="Y600" s="3">
        <f>IF(fNotasFiscais[[#This Row],[Ocorrência]]="",1,0)</f>
        <v>0</v>
      </c>
      <c r="Z600" s="2">
        <f>fNotasFiscais[[#This Row],[On Time]]*fNotasFiscais[[#This Row],[In Full]]</f>
        <v>0</v>
      </c>
      <c r="AA600">
        <f>IF(fNotasFiscais[[#This Row],[Nota Fiscal]]&lt;&gt;"",1,0)</f>
        <v>1</v>
      </c>
    </row>
    <row r="601" spans="1:27" x14ac:dyDescent="0.25">
      <c r="A601" s="1">
        <v>43281</v>
      </c>
      <c r="B601">
        <v>11010</v>
      </c>
      <c r="C601" s="2" t="s">
        <v>54</v>
      </c>
      <c r="D601" s="2" t="s">
        <v>55</v>
      </c>
      <c r="E601" s="2" t="s">
        <v>56</v>
      </c>
      <c r="F601">
        <v>4014</v>
      </c>
      <c r="G601" s="2" t="s">
        <v>58</v>
      </c>
      <c r="H601" s="2" t="s">
        <v>59</v>
      </c>
      <c r="I601" s="2" t="s">
        <v>36</v>
      </c>
      <c r="J601" s="2" t="s">
        <v>60</v>
      </c>
      <c r="K601" s="2" t="s">
        <v>36</v>
      </c>
      <c r="L601">
        <v>1292.26</v>
      </c>
      <c r="M601">
        <v>2</v>
      </c>
      <c r="N601">
        <v>3.3</v>
      </c>
      <c r="O601">
        <v>6600879</v>
      </c>
      <c r="P601" s="2" t="s">
        <v>61</v>
      </c>
      <c r="Q601" s="2" t="s">
        <v>35</v>
      </c>
      <c r="R601" s="2" t="s">
        <v>30</v>
      </c>
      <c r="S601">
        <v>7</v>
      </c>
      <c r="T601" s="1">
        <v>43281</v>
      </c>
      <c r="U601" s="1">
        <v>43285</v>
      </c>
      <c r="V601" s="2"/>
      <c r="W601" s="1">
        <f>fNotasFiscais[[#This Row],[Data da Coleta]]+fNotasFiscais[[#This Row],[Prazo Contratado]]</f>
        <v>43288</v>
      </c>
      <c r="X601" s="3">
        <f>IF(fNotasFiscais[[#This Row],[Data da Entrega]]&gt;fNotasFiscais[[#This Row],[Data Contratada]],0,1)</f>
        <v>1</v>
      </c>
      <c r="Y601" s="3">
        <f>IF(fNotasFiscais[[#This Row],[Ocorrência]]="",1,0)</f>
        <v>1</v>
      </c>
      <c r="Z601" s="2">
        <f>fNotasFiscais[[#This Row],[On Time]]*fNotasFiscais[[#This Row],[In Full]]</f>
        <v>1</v>
      </c>
      <c r="AA601">
        <f>IF(fNotasFiscais[[#This Row],[Nota Fiscal]]&lt;&gt;"",1,0)</f>
        <v>1</v>
      </c>
    </row>
    <row r="602" spans="1:27" x14ac:dyDescent="0.25">
      <c r="A602" s="1">
        <v>43281</v>
      </c>
      <c r="B602">
        <v>11011</v>
      </c>
      <c r="C602" s="2" t="s">
        <v>40</v>
      </c>
      <c r="D602" s="2" t="s">
        <v>41</v>
      </c>
      <c r="E602" s="2" t="s">
        <v>33</v>
      </c>
      <c r="F602">
        <v>4022</v>
      </c>
      <c r="G602" s="2" t="s">
        <v>86</v>
      </c>
      <c r="H602" s="2" t="s">
        <v>87</v>
      </c>
      <c r="I602" s="2" t="s">
        <v>27</v>
      </c>
      <c r="J602" s="2" t="s">
        <v>28</v>
      </c>
      <c r="K602" s="2" t="s">
        <v>27</v>
      </c>
      <c r="L602">
        <v>2378.1999999999998</v>
      </c>
      <c r="M602">
        <v>1</v>
      </c>
      <c r="N602">
        <v>6.8479999999999999</v>
      </c>
      <c r="O602">
        <v>6500948</v>
      </c>
      <c r="P602" s="2" t="s">
        <v>29</v>
      </c>
      <c r="Q602" s="2" t="s">
        <v>23</v>
      </c>
      <c r="R602" s="2" t="s">
        <v>30</v>
      </c>
      <c r="S602">
        <v>3</v>
      </c>
      <c r="T602" s="1">
        <v>43281</v>
      </c>
      <c r="U602" s="1">
        <v>43288</v>
      </c>
      <c r="V602" s="2"/>
      <c r="W602" s="1">
        <f>fNotasFiscais[[#This Row],[Data da Coleta]]+fNotasFiscais[[#This Row],[Prazo Contratado]]</f>
        <v>43284</v>
      </c>
      <c r="X602" s="3">
        <f>IF(fNotasFiscais[[#This Row],[Data da Entrega]]&gt;fNotasFiscais[[#This Row],[Data Contratada]],0,1)</f>
        <v>0</v>
      </c>
      <c r="Y602" s="3">
        <f>IF(fNotasFiscais[[#This Row],[Ocorrência]]="",1,0)</f>
        <v>1</v>
      </c>
      <c r="Z602" s="2">
        <f>fNotasFiscais[[#This Row],[On Time]]*fNotasFiscais[[#This Row],[In Full]]</f>
        <v>0</v>
      </c>
      <c r="AA602">
        <f>IF(fNotasFiscais[[#This Row],[Nota Fiscal]]&lt;&gt;"",1,0)</f>
        <v>1</v>
      </c>
    </row>
    <row r="603" spans="1:27" x14ac:dyDescent="0.25">
      <c r="A603" s="1">
        <v>43286</v>
      </c>
      <c r="B603">
        <v>11012</v>
      </c>
      <c r="C603" s="2" t="s">
        <v>54</v>
      </c>
      <c r="D603" s="2" t="s">
        <v>55</v>
      </c>
      <c r="E603" s="2" t="s">
        <v>56</v>
      </c>
      <c r="F603">
        <v>4111</v>
      </c>
      <c r="G603" s="2" t="s">
        <v>194</v>
      </c>
      <c r="H603" s="2" t="s">
        <v>32</v>
      </c>
      <c r="I603" s="2" t="s">
        <v>33</v>
      </c>
      <c r="J603" s="2" t="s">
        <v>60</v>
      </c>
      <c r="K603" s="2" t="s">
        <v>33</v>
      </c>
      <c r="L603">
        <v>2447.9699999999998</v>
      </c>
      <c r="M603">
        <v>2</v>
      </c>
      <c r="N603">
        <v>17.861999999999998</v>
      </c>
      <c r="O603">
        <v>6400835</v>
      </c>
      <c r="P603" s="2" t="s">
        <v>130</v>
      </c>
      <c r="Q603" s="2" t="s">
        <v>131</v>
      </c>
      <c r="R603" s="2" t="s">
        <v>62</v>
      </c>
      <c r="S603">
        <v>9</v>
      </c>
      <c r="T603" s="1">
        <v>43286</v>
      </c>
      <c r="U603" s="1">
        <v>43289</v>
      </c>
      <c r="V603" s="2"/>
      <c r="W603" s="1">
        <f>fNotasFiscais[[#This Row],[Data da Coleta]]+fNotasFiscais[[#This Row],[Prazo Contratado]]</f>
        <v>43295</v>
      </c>
      <c r="X603" s="3">
        <f>IF(fNotasFiscais[[#This Row],[Data da Entrega]]&gt;fNotasFiscais[[#This Row],[Data Contratada]],0,1)</f>
        <v>1</v>
      </c>
      <c r="Y603" s="3">
        <f>IF(fNotasFiscais[[#This Row],[Ocorrência]]="",1,0)</f>
        <v>1</v>
      </c>
      <c r="Z603" s="2">
        <f>fNotasFiscais[[#This Row],[On Time]]*fNotasFiscais[[#This Row],[In Full]]</f>
        <v>1</v>
      </c>
      <c r="AA603">
        <f>IF(fNotasFiscais[[#This Row],[Nota Fiscal]]&lt;&gt;"",1,0)</f>
        <v>1</v>
      </c>
    </row>
    <row r="604" spans="1:27" x14ac:dyDescent="0.25">
      <c r="A604" s="1">
        <v>43286</v>
      </c>
      <c r="B604">
        <v>11013</v>
      </c>
      <c r="C604" s="2" t="s">
        <v>22</v>
      </c>
      <c r="D604" s="2" t="s">
        <v>23</v>
      </c>
      <c r="E604" s="2" t="s">
        <v>24</v>
      </c>
      <c r="F604">
        <v>4064</v>
      </c>
      <c r="G604" s="2" t="s">
        <v>128</v>
      </c>
      <c r="H604" s="2" t="s">
        <v>129</v>
      </c>
      <c r="I604" s="2" t="s">
        <v>33</v>
      </c>
      <c r="J604" s="2" t="s">
        <v>60</v>
      </c>
      <c r="K604" s="2" t="s">
        <v>33</v>
      </c>
      <c r="L604">
        <v>675.4</v>
      </c>
      <c r="M604">
        <v>1</v>
      </c>
      <c r="N604">
        <v>5.5</v>
      </c>
      <c r="O604">
        <v>6400835</v>
      </c>
      <c r="P604" s="2" t="s">
        <v>130</v>
      </c>
      <c r="Q604" s="2" t="s">
        <v>131</v>
      </c>
      <c r="R604" s="2" t="s">
        <v>30</v>
      </c>
      <c r="S604">
        <v>5</v>
      </c>
      <c r="T604" s="1">
        <v>43286</v>
      </c>
      <c r="U604" s="1">
        <v>43295</v>
      </c>
      <c r="V604" s="2"/>
      <c r="W604" s="1">
        <f>fNotasFiscais[[#This Row],[Data da Coleta]]+fNotasFiscais[[#This Row],[Prazo Contratado]]</f>
        <v>43291</v>
      </c>
      <c r="X604" s="3">
        <f>IF(fNotasFiscais[[#This Row],[Data da Entrega]]&gt;fNotasFiscais[[#This Row],[Data Contratada]],0,1)</f>
        <v>0</v>
      </c>
      <c r="Y604" s="3">
        <f>IF(fNotasFiscais[[#This Row],[Ocorrência]]="",1,0)</f>
        <v>1</v>
      </c>
      <c r="Z604" s="2">
        <f>fNotasFiscais[[#This Row],[On Time]]*fNotasFiscais[[#This Row],[In Full]]</f>
        <v>0</v>
      </c>
      <c r="AA604">
        <f>IF(fNotasFiscais[[#This Row],[Nota Fiscal]]&lt;&gt;"",1,0)</f>
        <v>1</v>
      </c>
    </row>
    <row r="605" spans="1:27" x14ac:dyDescent="0.25">
      <c r="A605" s="1">
        <v>43286</v>
      </c>
      <c r="B605">
        <v>11014</v>
      </c>
      <c r="C605" s="2" t="s">
        <v>52</v>
      </c>
      <c r="D605" s="2" t="s">
        <v>53</v>
      </c>
      <c r="E605" s="2" t="s">
        <v>33</v>
      </c>
      <c r="F605">
        <v>4064</v>
      </c>
      <c r="G605" s="2" t="s">
        <v>128</v>
      </c>
      <c r="H605" s="2" t="s">
        <v>129</v>
      </c>
      <c r="I605" s="2" t="s">
        <v>33</v>
      </c>
      <c r="J605" s="2" t="s">
        <v>60</v>
      </c>
      <c r="K605" s="2" t="s">
        <v>33</v>
      </c>
      <c r="L605">
        <v>1712.17</v>
      </c>
      <c r="M605">
        <v>2</v>
      </c>
      <c r="N605">
        <v>11.978</v>
      </c>
      <c r="O605">
        <v>6400835</v>
      </c>
      <c r="P605" s="2" t="s">
        <v>130</v>
      </c>
      <c r="Q605" s="2" t="s">
        <v>131</v>
      </c>
      <c r="R605" s="2" t="s">
        <v>30</v>
      </c>
      <c r="S605">
        <v>4</v>
      </c>
      <c r="T605" s="1">
        <v>43286</v>
      </c>
      <c r="U605" s="1">
        <v>43290</v>
      </c>
      <c r="V605" s="2"/>
      <c r="W605" s="1">
        <f>fNotasFiscais[[#This Row],[Data da Coleta]]+fNotasFiscais[[#This Row],[Prazo Contratado]]</f>
        <v>43290</v>
      </c>
      <c r="X605" s="3">
        <f>IF(fNotasFiscais[[#This Row],[Data da Entrega]]&gt;fNotasFiscais[[#This Row],[Data Contratada]],0,1)</f>
        <v>1</v>
      </c>
      <c r="Y605" s="3">
        <f>IF(fNotasFiscais[[#This Row],[Ocorrência]]="",1,0)</f>
        <v>1</v>
      </c>
      <c r="Z605" s="2">
        <f>fNotasFiscais[[#This Row],[On Time]]*fNotasFiscais[[#This Row],[In Full]]</f>
        <v>1</v>
      </c>
      <c r="AA605">
        <f>IF(fNotasFiscais[[#This Row],[Nota Fiscal]]&lt;&gt;"",1,0)</f>
        <v>1</v>
      </c>
    </row>
    <row r="606" spans="1:27" x14ac:dyDescent="0.25">
      <c r="A606" s="1">
        <v>43286</v>
      </c>
      <c r="B606">
        <v>11015</v>
      </c>
      <c r="C606" s="2" t="s">
        <v>54</v>
      </c>
      <c r="D606" s="2" t="s">
        <v>55</v>
      </c>
      <c r="E606" s="2" t="s">
        <v>56</v>
      </c>
      <c r="F606">
        <v>4064</v>
      </c>
      <c r="G606" s="2" t="s">
        <v>128</v>
      </c>
      <c r="H606" s="2" t="s">
        <v>129</v>
      </c>
      <c r="I606" s="2" t="s">
        <v>33</v>
      </c>
      <c r="J606" s="2" t="s">
        <v>60</v>
      </c>
      <c r="K606" s="2" t="s">
        <v>33</v>
      </c>
      <c r="L606">
        <v>6848.58</v>
      </c>
      <c r="M606">
        <v>4</v>
      </c>
      <c r="N606">
        <v>11.833</v>
      </c>
      <c r="O606">
        <v>6400835</v>
      </c>
      <c r="P606" s="2" t="s">
        <v>130</v>
      </c>
      <c r="Q606" s="2" t="s">
        <v>131</v>
      </c>
      <c r="R606" s="2" t="s">
        <v>30</v>
      </c>
      <c r="S606">
        <v>11</v>
      </c>
      <c r="T606" s="1">
        <v>43286</v>
      </c>
      <c r="U606" s="1">
        <v>43287</v>
      </c>
      <c r="V606" s="2"/>
      <c r="W606" s="1">
        <f>fNotasFiscais[[#This Row],[Data da Coleta]]+fNotasFiscais[[#This Row],[Prazo Contratado]]</f>
        <v>43297</v>
      </c>
      <c r="X606" s="3">
        <f>IF(fNotasFiscais[[#This Row],[Data da Entrega]]&gt;fNotasFiscais[[#This Row],[Data Contratada]],0,1)</f>
        <v>1</v>
      </c>
      <c r="Y606" s="3">
        <f>IF(fNotasFiscais[[#This Row],[Ocorrência]]="",1,0)</f>
        <v>1</v>
      </c>
      <c r="Z606" s="2">
        <f>fNotasFiscais[[#This Row],[On Time]]*fNotasFiscais[[#This Row],[In Full]]</f>
        <v>1</v>
      </c>
      <c r="AA606">
        <f>IF(fNotasFiscais[[#This Row],[Nota Fiscal]]&lt;&gt;"",1,0)</f>
        <v>1</v>
      </c>
    </row>
    <row r="607" spans="1:27" x14ac:dyDescent="0.25">
      <c r="A607" s="1">
        <v>43286</v>
      </c>
      <c r="B607">
        <v>11016</v>
      </c>
      <c r="C607" s="2" t="s">
        <v>54</v>
      </c>
      <c r="D607" s="2" t="s">
        <v>55</v>
      </c>
      <c r="E607" s="2" t="s">
        <v>56</v>
      </c>
      <c r="F607">
        <v>4032</v>
      </c>
      <c r="G607" s="2" t="s">
        <v>108</v>
      </c>
      <c r="H607" s="2" t="s">
        <v>51</v>
      </c>
      <c r="I607" s="2" t="s">
        <v>73</v>
      </c>
      <c r="J607" s="2" t="s">
        <v>49</v>
      </c>
      <c r="K607" s="2" t="s">
        <v>73</v>
      </c>
      <c r="L607">
        <v>499.59</v>
      </c>
      <c r="M607">
        <v>1</v>
      </c>
      <c r="N607">
        <v>269.5</v>
      </c>
      <c r="O607">
        <v>6100231</v>
      </c>
      <c r="P607" s="2" t="s">
        <v>50</v>
      </c>
      <c r="Q607" s="2" t="s">
        <v>51</v>
      </c>
      <c r="R607" s="2" t="s">
        <v>30</v>
      </c>
      <c r="S607">
        <v>1</v>
      </c>
      <c r="T607" s="1">
        <v>43286</v>
      </c>
      <c r="U607" s="1">
        <v>43288</v>
      </c>
      <c r="V607" s="2" t="s">
        <v>42</v>
      </c>
      <c r="W607" s="1">
        <f>fNotasFiscais[[#This Row],[Data da Coleta]]+fNotasFiscais[[#This Row],[Prazo Contratado]]</f>
        <v>43287</v>
      </c>
      <c r="X607" s="3">
        <f>IF(fNotasFiscais[[#This Row],[Data da Entrega]]&gt;fNotasFiscais[[#This Row],[Data Contratada]],0,1)</f>
        <v>0</v>
      </c>
      <c r="Y607" s="3">
        <f>IF(fNotasFiscais[[#This Row],[Ocorrência]]="",1,0)</f>
        <v>0</v>
      </c>
      <c r="Z607" s="2">
        <f>fNotasFiscais[[#This Row],[On Time]]*fNotasFiscais[[#This Row],[In Full]]</f>
        <v>0</v>
      </c>
      <c r="AA607">
        <f>IF(fNotasFiscais[[#This Row],[Nota Fiscal]]&lt;&gt;"",1,0)</f>
        <v>1</v>
      </c>
    </row>
    <row r="608" spans="1:27" x14ac:dyDescent="0.25">
      <c r="A608" s="1">
        <v>43286</v>
      </c>
      <c r="B608">
        <v>11017</v>
      </c>
      <c r="C608" s="2" t="s">
        <v>54</v>
      </c>
      <c r="D608" s="2" t="s">
        <v>55</v>
      </c>
      <c r="E608" s="2" t="s">
        <v>56</v>
      </c>
      <c r="F608">
        <v>4064</v>
      </c>
      <c r="G608" s="2" t="s">
        <v>128</v>
      </c>
      <c r="H608" s="2" t="s">
        <v>129</v>
      </c>
      <c r="I608" s="2" t="s">
        <v>33</v>
      </c>
      <c r="J608" s="2" t="s">
        <v>60</v>
      </c>
      <c r="K608" s="2" t="s">
        <v>33</v>
      </c>
      <c r="L608">
        <v>3415.74</v>
      </c>
      <c r="M608">
        <v>2</v>
      </c>
      <c r="N608">
        <v>1.9379999999999999</v>
      </c>
      <c r="O608">
        <v>6400835</v>
      </c>
      <c r="P608" s="2" t="s">
        <v>130</v>
      </c>
      <c r="Q608" s="2" t="s">
        <v>131</v>
      </c>
      <c r="R608" s="2" t="s">
        <v>30</v>
      </c>
      <c r="S608">
        <v>8</v>
      </c>
      <c r="T608" s="1">
        <v>43286</v>
      </c>
      <c r="U608" s="1">
        <v>43294</v>
      </c>
      <c r="V608" s="2"/>
      <c r="W608" s="1">
        <f>fNotasFiscais[[#This Row],[Data da Coleta]]+fNotasFiscais[[#This Row],[Prazo Contratado]]</f>
        <v>43294</v>
      </c>
      <c r="X608" s="3">
        <f>IF(fNotasFiscais[[#This Row],[Data da Entrega]]&gt;fNotasFiscais[[#This Row],[Data Contratada]],0,1)</f>
        <v>1</v>
      </c>
      <c r="Y608" s="3">
        <f>IF(fNotasFiscais[[#This Row],[Ocorrência]]="",1,0)</f>
        <v>1</v>
      </c>
      <c r="Z608" s="2">
        <f>fNotasFiscais[[#This Row],[On Time]]*fNotasFiscais[[#This Row],[In Full]]</f>
        <v>1</v>
      </c>
      <c r="AA608">
        <f>IF(fNotasFiscais[[#This Row],[Nota Fiscal]]&lt;&gt;"",1,0)</f>
        <v>1</v>
      </c>
    </row>
    <row r="609" spans="1:27" x14ac:dyDescent="0.25">
      <c r="A609" s="1">
        <v>43288</v>
      </c>
      <c r="B609">
        <v>11018</v>
      </c>
      <c r="C609" s="2" t="s">
        <v>31</v>
      </c>
      <c r="D609" s="2" t="s">
        <v>32</v>
      </c>
      <c r="E609" s="2" t="s">
        <v>33</v>
      </c>
      <c r="F609">
        <v>4055</v>
      </c>
      <c r="G609" s="2" t="s">
        <v>120</v>
      </c>
      <c r="H609" s="2" t="s">
        <v>47</v>
      </c>
      <c r="I609" s="2" t="s">
        <v>48</v>
      </c>
      <c r="J609" s="2" t="s">
        <v>49</v>
      </c>
      <c r="K609" s="2" t="s">
        <v>48</v>
      </c>
      <c r="L609">
        <v>727.3</v>
      </c>
      <c r="M609">
        <v>1</v>
      </c>
      <c r="N609">
        <v>7.72</v>
      </c>
      <c r="O609">
        <v>6100231</v>
      </c>
      <c r="P609" s="2" t="s">
        <v>50</v>
      </c>
      <c r="Q609" s="2" t="s">
        <v>51</v>
      </c>
      <c r="R609" s="2" t="s">
        <v>30</v>
      </c>
      <c r="S609">
        <v>6</v>
      </c>
      <c r="T609" s="1">
        <v>43288</v>
      </c>
      <c r="U609" s="1">
        <v>43292</v>
      </c>
      <c r="V609" s="2"/>
      <c r="W609" s="1">
        <f>fNotasFiscais[[#This Row],[Data da Coleta]]+fNotasFiscais[[#This Row],[Prazo Contratado]]</f>
        <v>43294</v>
      </c>
      <c r="X609" s="3">
        <f>IF(fNotasFiscais[[#This Row],[Data da Entrega]]&gt;fNotasFiscais[[#This Row],[Data Contratada]],0,1)</f>
        <v>1</v>
      </c>
      <c r="Y609" s="3">
        <f>IF(fNotasFiscais[[#This Row],[Ocorrência]]="",1,0)</f>
        <v>1</v>
      </c>
      <c r="Z609" s="2">
        <f>fNotasFiscais[[#This Row],[On Time]]*fNotasFiscais[[#This Row],[In Full]]</f>
        <v>1</v>
      </c>
      <c r="AA609">
        <f>IF(fNotasFiscais[[#This Row],[Nota Fiscal]]&lt;&gt;"",1,0)</f>
        <v>1</v>
      </c>
    </row>
    <row r="610" spans="1:27" x14ac:dyDescent="0.25">
      <c r="A610" s="1">
        <v>43288</v>
      </c>
      <c r="B610">
        <v>11019</v>
      </c>
      <c r="C610" s="2" t="s">
        <v>31</v>
      </c>
      <c r="D610" s="2" t="s">
        <v>32</v>
      </c>
      <c r="E610" s="2" t="s">
        <v>33</v>
      </c>
      <c r="F610">
        <v>4027</v>
      </c>
      <c r="G610" s="2" t="s">
        <v>93</v>
      </c>
      <c r="H610" s="2" t="s">
        <v>91</v>
      </c>
      <c r="I610" s="2" t="s">
        <v>24</v>
      </c>
      <c r="J610" s="2" t="s">
        <v>28</v>
      </c>
      <c r="K610" s="2" t="s">
        <v>24</v>
      </c>
      <c r="L610">
        <v>1894.85</v>
      </c>
      <c r="M610">
        <v>10</v>
      </c>
      <c r="N610">
        <v>34.298999999999999</v>
      </c>
      <c r="O610">
        <v>6500948</v>
      </c>
      <c r="P610" s="2" t="s">
        <v>29</v>
      </c>
      <c r="Q610" s="2" t="s">
        <v>23</v>
      </c>
      <c r="R610" s="2" t="s">
        <v>30</v>
      </c>
      <c r="S610">
        <v>4</v>
      </c>
      <c r="T610" s="1">
        <v>43288</v>
      </c>
      <c r="U610" s="1">
        <v>43289</v>
      </c>
      <c r="V610" s="2"/>
      <c r="W610" s="1">
        <f>fNotasFiscais[[#This Row],[Data da Coleta]]+fNotasFiscais[[#This Row],[Prazo Contratado]]</f>
        <v>43292</v>
      </c>
      <c r="X610" s="3">
        <f>IF(fNotasFiscais[[#This Row],[Data da Entrega]]&gt;fNotasFiscais[[#This Row],[Data Contratada]],0,1)</f>
        <v>1</v>
      </c>
      <c r="Y610" s="3">
        <f>IF(fNotasFiscais[[#This Row],[Ocorrência]]="",1,0)</f>
        <v>1</v>
      </c>
      <c r="Z610" s="2">
        <f>fNotasFiscais[[#This Row],[On Time]]*fNotasFiscais[[#This Row],[In Full]]</f>
        <v>1</v>
      </c>
      <c r="AA610">
        <f>IF(fNotasFiscais[[#This Row],[Nota Fiscal]]&lt;&gt;"",1,0)</f>
        <v>1</v>
      </c>
    </row>
    <row r="611" spans="1:27" x14ac:dyDescent="0.25">
      <c r="A611" s="1">
        <v>43288</v>
      </c>
      <c r="B611">
        <v>11020</v>
      </c>
      <c r="C611" s="2" t="s">
        <v>43</v>
      </c>
      <c r="D611" s="2" t="s">
        <v>44</v>
      </c>
      <c r="E611" s="2" t="s">
        <v>45</v>
      </c>
      <c r="F611">
        <v>4028</v>
      </c>
      <c r="G611" s="2" t="s">
        <v>95</v>
      </c>
      <c r="H611" s="2" t="s">
        <v>26</v>
      </c>
      <c r="I611" s="2" t="s">
        <v>27</v>
      </c>
      <c r="J611" s="2" t="s">
        <v>28</v>
      </c>
      <c r="K611" s="2" t="s">
        <v>27</v>
      </c>
      <c r="L611">
        <v>3286.77</v>
      </c>
      <c r="M611">
        <v>1</v>
      </c>
      <c r="N611">
        <v>1.1200000000000001</v>
      </c>
      <c r="O611">
        <v>6500948</v>
      </c>
      <c r="P611" s="2" t="s">
        <v>29</v>
      </c>
      <c r="Q611" s="2" t="s">
        <v>23</v>
      </c>
      <c r="R611" s="2" t="s">
        <v>30</v>
      </c>
      <c r="S611">
        <v>4</v>
      </c>
      <c r="T611" s="1">
        <v>43288</v>
      </c>
      <c r="U611" s="1">
        <v>43297</v>
      </c>
      <c r="V611" s="2" t="s">
        <v>42</v>
      </c>
      <c r="W611" s="1">
        <f>fNotasFiscais[[#This Row],[Data da Coleta]]+fNotasFiscais[[#This Row],[Prazo Contratado]]</f>
        <v>43292</v>
      </c>
      <c r="X611" s="3">
        <f>IF(fNotasFiscais[[#This Row],[Data da Entrega]]&gt;fNotasFiscais[[#This Row],[Data Contratada]],0,1)</f>
        <v>0</v>
      </c>
      <c r="Y611" s="3">
        <f>IF(fNotasFiscais[[#This Row],[Ocorrência]]="",1,0)</f>
        <v>0</v>
      </c>
      <c r="Z611" s="2">
        <f>fNotasFiscais[[#This Row],[On Time]]*fNotasFiscais[[#This Row],[In Full]]</f>
        <v>0</v>
      </c>
      <c r="AA611">
        <f>IF(fNotasFiscais[[#This Row],[Nota Fiscal]]&lt;&gt;"",1,0)</f>
        <v>1</v>
      </c>
    </row>
    <row r="612" spans="1:27" x14ac:dyDescent="0.25">
      <c r="A612" s="1">
        <v>43288</v>
      </c>
      <c r="B612">
        <v>11021</v>
      </c>
      <c r="C612" s="2" t="s">
        <v>52</v>
      </c>
      <c r="D612" s="2" t="s">
        <v>53</v>
      </c>
      <c r="E612" s="2" t="s">
        <v>33</v>
      </c>
      <c r="F612">
        <v>4027</v>
      </c>
      <c r="G612" s="2" t="s">
        <v>93</v>
      </c>
      <c r="H612" s="2" t="s">
        <v>91</v>
      </c>
      <c r="I612" s="2" t="s">
        <v>24</v>
      </c>
      <c r="J612" s="2" t="s">
        <v>28</v>
      </c>
      <c r="K612" s="2" t="s">
        <v>24</v>
      </c>
      <c r="L612">
        <v>606.07000000000005</v>
      </c>
      <c r="M612">
        <v>2</v>
      </c>
      <c r="N612">
        <v>6.383</v>
      </c>
      <c r="O612">
        <v>6500948</v>
      </c>
      <c r="P612" s="2" t="s">
        <v>29</v>
      </c>
      <c r="Q612" s="2" t="s">
        <v>23</v>
      </c>
      <c r="R612" s="2" t="s">
        <v>30</v>
      </c>
      <c r="S612">
        <v>11</v>
      </c>
      <c r="T612" s="1">
        <v>43288</v>
      </c>
      <c r="U612" s="1">
        <v>43298</v>
      </c>
      <c r="V612" s="2"/>
      <c r="W612" s="1">
        <f>fNotasFiscais[[#This Row],[Data da Coleta]]+fNotasFiscais[[#This Row],[Prazo Contratado]]</f>
        <v>43299</v>
      </c>
      <c r="X612" s="3">
        <f>IF(fNotasFiscais[[#This Row],[Data da Entrega]]&gt;fNotasFiscais[[#This Row],[Data Contratada]],0,1)</f>
        <v>1</v>
      </c>
      <c r="Y612" s="3">
        <f>IF(fNotasFiscais[[#This Row],[Ocorrência]]="",1,0)</f>
        <v>1</v>
      </c>
      <c r="Z612" s="2">
        <f>fNotasFiscais[[#This Row],[On Time]]*fNotasFiscais[[#This Row],[In Full]]</f>
        <v>1</v>
      </c>
      <c r="AA612">
        <f>IF(fNotasFiscais[[#This Row],[Nota Fiscal]]&lt;&gt;"",1,0)</f>
        <v>1</v>
      </c>
    </row>
    <row r="613" spans="1:27" x14ac:dyDescent="0.25">
      <c r="A613" s="1">
        <v>43288</v>
      </c>
      <c r="B613">
        <v>11022</v>
      </c>
      <c r="C613" s="2" t="s">
        <v>54</v>
      </c>
      <c r="D613" s="2" t="s">
        <v>55</v>
      </c>
      <c r="E613" s="2" t="s">
        <v>56</v>
      </c>
      <c r="F613">
        <v>4022</v>
      </c>
      <c r="G613" s="2" t="s">
        <v>86</v>
      </c>
      <c r="H613" s="2" t="s">
        <v>87</v>
      </c>
      <c r="I613" s="2" t="s">
        <v>27</v>
      </c>
      <c r="J613" s="2" t="s">
        <v>28</v>
      </c>
      <c r="K613" s="2" t="s">
        <v>27</v>
      </c>
      <c r="L613">
        <v>169.46</v>
      </c>
      <c r="M613">
        <v>1</v>
      </c>
      <c r="N613">
        <v>1.1200000000000001</v>
      </c>
      <c r="O613">
        <v>6500948</v>
      </c>
      <c r="P613" s="2" t="s">
        <v>29</v>
      </c>
      <c r="Q613" s="2" t="s">
        <v>23</v>
      </c>
      <c r="R613" s="2" t="s">
        <v>30</v>
      </c>
      <c r="S613">
        <v>2</v>
      </c>
      <c r="T613" s="1">
        <v>43288</v>
      </c>
      <c r="U613" s="1">
        <v>43295</v>
      </c>
      <c r="V613" s="2"/>
      <c r="W613" s="1">
        <f>fNotasFiscais[[#This Row],[Data da Coleta]]+fNotasFiscais[[#This Row],[Prazo Contratado]]</f>
        <v>43290</v>
      </c>
      <c r="X613" s="3">
        <f>IF(fNotasFiscais[[#This Row],[Data da Entrega]]&gt;fNotasFiscais[[#This Row],[Data Contratada]],0,1)</f>
        <v>0</v>
      </c>
      <c r="Y613" s="3">
        <f>IF(fNotasFiscais[[#This Row],[Ocorrência]]="",1,0)</f>
        <v>1</v>
      </c>
      <c r="Z613" s="2">
        <f>fNotasFiscais[[#This Row],[On Time]]*fNotasFiscais[[#This Row],[In Full]]</f>
        <v>0</v>
      </c>
      <c r="AA613">
        <f>IF(fNotasFiscais[[#This Row],[Nota Fiscal]]&lt;&gt;"",1,0)</f>
        <v>1</v>
      </c>
    </row>
    <row r="614" spans="1:27" x14ac:dyDescent="0.25">
      <c r="A614" s="1">
        <v>43288</v>
      </c>
      <c r="B614">
        <v>11023</v>
      </c>
      <c r="C614" s="2" t="s">
        <v>40</v>
      </c>
      <c r="D614" s="2" t="s">
        <v>41</v>
      </c>
      <c r="E614" s="2" t="s">
        <v>33</v>
      </c>
      <c r="F614">
        <v>4022</v>
      </c>
      <c r="G614" s="2" t="s">
        <v>86</v>
      </c>
      <c r="H614" s="2" t="s">
        <v>87</v>
      </c>
      <c r="I614" s="2" t="s">
        <v>27</v>
      </c>
      <c r="J614" s="2" t="s">
        <v>28</v>
      </c>
      <c r="K614" s="2" t="s">
        <v>27</v>
      </c>
      <c r="L614">
        <v>7672.09</v>
      </c>
      <c r="M614">
        <v>1</v>
      </c>
      <c r="N614">
        <v>1.1200000000000001</v>
      </c>
      <c r="O614">
        <v>6500948</v>
      </c>
      <c r="P614" s="2" t="s">
        <v>29</v>
      </c>
      <c r="Q614" s="2" t="s">
        <v>23</v>
      </c>
      <c r="R614" s="2" t="s">
        <v>62</v>
      </c>
      <c r="S614">
        <v>10</v>
      </c>
      <c r="T614" s="1">
        <v>43288</v>
      </c>
      <c r="U614" s="1">
        <v>43289</v>
      </c>
      <c r="V614" s="2"/>
      <c r="W614" s="1">
        <f>fNotasFiscais[[#This Row],[Data da Coleta]]+fNotasFiscais[[#This Row],[Prazo Contratado]]</f>
        <v>43298</v>
      </c>
      <c r="X614" s="3">
        <f>IF(fNotasFiscais[[#This Row],[Data da Entrega]]&gt;fNotasFiscais[[#This Row],[Data Contratada]],0,1)</f>
        <v>1</v>
      </c>
      <c r="Y614" s="3">
        <f>IF(fNotasFiscais[[#This Row],[Ocorrência]]="",1,0)</f>
        <v>1</v>
      </c>
      <c r="Z614" s="2">
        <f>fNotasFiscais[[#This Row],[On Time]]*fNotasFiscais[[#This Row],[In Full]]</f>
        <v>1</v>
      </c>
      <c r="AA614">
        <f>IF(fNotasFiscais[[#This Row],[Nota Fiscal]]&lt;&gt;"",1,0)</f>
        <v>1</v>
      </c>
    </row>
    <row r="615" spans="1:27" x14ac:dyDescent="0.25">
      <c r="A615" s="1">
        <v>43288</v>
      </c>
      <c r="B615">
        <v>11024</v>
      </c>
      <c r="C615" s="2" t="s">
        <v>34</v>
      </c>
      <c r="D615" s="2" t="s">
        <v>35</v>
      </c>
      <c r="E615" s="2" t="s">
        <v>36</v>
      </c>
      <c r="F615">
        <v>4055</v>
      </c>
      <c r="G615" s="2" t="s">
        <v>120</v>
      </c>
      <c r="H615" s="2" t="s">
        <v>47</v>
      </c>
      <c r="I615" s="2" t="s">
        <v>48</v>
      </c>
      <c r="J615" s="2" t="s">
        <v>49</v>
      </c>
      <c r="K615" s="2" t="s">
        <v>48</v>
      </c>
      <c r="L615">
        <v>761.28</v>
      </c>
      <c r="M615">
        <v>4</v>
      </c>
      <c r="N615">
        <v>35.829000000000001</v>
      </c>
      <c r="O615">
        <v>6100231</v>
      </c>
      <c r="P615" s="2" t="s">
        <v>50</v>
      </c>
      <c r="Q615" s="2" t="s">
        <v>51</v>
      </c>
      <c r="R615" s="2" t="s">
        <v>30</v>
      </c>
      <c r="S615">
        <v>6</v>
      </c>
      <c r="T615" s="1">
        <v>43288</v>
      </c>
      <c r="U615" s="1">
        <v>43290</v>
      </c>
      <c r="V615" s="2"/>
      <c r="W615" s="1">
        <f>fNotasFiscais[[#This Row],[Data da Coleta]]+fNotasFiscais[[#This Row],[Prazo Contratado]]</f>
        <v>43294</v>
      </c>
      <c r="X615" s="3">
        <f>IF(fNotasFiscais[[#This Row],[Data da Entrega]]&gt;fNotasFiscais[[#This Row],[Data Contratada]],0,1)</f>
        <v>1</v>
      </c>
      <c r="Y615" s="3">
        <f>IF(fNotasFiscais[[#This Row],[Ocorrência]]="",1,0)</f>
        <v>1</v>
      </c>
      <c r="Z615" s="2">
        <f>fNotasFiscais[[#This Row],[On Time]]*fNotasFiscais[[#This Row],[In Full]]</f>
        <v>1</v>
      </c>
      <c r="AA615">
        <f>IF(fNotasFiscais[[#This Row],[Nota Fiscal]]&lt;&gt;"",1,0)</f>
        <v>1</v>
      </c>
    </row>
    <row r="616" spans="1:27" x14ac:dyDescent="0.25">
      <c r="A616" s="1">
        <v>43288</v>
      </c>
      <c r="B616">
        <v>11025</v>
      </c>
      <c r="C616" s="2" t="s">
        <v>22</v>
      </c>
      <c r="D616" s="2" t="s">
        <v>23</v>
      </c>
      <c r="E616" s="2" t="s">
        <v>24</v>
      </c>
      <c r="F616">
        <v>4028</v>
      </c>
      <c r="G616" s="2" t="s">
        <v>95</v>
      </c>
      <c r="H616" s="2" t="s">
        <v>26</v>
      </c>
      <c r="I616" s="2" t="s">
        <v>27</v>
      </c>
      <c r="J616" s="2" t="s">
        <v>28</v>
      </c>
      <c r="K616" s="2" t="s">
        <v>27</v>
      </c>
      <c r="L616">
        <v>2621.99</v>
      </c>
      <c r="M616">
        <v>1</v>
      </c>
      <c r="N616">
        <v>1.1200000000000001</v>
      </c>
      <c r="O616">
        <v>6500948</v>
      </c>
      <c r="P616" s="2" t="s">
        <v>29</v>
      </c>
      <c r="Q616" s="2" t="s">
        <v>23</v>
      </c>
      <c r="R616" s="2" t="s">
        <v>30</v>
      </c>
      <c r="S616">
        <v>3</v>
      </c>
      <c r="T616" s="1">
        <v>43288</v>
      </c>
      <c r="U616" s="1">
        <v>43293</v>
      </c>
      <c r="V616" s="2"/>
      <c r="W616" s="1">
        <f>fNotasFiscais[[#This Row],[Data da Coleta]]+fNotasFiscais[[#This Row],[Prazo Contratado]]</f>
        <v>43291</v>
      </c>
      <c r="X616" s="3">
        <f>IF(fNotasFiscais[[#This Row],[Data da Entrega]]&gt;fNotasFiscais[[#This Row],[Data Contratada]],0,1)</f>
        <v>0</v>
      </c>
      <c r="Y616" s="3">
        <f>IF(fNotasFiscais[[#This Row],[Ocorrência]]="",1,0)</f>
        <v>1</v>
      </c>
      <c r="Z616" s="2">
        <f>fNotasFiscais[[#This Row],[On Time]]*fNotasFiscais[[#This Row],[In Full]]</f>
        <v>0</v>
      </c>
      <c r="AA616">
        <f>IF(fNotasFiscais[[#This Row],[Nota Fiscal]]&lt;&gt;"",1,0)</f>
        <v>1</v>
      </c>
    </row>
    <row r="617" spans="1:27" x14ac:dyDescent="0.25">
      <c r="A617" s="1">
        <v>43288</v>
      </c>
      <c r="B617">
        <v>11026</v>
      </c>
      <c r="C617" s="2" t="s">
        <v>34</v>
      </c>
      <c r="D617" s="2" t="s">
        <v>35</v>
      </c>
      <c r="E617" s="2" t="s">
        <v>36</v>
      </c>
      <c r="F617">
        <v>4030</v>
      </c>
      <c r="G617" s="2" t="s">
        <v>102</v>
      </c>
      <c r="H617" s="2" t="s">
        <v>35</v>
      </c>
      <c r="I617" s="2" t="s">
        <v>36</v>
      </c>
      <c r="J617" s="2" t="s">
        <v>60</v>
      </c>
      <c r="K617" s="2" t="s">
        <v>36</v>
      </c>
      <c r="L617">
        <v>1659.11</v>
      </c>
      <c r="M617">
        <v>1</v>
      </c>
      <c r="N617">
        <v>13.275</v>
      </c>
      <c r="O617">
        <v>6600879</v>
      </c>
      <c r="P617" s="2" t="s">
        <v>61</v>
      </c>
      <c r="Q617" s="2" t="s">
        <v>35</v>
      </c>
      <c r="R617" s="2" t="s">
        <v>30</v>
      </c>
      <c r="S617">
        <v>12</v>
      </c>
      <c r="T617" s="1">
        <v>43288</v>
      </c>
      <c r="U617" s="1">
        <v>43293</v>
      </c>
      <c r="V617" s="2"/>
      <c r="W617" s="1">
        <f>fNotasFiscais[[#This Row],[Data da Coleta]]+fNotasFiscais[[#This Row],[Prazo Contratado]]</f>
        <v>43300</v>
      </c>
      <c r="X617" s="3">
        <f>IF(fNotasFiscais[[#This Row],[Data da Entrega]]&gt;fNotasFiscais[[#This Row],[Data Contratada]],0,1)</f>
        <v>1</v>
      </c>
      <c r="Y617" s="3">
        <f>IF(fNotasFiscais[[#This Row],[Ocorrência]]="",1,0)</f>
        <v>1</v>
      </c>
      <c r="Z617" s="2">
        <f>fNotasFiscais[[#This Row],[On Time]]*fNotasFiscais[[#This Row],[In Full]]</f>
        <v>1</v>
      </c>
      <c r="AA617">
        <f>IF(fNotasFiscais[[#This Row],[Nota Fiscal]]&lt;&gt;"",1,0)</f>
        <v>1</v>
      </c>
    </row>
    <row r="618" spans="1:27" x14ac:dyDescent="0.25">
      <c r="A618" s="1">
        <v>43288</v>
      </c>
      <c r="B618">
        <v>11027</v>
      </c>
      <c r="C618" s="2" t="s">
        <v>34</v>
      </c>
      <c r="D618" s="2" t="s">
        <v>35</v>
      </c>
      <c r="E618" s="2" t="s">
        <v>36</v>
      </c>
      <c r="F618">
        <v>4030</v>
      </c>
      <c r="G618" s="2" t="s">
        <v>102</v>
      </c>
      <c r="H618" s="2" t="s">
        <v>35</v>
      </c>
      <c r="I618" s="2" t="s">
        <v>36</v>
      </c>
      <c r="J618" s="2" t="s">
        <v>60</v>
      </c>
      <c r="K618" s="2" t="s">
        <v>36</v>
      </c>
      <c r="L618">
        <v>1826.88</v>
      </c>
      <c r="M618">
        <v>5</v>
      </c>
      <c r="N618">
        <v>16.326000000000001</v>
      </c>
      <c r="O618">
        <v>6600879</v>
      </c>
      <c r="P618" s="2" t="s">
        <v>61</v>
      </c>
      <c r="Q618" s="2" t="s">
        <v>35</v>
      </c>
      <c r="R618" s="2" t="s">
        <v>30</v>
      </c>
      <c r="S618">
        <v>7</v>
      </c>
      <c r="T618" s="1">
        <v>43288</v>
      </c>
      <c r="U618" s="1">
        <v>43289</v>
      </c>
      <c r="V618" s="2"/>
      <c r="W618" s="1">
        <f>fNotasFiscais[[#This Row],[Data da Coleta]]+fNotasFiscais[[#This Row],[Prazo Contratado]]</f>
        <v>43295</v>
      </c>
      <c r="X618" s="3">
        <f>IF(fNotasFiscais[[#This Row],[Data da Entrega]]&gt;fNotasFiscais[[#This Row],[Data Contratada]],0,1)</f>
        <v>1</v>
      </c>
      <c r="Y618" s="3">
        <f>IF(fNotasFiscais[[#This Row],[Ocorrência]]="",1,0)</f>
        <v>1</v>
      </c>
      <c r="Z618" s="2">
        <f>fNotasFiscais[[#This Row],[On Time]]*fNotasFiscais[[#This Row],[In Full]]</f>
        <v>1</v>
      </c>
      <c r="AA618">
        <f>IF(fNotasFiscais[[#This Row],[Nota Fiscal]]&lt;&gt;"",1,0)</f>
        <v>1</v>
      </c>
    </row>
    <row r="619" spans="1:27" x14ac:dyDescent="0.25">
      <c r="A619" s="1">
        <v>43291</v>
      </c>
      <c r="B619">
        <v>11028</v>
      </c>
      <c r="C619" s="2" t="s">
        <v>22</v>
      </c>
      <c r="D619" s="2" t="s">
        <v>23</v>
      </c>
      <c r="E619" s="2" t="s">
        <v>24</v>
      </c>
      <c r="F619">
        <v>4060</v>
      </c>
      <c r="G619" s="2" t="s">
        <v>134</v>
      </c>
      <c r="H619" s="2" t="s">
        <v>115</v>
      </c>
      <c r="I619" s="2" t="s">
        <v>107</v>
      </c>
      <c r="J619" s="2" t="s">
        <v>49</v>
      </c>
      <c r="K619" s="2" t="s">
        <v>107</v>
      </c>
      <c r="L619">
        <v>944.92</v>
      </c>
      <c r="M619">
        <v>1</v>
      </c>
      <c r="N619">
        <v>1.1200000000000001</v>
      </c>
      <c r="O619">
        <v>6100231</v>
      </c>
      <c r="P619" s="2" t="s">
        <v>50</v>
      </c>
      <c r="Q619" s="2" t="s">
        <v>51</v>
      </c>
      <c r="R619" s="2" t="s">
        <v>30</v>
      </c>
      <c r="S619">
        <v>3</v>
      </c>
      <c r="T619" s="1">
        <v>43291</v>
      </c>
      <c r="U619" s="1">
        <v>43298</v>
      </c>
      <c r="V619" s="2"/>
      <c r="W619" s="1">
        <f>fNotasFiscais[[#This Row],[Data da Coleta]]+fNotasFiscais[[#This Row],[Prazo Contratado]]</f>
        <v>43294</v>
      </c>
      <c r="X619" s="3">
        <f>IF(fNotasFiscais[[#This Row],[Data da Entrega]]&gt;fNotasFiscais[[#This Row],[Data Contratada]],0,1)</f>
        <v>0</v>
      </c>
      <c r="Y619" s="3">
        <f>IF(fNotasFiscais[[#This Row],[Ocorrência]]="",1,0)</f>
        <v>1</v>
      </c>
      <c r="Z619" s="2">
        <f>fNotasFiscais[[#This Row],[On Time]]*fNotasFiscais[[#This Row],[In Full]]</f>
        <v>0</v>
      </c>
      <c r="AA619">
        <f>IF(fNotasFiscais[[#This Row],[Nota Fiscal]]&lt;&gt;"",1,0)</f>
        <v>1</v>
      </c>
    </row>
    <row r="620" spans="1:27" x14ac:dyDescent="0.25">
      <c r="A620" s="1">
        <v>43292</v>
      </c>
      <c r="B620">
        <v>11029</v>
      </c>
      <c r="C620" s="2" t="s">
        <v>22</v>
      </c>
      <c r="D620" s="2" t="s">
        <v>23</v>
      </c>
      <c r="E620" s="2" t="s">
        <v>24</v>
      </c>
      <c r="F620">
        <v>4024</v>
      </c>
      <c r="G620" s="2" t="s">
        <v>89</v>
      </c>
      <c r="H620" s="2" t="s">
        <v>23</v>
      </c>
      <c r="I620" s="2" t="s">
        <v>24</v>
      </c>
      <c r="J620" s="2" t="s">
        <v>28</v>
      </c>
      <c r="K620" s="2" t="s">
        <v>24</v>
      </c>
      <c r="L620">
        <v>1584.64</v>
      </c>
      <c r="M620">
        <v>3</v>
      </c>
      <c r="N620">
        <v>5.1230000000000002</v>
      </c>
      <c r="O620">
        <v>6500948</v>
      </c>
      <c r="P620" s="2" t="s">
        <v>29</v>
      </c>
      <c r="Q620" s="2" t="s">
        <v>23</v>
      </c>
      <c r="R620" s="2" t="s">
        <v>30</v>
      </c>
      <c r="S620">
        <v>8</v>
      </c>
      <c r="T620" s="1">
        <v>43292</v>
      </c>
      <c r="U620" s="1">
        <v>43300</v>
      </c>
      <c r="V620" s="2"/>
      <c r="W620" s="1">
        <f>fNotasFiscais[[#This Row],[Data da Coleta]]+fNotasFiscais[[#This Row],[Prazo Contratado]]</f>
        <v>43300</v>
      </c>
      <c r="X620" s="3">
        <f>IF(fNotasFiscais[[#This Row],[Data da Entrega]]&gt;fNotasFiscais[[#This Row],[Data Contratada]],0,1)</f>
        <v>1</v>
      </c>
      <c r="Y620" s="3">
        <f>IF(fNotasFiscais[[#This Row],[Ocorrência]]="",1,0)</f>
        <v>1</v>
      </c>
      <c r="Z620" s="2">
        <f>fNotasFiscais[[#This Row],[On Time]]*fNotasFiscais[[#This Row],[In Full]]</f>
        <v>1</v>
      </c>
      <c r="AA620">
        <f>IF(fNotasFiscais[[#This Row],[Nota Fiscal]]&lt;&gt;"",1,0)</f>
        <v>1</v>
      </c>
    </row>
    <row r="621" spans="1:27" x14ac:dyDescent="0.25">
      <c r="A621" s="1">
        <v>43295</v>
      </c>
      <c r="B621">
        <v>11030</v>
      </c>
      <c r="C621" s="2" t="s">
        <v>54</v>
      </c>
      <c r="D621" s="2" t="s">
        <v>55</v>
      </c>
      <c r="E621" s="2" t="s">
        <v>56</v>
      </c>
      <c r="F621">
        <v>4044</v>
      </c>
      <c r="G621" s="2" t="s">
        <v>123</v>
      </c>
      <c r="H621" s="2" t="s">
        <v>35</v>
      </c>
      <c r="I621" s="2" t="s">
        <v>36</v>
      </c>
      <c r="J621" s="2" t="s">
        <v>60</v>
      </c>
      <c r="K621" s="2" t="s">
        <v>36</v>
      </c>
      <c r="L621">
        <v>2002.6</v>
      </c>
      <c r="M621">
        <v>3</v>
      </c>
      <c r="N621">
        <v>16.850999999999999</v>
      </c>
      <c r="O621">
        <v>6600879</v>
      </c>
      <c r="P621" s="2" t="s">
        <v>61</v>
      </c>
      <c r="Q621" s="2" t="s">
        <v>35</v>
      </c>
      <c r="R621" s="2" t="s">
        <v>30</v>
      </c>
      <c r="S621">
        <v>6</v>
      </c>
      <c r="T621" s="1">
        <v>43295</v>
      </c>
      <c r="U621" s="1">
        <v>43298</v>
      </c>
      <c r="V621" s="2"/>
      <c r="W621" s="1">
        <f>fNotasFiscais[[#This Row],[Data da Coleta]]+fNotasFiscais[[#This Row],[Prazo Contratado]]</f>
        <v>43301</v>
      </c>
      <c r="X621" s="3">
        <f>IF(fNotasFiscais[[#This Row],[Data da Entrega]]&gt;fNotasFiscais[[#This Row],[Data Contratada]],0,1)</f>
        <v>1</v>
      </c>
      <c r="Y621" s="3">
        <f>IF(fNotasFiscais[[#This Row],[Ocorrência]]="",1,0)</f>
        <v>1</v>
      </c>
      <c r="Z621" s="2">
        <f>fNotasFiscais[[#This Row],[On Time]]*fNotasFiscais[[#This Row],[In Full]]</f>
        <v>1</v>
      </c>
      <c r="AA621">
        <f>IF(fNotasFiscais[[#This Row],[Nota Fiscal]]&lt;&gt;"",1,0)</f>
        <v>1</v>
      </c>
    </row>
    <row r="622" spans="1:27" x14ac:dyDescent="0.25">
      <c r="A622" s="1">
        <v>43295</v>
      </c>
      <c r="B622">
        <v>11031</v>
      </c>
      <c r="C622" s="2" t="s">
        <v>54</v>
      </c>
      <c r="D622" s="2" t="s">
        <v>55</v>
      </c>
      <c r="E622" s="2" t="s">
        <v>56</v>
      </c>
      <c r="F622">
        <v>4045</v>
      </c>
      <c r="G622" s="2" t="s">
        <v>124</v>
      </c>
      <c r="H622" s="2" t="s">
        <v>35</v>
      </c>
      <c r="I622" s="2" t="s">
        <v>36</v>
      </c>
      <c r="J622" s="2" t="s">
        <v>60</v>
      </c>
      <c r="K622" s="2" t="s">
        <v>36</v>
      </c>
      <c r="L622">
        <v>17938.04</v>
      </c>
      <c r="M622">
        <v>5</v>
      </c>
      <c r="N622">
        <v>89.700999999999993</v>
      </c>
      <c r="O622">
        <v>6600879</v>
      </c>
      <c r="P622" s="2" t="s">
        <v>61</v>
      </c>
      <c r="Q622" s="2" t="s">
        <v>35</v>
      </c>
      <c r="R622" s="2" t="s">
        <v>30</v>
      </c>
      <c r="S622">
        <v>12</v>
      </c>
      <c r="T622" s="1">
        <v>43295</v>
      </c>
      <c r="U622" s="1">
        <v>43298</v>
      </c>
      <c r="V622" s="2"/>
      <c r="W622" s="1">
        <f>fNotasFiscais[[#This Row],[Data da Coleta]]+fNotasFiscais[[#This Row],[Prazo Contratado]]</f>
        <v>43307</v>
      </c>
      <c r="X622" s="3">
        <f>IF(fNotasFiscais[[#This Row],[Data da Entrega]]&gt;fNotasFiscais[[#This Row],[Data Contratada]],0,1)</f>
        <v>1</v>
      </c>
      <c r="Y622" s="3">
        <f>IF(fNotasFiscais[[#This Row],[Ocorrência]]="",1,0)</f>
        <v>1</v>
      </c>
      <c r="Z622" s="2">
        <f>fNotasFiscais[[#This Row],[On Time]]*fNotasFiscais[[#This Row],[In Full]]</f>
        <v>1</v>
      </c>
      <c r="AA622">
        <f>IF(fNotasFiscais[[#This Row],[Nota Fiscal]]&lt;&gt;"",1,0)</f>
        <v>1</v>
      </c>
    </row>
    <row r="623" spans="1:27" x14ac:dyDescent="0.25">
      <c r="A623" s="1">
        <v>43295</v>
      </c>
      <c r="B623">
        <v>11032</v>
      </c>
      <c r="C623" s="2" t="s">
        <v>40</v>
      </c>
      <c r="D623" s="2" t="s">
        <v>41</v>
      </c>
      <c r="E623" s="2" t="s">
        <v>33</v>
      </c>
      <c r="F623">
        <v>4019</v>
      </c>
      <c r="G623" s="2" t="s">
        <v>79</v>
      </c>
      <c r="H623" s="2" t="s">
        <v>80</v>
      </c>
      <c r="I623" s="2" t="s">
        <v>39</v>
      </c>
      <c r="J623" s="2" t="s">
        <v>28</v>
      </c>
      <c r="K623" s="2" t="s">
        <v>39</v>
      </c>
      <c r="L623">
        <v>378.96</v>
      </c>
      <c r="M623">
        <v>1</v>
      </c>
      <c r="N623">
        <v>1.1200000000000001</v>
      </c>
      <c r="O623">
        <v>6500948</v>
      </c>
      <c r="P623" s="2" t="s">
        <v>29</v>
      </c>
      <c r="Q623" s="2" t="s">
        <v>23</v>
      </c>
      <c r="R623" s="2" t="s">
        <v>30</v>
      </c>
      <c r="S623">
        <v>2</v>
      </c>
      <c r="T623" s="1">
        <v>43295</v>
      </c>
      <c r="U623" s="1">
        <v>43302</v>
      </c>
      <c r="V623" s="2"/>
      <c r="W623" s="1">
        <f>fNotasFiscais[[#This Row],[Data da Coleta]]+fNotasFiscais[[#This Row],[Prazo Contratado]]</f>
        <v>43297</v>
      </c>
      <c r="X623" s="3">
        <f>IF(fNotasFiscais[[#This Row],[Data da Entrega]]&gt;fNotasFiscais[[#This Row],[Data Contratada]],0,1)</f>
        <v>0</v>
      </c>
      <c r="Y623" s="3">
        <f>IF(fNotasFiscais[[#This Row],[Ocorrência]]="",1,0)</f>
        <v>1</v>
      </c>
      <c r="Z623" s="2">
        <f>fNotasFiscais[[#This Row],[On Time]]*fNotasFiscais[[#This Row],[In Full]]</f>
        <v>0</v>
      </c>
      <c r="AA623">
        <f>IF(fNotasFiscais[[#This Row],[Nota Fiscal]]&lt;&gt;"",1,0)</f>
        <v>1</v>
      </c>
    </row>
    <row r="624" spans="1:27" x14ac:dyDescent="0.25">
      <c r="A624" s="1">
        <v>43295</v>
      </c>
      <c r="B624">
        <v>11033</v>
      </c>
      <c r="C624" s="2" t="s">
        <v>22</v>
      </c>
      <c r="D624" s="2" t="s">
        <v>23</v>
      </c>
      <c r="E624" s="2" t="s">
        <v>24</v>
      </c>
      <c r="F624">
        <v>4022</v>
      </c>
      <c r="G624" s="2" t="s">
        <v>86</v>
      </c>
      <c r="H624" s="2" t="s">
        <v>87</v>
      </c>
      <c r="I624" s="2" t="s">
        <v>27</v>
      </c>
      <c r="J624" s="2" t="s">
        <v>28</v>
      </c>
      <c r="K624" s="2" t="s">
        <v>27</v>
      </c>
      <c r="L624">
        <v>2447.0100000000002</v>
      </c>
      <c r="M624">
        <v>7</v>
      </c>
      <c r="N624">
        <v>5.9829999999999997</v>
      </c>
      <c r="O624">
        <v>6500948</v>
      </c>
      <c r="P624" s="2" t="s">
        <v>29</v>
      </c>
      <c r="Q624" s="2" t="s">
        <v>23</v>
      </c>
      <c r="R624" s="2" t="s">
        <v>30</v>
      </c>
      <c r="S624">
        <v>4</v>
      </c>
      <c r="T624" s="1">
        <v>43295</v>
      </c>
      <c r="U624" s="1">
        <v>43300</v>
      </c>
      <c r="V624" s="2"/>
      <c r="W624" s="1">
        <f>fNotasFiscais[[#This Row],[Data da Coleta]]+fNotasFiscais[[#This Row],[Prazo Contratado]]</f>
        <v>43299</v>
      </c>
      <c r="X624" s="3">
        <f>IF(fNotasFiscais[[#This Row],[Data da Entrega]]&gt;fNotasFiscais[[#This Row],[Data Contratada]],0,1)</f>
        <v>0</v>
      </c>
      <c r="Y624" s="3">
        <f>IF(fNotasFiscais[[#This Row],[Ocorrência]]="",1,0)</f>
        <v>1</v>
      </c>
      <c r="Z624" s="2">
        <f>fNotasFiscais[[#This Row],[On Time]]*fNotasFiscais[[#This Row],[In Full]]</f>
        <v>0</v>
      </c>
      <c r="AA624">
        <f>IF(fNotasFiscais[[#This Row],[Nota Fiscal]]&lt;&gt;"",1,0)</f>
        <v>1</v>
      </c>
    </row>
    <row r="625" spans="1:27" x14ac:dyDescent="0.25">
      <c r="A625" s="1">
        <v>43295</v>
      </c>
      <c r="B625">
        <v>11034</v>
      </c>
      <c r="C625" s="2" t="s">
        <v>34</v>
      </c>
      <c r="D625" s="2" t="s">
        <v>35</v>
      </c>
      <c r="E625" s="2" t="s">
        <v>36</v>
      </c>
      <c r="F625">
        <v>4032</v>
      </c>
      <c r="G625" s="2" t="s">
        <v>108</v>
      </c>
      <c r="H625" s="2" t="s">
        <v>51</v>
      </c>
      <c r="I625" s="2" t="s">
        <v>73</v>
      </c>
      <c r="J625" s="2" t="s">
        <v>49</v>
      </c>
      <c r="K625" s="2" t="s">
        <v>73</v>
      </c>
      <c r="L625">
        <v>658.19</v>
      </c>
      <c r="M625">
        <v>2</v>
      </c>
      <c r="N625">
        <v>1.3640000000000001</v>
      </c>
      <c r="O625">
        <v>6100231</v>
      </c>
      <c r="P625" s="2" t="s">
        <v>50</v>
      </c>
      <c r="Q625" s="2" t="s">
        <v>51</v>
      </c>
      <c r="R625" s="2" t="s">
        <v>30</v>
      </c>
      <c r="S625">
        <v>3</v>
      </c>
      <c r="T625" s="1">
        <v>43295</v>
      </c>
      <c r="U625" s="1">
        <v>43298</v>
      </c>
      <c r="V625" s="2"/>
      <c r="W625" s="1">
        <f>fNotasFiscais[[#This Row],[Data da Coleta]]+fNotasFiscais[[#This Row],[Prazo Contratado]]</f>
        <v>43298</v>
      </c>
      <c r="X625" s="3">
        <f>IF(fNotasFiscais[[#This Row],[Data da Entrega]]&gt;fNotasFiscais[[#This Row],[Data Contratada]],0,1)</f>
        <v>1</v>
      </c>
      <c r="Y625" s="3">
        <f>IF(fNotasFiscais[[#This Row],[Ocorrência]]="",1,0)</f>
        <v>1</v>
      </c>
      <c r="Z625" s="2">
        <f>fNotasFiscais[[#This Row],[On Time]]*fNotasFiscais[[#This Row],[In Full]]</f>
        <v>1</v>
      </c>
      <c r="AA625">
        <f>IF(fNotasFiscais[[#This Row],[Nota Fiscal]]&lt;&gt;"",1,0)</f>
        <v>1</v>
      </c>
    </row>
    <row r="626" spans="1:27" x14ac:dyDescent="0.25">
      <c r="A626" s="1">
        <v>43295</v>
      </c>
      <c r="B626">
        <v>11035</v>
      </c>
      <c r="C626" s="2" t="s">
        <v>54</v>
      </c>
      <c r="D626" s="2" t="s">
        <v>55</v>
      </c>
      <c r="E626" s="2" t="s">
        <v>56</v>
      </c>
      <c r="F626">
        <v>4044</v>
      </c>
      <c r="G626" s="2" t="s">
        <v>123</v>
      </c>
      <c r="H626" s="2" t="s">
        <v>35</v>
      </c>
      <c r="I626" s="2" t="s">
        <v>36</v>
      </c>
      <c r="J626" s="2" t="s">
        <v>60</v>
      </c>
      <c r="K626" s="2" t="s">
        <v>36</v>
      </c>
      <c r="L626">
        <v>720.9</v>
      </c>
      <c r="M626">
        <v>2</v>
      </c>
      <c r="N626">
        <v>5.7539999999999996</v>
      </c>
      <c r="O626">
        <v>6600879</v>
      </c>
      <c r="P626" s="2" t="s">
        <v>61</v>
      </c>
      <c r="Q626" s="2" t="s">
        <v>35</v>
      </c>
      <c r="R626" s="2" t="s">
        <v>30</v>
      </c>
      <c r="S626">
        <v>12</v>
      </c>
      <c r="T626" s="1">
        <v>43295</v>
      </c>
      <c r="U626" s="1">
        <v>43301</v>
      </c>
      <c r="V626" s="2"/>
      <c r="W626" s="1">
        <f>fNotasFiscais[[#This Row],[Data da Coleta]]+fNotasFiscais[[#This Row],[Prazo Contratado]]</f>
        <v>43307</v>
      </c>
      <c r="X626" s="3">
        <f>IF(fNotasFiscais[[#This Row],[Data da Entrega]]&gt;fNotasFiscais[[#This Row],[Data Contratada]],0,1)</f>
        <v>1</v>
      </c>
      <c r="Y626" s="3">
        <f>IF(fNotasFiscais[[#This Row],[Ocorrência]]="",1,0)</f>
        <v>1</v>
      </c>
      <c r="Z626" s="2">
        <f>fNotasFiscais[[#This Row],[On Time]]*fNotasFiscais[[#This Row],[In Full]]</f>
        <v>1</v>
      </c>
      <c r="AA626">
        <f>IF(fNotasFiscais[[#This Row],[Nota Fiscal]]&lt;&gt;"",1,0)</f>
        <v>1</v>
      </c>
    </row>
    <row r="627" spans="1:27" x14ac:dyDescent="0.25">
      <c r="A627" s="1">
        <v>43295</v>
      </c>
      <c r="B627">
        <v>11036</v>
      </c>
      <c r="C627" s="2" t="s">
        <v>34</v>
      </c>
      <c r="D627" s="2" t="s">
        <v>35</v>
      </c>
      <c r="E627" s="2" t="s">
        <v>36</v>
      </c>
      <c r="F627">
        <v>4045</v>
      </c>
      <c r="G627" s="2" t="s">
        <v>124</v>
      </c>
      <c r="H627" s="2" t="s">
        <v>35</v>
      </c>
      <c r="I627" s="2" t="s">
        <v>36</v>
      </c>
      <c r="J627" s="2" t="s">
        <v>60</v>
      </c>
      <c r="K627" s="2" t="s">
        <v>36</v>
      </c>
      <c r="L627">
        <v>400.55</v>
      </c>
      <c r="M627">
        <v>1</v>
      </c>
      <c r="N627">
        <v>1.1200000000000001</v>
      </c>
      <c r="O627">
        <v>6600879</v>
      </c>
      <c r="P627" s="2" t="s">
        <v>61</v>
      </c>
      <c r="Q627" s="2" t="s">
        <v>35</v>
      </c>
      <c r="R627" s="2" t="s">
        <v>30</v>
      </c>
      <c r="S627">
        <v>12</v>
      </c>
      <c r="T627" s="1">
        <v>43295</v>
      </c>
      <c r="U627" s="1">
        <v>43296</v>
      </c>
      <c r="V627" s="2"/>
      <c r="W627" s="1">
        <f>fNotasFiscais[[#This Row],[Data da Coleta]]+fNotasFiscais[[#This Row],[Prazo Contratado]]</f>
        <v>43307</v>
      </c>
      <c r="X627" s="3">
        <f>IF(fNotasFiscais[[#This Row],[Data da Entrega]]&gt;fNotasFiscais[[#This Row],[Data Contratada]],0,1)</f>
        <v>1</v>
      </c>
      <c r="Y627" s="3">
        <f>IF(fNotasFiscais[[#This Row],[Ocorrência]]="",1,0)</f>
        <v>1</v>
      </c>
      <c r="Z627" s="2">
        <f>fNotasFiscais[[#This Row],[On Time]]*fNotasFiscais[[#This Row],[In Full]]</f>
        <v>1</v>
      </c>
      <c r="AA627">
        <f>IF(fNotasFiscais[[#This Row],[Nota Fiscal]]&lt;&gt;"",1,0)</f>
        <v>1</v>
      </c>
    </row>
    <row r="628" spans="1:27" x14ac:dyDescent="0.25">
      <c r="A628" s="1">
        <v>43294</v>
      </c>
      <c r="B628">
        <v>11037</v>
      </c>
      <c r="C628" s="2" t="s">
        <v>31</v>
      </c>
      <c r="D628" s="2" t="s">
        <v>32</v>
      </c>
      <c r="E628" s="2" t="s">
        <v>33</v>
      </c>
      <c r="F628">
        <v>4019</v>
      </c>
      <c r="G628" s="2" t="s">
        <v>79</v>
      </c>
      <c r="H628" s="2" t="s">
        <v>80</v>
      </c>
      <c r="I628" s="2" t="s">
        <v>39</v>
      </c>
      <c r="J628" s="2" t="s">
        <v>28</v>
      </c>
      <c r="K628" s="2" t="s">
        <v>39</v>
      </c>
      <c r="L628">
        <v>2264.69</v>
      </c>
      <c r="M628">
        <v>3</v>
      </c>
      <c r="N628">
        <v>10.208</v>
      </c>
      <c r="O628">
        <v>6500948</v>
      </c>
      <c r="P628" s="2" t="s">
        <v>29</v>
      </c>
      <c r="Q628" s="2" t="s">
        <v>23</v>
      </c>
      <c r="R628" s="2" t="s">
        <v>30</v>
      </c>
      <c r="S628">
        <v>5</v>
      </c>
      <c r="T628" s="1">
        <v>43295</v>
      </c>
      <c r="U628" s="1">
        <v>43299</v>
      </c>
      <c r="V628" s="2"/>
      <c r="W628" s="1">
        <f>fNotasFiscais[[#This Row],[Data da Coleta]]+fNotasFiscais[[#This Row],[Prazo Contratado]]</f>
        <v>43300</v>
      </c>
      <c r="X628" s="3">
        <f>IF(fNotasFiscais[[#This Row],[Data da Entrega]]&gt;fNotasFiscais[[#This Row],[Data Contratada]],0,1)</f>
        <v>1</v>
      </c>
      <c r="Y628" s="3">
        <f>IF(fNotasFiscais[[#This Row],[Ocorrência]]="",1,0)</f>
        <v>1</v>
      </c>
      <c r="Z628" s="2">
        <f>fNotasFiscais[[#This Row],[On Time]]*fNotasFiscais[[#This Row],[In Full]]</f>
        <v>1</v>
      </c>
      <c r="AA628">
        <f>IF(fNotasFiscais[[#This Row],[Nota Fiscal]]&lt;&gt;"",1,0)</f>
        <v>1</v>
      </c>
    </row>
    <row r="629" spans="1:27" x14ac:dyDescent="0.25">
      <c r="A629" s="1">
        <v>43294</v>
      </c>
      <c r="B629">
        <v>11038</v>
      </c>
      <c r="C629" s="2" t="s">
        <v>22</v>
      </c>
      <c r="D629" s="2" t="s">
        <v>23</v>
      </c>
      <c r="E629" s="2" t="s">
        <v>24</v>
      </c>
      <c r="F629">
        <v>4044</v>
      </c>
      <c r="G629" s="2" t="s">
        <v>123</v>
      </c>
      <c r="H629" s="2" t="s">
        <v>35</v>
      </c>
      <c r="I629" s="2" t="s">
        <v>36</v>
      </c>
      <c r="J629" s="2" t="s">
        <v>60</v>
      </c>
      <c r="K629" s="2" t="s">
        <v>36</v>
      </c>
      <c r="L629">
        <v>1931.53</v>
      </c>
      <c r="M629">
        <v>2</v>
      </c>
      <c r="N629">
        <v>7.835</v>
      </c>
      <c r="O629">
        <v>6600879</v>
      </c>
      <c r="P629" s="2" t="s">
        <v>61</v>
      </c>
      <c r="Q629" s="2" t="s">
        <v>35</v>
      </c>
      <c r="R629" s="2" t="s">
        <v>30</v>
      </c>
      <c r="S629">
        <v>5</v>
      </c>
      <c r="T629" s="1">
        <v>43295</v>
      </c>
      <c r="U629" s="1">
        <v>43300</v>
      </c>
      <c r="V629" s="2"/>
      <c r="W629" s="1">
        <f>fNotasFiscais[[#This Row],[Data da Coleta]]+fNotasFiscais[[#This Row],[Prazo Contratado]]</f>
        <v>43300</v>
      </c>
      <c r="X629" s="3">
        <f>IF(fNotasFiscais[[#This Row],[Data da Entrega]]&gt;fNotasFiscais[[#This Row],[Data Contratada]],0,1)</f>
        <v>1</v>
      </c>
      <c r="Y629" s="3">
        <f>IF(fNotasFiscais[[#This Row],[Ocorrência]]="",1,0)</f>
        <v>1</v>
      </c>
      <c r="Z629" s="2">
        <f>fNotasFiscais[[#This Row],[On Time]]*fNotasFiscais[[#This Row],[In Full]]</f>
        <v>1</v>
      </c>
      <c r="AA629">
        <f>IF(fNotasFiscais[[#This Row],[Nota Fiscal]]&lt;&gt;"",1,0)</f>
        <v>1</v>
      </c>
    </row>
    <row r="630" spans="1:27" x14ac:dyDescent="0.25">
      <c r="A630" s="1">
        <v>43294</v>
      </c>
      <c r="B630">
        <v>11039</v>
      </c>
      <c r="C630" s="2" t="s">
        <v>52</v>
      </c>
      <c r="D630" s="2" t="s">
        <v>53</v>
      </c>
      <c r="E630" s="2" t="s">
        <v>33</v>
      </c>
      <c r="F630">
        <v>4045</v>
      </c>
      <c r="G630" s="2" t="s">
        <v>124</v>
      </c>
      <c r="H630" s="2" t="s">
        <v>35</v>
      </c>
      <c r="I630" s="2" t="s">
        <v>36</v>
      </c>
      <c r="J630" s="2" t="s">
        <v>60</v>
      </c>
      <c r="K630" s="2" t="s">
        <v>36</v>
      </c>
      <c r="L630">
        <v>1768.53</v>
      </c>
      <c r="M630">
        <v>1</v>
      </c>
      <c r="N630">
        <v>6.7009999999999996</v>
      </c>
      <c r="O630">
        <v>6600879</v>
      </c>
      <c r="P630" s="2" t="s">
        <v>61</v>
      </c>
      <c r="Q630" s="2" t="s">
        <v>35</v>
      </c>
      <c r="R630" s="2" t="s">
        <v>30</v>
      </c>
      <c r="S630">
        <v>11</v>
      </c>
      <c r="T630" s="1">
        <v>43295</v>
      </c>
      <c r="U630" s="1">
        <v>43296</v>
      </c>
      <c r="V630" s="2"/>
      <c r="W630" s="1">
        <f>fNotasFiscais[[#This Row],[Data da Coleta]]+fNotasFiscais[[#This Row],[Prazo Contratado]]</f>
        <v>43306</v>
      </c>
      <c r="X630" s="3">
        <f>IF(fNotasFiscais[[#This Row],[Data da Entrega]]&gt;fNotasFiscais[[#This Row],[Data Contratada]],0,1)</f>
        <v>1</v>
      </c>
      <c r="Y630" s="3">
        <f>IF(fNotasFiscais[[#This Row],[Ocorrência]]="",1,0)</f>
        <v>1</v>
      </c>
      <c r="Z630" s="2">
        <f>fNotasFiscais[[#This Row],[On Time]]*fNotasFiscais[[#This Row],[In Full]]</f>
        <v>1</v>
      </c>
      <c r="AA630">
        <f>IF(fNotasFiscais[[#This Row],[Nota Fiscal]]&lt;&gt;"",1,0)</f>
        <v>1</v>
      </c>
    </row>
    <row r="631" spans="1:27" x14ac:dyDescent="0.25">
      <c r="A631" s="1">
        <v>43294</v>
      </c>
      <c r="B631">
        <v>11040</v>
      </c>
      <c r="C631" s="2" t="s">
        <v>34</v>
      </c>
      <c r="D631" s="2" t="s">
        <v>35</v>
      </c>
      <c r="E631" s="2" t="s">
        <v>36</v>
      </c>
      <c r="F631">
        <v>4019</v>
      </c>
      <c r="G631" s="2" t="s">
        <v>79</v>
      </c>
      <c r="H631" s="2" t="s">
        <v>80</v>
      </c>
      <c r="I631" s="2" t="s">
        <v>39</v>
      </c>
      <c r="J631" s="2" t="s">
        <v>28</v>
      </c>
      <c r="K631" s="2" t="s">
        <v>39</v>
      </c>
      <c r="L631">
        <v>957.73</v>
      </c>
      <c r="M631">
        <v>3</v>
      </c>
      <c r="N631">
        <v>40.26</v>
      </c>
      <c r="O631">
        <v>6500948</v>
      </c>
      <c r="P631" s="2" t="s">
        <v>29</v>
      </c>
      <c r="Q631" s="2" t="s">
        <v>23</v>
      </c>
      <c r="R631" s="2" t="s">
        <v>30</v>
      </c>
      <c r="S631">
        <v>1</v>
      </c>
      <c r="T631" s="1">
        <v>43295</v>
      </c>
      <c r="U631" s="1">
        <v>43299</v>
      </c>
      <c r="V631" s="2"/>
      <c r="W631" s="1">
        <f>fNotasFiscais[[#This Row],[Data da Coleta]]+fNotasFiscais[[#This Row],[Prazo Contratado]]</f>
        <v>43296</v>
      </c>
      <c r="X631" s="3">
        <f>IF(fNotasFiscais[[#This Row],[Data da Entrega]]&gt;fNotasFiscais[[#This Row],[Data Contratada]],0,1)</f>
        <v>0</v>
      </c>
      <c r="Y631" s="3">
        <f>IF(fNotasFiscais[[#This Row],[Ocorrência]]="",1,0)</f>
        <v>1</v>
      </c>
      <c r="Z631" s="2">
        <f>fNotasFiscais[[#This Row],[On Time]]*fNotasFiscais[[#This Row],[In Full]]</f>
        <v>0</v>
      </c>
      <c r="AA631">
        <f>IF(fNotasFiscais[[#This Row],[Nota Fiscal]]&lt;&gt;"",1,0)</f>
        <v>1</v>
      </c>
    </row>
    <row r="632" spans="1:27" x14ac:dyDescent="0.25">
      <c r="A632" s="1">
        <v>43294</v>
      </c>
      <c r="B632">
        <v>11041</v>
      </c>
      <c r="C632" s="2" t="s">
        <v>34</v>
      </c>
      <c r="D632" s="2" t="s">
        <v>35</v>
      </c>
      <c r="E632" s="2" t="s">
        <v>36</v>
      </c>
      <c r="F632">
        <v>4019</v>
      </c>
      <c r="G632" s="2" t="s">
        <v>79</v>
      </c>
      <c r="H632" s="2" t="s">
        <v>80</v>
      </c>
      <c r="I632" s="2" t="s">
        <v>39</v>
      </c>
      <c r="J632" s="2" t="s">
        <v>28</v>
      </c>
      <c r="K632" s="2" t="s">
        <v>39</v>
      </c>
      <c r="L632">
        <v>888.76</v>
      </c>
      <c r="M632">
        <v>1</v>
      </c>
      <c r="N632">
        <v>2.871</v>
      </c>
      <c r="O632">
        <v>6500948</v>
      </c>
      <c r="P632" s="2" t="s">
        <v>29</v>
      </c>
      <c r="Q632" s="2" t="s">
        <v>23</v>
      </c>
      <c r="R632" s="2" t="s">
        <v>30</v>
      </c>
      <c r="S632">
        <v>5</v>
      </c>
      <c r="T632" s="1">
        <v>43295</v>
      </c>
      <c r="U632" s="1">
        <v>43303</v>
      </c>
      <c r="V632" s="2"/>
      <c r="W632" s="1">
        <f>fNotasFiscais[[#This Row],[Data da Coleta]]+fNotasFiscais[[#This Row],[Prazo Contratado]]</f>
        <v>43300</v>
      </c>
      <c r="X632" s="3">
        <f>IF(fNotasFiscais[[#This Row],[Data da Entrega]]&gt;fNotasFiscais[[#This Row],[Data Contratada]],0,1)</f>
        <v>0</v>
      </c>
      <c r="Y632" s="3">
        <f>IF(fNotasFiscais[[#This Row],[Ocorrência]]="",1,0)</f>
        <v>1</v>
      </c>
      <c r="Z632" s="2">
        <f>fNotasFiscais[[#This Row],[On Time]]*fNotasFiscais[[#This Row],[In Full]]</f>
        <v>0</v>
      </c>
      <c r="AA632">
        <f>IF(fNotasFiscais[[#This Row],[Nota Fiscal]]&lt;&gt;"",1,0)</f>
        <v>1</v>
      </c>
    </row>
    <row r="633" spans="1:27" x14ac:dyDescent="0.25">
      <c r="A633" s="1">
        <v>43294</v>
      </c>
      <c r="B633">
        <v>11042</v>
      </c>
      <c r="C633" s="2" t="s">
        <v>43</v>
      </c>
      <c r="D633" s="2" t="s">
        <v>44</v>
      </c>
      <c r="E633" s="2" t="s">
        <v>45</v>
      </c>
      <c r="F633">
        <v>4019</v>
      </c>
      <c r="G633" s="2" t="s">
        <v>79</v>
      </c>
      <c r="H633" s="2" t="s">
        <v>80</v>
      </c>
      <c r="I633" s="2" t="s">
        <v>39</v>
      </c>
      <c r="J633" s="2" t="s">
        <v>28</v>
      </c>
      <c r="K633" s="2" t="s">
        <v>39</v>
      </c>
      <c r="L633">
        <v>3161.78</v>
      </c>
      <c r="M633">
        <v>4</v>
      </c>
      <c r="N633">
        <v>16.326000000000001</v>
      </c>
      <c r="O633">
        <v>6500948</v>
      </c>
      <c r="P633" s="2" t="s">
        <v>29</v>
      </c>
      <c r="Q633" s="2" t="s">
        <v>23</v>
      </c>
      <c r="R633" s="2" t="s">
        <v>30</v>
      </c>
      <c r="S633">
        <v>1</v>
      </c>
      <c r="T633" s="1">
        <v>43295</v>
      </c>
      <c r="U633" s="1">
        <v>43296</v>
      </c>
      <c r="V633" s="2"/>
      <c r="W633" s="1">
        <f>fNotasFiscais[[#This Row],[Data da Coleta]]+fNotasFiscais[[#This Row],[Prazo Contratado]]</f>
        <v>43296</v>
      </c>
      <c r="X633" s="3">
        <f>IF(fNotasFiscais[[#This Row],[Data da Entrega]]&gt;fNotasFiscais[[#This Row],[Data Contratada]],0,1)</f>
        <v>1</v>
      </c>
      <c r="Y633" s="3">
        <f>IF(fNotasFiscais[[#This Row],[Ocorrência]]="",1,0)</f>
        <v>1</v>
      </c>
      <c r="Z633" s="2">
        <f>fNotasFiscais[[#This Row],[On Time]]*fNotasFiscais[[#This Row],[In Full]]</f>
        <v>1</v>
      </c>
      <c r="AA633">
        <f>IF(fNotasFiscais[[#This Row],[Nota Fiscal]]&lt;&gt;"",1,0)</f>
        <v>1</v>
      </c>
    </row>
    <row r="634" spans="1:27" x14ac:dyDescent="0.25">
      <c r="A634" s="1">
        <v>43298</v>
      </c>
      <c r="B634">
        <v>11043</v>
      </c>
      <c r="C634" s="2" t="s">
        <v>22</v>
      </c>
      <c r="D634" s="2" t="s">
        <v>23</v>
      </c>
      <c r="E634" s="2" t="s">
        <v>24</v>
      </c>
      <c r="F634">
        <v>4023</v>
      </c>
      <c r="G634" s="2" t="s">
        <v>88</v>
      </c>
      <c r="H634" s="2" t="s">
        <v>78</v>
      </c>
      <c r="I634" s="2" t="s">
        <v>39</v>
      </c>
      <c r="J634" s="2" t="s">
        <v>28</v>
      </c>
      <c r="K634" s="2" t="s">
        <v>39</v>
      </c>
      <c r="L634">
        <v>658.19</v>
      </c>
      <c r="M634">
        <v>2</v>
      </c>
      <c r="N634">
        <v>1.3640000000000001</v>
      </c>
      <c r="O634">
        <v>6500948</v>
      </c>
      <c r="P634" s="2" t="s">
        <v>29</v>
      </c>
      <c r="Q634" s="2" t="s">
        <v>23</v>
      </c>
      <c r="R634" s="2" t="s">
        <v>30</v>
      </c>
      <c r="S634">
        <v>12</v>
      </c>
      <c r="T634" s="1">
        <v>43299</v>
      </c>
      <c r="U634" s="1">
        <v>43308</v>
      </c>
      <c r="V634" s="2"/>
      <c r="W634" s="1">
        <f>fNotasFiscais[[#This Row],[Data da Coleta]]+fNotasFiscais[[#This Row],[Prazo Contratado]]</f>
        <v>43311</v>
      </c>
      <c r="X634" s="3">
        <f>IF(fNotasFiscais[[#This Row],[Data da Entrega]]&gt;fNotasFiscais[[#This Row],[Data Contratada]],0,1)</f>
        <v>1</v>
      </c>
      <c r="Y634" s="3">
        <f>IF(fNotasFiscais[[#This Row],[Ocorrência]]="",1,0)</f>
        <v>1</v>
      </c>
      <c r="Z634" s="2">
        <f>fNotasFiscais[[#This Row],[On Time]]*fNotasFiscais[[#This Row],[In Full]]</f>
        <v>1</v>
      </c>
      <c r="AA634">
        <f>IF(fNotasFiscais[[#This Row],[Nota Fiscal]]&lt;&gt;"",1,0)</f>
        <v>1</v>
      </c>
    </row>
    <row r="635" spans="1:27" x14ac:dyDescent="0.25">
      <c r="A635" s="1">
        <v>43300</v>
      </c>
      <c r="B635">
        <v>11044</v>
      </c>
      <c r="C635" s="2" t="s">
        <v>54</v>
      </c>
      <c r="D635" s="2" t="s">
        <v>55</v>
      </c>
      <c r="E635" s="2" t="s">
        <v>56</v>
      </c>
      <c r="F635">
        <v>4112</v>
      </c>
      <c r="G635" s="2" t="s">
        <v>195</v>
      </c>
      <c r="H635" s="2" t="s">
        <v>35</v>
      </c>
      <c r="I635" s="2" t="s">
        <v>36</v>
      </c>
      <c r="J635" s="2" t="s">
        <v>60</v>
      </c>
      <c r="K635" s="2" t="s">
        <v>36</v>
      </c>
      <c r="L635">
        <v>626.66999999999996</v>
      </c>
      <c r="M635">
        <v>1</v>
      </c>
      <c r="N635">
        <v>3.6629999999999998</v>
      </c>
      <c r="O635">
        <v>6600879</v>
      </c>
      <c r="P635" s="2" t="s">
        <v>61</v>
      </c>
      <c r="Q635" s="2" t="s">
        <v>35</v>
      </c>
      <c r="R635" s="2" t="s">
        <v>30</v>
      </c>
      <c r="S635">
        <v>7</v>
      </c>
      <c r="T635" s="1">
        <v>43301</v>
      </c>
      <c r="U635" s="1">
        <v>43310</v>
      </c>
      <c r="V635" s="2"/>
      <c r="W635" s="1">
        <f>fNotasFiscais[[#This Row],[Data da Coleta]]+fNotasFiscais[[#This Row],[Prazo Contratado]]</f>
        <v>43308</v>
      </c>
      <c r="X635" s="3">
        <f>IF(fNotasFiscais[[#This Row],[Data da Entrega]]&gt;fNotasFiscais[[#This Row],[Data Contratada]],0,1)</f>
        <v>0</v>
      </c>
      <c r="Y635" s="3">
        <f>IF(fNotasFiscais[[#This Row],[Ocorrência]]="",1,0)</f>
        <v>1</v>
      </c>
      <c r="Z635" s="2">
        <f>fNotasFiscais[[#This Row],[On Time]]*fNotasFiscais[[#This Row],[In Full]]</f>
        <v>0</v>
      </c>
      <c r="AA635">
        <f>IF(fNotasFiscais[[#This Row],[Nota Fiscal]]&lt;&gt;"",1,0)</f>
        <v>1</v>
      </c>
    </row>
    <row r="636" spans="1:27" x14ac:dyDescent="0.25">
      <c r="A636" s="1">
        <v>43300</v>
      </c>
      <c r="B636">
        <v>11045</v>
      </c>
      <c r="C636" s="2" t="s">
        <v>22</v>
      </c>
      <c r="D636" s="2" t="s">
        <v>23</v>
      </c>
      <c r="E636" s="2" t="s">
        <v>24</v>
      </c>
      <c r="F636">
        <v>4047</v>
      </c>
      <c r="G636" s="2" t="s">
        <v>125</v>
      </c>
      <c r="H636" s="2" t="s">
        <v>35</v>
      </c>
      <c r="I636" s="2" t="s">
        <v>36</v>
      </c>
      <c r="J636" s="2" t="s">
        <v>60</v>
      </c>
      <c r="K636" s="2" t="s">
        <v>36</v>
      </c>
      <c r="L636">
        <v>3005.85</v>
      </c>
      <c r="M636">
        <v>2</v>
      </c>
      <c r="N636">
        <v>17.317</v>
      </c>
      <c r="O636">
        <v>6600879</v>
      </c>
      <c r="P636" s="2" t="s">
        <v>61</v>
      </c>
      <c r="Q636" s="2" t="s">
        <v>35</v>
      </c>
      <c r="R636" s="2" t="s">
        <v>30</v>
      </c>
      <c r="S636">
        <v>11</v>
      </c>
      <c r="T636" s="1">
        <v>43301</v>
      </c>
      <c r="U636" s="1">
        <v>43304</v>
      </c>
      <c r="V636" s="2"/>
      <c r="W636" s="1">
        <f>fNotasFiscais[[#This Row],[Data da Coleta]]+fNotasFiscais[[#This Row],[Prazo Contratado]]</f>
        <v>43312</v>
      </c>
      <c r="X636" s="3">
        <f>IF(fNotasFiscais[[#This Row],[Data da Entrega]]&gt;fNotasFiscais[[#This Row],[Data Contratada]],0,1)</f>
        <v>1</v>
      </c>
      <c r="Y636" s="3">
        <f>IF(fNotasFiscais[[#This Row],[Ocorrência]]="",1,0)</f>
        <v>1</v>
      </c>
      <c r="Z636" s="2">
        <f>fNotasFiscais[[#This Row],[On Time]]*fNotasFiscais[[#This Row],[In Full]]</f>
        <v>1</v>
      </c>
      <c r="AA636">
        <f>IF(fNotasFiscais[[#This Row],[Nota Fiscal]]&lt;&gt;"",1,0)</f>
        <v>1</v>
      </c>
    </row>
    <row r="637" spans="1:27" x14ac:dyDescent="0.25">
      <c r="A637" s="1">
        <v>43300</v>
      </c>
      <c r="B637">
        <v>11046</v>
      </c>
      <c r="C637" s="2" t="s">
        <v>54</v>
      </c>
      <c r="D637" s="2" t="s">
        <v>55</v>
      </c>
      <c r="E637" s="2" t="s">
        <v>56</v>
      </c>
      <c r="F637">
        <v>4023</v>
      </c>
      <c r="G637" s="2" t="s">
        <v>88</v>
      </c>
      <c r="H637" s="2" t="s">
        <v>78</v>
      </c>
      <c r="I637" s="2" t="s">
        <v>39</v>
      </c>
      <c r="J637" s="2" t="s">
        <v>28</v>
      </c>
      <c r="K637" s="2" t="s">
        <v>39</v>
      </c>
      <c r="L637">
        <v>394.1</v>
      </c>
      <c r="M637">
        <v>2</v>
      </c>
      <c r="N637">
        <v>1.5289999999999999</v>
      </c>
      <c r="O637">
        <v>6500948</v>
      </c>
      <c r="P637" s="2" t="s">
        <v>29</v>
      </c>
      <c r="Q637" s="2" t="s">
        <v>23</v>
      </c>
      <c r="R637" s="2" t="s">
        <v>30</v>
      </c>
      <c r="S637">
        <v>6</v>
      </c>
      <c r="T637" s="1">
        <v>43301</v>
      </c>
      <c r="U637" s="1">
        <v>43304</v>
      </c>
      <c r="V637" s="2"/>
      <c r="W637" s="1">
        <f>fNotasFiscais[[#This Row],[Data da Coleta]]+fNotasFiscais[[#This Row],[Prazo Contratado]]</f>
        <v>43307</v>
      </c>
      <c r="X637" s="3">
        <f>IF(fNotasFiscais[[#This Row],[Data da Entrega]]&gt;fNotasFiscais[[#This Row],[Data Contratada]],0,1)</f>
        <v>1</v>
      </c>
      <c r="Y637" s="3">
        <f>IF(fNotasFiscais[[#This Row],[Ocorrência]]="",1,0)</f>
        <v>1</v>
      </c>
      <c r="Z637" s="2">
        <f>fNotasFiscais[[#This Row],[On Time]]*fNotasFiscais[[#This Row],[In Full]]</f>
        <v>1</v>
      </c>
      <c r="AA637">
        <f>IF(fNotasFiscais[[#This Row],[Nota Fiscal]]&lt;&gt;"",1,0)</f>
        <v>1</v>
      </c>
    </row>
    <row r="638" spans="1:27" x14ac:dyDescent="0.25">
      <c r="A638" s="1">
        <v>43300</v>
      </c>
      <c r="B638">
        <v>11047</v>
      </c>
      <c r="C638" s="2" t="s">
        <v>43</v>
      </c>
      <c r="D638" s="2" t="s">
        <v>44</v>
      </c>
      <c r="E638" s="2" t="s">
        <v>45</v>
      </c>
      <c r="F638">
        <v>4018</v>
      </c>
      <c r="G638" s="2" t="s">
        <v>77</v>
      </c>
      <c r="H638" s="2" t="s">
        <v>78</v>
      </c>
      <c r="I638" s="2" t="s">
        <v>39</v>
      </c>
      <c r="J638" s="2" t="s">
        <v>28</v>
      </c>
      <c r="K638" s="2" t="s">
        <v>39</v>
      </c>
      <c r="L638">
        <v>342.43</v>
      </c>
      <c r="M638">
        <v>1</v>
      </c>
      <c r="N638">
        <v>0.68200000000000005</v>
      </c>
      <c r="O638">
        <v>6500948</v>
      </c>
      <c r="P638" s="2" t="s">
        <v>29</v>
      </c>
      <c r="Q638" s="2" t="s">
        <v>23</v>
      </c>
      <c r="R638" s="2" t="s">
        <v>30</v>
      </c>
      <c r="S638">
        <v>4</v>
      </c>
      <c r="T638" s="1">
        <v>43301</v>
      </c>
      <c r="U638" s="1">
        <v>43309</v>
      </c>
      <c r="V638" s="2"/>
      <c r="W638" s="1">
        <f>fNotasFiscais[[#This Row],[Data da Coleta]]+fNotasFiscais[[#This Row],[Prazo Contratado]]</f>
        <v>43305</v>
      </c>
      <c r="X638" s="3">
        <f>IF(fNotasFiscais[[#This Row],[Data da Entrega]]&gt;fNotasFiscais[[#This Row],[Data Contratada]],0,1)</f>
        <v>0</v>
      </c>
      <c r="Y638" s="3">
        <f>IF(fNotasFiscais[[#This Row],[Ocorrência]]="",1,0)</f>
        <v>1</v>
      </c>
      <c r="Z638" s="2">
        <f>fNotasFiscais[[#This Row],[On Time]]*fNotasFiscais[[#This Row],[In Full]]</f>
        <v>0</v>
      </c>
      <c r="AA638">
        <f>IF(fNotasFiscais[[#This Row],[Nota Fiscal]]&lt;&gt;"",1,0)</f>
        <v>1</v>
      </c>
    </row>
    <row r="639" spans="1:27" x14ac:dyDescent="0.25">
      <c r="A639" s="1">
        <v>43300</v>
      </c>
      <c r="B639">
        <v>11048</v>
      </c>
      <c r="C639" s="2" t="s">
        <v>22</v>
      </c>
      <c r="D639" s="2" t="s">
        <v>23</v>
      </c>
      <c r="E639" s="2" t="s">
        <v>24</v>
      </c>
      <c r="F639">
        <v>4083</v>
      </c>
      <c r="G639" s="2" t="s">
        <v>154</v>
      </c>
      <c r="H639" s="2" t="s">
        <v>141</v>
      </c>
      <c r="I639" s="2" t="s">
        <v>33</v>
      </c>
      <c r="J639" s="2" t="s">
        <v>60</v>
      </c>
      <c r="K639" s="2" t="s">
        <v>33</v>
      </c>
      <c r="L639">
        <v>638.51</v>
      </c>
      <c r="M639">
        <v>2</v>
      </c>
      <c r="N639">
        <v>26.84</v>
      </c>
      <c r="O639">
        <v>6400835</v>
      </c>
      <c r="P639" s="2" t="s">
        <v>130</v>
      </c>
      <c r="Q639" s="2" t="s">
        <v>131</v>
      </c>
      <c r="R639" s="2" t="s">
        <v>30</v>
      </c>
      <c r="S639">
        <v>7</v>
      </c>
      <c r="T639" s="1">
        <v>43301</v>
      </c>
      <c r="U639" s="1">
        <v>43311</v>
      </c>
      <c r="V639" s="2"/>
      <c r="W639" s="1">
        <f>fNotasFiscais[[#This Row],[Data da Coleta]]+fNotasFiscais[[#This Row],[Prazo Contratado]]</f>
        <v>43308</v>
      </c>
      <c r="X639" s="3">
        <f>IF(fNotasFiscais[[#This Row],[Data da Entrega]]&gt;fNotasFiscais[[#This Row],[Data Contratada]],0,1)</f>
        <v>0</v>
      </c>
      <c r="Y639" s="3">
        <f>IF(fNotasFiscais[[#This Row],[Ocorrência]]="",1,0)</f>
        <v>1</v>
      </c>
      <c r="Z639" s="2">
        <f>fNotasFiscais[[#This Row],[On Time]]*fNotasFiscais[[#This Row],[In Full]]</f>
        <v>0</v>
      </c>
      <c r="AA639">
        <f>IF(fNotasFiscais[[#This Row],[Nota Fiscal]]&lt;&gt;"",1,0)</f>
        <v>1</v>
      </c>
    </row>
    <row r="640" spans="1:27" x14ac:dyDescent="0.25">
      <c r="A640" s="1">
        <v>43300</v>
      </c>
      <c r="B640">
        <v>11049</v>
      </c>
      <c r="C640" s="2" t="s">
        <v>43</v>
      </c>
      <c r="D640" s="2" t="s">
        <v>44</v>
      </c>
      <c r="E640" s="2" t="s">
        <v>45</v>
      </c>
      <c r="F640">
        <v>4083</v>
      </c>
      <c r="G640" s="2" t="s">
        <v>154</v>
      </c>
      <c r="H640" s="2" t="s">
        <v>141</v>
      </c>
      <c r="I640" s="2" t="s">
        <v>33</v>
      </c>
      <c r="J640" s="2" t="s">
        <v>60</v>
      </c>
      <c r="K640" s="2" t="s">
        <v>33</v>
      </c>
      <c r="L640">
        <v>674.2</v>
      </c>
      <c r="M640">
        <v>2</v>
      </c>
      <c r="N640">
        <v>1.3640000000000001</v>
      </c>
      <c r="O640">
        <v>6400835</v>
      </c>
      <c r="P640" s="2" t="s">
        <v>130</v>
      </c>
      <c r="Q640" s="2" t="s">
        <v>131</v>
      </c>
      <c r="R640" s="2" t="s">
        <v>30</v>
      </c>
      <c r="S640">
        <v>11</v>
      </c>
      <c r="T640" s="1">
        <v>43301</v>
      </c>
      <c r="U640" s="1">
        <v>43302</v>
      </c>
      <c r="V640" s="2"/>
      <c r="W640" s="1">
        <f>fNotasFiscais[[#This Row],[Data da Coleta]]+fNotasFiscais[[#This Row],[Prazo Contratado]]</f>
        <v>43312</v>
      </c>
      <c r="X640" s="3">
        <f>IF(fNotasFiscais[[#This Row],[Data da Entrega]]&gt;fNotasFiscais[[#This Row],[Data Contratada]],0,1)</f>
        <v>1</v>
      </c>
      <c r="Y640" s="3">
        <f>IF(fNotasFiscais[[#This Row],[Ocorrência]]="",1,0)</f>
        <v>1</v>
      </c>
      <c r="Z640" s="2">
        <f>fNotasFiscais[[#This Row],[On Time]]*fNotasFiscais[[#This Row],[In Full]]</f>
        <v>1</v>
      </c>
      <c r="AA640">
        <f>IF(fNotasFiscais[[#This Row],[Nota Fiscal]]&lt;&gt;"",1,0)</f>
        <v>1</v>
      </c>
    </row>
    <row r="641" spans="1:27" x14ac:dyDescent="0.25">
      <c r="A641" s="1">
        <v>43300</v>
      </c>
      <c r="B641">
        <v>11050</v>
      </c>
      <c r="C641" s="2" t="s">
        <v>22</v>
      </c>
      <c r="D641" s="2" t="s">
        <v>23</v>
      </c>
      <c r="E641" s="2" t="s">
        <v>24</v>
      </c>
      <c r="F641">
        <v>4083</v>
      </c>
      <c r="G641" s="2" t="s">
        <v>154</v>
      </c>
      <c r="H641" s="2" t="s">
        <v>141</v>
      </c>
      <c r="I641" s="2" t="s">
        <v>33</v>
      </c>
      <c r="J641" s="2" t="s">
        <v>60</v>
      </c>
      <c r="K641" s="2" t="s">
        <v>33</v>
      </c>
      <c r="L641">
        <v>1084.0999999999999</v>
      </c>
      <c r="M641">
        <v>2</v>
      </c>
      <c r="N641">
        <v>2.802</v>
      </c>
      <c r="O641">
        <v>6400835</v>
      </c>
      <c r="P641" s="2" t="s">
        <v>130</v>
      </c>
      <c r="Q641" s="2" t="s">
        <v>131</v>
      </c>
      <c r="R641" s="2" t="s">
        <v>30</v>
      </c>
      <c r="S641">
        <v>4</v>
      </c>
      <c r="T641" s="1">
        <v>43301</v>
      </c>
      <c r="U641" s="1">
        <v>43306</v>
      </c>
      <c r="V641" s="2"/>
      <c r="W641" s="1">
        <f>fNotasFiscais[[#This Row],[Data da Coleta]]+fNotasFiscais[[#This Row],[Prazo Contratado]]</f>
        <v>43305</v>
      </c>
      <c r="X641" s="3">
        <f>IF(fNotasFiscais[[#This Row],[Data da Entrega]]&gt;fNotasFiscais[[#This Row],[Data Contratada]],0,1)</f>
        <v>0</v>
      </c>
      <c r="Y641" s="3">
        <f>IF(fNotasFiscais[[#This Row],[Ocorrência]]="",1,0)</f>
        <v>1</v>
      </c>
      <c r="Z641" s="2">
        <f>fNotasFiscais[[#This Row],[On Time]]*fNotasFiscais[[#This Row],[In Full]]</f>
        <v>0</v>
      </c>
      <c r="AA641">
        <f>IF(fNotasFiscais[[#This Row],[Nota Fiscal]]&lt;&gt;"",1,0)</f>
        <v>1</v>
      </c>
    </row>
    <row r="642" spans="1:27" x14ac:dyDescent="0.25">
      <c r="A642" s="1">
        <v>43300</v>
      </c>
      <c r="B642">
        <v>11051</v>
      </c>
      <c r="C642" s="2" t="s">
        <v>22</v>
      </c>
      <c r="D642" s="2" t="s">
        <v>23</v>
      </c>
      <c r="E642" s="2" t="s">
        <v>24</v>
      </c>
      <c r="F642">
        <v>4083</v>
      </c>
      <c r="G642" s="2" t="s">
        <v>154</v>
      </c>
      <c r="H642" s="2" t="s">
        <v>141</v>
      </c>
      <c r="I642" s="2" t="s">
        <v>33</v>
      </c>
      <c r="J642" s="2" t="s">
        <v>60</v>
      </c>
      <c r="K642" s="2" t="s">
        <v>33</v>
      </c>
      <c r="L642">
        <v>3587.6</v>
      </c>
      <c r="M642">
        <v>2</v>
      </c>
      <c r="N642">
        <v>26.18</v>
      </c>
      <c r="O642">
        <v>6400835</v>
      </c>
      <c r="P642" s="2" t="s">
        <v>130</v>
      </c>
      <c r="Q642" s="2" t="s">
        <v>131</v>
      </c>
      <c r="R642" s="2" t="s">
        <v>30</v>
      </c>
      <c r="S642">
        <v>3</v>
      </c>
      <c r="T642" s="1">
        <v>43301</v>
      </c>
      <c r="U642" s="1">
        <v>43303</v>
      </c>
      <c r="V642" s="2"/>
      <c r="W642" s="1">
        <f>fNotasFiscais[[#This Row],[Data da Coleta]]+fNotasFiscais[[#This Row],[Prazo Contratado]]</f>
        <v>43304</v>
      </c>
      <c r="X642" s="3">
        <f>IF(fNotasFiscais[[#This Row],[Data da Entrega]]&gt;fNotasFiscais[[#This Row],[Data Contratada]],0,1)</f>
        <v>1</v>
      </c>
      <c r="Y642" s="3">
        <f>IF(fNotasFiscais[[#This Row],[Ocorrência]]="",1,0)</f>
        <v>1</v>
      </c>
      <c r="Z642" s="2">
        <f>fNotasFiscais[[#This Row],[On Time]]*fNotasFiscais[[#This Row],[In Full]]</f>
        <v>1</v>
      </c>
      <c r="AA642">
        <f>IF(fNotasFiscais[[#This Row],[Nota Fiscal]]&lt;&gt;"",1,0)</f>
        <v>1</v>
      </c>
    </row>
    <row r="643" spans="1:27" x14ac:dyDescent="0.25">
      <c r="A643" s="1">
        <v>43300</v>
      </c>
      <c r="B643">
        <v>11052</v>
      </c>
      <c r="C643" s="2" t="s">
        <v>52</v>
      </c>
      <c r="D643" s="2" t="s">
        <v>53</v>
      </c>
      <c r="E643" s="2" t="s">
        <v>33</v>
      </c>
      <c r="F643">
        <v>4083</v>
      </c>
      <c r="G643" s="2" t="s">
        <v>154</v>
      </c>
      <c r="H643" s="2" t="s">
        <v>141</v>
      </c>
      <c r="I643" s="2" t="s">
        <v>33</v>
      </c>
      <c r="J643" s="2" t="s">
        <v>60</v>
      </c>
      <c r="K643" s="2" t="s">
        <v>33</v>
      </c>
      <c r="L643">
        <v>698.59</v>
      </c>
      <c r="M643">
        <v>3</v>
      </c>
      <c r="N643">
        <v>3.528</v>
      </c>
      <c r="O643">
        <v>6400835</v>
      </c>
      <c r="P643" s="2" t="s">
        <v>130</v>
      </c>
      <c r="Q643" s="2" t="s">
        <v>131</v>
      </c>
      <c r="R643" s="2" t="s">
        <v>30</v>
      </c>
      <c r="S643">
        <v>2</v>
      </c>
      <c r="T643" s="1">
        <v>43301</v>
      </c>
      <c r="U643" s="1">
        <v>43304</v>
      </c>
      <c r="V643" s="2"/>
      <c r="W643" s="1">
        <f>fNotasFiscais[[#This Row],[Data da Coleta]]+fNotasFiscais[[#This Row],[Prazo Contratado]]</f>
        <v>43303</v>
      </c>
      <c r="X643" s="3">
        <f>IF(fNotasFiscais[[#This Row],[Data da Entrega]]&gt;fNotasFiscais[[#This Row],[Data Contratada]],0,1)</f>
        <v>0</v>
      </c>
      <c r="Y643" s="3">
        <f>IF(fNotasFiscais[[#This Row],[Ocorrência]]="",1,0)</f>
        <v>1</v>
      </c>
      <c r="Z643" s="2">
        <f>fNotasFiscais[[#This Row],[On Time]]*fNotasFiscais[[#This Row],[In Full]]</f>
        <v>0</v>
      </c>
      <c r="AA643">
        <f>IF(fNotasFiscais[[#This Row],[Nota Fiscal]]&lt;&gt;"",1,0)</f>
        <v>1</v>
      </c>
    </row>
    <row r="644" spans="1:27" x14ac:dyDescent="0.25">
      <c r="A644" s="1">
        <v>43300</v>
      </c>
      <c r="B644">
        <v>11053</v>
      </c>
      <c r="C644" s="2" t="s">
        <v>54</v>
      </c>
      <c r="D644" s="2" t="s">
        <v>55</v>
      </c>
      <c r="E644" s="2" t="s">
        <v>56</v>
      </c>
      <c r="F644">
        <v>4083</v>
      </c>
      <c r="G644" s="2" t="s">
        <v>154</v>
      </c>
      <c r="H644" s="2" t="s">
        <v>141</v>
      </c>
      <c r="I644" s="2" t="s">
        <v>33</v>
      </c>
      <c r="J644" s="2" t="s">
        <v>60</v>
      </c>
      <c r="K644" s="2" t="s">
        <v>33</v>
      </c>
      <c r="L644">
        <v>329.09</v>
      </c>
      <c r="M644">
        <v>1</v>
      </c>
      <c r="N644">
        <v>0.68200000000000005</v>
      </c>
      <c r="O644">
        <v>6400835</v>
      </c>
      <c r="P644" s="2" t="s">
        <v>130</v>
      </c>
      <c r="Q644" s="2" t="s">
        <v>131</v>
      </c>
      <c r="R644" s="2" t="s">
        <v>30</v>
      </c>
      <c r="S644">
        <v>8</v>
      </c>
      <c r="T644" s="1">
        <v>43301</v>
      </c>
      <c r="U644" s="1">
        <v>43305</v>
      </c>
      <c r="V644" s="2"/>
      <c r="W644" s="1">
        <f>fNotasFiscais[[#This Row],[Data da Coleta]]+fNotasFiscais[[#This Row],[Prazo Contratado]]</f>
        <v>43309</v>
      </c>
      <c r="X644" s="3">
        <f>IF(fNotasFiscais[[#This Row],[Data da Entrega]]&gt;fNotasFiscais[[#This Row],[Data Contratada]],0,1)</f>
        <v>1</v>
      </c>
      <c r="Y644" s="3">
        <f>IF(fNotasFiscais[[#This Row],[Ocorrência]]="",1,0)</f>
        <v>1</v>
      </c>
      <c r="Z644" s="2">
        <f>fNotasFiscais[[#This Row],[On Time]]*fNotasFiscais[[#This Row],[In Full]]</f>
        <v>1</v>
      </c>
      <c r="AA644">
        <f>IF(fNotasFiscais[[#This Row],[Nota Fiscal]]&lt;&gt;"",1,0)</f>
        <v>1</v>
      </c>
    </row>
    <row r="645" spans="1:27" x14ac:dyDescent="0.25">
      <c r="A645" s="1">
        <v>43301</v>
      </c>
      <c r="B645">
        <v>11054</v>
      </c>
      <c r="C645" s="2" t="s">
        <v>43</v>
      </c>
      <c r="D645" s="2" t="s">
        <v>44</v>
      </c>
      <c r="E645" s="2" t="s">
        <v>45</v>
      </c>
      <c r="F645">
        <v>4049</v>
      </c>
      <c r="G645" s="2" t="s">
        <v>118</v>
      </c>
      <c r="H645" s="2" t="s">
        <v>97</v>
      </c>
      <c r="I645" s="2" t="s">
        <v>48</v>
      </c>
      <c r="J645" s="2" t="s">
        <v>49</v>
      </c>
      <c r="K645" s="2" t="s">
        <v>48</v>
      </c>
      <c r="L645">
        <v>319.25</v>
      </c>
      <c r="M645">
        <v>1</v>
      </c>
      <c r="N645">
        <v>13.42</v>
      </c>
      <c r="O645">
        <v>6100231</v>
      </c>
      <c r="P645" s="2" t="s">
        <v>50</v>
      </c>
      <c r="Q645" s="2" t="s">
        <v>51</v>
      </c>
      <c r="R645" s="2" t="s">
        <v>30</v>
      </c>
      <c r="S645">
        <v>11</v>
      </c>
      <c r="T645" s="1">
        <v>43302</v>
      </c>
      <c r="U645" s="1">
        <v>43311</v>
      </c>
      <c r="V645" s="2"/>
      <c r="W645" s="1">
        <f>fNotasFiscais[[#This Row],[Data da Coleta]]+fNotasFiscais[[#This Row],[Prazo Contratado]]</f>
        <v>43313</v>
      </c>
      <c r="X645" s="3">
        <f>IF(fNotasFiscais[[#This Row],[Data da Entrega]]&gt;fNotasFiscais[[#This Row],[Data Contratada]],0,1)</f>
        <v>1</v>
      </c>
      <c r="Y645" s="3">
        <f>IF(fNotasFiscais[[#This Row],[Ocorrência]]="",1,0)</f>
        <v>1</v>
      </c>
      <c r="Z645" s="2">
        <f>fNotasFiscais[[#This Row],[On Time]]*fNotasFiscais[[#This Row],[In Full]]</f>
        <v>1</v>
      </c>
      <c r="AA645">
        <f>IF(fNotasFiscais[[#This Row],[Nota Fiscal]]&lt;&gt;"",1,0)</f>
        <v>1</v>
      </c>
    </row>
    <row r="646" spans="1:27" x14ac:dyDescent="0.25">
      <c r="A646" s="1">
        <v>43301</v>
      </c>
      <c r="B646">
        <v>11055</v>
      </c>
      <c r="C646" s="2" t="s">
        <v>31</v>
      </c>
      <c r="D646" s="2" t="s">
        <v>32</v>
      </c>
      <c r="E646" s="2" t="s">
        <v>33</v>
      </c>
      <c r="F646">
        <v>4049</v>
      </c>
      <c r="G646" s="2" t="s">
        <v>118</v>
      </c>
      <c r="H646" s="2" t="s">
        <v>97</v>
      </c>
      <c r="I646" s="2" t="s">
        <v>48</v>
      </c>
      <c r="J646" s="2" t="s">
        <v>49</v>
      </c>
      <c r="K646" s="2" t="s">
        <v>48</v>
      </c>
      <c r="L646">
        <v>1718.52</v>
      </c>
      <c r="M646">
        <v>5</v>
      </c>
      <c r="N646">
        <v>8.1289999999999996</v>
      </c>
      <c r="O646">
        <v>6100231</v>
      </c>
      <c r="P646" s="2" t="s">
        <v>50</v>
      </c>
      <c r="Q646" s="2" t="s">
        <v>51</v>
      </c>
      <c r="R646" s="2" t="s">
        <v>30</v>
      </c>
      <c r="S646">
        <v>10</v>
      </c>
      <c r="T646" s="1">
        <v>43302</v>
      </c>
      <c r="U646" s="1">
        <v>43303</v>
      </c>
      <c r="V646" s="2"/>
      <c r="W646" s="1">
        <f>fNotasFiscais[[#This Row],[Data da Coleta]]+fNotasFiscais[[#This Row],[Prazo Contratado]]</f>
        <v>43312</v>
      </c>
      <c r="X646" s="3">
        <f>IF(fNotasFiscais[[#This Row],[Data da Entrega]]&gt;fNotasFiscais[[#This Row],[Data Contratada]],0,1)</f>
        <v>1</v>
      </c>
      <c r="Y646" s="3">
        <f>IF(fNotasFiscais[[#This Row],[Ocorrência]]="",1,0)</f>
        <v>1</v>
      </c>
      <c r="Z646" s="2">
        <f>fNotasFiscais[[#This Row],[On Time]]*fNotasFiscais[[#This Row],[In Full]]</f>
        <v>1</v>
      </c>
      <c r="AA646">
        <f>IF(fNotasFiscais[[#This Row],[Nota Fiscal]]&lt;&gt;"",1,0)</f>
        <v>1</v>
      </c>
    </row>
    <row r="647" spans="1:27" x14ac:dyDescent="0.25">
      <c r="A647" s="1">
        <v>43301</v>
      </c>
      <c r="B647">
        <v>11056</v>
      </c>
      <c r="C647" s="2" t="s">
        <v>34</v>
      </c>
      <c r="D647" s="2" t="s">
        <v>35</v>
      </c>
      <c r="E647" s="2" t="s">
        <v>36</v>
      </c>
      <c r="F647">
        <v>4022</v>
      </c>
      <c r="G647" s="2" t="s">
        <v>86</v>
      </c>
      <c r="H647" s="2" t="s">
        <v>87</v>
      </c>
      <c r="I647" s="2" t="s">
        <v>27</v>
      </c>
      <c r="J647" s="2" t="s">
        <v>28</v>
      </c>
      <c r="K647" s="2" t="s">
        <v>27</v>
      </c>
      <c r="L647">
        <v>646.12</v>
      </c>
      <c r="M647">
        <v>1</v>
      </c>
      <c r="N647">
        <v>1.65</v>
      </c>
      <c r="O647">
        <v>6500948</v>
      </c>
      <c r="P647" s="2" t="s">
        <v>29</v>
      </c>
      <c r="Q647" s="2" t="s">
        <v>23</v>
      </c>
      <c r="R647" s="2" t="s">
        <v>30</v>
      </c>
      <c r="S647">
        <v>1</v>
      </c>
      <c r="T647" s="1">
        <v>43302</v>
      </c>
      <c r="U647" s="1">
        <v>43306</v>
      </c>
      <c r="V647" s="2"/>
      <c r="W647" s="1">
        <f>fNotasFiscais[[#This Row],[Data da Coleta]]+fNotasFiscais[[#This Row],[Prazo Contratado]]</f>
        <v>43303</v>
      </c>
      <c r="X647" s="3">
        <f>IF(fNotasFiscais[[#This Row],[Data da Entrega]]&gt;fNotasFiscais[[#This Row],[Data Contratada]],0,1)</f>
        <v>0</v>
      </c>
      <c r="Y647" s="3">
        <f>IF(fNotasFiscais[[#This Row],[Ocorrência]]="",1,0)</f>
        <v>1</v>
      </c>
      <c r="Z647" s="2">
        <f>fNotasFiscais[[#This Row],[On Time]]*fNotasFiscais[[#This Row],[In Full]]</f>
        <v>0</v>
      </c>
      <c r="AA647">
        <f>IF(fNotasFiscais[[#This Row],[Nota Fiscal]]&lt;&gt;"",1,0)</f>
        <v>1</v>
      </c>
    </row>
    <row r="648" spans="1:27" x14ac:dyDescent="0.25">
      <c r="A648" s="1">
        <v>43301</v>
      </c>
      <c r="B648">
        <v>11057</v>
      </c>
      <c r="C648" s="2" t="s">
        <v>43</v>
      </c>
      <c r="D648" s="2" t="s">
        <v>44</v>
      </c>
      <c r="E648" s="2" t="s">
        <v>45</v>
      </c>
      <c r="F648">
        <v>4049</v>
      </c>
      <c r="G648" s="2" t="s">
        <v>118</v>
      </c>
      <c r="H648" s="2" t="s">
        <v>97</v>
      </c>
      <c r="I648" s="2" t="s">
        <v>48</v>
      </c>
      <c r="J648" s="2" t="s">
        <v>49</v>
      </c>
      <c r="K648" s="2" t="s">
        <v>48</v>
      </c>
      <c r="L648">
        <v>95.16</v>
      </c>
      <c r="M648">
        <v>4</v>
      </c>
      <c r="N648">
        <v>26.114999999999998</v>
      </c>
      <c r="O648">
        <v>6100231</v>
      </c>
      <c r="P648" s="2" t="s">
        <v>50</v>
      </c>
      <c r="Q648" s="2" t="s">
        <v>51</v>
      </c>
      <c r="R648" s="2" t="s">
        <v>30</v>
      </c>
      <c r="S648">
        <v>8</v>
      </c>
      <c r="T648" s="1">
        <v>43302</v>
      </c>
      <c r="U648" s="1">
        <v>43308</v>
      </c>
      <c r="V648" s="2"/>
      <c r="W648" s="1">
        <f>fNotasFiscais[[#This Row],[Data da Coleta]]+fNotasFiscais[[#This Row],[Prazo Contratado]]</f>
        <v>43310</v>
      </c>
      <c r="X648" s="3">
        <f>IF(fNotasFiscais[[#This Row],[Data da Entrega]]&gt;fNotasFiscais[[#This Row],[Data Contratada]],0,1)</f>
        <v>1</v>
      </c>
      <c r="Y648" s="3">
        <f>IF(fNotasFiscais[[#This Row],[Ocorrência]]="",1,0)</f>
        <v>1</v>
      </c>
      <c r="Z648" s="2">
        <f>fNotasFiscais[[#This Row],[On Time]]*fNotasFiscais[[#This Row],[In Full]]</f>
        <v>1</v>
      </c>
      <c r="AA648">
        <f>IF(fNotasFiscais[[#This Row],[Nota Fiscal]]&lt;&gt;"",1,0)</f>
        <v>1</v>
      </c>
    </row>
    <row r="649" spans="1:27" x14ac:dyDescent="0.25">
      <c r="A649" s="1">
        <v>43301</v>
      </c>
      <c r="B649">
        <v>11058</v>
      </c>
      <c r="C649" s="2" t="s">
        <v>31</v>
      </c>
      <c r="D649" s="2" t="s">
        <v>32</v>
      </c>
      <c r="E649" s="2" t="s">
        <v>33</v>
      </c>
      <c r="F649">
        <v>4030</v>
      </c>
      <c r="G649" s="2" t="s">
        <v>102</v>
      </c>
      <c r="H649" s="2" t="s">
        <v>35</v>
      </c>
      <c r="I649" s="2" t="s">
        <v>36</v>
      </c>
      <c r="J649" s="2" t="s">
        <v>60</v>
      </c>
      <c r="K649" s="2" t="s">
        <v>36</v>
      </c>
      <c r="L649">
        <v>7227.51</v>
      </c>
      <c r="M649">
        <v>1</v>
      </c>
      <c r="N649">
        <v>1.1200000000000001</v>
      </c>
      <c r="O649">
        <v>6600879</v>
      </c>
      <c r="P649" s="2" t="s">
        <v>61</v>
      </c>
      <c r="Q649" s="2" t="s">
        <v>35</v>
      </c>
      <c r="R649" s="2" t="s">
        <v>30</v>
      </c>
      <c r="S649">
        <v>12</v>
      </c>
      <c r="T649" s="1">
        <v>43302</v>
      </c>
      <c r="U649" s="1">
        <v>43311</v>
      </c>
      <c r="V649" s="2"/>
      <c r="W649" s="1">
        <f>fNotasFiscais[[#This Row],[Data da Coleta]]+fNotasFiscais[[#This Row],[Prazo Contratado]]</f>
        <v>43314</v>
      </c>
      <c r="X649" s="3">
        <f>IF(fNotasFiscais[[#This Row],[Data da Entrega]]&gt;fNotasFiscais[[#This Row],[Data Contratada]],0,1)</f>
        <v>1</v>
      </c>
      <c r="Y649" s="3">
        <f>IF(fNotasFiscais[[#This Row],[Ocorrência]]="",1,0)</f>
        <v>1</v>
      </c>
      <c r="Z649" s="2">
        <f>fNotasFiscais[[#This Row],[On Time]]*fNotasFiscais[[#This Row],[In Full]]</f>
        <v>1</v>
      </c>
      <c r="AA649">
        <f>IF(fNotasFiscais[[#This Row],[Nota Fiscal]]&lt;&gt;"",1,0)</f>
        <v>1</v>
      </c>
    </row>
    <row r="650" spans="1:27" x14ac:dyDescent="0.25">
      <c r="A650" s="1">
        <v>43301</v>
      </c>
      <c r="B650">
        <v>11059</v>
      </c>
      <c r="C650" s="2" t="s">
        <v>31</v>
      </c>
      <c r="D650" s="2" t="s">
        <v>32</v>
      </c>
      <c r="E650" s="2" t="s">
        <v>33</v>
      </c>
      <c r="F650">
        <v>4049</v>
      </c>
      <c r="G650" s="2" t="s">
        <v>118</v>
      </c>
      <c r="H650" s="2" t="s">
        <v>97</v>
      </c>
      <c r="I650" s="2" t="s">
        <v>48</v>
      </c>
      <c r="J650" s="2" t="s">
        <v>49</v>
      </c>
      <c r="K650" s="2" t="s">
        <v>48</v>
      </c>
      <c r="L650">
        <v>1744.28</v>
      </c>
      <c r="M650">
        <v>1</v>
      </c>
      <c r="N650">
        <v>14.3</v>
      </c>
      <c r="O650">
        <v>6100231</v>
      </c>
      <c r="P650" s="2" t="s">
        <v>50</v>
      </c>
      <c r="Q650" s="2" t="s">
        <v>51</v>
      </c>
      <c r="R650" s="2" t="s">
        <v>30</v>
      </c>
      <c r="S650">
        <v>2</v>
      </c>
      <c r="T650" s="1">
        <v>43302</v>
      </c>
      <c r="U650" s="1">
        <v>43303</v>
      </c>
      <c r="V650" s="2"/>
      <c r="W650" s="1">
        <f>fNotasFiscais[[#This Row],[Data da Coleta]]+fNotasFiscais[[#This Row],[Prazo Contratado]]</f>
        <v>43304</v>
      </c>
      <c r="X650" s="3">
        <f>IF(fNotasFiscais[[#This Row],[Data da Entrega]]&gt;fNotasFiscais[[#This Row],[Data Contratada]],0,1)</f>
        <v>1</v>
      </c>
      <c r="Y650" s="3">
        <f>IF(fNotasFiscais[[#This Row],[Ocorrência]]="",1,0)</f>
        <v>1</v>
      </c>
      <c r="Z650" s="2">
        <f>fNotasFiscais[[#This Row],[On Time]]*fNotasFiscais[[#This Row],[In Full]]</f>
        <v>1</v>
      </c>
      <c r="AA650">
        <f>IF(fNotasFiscais[[#This Row],[Nota Fiscal]]&lt;&gt;"",1,0)</f>
        <v>1</v>
      </c>
    </row>
    <row r="651" spans="1:27" x14ac:dyDescent="0.25">
      <c r="A651" s="1">
        <v>43301</v>
      </c>
      <c r="B651">
        <v>11060</v>
      </c>
      <c r="C651" s="2" t="s">
        <v>40</v>
      </c>
      <c r="D651" s="2" t="s">
        <v>41</v>
      </c>
      <c r="E651" s="2" t="s">
        <v>33</v>
      </c>
      <c r="F651">
        <v>4030</v>
      </c>
      <c r="G651" s="2" t="s">
        <v>102</v>
      </c>
      <c r="H651" s="2" t="s">
        <v>35</v>
      </c>
      <c r="I651" s="2" t="s">
        <v>36</v>
      </c>
      <c r="J651" s="2" t="s">
        <v>60</v>
      </c>
      <c r="K651" s="2" t="s">
        <v>36</v>
      </c>
      <c r="L651">
        <v>409.57</v>
      </c>
      <c r="M651">
        <v>1</v>
      </c>
      <c r="N651">
        <v>4.4409999999999998</v>
      </c>
      <c r="O651">
        <v>6600879</v>
      </c>
      <c r="P651" s="2" t="s">
        <v>61</v>
      </c>
      <c r="Q651" s="2" t="s">
        <v>35</v>
      </c>
      <c r="R651" s="2" t="s">
        <v>30</v>
      </c>
      <c r="S651">
        <v>8</v>
      </c>
      <c r="T651" s="1">
        <v>43302</v>
      </c>
      <c r="U651" s="1">
        <v>43303</v>
      </c>
      <c r="V651" s="2"/>
      <c r="W651" s="1">
        <f>fNotasFiscais[[#This Row],[Data da Coleta]]+fNotasFiscais[[#This Row],[Prazo Contratado]]</f>
        <v>43310</v>
      </c>
      <c r="X651" s="3">
        <f>IF(fNotasFiscais[[#This Row],[Data da Entrega]]&gt;fNotasFiscais[[#This Row],[Data Contratada]],0,1)</f>
        <v>1</v>
      </c>
      <c r="Y651" s="3">
        <f>IF(fNotasFiscais[[#This Row],[Ocorrência]]="",1,0)</f>
        <v>1</v>
      </c>
      <c r="Z651" s="2">
        <f>fNotasFiscais[[#This Row],[On Time]]*fNotasFiscais[[#This Row],[In Full]]</f>
        <v>1</v>
      </c>
      <c r="AA651">
        <f>IF(fNotasFiscais[[#This Row],[Nota Fiscal]]&lt;&gt;"",1,0)</f>
        <v>1</v>
      </c>
    </row>
    <row r="652" spans="1:27" x14ac:dyDescent="0.25">
      <c r="A652" s="1">
        <v>43301</v>
      </c>
      <c r="B652">
        <v>11061</v>
      </c>
      <c r="C652" s="2" t="s">
        <v>22</v>
      </c>
      <c r="D652" s="2" t="s">
        <v>23</v>
      </c>
      <c r="E652" s="2" t="s">
        <v>24</v>
      </c>
      <c r="F652">
        <v>4049</v>
      </c>
      <c r="G652" s="2" t="s">
        <v>118</v>
      </c>
      <c r="H652" s="2" t="s">
        <v>97</v>
      </c>
      <c r="I652" s="2" t="s">
        <v>48</v>
      </c>
      <c r="J652" s="2" t="s">
        <v>49</v>
      </c>
      <c r="K652" s="2" t="s">
        <v>48</v>
      </c>
      <c r="L652">
        <v>1134.6099999999999</v>
      </c>
      <c r="M652">
        <v>1</v>
      </c>
      <c r="N652">
        <v>3.347</v>
      </c>
      <c r="O652">
        <v>6100231</v>
      </c>
      <c r="P652" s="2" t="s">
        <v>50</v>
      </c>
      <c r="Q652" s="2" t="s">
        <v>51</v>
      </c>
      <c r="R652" s="2" t="s">
        <v>30</v>
      </c>
      <c r="S652">
        <v>5</v>
      </c>
      <c r="T652" s="1">
        <v>43302</v>
      </c>
      <c r="U652" s="1">
        <v>43306</v>
      </c>
      <c r="V652" s="2" t="s">
        <v>57</v>
      </c>
      <c r="W652" s="1">
        <f>fNotasFiscais[[#This Row],[Data da Coleta]]+fNotasFiscais[[#This Row],[Prazo Contratado]]</f>
        <v>43307</v>
      </c>
      <c r="X652" s="3">
        <f>IF(fNotasFiscais[[#This Row],[Data da Entrega]]&gt;fNotasFiscais[[#This Row],[Data Contratada]],0,1)</f>
        <v>1</v>
      </c>
      <c r="Y652" s="3">
        <f>IF(fNotasFiscais[[#This Row],[Ocorrência]]="",1,0)</f>
        <v>0</v>
      </c>
      <c r="Z652" s="2">
        <f>fNotasFiscais[[#This Row],[On Time]]*fNotasFiscais[[#This Row],[In Full]]</f>
        <v>0</v>
      </c>
      <c r="AA652">
        <f>IF(fNotasFiscais[[#This Row],[Nota Fiscal]]&lt;&gt;"",1,0)</f>
        <v>1</v>
      </c>
    </row>
    <row r="653" spans="1:27" x14ac:dyDescent="0.25">
      <c r="A653" s="1">
        <v>43301</v>
      </c>
      <c r="B653">
        <v>11062</v>
      </c>
      <c r="C653" s="2" t="s">
        <v>54</v>
      </c>
      <c r="D653" s="2" t="s">
        <v>55</v>
      </c>
      <c r="E653" s="2" t="s">
        <v>56</v>
      </c>
      <c r="F653">
        <v>4049</v>
      </c>
      <c r="G653" s="2" t="s">
        <v>118</v>
      </c>
      <c r="H653" s="2" t="s">
        <v>97</v>
      </c>
      <c r="I653" s="2" t="s">
        <v>48</v>
      </c>
      <c r="J653" s="2" t="s">
        <v>49</v>
      </c>
      <c r="K653" s="2" t="s">
        <v>48</v>
      </c>
      <c r="L653">
        <v>2620.39</v>
      </c>
      <c r="M653">
        <v>3</v>
      </c>
      <c r="N653">
        <v>8.0510000000000002</v>
      </c>
      <c r="O653">
        <v>6100231</v>
      </c>
      <c r="P653" s="2" t="s">
        <v>50</v>
      </c>
      <c r="Q653" s="2" t="s">
        <v>51</v>
      </c>
      <c r="R653" s="2" t="s">
        <v>30</v>
      </c>
      <c r="S653">
        <v>4</v>
      </c>
      <c r="T653" s="1">
        <v>43302</v>
      </c>
      <c r="U653" s="1">
        <v>43309</v>
      </c>
      <c r="V653" s="2"/>
      <c r="W653" s="1">
        <f>fNotasFiscais[[#This Row],[Data da Coleta]]+fNotasFiscais[[#This Row],[Prazo Contratado]]</f>
        <v>43306</v>
      </c>
      <c r="X653" s="3">
        <f>IF(fNotasFiscais[[#This Row],[Data da Entrega]]&gt;fNotasFiscais[[#This Row],[Data Contratada]],0,1)</f>
        <v>0</v>
      </c>
      <c r="Y653" s="3">
        <f>IF(fNotasFiscais[[#This Row],[Ocorrência]]="",1,0)</f>
        <v>1</v>
      </c>
      <c r="Z653" s="2">
        <f>fNotasFiscais[[#This Row],[On Time]]*fNotasFiscais[[#This Row],[In Full]]</f>
        <v>0</v>
      </c>
      <c r="AA653">
        <f>IF(fNotasFiscais[[#This Row],[Nota Fiscal]]&lt;&gt;"",1,0)</f>
        <v>1</v>
      </c>
    </row>
    <row r="654" spans="1:27" x14ac:dyDescent="0.25">
      <c r="A654" s="1">
        <v>43301</v>
      </c>
      <c r="B654">
        <v>11063</v>
      </c>
      <c r="C654" s="2" t="s">
        <v>52</v>
      </c>
      <c r="D654" s="2" t="s">
        <v>53</v>
      </c>
      <c r="E654" s="2" t="s">
        <v>33</v>
      </c>
      <c r="F654">
        <v>4049</v>
      </c>
      <c r="G654" s="2" t="s">
        <v>118</v>
      </c>
      <c r="H654" s="2" t="s">
        <v>97</v>
      </c>
      <c r="I654" s="2" t="s">
        <v>48</v>
      </c>
      <c r="J654" s="2" t="s">
        <v>49</v>
      </c>
      <c r="K654" s="2" t="s">
        <v>48</v>
      </c>
      <c r="L654">
        <v>380.2</v>
      </c>
      <c r="M654">
        <v>1</v>
      </c>
      <c r="N654">
        <v>2.419</v>
      </c>
      <c r="O654">
        <v>6100231</v>
      </c>
      <c r="P654" s="2" t="s">
        <v>50</v>
      </c>
      <c r="Q654" s="2" t="s">
        <v>51</v>
      </c>
      <c r="R654" s="2" t="s">
        <v>30</v>
      </c>
      <c r="S654">
        <v>11</v>
      </c>
      <c r="T654" s="1">
        <v>43302</v>
      </c>
      <c r="U654" s="1">
        <v>43304</v>
      </c>
      <c r="V654" s="2"/>
      <c r="W654" s="1">
        <f>fNotasFiscais[[#This Row],[Data da Coleta]]+fNotasFiscais[[#This Row],[Prazo Contratado]]</f>
        <v>43313</v>
      </c>
      <c r="X654" s="3">
        <f>IF(fNotasFiscais[[#This Row],[Data da Entrega]]&gt;fNotasFiscais[[#This Row],[Data Contratada]],0,1)</f>
        <v>1</v>
      </c>
      <c r="Y654" s="3">
        <f>IF(fNotasFiscais[[#This Row],[Ocorrência]]="",1,0)</f>
        <v>1</v>
      </c>
      <c r="Z654" s="2">
        <f>fNotasFiscais[[#This Row],[On Time]]*fNotasFiscais[[#This Row],[In Full]]</f>
        <v>1</v>
      </c>
      <c r="AA654">
        <f>IF(fNotasFiscais[[#This Row],[Nota Fiscal]]&lt;&gt;"",1,0)</f>
        <v>1</v>
      </c>
    </row>
    <row r="655" spans="1:27" x14ac:dyDescent="0.25">
      <c r="A655" s="1">
        <v>43301</v>
      </c>
      <c r="B655">
        <v>11064</v>
      </c>
      <c r="C655" s="2" t="s">
        <v>34</v>
      </c>
      <c r="D655" s="2" t="s">
        <v>35</v>
      </c>
      <c r="E655" s="2" t="s">
        <v>36</v>
      </c>
      <c r="F655">
        <v>4049</v>
      </c>
      <c r="G655" s="2" t="s">
        <v>118</v>
      </c>
      <c r="H655" s="2" t="s">
        <v>97</v>
      </c>
      <c r="I655" s="2" t="s">
        <v>48</v>
      </c>
      <c r="J655" s="2" t="s">
        <v>49</v>
      </c>
      <c r="K655" s="2" t="s">
        <v>48</v>
      </c>
      <c r="L655">
        <v>137.66</v>
      </c>
      <c r="M655">
        <v>1</v>
      </c>
      <c r="N655">
        <v>1.65</v>
      </c>
      <c r="O655">
        <v>6100231</v>
      </c>
      <c r="P655" s="2" t="s">
        <v>50</v>
      </c>
      <c r="Q655" s="2" t="s">
        <v>51</v>
      </c>
      <c r="R655" s="2" t="s">
        <v>30</v>
      </c>
      <c r="S655">
        <v>6</v>
      </c>
      <c r="T655" s="1">
        <v>43302</v>
      </c>
      <c r="U655" s="1">
        <v>43311</v>
      </c>
      <c r="V655" s="2"/>
      <c r="W655" s="1">
        <f>fNotasFiscais[[#This Row],[Data da Coleta]]+fNotasFiscais[[#This Row],[Prazo Contratado]]</f>
        <v>43308</v>
      </c>
      <c r="X655" s="3">
        <f>IF(fNotasFiscais[[#This Row],[Data da Entrega]]&gt;fNotasFiscais[[#This Row],[Data Contratada]],0,1)</f>
        <v>0</v>
      </c>
      <c r="Y655" s="3">
        <f>IF(fNotasFiscais[[#This Row],[Ocorrência]]="",1,0)</f>
        <v>1</v>
      </c>
      <c r="Z655" s="2">
        <f>fNotasFiscais[[#This Row],[On Time]]*fNotasFiscais[[#This Row],[In Full]]</f>
        <v>0</v>
      </c>
      <c r="AA655">
        <f>IF(fNotasFiscais[[#This Row],[Nota Fiscal]]&lt;&gt;"",1,0)</f>
        <v>1</v>
      </c>
    </row>
    <row r="656" spans="1:27" x14ac:dyDescent="0.25">
      <c r="A656" s="1">
        <v>43301</v>
      </c>
      <c r="B656">
        <v>11065</v>
      </c>
      <c r="C656" s="2" t="s">
        <v>31</v>
      </c>
      <c r="D656" s="2" t="s">
        <v>32</v>
      </c>
      <c r="E656" s="2" t="s">
        <v>33</v>
      </c>
      <c r="F656">
        <v>4049</v>
      </c>
      <c r="G656" s="2" t="s">
        <v>118</v>
      </c>
      <c r="H656" s="2" t="s">
        <v>97</v>
      </c>
      <c r="I656" s="2" t="s">
        <v>48</v>
      </c>
      <c r="J656" s="2" t="s">
        <v>49</v>
      </c>
      <c r="K656" s="2" t="s">
        <v>48</v>
      </c>
      <c r="L656">
        <v>1184.42</v>
      </c>
      <c r="M656">
        <v>1</v>
      </c>
      <c r="N656">
        <v>14.907</v>
      </c>
      <c r="O656">
        <v>6100231</v>
      </c>
      <c r="P656" s="2" t="s">
        <v>50</v>
      </c>
      <c r="Q656" s="2" t="s">
        <v>51</v>
      </c>
      <c r="R656" s="2" t="s">
        <v>30</v>
      </c>
      <c r="S656">
        <v>12</v>
      </c>
      <c r="T656" s="1">
        <v>43302</v>
      </c>
      <c r="U656" s="1">
        <v>43311</v>
      </c>
      <c r="V656" s="2"/>
      <c r="W656" s="1">
        <f>fNotasFiscais[[#This Row],[Data da Coleta]]+fNotasFiscais[[#This Row],[Prazo Contratado]]</f>
        <v>43314</v>
      </c>
      <c r="X656" s="3">
        <f>IF(fNotasFiscais[[#This Row],[Data da Entrega]]&gt;fNotasFiscais[[#This Row],[Data Contratada]],0,1)</f>
        <v>1</v>
      </c>
      <c r="Y656" s="3">
        <f>IF(fNotasFiscais[[#This Row],[Ocorrência]]="",1,0)</f>
        <v>1</v>
      </c>
      <c r="Z656" s="2">
        <f>fNotasFiscais[[#This Row],[On Time]]*fNotasFiscais[[#This Row],[In Full]]</f>
        <v>1</v>
      </c>
      <c r="AA656">
        <f>IF(fNotasFiscais[[#This Row],[Nota Fiscal]]&lt;&gt;"",1,0)</f>
        <v>1</v>
      </c>
    </row>
    <row r="657" spans="1:27" x14ac:dyDescent="0.25">
      <c r="A657" s="1">
        <v>43301</v>
      </c>
      <c r="B657">
        <v>11066</v>
      </c>
      <c r="C657" s="2" t="s">
        <v>52</v>
      </c>
      <c r="D657" s="2" t="s">
        <v>53</v>
      </c>
      <c r="E657" s="2" t="s">
        <v>33</v>
      </c>
      <c r="F657">
        <v>4049</v>
      </c>
      <c r="G657" s="2" t="s">
        <v>118</v>
      </c>
      <c r="H657" s="2" t="s">
        <v>97</v>
      </c>
      <c r="I657" s="2" t="s">
        <v>48</v>
      </c>
      <c r="J657" s="2" t="s">
        <v>49</v>
      </c>
      <c r="K657" s="2" t="s">
        <v>48</v>
      </c>
      <c r="L657">
        <v>636.20000000000005</v>
      </c>
      <c r="M657">
        <v>1</v>
      </c>
      <c r="N657">
        <v>1.65</v>
      </c>
      <c r="O657">
        <v>6100231</v>
      </c>
      <c r="P657" s="2" t="s">
        <v>50</v>
      </c>
      <c r="Q657" s="2" t="s">
        <v>51</v>
      </c>
      <c r="R657" s="2" t="s">
        <v>30</v>
      </c>
      <c r="S657">
        <v>8</v>
      </c>
      <c r="T657" s="1">
        <v>43302</v>
      </c>
      <c r="U657" s="1">
        <v>43306</v>
      </c>
      <c r="V657" s="2" t="s">
        <v>57</v>
      </c>
      <c r="W657" s="1">
        <f>fNotasFiscais[[#This Row],[Data da Coleta]]+fNotasFiscais[[#This Row],[Prazo Contratado]]</f>
        <v>43310</v>
      </c>
      <c r="X657" s="3">
        <f>IF(fNotasFiscais[[#This Row],[Data da Entrega]]&gt;fNotasFiscais[[#This Row],[Data Contratada]],0,1)</f>
        <v>1</v>
      </c>
      <c r="Y657" s="3">
        <f>IF(fNotasFiscais[[#This Row],[Ocorrência]]="",1,0)</f>
        <v>0</v>
      </c>
      <c r="Z657" s="2">
        <f>fNotasFiscais[[#This Row],[On Time]]*fNotasFiscais[[#This Row],[In Full]]</f>
        <v>0</v>
      </c>
      <c r="AA657">
        <f>IF(fNotasFiscais[[#This Row],[Nota Fiscal]]&lt;&gt;"",1,0)</f>
        <v>1</v>
      </c>
    </row>
    <row r="658" spans="1:27" x14ac:dyDescent="0.25">
      <c r="A658" s="1">
        <v>43305</v>
      </c>
      <c r="B658">
        <v>11067</v>
      </c>
      <c r="C658" s="2" t="s">
        <v>31</v>
      </c>
      <c r="D658" s="2" t="s">
        <v>32</v>
      </c>
      <c r="E658" s="2" t="s">
        <v>33</v>
      </c>
      <c r="F658">
        <v>4113</v>
      </c>
      <c r="G658" s="2" t="s">
        <v>196</v>
      </c>
      <c r="H658" s="2" t="s">
        <v>44</v>
      </c>
      <c r="I658" s="2" t="s">
        <v>45</v>
      </c>
      <c r="J658" s="2" t="s">
        <v>60</v>
      </c>
      <c r="K658" s="2" t="s">
        <v>45</v>
      </c>
      <c r="L658">
        <v>306.94</v>
      </c>
      <c r="M658">
        <v>1</v>
      </c>
      <c r="N658">
        <v>0.98599999999999999</v>
      </c>
      <c r="O658">
        <v>6140092</v>
      </c>
      <c r="P658" s="2" t="s">
        <v>137</v>
      </c>
      <c r="Q658" s="2" t="s">
        <v>138</v>
      </c>
      <c r="R658" s="2" t="s">
        <v>30</v>
      </c>
      <c r="S658">
        <v>5</v>
      </c>
      <c r="T658" s="1">
        <v>43306</v>
      </c>
      <c r="U658" s="1">
        <v>43307</v>
      </c>
      <c r="V658" s="2"/>
      <c r="W658" s="1">
        <f>fNotasFiscais[[#This Row],[Data da Coleta]]+fNotasFiscais[[#This Row],[Prazo Contratado]]</f>
        <v>43311</v>
      </c>
      <c r="X658" s="3">
        <f>IF(fNotasFiscais[[#This Row],[Data da Entrega]]&gt;fNotasFiscais[[#This Row],[Data Contratada]],0,1)</f>
        <v>1</v>
      </c>
      <c r="Y658" s="3">
        <f>IF(fNotasFiscais[[#This Row],[Ocorrência]]="",1,0)</f>
        <v>1</v>
      </c>
      <c r="Z658" s="2">
        <f>fNotasFiscais[[#This Row],[On Time]]*fNotasFiscais[[#This Row],[In Full]]</f>
        <v>1</v>
      </c>
      <c r="AA658">
        <f>IF(fNotasFiscais[[#This Row],[Nota Fiscal]]&lt;&gt;"",1,0)</f>
        <v>1</v>
      </c>
    </row>
    <row r="659" spans="1:27" x14ac:dyDescent="0.25">
      <c r="A659" s="1">
        <v>43306</v>
      </c>
      <c r="B659">
        <v>11068</v>
      </c>
      <c r="C659" s="2" t="s">
        <v>43</v>
      </c>
      <c r="D659" s="2" t="s">
        <v>44</v>
      </c>
      <c r="E659" s="2" t="s">
        <v>45</v>
      </c>
      <c r="F659">
        <v>4023</v>
      </c>
      <c r="G659" s="2" t="s">
        <v>88</v>
      </c>
      <c r="H659" s="2" t="s">
        <v>78</v>
      </c>
      <c r="I659" s="2" t="s">
        <v>39</v>
      </c>
      <c r="J659" s="2" t="s">
        <v>28</v>
      </c>
      <c r="K659" s="2" t="s">
        <v>39</v>
      </c>
      <c r="L659">
        <v>702.69</v>
      </c>
      <c r="M659">
        <v>2</v>
      </c>
      <c r="N659">
        <v>2.3380000000000001</v>
      </c>
      <c r="O659">
        <v>6500948</v>
      </c>
      <c r="P659" s="2" t="s">
        <v>29</v>
      </c>
      <c r="Q659" s="2" t="s">
        <v>23</v>
      </c>
      <c r="R659" s="2" t="s">
        <v>30</v>
      </c>
      <c r="S659">
        <v>12</v>
      </c>
      <c r="T659" s="1">
        <v>43307</v>
      </c>
      <c r="U659" s="1">
        <v>43313</v>
      </c>
      <c r="V659" s="2"/>
      <c r="W659" s="1">
        <f>fNotasFiscais[[#This Row],[Data da Coleta]]+fNotasFiscais[[#This Row],[Prazo Contratado]]</f>
        <v>43319</v>
      </c>
      <c r="X659" s="3">
        <f>IF(fNotasFiscais[[#This Row],[Data da Entrega]]&gt;fNotasFiscais[[#This Row],[Data Contratada]],0,1)</f>
        <v>1</v>
      </c>
      <c r="Y659" s="3">
        <f>IF(fNotasFiscais[[#This Row],[Ocorrência]]="",1,0)</f>
        <v>1</v>
      </c>
      <c r="Z659" s="2">
        <f>fNotasFiscais[[#This Row],[On Time]]*fNotasFiscais[[#This Row],[In Full]]</f>
        <v>1</v>
      </c>
      <c r="AA659">
        <f>IF(fNotasFiscais[[#This Row],[Nota Fiscal]]&lt;&gt;"",1,0)</f>
        <v>1</v>
      </c>
    </row>
    <row r="660" spans="1:27" x14ac:dyDescent="0.25">
      <c r="A660" s="1">
        <v>43307</v>
      </c>
      <c r="B660">
        <v>11069</v>
      </c>
      <c r="C660" s="2" t="s">
        <v>34</v>
      </c>
      <c r="D660" s="2" t="s">
        <v>35</v>
      </c>
      <c r="E660" s="2" t="s">
        <v>36</v>
      </c>
      <c r="F660">
        <v>4016</v>
      </c>
      <c r="G660" s="2" t="s">
        <v>68</v>
      </c>
      <c r="H660" s="2" t="s">
        <v>69</v>
      </c>
      <c r="I660" s="2" t="s">
        <v>36</v>
      </c>
      <c r="J660" s="2" t="s">
        <v>60</v>
      </c>
      <c r="K660" s="2" t="s">
        <v>36</v>
      </c>
      <c r="L660">
        <v>638.51</v>
      </c>
      <c r="M660">
        <v>2</v>
      </c>
      <c r="N660">
        <v>26.84</v>
      </c>
      <c r="O660">
        <v>6600879</v>
      </c>
      <c r="P660" s="2" t="s">
        <v>61</v>
      </c>
      <c r="Q660" s="2" t="s">
        <v>35</v>
      </c>
      <c r="R660" s="2" t="s">
        <v>30</v>
      </c>
      <c r="S660">
        <v>4</v>
      </c>
      <c r="T660" s="1">
        <v>43307</v>
      </c>
      <c r="U660" s="1">
        <v>43312</v>
      </c>
      <c r="V660" s="2" t="s">
        <v>57</v>
      </c>
      <c r="W660" s="1">
        <f>fNotasFiscais[[#This Row],[Data da Coleta]]+fNotasFiscais[[#This Row],[Prazo Contratado]]</f>
        <v>43311</v>
      </c>
      <c r="X660" s="3">
        <f>IF(fNotasFiscais[[#This Row],[Data da Entrega]]&gt;fNotasFiscais[[#This Row],[Data Contratada]],0,1)</f>
        <v>0</v>
      </c>
      <c r="Y660" s="3">
        <f>IF(fNotasFiscais[[#This Row],[Ocorrência]]="",1,0)</f>
        <v>0</v>
      </c>
      <c r="Z660" s="2">
        <f>fNotasFiscais[[#This Row],[On Time]]*fNotasFiscais[[#This Row],[In Full]]</f>
        <v>0</v>
      </c>
      <c r="AA660">
        <f>IF(fNotasFiscais[[#This Row],[Nota Fiscal]]&lt;&gt;"",1,0)</f>
        <v>1</v>
      </c>
    </row>
    <row r="661" spans="1:27" x14ac:dyDescent="0.25">
      <c r="A661" s="1">
        <v>43306</v>
      </c>
      <c r="B661">
        <v>11070</v>
      </c>
      <c r="C661" s="2" t="s">
        <v>22</v>
      </c>
      <c r="D661" s="2" t="s">
        <v>23</v>
      </c>
      <c r="E661" s="2" t="s">
        <v>24</v>
      </c>
      <c r="F661">
        <v>4016</v>
      </c>
      <c r="G661" s="2" t="s">
        <v>68</v>
      </c>
      <c r="H661" s="2" t="s">
        <v>69</v>
      </c>
      <c r="I661" s="2" t="s">
        <v>36</v>
      </c>
      <c r="J661" s="2" t="s">
        <v>60</v>
      </c>
      <c r="K661" s="2" t="s">
        <v>36</v>
      </c>
      <c r="L661">
        <v>1509.53</v>
      </c>
      <c r="M661">
        <v>1</v>
      </c>
      <c r="N661">
        <v>13.2</v>
      </c>
      <c r="O661">
        <v>6600879</v>
      </c>
      <c r="P661" s="2" t="s">
        <v>61</v>
      </c>
      <c r="Q661" s="2" t="s">
        <v>35</v>
      </c>
      <c r="R661" s="2" t="s">
        <v>30</v>
      </c>
      <c r="S661">
        <v>4</v>
      </c>
      <c r="T661" s="1">
        <v>43307</v>
      </c>
      <c r="U661" s="1">
        <v>43313</v>
      </c>
      <c r="V661" s="2"/>
      <c r="W661" s="1">
        <f>fNotasFiscais[[#This Row],[Data da Coleta]]+fNotasFiscais[[#This Row],[Prazo Contratado]]</f>
        <v>43311</v>
      </c>
      <c r="X661" s="3">
        <f>IF(fNotasFiscais[[#This Row],[Data da Entrega]]&gt;fNotasFiscais[[#This Row],[Data Contratada]],0,1)</f>
        <v>0</v>
      </c>
      <c r="Y661" s="3">
        <f>IF(fNotasFiscais[[#This Row],[Ocorrência]]="",1,0)</f>
        <v>1</v>
      </c>
      <c r="Z661" s="2">
        <f>fNotasFiscais[[#This Row],[On Time]]*fNotasFiscais[[#This Row],[In Full]]</f>
        <v>0</v>
      </c>
      <c r="AA661">
        <f>IF(fNotasFiscais[[#This Row],[Nota Fiscal]]&lt;&gt;"",1,0)</f>
        <v>1</v>
      </c>
    </row>
    <row r="662" spans="1:27" x14ac:dyDescent="0.25">
      <c r="A662" s="1">
        <v>43306</v>
      </c>
      <c r="B662">
        <v>11071</v>
      </c>
      <c r="C662" s="2" t="s">
        <v>54</v>
      </c>
      <c r="D662" s="2" t="s">
        <v>55</v>
      </c>
      <c r="E662" s="2" t="s">
        <v>56</v>
      </c>
      <c r="F662">
        <v>4016</v>
      </c>
      <c r="G662" s="2" t="s">
        <v>68</v>
      </c>
      <c r="H662" s="2" t="s">
        <v>69</v>
      </c>
      <c r="I662" s="2" t="s">
        <v>36</v>
      </c>
      <c r="J662" s="2" t="s">
        <v>60</v>
      </c>
      <c r="K662" s="2" t="s">
        <v>36</v>
      </c>
      <c r="L662">
        <v>1358.73</v>
      </c>
      <c r="M662">
        <v>1</v>
      </c>
      <c r="N662">
        <v>3.1749999999999998</v>
      </c>
      <c r="O662">
        <v>6600879</v>
      </c>
      <c r="P662" s="2" t="s">
        <v>61</v>
      </c>
      <c r="Q662" s="2" t="s">
        <v>35</v>
      </c>
      <c r="R662" s="2" t="s">
        <v>30</v>
      </c>
      <c r="S662">
        <v>10</v>
      </c>
      <c r="T662" s="1">
        <v>43307</v>
      </c>
      <c r="U662" s="1">
        <v>43308</v>
      </c>
      <c r="V662" s="2" t="s">
        <v>57</v>
      </c>
      <c r="W662" s="1">
        <f>fNotasFiscais[[#This Row],[Data da Coleta]]+fNotasFiscais[[#This Row],[Prazo Contratado]]</f>
        <v>43317</v>
      </c>
      <c r="X662" s="3">
        <f>IF(fNotasFiscais[[#This Row],[Data da Entrega]]&gt;fNotasFiscais[[#This Row],[Data Contratada]],0,1)</f>
        <v>1</v>
      </c>
      <c r="Y662" s="3">
        <f>IF(fNotasFiscais[[#This Row],[Ocorrência]]="",1,0)</f>
        <v>0</v>
      </c>
      <c r="Z662" s="2">
        <f>fNotasFiscais[[#This Row],[On Time]]*fNotasFiscais[[#This Row],[In Full]]</f>
        <v>0</v>
      </c>
      <c r="AA662">
        <f>IF(fNotasFiscais[[#This Row],[Nota Fiscal]]&lt;&gt;"",1,0)</f>
        <v>1</v>
      </c>
    </row>
    <row r="663" spans="1:27" x14ac:dyDescent="0.25">
      <c r="A663" s="1">
        <v>43308</v>
      </c>
      <c r="B663">
        <v>11072</v>
      </c>
      <c r="C663" s="2" t="s">
        <v>54</v>
      </c>
      <c r="D663" s="2" t="s">
        <v>55</v>
      </c>
      <c r="E663" s="2" t="s">
        <v>56</v>
      </c>
      <c r="F663">
        <v>4017</v>
      </c>
      <c r="G663" s="2" t="s">
        <v>74</v>
      </c>
      <c r="H663" s="2" t="s">
        <v>75</v>
      </c>
      <c r="I663" s="2" t="s">
        <v>39</v>
      </c>
      <c r="J663" s="2" t="s">
        <v>28</v>
      </c>
      <c r="K663" s="2" t="s">
        <v>39</v>
      </c>
      <c r="L663">
        <v>687.57</v>
      </c>
      <c r="M663">
        <v>1</v>
      </c>
      <c r="N663">
        <v>3.8719999999999999</v>
      </c>
      <c r="O663">
        <v>6500948</v>
      </c>
      <c r="P663" s="2" t="s">
        <v>29</v>
      </c>
      <c r="Q663" s="2" t="s">
        <v>23</v>
      </c>
      <c r="R663" s="2" t="s">
        <v>30</v>
      </c>
      <c r="S663">
        <v>9</v>
      </c>
      <c r="T663" s="1">
        <v>43309</v>
      </c>
      <c r="U663" s="1">
        <v>43317</v>
      </c>
      <c r="V663" s="2"/>
      <c r="W663" s="1">
        <f>fNotasFiscais[[#This Row],[Data da Coleta]]+fNotasFiscais[[#This Row],[Prazo Contratado]]</f>
        <v>43318</v>
      </c>
      <c r="X663" s="3">
        <f>IF(fNotasFiscais[[#This Row],[Data da Entrega]]&gt;fNotasFiscais[[#This Row],[Data Contratada]],0,1)</f>
        <v>1</v>
      </c>
      <c r="Y663" s="3">
        <f>IF(fNotasFiscais[[#This Row],[Ocorrência]]="",1,0)</f>
        <v>1</v>
      </c>
      <c r="Z663" s="2">
        <f>fNotasFiscais[[#This Row],[On Time]]*fNotasFiscais[[#This Row],[In Full]]</f>
        <v>1</v>
      </c>
      <c r="AA663">
        <f>IF(fNotasFiscais[[#This Row],[Nota Fiscal]]&lt;&gt;"",1,0)</f>
        <v>1</v>
      </c>
    </row>
    <row r="664" spans="1:27" x14ac:dyDescent="0.25">
      <c r="A664" s="1">
        <v>43308</v>
      </c>
      <c r="B664">
        <v>11073</v>
      </c>
      <c r="C664" s="2" t="s">
        <v>54</v>
      </c>
      <c r="D664" s="2" t="s">
        <v>55</v>
      </c>
      <c r="E664" s="2" t="s">
        <v>56</v>
      </c>
      <c r="F664">
        <v>4114</v>
      </c>
      <c r="G664" s="2" t="s">
        <v>197</v>
      </c>
      <c r="H664" s="2" t="s">
        <v>44</v>
      </c>
      <c r="I664" s="2" t="s">
        <v>45</v>
      </c>
      <c r="J664" s="2" t="s">
        <v>60</v>
      </c>
      <c r="K664" s="2" t="s">
        <v>45</v>
      </c>
      <c r="L664">
        <v>145.01</v>
      </c>
      <c r="M664">
        <v>1</v>
      </c>
      <c r="N664">
        <v>0.99</v>
      </c>
      <c r="O664">
        <v>6140092</v>
      </c>
      <c r="P664" s="2" t="s">
        <v>137</v>
      </c>
      <c r="Q664" s="2" t="s">
        <v>138</v>
      </c>
      <c r="R664" s="2" t="s">
        <v>30</v>
      </c>
      <c r="S664">
        <v>2</v>
      </c>
      <c r="T664" s="1">
        <v>43309</v>
      </c>
      <c r="U664" s="1">
        <v>43311</v>
      </c>
      <c r="V664" s="2"/>
      <c r="W664" s="1">
        <f>fNotasFiscais[[#This Row],[Data da Coleta]]+fNotasFiscais[[#This Row],[Prazo Contratado]]</f>
        <v>43311</v>
      </c>
      <c r="X664" s="3">
        <f>IF(fNotasFiscais[[#This Row],[Data da Entrega]]&gt;fNotasFiscais[[#This Row],[Data Contratada]],0,1)</f>
        <v>1</v>
      </c>
      <c r="Y664" s="3">
        <f>IF(fNotasFiscais[[#This Row],[Ocorrência]]="",1,0)</f>
        <v>1</v>
      </c>
      <c r="Z664" s="2">
        <f>fNotasFiscais[[#This Row],[On Time]]*fNotasFiscais[[#This Row],[In Full]]</f>
        <v>1</v>
      </c>
      <c r="AA664">
        <f>IF(fNotasFiscais[[#This Row],[Nota Fiscal]]&lt;&gt;"",1,0)</f>
        <v>1</v>
      </c>
    </row>
    <row r="665" spans="1:27" x14ac:dyDescent="0.25">
      <c r="A665" s="1">
        <v>43308</v>
      </c>
      <c r="B665">
        <v>11074</v>
      </c>
      <c r="C665" s="2" t="s">
        <v>40</v>
      </c>
      <c r="D665" s="2" t="s">
        <v>41</v>
      </c>
      <c r="E665" s="2" t="s">
        <v>33</v>
      </c>
      <c r="F665">
        <v>4115</v>
      </c>
      <c r="G665" s="2" t="s">
        <v>198</v>
      </c>
      <c r="H665" s="2" t="s">
        <v>44</v>
      </c>
      <c r="I665" s="2" t="s">
        <v>45</v>
      </c>
      <c r="J665" s="2" t="s">
        <v>60</v>
      </c>
      <c r="K665" s="2" t="s">
        <v>45</v>
      </c>
      <c r="L665">
        <v>409.49</v>
      </c>
      <c r="M665">
        <v>1</v>
      </c>
      <c r="N665">
        <v>1.163</v>
      </c>
      <c r="O665">
        <v>6140092</v>
      </c>
      <c r="P665" s="2" t="s">
        <v>137</v>
      </c>
      <c r="Q665" s="2" t="s">
        <v>138</v>
      </c>
      <c r="R665" s="2" t="s">
        <v>30</v>
      </c>
      <c r="S665">
        <v>7</v>
      </c>
      <c r="T665" s="1">
        <v>43309</v>
      </c>
      <c r="U665" s="1">
        <v>43316</v>
      </c>
      <c r="V665" s="2"/>
      <c r="W665" s="1">
        <f>fNotasFiscais[[#This Row],[Data da Coleta]]+fNotasFiscais[[#This Row],[Prazo Contratado]]</f>
        <v>43316</v>
      </c>
      <c r="X665" s="3">
        <f>IF(fNotasFiscais[[#This Row],[Data da Entrega]]&gt;fNotasFiscais[[#This Row],[Data Contratada]],0,1)</f>
        <v>1</v>
      </c>
      <c r="Y665" s="3">
        <f>IF(fNotasFiscais[[#This Row],[Ocorrência]]="",1,0)</f>
        <v>1</v>
      </c>
      <c r="Z665" s="2">
        <f>fNotasFiscais[[#This Row],[On Time]]*fNotasFiscais[[#This Row],[In Full]]</f>
        <v>1</v>
      </c>
      <c r="AA665">
        <f>IF(fNotasFiscais[[#This Row],[Nota Fiscal]]&lt;&gt;"",1,0)</f>
        <v>1</v>
      </c>
    </row>
    <row r="666" spans="1:27" x14ac:dyDescent="0.25">
      <c r="A666" s="1">
        <v>43308</v>
      </c>
      <c r="B666">
        <v>11075</v>
      </c>
      <c r="C666" s="2" t="s">
        <v>52</v>
      </c>
      <c r="D666" s="2" t="s">
        <v>53</v>
      </c>
      <c r="E666" s="2" t="s">
        <v>33</v>
      </c>
      <c r="F666">
        <v>4116</v>
      </c>
      <c r="G666" s="2" t="s">
        <v>199</v>
      </c>
      <c r="H666" s="2" t="s">
        <v>44</v>
      </c>
      <c r="I666" s="2" t="s">
        <v>45</v>
      </c>
      <c r="J666" s="2" t="s">
        <v>60</v>
      </c>
      <c r="K666" s="2" t="s">
        <v>45</v>
      </c>
      <c r="L666">
        <v>425.76</v>
      </c>
      <c r="M666">
        <v>1</v>
      </c>
      <c r="N666">
        <v>1.1200000000000001</v>
      </c>
      <c r="O666">
        <v>6140092</v>
      </c>
      <c r="P666" s="2" t="s">
        <v>137</v>
      </c>
      <c r="Q666" s="2" t="s">
        <v>138</v>
      </c>
      <c r="R666" s="2" t="s">
        <v>30</v>
      </c>
      <c r="S666">
        <v>8</v>
      </c>
      <c r="T666" s="1">
        <v>43309</v>
      </c>
      <c r="U666" s="1">
        <v>43319</v>
      </c>
      <c r="V666" s="2"/>
      <c r="W666" s="1">
        <f>fNotasFiscais[[#This Row],[Data da Coleta]]+fNotasFiscais[[#This Row],[Prazo Contratado]]</f>
        <v>43317</v>
      </c>
      <c r="X666" s="3">
        <f>IF(fNotasFiscais[[#This Row],[Data da Entrega]]&gt;fNotasFiscais[[#This Row],[Data Contratada]],0,1)</f>
        <v>0</v>
      </c>
      <c r="Y666" s="3">
        <f>IF(fNotasFiscais[[#This Row],[Ocorrência]]="",1,0)</f>
        <v>1</v>
      </c>
      <c r="Z666" s="2">
        <f>fNotasFiscais[[#This Row],[On Time]]*fNotasFiscais[[#This Row],[In Full]]</f>
        <v>0</v>
      </c>
      <c r="AA666">
        <f>IF(fNotasFiscais[[#This Row],[Nota Fiscal]]&lt;&gt;"",1,0)</f>
        <v>1</v>
      </c>
    </row>
    <row r="667" spans="1:27" x14ac:dyDescent="0.25">
      <c r="A667" s="1">
        <v>43308</v>
      </c>
      <c r="B667">
        <v>11076</v>
      </c>
      <c r="C667" s="2" t="s">
        <v>22</v>
      </c>
      <c r="D667" s="2" t="s">
        <v>23</v>
      </c>
      <c r="E667" s="2" t="s">
        <v>24</v>
      </c>
      <c r="F667">
        <v>4117</v>
      </c>
      <c r="G667" s="2" t="s">
        <v>200</v>
      </c>
      <c r="H667" s="2" t="s">
        <v>32</v>
      </c>
      <c r="I667" s="2" t="s">
        <v>33</v>
      </c>
      <c r="J667" s="2" t="s">
        <v>60</v>
      </c>
      <c r="K667" s="2" t="s">
        <v>33</v>
      </c>
      <c r="L667">
        <v>195.8</v>
      </c>
      <c r="M667">
        <v>1</v>
      </c>
      <c r="N667">
        <v>0.35</v>
      </c>
      <c r="O667">
        <v>6400835</v>
      </c>
      <c r="P667" s="2" t="s">
        <v>130</v>
      </c>
      <c r="Q667" s="2" t="s">
        <v>131</v>
      </c>
      <c r="R667" s="2" t="s">
        <v>30</v>
      </c>
      <c r="S667">
        <v>1</v>
      </c>
      <c r="T667" s="1">
        <v>43309</v>
      </c>
      <c r="U667" s="1">
        <v>43317</v>
      </c>
      <c r="V667" s="2"/>
      <c r="W667" s="1">
        <f>fNotasFiscais[[#This Row],[Data da Coleta]]+fNotasFiscais[[#This Row],[Prazo Contratado]]</f>
        <v>43310</v>
      </c>
      <c r="X667" s="3">
        <f>IF(fNotasFiscais[[#This Row],[Data da Entrega]]&gt;fNotasFiscais[[#This Row],[Data Contratada]],0,1)</f>
        <v>0</v>
      </c>
      <c r="Y667" s="3">
        <f>IF(fNotasFiscais[[#This Row],[Ocorrência]]="",1,0)</f>
        <v>1</v>
      </c>
      <c r="Z667" s="2">
        <f>fNotasFiscais[[#This Row],[On Time]]*fNotasFiscais[[#This Row],[In Full]]</f>
        <v>0</v>
      </c>
      <c r="AA667">
        <f>IF(fNotasFiscais[[#This Row],[Nota Fiscal]]&lt;&gt;"",1,0)</f>
        <v>1</v>
      </c>
    </row>
    <row r="668" spans="1:27" x14ac:dyDescent="0.25">
      <c r="A668" s="1">
        <v>43308</v>
      </c>
      <c r="B668">
        <v>11077</v>
      </c>
      <c r="C668" s="2" t="s">
        <v>43</v>
      </c>
      <c r="D668" s="2" t="s">
        <v>44</v>
      </c>
      <c r="E668" s="2" t="s">
        <v>45</v>
      </c>
      <c r="F668">
        <v>4094</v>
      </c>
      <c r="G668" s="2" t="s">
        <v>172</v>
      </c>
      <c r="H668" s="2" t="s">
        <v>173</v>
      </c>
      <c r="I668" s="2" t="s">
        <v>174</v>
      </c>
      <c r="J668" s="2" t="s">
        <v>175</v>
      </c>
      <c r="K668" s="2" t="s">
        <v>174</v>
      </c>
      <c r="L668">
        <v>5777.71</v>
      </c>
      <c r="M668">
        <v>4</v>
      </c>
      <c r="N668">
        <v>20.815999999999999</v>
      </c>
      <c r="O668">
        <v>6700091</v>
      </c>
      <c r="P668" s="2" t="s">
        <v>176</v>
      </c>
      <c r="Q668" s="2" t="s">
        <v>173</v>
      </c>
      <c r="R668" s="2" t="s">
        <v>30</v>
      </c>
      <c r="S668">
        <v>4</v>
      </c>
      <c r="T668" s="1">
        <v>43309</v>
      </c>
      <c r="U668" s="1">
        <v>43318</v>
      </c>
      <c r="V668" s="2"/>
      <c r="W668" s="1">
        <f>fNotasFiscais[[#This Row],[Data da Coleta]]+fNotasFiscais[[#This Row],[Prazo Contratado]]</f>
        <v>43313</v>
      </c>
      <c r="X668" s="3">
        <f>IF(fNotasFiscais[[#This Row],[Data da Entrega]]&gt;fNotasFiscais[[#This Row],[Data Contratada]],0,1)</f>
        <v>0</v>
      </c>
      <c r="Y668" s="3">
        <f>IF(fNotasFiscais[[#This Row],[Ocorrência]]="",1,0)</f>
        <v>1</v>
      </c>
      <c r="Z668" s="2">
        <f>fNotasFiscais[[#This Row],[On Time]]*fNotasFiscais[[#This Row],[In Full]]</f>
        <v>0</v>
      </c>
      <c r="AA668">
        <f>IF(fNotasFiscais[[#This Row],[Nota Fiscal]]&lt;&gt;"",1,0)</f>
        <v>1</v>
      </c>
    </row>
    <row r="669" spans="1:27" x14ac:dyDescent="0.25">
      <c r="A669" s="1">
        <v>43311</v>
      </c>
      <c r="B669">
        <v>11078</v>
      </c>
      <c r="C669" s="2" t="s">
        <v>22</v>
      </c>
      <c r="D669" s="2" t="s">
        <v>23</v>
      </c>
      <c r="E669" s="2" t="s">
        <v>24</v>
      </c>
      <c r="F669">
        <v>4018</v>
      </c>
      <c r="G669" s="2" t="s">
        <v>77</v>
      </c>
      <c r="H669" s="2" t="s">
        <v>78</v>
      </c>
      <c r="I669" s="2" t="s">
        <v>39</v>
      </c>
      <c r="J669" s="2" t="s">
        <v>28</v>
      </c>
      <c r="K669" s="2" t="s">
        <v>39</v>
      </c>
      <c r="L669">
        <v>3036.56</v>
      </c>
      <c r="M669">
        <v>1</v>
      </c>
      <c r="N669">
        <v>6.1379999999999999</v>
      </c>
      <c r="O669">
        <v>6500948</v>
      </c>
      <c r="P669" s="2" t="s">
        <v>29</v>
      </c>
      <c r="Q669" s="2" t="s">
        <v>23</v>
      </c>
      <c r="R669" s="2" t="s">
        <v>30</v>
      </c>
      <c r="S669">
        <v>4</v>
      </c>
      <c r="T669" s="1">
        <v>43312</v>
      </c>
      <c r="U669" s="1">
        <v>43321</v>
      </c>
      <c r="V669" s="2"/>
      <c r="W669" s="1">
        <f>fNotasFiscais[[#This Row],[Data da Coleta]]+fNotasFiscais[[#This Row],[Prazo Contratado]]</f>
        <v>43316</v>
      </c>
      <c r="X669" s="3">
        <f>IF(fNotasFiscais[[#This Row],[Data da Entrega]]&gt;fNotasFiscais[[#This Row],[Data Contratada]],0,1)</f>
        <v>0</v>
      </c>
      <c r="Y669" s="3">
        <f>IF(fNotasFiscais[[#This Row],[Ocorrência]]="",1,0)</f>
        <v>1</v>
      </c>
      <c r="Z669" s="2">
        <f>fNotasFiscais[[#This Row],[On Time]]*fNotasFiscais[[#This Row],[In Full]]</f>
        <v>0</v>
      </c>
      <c r="AA669">
        <f>IF(fNotasFiscais[[#This Row],[Nota Fiscal]]&lt;&gt;"",1,0)</f>
        <v>1</v>
      </c>
    </row>
    <row r="670" spans="1:27" x14ac:dyDescent="0.25">
      <c r="A670" s="1">
        <v>43311</v>
      </c>
      <c r="B670">
        <v>11079</v>
      </c>
      <c r="C670" s="2" t="s">
        <v>52</v>
      </c>
      <c r="D670" s="2" t="s">
        <v>53</v>
      </c>
      <c r="E670" s="2" t="s">
        <v>33</v>
      </c>
      <c r="F670">
        <v>4056</v>
      </c>
      <c r="G670" s="2" t="s">
        <v>119</v>
      </c>
      <c r="H670" s="2" t="s">
        <v>51</v>
      </c>
      <c r="I670" s="2" t="s">
        <v>73</v>
      </c>
      <c r="J670" s="2" t="s">
        <v>49</v>
      </c>
      <c r="K670" s="2" t="s">
        <v>73</v>
      </c>
      <c r="L670">
        <v>1686.97</v>
      </c>
      <c r="M670">
        <v>1</v>
      </c>
      <c r="N670">
        <v>3.41</v>
      </c>
      <c r="O670">
        <v>6100231</v>
      </c>
      <c r="P670" s="2" t="s">
        <v>50</v>
      </c>
      <c r="Q670" s="2" t="s">
        <v>51</v>
      </c>
      <c r="R670" s="2" t="s">
        <v>30</v>
      </c>
      <c r="S670">
        <v>3</v>
      </c>
      <c r="T670" s="1">
        <v>43312</v>
      </c>
      <c r="U670" s="1">
        <v>43314</v>
      </c>
      <c r="V670" s="2"/>
      <c r="W670" s="1">
        <f>fNotasFiscais[[#This Row],[Data da Coleta]]+fNotasFiscais[[#This Row],[Prazo Contratado]]</f>
        <v>43315</v>
      </c>
      <c r="X670" s="3">
        <f>IF(fNotasFiscais[[#This Row],[Data da Entrega]]&gt;fNotasFiscais[[#This Row],[Data Contratada]],0,1)</f>
        <v>1</v>
      </c>
      <c r="Y670" s="3">
        <f>IF(fNotasFiscais[[#This Row],[Ocorrência]]="",1,0)</f>
        <v>1</v>
      </c>
      <c r="Z670" s="2">
        <f>fNotasFiscais[[#This Row],[On Time]]*fNotasFiscais[[#This Row],[In Full]]</f>
        <v>1</v>
      </c>
      <c r="AA670">
        <f>IF(fNotasFiscais[[#This Row],[Nota Fiscal]]&lt;&gt;"",1,0)</f>
        <v>1</v>
      </c>
    </row>
    <row r="671" spans="1:27" x14ac:dyDescent="0.25">
      <c r="A671" s="1">
        <v>43311</v>
      </c>
      <c r="B671">
        <v>11080</v>
      </c>
      <c r="C671" s="2" t="s">
        <v>40</v>
      </c>
      <c r="D671" s="2" t="s">
        <v>41</v>
      </c>
      <c r="E671" s="2" t="s">
        <v>33</v>
      </c>
      <c r="F671">
        <v>4044</v>
      </c>
      <c r="G671" s="2" t="s">
        <v>123</v>
      </c>
      <c r="H671" s="2" t="s">
        <v>35</v>
      </c>
      <c r="I671" s="2" t="s">
        <v>36</v>
      </c>
      <c r="J671" s="2" t="s">
        <v>60</v>
      </c>
      <c r="K671" s="2" t="s">
        <v>36</v>
      </c>
      <c r="L671">
        <v>592.5</v>
      </c>
      <c r="M671">
        <v>1</v>
      </c>
      <c r="N671">
        <v>1.9139999999999999</v>
      </c>
      <c r="O671">
        <v>6600879</v>
      </c>
      <c r="P671" s="2" t="s">
        <v>61</v>
      </c>
      <c r="Q671" s="2" t="s">
        <v>35</v>
      </c>
      <c r="R671" s="2" t="s">
        <v>30</v>
      </c>
      <c r="S671">
        <v>6</v>
      </c>
      <c r="T671" s="1">
        <v>43312</v>
      </c>
      <c r="U671" s="1">
        <v>43316</v>
      </c>
      <c r="V671" s="2"/>
      <c r="W671" s="1">
        <f>fNotasFiscais[[#This Row],[Data da Coleta]]+fNotasFiscais[[#This Row],[Prazo Contratado]]</f>
        <v>43318</v>
      </c>
      <c r="X671" s="3">
        <f>IF(fNotasFiscais[[#This Row],[Data da Entrega]]&gt;fNotasFiscais[[#This Row],[Data Contratada]],0,1)</f>
        <v>1</v>
      </c>
      <c r="Y671" s="3">
        <f>IF(fNotasFiscais[[#This Row],[Ocorrência]]="",1,0)</f>
        <v>1</v>
      </c>
      <c r="Z671" s="2">
        <f>fNotasFiscais[[#This Row],[On Time]]*fNotasFiscais[[#This Row],[In Full]]</f>
        <v>1</v>
      </c>
      <c r="AA671">
        <f>IF(fNotasFiscais[[#This Row],[Nota Fiscal]]&lt;&gt;"",1,0)</f>
        <v>1</v>
      </c>
    </row>
    <row r="672" spans="1:27" x14ac:dyDescent="0.25">
      <c r="A672" s="1">
        <v>43311</v>
      </c>
      <c r="B672">
        <v>11081</v>
      </c>
      <c r="C672" s="2" t="s">
        <v>43</v>
      </c>
      <c r="D672" s="2" t="s">
        <v>44</v>
      </c>
      <c r="E672" s="2" t="s">
        <v>45</v>
      </c>
      <c r="F672">
        <v>4045</v>
      </c>
      <c r="G672" s="2" t="s">
        <v>124</v>
      </c>
      <c r="H672" s="2" t="s">
        <v>35</v>
      </c>
      <c r="I672" s="2" t="s">
        <v>36</v>
      </c>
      <c r="J672" s="2" t="s">
        <v>60</v>
      </c>
      <c r="K672" s="2" t="s">
        <v>36</v>
      </c>
      <c r="L672">
        <v>2038.24</v>
      </c>
      <c r="M672">
        <v>1</v>
      </c>
      <c r="N672">
        <v>9.91</v>
      </c>
      <c r="O672">
        <v>6600879</v>
      </c>
      <c r="P672" s="2" t="s">
        <v>61</v>
      </c>
      <c r="Q672" s="2" t="s">
        <v>35</v>
      </c>
      <c r="R672" s="2" t="s">
        <v>30</v>
      </c>
      <c r="S672">
        <v>6</v>
      </c>
      <c r="T672" s="1">
        <v>43312</v>
      </c>
      <c r="U672" s="1">
        <v>43314</v>
      </c>
      <c r="V672" s="2"/>
      <c r="W672" s="1">
        <f>fNotasFiscais[[#This Row],[Data da Coleta]]+fNotasFiscais[[#This Row],[Prazo Contratado]]</f>
        <v>43318</v>
      </c>
      <c r="X672" s="3">
        <f>IF(fNotasFiscais[[#This Row],[Data da Entrega]]&gt;fNotasFiscais[[#This Row],[Data Contratada]],0,1)</f>
        <v>1</v>
      </c>
      <c r="Y672" s="3">
        <f>IF(fNotasFiscais[[#This Row],[Ocorrência]]="",1,0)</f>
        <v>1</v>
      </c>
      <c r="Z672" s="2">
        <f>fNotasFiscais[[#This Row],[On Time]]*fNotasFiscais[[#This Row],[In Full]]</f>
        <v>1</v>
      </c>
      <c r="AA672">
        <f>IF(fNotasFiscais[[#This Row],[Nota Fiscal]]&lt;&gt;"",1,0)</f>
        <v>1</v>
      </c>
    </row>
    <row r="673" spans="1:27" x14ac:dyDescent="0.25">
      <c r="A673" s="1">
        <v>43311</v>
      </c>
      <c r="B673">
        <v>11082</v>
      </c>
      <c r="C673" s="2" t="s">
        <v>22</v>
      </c>
      <c r="D673" s="2" t="s">
        <v>23</v>
      </c>
      <c r="E673" s="2" t="s">
        <v>24</v>
      </c>
      <c r="F673">
        <v>4056</v>
      </c>
      <c r="G673" s="2" t="s">
        <v>119</v>
      </c>
      <c r="H673" s="2" t="s">
        <v>51</v>
      </c>
      <c r="I673" s="2" t="s">
        <v>73</v>
      </c>
      <c r="J673" s="2" t="s">
        <v>49</v>
      </c>
      <c r="K673" s="2" t="s">
        <v>73</v>
      </c>
      <c r="L673">
        <v>763.31</v>
      </c>
      <c r="M673">
        <v>1</v>
      </c>
      <c r="N673">
        <v>1.2030000000000001</v>
      </c>
      <c r="O673">
        <v>6100231</v>
      </c>
      <c r="P673" s="2" t="s">
        <v>50</v>
      </c>
      <c r="Q673" s="2" t="s">
        <v>51</v>
      </c>
      <c r="R673" s="2" t="s">
        <v>30</v>
      </c>
      <c r="S673">
        <v>8</v>
      </c>
      <c r="T673" s="1">
        <v>43312</v>
      </c>
      <c r="U673" s="1">
        <v>43322</v>
      </c>
      <c r="V673" s="2"/>
      <c r="W673" s="1">
        <f>fNotasFiscais[[#This Row],[Data da Coleta]]+fNotasFiscais[[#This Row],[Prazo Contratado]]</f>
        <v>43320</v>
      </c>
      <c r="X673" s="3">
        <f>IF(fNotasFiscais[[#This Row],[Data da Entrega]]&gt;fNotasFiscais[[#This Row],[Data Contratada]],0,1)</f>
        <v>0</v>
      </c>
      <c r="Y673" s="3">
        <f>IF(fNotasFiscais[[#This Row],[Ocorrência]]="",1,0)</f>
        <v>1</v>
      </c>
      <c r="Z673" s="2">
        <f>fNotasFiscais[[#This Row],[On Time]]*fNotasFiscais[[#This Row],[In Full]]</f>
        <v>0</v>
      </c>
      <c r="AA673">
        <f>IF(fNotasFiscais[[#This Row],[Nota Fiscal]]&lt;&gt;"",1,0)</f>
        <v>1</v>
      </c>
    </row>
    <row r="674" spans="1:27" x14ac:dyDescent="0.25">
      <c r="A674" s="1">
        <v>43311</v>
      </c>
      <c r="B674">
        <v>11083</v>
      </c>
      <c r="C674" s="2" t="s">
        <v>52</v>
      </c>
      <c r="D674" s="2" t="s">
        <v>53</v>
      </c>
      <c r="E674" s="2" t="s">
        <v>33</v>
      </c>
      <c r="F674">
        <v>4044</v>
      </c>
      <c r="G674" s="2" t="s">
        <v>123</v>
      </c>
      <c r="H674" s="2" t="s">
        <v>35</v>
      </c>
      <c r="I674" s="2" t="s">
        <v>36</v>
      </c>
      <c r="J674" s="2" t="s">
        <v>60</v>
      </c>
      <c r="K674" s="2" t="s">
        <v>36</v>
      </c>
      <c r="L674">
        <v>3624.21</v>
      </c>
      <c r="M674">
        <v>2</v>
      </c>
      <c r="N674">
        <v>7.5019999999999998</v>
      </c>
      <c r="O674">
        <v>6600879</v>
      </c>
      <c r="P674" s="2" t="s">
        <v>61</v>
      </c>
      <c r="Q674" s="2" t="s">
        <v>35</v>
      </c>
      <c r="R674" s="2" t="s">
        <v>30</v>
      </c>
      <c r="S674">
        <v>3</v>
      </c>
      <c r="T674" s="1">
        <v>43312</v>
      </c>
      <c r="U674" s="1">
        <v>43316</v>
      </c>
      <c r="V674" s="2"/>
      <c r="W674" s="1">
        <f>fNotasFiscais[[#This Row],[Data da Coleta]]+fNotasFiscais[[#This Row],[Prazo Contratado]]</f>
        <v>43315</v>
      </c>
      <c r="X674" s="3">
        <f>IF(fNotasFiscais[[#This Row],[Data da Entrega]]&gt;fNotasFiscais[[#This Row],[Data Contratada]],0,1)</f>
        <v>0</v>
      </c>
      <c r="Y674" s="3">
        <f>IF(fNotasFiscais[[#This Row],[Ocorrência]]="",1,0)</f>
        <v>1</v>
      </c>
      <c r="Z674" s="2">
        <f>fNotasFiscais[[#This Row],[On Time]]*fNotasFiscais[[#This Row],[In Full]]</f>
        <v>0</v>
      </c>
      <c r="AA674">
        <f>IF(fNotasFiscais[[#This Row],[Nota Fiscal]]&lt;&gt;"",1,0)</f>
        <v>1</v>
      </c>
    </row>
    <row r="675" spans="1:27" x14ac:dyDescent="0.25">
      <c r="A675" s="1">
        <v>43311</v>
      </c>
      <c r="B675">
        <v>11084</v>
      </c>
      <c r="C675" s="2" t="s">
        <v>43</v>
      </c>
      <c r="D675" s="2" t="s">
        <v>44</v>
      </c>
      <c r="E675" s="2" t="s">
        <v>45</v>
      </c>
      <c r="F675">
        <v>4045</v>
      </c>
      <c r="G675" s="2" t="s">
        <v>124</v>
      </c>
      <c r="H675" s="2" t="s">
        <v>35</v>
      </c>
      <c r="I675" s="2" t="s">
        <v>36</v>
      </c>
      <c r="J675" s="2" t="s">
        <v>60</v>
      </c>
      <c r="K675" s="2" t="s">
        <v>36</v>
      </c>
      <c r="L675">
        <v>3436.72</v>
      </c>
      <c r="M675">
        <v>9</v>
      </c>
      <c r="N675">
        <v>6.0049999999999999</v>
      </c>
      <c r="O675">
        <v>6600879</v>
      </c>
      <c r="P675" s="2" t="s">
        <v>61</v>
      </c>
      <c r="Q675" s="2" t="s">
        <v>35</v>
      </c>
      <c r="R675" s="2" t="s">
        <v>30</v>
      </c>
      <c r="S675">
        <v>6</v>
      </c>
      <c r="T675" s="1">
        <v>43312</v>
      </c>
      <c r="U675" s="1">
        <v>43318</v>
      </c>
      <c r="V675" s="2"/>
      <c r="W675" s="1">
        <f>fNotasFiscais[[#This Row],[Data da Coleta]]+fNotasFiscais[[#This Row],[Prazo Contratado]]</f>
        <v>43318</v>
      </c>
      <c r="X675" s="3">
        <f>IF(fNotasFiscais[[#This Row],[Data da Entrega]]&gt;fNotasFiscais[[#This Row],[Data Contratada]],0,1)</f>
        <v>1</v>
      </c>
      <c r="Y675" s="3">
        <f>IF(fNotasFiscais[[#This Row],[Ocorrência]]="",1,0)</f>
        <v>1</v>
      </c>
      <c r="Z675" s="2">
        <f>fNotasFiscais[[#This Row],[On Time]]*fNotasFiscais[[#This Row],[In Full]]</f>
        <v>1</v>
      </c>
      <c r="AA675">
        <f>IF(fNotasFiscais[[#This Row],[Nota Fiscal]]&lt;&gt;"",1,0)</f>
        <v>1</v>
      </c>
    </row>
    <row r="676" spans="1:27" x14ac:dyDescent="0.25">
      <c r="A676" s="1">
        <v>43311</v>
      </c>
      <c r="B676">
        <v>11085</v>
      </c>
      <c r="C676" s="2" t="s">
        <v>54</v>
      </c>
      <c r="D676" s="2" t="s">
        <v>55</v>
      </c>
      <c r="E676" s="2" t="s">
        <v>56</v>
      </c>
      <c r="F676">
        <v>4056</v>
      </c>
      <c r="G676" s="2" t="s">
        <v>119</v>
      </c>
      <c r="H676" s="2" t="s">
        <v>51</v>
      </c>
      <c r="I676" s="2" t="s">
        <v>73</v>
      </c>
      <c r="J676" s="2" t="s">
        <v>49</v>
      </c>
      <c r="K676" s="2" t="s">
        <v>73</v>
      </c>
      <c r="L676">
        <v>158.6</v>
      </c>
      <c r="M676">
        <v>1</v>
      </c>
      <c r="N676">
        <v>1.1200000000000001</v>
      </c>
      <c r="O676">
        <v>6100231</v>
      </c>
      <c r="P676" s="2" t="s">
        <v>50</v>
      </c>
      <c r="Q676" s="2" t="s">
        <v>51</v>
      </c>
      <c r="R676" s="2" t="s">
        <v>30</v>
      </c>
      <c r="S676">
        <v>5</v>
      </c>
      <c r="T676" s="1">
        <v>43312</v>
      </c>
      <c r="U676" s="1">
        <v>43317</v>
      </c>
      <c r="V676" s="2"/>
      <c r="W676" s="1">
        <f>fNotasFiscais[[#This Row],[Data da Coleta]]+fNotasFiscais[[#This Row],[Prazo Contratado]]</f>
        <v>43317</v>
      </c>
      <c r="X676" s="3">
        <f>IF(fNotasFiscais[[#This Row],[Data da Entrega]]&gt;fNotasFiscais[[#This Row],[Data Contratada]],0,1)</f>
        <v>1</v>
      </c>
      <c r="Y676" s="3">
        <f>IF(fNotasFiscais[[#This Row],[Ocorrência]]="",1,0)</f>
        <v>1</v>
      </c>
      <c r="Z676" s="2">
        <f>fNotasFiscais[[#This Row],[On Time]]*fNotasFiscais[[#This Row],[In Full]]</f>
        <v>1</v>
      </c>
      <c r="AA676">
        <f>IF(fNotasFiscais[[#This Row],[Nota Fiscal]]&lt;&gt;"",1,0)</f>
        <v>1</v>
      </c>
    </row>
    <row r="677" spans="1:27" x14ac:dyDescent="0.25">
      <c r="A677" s="1">
        <v>43311</v>
      </c>
      <c r="B677">
        <v>11086</v>
      </c>
      <c r="C677" s="2" t="s">
        <v>31</v>
      </c>
      <c r="D677" s="2" t="s">
        <v>32</v>
      </c>
      <c r="E677" s="2" t="s">
        <v>33</v>
      </c>
      <c r="F677">
        <v>4044</v>
      </c>
      <c r="G677" s="2" t="s">
        <v>123</v>
      </c>
      <c r="H677" s="2" t="s">
        <v>35</v>
      </c>
      <c r="I677" s="2" t="s">
        <v>36</v>
      </c>
      <c r="J677" s="2" t="s">
        <v>60</v>
      </c>
      <c r="K677" s="2" t="s">
        <v>36</v>
      </c>
      <c r="L677">
        <v>1572.57</v>
      </c>
      <c r="M677">
        <v>4</v>
      </c>
      <c r="N677">
        <v>1.8149999999999999</v>
      </c>
      <c r="O677">
        <v>6600879</v>
      </c>
      <c r="P677" s="2" t="s">
        <v>61</v>
      </c>
      <c r="Q677" s="2" t="s">
        <v>35</v>
      </c>
      <c r="R677" s="2" t="s">
        <v>30</v>
      </c>
      <c r="S677">
        <v>2</v>
      </c>
      <c r="T677" s="1">
        <v>43312</v>
      </c>
      <c r="U677" s="1">
        <v>43316</v>
      </c>
      <c r="V677" s="2"/>
      <c r="W677" s="1">
        <f>fNotasFiscais[[#This Row],[Data da Coleta]]+fNotasFiscais[[#This Row],[Prazo Contratado]]</f>
        <v>43314</v>
      </c>
      <c r="X677" s="3">
        <f>IF(fNotasFiscais[[#This Row],[Data da Entrega]]&gt;fNotasFiscais[[#This Row],[Data Contratada]],0,1)</f>
        <v>0</v>
      </c>
      <c r="Y677" s="3">
        <f>IF(fNotasFiscais[[#This Row],[Ocorrência]]="",1,0)</f>
        <v>1</v>
      </c>
      <c r="Z677" s="2">
        <f>fNotasFiscais[[#This Row],[On Time]]*fNotasFiscais[[#This Row],[In Full]]</f>
        <v>0</v>
      </c>
      <c r="AA677">
        <f>IF(fNotasFiscais[[#This Row],[Nota Fiscal]]&lt;&gt;"",1,0)</f>
        <v>1</v>
      </c>
    </row>
    <row r="678" spans="1:27" x14ac:dyDescent="0.25">
      <c r="A678" s="1">
        <v>43311</v>
      </c>
      <c r="B678">
        <v>11087</v>
      </c>
      <c r="C678" s="2" t="s">
        <v>31</v>
      </c>
      <c r="D678" s="2" t="s">
        <v>32</v>
      </c>
      <c r="E678" s="2" t="s">
        <v>33</v>
      </c>
      <c r="F678">
        <v>4045</v>
      </c>
      <c r="G678" s="2" t="s">
        <v>124</v>
      </c>
      <c r="H678" s="2" t="s">
        <v>35</v>
      </c>
      <c r="I678" s="2" t="s">
        <v>36</v>
      </c>
      <c r="J678" s="2" t="s">
        <v>60</v>
      </c>
      <c r="K678" s="2" t="s">
        <v>36</v>
      </c>
      <c r="L678">
        <v>292.57</v>
      </c>
      <c r="M678">
        <v>1</v>
      </c>
      <c r="N678">
        <v>8.4809999999999999</v>
      </c>
      <c r="O678">
        <v>6600879</v>
      </c>
      <c r="P678" s="2" t="s">
        <v>61</v>
      </c>
      <c r="Q678" s="2" t="s">
        <v>35</v>
      </c>
      <c r="R678" s="2" t="s">
        <v>30</v>
      </c>
      <c r="S678">
        <v>1</v>
      </c>
      <c r="T678" s="1">
        <v>43312</v>
      </c>
      <c r="U678" s="1">
        <v>43316</v>
      </c>
      <c r="V678" s="2"/>
      <c r="W678" s="1">
        <f>fNotasFiscais[[#This Row],[Data da Coleta]]+fNotasFiscais[[#This Row],[Prazo Contratado]]</f>
        <v>43313</v>
      </c>
      <c r="X678" s="3">
        <f>IF(fNotasFiscais[[#This Row],[Data da Entrega]]&gt;fNotasFiscais[[#This Row],[Data Contratada]],0,1)</f>
        <v>0</v>
      </c>
      <c r="Y678" s="3">
        <f>IF(fNotasFiscais[[#This Row],[Ocorrência]]="",1,0)</f>
        <v>1</v>
      </c>
      <c r="Z678" s="2">
        <f>fNotasFiscais[[#This Row],[On Time]]*fNotasFiscais[[#This Row],[In Full]]</f>
        <v>0</v>
      </c>
      <c r="AA678">
        <f>IF(fNotasFiscais[[#This Row],[Nota Fiscal]]&lt;&gt;"",1,0)</f>
        <v>1</v>
      </c>
    </row>
    <row r="679" spans="1:27" x14ac:dyDescent="0.25">
      <c r="A679" s="1">
        <v>43311</v>
      </c>
      <c r="B679">
        <v>11088</v>
      </c>
      <c r="C679" s="2" t="s">
        <v>22</v>
      </c>
      <c r="D679" s="2" t="s">
        <v>23</v>
      </c>
      <c r="E679" s="2" t="s">
        <v>24</v>
      </c>
      <c r="F679">
        <v>4046</v>
      </c>
      <c r="G679" s="2" t="s">
        <v>112</v>
      </c>
      <c r="H679" s="2" t="s">
        <v>35</v>
      </c>
      <c r="I679" s="2" t="s">
        <v>36</v>
      </c>
      <c r="J679" s="2" t="s">
        <v>60</v>
      </c>
      <c r="K679" s="2" t="s">
        <v>36</v>
      </c>
      <c r="L679">
        <v>297.11</v>
      </c>
      <c r="M679">
        <v>1</v>
      </c>
      <c r="N679">
        <v>4.4000000000000004</v>
      </c>
      <c r="O679">
        <v>6600879</v>
      </c>
      <c r="P679" s="2" t="s">
        <v>61</v>
      </c>
      <c r="Q679" s="2" t="s">
        <v>35</v>
      </c>
      <c r="R679" s="2" t="s">
        <v>30</v>
      </c>
      <c r="S679">
        <v>7</v>
      </c>
      <c r="T679" s="1">
        <v>43312</v>
      </c>
      <c r="U679" s="1">
        <v>43321</v>
      </c>
      <c r="V679" s="2"/>
      <c r="W679" s="1">
        <f>fNotasFiscais[[#This Row],[Data da Coleta]]+fNotasFiscais[[#This Row],[Prazo Contratado]]</f>
        <v>43319</v>
      </c>
      <c r="X679" s="3">
        <f>IF(fNotasFiscais[[#This Row],[Data da Entrega]]&gt;fNotasFiscais[[#This Row],[Data Contratada]],0,1)</f>
        <v>0</v>
      </c>
      <c r="Y679" s="3">
        <f>IF(fNotasFiscais[[#This Row],[Ocorrência]]="",1,0)</f>
        <v>1</v>
      </c>
      <c r="Z679" s="2">
        <f>fNotasFiscais[[#This Row],[On Time]]*fNotasFiscais[[#This Row],[In Full]]</f>
        <v>0</v>
      </c>
      <c r="AA679">
        <f>IF(fNotasFiscais[[#This Row],[Nota Fiscal]]&lt;&gt;"",1,0)</f>
        <v>1</v>
      </c>
    </row>
    <row r="680" spans="1:27" x14ac:dyDescent="0.25">
      <c r="A680" s="1">
        <v>43311</v>
      </c>
      <c r="B680">
        <v>11089</v>
      </c>
      <c r="C680" s="2" t="s">
        <v>43</v>
      </c>
      <c r="D680" s="2" t="s">
        <v>44</v>
      </c>
      <c r="E680" s="2" t="s">
        <v>45</v>
      </c>
      <c r="F680">
        <v>4046</v>
      </c>
      <c r="G680" s="2" t="s">
        <v>112</v>
      </c>
      <c r="H680" s="2" t="s">
        <v>35</v>
      </c>
      <c r="I680" s="2" t="s">
        <v>36</v>
      </c>
      <c r="J680" s="2" t="s">
        <v>60</v>
      </c>
      <c r="K680" s="2" t="s">
        <v>36</v>
      </c>
      <c r="L680">
        <v>1266.7</v>
      </c>
      <c r="M680">
        <v>2</v>
      </c>
      <c r="N680">
        <v>7.0919999999999996</v>
      </c>
      <c r="O680">
        <v>6600879</v>
      </c>
      <c r="P680" s="2" t="s">
        <v>61</v>
      </c>
      <c r="Q680" s="2" t="s">
        <v>35</v>
      </c>
      <c r="R680" s="2" t="s">
        <v>30</v>
      </c>
      <c r="S680">
        <v>7</v>
      </c>
      <c r="T680" s="1">
        <v>43312</v>
      </c>
      <c r="U680" s="1">
        <v>43315</v>
      </c>
      <c r="V680" s="2"/>
      <c r="W680" s="1">
        <f>fNotasFiscais[[#This Row],[Data da Coleta]]+fNotasFiscais[[#This Row],[Prazo Contratado]]</f>
        <v>43319</v>
      </c>
      <c r="X680" s="3">
        <f>IF(fNotasFiscais[[#This Row],[Data da Entrega]]&gt;fNotasFiscais[[#This Row],[Data Contratada]],0,1)</f>
        <v>1</v>
      </c>
      <c r="Y680" s="3">
        <f>IF(fNotasFiscais[[#This Row],[Ocorrência]]="",1,0)</f>
        <v>1</v>
      </c>
      <c r="Z680" s="2">
        <f>fNotasFiscais[[#This Row],[On Time]]*fNotasFiscais[[#This Row],[In Full]]</f>
        <v>1</v>
      </c>
      <c r="AA680">
        <f>IF(fNotasFiscais[[#This Row],[Nota Fiscal]]&lt;&gt;"",1,0)</f>
        <v>1</v>
      </c>
    </row>
    <row r="681" spans="1:27" x14ac:dyDescent="0.25">
      <c r="A681" s="1">
        <v>43311</v>
      </c>
      <c r="B681">
        <v>11090</v>
      </c>
      <c r="C681" s="2" t="s">
        <v>52</v>
      </c>
      <c r="D681" s="2" t="s">
        <v>53</v>
      </c>
      <c r="E681" s="2" t="s">
        <v>33</v>
      </c>
      <c r="F681">
        <v>4046</v>
      </c>
      <c r="G681" s="2" t="s">
        <v>112</v>
      </c>
      <c r="H681" s="2" t="s">
        <v>35</v>
      </c>
      <c r="I681" s="2" t="s">
        <v>36</v>
      </c>
      <c r="J681" s="2" t="s">
        <v>60</v>
      </c>
      <c r="K681" s="2" t="s">
        <v>36</v>
      </c>
      <c r="L681">
        <v>149.35</v>
      </c>
      <c r="M681">
        <v>1</v>
      </c>
      <c r="N681">
        <v>2.2000000000000002</v>
      </c>
      <c r="O681">
        <v>6600879</v>
      </c>
      <c r="P681" s="2" t="s">
        <v>61</v>
      </c>
      <c r="Q681" s="2" t="s">
        <v>35</v>
      </c>
      <c r="R681" s="2" t="s">
        <v>30</v>
      </c>
      <c r="S681">
        <v>9</v>
      </c>
      <c r="T681" s="1">
        <v>43312</v>
      </c>
      <c r="U681" s="1">
        <v>43322</v>
      </c>
      <c r="V681" s="2"/>
      <c r="W681" s="1">
        <f>fNotasFiscais[[#This Row],[Data da Coleta]]+fNotasFiscais[[#This Row],[Prazo Contratado]]</f>
        <v>43321</v>
      </c>
      <c r="X681" s="3">
        <f>IF(fNotasFiscais[[#This Row],[Data da Entrega]]&gt;fNotasFiscais[[#This Row],[Data Contratada]],0,1)</f>
        <v>0</v>
      </c>
      <c r="Y681" s="3">
        <f>IF(fNotasFiscais[[#This Row],[Ocorrência]]="",1,0)</f>
        <v>1</v>
      </c>
      <c r="Z681" s="2">
        <f>fNotasFiscais[[#This Row],[On Time]]*fNotasFiscais[[#This Row],[In Full]]</f>
        <v>0</v>
      </c>
      <c r="AA681">
        <f>IF(fNotasFiscais[[#This Row],[Nota Fiscal]]&lt;&gt;"",1,0)</f>
        <v>1</v>
      </c>
    </row>
    <row r="682" spans="1:27" x14ac:dyDescent="0.25">
      <c r="A682" s="1">
        <v>43312</v>
      </c>
      <c r="B682">
        <v>11091</v>
      </c>
      <c r="C682" s="2" t="s">
        <v>43</v>
      </c>
      <c r="D682" s="2" t="s">
        <v>44</v>
      </c>
      <c r="E682" s="2" t="s">
        <v>45</v>
      </c>
      <c r="F682">
        <v>4108</v>
      </c>
      <c r="G682" s="2" t="s">
        <v>191</v>
      </c>
      <c r="H682" s="2" t="s">
        <v>44</v>
      </c>
      <c r="I682" s="2" t="s">
        <v>45</v>
      </c>
      <c r="J682" s="2" t="s">
        <v>60</v>
      </c>
      <c r="K682" s="2" t="s">
        <v>45</v>
      </c>
      <c r="L682">
        <v>754.06</v>
      </c>
      <c r="M682">
        <v>3</v>
      </c>
      <c r="N682">
        <v>1.43</v>
      </c>
      <c r="O682">
        <v>6140092</v>
      </c>
      <c r="P682" s="2" t="s">
        <v>137</v>
      </c>
      <c r="Q682" s="2" t="s">
        <v>138</v>
      </c>
      <c r="R682" s="2" t="s">
        <v>30</v>
      </c>
      <c r="S682">
        <v>7</v>
      </c>
      <c r="T682" s="1">
        <v>43313</v>
      </c>
      <c r="U682" s="1">
        <v>43319</v>
      </c>
      <c r="V682" s="2"/>
      <c r="W682" s="1">
        <f>fNotasFiscais[[#This Row],[Data da Coleta]]+fNotasFiscais[[#This Row],[Prazo Contratado]]</f>
        <v>43320</v>
      </c>
      <c r="X682" s="3">
        <f>IF(fNotasFiscais[[#This Row],[Data da Entrega]]&gt;fNotasFiscais[[#This Row],[Data Contratada]],0,1)</f>
        <v>1</v>
      </c>
      <c r="Y682" s="3">
        <f>IF(fNotasFiscais[[#This Row],[Ocorrência]]="",1,0)</f>
        <v>1</v>
      </c>
      <c r="Z682" s="2">
        <f>fNotasFiscais[[#This Row],[On Time]]*fNotasFiscais[[#This Row],[In Full]]</f>
        <v>1</v>
      </c>
      <c r="AA682">
        <f>IF(fNotasFiscais[[#This Row],[Nota Fiscal]]&lt;&gt;"",1,0)</f>
        <v>1</v>
      </c>
    </row>
    <row r="683" spans="1:27" x14ac:dyDescent="0.25">
      <c r="A683" s="1">
        <v>43312</v>
      </c>
      <c r="B683">
        <v>11092</v>
      </c>
      <c r="C683" s="2" t="s">
        <v>22</v>
      </c>
      <c r="D683" s="2" t="s">
        <v>23</v>
      </c>
      <c r="E683" s="2" t="s">
        <v>24</v>
      </c>
      <c r="F683">
        <v>4108</v>
      </c>
      <c r="G683" s="2" t="s">
        <v>191</v>
      </c>
      <c r="H683" s="2" t="s">
        <v>44</v>
      </c>
      <c r="I683" s="2" t="s">
        <v>45</v>
      </c>
      <c r="J683" s="2" t="s">
        <v>60</v>
      </c>
      <c r="K683" s="2" t="s">
        <v>45</v>
      </c>
      <c r="L683">
        <v>2187.88</v>
      </c>
      <c r="M683">
        <v>3</v>
      </c>
      <c r="N683">
        <v>33</v>
      </c>
      <c r="O683">
        <v>6140092</v>
      </c>
      <c r="P683" s="2" t="s">
        <v>137</v>
      </c>
      <c r="Q683" s="2" t="s">
        <v>138</v>
      </c>
      <c r="R683" s="2" t="s">
        <v>30</v>
      </c>
      <c r="S683">
        <v>4</v>
      </c>
      <c r="T683" s="1">
        <v>43313</v>
      </c>
      <c r="U683" s="1">
        <v>43323</v>
      </c>
      <c r="V683" s="2"/>
      <c r="W683" s="1">
        <f>fNotasFiscais[[#This Row],[Data da Coleta]]+fNotasFiscais[[#This Row],[Prazo Contratado]]</f>
        <v>43317</v>
      </c>
      <c r="X683" s="3">
        <f>IF(fNotasFiscais[[#This Row],[Data da Entrega]]&gt;fNotasFiscais[[#This Row],[Data Contratada]],0,1)</f>
        <v>0</v>
      </c>
      <c r="Y683" s="3">
        <f>IF(fNotasFiscais[[#This Row],[Ocorrência]]="",1,0)</f>
        <v>1</v>
      </c>
      <c r="Z683" s="2">
        <f>fNotasFiscais[[#This Row],[On Time]]*fNotasFiscais[[#This Row],[In Full]]</f>
        <v>0</v>
      </c>
      <c r="AA683">
        <f>IF(fNotasFiscais[[#This Row],[Nota Fiscal]]&lt;&gt;"",1,0)</f>
        <v>1</v>
      </c>
    </row>
    <row r="684" spans="1:27" x14ac:dyDescent="0.25">
      <c r="A684" s="1">
        <v>43312</v>
      </c>
      <c r="B684">
        <v>11093</v>
      </c>
      <c r="C684" s="2" t="s">
        <v>31</v>
      </c>
      <c r="D684" s="2" t="s">
        <v>32</v>
      </c>
      <c r="E684" s="2" t="s">
        <v>33</v>
      </c>
      <c r="F684">
        <v>4108</v>
      </c>
      <c r="G684" s="2" t="s">
        <v>191</v>
      </c>
      <c r="H684" s="2" t="s">
        <v>44</v>
      </c>
      <c r="I684" s="2" t="s">
        <v>45</v>
      </c>
      <c r="J684" s="2" t="s">
        <v>60</v>
      </c>
      <c r="K684" s="2" t="s">
        <v>45</v>
      </c>
      <c r="L684">
        <v>756.51</v>
      </c>
      <c r="M684">
        <v>2</v>
      </c>
      <c r="N684">
        <v>2.2370000000000001</v>
      </c>
      <c r="O684">
        <v>6140092</v>
      </c>
      <c r="P684" s="2" t="s">
        <v>137</v>
      </c>
      <c r="Q684" s="2" t="s">
        <v>138</v>
      </c>
      <c r="R684" s="2" t="s">
        <v>30</v>
      </c>
      <c r="S684">
        <v>8</v>
      </c>
      <c r="T684" s="1">
        <v>43313</v>
      </c>
      <c r="U684" s="1">
        <v>43322</v>
      </c>
      <c r="V684" s="2"/>
      <c r="W684" s="1">
        <f>fNotasFiscais[[#This Row],[Data da Coleta]]+fNotasFiscais[[#This Row],[Prazo Contratado]]</f>
        <v>43321</v>
      </c>
      <c r="X684" s="3">
        <f>IF(fNotasFiscais[[#This Row],[Data da Entrega]]&gt;fNotasFiscais[[#This Row],[Data Contratada]],0,1)</f>
        <v>0</v>
      </c>
      <c r="Y684" s="3">
        <f>IF(fNotasFiscais[[#This Row],[Ocorrência]]="",1,0)</f>
        <v>1</v>
      </c>
      <c r="Z684" s="2">
        <f>fNotasFiscais[[#This Row],[On Time]]*fNotasFiscais[[#This Row],[In Full]]</f>
        <v>0</v>
      </c>
      <c r="AA684">
        <f>IF(fNotasFiscais[[#This Row],[Nota Fiscal]]&lt;&gt;"",1,0)</f>
        <v>1</v>
      </c>
    </row>
    <row r="685" spans="1:27" x14ac:dyDescent="0.25">
      <c r="A685" s="1">
        <v>43312</v>
      </c>
      <c r="B685">
        <v>11094</v>
      </c>
      <c r="C685" s="2" t="s">
        <v>54</v>
      </c>
      <c r="D685" s="2" t="s">
        <v>55</v>
      </c>
      <c r="E685" s="2" t="s">
        <v>56</v>
      </c>
      <c r="F685">
        <v>4108</v>
      </c>
      <c r="G685" s="2" t="s">
        <v>191</v>
      </c>
      <c r="H685" s="2" t="s">
        <v>44</v>
      </c>
      <c r="I685" s="2" t="s">
        <v>45</v>
      </c>
      <c r="J685" s="2" t="s">
        <v>60</v>
      </c>
      <c r="K685" s="2" t="s">
        <v>45</v>
      </c>
      <c r="L685">
        <v>1259.8</v>
      </c>
      <c r="M685">
        <v>3</v>
      </c>
      <c r="N685">
        <v>3.3919999999999999</v>
      </c>
      <c r="O685">
        <v>6140092</v>
      </c>
      <c r="P685" s="2" t="s">
        <v>137</v>
      </c>
      <c r="Q685" s="2" t="s">
        <v>138</v>
      </c>
      <c r="R685" s="2" t="s">
        <v>30</v>
      </c>
      <c r="S685">
        <v>4</v>
      </c>
      <c r="T685" s="1">
        <v>43313</v>
      </c>
      <c r="U685" s="1">
        <v>43318</v>
      </c>
      <c r="V685" s="2"/>
      <c r="W685" s="1">
        <f>fNotasFiscais[[#This Row],[Data da Coleta]]+fNotasFiscais[[#This Row],[Prazo Contratado]]</f>
        <v>43317</v>
      </c>
      <c r="X685" s="3">
        <f>IF(fNotasFiscais[[#This Row],[Data da Entrega]]&gt;fNotasFiscais[[#This Row],[Data Contratada]],0,1)</f>
        <v>0</v>
      </c>
      <c r="Y685" s="3">
        <f>IF(fNotasFiscais[[#This Row],[Ocorrência]]="",1,0)</f>
        <v>1</v>
      </c>
      <c r="Z685" s="2">
        <f>fNotasFiscais[[#This Row],[On Time]]*fNotasFiscais[[#This Row],[In Full]]</f>
        <v>0</v>
      </c>
      <c r="AA685">
        <f>IF(fNotasFiscais[[#This Row],[Nota Fiscal]]&lt;&gt;"",1,0)</f>
        <v>1</v>
      </c>
    </row>
    <row r="686" spans="1:27" x14ac:dyDescent="0.25">
      <c r="A686" s="1">
        <v>43312</v>
      </c>
      <c r="B686">
        <v>11095</v>
      </c>
      <c r="C686" s="2" t="s">
        <v>43</v>
      </c>
      <c r="D686" s="2" t="s">
        <v>44</v>
      </c>
      <c r="E686" s="2" t="s">
        <v>45</v>
      </c>
      <c r="F686">
        <v>4108</v>
      </c>
      <c r="G686" s="2" t="s">
        <v>191</v>
      </c>
      <c r="H686" s="2" t="s">
        <v>44</v>
      </c>
      <c r="I686" s="2" t="s">
        <v>45</v>
      </c>
      <c r="J686" s="2" t="s">
        <v>60</v>
      </c>
      <c r="K686" s="2" t="s">
        <v>45</v>
      </c>
      <c r="L686">
        <v>13321.6</v>
      </c>
      <c r="M686">
        <v>13</v>
      </c>
      <c r="N686">
        <v>64.733000000000004</v>
      </c>
      <c r="O686">
        <v>6140092</v>
      </c>
      <c r="P686" s="2" t="s">
        <v>137</v>
      </c>
      <c r="Q686" s="2" t="s">
        <v>138</v>
      </c>
      <c r="R686" s="2" t="s">
        <v>30</v>
      </c>
      <c r="S686">
        <v>1</v>
      </c>
      <c r="T686" s="1">
        <v>43313</v>
      </c>
      <c r="U686" s="1">
        <v>43319</v>
      </c>
      <c r="V686" s="2"/>
      <c r="W686" s="1">
        <f>fNotasFiscais[[#This Row],[Data da Coleta]]+fNotasFiscais[[#This Row],[Prazo Contratado]]</f>
        <v>43314</v>
      </c>
      <c r="X686" s="3">
        <f>IF(fNotasFiscais[[#This Row],[Data da Entrega]]&gt;fNotasFiscais[[#This Row],[Data Contratada]],0,1)</f>
        <v>0</v>
      </c>
      <c r="Y686" s="3">
        <f>IF(fNotasFiscais[[#This Row],[Ocorrência]]="",1,0)</f>
        <v>1</v>
      </c>
      <c r="Z686" s="2">
        <f>fNotasFiscais[[#This Row],[On Time]]*fNotasFiscais[[#This Row],[In Full]]</f>
        <v>0</v>
      </c>
      <c r="AA686">
        <f>IF(fNotasFiscais[[#This Row],[Nota Fiscal]]&lt;&gt;"",1,0)</f>
        <v>1</v>
      </c>
    </row>
    <row r="687" spans="1:27" x14ac:dyDescent="0.25">
      <c r="A687" s="1">
        <v>43312</v>
      </c>
      <c r="B687">
        <v>11096</v>
      </c>
      <c r="C687" s="2" t="s">
        <v>31</v>
      </c>
      <c r="D687" s="2" t="s">
        <v>32</v>
      </c>
      <c r="E687" s="2" t="s">
        <v>33</v>
      </c>
      <c r="F687">
        <v>4108</v>
      </c>
      <c r="G687" s="2" t="s">
        <v>191</v>
      </c>
      <c r="H687" s="2" t="s">
        <v>44</v>
      </c>
      <c r="I687" s="2" t="s">
        <v>45</v>
      </c>
      <c r="J687" s="2" t="s">
        <v>60</v>
      </c>
      <c r="K687" s="2" t="s">
        <v>45</v>
      </c>
      <c r="L687">
        <v>738.58</v>
      </c>
      <c r="M687">
        <v>1</v>
      </c>
      <c r="N687">
        <v>2.202</v>
      </c>
      <c r="O687">
        <v>6140092</v>
      </c>
      <c r="P687" s="2" t="s">
        <v>137</v>
      </c>
      <c r="Q687" s="2" t="s">
        <v>138</v>
      </c>
      <c r="R687" s="2" t="s">
        <v>30</v>
      </c>
      <c r="S687">
        <v>9</v>
      </c>
      <c r="T687" s="1">
        <v>43313</v>
      </c>
      <c r="U687" s="1">
        <v>43316</v>
      </c>
      <c r="V687" s="2"/>
      <c r="W687" s="1">
        <f>fNotasFiscais[[#This Row],[Data da Coleta]]+fNotasFiscais[[#This Row],[Prazo Contratado]]</f>
        <v>43322</v>
      </c>
      <c r="X687" s="3">
        <f>IF(fNotasFiscais[[#This Row],[Data da Entrega]]&gt;fNotasFiscais[[#This Row],[Data Contratada]],0,1)</f>
        <v>1</v>
      </c>
      <c r="Y687" s="3">
        <f>IF(fNotasFiscais[[#This Row],[Ocorrência]]="",1,0)</f>
        <v>1</v>
      </c>
      <c r="Z687" s="2">
        <f>fNotasFiscais[[#This Row],[On Time]]*fNotasFiscais[[#This Row],[In Full]]</f>
        <v>1</v>
      </c>
      <c r="AA687">
        <f>IF(fNotasFiscais[[#This Row],[Nota Fiscal]]&lt;&gt;"",1,0)</f>
        <v>1</v>
      </c>
    </row>
    <row r="688" spans="1:27" x14ac:dyDescent="0.25">
      <c r="A688" s="1">
        <v>43312</v>
      </c>
      <c r="B688">
        <v>11097</v>
      </c>
      <c r="C688" s="2" t="s">
        <v>54</v>
      </c>
      <c r="D688" s="2" t="s">
        <v>55</v>
      </c>
      <c r="E688" s="2" t="s">
        <v>56</v>
      </c>
      <c r="F688">
        <v>4108</v>
      </c>
      <c r="G688" s="2" t="s">
        <v>191</v>
      </c>
      <c r="H688" s="2" t="s">
        <v>44</v>
      </c>
      <c r="I688" s="2" t="s">
        <v>45</v>
      </c>
      <c r="J688" s="2" t="s">
        <v>60</v>
      </c>
      <c r="K688" s="2" t="s">
        <v>45</v>
      </c>
      <c r="L688">
        <v>69.25</v>
      </c>
      <c r="M688">
        <v>1</v>
      </c>
      <c r="N688">
        <v>0.95699999999999996</v>
      </c>
      <c r="O688">
        <v>6140092</v>
      </c>
      <c r="P688" s="2" t="s">
        <v>137</v>
      </c>
      <c r="Q688" s="2" t="s">
        <v>138</v>
      </c>
      <c r="R688" s="2" t="s">
        <v>30</v>
      </c>
      <c r="S688">
        <v>12</v>
      </c>
      <c r="T688" s="1">
        <v>43313</v>
      </c>
      <c r="U688" s="1">
        <v>43314</v>
      </c>
      <c r="V688" s="2"/>
      <c r="W688" s="1">
        <f>fNotasFiscais[[#This Row],[Data da Coleta]]+fNotasFiscais[[#This Row],[Prazo Contratado]]</f>
        <v>43325</v>
      </c>
      <c r="X688" s="3">
        <f>IF(fNotasFiscais[[#This Row],[Data da Entrega]]&gt;fNotasFiscais[[#This Row],[Data Contratada]],0,1)</f>
        <v>1</v>
      </c>
      <c r="Y688" s="3">
        <f>IF(fNotasFiscais[[#This Row],[Ocorrência]]="",1,0)</f>
        <v>1</v>
      </c>
      <c r="Z688" s="2">
        <f>fNotasFiscais[[#This Row],[On Time]]*fNotasFiscais[[#This Row],[In Full]]</f>
        <v>1</v>
      </c>
      <c r="AA688">
        <f>IF(fNotasFiscais[[#This Row],[Nota Fiscal]]&lt;&gt;"",1,0)</f>
        <v>1</v>
      </c>
    </row>
    <row r="689" spans="1:27" x14ac:dyDescent="0.25">
      <c r="A689" s="1">
        <v>43312</v>
      </c>
      <c r="B689">
        <v>11098</v>
      </c>
      <c r="C689" s="2" t="s">
        <v>22</v>
      </c>
      <c r="D689" s="2" t="s">
        <v>23</v>
      </c>
      <c r="E689" s="2" t="s">
        <v>24</v>
      </c>
      <c r="F689">
        <v>4034</v>
      </c>
      <c r="G689" s="2" t="s">
        <v>110</v>
      </c>
      <c r="H689" s="2" t="s">
        <v>51</v>
      </c>
      <c r="I689" s="2" t="s">
        <v>73</v>
      </c>
      <c r="J689" s="2" t="s">
        <v>49</v>
      </c>
      <c r="K689" s="2" t="s">
        <v>73</v>
      </c>
      <c r="L689">
        <v>12528.34</v>
      </c>
      <c r="M689">
        <v>18</v>
      </c>
      <c r="N689">
        <v>59.003999999999998</v>
      </c>
      <c r="O689">
        <v>6100231</v>
      </c>
      <c r="P689" s="2" t="s">
        <v>50</v>
      </c>
      <c r="Q689" s="2" t="s">
        <v>51</v>
      </c>
      <c r="R689" s="2" t="s">
        <v>30</v>
      </c>
      <c r="S689">
        <v>5</v>
      </c>
      <c r="T689" s="1">
        <v>43313</v>
      </c>
      <c r="U689" s="1">
        <v>43315</v>
      </c>
      <c r="V689" s="2"/>
      <c r="W689" s="1">
        <f>fNotasFiscais[[#This Row],[Data da Coleta]]+fNotasFiscais[[#This Row],[Prazo Contratado]]</f>
        <v>43318</v>
      </c>
      <c r="X689" s="3">
        <f>IF(fNotasFiscais[[#This Row],[Data da Entrega]]&gt;fNotasFiscais[[#This Row],[Data Contratada]],0,1)</f>
        <v>1</v>
      </c>
      <c r="Y689" s="3">
        <f>IF(fNotasFiscais[[#This Row],[Ocorrência]]="",1,0)</f>
        <v>1</v>
      </c>
      <c r="Z689" s="2">
        <f>fNotasFiscais[[#This Row],[On Time]]*fNotasFiscais[[#This Row],[In Full]]</f>
        <v>1</v>
      </c>
      <c r="AA689">
        <f>IF(fNotasFiscais[[#This Row],[Nota Fiscal]]&lt;&gt;"",1,0)</f>
        <v>1</v>
      </c>
    </row>
    <row r="690" spans="1:27" x14ac:dyDescent="0.25">
      <c r="A690" s="1">
        <v>43313</v>
      </c>
      <c r="B690">
        <v>11099</v>
      </c>
      <c r="C690" s="2" t="s">
        <v>43</v>
      </c>
      <c r="D690" s="2" t="s">
        <v>44</v>
      </c>
      <c r="E690" s="2" t="s">
        <v>45</v>
      </c>
      <c r="F690">
        <v>4084</v>
      </c>
      <c r="G690" s="2" t="s">
        <v>155</v>
      </c>
      <c r="H690" s="2" t="s">
        <v>149</v>
      </c>
      <c r="I690" s="2" t="s">
        <v>33</v>
      </c>
      <c r="J690" s="2" t="s">
        <v>60</v>
      </c>
      <c r="K690" s="2" t="s">
        <v>33</v>
      </c>
      <c r="L690">
        <v>518.34</v>
      </c>
      <c r="M690">
        <v>1</v>
      </c>
      <c r="N690">
        <v>3.96</v>
      </c>
      <c r="O690">
        <v>6400835</v>
      </c>
      <c r="P690" s="2" t="s">
        <v>130</v>
      </c>
      <c r="Q690" s="2" t="s">
        <v>131</v>
      </c>
      <c r="R690" s="2" t="s">
        <v>30</v>
      </c>
      <c r="S690">
        <v>11</v>
      </c>
      <c r="T690" s="1">
        <v>43314</v>
      </c>
      <c r="U690" s="1">
        <v>43320</v>
      </c>
      <c r="V690" s="2"/>
      <c r="W690" s="1">
        <f>fNotasFiscais[[#This Row],[Data da Coleta]]+fNotasFiscais[[#This Row],[Prazo Contratado]]</f>
        <v>43325</v>
      </c>
      <c r="X690" s="3">
        <f>IF(fNotasFiscais[[#This Row],[Data da Entrega]]&gt;fNotasFiscais[[#This Row],[Data Contratada]],0,1)</f>
        <v>1</v>
      </c>
      <c r="Y690" s="3">
        <f>IF(fNotasFiscais[[#This Row],[Ocorrência]]="",1,0)</f>
        <v>1</v>
      </c>
      <c r="Z690" s="2">
        <f>fNotasFiscais[[#This Row],[On Time]]*fNotasFiscais[[#This Row],[In Full]]</f>
        <v>1</v>
      </c>
      <c r="AA690">
        <f>IF(fNotasFiscais[[#This Row],[Nota Fiscal]]&lt;&gt;"",1,0)</f>
        <v>1</v>
      </c>
    </row>
    <row r="691" spans="1:27" x14ac:dyDescent="0.25">
      <c r="A691" s="1">
        <v>43313</v>
      </c>
      <c r="B691">
        <v>11100</v>
      </c>
      <c r="C691" s="2" t="s">
        <v>31</v>
      </c>
      <c r="D691" s="2" t="s">
        <v>32</v>
      </c>
      <c r="E691" s="2" t="s">
        <v>33</v>
      </c>
      <c r="F691">
        <v>4024</v>
      </c>
      <c r="G691" s="2" t="s">
        <v>89</v>
      </c>
      <c r="H691" s="2" t="s">
        <v>23</v>
      </c>
      <c r="I691" s="2" t="s">
        <v>24</v>
      </c>
      <c r="J691" s="2" t="s">
        <v>28</v>
      </c>
      <c r="K691" s="2" t="s">
        <v>24</v>
      </c>
      <c r="L691">
        <v>1239.32</v>
      </c>
      <c r="M691">
        <v>1</v>
      </c>
      <c r="N691">
        <v>14.3</v>
      </c>
      <c r="O691">
        <v>6500948</v>
      </c>
      <c r="P691" s="2" t="s">
        <v>29</v>
      </c>
      <c r="Q691" s="2" t="s">
        <v>23</v>
      </c>
      <c r="R691" s="2" t="s">
        <v>30</v>
      </c>
      <c r="S691">
        <v>5</v>
      </c>
      <c r="T691" s="1">
        <v>43314</v>
      </c>
      <c r="U691" s="1">
        <v>43322</v>
      </c>
      <c r="V691" s="2"/>
      <c r="W691" s="1">
        <f>fNotasFiscais[[#This Row],[Data da Coleta]]+fNotasFiscais[[#This Row],[Prazo Contratado]]</f>
        <v>43319</v>
      </c>
      <c r="X691" s="3">
        <f>IF(fNotasFiscais[[#This Row],[Data da Entrega]]&gt;fNotasFiscais[[#This Row],[Data Contratada]],0,1)</f>
        <v>0</v>
      </c>
      <c r="Y691" s="3">
        <f>IF(fNotasFiscais[[#This Row],[Ocorrência]]="",1,0)</f>
        <v>1</v>
      </c>
      <c r="Z691" s="2">
        <f>fNotasFiscais[[#This Row],[On Time]]*fNotasFiscais[[#This Row],[In Full]]</f>
        <v>0</v>
      </c>
      <c r="AA691">
        <f>IF(fNotasFiscais[[#This Row],[Nota Fiscal]]&lt;&gt;"",1,0)</f>
        <v>1</v>
      </c>
    </row>
    <row r="692" spans="1:27" x14ac:dyDescent="0.25">
      <c r="A692" s="1">
        <v>43314</v>
      </c>
      <c r="B692">
        <v>11101</v>
      </c>
      <c r="C692" s="2" t="s">
        <v>40</v>
      </c>
      <c r="D692" s="2" t="s">
        <v>41</v>
      </c>
      <c r="E692" s="2" t="s">
        <v>33</v>
      </c>
      <c r="F692">
        <v>4014</v>
      </c>
      <c r="G692" s="2" t="s">
        <v>58</v>
      </c>
      <c r="H692" s="2" t="s">
        <v>59</v>
      </c>
      <c r="I692" s="2" t="s">
        <v>36</v>
      </c>
      <c r="J692" s="2" t="s">
        <v>60</v>
      </c>
      <c r="K692" s="2" t="s">
        <v>36</v>
      </c>
      <c r="L692">
        <v>3137.47</v>
      </c>
      <c r="M692">
        <v>4</v>
      </c>
      <c r="N692">
        <v>28.914999999999999</v>
      </c>
      <c r="O692">
        <v>6600879</v>
      </c>
      <c r="P692" s="2" t="s">
        <v>61</v>
      </c>
      <c r="Q692" s="2" t="s">
        <v>35</v>
      </c>
      <c r="R692" s="2" t="s">
        <v>30</v>
      </c>
      <c r="S692">
        <v>3</v>
      </c>
      <c r="T692" s="1">
        <v>43314</v>
      </c>
      <c r="U692" s="1">
        <v>43320</v>
      </c>
      <c r="V692" s="2"/>
      <c r="W692" s="1">
        <f>fNotasFiscais[[#This Row],[Data da Coleta]]+fNotasFiscais[[#This Row],[Prazo Contratado]]</f>
        <v>43317</v>
      </c>
      <c r="X692" s="3">
        <f>IF(fNotasFiscais[[#This Row],[Data da Entrega]]&gt;fNotasFiscais[[#This Row],[Data Contratada]],0,1)</f>
        <v>0</v>
      </c>
      <c r="Y692" s="3">
        <f>IF(fNotasFiscais[[#This Row],[Ocorrência]]="",1,0)</f>
        <v>1</v>
      </c>
      <c r="Z692" s="2">
        <f>fNotasFiscais[[#This Row],[On Time]]*fNotasFiscais[[#This Row],[In Full]]</f>
        <v>0</v>
      </c>
      <c r="AA692">
        <f>IF(fNotasFiscais[[#This Row],[Nota Fiscal]]&lt;&gt;"",1,0)</f>
        <v>1</v>
      </c>
    </row>
    <row r="693" spans="1:27" x14ac:dyDescent="0.25">
      <c r="A693" s="1">
        <v>43313</v>
      </c>
      <c r="B693">
        <v>11102</v>
      </c>
      <c r="C693" s="2" t="s">
        <v>34</v>
      </c>
      <c r="D693" s="2" t="s">
        <v>35</v>
      </c>
      <c r="E693" s="2" t="s">
        <v>36</v>
      </c>
      <c r="F693">
        <v>4014</v>
      </c>
      <c r="G693" s="2" t="s">
        <v>58</v>
      </c>
      <c r="H693" s="2" t="s">
        <v>59</v>
      </c>
      <c r="I693" s="2" t="s">
        <v>36</v>
      </c>
      <c r="J693" s="2" t="s">
        <v>60</v>
      </c>
      <c r="K693" s="2" t="s">
        <v>36</v>
      </c>
      <c r="L693">
        <v>7003.51</v>
      </c>
      <c r="M693">
        <v>11</v>
      </c>
      <c r="N693">
        <v>66.061999999999998</v>
      </c>
      <c r="O693">
        <v>6600879</v>
      </c>
      <c r="P693" s="2" t="s">
        <v>61</v>
      </c>
      <c r="Q693" s="2" t="s">
        <v>35</v>
      </c>
      <c r="R693" s="2" t="s">
        <v>30</v>
      </c>
      <c r="S693">
        <v>11</v>
      </c>
      <c r="T693" s="1">
        <v>43314</v>
      </c>
      <c r="U693" s="1">
        <v>43323</v>
      </c>
      <c r="V693" s="2"/>
      <c r="W693" s="1">
        <f>fNotasFiscais[[#This Row],[Data da Coleta]]+fNotasFiscais[[#This Row],[Prazo Contratado]]</f>
        <v>43325</v>
      </c>
      <c r="X693" s="3">
        <f>IF(fNotasFiscais[[#This Row],[Data da Entrega]]&gt;fNotasFiscais[[#This Row],[Data Contratada]],0,1)</f>
        <v>1</v>
      </c>
      <c r="Y693" s="3">
        <f>IF(fNotasFiscais[[#This Row],[Ocorrência]]="",1,0)</f>
        <v>1</v>
      </c>
      <c r="Z693" s="2">
        <f>fNotasFiscais[[#This Row],[On Time]]*fNotasFiscais[[#This Row],[In Full]]</f>
        <v>1</v>
      </c>
      <c r="AA693">
        <f>IF(fNotasFiscais[[#This Row],[Nota Fiscal]]&lt;&gt;"",1,0)</f>
        <v>1</v>
      </c>
    </row>
    <row r="694" spans="1:27" x14ac:dyDescent="0.25">
      <c r="A694" s="1">
        <v>43313</v>
      </c>
      <c r="B694">
        <v>11103</v>
      </c>
      <c r="C694" s="2" t="s">
        <v>43</v>
      </c>
      <c r="D694" s="2" t="s">
        <v>44</v>
      </c>
      <c r="E694" s="2" t="s">
        <v>45</v>
      </c>
      <c r="F694">
        <v>4014</v>
      </c>
      <c r="G694" s="2" t="s">
        <v>58</v>
      </c>
      <c r="H694" s="2" t="s">
        <v>59</v>
      </c>
      <c r="I694" s="2" t="s">
        <v>36</v>
      </c>
      <c r="J694" s="2" t="s">
        <v>60</v>
      </c>
      <c r="K694" s="2" t="s">
        <v>36</v>
      </c>
      <c r="L694">
        <v>3922.29</v>
      </c>
      <c r="M694">
        <v>2</v>
      </c>
      <c r="N694">
        <v>6.8869999999999996</v>
      </c>
      <c r="O694">
        <v>6600879</v>
      </c>
      <c r="P694" s="2" t="s">
        <v>61</v>
      </c>
      <c r="Q694" s="2" t="s">
        <v>35</v>
      </c>
      <c r="R694" s="2" t="s">
        <v>30</v>
      </c>
      <c r="S694">
        <v>7</v>
      </c>
      <c r="T694" s="1">
        <v>43314</v>
      </c>
      <c r="U694" s="1">
        <v>43317</v>
      </c>
      <c r="V694" s="2"/>
      <c r="W694" s="1">
        <f>fNotasFiscais[[#This Row],[Data da Coleta]]+fNotasFiscais[[#This Row],[Prazo Contratado]]</f>
        <v>43321</v>
      </c>
      <c r="X694" s="3">
        <f>IF(fNotasFiscais[[#This Row],[Data da Entrega]]&gt;fNotasFiscais[[#This Row],[Data Contratada]],0,1)</f>
        <v>1</v>
      </c>
      <c r="Y694" s="3">
        <f>IF(fNotasFiscais[[#This Row],[Ocorrência]]="",1,0)</f>
        <v>1</v>
      </c>
      <c r="Z694" s="2">
        <f>fNotasFiscais[[#This Row],[On Time]]*fNotasFiscais[[#This Row],[In Full]]</f>
        <v>1</v>
      </c>
      <c r="AA694">
        <f>IF(fNotasFiscais[[#This Row],[Nota Fiscal]]&lt;&gt;"",1,0)</f>
        <v>1</v>
      </c>
    </row>
    <row r="695" spans="1:27" x14ac:dyDescent="0.25">
      <c r="A695" s="1">
        <v>43313</v>
      </c>
      <c r="B695">
        <v>11104</v>
      </c>
      <c r="C695" s="2" t="s">
        <v>54</v>
      </c>
      <c r="D695" s="2" t="s">
        <v>55</v>
      </c>
      <c r="E695" s="2" t="s">
        <v>56</v>
      </c>
      <c r="F695">
        <v>4014</v>
      </c>
      <c r="G695" s="2" t="s">
        <v>58</v>
      </c>
      <c r="H695" s="2" t="s">
        <v>59</v>
      </c>
      <c r="I695" s="2" t="s">
        <v>36</v>
      </c>
      <c r="J695" s="2" t="s">
        <v>60</v>
      </c>
      <c r="K695" s="2" t="s">
        <v>36</v>
      </c>
      <c r="L695">
        <v>2105.3200000000002</v>
      </c>
      <c r="M695">
        <v>3</v>
      </c>
      <c r="N695">
        <v>17.82</v>
      </c>
      <c r="O695">
        <v>6600879</v>
      </c>
      <c r="P695" s="2" t="s">
        <v>61</v>
      </c>
      <c r="Q695" s="2" t="s">
        <v>35</v>
      </c>
      <c r="R695" s="2" t="s">
        <v>30</v>
      </c>
      <c r="S695">
        <v>11</v>
      </c>
      <c r="T695" s="1">
        <v>43314</v>
      </c>
      <c r="U695" s="1">
        <v>43323</v>
      </c>
      <c r="V695" s="2"/>
      <c r="W695" s="1">
        <f>fNotasFiscais[[#This Row],[Data da Coleta]]+fNotasFiscais[[#This Row],[Prazo Contratado]]</f>
        <v>43325</v>
      </c>
      <c r="X695" s="3">
        <f>IF(fNotasFiscais[[#This Row],[Data da Entrega]]&gt;fNotasFiscais[[#This Row],[Data Contratada]],0,1)</f>
        <v>1</v>
      </c>
      <c r="Y695" s="3">
        <f>IF(fNotasFiscais[[#This Row],[Ocorrência]]="",1,0)</f>
        <v>1</v>
      </c>
      <c r="Z695" s="2">
        <f>fNotasFiscais[[#This Row],[On Time]]*fNotasFiscais[[#This Row],[In Full]]</f>
        <v>1</v>
      </c>
      <c r="AA695">
        <f>IF(fNotasFiscais[[#This Row],[Nota Fiscal]]&lt;&gt;"",1,0)</f>
        <v>1</v>
      </c>
    </row>
    <row r="696" spans="1:27" x14ac:dyDescent="0.25">
      <c r="A696" s="1">
        <v>43315</v>
      </c>
      <c r="B696">
        <v>11105</v>
      </c>
      <c r="C696" s="2" t="s">
        <v>22</v>
      </c>
      <c r="D696" s="2" t="s">
        <v>23</v>
      </c>
      <c r="E696" s="2" t="s">
        <v>24</v>
      </c>
      <c r="F696">
        <v>4022</v>
      </c>
      <c r="G696" s="2" t="s">
        <v>86</v>
      </c>
      <c r="H696" s="2" t="s">
        <v>87</v>
      </c>
      <c r="I696" s="2" t="s">
        <v>27</v>
      </c>
      <c r="J696" s="2" t="s">
        <v>28</v>
      </c>
      <c r="K696" s="2" t="s">
        <v>27</v>
      </c>
      <c r="L696">
        <v>398.43</v>
      </c>
      <c r="M696">
        <v>1</v>
      </c>
      <c r="N696">
        <v>5.5060000000000002</v>
      </c>
      <c r="O696">
        <v>6500948</v>
      </c>
      <c r="P696" s="2" t="s">
        <v>29</v>
      </c>
      <c r="Q696" s="2" t="s">
        <v>23</v>
      </c>
      <c r="R696" s="2" t="s">
        <v>30</v>
      </c>
      <c r="S696">
        <v>5</v>
      </c>
      <c r="T696" s="1">
        <v>43316</v>
      </c>
      <c r="U696" s="1">
        <v>43324</v>
      </c>
      <c r="V696" s="2"/>
      <c r="W696" s="1">
        <f>fNotasFiscais[[#This Row],[Data da Coleta]]+fNotasFiscais[[#This Row],[Prazo Contratado]]</f>
        <v>43321</v>
      </c>
      <c r="X696" s="3">
        <f>IF(fNotasFiscais[[#This Row],[Data da Entrega]]&gt;fNotasFiscais[[#This Row],[Data Contratada]],0,1)</f>
        <v>0</v>
      </c>
      <c r="Y696" s="3">
        <f>IF(fNotasFiscais[[#This Row],[Ocorrência]]="",1,0)</f>
        <v>1</v>
      </c>
      <c r="Z696" s="2">
        <f>fNotasFiscais[[#This Row],[On Time]]*fNotasFiscais[[#This Row],[In Full]]</f>
        <v>0</v>
      </c>
      <c r="AA696">
        <f>IF(fNotasFiscais[[#This Row],[Nota Fiscal]]&lt;&gt;"",1,0)</f>
        <v>1</v>
      </c>
    </row>
    <row r="697" spans="1:27" x14ac:dyDescent="0.25">
      <c r="A697" s="1">
        <v>43318</v>
      </c>
      <c r="B697">
        <v>11106</v>
      </c>
      <c r="C697" s="2" t="s">
        <v>43</v>
      </c>
      <c r="D697" s="2" t="s">
        <v>44</v>
      </c>
      <c r="E697" s="2" t="s">
        <v>45</v>
      </c>
      <c r="F697">
        <v>4035</v>
      </c>
      <c r="G697" s="2" t="s">
        <v>111</v>
      </c>
      <c r="H697" s="2" t="s">
        <v>47</v>
      </c>
      <c r="I697" s="2" t="s">
        <v>48</v>
      </c>
      <c r="J697" s="2" t="s">
        <v>49</v>
      </c>
      <c r="K697" s="2" t="s">
        <v>48</v>
      </c>
      <c r="L697">
        <v>6010.08</v>
      </c>
      <c r="M697">
        <v>7</v>
      </c>
      <c r="N697">
        <v>40.076999999999998</v>
      </c>
      <c r="O697">
        <v>6100231</v>
      </c>
      <c r="P697" s="2" t="s">
        <v>50</v>
      </c>
      <c r="Q697" s="2" t="s">
        <v>51</v>
      </c>
      <c r="R697" s="2" t="s">
        <v>30</v>
      </c>
      <c r="S697">
        <v>5</v>
      </c>
      <c r="T697" s="1">
        <v>43319</v>
      </c>
      <c r="U697" s="1">
        <v>43327</v>
      </c>
      <c r="V697" s="2"/>
      <c r="W697" s="1">
        <f>fNotasFiscais[[#This Row],[Data da Coleta]]+fNotasFiscais[[#This Row],[Prazo Contratado]]</f>
        <v>43324</v>
      </c>
      <c r="X697" s="3">
        <f>IF(fNotasFiscais[[#This Row],[Data da Entrega]]&gt;fNotasFiscais[[#This Row],[Data Contratada]],0,1)</f>
        <v>0</v>
      </c>
      <c r="Y697" s="3">
        <f>IF(fNotasFiscais[[#This Row],[Ocorrência]]="",1,0)</f>
        <v>1</v>
      </c>
      <c r="Z697" s="2">
        <f>fNotasFiscais[[#This Row],[On Time]]*fNotasFiscais[[#This Row],[In Full]]</f>
        <v>0</v>
      </c>
      <c r="AA697">
        <f>IF(fNotasFiscais[[#This Row],[Nota Fiscal]]&lt;&gt;"",1,0)</f>
        <v>1</v>
      </c>
    </row>
    <row r="698" spans="1:27" x14ac:dyDescent="0.25">
      <c r="A698" s="1">
        <v>43319</v>
      </c>
      <c r="B698">
        <v>11107</v>
      </c>
      <c r="C698" s="2" t="s">
        <v>22</v>
      </c>
      <c r="D698" s="2" t="s">
        <v>23</v>
      </c>
      <c r="E698" s="2" t="s">
        <v>24</v>
      </c>
      <c r="F698">
        <v>4049</v>
      </c>
      <c r="G698" s="2" t="s">
        <v>118</v>
      </c>
      <c r="H698" s="2" t="s">
        <v>97</v>
      </c>
      <c r="I698" s="2" t="s">
        <v>48</v>
      </c>
      <c r="J698" s="2" t="s">
        <v>49</v>
      </c>
      <c r="K698" s="2" t="s">
        <v>48</v>
      </c>
      <c r="L698">
        <v>1175.17</v>
      </c>
      <c r="M698">
        <v>1</v>
      </c>
      <c r="N698">
        <v>11.837999999999999</v>
      </c>
      <c r="O698">
        <v>6100231</v>
      </c>
      <c r="P698" s="2" t="s">
        <v>50</v>
      </c>
      <c r="Q698" s="2" t="s">
        <v>51</v>
      </c>
      <c r="R698" s="2" t="s">
        <v>30</v>
      </c>
      <c r="S698">
        <v>8</v>
      </c>
      <c r="T698" s="1">
        <v>43319</v>
      </c>
      <c r="U698" s="1">
        <v>43325</v>
      </c>
      <c r="V698" s="2"/>
      <c r="W698" s="1">
        <f>fNotasFiscais[[#This Row],[Data da Coleta]]+fNotasFiscais[[#This Row],[Prazo Contratado]]</f>
        <v>43327</v>
      </c>
      <c r="X698" s="3">
        <f>IF(fNotasFiscais[[#This Row],[Data da Entrega]]&gt;fNotasFiscais[[#This Row],[Data Contratada]],0,1)</f>
        <v>1</v>
      </c>
      <c r="Y698" s="3">
        <f>IF(fNotasFiscais[[#This Row],[Ocorrência]]="",1,0)</f>
        <v>1</v>
      </c>
      <c r="Z698" s="2">
        <f>fNotasFiscais[[#This Row],[On Time]]*fNotasFiscais[[#This Row],[In Full]]</f>
        <v>1</v>
      </c>
      <c r="AA698">
        <f>IF(fNotasFiscais[[#This Row],[Nota Fiscal]]&lt;&gt;"",1,0)</f>
        <v>1</v>
      </c>
    </row>
    <row r="699" spans="1:27" x14ac:dyDescent="0.25">
      <c r="A699" s="1">
        <v>43319</v>
      </c>
      <c r="B699">
        <v>11108</v>
      </c>
      <c r="C699" s="2" t="s">
        <v>31</v>
      </c>
      <c r="D699" s="2" t="s">
        <v>32</v>
      </c>
      <c r="E699" s="2" t="s">
        <v>33</v>
      </c>
      <c r="F699">
        <v>4035</v>
      </c>
      <c r="G699" s="2" t="s">
        <v>111</v>
      </c>
      <c r="H699" s="2" t="s">
        <v>47</v>
      </c>
      <c r="I699" s="2" t="s">
        <v>48</v>
      </c>
      <c r="J699" s="2" t="s">
        <v>49</v>
      </c>
      <c r="K699" s="2" t="s">
        <v>48</v>
      </c>
      <c r="L699">
        <v>4713.1000000000004</v>
      </c>
      <c r="M699">
        <v>5</v>
      </c>
      <c r="N699">
        <v>28.068000000000001</v>
      </c>
      <c r="O699">
        <v>6100231</v>
      </c>
      <c r="P699" s="2" t="s">
        <v>50</v>
      </c>
      <c r="Q699" s="2" t="s">
        <v>51</v>
      </c>
      <c r="R699" s="2" t="s">
        <v>30</v>
      </c>
      <c r="S699">
        <v>1</v>
      </c>
      <c r="T699" s="1">
        <v>43319</v>
      </c>
      <c r="U699" s="1">
        <v>43325</v>
      </c>
      <c r="V699" s="2"/>
      <c r="W699" s="1">
        <f>fNotasFiscais[[#This Row],[Data da Coleta]]+fNotasFiscais[[#This Row],[Prazo Contratado]]</f>
        <v>43320</v>
      </c>
      <c r="X699" s="3">
        <f>IF(fNotasFiscais[[#This Row],[Data da Entrega]]&gt;fNotasFiscais[[#This Row],[Data Contratada]],0,1)</f>
        <v>0</v>
      </c>
      <c r="Y699" s="3">
        <f>IF(fNotasFiscais[[#This Row],[Ocorrência]]="",1,0)</f>
        <v>1</v>
      </c>
      <c r="Z699" s="2">
        <f>fNotasFiscais[[#This Row],[On Time]]*fNotasFiscais[[#This Row],[In Full]]</f>
        <v>0</v>
      </c>
      <c r="AA699">
        <f>IF(fNotasFiscais[[#This Row],[Nota Fiscal]]&lt;&gt;"",1,0)</f>
        <v>1</v>
      </c>
    </row>
    <row r="700" spans="1:27" x14ac:dyDescent="0.25">
      <c r="A700" s="1">
        <v>43319</v>
      </c>
      <c r="B700">
        <v>11109</v>
      </c>
      <c r="C700" s="2" t="s">
        <v>54</v>
      </c>
      <c r="D700" s="2" t="s">
        <v>55</v>
      </c>
      <c r="E700" s="2" t="s">
        <v>56</v>
      </c>
      <c r="F700">
        <v>4035</v>
      </c>
      <c r="G700" s="2" t="s">
        <v>111</v>
      </c>
      <c r="H700" s="2" t="s">
        <v>47</v>
      </c>
      <c r="I700" s="2" t="s">
        <v>48</v>
      </c>
      <c r="J700" s="2" t="s">
        <v>49</v>
      </c>
      <c r="K700" s="2" t="s">
        <v>48</v>
      </c>
      <c r="L700">
        <v>3106.1</v>
      </c>
      <c r="M700">
        <v>5</v>
      </c>
      <c r="N700">
        <v>23.381</v>
      </c>
      <c r="O700">
        <v>6100231</v>
      </c>
      <c r="P700" s="2" t="s">
        <v>50</v>
      </c>
      <c r="Q700" s="2" t="s">
        <v>51</v>
      </c>
      <c r="R700" s="2" t="s">
        <v>30</v>
      </c>
      <c r="S700">
        <v>4</v>
      </c>
      <c r="T700" s="1">
        <v>43319</v>
      </c>
      <c r="U700" s="1">
        <v>43328</v>
      </c>
      <c r="V700" s="2"/>
      <c r="W700" s="1">
        <f>fNotasFiscais[[#This Row],[Data da Coleta]]+fNotasFiscais[[#This Row],[Prazo Contratado]]</f>
        <v>43323</v>
      </c>
      <c r="X700" s="3">
        <f>IF(fNotasFiscais[[#This Row],[Data da Entrega]]&gt;fNotasFiscais[[#This Row],[Data Contratada]],0,1)</f>
        <v>0</v>
      </c>
      <c r="Y700" s="3">
        <f>IF(fNotasFiscais[[#This Row],[Ocorrência]]="",1,0)</f>
        <v>1</v>
      </c>
      <c r="Z700" s="2">
        <f>fNotasFiscais[[#This Row],[On Time]]*fNotasFiscais[[#This Row],[In Full]]</f>
        <v>0</v>
      </c>
      <c r="AA700">
        <f>IF(fNotasFiscais[[#This Row],[Nota Fiscal]]&lt;&gt;"",1,0)</f>
        <v>1</v>
      </c>
    </row>
    <row r="701" spans="1:27" x14ac:dyDescent="0.25">
      <c r="A701" s="1">
        <v>43319</v>
      </c>
      <c r="B701">
        <v>11110</v>
      </c>
      <c r="C701" s="2" t="s">
        <v>52</v>
      </c>
      <c r="D701" s="2" t="s">
        <v>53</v>
      </c>
      <c r="E701" s="2" t="s">
        <v>33</v>
      </c>
      <c r="F701">
        <v>4049</v>
      </c>
      <c r="G701" s="2" t="s">
        <v>118</v>
      </c>
      <c r="H701" s="2" t="s">
        <v>97</v>
      </c>
      <c r="I701" s="2" t="s">
        <v>48</v>
      </c>
      <c r="J701" s="2" t="s">
        <v>49</v>
      </c>
      <c r="K701" s="2" t="s">
        <v>48</v>
      </c>
      <c r="L701">
        <v>1383.37</v>
      </c>
      <c r="M701">
        <v>3</v>
      </c>
      <c r="N701">
        <v>15.786</v>
      </c>
      <c r="O701">
        <v>6100231</v>
      </c>
      <c r="P701" s="2" t="s">
        <v>50</v>
      </c>
      <c r="Q701" s="2" t="s">
        <v>51</v>
      </c>
      <c r="R701" s="2" t="s">
        <v>30</v>
      </c>
      <c r="S701">
        <v>6</v>
      </c>
      <c r="T701" s="1">
        <v>43319</v>
      </c>
      <c r="U701" s="1">
        <v>43323</v>
      </c>
      <c r="V701" s="2"/>
      <c r="W701" s="1">
        <f>fNotasFiscais[[#This Row],[Data da Coleta]]+fNotasFiscais[[#This Row],[Prazo Contratado]]</f>
        <v>43325</v>
      </c>
      <c r="X701" s="3">
        <f>IF(fNotasFiscais[[#This Row],[Data da Entrega]]&gt;fNotasFiscais[[#This Row],[Data Contratada]],0,1)</f>
        <v>1</v>
      </c>
      <c r="Y701" s="3">
        <f>IF(fNotasFiscais[[#This Row],[Ocorrência]]="",1,0)</f>
        <v>1</v>
      </c>
      <c r="Z701" s="2">
        <f>fNotasFiscais[[#This Row],[On Time]]*fNotasFiscais[[#This Row],[In Full]]</f>
        <v>1</v>
      </c>
      <c r="AA701">
        <f>IF(fNotasFiscais[[#This Row],[Nota Fiscal]]&lt;&gt;"",1,0)</f>
        <v>1</v>
      </c>
    </row>
    <row r="702" spans="1:27" x14ac:dyDescent="0.25">
      <c r="A702" s="1">
        <v>43319</v>
      </c>
      <c r="B702">
        <v>11111</v>
      </c>
      <c r="C702" s="2" t="s">
        <v>22</v>
      </c>
      <c r="D702" s="2" t="s">
        <v>23</v>
      </c>
      <c r="E702" s="2" t="s">
        <v>24</v>
      </c>
      <c r="F702">
        <v>4049</v>
      </c>
      <c r="G702" s="2" t="s">
        <v>118</v>
      </c>
      <c r="H702" s="2" t="s">
        <v>97</v>
      </c>
      <c r="I702" s="2" t="s">
        <v>48</v>
      </c>
      <c r="J702" s="2" t="s">
        <v>49</v>
      </c>
      <c r="K702" s="2" t="s">
        <v>48</v>
      </c>
      <c r="L702">
        <v>571.1</v>
      </c>
      <c r="M702">
        <v>1</v>
      </c>
      <c r="N702">
        <v>1.1200000000000001</v>
      </c>
      <c r="O702">
        <v>6100231</v>
      </c>
      <c r="P702" s="2" t="s">
        <v>50</v>
      </c>
      <c r="Q702" s="2" t="s">
        <v>51</v>
      </c>
      <c r="R702" s="2" t="s">
        <v>30</v>
      </c>
      <c r="S702">
        <v>4</v>
      </c>
      <c r="T702" s="1">
        <v>43319</v>
      </c>
      <c r="U702" s="1">
        <v>43323</v>
      </c>
      <c r="V702" s="2"/>
      <c r="W702" s="1">
        <f>fNotasFiscais[[#This Row],[Data da Coleta]]+fNotasFiscais[[#This Row],[Prazo Contratado]]</f>
        <v>43323</v>
      </c>
      <c r="X702" s="3">
        <f>IF(fNotasFiscais[[#This Row],[Data da Entrega]]&gt;fNotasFiscais[[#This Row],[Data Contratada]],0,1)</f>
        <v>1</v>
      </c>
      <c r="Y702" s="3">
        <f>IF(fNotasFiscais[[#This Row],[Ocorrência]]="",1,0)</f>
        <v>1</v>
      </c>
      <c r="Z702" s="2">
        <f>fNotasFiscais[[#This Row],[On Time]]*fNotasFiscais[[#This Row],[In Full]]</f>
        <v>1</v>
      </c>
      <c r="AA702">
        <f>IF(fNotasFiscais[[#This Row],[Nota Fiscal]]&lt;&gt;"",1,0)</f>
        <v>1</v>
      </c>
    </row>
    <row r="703" spans="1:27" x14ac:dyDescent="0.25">
      <c r="A703" s="1">
        <v>43319</v>
      </c>
      <c r="B703">
        <v>11112</v>
      </c>
      <c r="C703" s="2" t="s">
        <v>43</v>
      </c>
      <c r="D703" s="2" t="s">
        <v>44</v>
      </c>
      <c r="E703" s="2" t="s">
        <v>45</v>
      </c>
      <c r="F703">
        <v>4049</v>
      </c>
      <c r="G703" s="2" t="s">
        <v>118</v>
      </c>
      <c r="H703" s="2" t="s">
        <v>97</v>
      </c>
      <c r="I703" s="2" t="s">
        <v>48</v>
      </c>
      <c r="J703" s="2" t="s">
        <v>49</v>
      </c>
      <c r="K703" s="2" t="s">
        <v>48</v>
      </c>
      <c r="L703">
        <v>946.68</v>
      </c>
      <c r="M703">
        <v>2</v>
      </c>
      <c r="N703">
        <v>4.048</v>
      </c>
      <c r="O703">
        <v>6100231</v>
      </c>
      <c r="P703" s="2" t="s">
        <v>50</v>
      </c>
      <c r="Q703" s="2" t="s">
        <v>51</v>
      </c>
      <c r="R703" s="2" t="s">
        <v>30</v>
      </c>
      <c r="S703">
        <v>4</v>
      </c>
      <c r="T703" s="1">
        <v>43319</v>
      </c>
      <c r="U703" s="1">
        <v>43324</v>
      </c>
      <c r="V703" s="2"/>
      <c r="W703" s="1">
        <f>fNotasFiscais[[#This Row],[Data da Coleta]]+fNotasFiscais[[#This Row],[Prazo Contratado]]</f>
        <v>43323</v>
      </c>
      <c r="X703" s="3">
        <f>IF(fNotasFiscais[[#This Row],[Data da Entrega]]&gt;fNotasFiscais[[#This Row],[Data Contratada]],0,1)</f>
        <v>0</v>
      </c>
      <c r="Y703" s="3">
        <f>IF(fNotasFiscais[[#This Row],[Ocorrência]]="",1,0)</f>
        <v>1</v>
      </c>
      <c r="Z703" s="2">
        <f>fNotasFiscais[[#This Row],[On Time]]*fNotasFiscais[[#This Row],[In Full]]</f>
        <v>0</v>
      </c>
      <c r="AA703">
        <f>IF(fNotasFiscais[[#This Row],[Nota Fiscal]]&lt;&gt;"",1,0)</f>
        <v>1</v>
      </c>
    </row>
    <row r="704" spans="1:27" x14ac:dyDescent="0.25">
      <c r="A704" s="1">
        <v>43319</v>
      </c>
      <c r="B704">
        <v>11113</v>
      </c>
      <c r="C704" s="2" t="s">
        <v>31</v>
      </c>
      <c r="D704" s="2" t="s">
        <v>32</v>
      </c>
      <c r="E704" s="2" t="s">
        <v>33</v>
      </c>
      <c r="F704">
        <v>4049</v>
      </c>
      <c r="G704" s="2" t="s">
        <v>118</v>
      </c>
      <c r="H704" s="2" t="s">
        <v>97</v>
      </c>
      <c r="I704" s="2" t="s">
        <v>48</v>
      </c>
      <c r="J704" s="2" t="s">
        <v>49</v>
      </c>
      <c r="K704" s="2" t="s">
        <v>48</v>
      </c>
      <c r="L704">
        <v>1008.33</v>
      </c>
      <c r="M704">
        <v>1</v>
      </c>
      <c r="N704">
        <v>9.35</v>
      </c>
      <c r="O704">
        <v>6100231</v>
      </c>
      <c r="P704" s="2" t="s">
        <v>50</v>
      </c>
      <c r="Q704" s="2" t="s">
        <v>51</v>
      </c>
      <c r="R704" s="2" t="s">
        <v>30</v>
      </c>
      <c r="S704">
        <v>4</v>
      </c>
      <c r="T704" s="1">
        <v>43319</v>
      </c>
      <c r="U704" s="1">
        <v>43326</v>
      </c>
      <c r="V704" s="2"/>
      <c r="W704" s="1">
        <f>fNotasFiscais[[#This Row],[Data da Coleta]]+fNotasFiscais[[#This Row],[Prazo Contratado]]</f>
        <v>43323</v>
      </c>
      <c r="X704" s="3">
        <f>IF(fNotasFiscais[[#This Row],[Data da Entrega]]&gt;fNotasFiscais[[#This Row],[Data Contratada]],0,1)</f>
        <v>0</v>
      </c>
      <c r="Y704" s="3">
        <f>IF(fNotasFiscais[[#This Row],[Ocorrência]]="",1,0)</f>
        <v>1</v>
      </c>
      <c r="Z704" s="2">
        <f>fNotasFiscais[[#This Row],[On Time]]*fNotasFiscais[[#This Row],[In Full]]</f>
        <v>0</v>
      </c>
      <c r="AA704">
        <f>IF(fNotasFiscais[[#This Row],[Nota Fiscal]]&lt;&gt;"",1,0)</f>
        <v>1</v>
      </c>
    </row>
    <row r="705" spans="1:27" x14ac:dyDescent="0.25">
      <c r="A705" s="1">
        <v>43319</v>
      </c>
      <c r="B705">
        <v>11114</v>
      </c>
      <c r="C705" s="2" t="s">
        <v>22</v>
      </c>
      <c r="D705" s="2" t="s">
        <v>23</v>
      </c>
      <c r="E705" s="2" t="s">
        <v>24</v>
      </c>
      <c r="F705">
        <v>4049</v>
      </c>
      <c r="G705" s="2" t="s">
        <v>118</v>
      </c>
      <c r="H705" s="2" t="s">
        <v>97</v>
      </c>
      <c r="I705" s="2" t="s">
        <v>48</v>
      </c>
      <c r="J705" s="2" t="s">
        <v>49</v>
      </c>
      <c r="K705" s="2" t="s">
        <v>48</v>
      </c>
      <c r="L705">
        <v>1232.95</v>
      </c>
      <c r="M705">
        <v>1</v>
      </c>
      <c r="N705">
        <v>8.6059999999999999</v>
      </c>
      <c r="O705">
        <v>6100231</v>
      </c>
      <c r="P705" s="2" t="s">
        <v>50</v>
      </c>
      <c r="Q705" s="2" t="s">
        <v>51</v>
      </c>
      <c r="R705" s="2" t="s">
        <v>30</v>
      </c>
      <c r="S705">
        <v>9</v>
      </c>
      <c r="T705" s="1">
        <v>43319</v>
      </c>
      <c r="U705" s="1">
        <v>43329</v>
      </c>
      <c r="V705" s="2"/>
      <c r="W705" s="1">
        <f>fNotasFiscais[[#This Row],[Data da Coleta]]+fNotasFiscais[[#This Row],[Prazo Contratado]]</f>
        <v>43328</v>
      </c>
      <c r="X705" s="3">
        <f>IF(fNotasFiscais[[#This Row],[Data da Entrega]]&gt;fNotasFiscais[[#This Row],[Data Contratada]],0,1)</f>
        <v>0</v>
      </c>
      <c r="Y705" s="3">
        <f>IF(fNotasFiscais[[#This Row],[Ocorrência]]="",1,0)</f>
        <v>1</v>
      </c>
      <c r="Z705" s="2">
        <f>fNotasFiscais[[#This Row],[On Time]]*fNotasFiscais[[#This Row],[In Full]]</f>
        <v>0</v>
      </c>
      <c r="AA705">
        <f>IF(fNotasFiscais[[#This Row],[Nota Fiscal]]&lt;&gt;"",1,0)</f>
        <v>1</v>
      </c>
    </row>
    <row r="706" spans="1:27" x14ac:dyDescent="0.25">
      <c r="A706" s="1">
        <v>43319</v>
      </c>
      <c r="B706">
        <v>11115</v>
      </c>
      <c r="C706" s="2" t="s">
        <v>22</v>
      </c>
      <c r="D706" s="2" t="s">
        <v>23</v>
      </c>
      <c r="E706" s="2" t="s">
        <v>24</v>
      </c>
      <c r="F706">
        <v>4049</v>
      </c>
      <c r="G706" s="2" t="s">
        <v>118</v>
      </c>
      <c r="H706" s="2" t="s">
        <v>97</v>
      </c>
      <c r="I706" s="2" t="s">
        <v>48</v>
      </c>
      <c r="J706" s="2" t="s">
        <v>49</v>
      </c>
      <c r="K706" s="2" t="s">
        <v>48</v>
      </c>
      <c r="L706">
        <v>14582.89</v>
      </c>
      <c r="M706">
        <v>17</v>
      </c>
      <c r="N706">
        <v>132.86699999999999</v>
      </c>
      <c r="O706">
        <v>6100231</v>
      </c>
      <c r="P706" s="2" t="s">
        <v>50</v>
      </c>
      <c r="Q706" s="2" t="s">
        <v>51</v>
      </c>
      <c r="R706" s="2" t="s">
        <v>30</v>
      </c>
      <c r="S706">
        <v>6</v>
      </c>
      <c r="T706" s="1">
        <v>43319</v>
      </c>
      <c r="U706" s="1">
        <v>43323</v>
      </c>
      <c r="V706" s="2"/>
      <c r="W706" s="1">
        <f>fNotasFiscais[[#This Row],[Data da Coleta]]+fNotasFiscais[[#This Row],[Prazo Contratado]]</f>
        <v>43325</v>
      </c>
      <c r="X706" s="3">
        <f>IF(fNotasFiscais[[#This Row],[Data da Entrega]]&gt;fNotasFiscais[[#This Row],[Data Contratada]],0,1)</f>
        <v>1</v>
      </c>
      <c r="Y706" s="3">
        <f>IF(fNotasFiscais[[#This Row],[Ocorrência]]="",1,0)</f>
        <v>1</v>
      </c>
      <c r="Z706" s="2">
        <f>fNotasFiscais[[#This Row],[On Time]]*fNotasFiscais[[#This Row],[In Full]]</f>
        <v>1</v>
      </c>
      <c r="AA706">
        <f>IF(fNotasFiscais[[#This Row],[Nota Fiscal]]&lt;&gt;"",1,0)</f>
        <v>1</v>
      </c>
    </row>
    <row r="707" spans="1:27" x14ac:dyDescent="0.25">
      <c r="A707" s="1">
        <v>43319</v>
      </c>
      <c r="B707">
        <v>11116</v>
      </c>
      <c r="C707" s="2" t="s">
        <v>54</v>
      </c>
      <c r="D707" s="2" t="s">
        <v>55</v>
      </c>
      <c r="E707" s="2" t="s">
        <v>56</v>
      </c>
      <c r="F707">
        <v>4049</v>
      </c>
      <c r="G707" s="2" t="s">
        <v>118</v>
      </c>
      <c r="H707" s="2" t="s">
        <v>97</v>
      </c>
      <c r="I707" s="2" t="s">
        <v>48</v>
      </c>
      <c r="J707" s="2" t="s">
        <v>49</v>
      </c>
      <c r="K707" s="2" t="s">
        <v>48</v>
      </c>
      <c r="L707">
        <v>1123.8</v>
      </c>
      <c r="M707">
        <v>6</v>
      </c>
      <c r="N707">
        <v>17.224</v>
      </c>
      <c r="O707">
        <v>6100231</v>
      </c>
      <c r="P707" s="2" t="s">
        <v>50</v>
      </c>
      <c r="Q707" s="2" t="s">
        <v>51</v>
      </c>
      <c r="R707" s="2" t="s">
        <v>30</v>
      </c>
      <c r="S707">
        <v>2</v>
      </c>
      <c r="T707" s="1">
        <v>43319</v>
      </c>
      <c r="U707" s="1">
        <v>43325</v>
      </c>
      <c r="V707" s="2"/>
      <c r="W707" s="1">
        <f>fNotasFiscais[[#This Row],[Data da Coleta]]+fNotasFiscais[[#This Row],[Prazo Contratado]]</f>
        <v>43321</v>
      </c>
      <c r="X707" s="3">
        <f>IF(fNotasFiscais[[#This Row],[Data da Entrega]]&gt;fNotasFiscais[[#This Row],[Data Contratada]],0,1)</f>
        <v>0</v>
      </c>
      <c r="Y707" s="3">
        <f>IF(fNotasFiscais[[#This Row],[Ocorrência]]="",1,0)</f>
        <v>1</v>
      </c>
      <c r="Z707" s="2">
        <f>fNotasFiscais[[#This Row],[On Time]]*fNotasFiscais[[#This Row],[In Full]]</f>
        <v>0</v>
      </c>
      <c r="AA707">
        <f>IF(fNotasFiscais[[#This Row],[Nota Fiscal]]&lt;&gt;"",1,0)</f>
        <v>1</v>
      </c>
    </row>
    <row r="708" spans="1:27" x14ac:dyDescent="0.25">
      <c r="A708" s="1">
        <v>43319</v>
      </c>
      <c r="B708">
        <v>11117</v>
      </c>
      <c r="C708" s="2" t="s">
        <v>52</v>
      </c>
      <c r="D708" s="2" t="s">
        <v>53</v>
      </c>
      <c r="E708" s="2" t="s">
        <v>33</v>
      </c>
      <c r="F708">
        <v>4049</v>
      </c>
      <c r="G708" s="2" t="s">
        <v>118</v>
      </c>
      <c r="H708" s="2" t="s">
        <v>97</v>
      </c>
      <c r="I708" s="2" t="s">
        <v>48</v>
      </c>
      <c r="J708" s="2" t="s">
        <v>49</v>
      </c>
      <c r="K708" s="2" t="s">
        <v>48</v>
      </c>
      <c r="L708">
        <v>1269.1600000000001</v>
      </c>
      <c r="M708">
        <v>1</v>
      </c>
      <c r="N708">
        <v>1.1200000000000001</v>
      </c>
      <c r="O708">
        <v>6100231</v>
      </c>
      <c r="P708" s="2" t="s">
        <v>50</v>
      </c>
      <c r="Q708" s="2" t="s">
        <v>51</v>
      </c>
      <c r="R708" s="2" t="s">
        <v>30</v>
      </c>
      <c r="S708">
        <v>12</v>
      </c>
      <c r="T708" s="1">
        <v>43319</v>
      </c>
      <c r="U708" s="1">
        <v>43320</v>
      </c>
      <c r="V708" s="2"/>
      <c r="W708" s="1">
        <f>fNotasFiscais[[#This Row],[Data da Coleta]]+fNotasFiscais[[#This Row],[Prazo Contratado]]</f>
        <v>43331</v>
      </c>
      <c r="X708" s="3">
        <f>IF(fNotasFiscais[[#This Row],[Data da Entrega]]&gt;fNotasFiscais[[#This Row],[Data Contratada]],0,1)</f>
        <v>1</v>
      </c>
      <c r="Y708" s="3">
        <f>IF(fNotasFiscais[[#This Row],[Ocorrência]]="",1,0)</f>
        <v>1</v>
      </c>
      <c r="Z708" s="2">
        <f>fNotasFiscais[[#This Row],[On Time]]*fNotasFiscais[[#This Row],[In Full]]</f>
        <v>1</v>
      </c>
      <c r="AA708">
        <f>IF(fNotasFiscais[[#This Row],[Nota Fiscal]]&lt;&gt;"",1,0)</f>
        <v>1</v>
      </c>
    </row>
    <row r="709" spans="1:27" x14ac:dyDescent="0.25">
      <c r="A709" s="1">
        <v>43319</v>
      </c>
      <c r="B709">
        <v>11118</v>
      </c>
      <c r="C709" s="2" t="s">
        <v>31</v>
      </c>
      <c r="D709" s="2" t="s">
        <v>32</v>
      </c>
      <c r="E709" s="2" t="s">
        <v>33</v>
      </c>
      <c r="F709">
        <v>4049</v>
      </c>
      <c r="G709" s="2" t="s">
        <v>118</v>
      </c>
      <c r="H709" s="2" t="s">
        <v>97</v>
      </c>
      <c r="I709" s="2" t="s">
        <v>48</v>
      </c>
      <c r="J709" s="2" t="s">
        <v>49</v>
      </c>
      <c r="K709" s="2" t="s">
        <v>48</v>
      </c>
      <c r="L709">
        <v>1239.32</v>
      </c>
      <c r="M709">
        <v>1</v>
      </c>
      <c r="N709">
        <v>14.3</v>
      </c>
      <c r="O709">
        <v>6100231</v>
      </c>
      <c r="P709" s="2" t="s">
        <v>50</v>
      </c>
      <c r="Q709" s="2" t="s">
        <v>51</v>
      </c>
      <c r="R709" s="2" t="s">
        <v>30</v>
      </c>
      <c r="S709">
        <v>9</v>
      </c>
      <c r="T709" s="1">
        <v>43319</v>
      </c>
      <c r="U709" s="1">
        <v>43323</v>
      </c>
      <c r="V709" s="2"/>
      <c r="W709" s="1">
        <f>fNotasFiscais[[#This Row],[Data da Coleta]]+fNotasFiscais[[#This Row],[Prazo Contratado]]</f>
        <v>43328</v>
      </c>
      <c r="X709" s="3">
        <f>IF(fNotasFiscais[[#This Row],[Data da Entrega]]&gt;fNotasFiscais[[#This Row],[Data Contratada]],0,1)</f>
        <v>1</v>
      </c>
      <c r="Y709" s="3">
        <f>IF(fNotasFiscais[[#This Row],[Ocorrência]]="",1,0)</f>
        <v>1</v>
      </c>
      <c r="Z709" s="2">
        <f>fNotasFiscais[[#This Row],[On Time]]*fNotasFiscais[[#This Row],[In Full]]</f>
        <v>1</v>
      </c>
      <c r="AA709">
        <f>IF(fNotasFiscais[[#This Row],[Nota Fiscal]]&lt;&gt;"",1,0)</f>
        <v>1</v>
      </c>
    </row>
    <row r="710" spans="1:27" x14ac:dyDescent="0.25">
      <c r="A710" s="1">
        <v>43321</v>
      </c>
      <c r="B710">
        <v>11119</v>
      </c>
      <c r="C710" s="2" t="s">
        <v>31</v>
      </c>
      <c r="D710" s="2" t="s">
        <v>32</v>
      </c>
      <c r="E710" s="2" t="s">
        <v>33</v>
      </c>
      <c r="F710">
        <v>4060</v>
      </c>
      <c r="G710" s="2" t="s">
        <v>134</v>
      </c>
      <c r="H710" s="2" t="s">
        <v>115</v>
      </c>
      <c r="I710" s="2" t="s">
        <v>107</v>
      </c>
      <c r="J710" s="2" t="s">
        <v>49</v>
      </c>
      <c r="K710" s="2" t="s">
        <v>107</v>
      </c>
      <c r="L710">
        <v>269.87</v>
      </c>
      <c r="M710">
        <v>1</v>
      </c>
      <c r="N710">
        <v>5.5</v>
      </c>
      <c r="O710">
        <v>6100231</v>
      </c>
      <c r="P710" s="2" t="s">
        <v>50</v>
      </c>
      <c r="Q710" s="2" t="s">
        <v>51</v>
      </c>
      <c r="R710" s="2" t="s">
        <v>30</v>
      </c>
      <c r="S710">
        <v>9</v>
      </c>
      <c r="T710" s="1">
        <v>43321</v>
      </c>
      <c r="U710" s="1">
        <v>43323</v>
      </c>
      <c r="V710" s="2"/>
      <c r="W710" s="1">
        <f>fNotasFiscais[[#This Row],[Data da Coleta]]+fNotasFiscais[[#This Row],[Prazo Contratado]]</f>
        <v>43330</v>
      </c>
      <c r="X710" s="3">
        <f>IF(fNotasFiscais[[#This Row],[Data da Entrega]]&gt;fNotasFiscais[[#This Row],[Data Contratada]],0,1)</f>
        <v>1</v>
      </c>
      <c r="Y710" s="3">
        <f>IF(fNotasFiscais[[#This Row],[Ocorrência]]="",1,0)</f>
        <v>1</v>
      </c>
      <c r="Z710" s="2">
        <f>fNotasFiscais[[#This Row],[On Time]]*fNotasFiscais[[#This Row],[In Full]]</f>
        <v>1</v>
      </c>
      <c r="AA710">
        <f>IF(fNotasFiscais[[#This Row],[Nota Fiscal]]&lt;&gt;"",1,0)</f>
        <v>1</v>
      </c>
    </row>
    <row r="711" spans="1:27" x14ac:dyDescent="0.25">
      <c r="A711" s="1">
        <v>43321</v>
      </c>
      <c r="B711">
        <v>11120</v>
      </c>
      <c r="C711" s="2" t="s">
        <v>31</v>
      </c>
      <c r="D711" s="2" t="s">
        <v>32</v>
      </c>
      <c r="E711" s="2" t="s">
        <v>33</v>
      </c>
      <c r="F711">
        <v>4012</v>
      </c>
      <c r="G711" s="2" t="s">
        <v>25</v>
      </c>
      <c r="H711" s="2" t="s">
        <v>26</v>
      </c>
      <c r="I711" s="2" t="s">
        <v>27</v>
      </c>
      <c r="J711" s="2" t="s">
        <v>28</v>
      </c>
      <c r="K711" s="2" t="s">
        <v>27</v>
      </c>
      <c r="L711">
        <v>1584.68</v>
      </c>
      <c r="M711">
        <v>3</v>
      </c>
      <c r="N711">
        <v>14.904999999999999</v>
      </c>
      <c r="O711">
        <v>6500948</v>
      </c>
      <c r="P711" s="2" t="s">
        <v>29</v>
      </c>
      <c r="Q711" s="2" t="s">
        <v>23</v>
      </c>
      <c r="R711" s="2" t="s">
        <v>30</v>
      </c>
      <c r="S711">
        <v>10</v>
      </c>
      <c r="T711" s="1">
        <v>43321</v>
      </c>
      <c r="U711" s="1">
        <v>43328</v>
      </c>
      <c r="V711" s="2"/>
      <c r="W711" s="1">
        <f>fNotasFiscais[[#This Row],[Data da Coleta]]+fNotasFiscais[[#This Row],[Prazo Contratado]]</f>
        <v>43331</v>
      </c>
      <c r="X711" s="3">
        <f>IF(fNotasFiscais[[#This Row],[Data da Entrega]]&gt;fNotasFiscais[[#This Row],[Data Contratada]],0,1)</f>
        <v>1</v>
      </c>
      <c r="Y711" s="3">
        <f>IF(fNotasFiscais[[#This Row],[Ocorrência]]="",1,0)</f>
        <v>1</v>
      </c>
      <c r="Z711" s="2">
        <f>fNotasFiscais[[#This Row],[On Time]]*fNotasFiscais[[#This Row],[In Full]]</f>
        <v>1</v>
      </c>
      <c r="AA711">
        <f>IF(fNotasFiscais[[#This Row],[Nota Fiscal]]&lt;&gt;"",1,0)</f>
        <v>1</v>
      </c>
    </row>
    <row r="712" spans="1:27" x14ac:dyDescent="0.25">
      <c r="A712" s="1">
        <v>43321</v>
      </c>
      <c r="B712">
        <v>11121</v>
      </c>
      <c r="C712" s="2" t="s">
        <v>34</v>
      </c>
      <c r="D712" s="2" t="s">
        <v>35</v>
      </c>
      <c r="E712" s="2" t="s">
        <v>36</v>
      </c>
      <c r="F712">
        <v>4028</v>
      </c>
      <c r="G712" s="2" t="s">
        <v>95</v>
      </c>
      <c r="H712" s="2" t="s">
        <v>26</v>
      </c>
      <c r="I712" s="2" t="s">
        <v>27</v>
      </c>
      <c r="J712" s="2" t="s">
        <v>28</v>
      </c>
      <c r="K712" s="2" t="s">
        <v>27</v>
      </c>
      <c r="L712">
        <v>3296.12</v>
      </c>
      <c r="M712">
        <v>2</v>
      </c>
      <c r="N712">
        <v>5.5919999999999996</v>
      </c>
      <c r="O712">
        <v>6500948</v>
      </c>
      <c r="P712" s="2" t="s">
        <v>29</v>
      </c>
      <c r="Q712" s="2" t="s">
        <v>23</v>
      </c>
      <c r="R712" s="2" t="s">
        <v>30</v>
      </c>
      <c r="S712">
        <v>2</v>
      </c>
      <c r="T712" s="1">
        <v>43321</v>
      </c>
      <c r="U712" s="1">
        <v>43328</v>
      </c>
      <c r="V712" s="2"/>
      <c r="W712" s="1">
        <f>fNotasFiscais[[#This Row],[Data da Coleta]]+fNotasFiscais[[#This Row],[Prazo Contratado]]</f>
        <v>43323</v>
      </c>
      <c r="X712" s="3">
        <f>IF(fNotasFiscais[[#This Row],[Data da Entrega]]&gt;fNotasFiscais[[#This Row],[Data Contratada]],0,1)</f>
        <v>0</v>
      </c>
      <c r="Y712" s="3">
        <f>IF(fNotasFiscais[[#This Row],[Ocorrência]]="",1,0)</f>
        <v>1</v>
      </c>
      <c r="Z712" s="2">
        <f>fNotasFiscais[[#This Row],[On Time]]*fNotasFiscais[[#This Row],[In Full]]</f>
        <v>0</v>
      </c>
      <c r="AA712">
        <f>IF(fNotasFiscais[[#This Row],[Nota Fiscal]]&lt;&gt;"",1,0)</f>
        <v>1</v>
      </c>
    </row>
    <row r="713" spans="1:27" x14ac:dyDescent="0.25">
      <c r="A713" s="1">
        <v>43321</v>
      </c>
      <c r="B713">
        <v>11122</v>
      </c>
      <c r="C713" s="2" t="s">
        <v>43</v>
      </c>
      <c r="D713" s="2" t="s">
        <v>44</v>
      </c>
      <c r="E713" s="2" t="s">
        <v>45</v>
      </c>
      <c r="F713">
        <v>4027</v>
      </c>
      <c r="G713" s="2" t="s">
        <v>93</v>
      </c>
      <c r="H713" s="2" t="s">
        <v>91</v>
      </c>
      <c r="I713" s="2" t="s">
        <v>24</v>
      </c>
      <c r="J713" s="2" t="s">
        <v>28</v>
      </c>
      <c r="K713" s="2" t="s">
        <v>24</v>
      </c>
      <c r="L713">
        <v>1854.19</v>
      </c>
      <c r="M713">
        <v>4</v>
      </c>
      <c r="N713">
        <v>16.762</v>
      </c>
      <c r="O713">
        <v>6500948</v>
      </c>
      <c r="P713" s="2" t="s">
        <v>29</v>
      </c>
      <c r="Q713" s="2" t="s">
        <v>23</v>
      </c>
      <c r="R713" s="2" t="s">
        <v>30</v>
      </c>
      <c r="S713">
        <v>10</v>
      </c>
      <c r="T713" s="1">
        <v>43321</v>
      </c>
      <c r="U713" s="1">
        <v>43326</v>
      </c>
      <c r="V713" s="2"/>
      <c r="W713" s="1">
        <f>fNotasFiscais[[#This Row],[Data da Coleta]]+fNotasFiscais[[#This Row],[Prazo Contratado]]</f>
        <v>43331</v>
      </c>
      <c r="X713" s="3">
        <f>IF(fNotasFiscais[[#This Row],[Data da Entrega]]&gt;fNotasFiscais[[#This Row],[Data Contratada]],0,1)</f>
        <v>1</v>
      </c>
      <c r="Y713" s="3">
        <f>IF(fNotasFiscais[[#This Row],[Ocorrência]]="",1,0)</f>
        <v>1</v>
      </c>
      <c r="Z713" s="2">
        <f>fNotasFiscais[[#This Row],[On Time]]*fNotasFiscais[[#This Row],[In Full]]</f>
        <v>1</v>
      </c>
      <c r="AA713">
        <f>IF(fNotasFiscais[[#This Row],[Nota Fiscal]]&lt;&gt;"",1,0)</f>
        <v>1</v>
      </c>
    </row>
    <row r="714" spans="1:27" x14ac:dyDescent="0.25">
      <c r="A714" s="1">
        <v>43321</v>
      </c>
      <c r="B714">
        <v>11123</v>
      </c>
      <c r="C714" s="2" t="s">
        <v>22</v>
      </c>
      <c r="D714" s="2" t="s">
        <v>23</v>
      </c>
      <c r="E714" s="2" t="s">
        <v>24</v>
      </c>
      <c r="F714">
        <v>4027</v>
      </c>
      <c r="G714" s="2" t="s">
        <v>93</v>
      </c>
      <c r="H714" s="2" t="s">
        <v>91</v>
      </c>
      <c r="I714" s="2" t="s">
        <v>24</v>
      </c>
      <c r="J714" s="2" t="s">
        <v>28</v>
      </c>
      <c r="K714" s="2" t="s">
        <v>24</v>
      </c>
      <c r="L714">
        <v>1477.17</v>
      </c>
      <c r="M714">
        <v>2</v>
      </c>
      <c r="N714">
        <v>4.4039999999999999</v>
      </c>
      <c r="O714">
        <v>6500948</v>
      </c>
      <c r="P714" s="2" t="s">
        <v>29</v>
      </c>
      <c r="Q714" s="2" t="s">
        <v>23</v>
      </c>
      <c r="R714" s="2" t="s">
        <v>30</v>
      </c>
      <c r="S714">
        <v>11</v>
      </c>
      <c r="T714" s="1">
        <v>43321</v>
      </c>
      <c r="U714" s="1">
        <v>43326</v>
      </c>
      <c r="V714" s="2"/>
      <c r="W714" s="1">
        <f>fNotasFiscais[[#This Row],[Data da Coleta]]+fNotasFiscais[[#This Row],[Prazo Contratado]]</f>
        <v>43332</v>
      </c>
      <c r="X714" s="3">
        <f>IF(fNotasFiscais[[#This Row],[Data da Entrega]]&gt;fNotasFiscais[[#This Row],[Data Contratada]],0,1)</f>
        <v>1</v>
      </c>
      <c r="Y714" s="3">
        <f>IF(fNotasFiscais[[#This Row],[Ocorrência]]="",1,0)</f>
        <v>1</v>
      </c>
      <c r="Z714" s="2">
        <f>fNotasFiscais[[#This Row],[On Time]]*fNotasFiscais[[#This Row],[In Full]]</f>
        <v>1</v>
      </c>
      <c r="AA714">
        <f>IF(fNotasFiscais[[#This Row],[Nota Fiscal]]&lt;&gt;"",1,0)</f>
        <v>1</v>
      </c>
    </row>
    <row r="715" spans="1:27" x14ac:dyDescent="0.25">
      <c r="A715" s="1">
        <v>43321</v>
      </c>
      <c r="B715">
        <v>11124</v>
      </c>
      <c r="C715" s="2" t="s">
        <v>34</v>
      </c>
      <c r="D715" s="2" t="s">
        <v>35</v>
      </c>
      <c r="E715" s="2" t="s">
        <v>36</v>
      </c>
      <c r="F715">
        <v>4040</v>
      </c>
      <c r="G715" s="2" t="s">
        <v>117</v>
      </c>
      <c r="H715" s="2" t="s">
        <v>47</v>
      </c>
      <c r="I715" s="2" t="s">
        <v>48</v>
      </c>
      <c r="J715" s="2" t="s">
        <v>49</v>
      </c>
      <c r="K715" s="2" t="s">
        <v>48</v>
      </c>
      <c r="L715">
        <v>1239.5</v>
      </c>
      <c r="M715">
        <v>1</v>
      </c>
      <c r="N715">
        <v>8.6059999999999999</v>
      </c>
      <c r="O715">
        <v>6100231</v>
      </c>
      <c r="P715" s="2" t="s">
        <v>50</v>
      </c>
      <c r="Q715" s="2" t="s">
        <v>51</v>
      </c>
      <c r="R715" s="2" t="s">
        <v>30</v>
      </c>
      <c r="S715">
        <v>8</v>
      </c>
      <c r="T715" s="1">
        <v>43321</v>
      </c>
      <c r="U715" s="1">
        <v>43329</v>
      </c>
      <c r="V715" s="2"/>
      <c r="W715" s="1">
        <f>fNotasFiscais[[#This Row],[Data da Coleta]]+fNotasFiscais[[#This Row],[Prazo Contratado]]</f>
        <v>43329</v>
      </c>
      <c r="X715" s="3">
        <f>IF(fNotasFiscais[[#This Row],[Data da Entrega]]&gt;fNotasFiscais[[#This Row],[Data Contratada]],0,1)</f>
        <v>1</v>
      </c>
      <c r="Y715" s="3">
        <f>IF(fNotasFiscais[[#This Row],[Ocorrência]]="",1,0)</f>
        <v>1</v>
      </c>
      <c r="Z715" s="2">
        <f>fNotasFiscais[[#This Row],[On Time]]*fNotasFiscais[[#This Row],[In Full]]</f>
        <v>1</v>
      </c>
      <c r="AA715">
        <f>IF(fNotasFiscais[[#This Row],[Nota Fiscal]]&lt;&gt;"",1,0)</f>
        <v>1</v>
      </c>
    </row>
    <row r="716" spans="1:27" x14ac:dyDescent="0.25">
      <c r="A716" s="1">
        <v>43321</v>
      </c>
      <c r="B716">
        <v>11125</v>
      </c>
      <c r="C716" s="2" t="s">
        <v>31</v>
      </c>
      <c r="D716" s="2" t="s">
        <v>32</v>
      </c>
      <c r="E716" s="2" t="s">
        <v>33</v>
      </c>
      <c r="F716">
        <v>4055</v>
      </c>
      <c r="G716" s="2" t="s">
        <v>120</v>
      </c>
      <c r="H716" s="2" t="s">
        <v>47</v>
      </c>
      <c r="I716" s="2" t="s">
        <v>48</v>
      </c>
      <c r="J716" s="2" t="s">
        <v>49</v>
      </c>
      <c r="K716" s="2" t="s">
        <v>48</v>
      </c>
      <c r="L716">
        <v>1148.76</v>
      </c>
      <c r="M716">
        <v>1</v>
      </c>
      <c r="N716">
        <v>11.837999999999999</v>
      </c>
      <c r="O716">
        <v>6100231</v>
      </c>
      <c r="P716" s="2" t="s">
        <v>50</v>
      </c>
      <c r="Q716" s="2" t="s">
        <v>51</v>
      </c>
      <c r="R716" s="2" t="s">
        <v>30</v>
      </c>
      <c r="S716">
        <v>4</v>
      </c>
      <c r="T716" s="1">
        <v>43321</v>
      </c>
      <c r="U716" s="1">
        <v>43329</v>
      </c>
      <c r="V716" s="2"/>
      <c r="W716" s="1">
        <f>fNotasFiscais[[#This Row],[Data da Coleta]]+fNotasFiscais[[#This Row],[Prazo Contratado]]</f>
        <v>43325</v>
      </c>
      <c r="X716" s="3">
        <f>IF(fNotasFiscais[[#This Row],[Data da Entrega]]&gt;fNotasFiscais[[#This Row],[Data Contratada]],0,1)</f>
        <v>0</v>
      </c>
      <c r="Y716" s="3">
        <f>IF(fNotasFiscais[[#This Row],[Ocorrência]]="",1,0)</f>
        <v>1</v>
      </c>
      <c r="Z716" s="2">
        <f>fNotasFiscais[[#This Row],[On Time]]*fNotasFiscais[[#This Row],[In Full]]</f>
        <v>0</v>
      </c>
      <c r="AA716">
        <f>IF(fNotasFiscais[[#This Row],[Nota Fiscal]]&lt;&gt;"",1,0)</f>
        <v>1</v>
      </c>
    </row>
    <row r="717" spans="1:27" x14ac:dyDescent="0.25">
      <c r="A717" s="1">
        <v>43321</v>
      </c>
      <c r="B717">
        <v>11126</v>
      </c>
      <c r="C717" s="2" t="s">
        <v>22</v>
      </c>
      <c r="D717" s="2" t="s">
        <v>23</v>
      </c>
      <c r="E717" s="2" t="s">
        <v>24</v>
      </c>
      <c r="F717">
        <v>4062</v>
      </c>
      <c r="G717" s="2" t="s">
        <v>96</v>
      </c>
      <c r="H717" s="2" t="s">
        <v>97</v>
      </c>
      <c r="I717" s="2" t="s">
        <v>48</v>
      </c>
      <c r="J717" s="2" t="s">
        <v>49</v>
      </c>
      <c r="K717" s="2" t="s">
        <v>48</v>
      </c>
      <c r="L717">
        <v>661.03</v>
      </c>
      <c r="M717">
        <v>1</v>
      </c>
      <c r="N717">
        <v>0.63600000000000001</v>
      </c>
      <c r="O717">
        <v>6100231</v>
      </c>
      <c r="P717" s="2" t="s">
        <v>50</v>
      </c>
      <c r="Q717" s="2" t="s">
        <v>51</v>
      </c>
      <c r="R717" s="2" t="s">
        <v>30</v>
      </c>
      <c r="S717">
        <v>6</v>
      </c>
      <c r="T717" s="1">
        <v>43321</v>
      </c>
      <c r="U717" s="1">
        <v>43331</v>
      </c>
      <c r="V717" s="2"/>
      <c r="W717" s="1">
        <f>fNotasFiscais[[#This Row],[Data da Coleta]]+fNotasFiscais[[#This Row],[Prazo Contratado]]</f>
        <v>43327</v>
      </c>
      <c r="X717" s="3">
        <f>IF(fNotasFiscais[[#This Row],[Data da Entrega]]&gt;fNotasFiscais[[#This Row],[Data Contratada]],0,1)</f>
        <v>0</v>
      </c>
      <c r="Y717" s="3">
        <f>IF(fNotasFiscais[[#This Row],[Ocorrência]]="",1,0)</f>
        <v>1</v>
      </c>
      <c r="Z717" s="2">
        <f>fNotasFiscais[[#This Row],[On Time]]*fNotasFiscais[[#This Row],[In Full]]</f>
        <v>0</v>
      </c>
      <c r="AA717">
        <f>IF(fNotasFiscais[[#This Row],[Nota Fiscal]]&lt;&gt;"",1,0)</f>
        <v>1</v>
      </c>
    </row>
    <row r="718" spans="1:27" x14ac:dyDescent="0.25">
      <c r="A718" s="1">
        <v>43321</v>
      </c>
      <c r="B718">
        <v>11127</v>
      </c>
      <c r="C718" s="2" t="s">
        <v>31</v>
      </c>
      <c r="D718" s="2" t="s">
        <v>32</v>
      </c>
      <c r="E718" s="2" t="s">
        <v>33</v>
      </c>
      <c r="F718">
        <v>4028</v>
      </c>
      <c r="G718" s="2" t="s">
        <v>95</v>
      </c>
      <c r="H718" s="2" t="s">
        <v>26</v>
      </c>
      <c r="I718" s="2" t="s">
        <v>27</v>
      </c>
      <c r="J718" s="2" t="s">
        <v>28</v>
      </c>
      <c r="K718" s="2" t="s">
        <v>27</v>
      </c>
      <c r="L718">
        <v>5004.83</v>
      </c>
      <c r="M718">
        <v>8</v>
      </c>
      <c r="N718">
        <v>22.023</v>
      </c>
      <c r="O718">
        <v>6500948</v>
      </c>
      <c r="P718" s="2" t="s">
        <v>29</v>
      </c>
      <c r="Q718" s="2" t="s">
        <v>23</v>
      </c>
      <c r="R718" s="2" t="s">
        <v>30</v>
      </c>
      <c r="S718">
        <v>11</v>
      </c>
      <c r="T718" s="1">
        <v>43321</v>
      </c>
      <c r="U718" s="1">
        <v>43324</v>
      </c>
      <c r="V718" s="2"/>
      <c r="W718" s="1">
        <f>fNotasFiscais[[#This Row],[Data da Coleta]]+fNotasFiscais[[#This Row],[Prazo Contratado]]</f>
        <v>43332</v>
      </c>
      <c r="X718" s="3">
        <f>IF(fNotasFiscais[[#This Row],[Data da Entrega]]&gt;fNotasFiscais[[#This Row],[Data Contratada]],0,1)</f>
        <v>1</v>
      </c>
      <c r="Y718" s="3">
        <f>IF(fNotasFiscais[[#This Row],[Ocorrência]]="",1,0)</f>
        <v>1</v>
      </c>
      <c r="Z718" s="2">
        <f>fNotasFiscais[[#This Row],[On Time]]*fNotasFiscais[[#This Row],[In Full]]</f>
        <v>1</v>
      </c>
      <c r="AA718">
        <f>IF(fNotasFiscais[[#This Row],[Nota Fiscal]]&lt;&gt;"",1,0)</f>
        <v>1</v>
      </c>
    </row>
    <row r="719" spans="1:27" x14ac:dyDescent="0.25">
      <c r="A719" s="1">
        <v>43321</v>
      </c>
      <c r="B719">
        <v>11128</v>
      </c>
      <c r="C719" s="2" t="s">
        <v>34</v>
      </c>
      <c r="D719" s="2" t="s">
        <v>35</v>
      </c>
      <c r="E719" s="2" t="s">
        <v>36</v>
      </c>
      <c r="F719">
        <v>4032</v>
      </c>
      <c r="G719" s="2" t="s">
        <v>108</v>
      </c>
      <c r="H719" s="2" t="s">
        <v>51</v>
      </c>
      <c r="I719" s="2" t="s">
        <v>73</v>
      </c>
      <c r="J719" s="2" t="s">
        <v>49</v>
      </c>
      <c r="K719" s="2" t="s">
        <v>73</v>
      </c>
      <c r="L719">
        <v>1239.5</v>
      </c>
      <c r="M719">
        <v>1</v>
      </c>
      <c r="N719">
        <v>8.6059999999999999</v>
      </c>
      <c r="O719">
        <v>6100231</v>
      </c>
      <c r="P719" s="2" t="s">
        <v>50</v>
      </c>
      <c r="Q719" s="2" t="s">
        <v>51</v>
      </c>
      <c r="R719" s="2" t="s">
        <v>30</v>
      </c>
      <c r="S719">
        <v>8</v>
      </c>
      <c r="T719" s="1">
        <v>43321</v>
      </c>
      <c r="U719" s="1">
        <v>43330</v>
      </c>
      <c r="V719" s="2"/>
      <c r="W719" s="1">
        <f>fNotasFiscais[[#This Row],[Data da Coleta]]+fNotasFiscais[[#This Row],[Prazo Contratado]]</f>
        <v>43329</v>
      </c>
      <c r="X719" s="3">
        <f>IF(fNotasFiscais[[#This Row],[Data da Entrega]]&gt;fNotasFiscais[[#This Row],[Data Contratada]],0,1)</f>
        <v>0</v>
      </c>
      <c r="Y719" s="3">
        <f>IF(fNotasFiscais[[#This Row],[Ocorrência]]="",1,0)</f>
        <v>1</v>
      </c>
      <c r="Z719" s="2">
        <f>fNotasFiscais[[#This Row],[On Time]]*fNotasFiscais[[#This Row],[In Full]]</f>
        <v>0</v>
      </c>
      <c r="AA719">
        <f>IF(fNotasFiscais[[#This Row],[Nota Fiscal]]&lt;&gt;"",1,0)</f>
        <v>1</v>
      </c>
    </row>
    <row r="720" spans="1:27" x14ac:dyDescent="0.25">
      <c r="A720" s="1">
        <v>43321</v>
      </c>
      <c r="B720">
        <v>11129</v>
      </c>
      <c r="C720" s="2" t="s">
        <v>40</v>
      </c>
      <c r="D720" s="2" t="s">
        <v>41</v>
      </c>
      <c r="E720" s="2" t="s">
        <v>33</v>
      </c>
      <c r="F720">
        <v>4040</v>
      </c>
      <c r="G720" s="2" t="s">
        <v>117</v>
      </c>
      <c r="H720" s="2" t="s">
        <v>47</v>
      </c>
      <c r="I720" s="2" t="s">
        <v>48</v>
      </c>
      <c r="J720" s="2" t="s">
        <v>49</v>
      </c>
      <c r="K720" s="2" t="s">
        <v>48</v>
      </c>
      <c r="L720">
        <v>518.34</v>
      </c>
      <c r="M720">
        <v>1</v>
      </c>
      <c r="N720">
        <v>3.96</v>
      </c>
      <c r="O720">
        <v>6100231</v>
      </c>
      <c r="P720" s="2" t="s">
        <v>50</v>
      </c>
      <c r="Q720" s="2" t="s">
        <v>51</v>
      </c>
      <c r="R720" s="2" t="s">
        <v>30</v>
      </c>
      <c r="S720">
        <v>9</v>
      </c>
      <c r="T720" s="1">
        <v>43321</v>
      </c>
      <c r="U720" s="1">
        <v>43328</v>
      </c>
      <c r="V720" s="2"/>
      <c r="W720" s="1">
        <f>fNotasFiscais[[#This Row],[Data da Coleta]]+fNotasFiscais[[#This Row],[Prazo Contratado]]</f>
        <v>43330</v>
      </c>
      <c r="X720" s="3">
        <f>IF(fNotasFiscais[[#This Row],[Data da Entrega]]&gt;fNotasFiscais[[#This Row],[Data Contratada]],0,1)</f>
        <v>1</v>
      </c>
      <c r="Y720" s="3">
        <f>IF(fNotasFiscais[[#This Row],[Ocorrência]]="",1,0)</f>
        <v>1</v>
      </c>
      <c r="Z720" s="2">
        <f>fNotasFiscais[[#This Row],[On Time]]*fNotasFiscais[[#This Row],[In Full]]</f>
        <v>1</v>
      </c>
      <c r="AA720">
        <f>IF(fNotasFiscais[[#This Row],[Nota Fiscal]]&lt;&gt;"",1,0)</f>
        <v>1</v>
      </c>
    </row>
    <row r="721" spans="1:27" x14ac:dyDescent="0.25">
      <c r="A721" s="1">
        <v>43321</v>
      </c>
      <c r="B721">
        <v>11130</v>
      </c>
      <c r="C721" s="2" t="s">
        <v>54</v>
      </c>
      <c r="D721" s="2" t="s">
        <v>55</v>
      </c>
      <c r="E721" s="2" t="s">
        <v>56</v>
      </c>
      <c r="F721">
        <v>4055</v>
      </c>
      <c r="G721" s="2" t="s">
        <v>120</v>
      </c>
      <c r="H721" s="2" t="s">
        <v>47</v>
      </c>
      <c r="I721" s="2" t="s">
        <v>48</v>
      </c>
      <c r="J721" s="2" t="s">
        <v>49</v>
      </c>
      <c r="K721" s="2" t="s">
        <v>48</v>
      </c>
      <c r="L721">
        <v>778.28</v>
      </c>
      <c r="M721">
        <v>2</v>
      </c>
      <c r="N721">
        <v>10.808999999999999</v>
      </c>
      <c r="O721">
        <v>6100231</v>
      </c>
      <c r="P721" s="2" t="s">
        <v>50</v>
      </c>
      <c r="Q721" s="2" t="s">
        <v>51</v>
      </c>
      <c r="R721" s="2" t="s">
        <v>30</v>
      </c>
      <c r="S721">
        <v>3</v>
      </c>
      <c r="T721" s="1">
        <v>43321</v>
      </c>
      <c r="U721" s="1">
        <v>43330</v>
      </c>
      <c r="V721" s="2"/>
      <c r="W721" s="1">
        <f>fNotasFiscais[[#This Row],[Data da Coleta]]+fNotasFiscais[[#This Row],[Prazo Contratado]]</f>
        <v>43324</v>
      </c>
      <c r="X721" s="3">
        <f>IF(fNotasFiscais[[#This Row],[Data da Entrega]]&gt;fNotasFiscais[[#This Row],[Data Contratada]],0,1)</f>
        <v>0</v>
      </c>
      <c r="Y721" s="3">
        <f>IF(fNotasFiscais[[#This Row],[Ocorrência]]="",1,0)</f>
        <v>1</v>
      </c>
      <c r="Z721" s="2">
        <f>fNotasFiscais[[#This Row],[On Time]]*fNotasFiscais[[#This Row],[In Full]]</f>
        <v>0</v>
      </c>
      <c r="AA721">
        <f>IF(fNotasFiscais[[#This Row],[Nota Fiscal]]&lt;&gt;"",1,0)</f>
        <v>1</v>
      </c>
    </row>
    <row r="722" spans="1:27" x14ac:dyDescent="0.25">
      <c r="A722" s="1">
        <v>43321</v>
      </c>
      <c r="B722">
        <v>11131</v>
      </c>
      <c r="C722" s="2" t="s">
        <v>31</v>
      </c>
      <c r="D722" s="2" t="s">
        <v>32</v>
      </c>
      <c r="E722" s="2" t="s">
        <v>33</v>
      </c>
      <c r="F722">
        <v>4062</v>
      </c>
      <c r="G722" s="2" t="s">
        <v>96</v>
      </c>
      <c r="H722" s="2" t="s">
        <v>97</v>
      </c>
      <c r="I722" s="2" t="s">
        <v>48</v>
      </c>
      <c r="J722" s="2" t="s">
        <v>49</v>
      </c>
      <c r="K722" s="2" t="s">
        <v>48</v>
      </c>
      <c r="L722">
        <v>1052.21</v>
      </c>
      <c r="M722">
        <v>1</v>
      </c>
      <c r="N722">
        <v>9.9</v>
      </c>
      <c r="O722">
        <v>6100231</v>
      </c>
      <c r="P722" s="2" t="s">
        <v>50</v>
      </c>
      <c r="Q722" s="2" t="s">
        <v>51</v>
      </c>
      <c r="R722" s="2" t="s">
        <v>30</v>
      </c>
      <c r="S722">
        <v>7</v>
      </c>
      <c r="T722" s="1">
        <v>43321</v>
      </c>
      <c r="U722" s="1">
        <v>43330</v>
      </c>
      <c r="V722" s="2" t="s">
        <v>42</v>
      </c>
      <c r="W722" s="1">
        <f>fNotasFiscais[[#This Row],[Data da Coleta]]+fNotasFiscais[[#This Row],[Prazo Contratado]]</f>
        <v>43328</v>
      </c>
      <c r="X722" s="3">
        <f>IF(fNotasFiscais[[#This Row],[Data da Entrega]]&gt;fNotasFiscais[[#This Row],[Data Contratada]],0,1)</f>
        <v>0</v>
      </c>
      <c r="Y722" s="3">
        <f>IF(fNotasFiscais[[#This Row],[Ocorrência]]="",1,0)</f>
        <v>0</v>
      </c>
      <c r="Z722" s="2">
        <f>fNotasFiscais[[#This Row],[On Time]]*fNotasFiscais[[#This Row],[In Full]]</f>
        <v>0</v>
      </c>
      <c r="AA722">
        <f>IF(fNotasFiscais[[#This Row],[Nota Fiscal]]&lt;&gt;"",1,0)</f>
        <v>1</v>
      </c>
    </row>
    <row r="723" spans="1:27" x14ac:dyDescent="0.25">
      <c r="A723" s="1">
        <v>43321</v>
      </c>
      <c r="B723">
        <v>11132</v>
      </c>
      <c r="C723" s="2" t="s">
        <v>43</v>
      </c>
      <c r="D723" s="2" t="s">
        <v>44</v>
      </c>
      <c r="E723" s="2" t="s">
        <v>45</v>
      </c>
      <c r="F723">
        <v>4030</v>
      </c>
      <c r="G723" s="2" t="s">
        <v>102</v>
      </c>
      <c r="H723" s="2" t="s">
        <v>35</v>
      </c>
      <c r="I723" s="2" t="s">
        <v>36</v>
      </c>
      <c r="J723" s="2" t="s">
        <v>60</v>
      </c>
      <c r="K723" s="2" t="s">
        <v>36</v>
      </c>
      <c r="L723">
        <v>1933.69</v>
      </c>
      <c r="M723">
        <v>1</v>
      </c>
      <c r="N723">
        <v>5.0049999999999999</v>
      </c>
      <c r="O723">
        <v>6600879</v>
      </c>
      <c r="P723" s="2" t="s">
        <v>61</v>
      </c>
      <c r="Q723" s="2" t="s">
        <v>35</v>
      </c>
      <c r="R723" s="2" t="s">
        <v>30</v>
      </c>
      <c r="S723">
        <v>4</v>
      </c>
      <c r="T723" s="1">
        <v>43321</v>
      </c>
      <c r="U723" s="1">
        <v>43322</v>
      </c>
      <c r="V723" s="2"/>
      <c r="W723" s="1">
        <f>fNotasFiscais[[#This Row],[Data da Coleta]]+fNotasFiscais[[#This Row],[Prazo Contratado]]</f>
        <v>43325</v>
      </c>
      <c r="X723" s="3">
        <f>IF(fNotasFiscais[[#This Row],[Data da Entrega]]&gt;fNotasFiscais[[#This Row],[Data Contratada]],0,1)</f>
        <v>1</v>
      </c>
      <c r="Y723" s="3">
        <f>IF(fNotasFiscais[[#This Row],[Ocorrência]]="",1,0)</f>
        <v>1</v>
      </c>
      <c r="Z723" s="2">
        <f>fNotasFiscais[[#This Row],[On Time]]*fNotasFiscais[[#This Row],[In Full]]</f>
        <v>1</v>
      </c>
      <c r="AA723">
        <f>IF(fNotasFiscais[[#This Row],[Nota Fiscal]]&lt;&gt;"",1,0)</f>
        <v>1</v>
      </c>
    </row>
    <row r="724" spans="1:27" x14ac:dyDescent="0.25">
      <c r="A724" s="1">
        <v>43321</v>
      </c>
      <c r="B724">
        <v>11133</v>
      </c>
      <c r="C724" s="2" t="s">
        <v>43</v>
      </c>
      <c r="D724" s="2" t="s">
        <v>44</v>
      </c>
      <c r="E724" s="2" t="s">
        <v>45</v>
      </c>
      <c r="F724">
        <v>4030</v>
      </c>
      <c r="G724" s="2" t="s">
        <v>102</v>
      </c>
      <c r="H724" s="2" t="s">
        <v>35</v>
      </c>
      <c r="I724" s="2" t="s">
        <v>36</v>
      </c>
      <c r="J724" s="2" t="s">
        <v>60</v>
      </c>
      <c r="K724" s="2" t="s">
        <v>36</v>
      </c>
      <c r="L724">
        <v>624.47</v>
      </c>
      <c r="M724">
        <v>2</v>
      </c>
      <c r="N724">
        <v>3.1970000000000001</v>
      </c>
      <c r="O724">
        <v>6600879</v>
      </c>
      <c r="P724" s="2" t="s">
        <v>61</v>
      </c>
      <c r="Q724" s="2" t="s">
        <v>35</v>
      </c>
      <c r="R724" s="2" t="s">
        <v>30</v>
      </c>
      <c r="S724">
        <v>7</v>
      </c>
      <c r="T724" s="1">
        <v>43321</v>
      </c>
      <c r="U724" s="1">
        <v>43329</v>
      </c>
      <c r="V724" s="2"/>
      <c r="W724" s="1">
        <f>fNotasFiscais[[#This Row],[Data da Coleta]]+fNotasFiscais[[#This Row],[Prazo Contratado]]</f>
        <v>43328</v>
      </c>
      <c r="X724" s="3">
        <f>IF(fNotasFiscais[[#This Row],[Data da Entrega]]&gt;fNotasFiscais[[#This Row],[Data Contratada]],0,1)</f>
        <v>0</v>
      </c>
      <c r="Y724" s="3">
        <f>IF(fNotasFiscais[[#This Row],[Ocorrência]]="",1,0)</f>
        <v>1</v>
      </c>
      <c r="Z724" s="2">
        <f>fNotasFiscais[[#This Row],[On Time]]*fNotasFiscais[[#This Row],[In Full]]</f>
        <v>0</v>
      </c>
      <c r="AA724">
        <f>IF(fNotasFiscais[[#This Row],[Nota Fiscal]]&lt;&gt;"",1,0)</f>
        <v>1</v>
      </c>
    </row>
    <row r="725" spans="1:27" x14ac:dyDescent="0.25">
      <c r="A725" s="1">
        <v>43322</v>
      </c>
      <c r="B725">
        <v>11134</v>
      </c>
      <c r="C725" s="2" t="s">
        <v>31</v>
      </c>
      <c r="D725" s="2" t="s">
        <v>32</v>
      </c>
      <c r="E725" s="2" t="s">
        <v>33</v>
      </c>
      <c r="F725">
        <v>4068</v>
      </c>
      <c r="G725" s="2" t="s">
        <v>63</v>
      </c>
      <c r="H725" s="2" t="s">
        <v>64</v>
      </c>
      <c r="I725" s="2" t="s">
        <v>65</v>
      </c>
      <c r="J725" s="2" t="s">
        <v>49</v>
      </c>
      <c r="K725" s="2" t="s">
        <v>65</v>
      </c>
      <c r="L725">
        <v>523.15</v>
      </c>
      <c r="M725">
        <v>1</v>
      </c>
      <c r="N725">
        <v>2.024</v>
      </c>
      <c r="O725">
        <v>6100231</v>
      </c>
      <c r="P725" s="2" t="s">
        <v>50</v>
      </c>
      <c r="Q725" s="2" t="s">
        <v>51</v>
      </c>
      <c r="R725" s="2" t="s">
        <v>30</v>
      </c>
      <c r="S725">
        <v>6</v>
      </c>
      <c r="T725" s="1">
        <v>43322</v>
      </c>
      <c r="U725" s="1">
        <v>43327</v>
      </c>
      <c r="V725" s="2"/>
      <c r="W725" s="1">
        <f>fNotasFiscais[[#This Row],[Data da Coleta]]+fNotasFiscais[[#This Row],[Prazo Contratado]]</f>
        <v>43328</v>
      </c>
      <c r="X725" s="3">
        <f>IF(fNotasFiscais[[#This Row],[Data da Entrega]]&gt;fNotasFiscais[[#This Row],[Data Contratada]],0,1)</f>
        <v>1</v>
      </c>
      <c r="Y725" s="3">
        <f>IF(fNotasFiscais[[#This Row],[Ocorrência]]="",1,0)</f>
        <v>1</v>
      </c>
      <c r="Z725" s="2">
        <f>fNotasFiscais[[#This Row],[On Time]]*fNotasFiscais[[#This Row],[In Full]]</f>
        <v>1</v>
      </c>
      <c r="AA725">
        <f>IF(fNotasFiscais[[#This Row],[Nota Fiscal]]&lt;&gt;"",1,0)</f>
        <v>1</v>
      </c>
    </row>
    <row r="726" spans="1:27" x14ac:dyDescent="0.25">
      <c r="A726" s="1">
        <v>43322</v>
      </c>
      <c r="B726">
        <v>11135</v>
      </c>
      <c r="C726" s="2" t="s">
        <v>31</v>
      </c>
      <c r="D726" s="2" t="s">
        <v>32</v>
      </c>
      <c r="E726" s="2" t="s">
        <v>33</v>
      </c>
      <c r="F726">
        <v>4064</v>
      </c>
      <c r="G726" s="2" t="s">
        <v>128</v>
      </c>
      <c r="H726" s="2" t="s">
        <v>129</v>
      </c>
      <c r="I726" s="2" t="s">
        <v>33</v>
      </c>
      <c r="J726" s="2" t="s">
        <v>60</v>
      </c>
      <c r="K726" s="2" t="s">
        <v>33</v>
      </c>
      <c r="L726">
        <v>232.87</v>
      </c>
      <c r="M726">
        <v>1</v>
      </c>
      <c r="N726">
        <v>0.93799999999999994</v>
      </c>
      <c r="O726">
        <v>6400835</v>
      </c>
      <c r="P726" s="2" t="s">
        <v>130</v>
      </c>
      <c r="Q726" s="2" t="s">
        <v>131</v>
      </c>
      <c r="R726" s="2" t="s">
        <v>30</v>
      </c>
      <c r="S726">
        <v>2</v>
      </c>
      <c r="T726" s="1">
        <v>43322</v>
      </c>
      <c r="U726" s="1">
        <v>43332</v>
      </c>
      <c r="V726" s="2"/>
      <c r="W726" s="1">
        <f>fNotasFiscais[[#This Row],[Data da Coleta]]+fNotasFiscais[[#This Row],[Prazo Contratado]]</f>
        <v>43324</v>
      </c>
      <c r="X726" s="3">
        <f>IF(fNotasFiscais[[#This Row],[Data da Entrega]]&gt;fNotasFiscais[[#This Row],[Data Contratada]],0,1)</f>
        <v>0</v>
      </c>
      <c r="Y726" s="3">
        <f>IF(fNotasFiscais[[#This Row],[Ocorrência]]="",1,0)</f>
        <v>1</v>
      </c>
      <c r="Z726" s="2">
        <f>fNotasFiscais[[#This Row],[On Time]]*fNotasFiscais[[#This Row],[In Full]]</f>
        <v>0</v>
      </c>
      <c r="AA726">
        <f>IF(fNotasFiscais[[#This Row],[Nota Fiscal]]&lt;&gt;"",1,0)</f>
        <v>1</v>
      </c>
    </row>
    <row r="727" spans="1:27" x14ac:dyDescent="0.25">
      <c r="A727" s="1">
        <v>43322</v>
      </c>
      <c r="B727">
        <v>11136</v>
      </c>
      <c r="C727" s="2" t="s">
        <v>52</v>
      </c>
      <c r="D727" s="2" t="s">
        <v>53</v>
      </c>
      <c r="E727" s="2" t="s">
        <v>33</v>
      </c>
      <c r="F727">
        <v>4064</v>
      </c>
      <c r="G727" s="2" t="s">
        <v>128</v>
      </c>
      <c r="H727" s="2" t="s">
        <v>129</v>
      </c>
      <c r="I727" s="2" t="s">
        <v>33</v>
      </c>
      <c r="J727" s="2" t="s">
        <v>60</v>
      </c>
      <c r="K727" s="2" t="s">
        <v>33</v>
      </c>
      <c r="L727">
        <v>254.4</v>
      </c>
      <c r="M727">
        <v>2</v>
      </c>
      <c r="N727">
        <v>17.213000000000001</v>
      </c>
      <c r="O727">
        <v>6400835</v>
      </c>
      <c r="P727" s="2" t="s">
        <v>130</v>
      </c>
      <c r="Q727" s="2" t="s">
        <v>131</v>
      </c>
      <c r="R727" s="2" t="s">
        <v>62</v>
      </c>
      <c r="S727">
        <v>9</v>
      </c>
      <c r="T727" s="1">
        <v>43322</v>
      </c>
      <c r="U727" s="1">
        <v>43323</v>
      </c>
      <c r="V727" s="2"/>
      <c r="W727" s="1">
        <f>fNotasFiscais[[#This Row],[Data da Coleta]]+fNotasFiscais[[#This Row],[Prazo Contratado]]</f>
        <v>43331</v>
      </c>
      <c r="X727" s="3">
        <f>IF(fNotasFiscais[[#This Row],[Data da Entrega]]&gt;fNotasFiscais[[#This Row],[Data Contratada]],0,1)</f>
        <v>1</v>
      </c>
      <c r="Y727" s="3">
        <f>IF(fNotasFiscais[[#This Row],[Ocorrência]]="",1,0)</f>
        <v>1</v>
      </c>
      <c r="Z727" s="2">
        <f>fNotasFiscais[[#This Row],[On Time]]*fNotasFiscais[[#This Row],[In Full]]</f>
        <v>1</v>
      </c>
      <c r="AA727">
        <f>IF(fNotasFiscais[[#This Row],[Nota Fiscal]]&lt;&gt;"",1,0)</f>
        <v>1</v>
      </c>
    </row>
    <row r="728" spans="1:27" x14ac:dyDescent="0.25">
      <c r="A728" s="1">
        <v>43322</v>
      </c>
      <c r="B728">
        <v>11137</v>
      </c>
      <c r="C728" s="2" t="s">
        <v>54</v>
      </c>
      <c r="D728" s="2" t="s">
        <v>55</v>
      </c>
      <c r="E728" s="2" t="s">
        <v>56</v>
      </c>
      <c r="F728">
        <v>4064</v>
      </c>
      <c r="G728" s="2" t="s">
        <v>128</v>
      </c>
      <c r="H728" s="2" t="s">
        <v>129</v>
      </c>
      <c r="I728" s="2" t="s">
        <v>33</v>
      </c>
      <c r="J728" s="2" t="s">
        <v>60</v>
      </c>
      <c r="K728" s="2" t="s">
        <v>33</v>
      </c>
      <c r="L728">
        <v>33.17</v>
      </c>
      <c r="M728">
        <v>1</v>
      </c>
      <c r="N728">
        <v>5.5E-2</v>
      </c>
      <c r="O728">
        <v>6400835</v>
      </c>
      <c r="P728" s="2" t="s">
        <v>130</v>
      </c>
      <c r="Q728" s="2" t="s">
        <v>131</v>
      </c>
      <c r="R728" s="2" t="s">
        <v>30</v>
      </c>
      <c r="S728">
        <v>2</v>
      </c>
      <c r="T728" s="1">
        <v>43322</v>
      </c>
      <c r="U728" s="1">
        <v>43326</v>
      </c>
      <c r="V728" s="2"/>
      <c r="W728" s="1">
        <f>fNotasFiscais[[#This Row],[Data da Coleta]]+fNotasFiscais[[#This Row],[Prazo Contratado]]</f>
        <v>43324</v>
      </c>
      <c r="X728" s="3">
        <f>IF(fNotasFiscais[[#This Row],[Data da Entrega]]&gt;fNotasFiscais[[#This Row],[Data Contratada]],0,1)</f>
        <v>0</v>
      </c>
      <c r="Y728" s="3">
        <f>IF(fNotasFiscais[[#This Row],[Ocorrência]]="",1,0)</f>
        <v>1</v>
      </c>
      <c r="Z728" s="2">
        <f>fNotasFiscais[[#This Row],[On Time]]*fNotasFiscais[[#This Row],[In Full]]</f>
        <v>0</v>
      </c>
      <c r="AA728">
        <f>IF(fNotasFiscais[[#This Row],[Nota Fiscal]]&lt;&gt;"",1,0)</f>
        <v>1</v>
      </c>
    </row>
    <row r="729" spans="1:27" x14ac:dyDescent="0.25">
      <c r="A729" s="1">
        <v>43322</v>
      </c>
      <c r="B729">
        <v>11138</v>
      </c>
      <c r="C729" s="2" t="s">
        <v>40</v>
      </c>
      <c r="D729" s="2" t="s">
        <v>41</v>
      </c>
      <c r="E729" s="2" t="s">
        <v>33</v>
      </c>
      <c r="F729">
        <v>4064</v>
      </c>
      <c r="G729" s="2" t="s">
        <v>128</v>
      </c>
      <c r="H729" s="2" t="s">
        <v>129</v>
      </c>
      <c r="I729" s="2" t="s">
        <v>33</v>
      </c>
      <c r="J729" s="2" t="s">
        <v>60</v>
      </c>
      <c r="K729" s="2" t="s">
        <v>33</v>
      </c>
      <c r="L729">
        <v>1432.76</v>
      </c>
      <c r="M729">
        <v>2</v>
      </c>
      <c r="N729">
        <v>2.3769999999999998</v>
      </c>
      <c r="O729">
        <v>6400835</v>
      </c>
      <c r="P729" s="2" t="s">
        <v>130</v>
      </c>
      <c r="Q729" s="2" t="s">
        <v>131</v>
      </c>
      <c r="R729" s="2" t="s">
        <v>30</v>
      </c>
      <c r="S729">
        <v>10</v>
      </c>
      <c r="T729" s="1">
        <v>43322</v>
      </c>
      <c r="U729" s="1">
        <v>43330</v>
      </c>
      <c r="V729" s="2" t="s">
        <v>42</v>
      </c>
      <c r="W729" s="1">
        <f>fNotasFiscais[[#This Row],[Data da Coleta]]+fNotasFiscais[[#This Row],[Prazo Contratado]]</f>
        <v>43332</v>
      </c>
      <c r="X729" s="3">
        <f>IF(fNotasFiscais[[#This Row],[Data da Entrega]]&gt;fNotasFiscais[[#This Row],[Data Contratada]],0,1)</f>
        <v>1</v>
      </c>
      <c r="Y729" s="3">
        <f>IF(fNotasFiscais[[#This Row],[Ocorrência]]="",1,0)</f>
        <v>0</v>
      </c>
      <c r="Z729" s="2">
        <f>fNotasFiscais[[#This Row],[On Time]]*fNotasFiscais[[#This Row],[In Full]]</f>
        <v>0</v>
      </c>
      <c r="AA729">
        <f>IF(fNotasFiscais[[#This Row],[Nota Fiscal]]&lt;&gt;"",1,0)</f>
        <v>1</v>
      </c>
    </row>
    <row r="730" spans="1:27" x14ac:dyDescent="0.25">
      <c r="A730" s="1">
        <v>43323</v>
      </c>
      <c r="B730">
        <v>11139</v>
      </c>
      <c r="C730" s="2" t="s">
        <v>54</v>
      </c>
      <c r="D730" s="2" t="s">
        <v>55</v>
      </c>
      <c r="E730" s="2" t="s">
        <v>56</v>
      </c>
      <c r="F730">
        <v>4069</v>
      </c>
      <c r="G730" s="2" t="s">
        <v>135</v>
      </c>
      <c r="H730" s="2" t="s">
        <v>47</v>
      </c>
      <c r="I730" s="2" t="s">
        <v>48</v>
      </c>
      <c r="J730" s="2" t="s">
        <v>49</v>
      </c>
      <c r="K730" s="2" t="s">
        <v>48</v>
      </c>
      <c r="L730">
        <v>5620.34</v>
      </c>
      <c r="M730">
        <v>5</v>
      </c>
      <c r="N730">
        <v>17.937000000000001</v>
      </c>
      <c r="O730">
        <v>6100231</v>
      </c>
      <c r="P730" s="2" t="s">
        <v>50</v>
      </c>
      <c r="Q730" s="2" t="s">
        <v>51</v>
      </c>
      <c r="R730" s="2" t="s">
        <v>30</v>
      </c>
      <c r="S730">
        <v>10</v>
      </c>
      <c r="T730" s="1">
        <v>43323</v>
      </c>
      <c r="U730" s="1">
        <v>43333</v>
      </c>
      <c r="V730" s="2"/>
      <c r="W730" s="1">
        <f>fNotasFiscais[[#This Row],[Data da Coleta]]+fNotasFiscais[[#This Row],[Prazo Contratado]]</f>
        <v>43333</v>
      </c>
      <c r="X730" s="3">
        <f>IF(fNotasFiscais[[#This Row],[Data da Entrega]]&gt;fNotasFiscais[[#This Row],[Data Contratada]],0,1)</f>
        <v>1</v>
      </c>
      <c r="Y730" s="3">
        <f>IF(fNotasFiscais[[#This Row],[Ocorrência]]="",1,0)</f>
        <v>1</v>
      </c>
      <c r="Z730" s="2">
        <f>fNotasFiscais[[#This Row],[On Time]]*fNotasFiscais[[#This Row],[In Full]]</f>
        <v>1</v>
      </c>
      <c r="AA730">
        <f>IF(fNotasFiscais[[#This Row],[Nota Fiscal]]&lt;&gt;"",1,0)</f>
        <v>1</v>
      </c>
    </row>
    <row r="731" spans="1:27" x14ac:dyDescent="0.25">
      <c r="A731" s="1">
        <v>43323</v>
      </c>
      <c r="B731">
        <v>11140</v>
      </c>
      <c r="C731" s="2" t="s">
        <v>52</v>
      </c>
      <c r="D731" s="2" t="s">
        <v>53</v>
      </c>
      <c r="E731" s="2" t="s">
        <v>33</v>
      </c>
      <c r="F731">
        <v>4022</v>
      </c>
      <c r="G731" s="2" t="s">
        <v>86</v>
      </c>
      <c r="H731" s="2" t="s">
        <v>87</v>
      </c>
      <c r="I731" s="2" t="s">
        <v>27</v>
      </c>
      <c r="J731" s="2" t="s">
        <v>28</v>
      </c>
      <c r="K731" s="2" t="s">
        <v>27</v>
      </c>
      <c r="L731">
        <v>777.23</v>
      </c>
      <c r="M731">
        <v>1</v>
      </c>
      <c r="N731">
        <v>4.95</v>
      </c>
      <c r="O731">
        <v>6500948</v>
      </c>
      <c r="P731" s="2" t="s">
        <v>29</v>
      </c>
      <c r="Q731" s="2" t="s">
        <v>23</v>
      </c>
      <c r="R731" s="2" t="s">
        <v>30</v>
      </c>
      <c r="S731">
        <v>4</v>
      </c>
      <c r="T731" s="1">
        <v>43323</v>
      </c>
      <c r="U731" s="1">
        <v>43331</v>
      </c>
      <c r="V731" s="2"/>
      <c r="W731" s="1">
        <f>fNotasFiscais[[#This Row],[Data da Coleta]]+fNotasFiscais[[#This Row],[Prazo Contratado]]</f>
        <v>43327</v>
      </c>
      <c r="X731" s="3">
        <f>IF(fNotasFiscais[[#This Row],[Data da Entrega]]&gt;fNotasFiscais[[#This Row],[Data Contratada]],0,1)</f>
        <v>0</v>
      </c>
      <c r="Y731" s="3">
        <f>IF(fNotasFiscais[[#This Row],[Ocorrência]]="",1,0)</f>
        <v>1</v>
      </c>
      <c r="Z731" s="2">
        <f>fNotasFiscais[[#This Row],[On Time]]*fNotasFiscais[[#This Row],[In Full]]</f>
        <v>0</v>
      </c>
      <c r="AA731">
        <f>IF(fNotasFiscais[[#This Row],[Nota Fiscal]]&lt;&gt;"",1,0)</f>
        <v>1</v>
      </c>
    </row>
    <row r="732" spans="1:27" x14ac:dyDescent="0.25">
      <c r="A732" s="1">
        <v>43323</v>
      </c>
      <c r="B732">
        <v>11141</v>
      </c>
      <c r="C732" s="2" t="s">
        <v>52</v>
      </c>
      <c r="D732" s="2" t="s">
        <v>53</v>
      </c>
      <c r="E732" s="2" t="s">
        <v>33</v>
      </c>
      <c r="F732">
        <v>4016</v>
      </c>
      <c r="G732" s="2" t="s">
        <v>68</v>
      </c>
      <c r="H732" s="2" t="s">
        <v>69</v>
      </c>
      <c r="I732" s="2" t="s">
        <v>36</v>
      </c>
      <c r="J732" s="2" t="s">
        <v>60</v>
      </c>
      <c r="K732" s="2" t="s">
        <v>36</v>
      </c>
      <c r="L732">
        <v>1846.41</v>
      </c>
      <c r="M732">
        <v>3</v>
      </c>
      <c r="N732">
        <v>35.97</v>
      </c>
      <c r="O732">
        <v>6600879</v>
      </c>
      <c r="P732" s="2" t="s">
        <v>61</v>
      </c>
      <c r="Q732" s="2" t="s">
        <v>35</v>
      </c>
      <c r="R732" s="2" t="s">
        <v>30</v>
      </c>
      <c r="S732">
        <v>5</v>
      </c>
      <c r="T732" s="1">
        <v>43323</v>
      </c>
      <c r="U732" s="1">
        <v>43331</v>
      </c>
      <c r="V732" s="2"/>
      <c r="W732" s="1">
        <f>fNotasFiscais[[#This Row],[Data da Coleta]]+fNotasFiscais[[#This Row],[Prazo Contratado]]</f>
        <v>43328</v>
      </c>
      <c r="X732" s="3">
        <f>IF(fNotasFiscais[[#This Row],[Data da Entrega]]&gt;fNotasFiscais[[#This Row],[Data Contratada]],0,1)</f>
        <v>0</v>
      </c>
      <c r="Y732" s="3">
        <f>IF(fNotasFiscais[[#This Row],[Ocorrência]]="",1,0)</f>
        <v>1</v>
      </c>
      <c r="Z732" s="2">
        <f>fNotasFiscais[[#This Row],[On Time]]*fNotasFiscais[[#This Row],[In Full]]</f>
        <v>0</v>
      </c>
      <c r="AA732">
        <f>IF(fNotasFiscais[[#This Row],[Nota Fiscal]]&lt;&gt;"",1,0)</f>
        <v>1</v>
      </c>
    </row>
    <row r="733" spans="1:27" x14ac:dyDescent="0.25">
      <c r="A733" s="1">
        <v>43326</v>
      </c>
      <c r="B733">
        <v>11142</v>
      </c>
      <c r="C733" s="2" t="s">
        <v>31</v>
      </c>
      <c r="D733" s="2" t="s">
        <v>32</v>
      </c>
      <c r="E733" s="2" t="s">
        <v>33</v>
      </c>
      <c r="F733">
        <v>4041</v>
      </c>
      <c r="G733" s="2" t="s">
        <v>83</v>
      </c>
      <c r="H733" s="2" t="s">
        <v>51</v>
      </c>
      <c r="I733" s="2" t="s">
        <v>73</v>
      </c>
      <c r="J733" s="2" t="s">
        <v>49</v>
      </c>
      <c r="K733" s="2" t="s">
        <v>73</v>
      </c>
      <c r="L733">
        <v>640.21</v>
      </c>
      <c r="M733">
        <v>2</v>
      </c>
      <c r="N733">
        <v>8.8089999999999993</v>
      </c>
      <c r="O733">
        <v>6100231</v>
      </c>
      <c r="P733" s="2" t="s">
        <v>50</v>
      </c>
      <c r="Q733" s="2" t="s">
        <v>51</v>
      </c>
      <c r="R733" s="2" t="s">
        <v>30</v>
      </c>
      <c r="S733">
        <v>1</v>
      </c>
      <c r="T733" s="1">
        <v>43326</v>
      </c>
      <c r="U733" s="1">
        <v>43327</v>
      </c>
      <c r="V733" s="2" t="s">
        <v>42</v>
      </c>
      <c r="W733" s="1">
        <f>fNotasFiscais[[#This Row],[Data da Coleta]]+fNotasFiscais[[#This Row],[Prazo Contratado]]</f>
        <v>43327</v>
      </c>
      <c r="X733" s="3">
        <f>IF(fNotasFiscais[[#This Row],[Data da Entrega]]&gt;fNotasFiscais[[#This Row],[Data Contratada]],0,1)</f>
        <v>1</v>
      </c>
      <c r="Y733" s="3">
        <f>IF(fNotasFiscais[[#This Row],[Ocorrência]]="",1,0)</f>
        <v>0</v>
      </c>
      <c r="Z733" s="2">
        <f>fNotasFiscais[[#This Row],[On Time]]*fNotasFiscais[[#This Row],[In Full]]</f>
        <v>0</v>
      </c>
      <c r="AA733">
        <f>IF(fNotasFiscais[[#This Row],[Nota Fiscal]]&lt;&gt;"",1,0)</f>
        <v>1</v>
      </c>
    </row>
    <row r="734" spans="1:27" x14ac:dyDescent="0.25">
      <c r="A734" s="1">
        <v>43326</v>
      </c>
      <c r="B734">
        <v>11143</v>
      </c>
      <c r="C734" s="2" t="s">
        <v>43</v>
      </c>
      <c r="D734" s="2" t="s">
        <v>44</v>
      </c>
      <c r="E734" s="2" t="s">
        <v>45</v>
      </c>
      <c r="F734">
        <v>4041</v>
      </c>
      <c r="G734" s="2" t="s">
        <v>83</v>
      </c>
      <c r="H734" s="2" t="s">
        <v>51</v>
      </c>
      <c r="I734" s="2" t="s">
        <v>73</v>
      </c>
      <c r="J734" s="2" t="s">
        <v>49</v>
      </c>
      <c r="K734" s="2" t="s">
        <v>73</v>
      </c>
      <c r="L734">
        <v>2713.89</v>
      </c>
      <c r="M734">
        <v>3</v>
      </c>
      <c r="N734">
        <v>22.173999999999999</v>
      </c>
      <c r="O734">
        <v>6100231</v>
      </c>
      <c r="P734" s="2" t="s">
        <v>50</v>
      </c>
      <c r="Q734" s="2" t="s">
        <v>51</v>
      </c>
      <c r="R734" s="2" t="s">
        <v>62</v>
      </c>
      <c r="S734">
        <v>1</v>
      </c>
      <c r="T734" s="1">
        <v>43326</v>
      </c>
      <c r="U734" s="1">
        <v>43327</v>
      </c>
      <c r="V734" s="2"/>
      <c r="W734" s="1">
        <f>fNotasFiscais[[#This Row],[Data da Coleta]]+fNotasFiscais[[#This Row],[Prazo Contratado]]</f>
        <v>43327</v>
      </c>
      <c r="X734" s="3">
        <f>IF(fNotasFiscais[[#This Row],[Data da Entrega]]&gt;fNotasFiscais[[#This Row],[Data Contratada]],0,1)</f>
        <v>1</v>
      </c>
      <c r="Y734" s="3">
        <f>IF(fNotasFiscais[[#This Row],[Ocorrência]]="",1,0)</f>
        <v>1</v>
      </c>
      <c r="Z734" s="2">
        <f>fNotasFiscais[[#This Row],[On Time]]*fNotasFiscais[[#This Row],[In Full]]</f>
        <v>1</v>
      </c>
      <c r="AA734">
        <f>IF(fNotasFiscais[[#This Row],[Nota Fiscal]]&lt;&gt;"",1,0)</f>
        <v>1</v>
      </c>
    </row>
    <row r="735" spans="1:27" x14ac:dyDescent="0.25">
      <c r="A735" s="1">
        <v>43326</v>
      </c>
      <c r="B735">
        <v>11144</v>
      </c>
      <c r="C735" s="2" t="s">
        <v>52</v>
      </c>
      <c r="D735" s="2" t="s">
        <v>53</v>
      </c>
      <c r="E735" s="2" t="s">
        <v>33</v>
      </c>
      <c r="F735">
        <v>4041</v>
      </c>
      <c r="G735" s="2" t="s">
        <v>83</v>
      </c>
      <c r="H735" s="2" t="s">
        <v>51</v>
      </c>
      <c r="I735" s="2" t="s">
        <v>73</v>
      </c>
      <c r="J735" s="2" t="s">
        <v>49</v>
      </c>
      <c r="K735" s="2" t="s">
        <v>73</v>
      </c>
      <c r="L735">
        <v>1232.8699999999999</v>
      </c>
      <c r="M735">
        <v>1</v>
      </c>
      <c r="N735">
        <v>16.72</v>
      </c>
      <c r="O735">
        <v>6100231</v>
      </c>
      <c r="P735" s="2" t="s">
        <v>50</v>
      </c>
      <c r="Q735" s="2" t="s">
        <v>51</v>
      </c>
      <c r="R735" s="2" t="s">
        <v>30</v>
      </c>
      <c r="S735">
        <v>2</v>
      </c>
      <c r="T735" s="1">
        <v>43326</v>
      </c>
      <c r="U735" s="1">
        <v>43330</v>
      </c>
      <c r="V735" s="2"/>
      <c r="W735" s="1">
        <f>fNotasFiscais[[#This Row],[Data da Coleta]]+fNotasFiscais[[#This Row],[Prazo Contratado]]</f>
        <v>43328</v>
      </c>
      <c r="X735" s="3">
        <f>IF(fNotasFiscais[[#This Row],[Data da Entrega]]&gt;fNotasFiscais[[#This Row],[Data Contratada]],0,1)</f>
        <v>0</v>
      </c>
      <c r="Y735" s="3">
        <f>IF(fNotasFiscais[[#This Row],[Ocorrência]]="",1,0)</f>
        <v>1</v>
      </c>
      <c r="Z735" s="2">
        <f>fNotasFiscais[[#This Row],[On Time]]*fNotasFiscais[[#This Row],[In Full]]</f>
        <v>0</v>
      </c>
      <c r="AA735">
        <f>IF(fNotasFiscais[[#This Row],[Nota Fiscal]]&lt;&gt;"",1,0)</f>
        <v>1</v>
      </c>
    </row>
    <row r="736" spans="1:27" x14ac:dyDescent="0.25">
      <c r="A736" s="1">
        <v>43326</v>
      </c>
      <c r="B736">
        <v>11145</v>
      </c>
      <c r="C736" s="2" t="s">
        <v>52</v>
      </c>
      <c r="D736" s="2" t="s">
        <v>53</v>
      </c>
      <c r="E736" s="2" t="s">
        <v>33</v>
      </c>
      <c r="F736">
        <v>4041</v>
      </c>
      <c r="G736" s="2" t="s">
        <v>83</v>
      </c>
      <c r="H736" s="2" t="s">
        <v>51</v>
      </c>
      <c r="I736" s="2" t="s">
        <v>73</v>
      </c>
      <c r="J736" s="2" t="s">
        <v>49</v>
      </c>
      <c r="K736" s="2" t="s">
        <v>73</v>
      </c>
      <c r="L736">
        <v>3259.94</v>
      </c>
      <c r="M736">
        <v>3</v>
      </c>
      <c r="N736">
        <v>20.405000000000001</v>
      </c>
      <c r="O736">
        <v>6100231</v>
      </c>
      <c r="P736" s="2" t="s">
        <v>50</v>
      </c>
      <c r="Q736" s="2" t="s">
        <v>51</v>
      </c>
      <c r="R736" s="2" t="s">
        <v>30</v>
      </c>
      <c r="S736">
        <v>6</v>
      </c>
      <c r="T736" s="1">
        <v>43326</v>
      </c>
      <c r="U736" s="1">
        <v>43328</v>
      </c>
      <c r="V736" s="2"/>
      <c r="W736" s="1">
        <f>fNotasFiscais[[#This Row],[Data da Coleta]]+fNotasFiscais[[#This Row],[Prazo Contratado]]</f>
        <v>43332</v>
      </c>
      <c r="X736" s="3">
        <f>IF(fNotasFiscais[[#This Row],[Data da Entrega]]&gt;fNotasFiscais[[#This Row],[Data Contratada]],0,1)</f>
        <v>1</v>
      </c>
      <c r="Y736" s="3">
        <f>IF(fNotasFiscais[[#This Row],[Ocorrência]]="",1,0)</f>
        <v>1</v>
      </c>
      <c r="Z736" s="2">
        <f>fNotasFiscais[[#This Row],[On Time]]*fNotasFiscais[[#This Row],[In Full]]</f>
        <v>1</v>
      </c>
      <c r="AA736">
        <f>IF(fNotasFiscais[[#This Row],[Nota Fiscal]]&lt;&gt;"",1,0)</f>
        <v>1</v>
      </c>
    </row>
    <row r="737" spans="1:27" x14ac:dyDescent="0.25">
      <c r="A737" s="1">
        <v>43326</v>
      </c>
      <c r="B737">
        <v>11146</v>
      </c>
      <c r="C737" s="2" t="s">
        <v>40</v>
      </c>
      <c r="D737" s="2" t="s">
        <v>41</v>
      </c>
      <c r="E737" s="2" t="s">
        <v>33</v>
      </c>
      <c r="F737">
        <v>4041</v>
      </c>
      <c r="G737" s="2" t="s">
        <v>83</v>
      </c>
      <c r="H737" s="2" t="s">
        <v>51</v>
      </c>
      <c r="I737" s="2" t="s">
        <v>73</v>
      </c>
      <c r="J737" s="2" t="s">
        <v>49</v>
      </c>
      <c r="K737" s="2" t="s">
        <v>73</v>
      </c>
      <c r="L737">
        <v>1856.89</v>
      </c>
      <c r="M737">
        <v>2</v>
      </c>
      <c r="N737">
        <v>7.48</v>
      </c>
      <c r="O737">
        <v>6100231</v>
      </c>
      <c r="P737" s="2" t="s">
        <v>50</v>
      </c>
      <c r="Q737" s="2" t="s">
        <v>51</v>
      </c>
      <c r="R737" s="2" t="s">
        <v>30</v>
      </c>
      <c r="S737">
        <v>12</v>
      </c>
      <c r="T737" s="1">
        <v>43326</v>
      </c>
      <c r="U737" s="1">
        <v>43331</v>
      </c>
      <c r="V737" s="2"/>
      <c r="W737" s="1">
        <f>fNotasFiscais[[#This Row],[Data da Coleta]]+fNotasFiscais[[#This Row],[Prazo Contratado]]</f>
        <v>43338</v>
      </c>
      <c r="X737" s="3">
        <f>IF(fNotasFiscais[[#This Row],[Data da Entrega]]&gt;fNotasFiscais[[#This Row],[Data Contratada]],0,1)</f>
        <v>1</v>
      </c>
      <c r="Y737" s="3">
        <f>IF(fNotasFiscais[[#This Row],[Ocorrência]]="",1,0)</f>
        <v>1</v>
      </c>
      <c r="Z737" s="2">
        <f>fNotasFiscais[[#This Row],[On Time]]*fNotasFiscais[[#This Row],[In Full]]</f>
        <v>1</v>
      </c>
      <c r="AA737">
        <f>IF(fNotasFiscais[[#This Row],[Nota Fiscal]]&lt;&gt;"",1,0)</f>
        <v>1</v>
      </c>
    </row>
    <row r="738" spans="1:27" x14ac:dyDescent="0.25">
      <c r="A738" s="1">
        <v>43327</v>
      </c>
      <c r="B738">
        <v>11147</v>
      </c>
      <c r="C738" s="2" t="s">
        <v>54</v>
      </c>
      <c r="D738" s="2" t="s">
        <v>55</v>
      </c>
      <c r="E738" s="2" t="s">
        <v>56</v>
      </c>
      <c r="F738">
        <v>4033</v>
      </c>
      <c r="G738" s="2" t="s">
        <v>109</v>
      </c>
      <c r="H738" s="2" t="s">
        <v>51</v>
      </c>
      <c r="I738" s="2" t="s">
        <v>73</v>
      </c>
      <c r="J738" s="2" t="s">
        <v>49</v>
      </c>
      <c r="K738" s="2" t="s">
        <v>73</v>
      </c>
      <c r="L738">
        <v>454.7</v>
      </c>
      <c r="M738">
        <v>2</v>
      </c>
      <c r="N738">
        <v>1.837</v>
      </c>
      <c r="O738">
        <v>6100231</v>
      </c>
      <c r="P738" s="2" t="s">
        <v>50</v>
      </c>
      <c r="Q738" s="2" t="s">
        <v>51</v>
      </c>
      <c r="R738" s="2" t="s">
        <v>30</v>
      </c>
      <c r="S738">
        <v>2</v>
      </c>
      <c r="T738" s="1">
        <v>43327</v>
      </c>
      <c r="U738" s="1">
        <v>43331</v>
      </c>
      <c r="V738" s="2"/>
      <c r="W738" s="1">
        <f>fNotasFiscais[[#This Row],[Data da Coleta]]+fNotasFiscais[[#This Row],[Prazo Contratado]]</f>
        <v>43329</v>
      </c>
      <c r="X738" s="3">
        <f>IF(fNotasFiscais[[#This Row],[Data da Entrega]]&gt;fNotasFiscais[[#This Row],[Data Contratada]],0,1)</f>
        <v>0</v>
      </c>
      <c r="Y738" s="3">
        <f>IF(fNotasFiscais[[#This Row],[Ocorrência]]="",1,0)</f>
        <v>1</v>
      </c>
      <c r="Z738" s="2">
        <f>fNotasFiscais[[#This Row],[On Time]]*fNotasFiscais[[#This Row],[In Full]]</f>
        <v>0</v>
      </c>
      <c r="AA738">
        <f>IF(fNotasFiscais[[#This Row],[Nota Fiscal]]&lt;&gt;"",1,0)</f>
        <v>1</v>
      </c>
    </row>
    <row r="739" spans="1:27" x14ac:dyDescent="0.25">
      <c r="A739" s="1">
        <v>43327</v>
      </c>
      <c r="B739">
        <v>11148</v>
      </c>
      <c r="C739" s="2" t="s">
        <v>31</v>
      </c>
      <c r="D739" s="2" t="s">
        <v>32</v>
      </c>
      <c r="E739" s="2" t="s">
        <v>33</v>
      </c>
      <c r="F739">
        <v>4023</v>
      </c>
      <c r="G739" s="2" t="s">
        <v>88</v>
      </c>
      <c r="H739" s="2" t="s">
        <v>78</v>
      </c>
      <c r="I739" s="2" t="s">
        <v>39</v>
      </c>
      <c r="J739" s="2" t="s">
        <v>28</v>
      </c>
      <c r="K739" s="2" t="s">
        <v>39</v>
      </c>
      <c r="L739">
        <v>94.38</v>
      </c>
      <c r="M739">
        <v>3</v>
      </c>
      <c r="N739">
        <v>38.994999999999997</v>
      </c>
      <c r="O739">
        <v>6500948</v>
      </c>
      <c r="P739" s="2" t="s">
        <v>29</v>
      </c>
      <c r="Q739" s="2" t="s">
        <v>23</v>
      </c>
      <c r="R739" s="2" t="s">
        <v>30</v>
      </c>
      <c r="S739">
        <v>5</v>
      </c>
      <c r="T739" s="1">
        <v>43327</v>
      </c>
      <c r="U739" s="1">
        <v>43336</v>
      </c>
      <c r="V739" s="2"/>
      <c r="W739" s="1">
        <f>fNotasFiscais[[#This Row],[Data da Coleta]]+fNotasFiscais[[#This Row],[Prazo Contratado]]</f>
        <v>43332</v>
      </c>
      <c r="X739" s="3">
        <f>IF(fNotasFiscais[[#This Row],[Data da Entrega]]&gt;fNotasFiscais[[#This Row],[Data Contratada]],0,1)</f>
        <v>0</v>
      </c>
      <c r="Y739" s="3">
        <f>IF(fNotasFiscais[[#This Row],[Ocorrência]]="",1,0)</f>
        <v>1</v>
      </c>
      <c r="Z739" s="2">
        <f>fNotasFiscais[[#This Row],[On Time]]*fNotasFiscais[[#This Row],[In Full]]</f>
        <v>0</v>
      </c>
      <c r="AA739">
        <f>IF(fNotasFiscais[[#This Row],[Nota Fiscal]]&lt;&gt;"",1,0)</f>
        <v>1</v>
      </c>
    </row>
    <row r="740" spans="1:27" x14ac:dyDescent="0.25">
      <c r="A740" s="1">
        <v>43328</v>
      </c>
      <c r="B740">
        <v>11149</v>
      </c>
      <c r="C740" s="2" t="s">
        <v>22</v>
      </c>
      <c r="D740" s="2" t="s">
        <v>23</v>
      </c>
      <c r="E740" s="2" t="s">
        <v>24</v>
      </c>
      <c r="F740">
        <v>4068</v>
      </c>
      <c r="G740" s="2" t="s">
        <v>63</v>
      </c>
      <c r="H740" s="2" t="s">
        <v>64</v>
      </c>
      <c r="I740" s="2" t="s">
        <v>65</v>
      </c>
      <c r="J740" s="2" t="s">
        <v>49</v>
      </c>
      <c r="K740" s="2" t="s">
        <v>65</v>
      </c>
      <c r="L740">
        <v>438.8</v>
      </c>
      <c r="M740">
        <v>1</v>
      </c>
      <c r="N740">
        <v>1.1200000000000001</v>
      </c>
      <c r="O740">
        <v>6100231</v>
      </c>
      <c r="P740" s="2" t="s">
        <v>50</v>
      </c>
      <c r="Q740" s="2" t="s">
        <v>51</v>
      </c>
      <c r="R740" s="2" t="s">
        <v>30</v>
      </c>
      <c r="S740">
        <v>9</v>
      </c>
      <c r="T740" s="1">
        <v>43328</v>
      </c>
      <c r="U740" s="1">
        <v>43336</v>
      </c>
      <c r="V740" s="2"/>
      <c r="W740" s="1">
        <f>fNotasFiscais[[#This Row],[Data da Coleta]]+fNotasFiscais[[#This Row],[Prazo Contratado]]</f>
        <v>43337</v>
      </c>
      <c r="X740" s="3">
        <f>IF(fNotasFiscais[[#This Row],[Data da Entrega]]&gt;fNotasFiscais[[#This Row],[Data Contratada]],0,1)</f>
        <v>1</v>
      </c>
      <c r="Y740" s="3">
        <f>IF(fNotasFiscais[[#This Row],[Ocorrência]]="",1,0)</f>
        <v>1</v>
      </c>
      <c r="Z740" s="2">
        <f>fNotasFiscais[[#This Row],[On Time]]*fNotasFiscais[[#This Row],[In Full]]</f>
        <v>1</v>
      </c>
      <c r="AA740">
        <f>IF(fNotasFiscais[[#This Row],[Nota Fiscal]]&lt;&gt;"",1,0)</f>
        <v>1</v>
      </c>
    </row>
    <row r="741" spans="1:27" x14ac:dyDescent="0.25">
      <c r="A741" s="1">
        <v>43329</v>
      </c>
      <c r="B741">
        <v>11150</v>
      </c>
      <c r="C741" s="2" t="s">
        <v>52</v>
      </c>
      <c r="D741" s="2" t="s">
        <v>53</v>
      </c>
      <c r="E741" s="2" t="s">
        <v>33</v>
      </c>
      <c r="F741">
        <v>4033</v>
      </c>
      <c r="G741" s="2" t="s">
        <v>109</v>
      </c>
      <c r="H741" s="2" t="s">
        <v>51</v>
      </c>
      <c r="I741" s="2" t="s">
        <v>73</v>
      </c>
      <c r="J741" s="2" t="s">
        <v>49</v>
      </c>
      <c r="K741" s="2" t="s">
        <v>73</v>
      </c>
      <c r="L741">
        <v>2300.35</v>
      </c>
      <c r="M741">
        <v>3</v>
      </c>
      <c r="N741">
        <v>69.135000000000005</v>
      </c>
      <c r="O741">
        <v>6100231</v>
      </c>
      <c r="P741" s="2" t="s">
        <v>50</v>
      </c>
      <c r="Q741" s="2" t="s">
        <v>51</v>
      </c>
      <c r="R741" s="2" t="s">
        <v>30</v>
      </c>
      <c r="S741">
        <v>12</v>
      </c>
      <c r="T741" s="1">
        <v>43329</v>
      </c>
      <c r="U741" s="1">
        <v>43335</v>
      </c>
      <c r="V741" s="2"/>
      <c r="W741" s="1">
        <f>fNotasFiscais[[#This Row],[Data da Coleta]]+fNotasFiscais[[#This Row],[Prazo Contratado]]</f>
        <v>43341</v>
      </c>
      <c r="X741" s="3">
        <f>IF(fNotasFiscais[[#This Row],[Data da Entrega]]&gt;fNotasFiscais[[#This Row],[Data Contratada]],0,1)</f>
        <v>1</v>
      </c>
      <c r="Y741" s="3">
        <f>IF(fNotasFiscais[[#This Row],[Ocorrência]]="",1,0)</f>
        <v>1</v>
      </c>
      <c r="Z741" s="2">
        <f>fNotasFiscais[[#This Row],[On Time]]*fNotasFiscais[[#This Row],[In Full]]</f>
        <v>1</v>
      </c>
      <c r="AA741">
        <f>IF(fNotasFiscais[[#This Row],[Nota Fiscal]]&lt;&gt;"",1,0)</f>
        <v>1</v>
      </c>
    </row>
    <row r="742" spans="1:27" x14ac:dyDescent="0.25">
      <c r="A742" s="1">
        <v>43330</v>
      </c>
      <c r="B742">
        <v>11151</v>
      </c>
      <c r="C742" s="2" t="s">
        <v>31</v>
      </c>
      <c r="D742" s="2" t="s">
        <v>32</v>
      </c>
      <c r="E742" s="2" t="s">
        <v>33</v>
      </c>
      <c r="F742">
        <v>4018</v>
      </c>
      <c r="G742" s="2" t="s">
        <v>77</v>
      </c>
      <c r="H742" s="2" t="s">
        <v>78</v>
      </c>
      <c r="I742" s="2" t="s">
        <v>39</v>
      </c>
      <c r="J742" s="2" t="s">
        <v>28</v>
      </c>
      <c r="K742" s="2" t="s">
        <v>39</v>
      </c>
      <c r="L742">
        <v>720.2</v>
      </c>
      <c r="M742">
        <v>1</v>
      </c>
      <c r="N742">
        <v>21.202999999999999</v>
      </c>
      <c r="O742">
        <v>6500948</v>
      </c>
      <c r="P742" s="2" t="s">
        <v>29</v>
      </c>
      <c r="Q742" s="2" t="s">
        <v>23</v>
      </c>
      <c r="R742" s="2" t="s">
        <v>30</v>
      </c>
      <c r="S742">
        <v>11</v>
      </c>
      <c r="T742" s="1">
        <v>43330</v>
      </c>
      <c r="U742" s="1">
        <v>43331</v>
      </c>
      <c r="V742" s="2" t="s">
        <v>57</v>
      </c>
      <c r="W742" s="1">
        <f>fNotasFiscais[[#This Row],[Data da Coleta]]+fNotasFiscais[[#This Row],[Prazo Contratado]]</f>
        <v>43341</v>
      </c>
      <c r="X742" s="3">
        <f>IF(fNotasFiscais[[#This Row],[Data da Entrega]]&gt;fNotasFiscais[[#This Row],[Data Contratada]],0,1)</f>
        <v>1</v>
      </c>
      <c r="Y742" s="3">
        <f>IF(fNotasFiscais[[#This Row],[Ocorrência]]="",1,0)</f>
        <v>0</v>
      </c>
      <c r="Z742" s="2">
        <f>fNotasFiscais[[#This Row],[On Time]]*fNotasFiscais[[#This Row],[In Full]]</f>
        <v>0</v>
      </c>
      <c r="AA742">
        <f>IF(fNotasFiscais[[#This Row],[Nota Fiscal]]&lt;&gt;"",1,0)</f>
        <v>1</v>
      </c>
    </row>
    <row r="743" spans="1:27" x14ac:dyDescent="0.25">
      <c r="A743" s="1">
        <v>43330</v>
      </c>
      <c r="B743">
        <v>11152</v>
      </c>
      <c r="C743" s="2" t="s">
        <v>22</v>
      </c>
      <c r="D743" s="2" t="s">
        <v>23</v>
      </c>
      <c r="E743" s="2" t="s">
        <v>24</v>
      </c>
      <c r="F743">
        <v>4022</v>
      </c>
      <c r="G743" s="2" t="s">
        <v>86</v>
      </c>
      <c r="H743" s="2" t="s">
        <v>87</v>
      </c>
      <c r="I743" s="2" t="s">
        <v>27</v>
      </c>
      <c r="J743" s="2" t="s">
        <v>28</v>
      </c>
      <c r="K743" s="2" t="s">
        <v>27</v>
      </c>
      <c r="L743">
        <v>421.94</v>
      </c>
      <c r="M743">
        <v>1</v>
      </c>
      <c r="N743">
        <v>17.600000000000001</v>
      </c>
      <c r="O743">
        <v>6500948</v>
      </c>
      <c r="P743" s="2" t="s">
        <v>29</v>
      </c>
      <c r="Q743" s="2" t="s">
        <v>23</v>
      </c>
      <c r="R743" s="2" t="s">
        <v>30</v>
      </c>
      <c r="S743">
        <v>12</v>
      </c>
      <c r="T743" s="1">
        <v>43330</v>
      </c>
      <c r="U743" s="1">
        <v>43340</v>
      </c>
      <c r="V743" s="2"/>
      <c r="W743" s="1">
        <f>fNotasFiscais[[#This Row],[Data da Coleta]]+fNotasFiscais[[#This Row],[Prazo Contratado]]</f>
        <v>43342</v>
      </c>
      <c r="X743" s="3">
        <f>IF(fNotasFiscais[[#This Row],[Data da Entrega]]&gt;fNotasFiscais[[#This Row],[Data Contratada]],0,1)</f>
        <v>1</v>
      </c>
      <c r="Y743" s="3">
        <f>IF(fNotasFiscais[[#This Row],[Ocorrência]]="",1,0)</f>
        <v>1</v>
      </c>
      <c r="Z743" s="2">
        <f>fNotasFiscais[[#This Row],[On Time]]*fNotasFiscais[[#This Row],[In Full]]</f>
        <v>1</v>
      </c>
      <c r="AA743">
        <f>IF(fNotasFiscais[[#This Row],[Nota Fiscal]]&lt;&gt;"",1,0)</f>
        <v>1</v>
      </c>
    </row>
    <row r="744" spans="1:27" x14ac:dyDescent="0.25">
      <c r="A744" s="1">
        <v>43333</v>
      </c>
      <c r="B744">
        <v>11153</v>
      </c>
      <c r="C744" s="2" t="s">
        <v>22</v>
      </c>
      <c r="D744" s="2" t="s">
        <v>23</v>
      </c>
      <c r="E744" s="2" t="s">
        <v>24</v>
      </c>
      <c r="F744">
        <v>4068</v>
      </c>
      <c r="G744" s="2" t="s">
        <v>63</v>
      </c>
      <c r="H744" s="2" t="s">
        <v>64</v>
      </c>
      <c r="I744" s="2" t="s">
        <v>65</v>
      </c>
      <c r="J744" s="2" t="s">
        <v>49</v>
      </c>
      <c r="K744" s="2" t="s">
        <v>65</v>
      </c>
      <c r="L744">
        <v>105.48</v>
      </c>
      <c r="M744">
        <v>1</v>
      </c>
      <c r="N744">
        <v>4.4000000000000004</v>
      </c>
      <c r="O744">
        <v>6100231</v>
      </c>
      <c r="P744" s="2" t="s">
        <v>50</v>
      </c>
      <c r="Q744" s="2" t="s">
        <v>51</v>
      </c>
      <c r="R744" s="2" t="s">
        <v>30</v>
      </c>
      <c r="S744">
        <v>1</v>
      </c>
      <c r="T744" s="1">
        <v>43333</v>
      </c>
      <c r="U744" s="1">
        <v>43341</v>
      </c>
      <c r="V744" s="2"/>
      <c r="W744" s="1">
        <f>fNotasFiscais[[#This Row],[Data da Coleta]]+fNotasFiscais[[#This Row],[Prazo Contratado]]</f>
        <v>43334</v>
      </c>
      <c r="X744" s="3">
        <f>IF(fNotasFiscais[[#This Row],[Data da Entrega]]&gt;fNotasFiscais[[#This Row],[Data Contratada]],0,1)</f>
        <v>0</v>
      </c>
      <c r="Y744" s="3">
        <f>IF(fNotasFiscais[[#This Row],[Ocorrência]]="",1,0)</f>
        <v>1</v>
      </c>
      <c r="Z744" s="2">
        <f>fNotasFiscais[[#This Row],[On Time]]*fNotasFiscais[[#This Row],[In Full]]</f>
        <v>0</v>
      </c>
      <c r="AA744">
        <f>IF(fNotasFiscais[[#This Row],[Nota Fiscal]]&lt;&gt;"",1,0)</f>
        <v>1</v>
      </c>
    </row>
    <row r="745" spans="1:27" x14ac:dyDescent="0.25">
      <c r="A745" s="1">
        <v>43333</v>
      </c>
      <c r="B745">
        <v>11154</v>
      </c>
      <c r="C745" s="2" t="s">
        <v>54</v>
      </c>
      <c r="D745" s="2" t="s">
        <v>55</v>
      </c>
      <c r="E745" s="2" t="s">
        <v>56</v>
      </c>
      <c r="F745">
        <v>4068</v>
      </c>
      <c r="G745" s="2" t="s">
        <v>63</v>
      </c>
      <c r="H745" s="2" t="s">
        <v>64</v>
      </c>
      <c r="I745" s="2" t="s">
        <v>65</v>
      </c>
      <c r="J745" s="2" t="s">
        <v>49</v>
      </c>
      <c r="K745" s="2" t="s">
        <v>65</v>
      </c>
      <c r="L745">
        <v>527.79</v>
      </c>
      <c r="M745">
        <v>1</v>
      </c>
      <c r="N745">
        <v>15.18</v>
      </c>
      <c r="O745">
        <v>6100231</v>
      </c>
      <c r="P745" s="2" t="s">
        <v>50</v>
      </c>
      <c r="Q745" s="2" t="s">
        <v>51</v>
      </c>
      <c r="R745" s="2" t="s">
        <v>30</v>
      </c>
      <c r="S745">
        <v>12</v>
      </c>
      <c r="T745" s="1">
        <v>43333</v>
      </c>
      <c r="U745" s="1">
        <v>43340</v>
      </c>
      <c r="V745" s="2"/>
      <c r="W745" s="1">
        <f>fNotasFiscais[[#This Row],[Data da Coleta]]+fNotasFiscais[[#This Row],[Prazo Contratado]]</f>
        <v>43345</v>
      </c>
      <c r="X745" s="3">
        <f>IF(fNotasFiscais[[#This Row],[Data da Entrega]]&gt;fNotasFiscais[[#This Row],[Data Contratada]],0,1)</f>
        <v>1</v>
      </c>
      <c r="Y745" s="3">
        <f>IF(fNotasFiscais[[#This Row],[Ocorrência]]="",1,0)</f>
        <v>1</v>
      </c>
      <c r="Z745" s="2">
        <f>fNotasFiscais[[#This Row],[On Time]]*fNotasFiscais[[#This Row],[In Full]]</f>
        <v>1</v>
      </c>
      <c r="AA745">
        <f>IF(fNotasFiscais[[#This Row],[Nota Fiscal]]&lt;&gt;"",1,0)</f>
        <v>1</v>
      </c>
    </row>
    <row r="746" spans="1:27" x14ac:dyDescent="0.25">
      <c r="A746" s="1">
        <v>43333</v>
      </c>
      <c r="B746">
        <v>11155</v>
      </c>
      <c r="C746" s="2" t="s">
        <v>31</v>
      </c>
      <c r="D746" s="2" t="s">
        <v>32</v>
      </c>
      <c r="E746" s="2" t="s">
        <v>33</v>
      </c>
      <c r="F746">
        <v>4068</v>
      </c>
      <c r="G746" s="2" t="s">
        <v>63</v>
      </c>
      <c r="H746" s="2" t="s">
        <v>64</v>
      </c>
      <c r="I746" s="2" t="s">
        <v>65</v>
      </c>
      <c r="J746" s="2" t="s">
        <v>49</v>
      </c>
      <c r="K746" s="2" t="s">
        <v>65</v>
      </c>
      <c r="L746">
        <v>3371.88</v>
      </c>
      <c r="M746">
        <v>5</v>
      </c>
      <c r="N746">
        <v>61.93</v>
      </c>
      <c r="O746">
        <v>6100231</v>
      </c>
      <c r="P746" s="2" t="s">
        <v>50</v>
      </c>
      <c r="Q746" s="2" t="s">
        <v>51</v>
      </c>
      <c r="R746" s="2" t="s">
        <v>30</v>
      </c>
      <c r="S746">
        <v>12</v>
      </c>
      <c r="T746" s="1">
        <v>43333</v>
      </c>
      <c r="U746" s="1">
        <v>43339</v>
      </c>
      <c r="V746" s="2"/>
      <c r="W746" s="1">
        <f>fNotasFiscais[[#This Row],[Data da Coleta]]+fNotasFiscais[[#This Row],[Prazo Contratado]]</f>
        <v>43345</v>
      </c>
      <c r="X746" s="3">
        <f>IF(fNotasFiscais[[#This Row],[Data da Entrega]]&gt;fNotasFiscais[[#This Row],[Data Contratada]],0,1)</f>
        <v>1</v>
      </c>
      <c r="Y746" s="3">
        <f>IF(fNotasFiscais[[#This Row],[Ocorrência]]="",1,0)</f>
        <v>1</v>
      </c>
      <c r="Z746" s="2">
        <f>fNotasFiscais[[#This Row],[On Time]]*fNotasFiscais[[#This Row],[In Full]]</f>
        <v>1</v>
      </c>
      <c r="AA746">
        <f>IF(fNotasFiscais[[#This Row],[Nota Fiscal]]&lt;&gt;"",1,0)</f>
        <v>1</v>
      </c>
    </row>
    <row r="747" spans="1:27" x14ac:dyDescent="0.25">
      <c r="A747" s="1">
        <v>43334</v>
      </c>
      <c r="B747">
        <v>11156</v>
      </c>
      <c r="C747" s="2" t="s">
        <v>54</v>
      </c>
      <c r="D747" s="2" t="s">
        <v>55</v>
      </c>
      <c r="E747" s="2" t="s">
        <v>56</v>
      </c>
      <c r="F747">
        <v>4069</v>
      </c>
      <c r="G747" s="2" t="s">
        <v>135</v>
      </c>
      <c r="H747" s="2" t="s">
        <v>47</v>
      </c>
      <c r="I747" s="2" t="s">
        <v>48</v>
      </c>
      <c r="J747" s="2" t="s">
        <v>49</v>
      </c>
      <c r="K747" s="2" t="s">
        <v>48</v>
      </c>
      <c r="L747">
        <v>6296.23</v>
      </c>
      <c r="M747">
        <v>15</v>
      </c>
      <c r="N747">
        <v>60.97</v>
      </c>
      <c r="O747">
        <v>6100231</v>
      </c>
      <c r="P747" s="2" t="s">
        <v>50</v>
      </c>
      <c r="Q747" s="2" t="s">
        <v>51</v>
      </c>
      <c r="R747" s="2" t="s">
        <v>30</v>
      </c>
      <c r="S747">
        <v>9</v>
      </c>
      <c r="T747" s="1">
        <v>43334</v>
      </c>
      <c r="U747" s="1">
        <v>43342</v>
      </c>
      <c r="V747" s="2"/>
      <c r="W747" s="1">
        <f>fNotasFiscais[[#This Row],[Data da Coleta]]+fNotasFiscais[[#This Row],[Prazo Contratado]]</f>
        <v>43343</v>
      </c>
      <c r="X747" s="3">
        <f>IF(fNotasFiscais[[#This Row],[Data da Entrega]]&gt;fNotasFiscais[[#This Row],[Data Contratada]],0,1)</f>
        <v>1</v>
      </c>
      <c r="Y747" s="3">
        <f>IF(fNotasFiscais[[#This Row],[Ocorrência]]="",1,0)</f>
        <v>1</v>
      </c>
      <c r="Z747" s="2">
        <f>fNotasFiscais[[#This Row],[On Time]]*fNotasFiscais[[#This Row],[In Full]]</f>
        <v>1</v>
      </c>
      <c r="AA747">
        <f>IF(fNotasFiscais[[#This Row],[Nota Fiscal]]&lt;&gt;"",1,0)</f>
        <v>1</v>
      </c>
    </row>
    <row r="748" spans="1:27" x14ac:dyDescent="0.25">
      <c r="A748" s="1">
        <v>43334</v>
      </c>
      <c r="B748">
        <v>11157</v>
      </c>
      <c r="C748" s="2" t="s">
        <v>34</v>
      </c>
      <c r="D748" s="2" t="s">
        <v>35</v>
      </c>
      <c r="E748" s="2" t="s">
        <v>36</v>
      </c>
      <c r="F748">
        <v>4023</v>
      </c>
      <c r="G748" s="2" t="s">
        <v>88</v>
      </c>
      <c r="H748" s="2" t="s">
        <v>78</v>
      </c>
      <c r="I748" s="2" t="s">
        <v>39</v>
      </c>
      <c r="J748" s="2" t="s">
        <v>28</v>
      </c>
      <c r="K748" s="2" t="s">
        <v>39</v>
      </c>
      <c r="L748">
        <v>219.4</v>
      </c>
      <c r="M748">
        <v>1</v>
      </c>
      <c r="N748">
        <v>1.1200000000000001</v>
      </c>
      <c r="O748">
        <v>6500948</v>
      </c>
      <c r="P748" s="2" t="s">
        <v>29</v>
      </c>
      <c r="Q748" s="2" t="s">
        <v>23</v>
      </c>
      <c r="R748" s="2" t="s">
        <v>30</v>
      </c>
      <c r="S748">
        <v>11</v>
      </c>
      <c r="T748" s="1">
        <v>43334</v>
      </c>
      <c r="U748" s="1">
        <v>43341</v>
      </c>
      <c r="V748" s="2"/>
      <c r="W748" s="1">
        <f>fNotasFiscais[[#This Row],[Data da Coleta]]+fNotasFiscais[[#This Row],[Prazo Contratado]]</f>
        <v>43345</v>
      </c>
      <c r="X748" s="3">
        <f>IF(fNotasFiscais[[#This Row],[Data da Entrega]]&gt;fNotasFiscais[[#This Row],[Data Contratada]],0,1)</f>
        <v>1</v>
      </c>
      <c r="Y748" s="3">
        <f>IF(fNotasFiscais[[#This Row],[Ocorrência]]="",1,0)</f>
        <v>1</v>
      </c>
      <c r="Z748" s="2">
        <f>fNotasFiscais[[#This Row],[On Time]]*fNotasFiscais[[#This Row],[In Full]]</f>
        <v>1</v>
      </c>
      <c r="AA748">
        <f>IF(fNotasFiscais[[#This Row],[Nota Fiscal]]&lt;&gt;"",1,0)</f>
        <v>1</v>
      </c>
    </row>
    <row r="749" spans="1:27" x14ac:dyDescent="0.25">
      <c r="A749" s="1">
        <v>43336</v>
      </c>
      <c r="B749">
        <v>11158</v>
      </c>
      <c r="C749" s="2" t="s">
        <v>31</v>
      </c>
      <c r="D749" s="2" t="s">
        <v>32</v>
      </c>
      <c r="E749" s="2" t="s">
        <v>33</v>
      </c>
      <c r="F749">
        <v>4033</v>
      </c>
      <c r="G749" s="2" t="s">
        <v>109</v>
      </c>
      <c r="H749" s="2" t="s">
        <v>51</v>
      </c>
      <c r="I749" s="2" t="s">
        <v>73</v>
      </c>
      <c r="J749" s="2" t="s">
        <v>49</v>
      </c>
      <c r="K749" s="2" t="s">
        <v>73</v>
      </c>
      <c r="L749">
        <v>1232.8699999999999</v>
      </c>
      <c r="M749">
        <v>1</v>
      </c>
      <c r="N749">
        <v>16.72</v>
      </c>
      <c r="O749">
        <v>6100231</v>
      </c>
      <c r="P749" s="2" t="s">
        <v>50</v>
      </c>
      <c r="Q749" s="2" t="s">
        <v>51</v>
      </c>
      <c r="R749" s="2" t="s">
        <v>30</v>
      </c>
      <c r="S749">
        <v>12</v>
      </c>
      <c r="T749" s="1">
        <v>43336</v>
      </c>
      <c r="U749" s="1">
        <v>43339</v>
      </c>
      <c r="V749" s="2"/>
      <c r="W749" s="1">
        <f>fNotasFiscais[[#This Row],[Data da Coleta]]+fNotasFiscais[[#This Row],[Prazo Contratado]]</f>
        <v>43348</v>
      </c>
      <c r="X749" s="3">
        <f>IF(fNotasFiscais[[#This Row],[Data da Entrega]]&gt;fNotasFiscais[[#This Row],[Data Contratada]],0,1)</f>
        <v>1</v>
      </c>
      <c r="Y749" s="3">
        <f>IF(fNotasFiscais[[#This Row],[Ocorrência]]="",1,0)</f>
        <v>1</v>
      </c>
      <c r="Z749" s="2">
        <f>fNotasFiscais[[#This Row],[On Time]]*fNotasFiscais[[#This Row],[In Full]]</f>
        <v>1</v>
      </c>
      <c r="AA749">
        <f>IF(fNotasFiscais[[#This Row],[Nota Fiscal]]&lt;&gt;"",1,0)</f>
        <v>1</v>
      </c>
    </row>
    <row r="750" spans="1:27" x14ac:dyDescent="0.25">
      <c r="A750" s="1">
        <v>43336</v>
      </c>
      <c r="B750">
        <v>11159</v>
      </c>
      <c r="C750" s="2" t="s">
        <v>22</v>
      </c>
      <c r="D750" s="2" t="s">
        <v>23</v>
      </c>
      <c r="E750" s="2" t="s">
        <v>24</v>
      </c>
      <c r="F750">
        <v>4037</v>
      </c>
      <c r="G750" s="2" t="s">
        <v>113</v>
      </c>
      <c r="H750" s="2" t="s">
        <v>47</v>
      </c>
      <c r="I750" s="2" t="s">
        <v>48</v>
      </c>
      <c r="J750" s="2" t="s">
        <v>49</v>
      </c>
      <c r="K750" s="2" t="s">
        <v>48</v>
      </c>
      <c r="L750">
        <v>8331.33</v>
      </c>
      <c r="M750">
        <v>10</v>
      </c>
      <c r="N750">
        <v>47.488999999999997</v>
      </c>
      <c r="O750">
        <v>6100231</v>
      </c>
      <c r="P750" s="2" t="s">
        <v>50</v>
      </c>
      <c r="Q750" s="2" t="s">
        <v>51</v>
      </c>
      <c r="R750" s="2" t="s">
        <v>30</v>
      </c>
      <c r="S750">
        <v>10</v>
      </c>
      <c r="T750" s="1">
        <v>43336</v>
      </c>
      <c r="U750" s="1">
        <v>43346</v>
      </c>
      <c r="V750" s="2" t="s">
        <v>57</v>
      </c>
      <c r="W750" s="1">
        <f>fNotasFiscais[[#This Row],[Data da Coleta]]+fNotasFiscais[[#This Row],[Prazo Contratado]]</f>
        <v>43346</v>
      </c>
      <c r="X750" s="3">
        <f>IF(fNotasFiscais[[#This Row],[Data da Entrega]]&gt;fNotasFiscais[[#This Row],[Data Contratada]],0,1)</f>
        <v>1</v>
      </c>
      <c r="Y750" s="3">
        <f>IF(fNotasFiscais[[#This Row],[Ocorrência]]="",1,0)</f>
        <v>0</v>
      </c>
      <c r="Z750" s="2">
        <f>fNotasFiscais[[#This Row],[On Time]]*fNotasFiscais[[#This Row],[In Full]]</f>
        <v>0</v>
      </c>
      <c r="AA750">
        <f>IF(fNotasFiscais[[#This Row],[Nota Fiscal]]&lt;&gt;"",1,0)</f>
        <v>1</v>
      </c>
    </row>
    <row r="751" spans="1:27" x14ac:dyDescent="0.25">
      <c r="A751" s="1">
        <v>43336</v>
      </c>
      <c r="B751">
        <v>11160</v>
      </c>
      <c r="C751" s="2" t="s">
        <v>52</v>
      </c>
      <c r="D751" s="2" t="s">
        <v>53</v>
      </c>
      <c r="E751" s="2" t="s">
        <v>33</v>
      </c>
      <c r="F751">
        <v>4027</v>
      </c>
      <c r="G751" s="2" t="s">
        <v>93</v>
      </c>
      <c r="H751" s="2" t="s">
        <v>91</v>
      </c>
      <c r="I751" s="2" t="s">
        <v>24</v>
      </c>
      <c r="J751" s="2" t="s">
        <v>28</v>
      </c>
      <c r="K751" s="2" t="s">
        <v>24</v>
      </c>
      <c r="L751">
        <v>1305.99</v>
      </c>
      <c r="M751">
        <v>2</v>
      </c>
      <c r="N751">
        <v>4.6210000000000004</v>
      </c>
      <c r="O751">
        <v>6500948</v>
      </c>
      <c r="P751" s="2" t="s">
        <v>29</v>
      </c>
      <c r="Q751" s="2" t="s">
        <v>23</v>
      </c>
      <c r="R751" s="2" t="s">
        <v>30</v>
      </c>
      <c r="S751">
        <v>6</v>
      </c>
      <c r="T751" s="1">
        <v>43336</v>
      </c>
      <c r="U751" s="1">
        <v>43340</v>
      </c>
      <c r="V751" s="2"/>
      <c r="W751" s="1">
        <f>fNotasFiscais[[#This Row],[Data da Coleta]]+fNotasFiscais[[#This Row],[Prazo Contratado]]</f>
        <v>43342</v>
      </c>
      <c r="X751" s="3">
        <f>IF(fNotasFiscais[[#This Row],[Data da Entrega]]&gt;fNotasFiscais[[#This Row],[Data Contratada]],0,1)</f>
        <v>1</v>
      </c>
      <c r="Y751" s="3">
        <f>IF(fNotasFiscais[[#This Row],[Ocorrência]]="",1,0)</f>
        <v>1</v>
      </c>
      <c r="Z751" s="2">
        <f>fNotasFiscais[[#This Row],[On Time]]*fNotasFiscais[[#This Row],[In Full]]</f>
        <v>1</v>
      </c>
      <c r="AA751">
        <f>IF(fNotasFiscais[[#This Row],[Nota Fiscal]]&lt;&gt;"",1,0)</f>
        <v>1</v>
      </c>
    </row>
    <row r="752" spans="1:27" x14ac:dyDescent="0.25">
      <c r="A752" s="1">
        <v>43336</v>
      </c>
      <c r="B752">
        <v>11161</v>
      </c>
      <c r="C752" s="2" t="s">
        <v>43</v>
      </c>
      <c r="D752" s="2" t="s">
        <v>44</v>
      </c>
      <c r="E752" s="2" t="s">
        <v>45</v>
      </c>
      <c r="F752">
        <v>4027</v>
      </c>
      <c r="G752" s="2" t="s">
        <v>93</v>
      </c>
      <c r="H752" s="2" t="s">
        <v>91</v>
      </c>
      <c r="I752" s="2" t="s">
        <v>24</v>
      </c>
      <c r="J752" s="2" t="s">
        <v>28</v>
      </c>
      <c r="K752" s="2" t="s">
        <v>24</v>
      </c>
      <c r="L752">
        <v>1148.1099999999999</v>
      </c>
      <c r="M752">
        <v>1</v>
      </c>
      <c r="N752">
        <v>8.58</v>
      </c>
      <c r="O752">
        <v>6500948</v>
      </c>
      <c r="P752" s="2" t="s">
        <v>29</v>
      </c>
      <c r="Q752" s="2" t="s">
        <v>23</v>
      </c>
      <c r="R752" s="2" t="s">
        <v>30</v>
      </c>
      <c r="S752">
        <v>5</v>
      </c>
      <c r="T752" s="1">
        <v>43336</v>
      </c>
      <c r="U752" s="1">
        <v>43341</v>
      </c>
      <c r="V752" s="2"/>
      <c r="W752" s="1">
        <f>fNotasFiscais[[#This Row],[Data da Coleta]]+fNotasFiscais[[#This Row],[Prazo Contratado]]</f>
        <v>43341</v>
      </c>
      <c r="X752" s="3">
        <f>IF(fNotasFiscais[[#This Row],[Data da Entrega]]&gt;fNotasFiscais[[#This Row],[Data Contratada]],0,1)</f>
        <v>1</v>
      </c>
      <c r="Y752" s="3">
        <f>IF(fNotasFiscais[[#This Row],[Ocorrência]]="",1,0)</f>
        <v>1</v>
      </c>
      <c r="Z752" s="2">
        <f>fNotasFiscais[[#This Row],[On Time]]*fNotasFiscais[[#This Row],[In Full]]</f>
        <v>1</v>
      </c>
      <c r="AA752">
        <f>IF(fNotasFiscais[[#This Row],[Nota Fiscal]]&lt;&gt;"",1,0)</f>
        <v>1</v>
      </c>
    </row>
    <row r="753" spans="1:27" x14ac:dyDescent="0.25">
      <c r="A753" s="1">
        <v>43336</v>
      </c>
      <c r="B753">
        <v>11162</v>
      </c>
      <c r="C753" s="2" t="s">
        <v>54</v>
      </c>
      <c r="D753" s="2" t="s">
        <v>55</v>
      </c>
      <c r="E753" s="2" t="s">
        <v>56</v>
      </c>
      <c r="F753">
        <v>4040</v>
      </c>
      <c r="G753" s="2" t="s">
        <v>117</v>
      </c>
      <c r="H753" s="2" t="s">
        <v>47</v>
      </c>
      <c r="I753" s="2" t="s">
        <v>48</v>
      </c>
      <c r="J753" s="2" t="s">
        <v>49</v>
      </c>
      <c r="K753" s="2" t="s">
        <v>48</v>
      </c>
      <c r="L753">
        <v>4620.92</v>
      </c>
      <c r="M753">
        <v>6</v>
      </c>
      <c r="N753">
        <v>47.186</v>
      </c>
      <c r="O753">
        <v>6100231</v>
      </c>
      <c r="P753" s="2" t="s">
        <v>50</v>
      </c>
      <c r="Q753" s="2" t="s">
        <v>51</v>
      </c>
      <c r="R753" s="2" t="s">
        <v>30</v>
      </c>
      <c r="S753">
        <v>3</v>
      </c>
      <c r="T753" s="1">
        <v>43336</v>
      </c>
      <c r="U753" s="1">
        <v>43343</v>
      </c>
      <c r="V753" s="2"/>
      <c r="W753" s="1">
        <f>fNotasFiscais[[#This Row],[Data da Coleta]]+fNotasFiscais[[#This Row],[Prazo Contratado]]</f>
        <v>43339</v>
      </c>
      <c r="X753" s="3">
        <f>IF(fNotasFiscais[[#This Row],[Data da Entrega]]&gt;fNotasFiscais[[#This Row],[Data Contratada]],0,1)</f>
        <v>0</v>
      </c>
      <c r="Y753" s="3">
        <f>IF(fNotasFiscais[[#This Row],[Ocorrência]]="",1,0)</f>
        <v>1</v>
      </c>
      <c r="Z753" s="2">
        <f>fNotasFiscais[[#This Row],[On Time]]*fNotasFiscais[[#This Row],[In Full]]</f>
        <v>0</v>
      </c>
      <c r="AA753">
        <f>IF(fNotasFiscais[[#This Row],[Nota Fiscal]]&lt;&gt;"",1,0)</f>
        <v>1</v>
      </c>
    </row>
    <row r="754" spans="1:27" x14ac:dyDescent="0.25">
      <c r="A754" s="1">
        <v>43336</v>
      </c>
      <c r="B754">
        <v>11163</v>
      </c>
      <c r="C754" s="2" t="s">
        <v>52</v>
      </c>
      <c r="D754" s="2" t="s">
        <v>53</v>
      </c>
      <c r="E754" s="2" t="s">
        <v>33</v>
      </c>
      <c r="F754">
        <v>4028</v>
      </c>
      <c r="G754" s="2" t="s">
        <v>95</v>
      </c>
      <c r="H754" s="2" t="s">
        <v>26</v>
      </c>
      <c r="I754" s="2" t="s">
        <v>27</v>
      </c>
      <c r="J754" s="2" t="s">
        <v>28</v>
      </c>
      <c r="K754" s="2" t="s">
        <v>27</v>
      </c>
      <c r="L754">
        <v>3386.19</v>
      </c>
      <c r="M754">
        <v>3</v>
      </c>
      <c r="N754">
        <v>9.7789999999999999</v>
      </c>
      <c r="O754">
        <v>6500948</v>
      </c>
      <c r="P754" s="2" t="s">
        <v>29</v>
      </c>
      <c r="Q754" s="2" t="s">
        <v>23</v>
      </c>
      <c r="R754" s="2" t="s">
        <v>30</v>
      </c>
      <c r="S754">
        <v>6</v>
      </c>
      <c r="T754" s="1">
        <v>43336</v>
      </c>
      <c r="U754" s="1">
        <v>43346</v>
      </c>
      <c r="V754" s="2"/>
      <c r="W754" s="1">
        <f>fNotasFiscais[[#This Row],[Data da Coleta]]+fNotasFiscais[[#This Row],[Prazo Contratado]]</f>
        <v>43342</v>
      </c>
      <c r="X754" s="3">
        <f>IF(fNotasFiscais[[#This Row],[Data da Entrega]]&gt;fNotasFiscais[[#This Row],[Data Contratada]],0,1)</f>
        <v>0</v>
      </c>
      <c r="Y754" s="3">
        <f>IF(fNotasFiscais[[#This Row],[Ocorrência]]="",1,0)</f>
        <v>1</v>
      </c>
      <c r="Z754" s="2">
        <f>fNotasFiscais[[#This Row],[On Time]]*fNotasFiscais[[#This Row],[In Full]]</f>
        <v>0</v>
      </c>
      <c r="AA754">
        <f>IF(fNotasFiscais[[#This Row],[Nota Fiscal]]&lt;&gt;"",1,0)</f>
        <v>1</v>
      </c>
    </row>
    <row r="755" spans="1:27" x14ac:dyDescent="0.25">
      <c r="A755" s="1">
        <v>43336</v>
      </c>
      <c r="B755">
        <v>11164</v>
      </c>
      <c r="C755" s="2" t="s">
        <v>52</v>
      </c>
      <c r="D755" s="2" t="s">
        <v>53</v>
      </c>
      <c r="E755" s="2" t="s">
        <v>33</v>
      </c>
      <c r="F755">
        <v>4028</v>
      </c>
      <c r="G755" s="2" t="s">
        <v>95</v>
      </c>
      <c r="H755" s="2" t="s">
        <v>26</v>
      </c>
      <c r="I755" s="2" t="s">
        <v>27</v>
      </c>
      <c r="J755" s="2" t="s">
        <v>28</v>
      </c>
      <c r="K755" s="2" t="s">
        <v>27</v>
      </c>
      <c r="L755">
        <v>984.16</v>
      </c>
      <c r="M755">
        <v>1</v>
      </c>
      <c r="N755">
        <v>1.65</v>
      </c>
      <c r="O755">
        <v>6500948</v>
      </c>
      <c r="P755" s="2" t="s">
        <v>29</v>
      </c>
      <c r="Q755" s="2" t="s">
        <v>23</v>
      </c>
      <c r="R755" s="2" t="s">
        <v>30</v>
      </c>
      <c r="S755">
        <v>4</v>
      </c>
      <c r="T755" s="1">
        <v>43336</v>
      </c>
      <c r="U755" s="1">
        <v>43343</v>
      </c>
      <c r="V755" s="2"/>
      <c r="W755" s="1">
        <f>fNotasFiscais[[#This Row],[Data da Coleta]]+fNotasFiscais[[#This Row],[Prazo Contratado]]</f>
        <v>43340</v>
      </c>
      <c r="X755" s="3">
        <f>IF(fNotasFiscais[[#This Row],[Data da Entrega]]&gt;fNotasFiscais[[#This Row],[Data Contratada]],0,1)</f>
        <v>0</v>
      </c>
      <c r="Y755" s="3">
        <f>IF(fNotasFiscais[[#This Row],[Ocorrência]]="",1,0)</f>
        <v>1</v>
      </c>
      <c r="Z755" s="2">
        <f>fNotasFiscais[[#This Row],[On Time]]*fNotasFiscais[[#This Row],[In Full]]</f>
        <v>0</v>
      </c>
      <c r="AA755">
        <f>IF(fNotasFiscais[[#This Row],[Nota Fiscal]]&lt;&gt;"",1,0)</f>
        <v>1</v>
      </c>
    </row>
    <row r="756" spans="1:27" x14ac:dyDescent="0.25">
      <c r="A756" s="1">
        <v>43336</v>
      </c>
      <c r="B756">
        <v>11165</v>
      </c>
      <c r="C756" s="2" t="s">
        <v>34</v>
      </c>
      <c r="D756" s="2" t="s">
        <v>35</v>
      </c>
      <c r="E756" s="2" t="s">
        <v>36</v>
      </c>
      <c r="F756">
        <v>4030</v>
      </c>
      <c r="G756" s="2" t="s">
        <v>102</v>
      </c>
      <c r="H756" s="2" t="s">
        <v>35</v>
      </c>
      <c r="I756" s="2" t="s">
        <v>36</v>
      </c>
      <c r="J756" s="2" t="s">
        <v>60</v>
      </c>
      <c r="K756" s="2" t="s">
        <v>36</v>
      </c>
      <c r="L756">
        <v>6320.06</v>
      </c>
      <c r="M756">
        <v>8</v>
      </c>
      <c r="N756">
        <v>22.47</v>
      </c>
      <c r="O756">
        <v>6600879</v>
      </c>
      <c r="P756" s="2" t="s">
        <v>61</v>
      </c>
      <c r="Q756" s="2" t="s">
        <v>35</v>
      </c>
      <c r="R756" s="2" t="s">
        <v>30</v>
      </c>
      <c r="S756">
        <v>3</v>
      </c>
      <c r="T756" s="1">
        <v>43336</v>
      </c>
      <c r="U756" s="1">
        <v>43343</v>
      </c>
      <c r="V756" s="2"/>
      <c r="W756" s="1">
        <f>fNotasFiscais[[#This Row],[Data da Coleta]]+fNotasFiscais[[#This Row],[Prazo Contratado]]</f>
        <v>43339</v>
      </c>
      <c r="X756" s="3">
        <f>IF(fNotasFiscais[[#This Row],[Data da Entrega]]&gt;fNotasFiscais[[#This Row],[Data Contratada]],0,1)</f>
        <v>0</v>
      </c>
      <c r="Y756" s="3">
        <f>IF(fNotasFiscais[[#This Row],[Ocorrência]]="",1,0)</f>
        <v>1</v>
      </c>
      <c r="Z756" s="2">
        <f>fNotasFiscais[[#This Row],[On Time]]*fNotasFiscais[[#This Row],[In Full]]</f>
        <v>0</v>
      </c>
      <c r="AA756">
        <f>IF(fNotasFiscais[[#This Row],[Nota Fiscal]]&lt;&gt;"",1,0)</f>
        <v>1</v>
      </c>
    </row>
    <row r="757" spans="1:27" x14ac:dyDescent="0.25">
      <c r="A757" s="1">
        <v>43336</v>
      </c>
      <c r="B757">
        <v>11166</v>
      </c>
      <c r="C757" s="2" t="s">
        <v>22</v>
      </c>
      <c r="D757" s="2" t="s">
        <v>23</v>
      </c>
      <c r="E757" s="2" t="s">
        <v>24</v>
      </c>
      <c r="F757">
        <v>4040</v>
      </c>
      <c r="G757" s="2" t="s">
        <v>117</v>
      </c>
      <c r="H757" s="2" t="s">
        <v>47</v>
      </c>
      <c r="I757" s="2" t="s">
        <v>48</v>
      </c>
      <c r="J757" s="2" t="s">
        <v>49</v>
      </c>
      <c r="K757" s="2" t="s">
        <v>48</v>
      </c>
      <c r="L757">
        <v>2505.15</v>
      </c>
      <c r="M757">
        <v>2</v>
      </c>
      <c r="N757">
        <v>6.0540000000000003</v>
      </c>
      <c r="O757">
        <v>6100231</v>
      </c>
      <c r="P757" s="2" t="s">
        <v>50</v>
      </c>
      <c r="Q757" s="2" t="s">
        <v>51</v>
      </c>
      <c r="R757" s="2" t="s">
        <v>30</v>
      </c>
      <c r="S757">
        <v>10</v>
      </c>
      <c r="T757" s="1">
        <v>43336</v>
      </c>
      <c r="U757" s="1">
        <v>43346</v>
      </c>
      <c r="V757" s="2"/>
      <c r="W757" s="1">
        <f>fNotasFiscais[[#This Row],[Data da Coleta]]+fNotasFiscais[[#This Row],[Prazo Contratado]]</f>
        <v>43346</v>
      </c>
      <c r="X757" s="3">
        <f>IF(fNotasFiscais[[#This Row],[Data da Entrega]]&gt;fNotasFiscais[[#This Row],[Data Contratada]],0,1)</f>
        <v>1</v>
      </c>
      <c r="Y757" s="3">
        <f>IF(fNotasFiscais[[#This Row],[Ocorrência]]="",1,0)</f>
        <v>1</v>
      </c>
      <c r="Z757" s="2">
        <f>fNotasFiscais[[#This Row],[On Time]]*fNotasFiscais[[#This Row],[In Full]]</f>
        <v>1</v>
      </c>
      <c r="AA757">
        <f>IF(fNotasFiscais[[#This Row],[Nota Fiscal]]&lt;&gt;"",1,0)</f>
        <v>1</v>
      </c>
    </row>
    <row r="758" spans="1:27" x14ac:dyDescent="0.25">
      <c r="A758" s="1">
        <v>43336</v>
      </c>
      <c r="B758">
        <v>11167</v>
      </c>
      <c r="C758" s="2" t="s">
        <v>43</v>
      </c>
      <c r="D758" s="2" t="s">
        <v>44</v>
      </c>
      <c r="E758" s="2" t="s">
        <v>45</v>
      </c>
      <c r="F758">
        <v>4030</v>
      </c>
      <c r="G758" s="2" t="s">
        <v>102</v>
      </c>
      <c r="H758" s="2" t="s">
        <v>35</v>
      </c>
      <c r="I758" s="2" t="s">
        <v>36</v>
      </c>
      <c r="J758" s="2" t="s">
        <v>60</v>
      </c>
      <c r="K758" s="2" t="s">
        <v>36</v>
      </c>
      <c r="L758">
        <v>4664.08</v>
      </c>
      <c r="M758">
        <v>4</v>
      </c>
      <c r="N758">
        <v>34.32</v>
      </c>
      <c r="O758">
        <v>6600879</v>
      </c>
      <c r="P758" s="2" t="s">
        <v>61</v>
      </c>
      <c r="Q758" s="2" t="s">
        <v>35</v>
      </c>
      <c r="R758" s="2" t="s">
        <v>30</v>
      </c>
      <c r="S758">
        <v>2</v>
      </c>
      <c r="T758" s="1">
        <v>43336</v>
      </c>
      <c r="U758" s="1">
        <v>43342</v>
      </c>
      <c r="V758" s="2"/>
      <c r="W758" s="1">
        <f>fNotasFiscais[[#This Row],[Data da Coleta]]+fNotasFiscais[[#This Row],[Prazo Contratado]]</f>
        <v>43338</v>
      </c>
      <c r="X758" s="3">
        <f>IF(fNotasFiscais[[#This Row],[Data da Entrega]]&gt;fNotasFiscais[[#This Row],[Data Contratada]],0,1)</f>
        <v>0</v>
      </c>
      <c r="Y758" s="3">
        <f>IF(fNotasFiscais[[#This Row],[Ocorrência]]="",1,0)</f>
        <v>1</v>
      </c>
      <c r="Z758" s="2">
        <f>fNotasFiscais[[#This Row],[On Time]]*fNotasFiscais[[#This Row],[In Full]]</f>
        <v>0</v>
      </c>
      <c r="AA758">
        <f>IF(fNotasFiscais[[#This Row],[Nota Fiscal]]&lt;&gt;"",1,0)</f>
        <v>1</v>
      </c>
    </row>
    <row r="759" spans="1:27" x14ac:dyDescent="0.25">
      <c r="A759" s="1">
        <v>43340</v>
      </c>
      <c r="B759">
        <v>11168</v>
      </c>
      <c r="C759" s="2" t="s">
        <v>31</v>
      </c>
      <c r="D759" s="2" t="s">
        <v>32</v>
      </c>
      <c r="E759" s="2" t="s">
        <v>33</v>
      </c>
      <c r="F759">
        <v>4068</v>
      </c>
      <c r="G759" s="2" t="s">
        <v>63</v>
      </c>
      <c r="H759" s="2" t="s">
        <v>64</v>
      </c>
      <c r="I759" s="2" t="s">
        <v>65</v>
      </c>
      <c r="J759" s="2" t="s">
        <v>49</v>
      </c>
      <c r="K759" s="2" t="s">
        <v>65</v>
      </c>
      <c r="L759">
        <v>2739.13</v>
      </c>
      <c r="M759">
        <v>2</v>
      </c>
      <c r="N759">
        <v>14.081</v>
      </c>
      <c r="O759">
        <v>6100231</v>
      </c>
      <c r="P759" s="2" t="s">
        <v>50</v>
      </c>
      <c r="Q759" s="2" t="s">
        <v>51</v>
      </c>
      <c r="R759" s="2" t="s">
        <v>30</v>
      </c>
      <c r="S759">
        <v>9</v>
      </c>
      <c r="T759" s="1">
        <v>43340</v>
      </c>
      <c r="U759" s="1">
        <v>43345</v>
      </c>
      <c r="V759" s="2"/>
      <c r="W759" s="1">
        <f>fNotasFiscais[[#This Row],[Data da Coleta]]+fNotasFiscais[[#This Row],[Prazo Contratado]]</f>
        <v>43349</v>
      </c>
      <c r="X759" s="3">
        <f>IF(fNotasFiscais[[#This Row],[Data da Entrega]]&gt;fNotasFiscais[[#This Row],[Data Contratada]],0,1)</f>
        <v>1</v>
      </c>
      <c r="Y759" s="3">
        <f>IF(fNotasFiscais[[#This Row],[Ocorrência]]="",1,0)</f>
        <v>1</v>
      </c>
      <c r="Z759" s="2">
        <f>fNotasFiscais[[#This Row],[On Time]]*fNotasFiscais[[#This Row],[In Full]]</f>
        <v>1</v>
      </c>
      <c r="AA759">
        <f>IF(fNotasFiscais[[#This Row],[Nota Fiscal]]&lt;&gt;"",1,0)</f>
        <v>1</v>
      </c>
    </row>
    <row r="760" spans="1:27" x14ac:dyDescent="0.25">
      <c r="A760" s="1">
        <v>43340</v>
      </c>
      <c r="B760">
        <v>11169</v>
      </c>
      <c r="C760" s="2" t="s">
        <v>43</v>
      </c>
      <c r="D760" s="2" t="s">
        <v>44</v>
      </c>
      <c r="E760" s="2" t="s">
        <v>45</v>
      </c>
      <c r="F760">
        <v>4068</v>
      </c>
      <c r="G760" s="2" t="s">
        <v>63</v>
      </c>
      <c r="H760" s="2" t="s">
        <v>64</v>
      </c>
      <c r="I760" s="2" t="s">
        <v>65</v>
      </c>
      <c r="J760" s="2" t="s">
        <v>49</v>
      </c>
      <c r="K760" s="2" t="s">
        <v>65</v>
      </c>
      <c r="L760">
        <v>4299.16</v>
      </c>
      <c r="M760">
        <v>1</v>
      </c>
      <c r="N760">
        <v>1.1200000000000001</v>
      </c>
      <c r="O760">
        <v>6100231</v>
      </c>
      <c r="P760" s="2" t="s">
        <v>50</v>
      </c>
      <c r="Q760" s="2" t="s">
        <v>51</v>
      </c>
      <c r="R760" s="2" t="s">
        <v>30</v>
      </c>
      <c r="S760">
        <v>6</v>
      </c>
      <c r="T760" s="1">
        <v>43340</v>
      </c>
      <c r="U760" s="1">
        <v>43344</v>
      </c>
      <c r="V760" s="2"/>
      <c r="W760" s="1">
        <f>fNotasFiscais[[#This Row],[Data da Coleta]]+fNotasFiscais[[#This Row],[Prazo Contratado]]</f>
        <v>43346</v>
      </c>
      <c r="X760" s="3">
        <f>IF(fNotasFiscais[[#This Row],[Data da Entrega]]&gt;fNotasFiscais[[#This Row],[Data Contratada]],0,1)</f>
        <v>1</v>
      </c>
      <c r="Y760" s="3">
        <f>IF(fNotasFiscais[[#This Row],[Ocorrência]]="",1,0)</f>
        <v>1</v>
      </c>
      <c r="Z760" s="2">
        <f>fNotasFiscais[[#This Row],[On Time]]*fNotasFiscais[[#This Row],[In Full]]</f>
        <v>1</v>
      </c>
      <c r="AA760">
        <f>IF(fNotasFiscais[[#This Row],[Nota Fiscal]]&lt;&gt;"",1,0)</f>
        <v>1</v>
      </c>
    </row>
    <row r="761" spans="1:27" x14ac:dyDescent="0.25">
      <c r="A761" s="1">
        <v>43340</v>
      </c>
      <c r="B761">
        <v>11170</v>
      </c>
      <c r="C761" s="2" t="s">
        <v>22</v>
      </c>
      <c r="D761" s="2" t="s">
        <v>23</v>
      </c>
      <c r="E761" s="2" t="s">
        <v>24</v>
      </c>
      <c r="F761">
        <v>4016</v>
      </c>
      <c r="G761" s="2" t="s">
        <v>68</v>
      </c>
      <c r="H761" s="2" t="s">
        <v>69</v>
      </c>
      <c r="I761" s="2" t="s">
        <v>36</v>
      </c>
      <c r="J761" s="2" t="s">
        <v>60</v>
      </c>
      <c r="K761" s="2" t="s">
        <v>36</v>
      </c>
      <c r="L761">
        <v>4414.51</v>
      </c>
      <c r="M761">
        <v>3</v>
      </c>
      <c r="N761">
        <v>15.326000000000001</v>
      </c>
      <c r="O761">
        <v>6600879</v>
      </c>
      <c r="P761" s="2" t="s">
        <v>61</v>
      </c>
      <c r="Q761" s="2" t="s">
        <v>35</v>
      </c>
      <c r="R761" s="2" t="s">
        <v>30</v>
      </c>
      <c r="S761">
        <v>3</v>
      </c>
      <c r="T761" s="1">
        <v>43340</v>
      </c>
      <c r="U761" s="1">
        <v>43346</v>
      </c>
      <c r="V761" s="2"/>
      <c r="W761" s="1">
        <f>fNotasFiscais[[#This Row],[Data da Coleta]]+fNotasFiscais[[#This Row],[Prazo Contratado]]</f>
        <v>43343</v>
      </c>
      <c r="X761" s="3">
        <f>IF(fNotasFiscais[[#This Row],[Data da Entrega]]&gt;fNotasFiscais[[#This Row],[Data Contratada]],0,1)</f>
        <v>0</v>
      </c>
      <c r="Y761" s="3">
        <f>IF(fNotasFiscais[[#This Row],[Ocorrência]]="",1,0)</f>
        <v>1</v>
      </c>
      <c r="Z761" s="2">
        <f>fNotasFiscais[[#This Row],[On Time]]*fNotasFiscais[[#This Row],[In Full]]</f>
        <v>0</v>
      </c>
      <c r="AA761">
        <f>IF(fNotasFiscais[[#This Row],[Nota Fiscal]]&lt;&gt;"",1,0)</f>
        <v>1</v>
      </c>
    </row>
    <row r="762" spans="1:27" x14ac:dyDescent="0.25">
      <c r="A762" s="1">
        <v>43341</v>
      </c>
      <c r="B762">
        <v>11171</v>
      </c>
      <c r="C762" s="2" t="s">
        <v>40</v>
      </c>
      <c r="D762" s="2" t="s">
        <v>41</v>
      </c>
      <c r="E762" s="2" t="s">
        <v>33</v>
      </c>
      <c r="F762">
        <v>4024</v>
      </c>
      <c r="G762" s="2" t="s">
        <v>89</v>
      </c>
      <c r="H762" s="2" t="s">
        <v>23</v>
      </c>
      <c r="I762" s="2" t="s">
        <v>24</v>
      </c>
      <c r="J762" s="2" t="s">
        <v>28</v>
      </c>
      <c r="K762" s="2" t="s">
        <v>24</v>
      </c>
      <c r="L762">
        <v>276.05</v>
      </c>
      <c r="M762">
        <v>1</v>
      </c>
      <c r="N762">
        <v>1.1000000000000001</v>
      </c>
      <c r="O762">
        <v>6500948</v>
      </c>
      <c r="P762" s="2" t="s">
        <v>29</v>
      </c>
      <c r="Q762" s="2" t="s">
        <v>23</v>
      </c>
      <c r="R762" s="2" t="s">
        <v>30</v>
      </c>
      <c r="S762">
        <v>7</v>
      </c>
      <c r="T762" s="1">
        <v>43341</v>
      </c>
      <c r="U762" s="1">
        <v>43346</v>
      </c>
      <c r="V762" s="2"/>
      <c r="W762" s="1">
        <f>fNotasFiscais[[#This Row],[Data da Coleta]]+fNotasFiscais[[#This Row],[Prazo Contratado]]</f>
        <v>43348</v>
      </c>
      <c r="X762" s="3">
        <f>IF(fNotasFiscais[[#This Row],[Data da Entrega]]&gt;fNotasFiscais[[#This Row],[Data Contratada]],0,1)</f>
        <v>1</v>
      </c>
      <c r="Y762" s="3">
        <f>IF(fNotasFiscais[[#This Row],[Ocorrência]]="",1,0)</f>
        <v>1</v>
      </c>
      <c r="Z762" s="2">
        <f>fNotasFiscais[[#This Row],[On Time]]*fNotasFiscais[[#This Row],[In Full]]</f>
        <v>1</v>
      </c>
      <c r="AA762">
        <f>IF(fNotasFiscais[[#This Row],[Nota Fiscal]]&lt;&gt;"",1,0)</f>
        <v>1</v>
      </c>
    </row>
    <row r="763" spans="1:27" x14ac:dyDescent="0.25">
      <c r="A763" s="1">
        <v>43341</v>
      </c>
      <c r="B763">
        <v>11172</v>
      </c>
      <c r="C763" s="2" t="s">
        <v>52</v>
      </c>
      <c r="D763" s="2" t="s">
        <v>53</v>
      </c>
      <c r="E763" s="2" t="s">
        <v>33</v>
      </c>
      <c r="F763">
        <v>4044</v>
      </c>
      <c r="G763" s="2" t="s">
        <v>123</v>
      </c>
      <c r="H763" s="2" t="s">
        <v>35</v>
      </c>
      <c r="I763" s="2" t="s">
        <v>36</v>
      </c>
      <c r="J763" s="2" t="s">
        <v>60</v>
      </c>
      <c r="K763" s="2" t="s">
        <v>36</v>
      </c>
      <c r="L763">
        <v>11044.37</v>
      </c>
      <c r="M763">
        <v>16</v>
      </c>
      <c r="N763">
        <v>103.039</v>
      </c>
      <c r="O763">
        <v>6600879</v>
      </c>
      <c r="P763" s="2" t="s">
        <v>61</v>
      </c>
      <c r="Q763" s="2" t="s">
        <v>35</v>
      </c>
      <c r="R763" s="2" t="s">
        <v>30</v>
      </c>
      <c r="S763">
        <v>1</v>
      </c>
      <c r="T763" s="1">
        <v>43341</v>
      </c>
      <c r="U763" s="1">
        <v>43343</v>
      </c>
      <c r="V763" s="2"/>
      <c r="W763" s="1">
        <f>fNotasFiscais[[#This Row],[Data da Coleta]]+fNotasFiscais[[#This Row],[Prazo Contratado]]</f>
        <v>43342</v>
      </c>
      <c r="X763" s="3">
        <f>IF(fNotasFiscais[[#This Row],[Data da Entrega]]&gt;fNotasFiscais[[#This Row],[Data Contratada]],0,1)</f>
        <v>0</v>
      </c>
      <c r="Y763" s="3">
        <f>IF(fNotasFiscais[[#This Row],[Ocorrência]]="",1,0)</f>
        <v>1</v>
      </c>
      <c r="Z763" s="2">
        <f>fNotasFiscais[[#This Row],[On Time]]*fNotasFiscais[[#This Row],[In Full]]</f>
        <v>0</v>
      </c>
      <c r="AA763">
        <f>IF(fNotasFiscais[[#This Row],[Nota Fiscal]]&lt;&gt;"",1,0)</f>
        <v>1</v>
      </c>
    </row>
    <row r="764" spans="1:27" x14ac:dyDescent="0.25">
      <c r="A764" s="1">
        <v>43341</v>
      </c>
      <c r="B764">
        <v>11173</v>
      </c>
      <c r="C764" s="2" t="s">
        <v>40</v>
      </c>
      <c r="D764" s="2" t="s">
        <v>41</v>
      </c>
      <c r="E764" s="2" t="s">
        <v>33</v>
      </c>
      <c r="F764">
        <v>4032</v>
      </c>
      <c r="G764" s="2" t="s">
        <v>108</v>
      </c>
      <c r="H764" s="2" t="s">
        <v>51</v>
      </c>
      <c r="I764" s="2" t="s">
        <v>73</v>
      </c>
      <c r="J764" s="2" t="s">
        <v>49</v>
      </c>
      <c r="K764" s="2" t="s">
        <v>73</v>
      </c>
      <c r="L764">
        <v>436.72</v>
      </c>
      <c r="M764">
        <v>1</v>
      </c>
      <c r="N764">
        <v>1.1200000000000001</v>
      </c>
      <c r="O764">
        <v>6100231</v>
      </c>
      <c r="P764" s="2" t="s">
        <v>50</v>
      </c>
      <c r="Q764" s="2" t="s">
        <v>51</v>
      </c>
      <c r="R764" s="2" t="s">
        <v>30</v>
      </c>
      <c r="S764">
        <v>12</v>
      </c>
      <c r="T764" s="1">
        <v>43341</v>
      </c>
      <c r="U764" s="1">
        <v>43346</v>
      </c>
      <c r="V764" s="2"/>
      <c r="W764" s="1">
        <f>fNotasFiscais[[#This Row],[Data da Coleta]]+fNotasFiscais[[#This Row],[Prazo Contratado]]</f>
        <v>43353</v>
      </c>
      <c r="X764" s="3">
        <f>IF(fNotasFiscais[[#This Row],[Data da Entrega]]&gt;fNotasFiscais[[#This Row],[Data Contratada]],0,1)</f>
        <v>1</v>
      </c>
      <c r="Y764" s="3">
        <f>IF(fNotasFiscais[[#This Row],[Ocorrência]]="",1,0)</f>
        <v>1</v>
      </c>
      <c r="Z764" s="2">
        <f>fNotasFiscais[[#This Row],[On Time]]*fNotasFiscais[[#This Row],[In Full]]</f>
        <v>1</v>
      </c>
      <c r="AA764">
        <f>IF(fNotasFiscais[[#This Row],[Nota Fiscal]]&lt;&gt;"",1,0)</f>
        <v>1</v>
      </c>
    </row>
    <row r="765" spans="1:27" x14ac:dyDescent="0.25">
      <c r="A765" s="1">
        <v>43341</v>
      </c>
      <c r="B765">
        <v>11174</v>
      </c>
      <c r="C765" s="2" t="s">
        <v>22</v>
      </c>
      <c r="D765" s="2" t="s">
        <v>23</v>
      </c>
      <c r="E765" s="2" t="s">
        <v>24</v>
      </c>
      <c r="F765">
        <v>4044</v>
      </c>
      <c r="G765" s="2" t="s">
        <v>123</v>
      </c>
      <c r="H765" s="2" t="s">
        <v>35</v>
      </c>
      <c r="I765" s="2" t="s">
        <v>36</v>
      </c>
      <c r="J765" s="2" t="s">
        <v>60</v>
      </c>
      <c r="K765" s="2" t="s">
        <v>36</v>
      </c>
      <c r="L765">
        <v>191.98</v>
      </c>
      <c r="M765">
        <v>3</v>
      </c>
      <c r="N765">
        <v>4.62</v>
      </c>
      <c r="O765">
        <v>6600879</v>
      </c>
      <c r="P765" s="2" t="s">
        <v>61</v>
      </c>
      <c r="Q765" s="2" t="s">
        <v>35</v>
      </c>
      <c r="R765" s="2" t="s">
        <v>30</v>
      </c>
      <c r="S765">
        <v>9</v>
      </c>
      <c r="T765" s="1">
        <v>43341</v>
      </c>
      <c r="U765" s="1">
        <v>43351</v>
      </c>
      <c r="V765" s="2"/>
      <c r="W765" s="1">
        <f>fNotasFiscais[[#This Row],[Data da Coleta]]+fNotasFiscais[[#This Row],[Prazo Contratado]]</f>
        <v>43350</v>
      </c>
      <c r="X765" s="3">
        <f>IF(fNotasFiscais[[#This Row],[Data da Entrega]]&gt;fNotasFiscais[[#This Row],[Data Contratada]],0,1)</f>
        <v>0</v>
      </c>
      <c r="Y765" s="3">
        <f>IF(fNotasFiscais[[#This Row],[Ocorrência]]="",1,0)</f>
        <v>1</v>
      </c>
      <c r="Z765" s="2">
        <f>fNotasFiscais[[#This Row],[On Time]]*fNotasFiscais[[#This Row],[In Full]]</f>
        <v>0</v>
      </c>
      <c r="AA765">
        <f>IF(fNotasFiscais[[#This Row],[Nota Fiscal]]&lt;&gt;"",1,0)</f>
        <v>1</v>
      </c>
    </row>
    <row r="766" spans="1:27" x14ac:dyDescent="0.25">
      <c r="A766" s="1">
        <v>43341</v>
      </c>
      <c r="B766">
        <v>11175</v>
      </c>
      <c r="C766" s="2" t="s">
        <v>22</v>
      </c>
      <c r="D766" s="2" t="s">
        <v>23</v>
      </c>
      <c r="E766" s="2" t="s">
        <v>24</v>
      </c>
      <c r="F766">
        <v>4044</v>
      </c>
      <c r="G766" s="2" t="s">
        <v>123</v>
      </c>
      <c r="H766" s="2" t="s">
        <v>35</v>
      </c>
      <c r="I766" s="2" t="s">
        <v>36</v>
      </c>
      <c r="J766" s="2" t="s">
        <v>60</v>
      </c>
      <c r="K766" s="2" t="s">
        <v>36</v>
      </c>
      <c r="L766">
        <v>993.43</v>
      </c>
      <c r="M766">
        <v>1</v>
      </c>
      <c r="N766">
        <v>1.1200000000000001</v>
      </c>
      <c r="O766">
        <v>6600879</v>
      </c>
      <c r="P766" s="2" t="s">
        <v>61</v>
      </c>
      <c r="Q766" s="2" t="s">
        <v>35</v>
      </c>
      <c r="R766" s="2" t="s">
        <v>30</v>
      </c>
      <c r="S766">
        <v>7</v>
      </c>
      <c r="T766" s="1">
        <v>43341</v>
      </c>
      <c r="U766" s="1">
        <v>43344</v>
      </c>
      <c r="V766" s="2"/>
      <c r="W766" s="1">
        <f>fNotasFiscais[[#This Row],[Data da Coleta]]+fNotasFiscais[[#This Row],[Prazo Contratado]]</f>
        <v>43348</v>
      </c>
      <c r="X766" s="3">
        <f>IF(fNotasFiscais[[#This Row],[Data da Entrega]]&gt;fNotasFiscais[[#This Row],[Data Contratada]],0,1)</f>
        <v>1</v>
      </c>
      <c r="Y766" s="3">
        <f>IF(fNotasFiscais[[#This Row],[Ocorrência]]="",1,0)</f>
        <v>1</v>
      </c>
      <c r="Z766" s="2">
        <f>fNotasFiscais[[#This Row],[On Time]]*fNotasFiscais[[#This Row],[In Full]]</f>
        <v>1</v>
      </c>
      <c r="AA766">
        <f>IF(fNotasFiscais[[#This Row],[Nota Fiscal]]&lt;&gt;"",1,0)</f>
        <v>1</v>
      </c>
    </row>
    <row r="767" spans="1:27" x14ac:dyDescent="0.25">
      <c r="A767" s="1">
        <v>43341</v>
      </c>
      <c r="B767">
        <v>11176</v>
      </c>
      <c r="C767" s="2" t="s">
        <v>43</v>
      </c>
      <c r="D767" s="2" t="s">
        <v>44</v>
      </c>
      <c r="E767" s="2" t="s">
        <v>45</v>
      </c>
      <c r="F767">
        <v>4045</v>
      </c>
      <c r="G767" s="2" t="s">
        <v>124</v>
      </c>
      <c r="H767" s="2" t="s">
        <v>35</v>
      </c>
      <c r="I767" s="2" t="s">
        <v>36</v>
      </c>
      <c r="J767" s="2" t="s">
        <v>60</v>
      </c>
      <c r="K767" s="2" t="s">
        <v>36</v>
      </c>
      <c r="L767">
        <v>7344.83</v>
      </c>
      <c r="M767">
        <v>8</v>
      </c>
      <c r="N767">
        <v>35.83</v>
      </c>
      <c r="O767">
        <v>6600879</v>
      </c>
      <c r="P767" s="2" t="s">
        <v>61</v>
      </c>
      <c r="Q767" s="2" t="s">
        <v>35</v>
      </c>
      <c r="R767" s="2" t="s">
        <v>30</v>
      </c>
      <c r="S767">
        <v>3</v>
      </c>
      <c r="T767" s="1">
        <v>43341</v>
      </c>
      <c r="U767" s="1">
        <v>43350</v>
      </c>
      <c r="V767" s="2"/>
      <c r="W767" s="1">
        <f>fNotasFiscais[[#This Row],[Data da Coleta]]+fNotasFiscais[[#This Row],[Prazo Contratado]]</f>
        <v>43344</v>
      </c>
      <c r="X767" s="3">
        <f>IF(fNotasFiscais[[#This Row],[Data da Entrega]]&gt;fNotasFiscais[[#This Row],[Data Contratada]],0,1)</f>
        <v>0</v>
      </c>
      <c r="Y767" s="3">
        <f>IF(fNotasFiscais[[#This Row],[Ocorrência]]="",1,0)</f>
        <v>1</v>
      </c>
      <c r="Z767" s="2">
        <f>fNotasFiscais[[#This Row],[On Time]]*fNotasFiscais[[#This Row],[In Full]]</f>
        <v>0</v>
      </c>
      <c r="AA767">
        <f>IF(fNotasFiscais[[#This Row],[Nota Fiscal]]&lt;&gt;"",1,0)</f>
        <v>1</v>
      </c>
    </row>
    <row r="768" spans="1:27" x14ac:dyDescent="0.25">
      <c r="A768" s="1">
        <v>43341</v>
      </c>
      <c r="B768">
        <v>11177</v>
      </c>
      <c r="C768" s="2" t="s">
        <v>34</v>
      </c>
      <c r="D768" s="2" t="s">
        <v>35</v>
      </c>
      <c r="E768" s="2" t="s">
        <v>36</v>
      </c>
      <c r="F768">
        <v>4045</v>
      </c>
      <c r="G768" s="2" t="s">
        <v>124</v>
      </c>
      <c r="H768" s="2" t="s">
        <v>35</v>
      </c>
      <c r="I768" s="2" t="s">
        <v>36</v>
      </c>
      <c r="J768" s="2" t="s">
        <v>60</v>
      </c>
      <c r="K768" s="2" t="s">
        <v>36</v>
      </c>
      <c r="L768">
        <v>229.68</v>
      </c>
      <c r="M768">
        <v>1</v>
      </c>
      <c r="N768">
        <v>0.91900000000000004</v>
      </c>
      <c r="O768">
        <v>6600879</v>
      </c>
      <c r="P768" s="2" t="s">
        <v>61</v>
      </c>
      <c r="Q768" s="2" t="s">
        <v>35</v>
      </c>
      <c r="R768" s="2" t="s">
        <v>30</v>
      </c>
      <c r="S768">
        <v>6</v>
      </c>
      <c r="T768" s="1">
        <v>43341</v>
      </c>
      <c r="U768" s="1">
        <v>43346</v>
      </c>
      <c r="V768" s="2"/>
      <c r="W768" s="1">
        <f>fNotasFiscais[[#This Row],[Data da Coleta]]+fNotasFiscais[[#This Row],[Prazo Contratado]]</f>
        <v>43347</v>
      </c>
      <c r="X768" s="3">
        <f>IF(fNotasFiscais[[#This Row],[Data da Entrega]]&gt;fNotasFiscais[[#This Row],[Data Contratada]],0,1)</f>
        <v>1</v>
      </c>
      <c r="Y768" s="3">
        <f>IF(fNotasFiscais[[#This Row],[Ocorrência]]="",1,0)</f>
        <v>1</v>
      </c>
      <c r="Z768" s="2">
        <f>fNotasFiscais[[#This Row],[On Time]]*fNotasFiscais[[#This Row],[In Full]]</f>
        <v>1</v>
      </c>
      <c r="AA768">
        <f>IF(fNotasFiscais[[#This Row],[Nota Fiscal]]&lt;&gt;"",1,0)</f>
        <v>1</v>
      </c>
    </row>
    <row r="769" spans="1:27" x14ac:dyDescent="0.25">
      <c r="A769" s="1">
        <v>43342</v>
      </c>
      <c r="B769">
        <v>11178</v>
      </c>
      <c r="C769" s="2" t="s">
        <v>54</v>
      </c>
      <c r="D769" s="2" t="s">
        <v>55</v>
      </c>
      <c r="E769" s="2" t="s">
        <v>56</v>
      </c>
      <c r="F769">
        <v>4118</v>
      </c>
      <c r="G769" s="2" t="s">
        <v>201</v>
      </c>
      <c r="H769" s="2" t="s">
        <v>183</v>
      </c>
      <c r="I769" s="2" t="s">
        <v>33</v>
      </c>
      <c r="J769" s="2" t="s">
        <v>60</v>
      </c>
      <c r="K769" s="2" t="s">
        <v>33</v>
      </c>
      <c r="L769">
        <v>3351.03</v>
      </c>
      <c r="M769">
        <v>6</v>
      </c>
      <c r="N769">
        <v>25.721</v>
      </c>
      <c r="O769">
        <v>6400835</v>
      </c>
      <c r="P769" s="2" t="s">
        <v>130</v>
      </c>
      <c r="Q769" s="2" t="s">
        <v>131</v>
      </c>
      <c r="R769" s="2" t="s">
        <v>30</v>
      </c>
      <c r="S769">
        <v>4</v>
      </c>
      <c r="T769" s="1">
        <v>43342</v>
      </c>
      <c r="U769" s="1">
        <v>43352</v>
      </c>
      <c r="V769" s="2"/>
      <c r="W769" s="1">
        <f>fNotasFiscais[[#This Row],[Data da Coleta]]+fNotasFiscais[[#This Row],[Prazo Contratado]]</f>
        <v>43346</v>
      </c>
      <c r="X769" s="3">
        <f>IF(fNotasFiscais[[#This Row],[Data da Entrega]]&gt;fNotasFiscais[[#This Row],[Data Contratada]],0,1)</f>
        <v>0</v>
      </c>
      <c r="Y769" s="3">
        <f>IF(fNotasFiscais[[#This Row],[Ocorrência]]="",1,0)</f>
        <v>1</v>
      </c>
      <c r="Z769" s="2">
        <f>fNotasFiscais[[#This Row],[On Time]]*fNotasFiscais[[#This Row],[In Full]]</f>
        <v>0</v>
      </c>
      <c r="AA769">
        <f>IF(fNotasFiscais[[#This Row],[Nota Fiscal]]&lt;&gt;"",1,0)</f>
        <v>1</v>
      </c>
    </row>
    <row r="770" spans="1:27" x14ac:dyDescent="0.25">
      <c r="A770" s="1">
        <v>43342</v>
      </c>
      <c r="B770">
        <v>11179</v>
      </c>
      <c r="C770" s="2" t="s">
        <v>31</v>
      </c>
      <c r="D770" s="2" t="s">
        <v>32</v>
      </c>
      <c r="E770" s="2" t="s">
        <v>33</v>
      </c>
      <c r="F770">
        <v>4052</v>
      </c>
      <c r="G770" s="2" t="s">
        <v>81</v>
      </c>
      <c r="H770" s="2" t="s">
        <v>51</v>
      </c>
      <c r="I770" s="2" t="s">
        <v>73</v>
      </c>
      <c r="J770" s="2" t="s">
        <v>49</v>
      </c>
      <c r="K770" s="2" t="s">
        <v>73</v>
      </c>
      <c r="L770">
        <v>1232.8699999999999</v>
      </c>
      <c r="M770">
        <v>1</v>
      </c>
      <c r="N770">
        <v>16.72</v>
      </c>
      <c r="O770">
        <v>6100231</v>
      </c>
      <c r="P770" s="2" t="s">
        <v>50</v>
      </c>
      <c r="Q770" s="2" t="s">
        <v>51</v>
      </c>
      <c r="R770" s="2" t="s">
        <v>30</v>
      </c>
      <c r="S770">
        <v>1</v>
      </c>
      <c r="T770" s="1">
        <v>43342</v>
      </c>
      <c r="U770" s="1">
        <v>43345</v>
      </c>
      <c r="V770" s="2"/>
      <c r="W770" s="1">
        <f>fNotasFiscais[[#This Row],[Data da Coleta]]+fNotasFiscais[[#This Row],[Prazo Contratado]]</f>
        <v>43343</v>
      </c>
      <c r="X770" s="3">
        <f>IF(fNotasFiscais[[#This Row],[Data da Entrega]]&gt;fNotasFiscais[[#This Row],[Data Contratada]],0,1)</f>
        <v>0</v>
      </c>
      <c r="Y770" s="3">
        <f>IF(fNotasFiscais[[#This Row],[Ocorrência]]="",1,0)</f>
        <v>1</v>
      </c>
      <c r="Z770" s="2">
        <f>fNotasFiscais[[#This Row],[On Time]]*fNotasFiscais[[#This Row],[In Full]]</f>
        <v>0</v>
      </c>
      <c r="AA770">
        <f>IF(fNotasFiscais[[#This Row],[Nota Fiscal]]&lt;&gt;"",1,0)</f>
        <v>1</v>
      </c>
    </row>
    <row r="771" spans="1:27" x14ac:dyDescent="0.25">
      <c r="A771" s="1">
        <v>43342</v>
      </c>
      <c r="B771">
        <v>11180</v>
      </c>
      <c r="C771" s="2" t="s">
        <v>54</v>
      </c>
      <c r="D771" s="2" t="s">
        <v>55</v>
      </c>
      <c r="E771" s="2" t="s">
        <v>56</v>
      </c>
      <c r="F771">
        <v>4119</v>
      </c>
      <c r="G771" s="2" t="s">
        <v>202</v>
      </c>
      <c r="H771" s="2" t="s">
        <v>167</v>
      </c>
      <c r="I771" s="2" t="s">
        <v>168</v>
      </c>
      <c r="J771" s="2" t="s">
        <v>169</v>
      </c>
      <c r="K771" s="2" t="s">
        <v>168</v>
      </c>
      <c r="L771">
        <v>1371.85</v>
      </c>
      <c r="M771">
        <v>1</v>
      </c>
      <c r="N771">
        <v>14.3</v>
      </c>
      <c r="O771">
        <v>6900304</v>
      </c>
      <c r="P771" s="2" t="s">
        <v>170</v>
      </c>
      <c r="Q771" s="2" t="s">
        <v>171</v>
      </c>
      <c r="R771" s="2" t="s">
        <v>30</v>
      </c>
      <c r="S771">
        <v>4</v>
      </c>
      <c r="T771" s="1">
        <v>43342</v>
      </c>
      <c r="U771" s="1">
        <v>43352</v>
      </c>
      <c r="V771" s="2"/>
      <c r="W771" s="1">
        <f>fNotasFiscais[[#This Row],[Data da Coleta]]+fNotasFiscais[[#This Row],[Prazo Contratado]]</f>
        <v>43346</v>
      </c>
      <c r="X771" s="3">
        <f>IF(fNotasFiscais[[#This Row],[Data da Entrega]]&gt;fNotasFiscais[[#This Row],[Data Contratada]],0,1)</f>
        <v>0</v>
      </c>
      <c r="Y771" s="3">
        <f>IF(fNotasFiscais[[#This Row],[Ocorrência]]="",1,0)</f>
        <v>1</v>
      </c>
      <c r="Z771" s="2">
        <f>fNotasFiscais[[#This Row],[On Time]]*fNotasFiscais[[#This Row],[In Full]]</f>
        <v>0</v>
      </c>
      <c r="AA771">
        <f>IF(fNotasFiscais[[#This Row],[Nota Fiscal]]&lt;&gt;"",1,0)</f>
        <v>1</v>
      </c>
    </row>
    <row r="772" spans="1:27" x14ac:dyDescent="0.25">
      <c r="A772" s="1">
        <v>43342</v>
      </c>
      <c r="B772">
        <v>11181</v>
      </c>
      <c r="C772" s="2" t="s">
        <v>34</v>
      </c>
      <c r="D772" s="2" t="s">
        <v>35</v>
      </c>
      <c r="E772" s="2" t="s">
        <v>36</v>
      </c>
      <c r="F772">
        <v>4120</v>
      </c>
      <c r="G772" s="2" t="s">
        <v>203</v>
      </c>
      <c r="H772" s="2" t="s">
        <v>183</v>
      </c>
      <c r="I772" s="2" t="s">
        <v>33</v>
      </c>
      <c r="J772" s="2" t="s">
        <v>60</v>
      </c>
      <c r="K772" s="2" t="s">
        <v>33</v>
      </c>
      <c r="L772">
        <v>4239.67</v>
      </c>
      <c r="M772">
        <v>7</v>
      </c>
      <c r="N772">
        <v>53.776000000000003</v>
      </c>
      <c r="O772">
        <v>6400835</v>
      </c>
      <c r="P772" s="2" t="s">
        <v>130</v>
      </c>
      <c r="Q772" s="2" t="s">
        <v>131</v>
      </c>
      <c r="R772" s="2" t="s">
        <v>30</v>
      </c>
      <c r="S772">
        <v>3</v>
      </c>
      <c r="T772" s="1">
        <v>43342</v>
      </c>
      <c r="U772" s="1">
        <v>43345</v>
      </c>
      <c r="V772" s="2"/>
      <c r="W772" s="1">
        <f>fNotasFiscais[[#This Row],[Data da Coleta]]+fNotasFiscais[[#This Row],[Prazo Contratado]]</f>
        <v>43345</v>
      </c>
      <c r="X772" s="3">
        <f>IF(fNotasFiscais[[#This Row],[Data da Entrega]]&gt;fNotasFiscais[[#This Row],[Data Contratada]],0,1)</f>
        <v>1</v>
      </c>
      <c r="Y772" s="3">
        <f>IF(fNotasFiscais[[#This Row],[Ocorrência]]="",1,0)</f>
        <v>1</v>
      </c>
      <c r="Z772" s="2">
        <f>fNotasFiscais[[#This Row],[On Time]]*fNotasFiscais[[#This Row],[In Full]]</f>
        <v>1</v>
      </c>
      <c r="AA772">
        <f>IF(fNotasFiscais[[#This Row],[Nota Fiscal]]&lt;&gt;"",1,0)</f>
        <v>1</v>
      </c>
    </row>
    <row r="773" spans="1:27" x14ac:dyDescent="0.25">
      <c r="A773" s="1">
        <v>43342</v>
      </c>
      <c r="B773">
        <v>11182</v>
      </c>
      <c r="C773" s="2" t="s">
        <v>54</v>
      </c>
      <c r="D773" s="2" t="s">
        <v>55</v>
      </c>
      <c r="E773" s="2" t="s">
        <v>56</v>
      </c>
      <c r="F773">
        <v>4023</v>
      </c>
      <c r="G773" s="2" t="s">
        <v>88</v>
      </c>
      <c r="H773" s="2" t="s">
        <v>78</v>
      </c>
      <c r="I773" s="2" t="s">
        <v>39</v>
      </c>
      <c r="J773" s="2" t="s">
        <v>28</v>
      </c>
      <c r="K773" s="2" t="s">
        <v>39</v>
      </c>
      <c r="L773">
        <v>219.4</v>
      </c>
      <c r="M773">
        <v>1</v>
      </c>
      <c r="N773">
        <v>1.1200000000000001</v>
      </c>
      <c r="O773">
        <v>6500948</v>
      </c>
      <c r="P773" s="2" t="s">
        <v>29</v>
      </c>
      <c r="Q773" s="2" t="s">
        <v>23</v>
      </c>
      <c r="R773" s="2" t="s">
        <v>30</v>
      </c>
      <c r="S773">
        <v>10</v>
      </c>
      <c r="T773" s="1">
        <v>43342</v>
      </c>
      <c r="U773" s="1">
        <v>43348</v>
      </c>
      <c r="V773" s="2"/>
      <c r="W773" s="1">
        <f>fNotasFiscais[[#This Row],[Data da Coleta]]+fNotasFiscais[[#This Row],[Prazo Contratado]]</f>
        <v>43352</v>
      </c>
      <c r="X773" s="3">
        <f>IF(fNotasFiscais[[#This Row],[Data da Entrega]]&gt;fNotasFiscais[[#This Row],[Data Contratada]],0,1)</f>
        <v>1</v>
      </c>
      <c r="Y773" s="3">
        <f>IF(fNotasFiscais[[#This Row],[Ocorrência]]="",1,0)</f>
        <v>1</v>
      </c>
      <c r="Z773" s="2">
        <f>fNotasFiscais[[#This Row],[On Time]]*fNotasFiscais[[#This Row],[In Full]]</f>
        <v>1</v>
      </c>
      <c r="AA773">
        <f>IF(fNotasFiscais[[#This Row],[Nota Fiscal]]&lt;&gt;"",1,0)</f>
        <v>1</v>
      </c>
    </row>
    <row r="774" spans="1:27" x14ac:dyDescent="0.25">
      <c r="A774" s="1">
        <v>43342</v>
      </c>
      <c r="B774">
        <v>11183</v>
      </c>
      <c r="C774" s="2" t="s">
        <v>52</v>
      </c>
      <c r="D774" s="2" t="s">
        <v>53</v>
      </c>
      <c r="E774" s="2" t="s">
        <v>33</v>
      </c>
      <c r="F774">
        <v>4058</v>
      </c>
      <c r="G774" s="2" t="s">
        <v>46</v>
      </c>
      <c r="H774" s="2" t="s">
        <v>47</v>
      </c>
      <c r="I774" s="2" t="s">
        <v>48</v>
      </c>
      <c r="J774" s="2" t="s">
        <v>49</v>
      </c>
      <c r="K774" s="2" t="s">
        <v>48</v>
      </c>
      <c r="L774">
        <v>692.69</v>
      </c>
      <c r="M774">
        <v>3</v>
      </c>
      <c r="N774">
        <v>2.7559999999999998</v>
      </c>
      <c r="O774">
        <v>6100231</v>
      </c>
      <c r="P774" s="2" t="s">
        <v>50</v>
      </c>
      <c r="Q774" s="2" t="s">
        <v>51</v>
      </c>
      <c r="R774" s="2" t="s">
        <v>30</v>
      </c>
      <c r="S774">
        <v>7</v>
      </c>
      <c r="T774" s="1">
        <v>43342</v>
      </c>
      <c r="U774" s="1">
        <v>43351</v>
      </c>
      <c r="V774" s="2"/>
      <c r="W774" s="1">
        <f>fNotasFiscais[[#This Row],[Data da Coleta]]+fNotasFiscais[[#This Row],[Prazo Contratado]]</f>
        <v>43349</v>
      </c>
      <c r="X774" s="3">
        <f>IF(fNotasFiscais[[#This Row],[Data da Entrega]]&gt;fNotasFiscais[[#This Row],[Data Contratada]],0,1)</f>
        <v>0</v>
      </c>
      <c r="Y774" s="3">
        <f>IF(fNotasFiscais[[#This Row],[Ocorrência]]="",1,0)</f>
        <v>1</v>
      </c>
      <c r="Z774" s="2">
        <f>fNotasFiscais[[#This Row],[On Time]]*fNotasFiscais[[#This Row],[In Full]]</f>
        <v>0</v>
      </c>
      <c r="AA774">
        <f>IF(fNotasFiscais[[#This Row],[Nota Fiscal]]&lt;&gt;"",1,0)</f>
        <v>1</v>
      </c>
    </row>
    <row r="775" spans="1:27" x14ac:dyDescent="0.25">
      <c r="A775" s="1">
        <v>43342</v>
      </c>
      <c r="B775">
        <v>11184</v>
      </c>
      <c r="C775" s="2" t="s">
        <v>22</v>
      </c>
      <c r="D775" s="2" t="s">
        <v>23</v>
      </c>
      <c r="E775" s="2" t="s">
        <v>24</v>
      </c>
      <c r="F775">
        <v>4058</v>
      </c>
      <c r="G775" s="2" t="s">
        <v>46</v>
      </c>
      <c r="H775" s="2" t="s">
        <v>47</v>
      </c>
      <c r="I775" s="2" t="s">
        <v>48</v>
      </c>
      <c r="J775" s="2" t="s">
        <v>49</v>
      </c>
      <c r="K775" s="2" t="s">
        <v>48</v>
      </c>
      <c r="L775">
        <v>1039.1300000000001</v>
      </c>
      <c r="M775">
        <v>4</v>
      </c>
      <c r="N775">
        <v>7.7670000000000003</v>
      </c>
      <c r="O775">
        <v>6100231</v>
      </c>
      <c r="P775" s="2" t="s">
        <v>50</v>
      </c>
      <c r="Q775" s="2" t="s">
        <v>51</v>
      </c>
      <c r="R775" s="2" t="s">
        <v>30</v>
      </c>
      <c r="S775">
        <v>12</v>
      </c>
      <c r="T775" s="1">
        <v>43342</v>
      </c>
      <c r="U775" s="1">
        <v>43350</v>
      </c>
      <c r="V775" s="2"/>
      <c r="W775" s="1">
        <f>fNotasFiscais[[#This Row],[Data da Coleta]]+fNotasFiscais[[#This Row],[Prazo Contratado]]</f>
        <v>43354</v>
      </c>
      <c r="X775" s="3">
        <f>IF(fNotasFiscais[[#This Row],[Data da Entrega]]&gt;fNotasFiscais[[#This Row],[Data Contratada]],0,1)</f>
        <v>1</v>
      </c>
      <c r="Y775" s="3">
        <f>IF(fNotasFiscais[[#This Row],[Ocorrência]]="",1,0)</f>
        <v>1</v>
      </c>
      <c r="Z775" s="2">
        <f>fNotasFiscais[[#This Row],[On Time]]*fNotasFiscais[[#This Row],[In Full]]</f>
        <v>1</v>
      </c>
      <c r="AA775">
        <f>IF(fNotasFiscais[[#This Row],[Nota Fiscal]]&lt;&gt;"",1,0)</f>
        <v>1</v>
      </c>
    </row>
    <row r="776" spans="1:27" x14ac:dyDescent="0.25">
      <c r="A776" s="1">
        <v>43342</v>
      </c>
      <c r="B776">
        <v>11185</v>
      </c>
      <c r="C776" s="2" t="s">
        <v>54</v>
      </c>
      <c r="D776" s="2" t="s">
        <v>55</v>
      </c>
      <c r="E776" s="2" t="s">
        <v>56</v>
      </c>
      <c r="F776">
        <v>4058</v>
      </c>
      <c r="G776" s="2" t="s">
        <v>46</v>
      </c>
      <c r="H776" s="2" t="s">
        <v>47</v>
      </c>
      <c r="I776" s="2" t="s">
        <v>48</v>
      </c>
      <c r="J776" s="2" t="s">
        <v>49</v>
      </c>
      <c r="K776" s="2" t="s">
        <v>48</v>
      </c>
      <c r="L776">
        <v>1920.94</v>
      </c>
      <c r="M776">
        <v>3</v>
      </c>
      <c r="N776">
        <v>6.45</v>
      </c>
      <c r="O776">
        <v>6100231</v>
      </c>
      <c r="P776" s="2" t="s">
        <v>50</v>
      </c>
      <c r="Q776" s="2" t="s">
        <v>51</v>
      </c>
      <c r="R776" s="2" t="s">
        <v>30</v>
      </c>
      <c r="S776">
        <v>8</v>
      </c>
      <c r="T776" s="1">
        <v>43342</v>
      </c>
      <c r="U776" s="1">
        <v>43344</v>
      </c>
      <c r="V776" s="2"/>
      <c r="W776" s="1">
        <f>fNotasFiscais[[#This Row],[Data da Coleta]]+fNotasFiscais[[#This Row],[Prazo Contratado]]</f>
        <v>43350</v>
      </c>
      <c r="X776" s="3">
        <f>IF(fNotasFiscais[[#This Row],[Data da Entrega]]&gt;fNotasFiscais[[#This Row],[Data Contratada]],0,1)</f>
        <v>1</v>
      </c>
      <c r="Y776" s="3">
        <f>IF(fNotasFiscais[[#This Row],[Ocorrência]]="",1,0)</f>
        <v>1</v>
      </c>
      <c r="Z776" s="2">
        <f>fNotasFiscais[[#This Row],[On Time]]*fNotasFiscais[[#This Row],[In Full]]</f>
        <v>1</v>
      </c>
      <c r="AA776">
        <f>IF(fNotasFiscais[[#This Row],[Nota Fiscal]]&lt;&gt;"",1,0)</f>
        <v>1</v>
      </c>
    </row>
    <row r="777" spans="1:27" x14ac:dyDescent="0.25">
      <c r="A777" s="1">
        <v>43343</v>
      </c>
      <c r="B777">
        <v>11186</v>
      </c>
      <c r="C777" s="2" t="s">
        <v>40</v>
      </c>
      <c r="D777" s="2" t="s">
        <v>41</v>
      </c>
      <c r="E777" s="2" t="s">
        <v>33</v>
      </c>
      <c r="F777">
        <v>4034</v>
      </c>
      <c r="G777" s="2" t="s">
        <v>110</v>
      </c>
      <c r="H777" s="2" t="s">
        <v>51</v>
      </c>
      <c r="I777" s="2" t="s">
        <v>73</v>
      </c>
      <c r="J777" s="2" t="s">
        <v>49</v>
      </c>
      <c r="K777" s="2" t="s">
        <v>73</v>
      </c>
      <c r="L777">
        <v>1008.33</v>
      </c>
      <c r="M777">
        <v>1</v>
      </c>
      <c r="N777">
        <v>9.35</v>
      </c>
      <c r="O777">
        <v>6100231</v>
      </c>
      <c r="P777" s="2" t="s">
        <v>50</v>
      </c>
      <c r="Q777" s="2" t="s">
        <v>51</v>
      </c>
      <c r="R777" s="2" t="s">
        <v>30</v>
      </c>
      <c r="S777">
        <v>7</v>
      </c>
      <c r="T777" s="1">
        <v>43343</v>
      </c>
      <c r="U777" s="1">
        <v>43346</v>
      </c>
      <c r="V777" s="2"/>
      <c r="W777" s="1">
        <f>fNotasFiscais[[#This Row],[Data da Coleta]]+fNotasFiscais[[#This Row],[Prazo Contratado]]</f>
        <v>43350</v>
      </c>
      <c r="X777" s="3">
        <f>IF(fNotasFiscais[[#This Row],[Data da Entrega]]&gt;fNotasFiscais[[#This Row],[Data Contratada]],0,1)</f>
        <v>1</v>
      </c>
      <c r="Y777" s="3">
        <f>IF(fNotasFiscais[[#This Row],[Ocorrência]]="",1,0)</f>
        <v>1</v>
      </c>
      <c r="Z777" s="2">
        <f>fNotasFiscais[[#This Row],[On Time]]*fNotasFiscais[[#This Row],[In Full]]</f>
        <v>1</v>
      </c>
      <c r="AA777">
        <f>IF(fNotasFiscais[[#This Row],[Nota Fiscal]]&lt;&gt;"",1,0)</f>
        <v>1</v>
      </c>
    </row>
    <row r="778" spans="1:27" x14ac:dyDescent="0.25">
      <c r="A778" s="1">
        <v>43343</v>
      </c>
      <c r="B778">
        <v>11187</v>
      </c>
      <c r="C778" s="2" t="s">
        <v>34</v>
      </c>
      <c r="D778" s="2" t="s">
        <v>35</v>
      </c>
      <c r="E778" s="2" t="s">
        <v>36</v>
      </c>
      <c r="F778">
        <v>4018</v>
      </c>
      <c r="G778" s="2" t="s">
        <v>77</v>
      </c>
      <c r="H778" s="2" t="s">
        <v>78</v>
      </c>
      <c r="I778" s="2" t="s">
        <v>39</v>
      </c>
      <c r="J778" s="2" t="s">
        <v>28</v>
      </c>
      <c r="K778" s="2" t="s">
        <v>39</v>
      </c>
      <c r="L778">
        <v>1859.03</v>
      </c>
      <c r="M778">
        <v>1</v>
      </c>
      <c r="N778">
        <v>4.4039999999999999</v>
      </c>
      <c r="O778">
        <v>6500948</v>
      </c>
      <c r="P778" s="2" t="s">
        <v>29</v>
      </c>
      <c r="Q778" s="2" t="s">
        <v>23</v>
      </c>
      <c r="R778" s="2" t="s">
        <v>30</v>
      </c>
      <c r="S778">
        <v>12</v>
      </c>
      <c r="T778" s="1">
        <v>43343</v>
      </c>
      <c r="U778" s="1">
        <v>43347</v>
      </c>
      <c r="V778" s="2"/>
      <c r="W778" s="1">
        <f>fNotasFiscais[[#This Row],[Data da Coleta]]+fNotasFiscais[[#This Row],[Prazo Contratado]]</f>
        <v>43355</v>
      </c>
      <c r="X778" s="3">
        <f>IF(fNotasFiscais[[#This Row],[Data da Entrega]]&gt;fNotasFiscais[[#This Row],[Data Contratada]],0,1)</f>
        <v>1</v>
      </c>
      <c r="Y778" s="3">
        <f>IF(fNotasFiscais[[#This Row],[Ocorrência]]="",1,0)</f>
        <v>1</v>
      </c>
      <c r="Z778" s="2">
        <f>fNotasFiscais[[#This Row],[On Time]]*fNotasFiscais[[#This Row],[In Full]]</f>
        <v>1</v>
      </c>
      <c r="AA778">
        <f>IF(fNotasFiscais[[#This Row],[Nota Fiscal]]&lt;&gt;"",1,0)</f>
        <v>1</v>
      </c>
    </row>
    <row r="779" spans="1:27" x14ac:dyDescent="0.25">
      <c r="A779" s="1">
        <v>43343</v>
      </c>
      <c r="B779">
        <v>11188</v>
      </c>
      <c r="C779" s="2" t="s">
        <v>54</v>
      </c>
      <c r="D779" s="2" t="s">
        <v>55</v>
      </c>
      <c r="E779" s="2" t="s">
        <v>56</v>
      </c>
      <c r="F779">
        <v>4056</v>
      </c>
      <c r="G779" s="2" t="s">
        <v>119</v>
      </c>
      <c r="H779" s="2" t="s">
        <v>51</v>
      </c>
      <c r="I779" s="2" t="s">
        <v>73</v>
      </c>
      <c r="J779" s="2" t="s">
        <v>49</v>
      </c>
      <c r="K779" s="2" t="s">
        <v>73</v>
      </c>
      <c r="L779">
        <v>1827.99</v>
      </c>
      <c r="M779">
        <v>2</v>
      </c>
      <c r="N779">
        <v>17.600000000000001</v>
      </c>
      <c r="O779">
        <v>6100231</v>
      </c>
      <c r="P779" s="2" t="s">
        <v>50</v>
      </c>
      <c r="Q779" s="2" t="s">
        <v>51</v>
      </c>
      <c r="R779" s="2" t="s">
        <v>30</v>
      </c>
      <c r="S779">
        <v>9</v>
      </c>
      <c r="T779" s="1">
        <v>43343</v>
      </c>
      <c r="U779" s="1">
        <v>43351</v>
      </c>
      <c r="V779" s="2"/>
      <c r="W779" s="1">
        <f>fNotasFiscais[[#This Row],[Data da Coleta]]+fNotasFiscais[[#This Row],[Prazo Contratado]]</f>
        <v>43352</v>
      </c>
      <c r="X779" s="3">
        <f>IF(fNotasFiscais[[#This Row],[Data da Entrega]]&gt;fNotasFiscais[[#This Row],[Data Contratada]],0,1)</f>
        <v>1</v>
      </c>
      <c r="Y779" s="3">
        <f>IF(fNotasFiscais[[#This Row],[Ocorrência]]="",1,0)</f>
        <v>1</v>
      </c>
      <c r="Z779" s="2">
        <f>fNotasFiscais[[#This Row],[On Time]]*fNotasFiscais[[#This Row],[In Full]]</f>
        <v>1</v>
      </c>
      <c r="AA779">
        <f>IF(fNotasFiscais[[#This Row],[Nota Fiscal]]&lt;&gt;"",1,0)</f>
        <v>1</v>
      </c>
    </row>
    <row r="780" spans="1:27" x14ac:dyDescent="0.25">
      <c r="A780" s="1">
        <v>43343</v>
      </c>
      <c r="B780">
        <v>11189</v>
      </c>
      <c r="C780" s="2" t="s">
        <v>52</v>
      </c>
      <c r="D780" s="2" t="s">
        <v>53</v>
      </c>
      <c r="E780" s="2" t="s">
        <v>33</v>
      </c>
      <c r="F780">
        <v>4044</v>
      </c>
      <c r="G780" s="2" t="s">
        <v>123</v>
      </c>
      <c r="H780" s="2" t="s">
        <v>35</v>
      </c>
      <c r="I780" s="2" t="s">
        <v>36</v>
      </c>
      <c r="J780" s="2" t="s">
        <v>60</v>
      </c>
      <c r="K780" s="2" t="s">
        <v>36</v>
      </c>
      <c r="L780">
        <v>360.57</v>
      </c>
      <c r="M780">
        <v>1</v>
      </c>
      <c r="N780">
        <v>0.84699999999999998</v>
      </c>
      <c r="O780">
        <v>6600879</v>
      </c>
      <c r="P780" s="2" t="s">
        <v>61</v>
      </c>
      <c r="Q780" s="2" t="s">
        <v>35</v>
      </c>
      <c r="R780" s="2" t="s">
        <v>30</v>
      </c>
      <c r="S780">
        <v>6</v>
      </c>
      <c r="T780" s="1">
        <v>43343</v>
      </c>
      <c r="U780" s="1">
        <v>43348</v>
      </c>
      <c r="V780" s="2" t="s">
        <v>42</v>
      </c>
      <c r="W780" s="1">
        <f>fNotasFiscais[[#This Row],[Data da Coleta]]+fNotasFiscais[[#This Row],[Prazo Contratado]]</f>
        <v>43349</v>
      </c>
      <c r="X780" s="3">
        <f>IF(fNotasFiscais[[#This Row],[Data da Entrega]]&gt;fNotasFiscais[[#This Row],[Data Contratada]],0,1)</f>
        <v>1</v>
      </c>
      <c r="Y780" s="3">
        <f>IF(fNotasFiscais[[#This Row],[Ocorrência]]="",1,0)</f>
        <v>0</v>
      </c>
      <c r="Z780" s="2">
        <f>fNotasFiscais[[#This Row],[On Time]]*fNotasFiscais[[#This Row],[In Full]]</f>
        <v>0</v>
      </c>
      <c r="AA780">
        <f>IF(fNotasFiscais[[#This Row],[Nota Fiscal]]&lt;&gt;"",1,0)</f>
        <v>1</v>
      </c>
    </row>
    <row r="781" spans="1:27" x14ac:dyDescent="0.25">
      <c r="A781" s="1">
        <v>43343</v>
      </c>
      <c r="B781">
        <v>11190</v>
      </c>
      <c r="C781" s="2" t="s">
        <v>43</v>
      </c>
      <c r="D781" s="2" t="s">
        <v>44</v>
      </c>
      <c r="E781" s="2" t="s">
        <v>45</v>
      </c>
      <c r="F781">
        <v>4064</v>
      </c>
      <c r="G781" s="2" t="s">
        <v>128</v>
      </c>
      <c r="H781" s="2" t="s">
        <v>129</v>
      </c>
      <c r="I781" s="2" t="s">
        <v>33</v>
      </c>
      <c r="J781" s="2" t="s">
        <v>60</v>
      </c>
      <c r="K781" s="2" t="s">
        <v>33</v>
      </c>
      <c r="L781">
        <v>646.12</v>
      </c>
      <c r="M781">
        <v>1</v>
      </c>
      <c r="N781">
        <v>1.65</v>
      </c>
      <c r="O781">
        <v>6400835</v>
      </c>
      <c r="P781" s="2" t="s">
        <v>130</v>
      </c>
      <c r="Q781" s="2" t="s">
        <v>131</v>
      </c>
      <c r="R781" s="2" t="s">
        <v>30</v>
      </c>
      <c r="S781">
        <v>4</v>
      </c>
      <c r="T781" s="1">
        <v>43343</v>
      </c>
      <c r="U781" s="1">
        <v>43346</v>
      </c>
      <c r="V781" s="2"/>
      <c r="W781" s="1">
        <f>fNotasFiscais[[#This Row],[Data da Coleta]]+fNotasFiscais[[#This Row],[Prazo Contratado]]</f>
        <v>43347</v>
      </c>
      <c r="X781" s="3">
        <f>IF(fNotasFiscais[[#This Row],[Data da Entrega]]&gt;fNotasFiscais[[#This Row],[Data Contratada]],0,1)</f>
        <v>1</v>
      </c>
      <c r="Y781" s="3">
        <f>IF(fNotasFiscais[[#This Row],[Ocorrência]]="",1,0)</f>
        <v>1</v>
      </c>
      <c r="Z781" s="2">
        <f>fNotasFiscais[[#This Row],[On Time]]*fNotasFiscais[[#This Row],[In Full]]</f>
        <v>1</v>
      </c>
      <c r="AA781">
        <f>IF(fNotasFiscais[[#This Row],[Nota Fiscal]]&lt;&gt;"",1,0)</f>
        <v>1</v>
      </c>
    </row>
    <row r="782" spans="1:27" x14ac:dyDescent="0.25">
      <c r="A782" s="1">
        <v>43343</v>
      </c>
      <c r="B782">
        <v>11191</v>
      </c>
      <c r="C782" s="2" t="s">
        <v>54</v>
      </c>
      <c r="D782" s="2" t="s">
        <v>55</v>
      </c>
      <c r="E782" s="2" t="s">
        <v>56</v>
      </c>
      <c r="F782">
        <v>4056</v>
      </c>
      <c r="G782" s="2" t="s">
        <v>119</v>
      </c>
      <c r="H782" s="2" t="s">
        <v>51</v>
      </c>
      <c r="I782" s="2" t="s">
        <v>73</v>
      </c>
      <c r="J782" s="2" t="s">
        <v>49</v>
      </c>
      <c r="K782" s="2" t="s">
        <v>73</v>
      </c>
      <c r="L782">
        <v>3289.98</v>
      </c>
      <c r="M782">
        <v>4</v>
      </c>
      <c r="N782">
        <v>6.3840000000000003</v>
      </c>
      <c r="O782">
        <v>6100231</v>
      </c>
      <c r="P782" s="2" t="s">
        <v>50</v>
      </c>
      <c r="Q782" s="2" t="s">
        <v>51</v>
      </c>
      <c r="R782" s="2" t="s">
        <v>30</v>
      </c>
      <c r="S782">
        <v>10</v>
      </c>
      <c r="T782" s="1">
        <v>43343</v>
      </c>
      <c r="U782" s="1">
        <v>43353</v>
      </c>
      <c r="V782" s="2"/>
      <c r="W782" s="1">
        <f>fNotasFiscais[[#This Row],[Data da Coleta]]+fNotasFiscais[[#This Row],[Prazo Contratado]]</f>
        <v>43353</v>
      </c>
      <c r="X782" s="3">
        <f>IF(fNotasFiscais[[#This Row],[Data da Entrega]]&gt;fNotasFiscais[[#This Row],[Data Contratada]],0,1)</f>
        <v>1</v>
      </c>
      <c r="Y782" s="3">
        <f>IF(fNotasFiscais[[#This Row],[Ocorrência]]="",1,0)</f>
        <v>1</v>
      </c>
      <c r="Z782" s="2">
        <f>fNotasFiscais[[#This Row],[On Time]]*fNotasFiscais[[#This Row],[In Full]]</f>
        <v>1</v>
      </c>
      <c r="AA782">
        <f>IF(fNotasFiscais[[#This Row],[Nota Fiscal]]&lt;&gt;"",1,0)</f>
        <v>1</v>
      </c>
    </row>
    <row r="783" spans="1:27" x14ac:dyDescent="0.25">
      <c r="A783" s="1">
        <v>43343</v>
      </c>
      <c r="B783">
        <v>11192</v>
      </c>
      <c r="C783" s="2" t="s">
        <v>52</v>
      </c>
      <c r="D783" s="2" t="s">
        <v>53</v>
      </c>
      <c r="E783" s="2" t="s">
        <v>33</v>
      </c>
      <c r="F783">
        <v>4022</v>
      </c>
      <c r="G783" s="2" t="s">
        <v>86</v>
      </c>
      <c r="H783" s="2" t="s">
        <v>87</v>
      </c>
      <c r="I783" s="2" t="s">
        <v>27</v>
      </c>
      <c r="J783" s="2" t="s">
        <v>28</v>
      </c>
      <c r="K783" s="2" t="s">
        <v>27</v>
      </c>
      <c r="L783">
        <v>1064.79</v>
      </c>
      <c r="M783">
        <v>2</v>
      </c>
      <c r="N783">
        <v>3.1110000000000002</v>
      </c>
      <c r="O783">
        <v>6500948</v>
      </c>
      <c r="P783" s="2" t="s">
        <v>29</v>
      </c>
      <c r="Q783" s="2" t="s">
        <v>23</v>
      </c>
      <c r="R783" s="2" t="s">
        <v>30</v>
      </c>
      <c r="S783">
        <v>8</v>
      </c>
      <c r="T783" s="1">
        <v>43343</v>
      </c>
      <c r="U783" s="1">
        <v>43353</v>
      </c>
      <c r="V783" s="2"/>
      <c r="W783" s="1">
        <f>fNotasFiscais[[#This Row],[Data da Coleta]]+fNotasFiscais[[#This Row],[Prazo Contratado]]</f>
        <v>43351</v>
      </c>
      <c r="X783" s="3">
        <f>IF(fNotasFiscais[[#This Row],[Data da Entrega]]&gt;fNotasFiscais[[#This Row],[Data Contratada]],0,1)</f>
        <v>0</v>
      </c>
      <c r="Y783" s="3">
        <f>IF(fNotasFiscais[[#This Row],[Ocorrência]]="",1,0)</f>
        <v>1</v>
      </c>
      <c r="Z783" s="2">
        <f>fNotasFiscais[[#This Row],[On Time]]*fNotasFiscais[[#This Row],[In Full]]</f>
        <v>0</v>
      </c>
      <c r="AA783">
        <f>IF(fNotasFiscais[[#This Row],[Nota Fiscal]]&lt;&gt;"",1,0)</f>
        <v>1</v>
      </c>
    </row>
    <row r="784" spans="1:27" x14ac:dyDescent="0.25">
      <c r="A784" s="1">
        <v>43343</v>
      </c>
      <c r="B784">
        <v>11193</v>
      </c>
      <c r="C784" s="2" t="s">
        <v>34</v>
      </c>
      <c r="D784" s="2" t="s">
        <v>35</v>
      </c>
      <c r="E784" s="2" t="s">
        <v>36</v>
      </c>
      <c r="F784">
        <v>4044</v>
      </c>
      <c r="G784" s="2" t="s">
        <v>123</v>
      </c>
      <c r="H784" s="2" t="s">
        <v>35</v>
      </c>
      <c r="I784" s="2" t="s">
        <v>36</v>
      </c>
      <c r="J784" s="2" t="s">
        <v>60</v>
      </c>
      <c r="K784" s="2" t="s">
        <v>36</v>
      </c>
      <c r="L784">
        <v>2374.83</v>
      </c>
      <c r="M784">
        <v>2</v>
      </c>
      <c r="N784">
        <v>14.85</v>
      </c>
      <c r="O784">
        <v>6600879</v>
      </c>
      <c r="P784" s="2" t="s">
        <v>61</v>
      </c>
      <c r="Q784" s="2" t="s">
        <v>35</v>
      </c>
      <c r="R784" s="2" t="s">
        <v>30</v>
      </c>
      <c r="S784">
        <v>5</v>
      </c>
      <c r="T784" s="1">
        <v>43343</v>
      </c>
      <c r="U784" s="1">
        <v>43349</v>
      </c>
      <c r="V784" s="2"/>
      <c r="W784" s="1">
        <f>fNotasFiscais[[#This Row],[Data da Coleta]]+fNotasFiscais[[#This Row],[Prazo Contratado]]</f>
        <v>43348</v>
      </c>
      <c r="X784" s="3">
        <f>IF(fNotasFiscais[[#This Row],[Data da Entrega]]&gt;fNotasFiscais[[#This Row],[Data Contratada]],0,1)</f>
        <v>0</v>
      </c>
      <c r="Y784" s="3">
        <f>IF(fNotasFiscais[[#This Row],[Ocorrência]]="",1,0)</f>
        <v>1</v>
      </c>
      <c r="Z784" s="2">
        <f>fNotasFiscais[[#This Row],[On Time]]*fNotasFiscais[[#This Row],[In Full]]</f>
        <v>0</v>
      </c>
      <c r="AA784">
        <f>IF(fNotasFiscais[[#This Row],[Nota Fiscal]]&lt;&gt;"",1,0)</f>
        <v>1</v>
      </c>
    </row>
    <row r="785" spans="1:27" x14ac:dyDescent="0.25">
      <c r="A785" s="1">
        <v>43343</v>
      </c>
      <c r="B785">
        <v>11194</v>
      </c>
      <c r="C785" s="2" t="s">
        <v>52</v>
      </c>
      <c r="D785" s="2" t="s">
        <v>53</v>
      </c>
      <c r="E785" s="2" t="s">
        <v>33</v>
      </c>
      <c r="F785">
        <v>4045</v>
      </c>
      <c r="G785" s="2" t="s">
        <v>124</v>
      </c>
      <c r="H785" s="2" t="s">
        <v>35</v>
      </c>
      <c r="I785" s="2" t="s">
        <v>36</v>
      </c>
      <c r="J785" s="2" t="s">
        <v>60</v>
      </c>
      <c r="K785" s="2" t="s">
        <v>36</v>
      </c>
      <c r="L785">
        <v>644.36</v>
      </c>
      <c r="M785">
        <v>2</v>
      </c>
      <c r="N785">
        <v>23.32</v>
      </c>
      <c r="O785">
        <v>6600879</v>
      </c>
      <c r="P785" s="2" t="s">
        <v>61</v>
      </c>
      <c r="Q785" s="2" t="s">
        <v>35</v>
      </c>
      <c r="R785" s="2" t="s">
        <v>30</v>
      </c>
      <c r="S785">
        <v>1</v>
      </c>
      <c r="T785" s="1">
        <v>43343</v>
      </c>
      <c r="U785" s="1">
        <v>43345</v>
      </c>
      <c r="V785" s="2"/>
      <c r="W785" s="1">
        <f>fNotasFiscais[[#This Row],[Data da Coleta]]+fNotasFiscais[[#This Row],[Prazo Contratado]]</f>
        <v>43344</v>
      </c>
      <c r="X785" s="3">
        <f>IF(fNotasFiscais[[#This Row],[Data da Entrega]]&gt;fNotasFiscais[[#This Row],[Data Contratada]],0,1)</f>
        <v>0</v>
      </c>
      <c r="Y785" s="3">
        <f>IF(fNotasFiscais[[#This Row],[Ocorrência]]="",1,0)</f>
        <v>1</v>
      </c>
      <c r="Z785" s="2">
        <f>fNotasFiscais[[#This Row],[On Time]]*fNotasFiscais[[#This Row],[In Full]]</f>
        <v>0</v>
      </c>
      <c r="AA785">
        <f>IF(fNotasFiscais[[#This Row],[Nota Fiscal]]&lt;&gt;"",1,0)</f>
        <v>1</v>
      </c>
    </row>
    <row r="786" spans="1:27" x14ac:dyDescent="0.25">
      <c r="A786" s="1">
        <v>43343</v>
      </c>
      <c r="B786">
        <v>11195</v>
      </c>
      <c r="C786" s="2" t="s">
        <v>34</v>
      </c>
      <c r="D786" s="2" t="s">
        <v>35</v>
      </c>
      <c r="E786" s="2" t="s">
        <v>36</v>
      </c>
      <c r="F786">
        <v>4045</v>
      </c>
      <c r="G786" s="2" t="s">
        <v>124</v>
      </c>
      <c r="H786" s="2" t="s">
        <v>35</v>
      </c>
      <c r="I786" s="2" t="s">
        <v>36</v>
      </c>
      <c r="J786" s="2" t="s">
        <v>60</v>
      </c>
      <c r="K786" s="2" t="s">
        <v>36</v>
      </c>
      <c r="L786">
        <v>855.39</v>
      </c>
      <c r="M786">
        <v>3</v>
      </c>
      <c r="N786">
        <v>26.015000000000001</v>
      </c>
      <c r="O786">
        <v>6600879</v>
      </c>
      <c r="P786" s="2" t="s">
        <v>61</v>
      </c>
      <c r="Q786" s="2" t="s">
        <v>35</v>
      </c>
      <c r="R786" s="2" t="s">
        <v>30</v>
      </c>
      <c r="S786">
        <v>5</v>
      </c>
      <c r="T786" s="1">
        <v>43343</v>
      </c>
      <c r="U786" s="1">
        <v>43353</v>
      </c>
      <c r="V786" s="2"/>
      <c r="W786" s="1">
        <f>fNotasFiscais[[#This Row],[Data da Coleta]]+fNotasFiscais[[#This Row],[Prazo Contratado]]</f>
        <v>43348</v>
      </c>
      <c r="X786" s="3">
        <f>IF(fNotasFiscais[[#This Row],[Data da Entrega]]&gt;fNotasFiscais[[#This Row],[Data Contratada]],0,1)</f>
        <v>0</v>
      </c>
      <c r="Y786" s="3">
        <f>IF(fNotasFiscais[[#This Row],[Ocorrência]]="",1,0)</f>
        <v>1</v>
      </c>
      <c r="Z786" s="2">
        <f>fNotasFiscais[[#This Row],[On Time]]*fNotasFiscais[[#This Row],[In Full]]</f>
        <v>0</v>
      </c>
      <c r="AA786">
        <f>IF(fNotasFiscais[[#This Row],[Nota Fiscal]]&lt;&gt;"",1,0)</f>
        <v>1</v>
      </c>
    </row>
    <row r="787" spans="1:27" x14ac:dyDescent="0.25">
      <c r="A787" s="1">
        <v>43343</v>
      </c>
      <c r="B787">
        <v>11196</v>
      </c>
      <c r="C787" s="2" t="s">
        <v>34</v>
      </c>
      <c r="D787" s="2" t="s">
        <v>35</v>
      </c>
      <c r="E787" s="2" t="s">
        <v>36</v>
      </c>
      <c r="F787">
        <v>4064</v>
      </c>
      <c r="G787" s="2" t="s">
        <v>128</v>
      </c>
      <c r="H787" s="2" t="s">
        <v>129</v>
      </c>
      <c r="I787" s="2" t="s">
        <v>33</v>
      </c>
      <c r="J787" s="2" t="s">
        <v>60</v>
      </c>
      <c r="K787" s="2" t="s">
        <v>33</v>
      </c>
      <c r="L787">
        <v>1172.6500000000001</v>
      </c>
      <c r="M787">
        <v>2</v>
      </c>
      <c r="N787">
        <v>44</v>
      </c>
      <c r="O787">
        <v>6400835</v>
      </c>
      <c r="P787" s="2" t="s">
        <v>130</v>
      </c>
      <c r="Q787" s="2" t="s">
        <v>131</v>
      </c>
      <c r="R787" s="2" t="s">
        <v>30</v>
      </c>
      <c r="S787">
        <v>3</v>
      </c>
      <c r="T787" s="1">
        <v>43343</v>
      </c>
      <c r="U787" s="1">
        <v>43352</v>
      </c>
      <c r="V787" s="2"/>
      <c r="W787" s="1">
        <f>fNotasFiscais[[#This Row],[Data da Coleta]]+fNotasFiscais[[#This Row],[Prazo Contratado]]</f>
        <v>43346</v>
      </c>
      <c r="X787" s="3">
        <f>IF(fNotasFiscais[[#This Row],[Data da Entrega]]&gt;fNotasFiscais[[#This Row],[Data Contratada]],0,1)</f>
        <v>0</v>
      </c>
      <c r="Y787" s="3">
        <f>IF(fNotasFiscais[[#This Row],[Ocorrência]]="",1,0)</f>
        <v>1</v>
      </c>
      <c r="Z787" s="2">
        <f>fNotasFiscais[[#This Row],[On Time]]*fNotasFiscais[[#This Row],[In Full]]</f>
        <v>0</v>
      </c>
      <c r="AA787">
        <f>IF(fNotasFiscais[[#This Row],[Nota Fiscal]]&lt;&gt;"",1,0)</f>
        <v>1</v>
      </c>
    </row>
    <row r="788" spans="1:27" x14ac:dyDescent="0.25">
      <c r="A788" s="1">
        <v>43343</v>
      </c>
      <c r="B788">
        <v>11197</v>
      </c>
      <c r="C788" s="2" t="s">
        <v>54</v>
      </c>
      <c r="D788" s="2" t="s">
        <v>55</v>
      </c>
      <c r="E788" s="2" t="s">
        <v>56</v>
      </c>
      <c r="F788">
        <v>4056</v>
      </c>
      <c r="G788" s="2" t="s">
        <v>119</v>
      </c>
      <c r="H788" s="2" t="s">
        <v>51</v>
      </c>
      <c r="I788" s="2" t="s">
        <v>73</v>
      </c>
      <c r="J788" s="2" t="s">
        <v>49</v>
      </c>
      <c r="K788" s="2" t="s">
        <v>73</v>
      </c>
      <c r="L788">
        <v>4527.6400000000003</v>
      </c>
      <c r="M788">
        <v>15</v>
      </c>
      <c r="N788">
        <v>157.10300000000001</v>
      </c>
      <c r="O788">
        <v>6100231</v>
      </c>
      <c r="P788" s="2" t="s">
        <v>50</v>
      </c>
      <c r="Q788" s="2" t="s">
        <v>51</v>
      </c>
      <c r="R788" s="2" t="s">
        <v>30</v>
      </c>
      <c r="S788">
        <v>6</v>
      </c>
      <c r="T788" s="1">
        <v>43343</v>
      </c>
      <c r="U788" s="1">
        <v>43348</v>
      </c>
      <c r="V788" s="2"/>
      <c r="W788" s="1">
        <f>fNotasFiscais[[#This Row],[Data da Coleta]]+fNotasFiscais[[#This Row],[Prazo Contratado]]</f>
        <v>43349</v>
      </c>
      <c r="X788" s="3">
        <f>IF(fNotasFiscais[[#This Row],[Data da Entrega]]&gt;fNotasFiscais[[#This Row],[Data Contratada]],0,1)</f>
        <v>1</v>
      </c>
      <c r="Y788" s="3">
        <f>IF(fNotasFiscais[[#This Row],[Ocorrência]]="",1,0)</f>
        <v>1</v>
      </c>
      <c r="Z788" s="2">
        <f>fNotasFiscais[[#This Row],[On Time]]*fNotasFiscais[[#This Row],[In Full]]</f>
        <v>1</v>
      </c>
      <c r="AA788">
        <f>IF(fNotasFiscais[[#This Row],[Nota Fiscal]]&lt;&gt;"",1,0)</f>
        <v>1</v>
      </c>
    </row>
    <row r="789" spans="1:27" x14ac:dyDescent="0.25">
      <c r="A789" s="1">
        <v>43343</v>
      </c>
      <c r="B789">
        <v>11198</v>
      </c>
      <c r="C789" s="2" t="s">
        <v>40</v>
      </c>
      <c r="D789" s="2" t="s">
        <v>41</v>
      </c>
      <c r="E789" s="2" t="s">
        <v>33</v>
      </c>
      <c r="F789">
        <v>4044</v>
      </c>
      <c r="G789" s="2" t="s">
        <v>123</v>
      </c>
      <c r="H789" s="2" t="s">
        <v>35</v>
      </c>
      <c r="I789" s="2" t="s">
        <v>36</v>
      </c>
      <c r="J789" s="2" t="s">
        <v>60</v>
      </c>
      <c r="K789" s="2" t="s">
        <v>36</v>
      </c>
      <c r="L789">
        <v>358.26</v>
      </c>
      <c r="M789">
        <v>1</v>
      </c>
      <c r="N789">
        <v>13.2</v>
      </c>
      <c r="O789">
        <v>6600879</v>
      </c>
      <c r="P789" s="2" t="s">
        <v>61</v>
      </c>
      <c r="Q789" s="2" t="s">
        <v>35</v>
      </c>
      <c r="R789" s="2" t="s">
        <v>30</v>
      </c>
      <c r="S789">
        <v>12</v>
      </c>
      <c r="T789" s="1">
        <v>43343</v>
      </c>
      <c r="U789" s="1">
        <v>43350</v>
      </c>
      <c r="V789" s="2"/>
      <c r="W789" s="1">
        <f>fNotasFiscais[[#This Row],[Data da Coleta]]+fNotasFiscais[[#This Row],[Prazo Contratado]]</f>
        <v>43355</v>
      </c>
      <c r="X789" s="3">
        <f>IF(fNotasFiscais[[#This Row],[Data da Entrega]]&gt;fNotasFiscais[[#This Row],[Data Contratada]],0,1)</f>
        <v>1</v>
      </c>
      <c r="Y789" s="3">
        <f>IF(fNotasFiscais[[#This Row],[Ocorrência]]="",1,0)</f>
        <v>1</v>
      </c>
      <c r="Z789" s="2">
        <f>fNotasFiscais[[#This Row],[On Time]]*fNotasFiscais[[#This Row],[In Full]]</f>
        <v>1</v>
      </c>
      <c r="AA789">
        <f>IF(fNotasFiscais[[#This Row],[Nota Fiscal]]&lt;&gt;"",1,0)</f>
        <v>1</v>
      </c>
    </row>
    <row r="790" spans="1:27" x14ac:dyDescent="0.25">
      <c r="A790" s="1">
        <v>43343</v>
      </c>
      <c r="B790">
        <v>11199</v>
      </c>
      <c r="C790" s="2" t="s">
        <v>31</v>
      </c>
      <c r="D790" s="2" t="s">
        <v>32</v>
      </c>
      <c r="E790" s="2" t="s">
        <v>33</v>
      </c>
      <c r="F790">
        <v>4045</v>
      </c>
      <c r="G790" s="2" t="s">
        <v>124</v>
      </c>
      <c r="H790" s="2" t="s">
        <v>35</v>
      </c>
      <c r="I790" s="2" t="s">
        <v>36</v>
      </c>
      <c r="J790" s="2" t="s">
        <v>60</v>
      </c>
      <c r="K790" s="2" t="s">
        <v>36</v>
      </c>
      <c r="L790">
        <v>332.21</v>
      </c>
      <c r="M790">
        <v>2</v>
      </c>
      <c r="N790">
        <v>13.198</v>
      </c>
      <c r="O790">
        <v>6600879</v>
      </c>
      <c r="P790" s="2" t="s">
        <v>61</v>
      </c>
      <c r="Q790" s="2" t="s">
        <v>35</v>
      </c>
      <c r="R790" s="2" t="s">
        <v>30</v>
      </c>
      <c r="S790">
        <v>7</v>
      </c>
      <c r="T790" s="1">
        <v>43343</v>
      </c>
      <c r="U790" s="1">
        <v>43348</v>
      </c>
      <c r="V790" s="2"/>
      <c r="W790" s="1">
        <f>fNotasFiscais[[#This Row],[Data da Coleta]]+fNotasFiscais[[#This Row],[Prazo Contratado]]</f>
        <v>43350</v>
      </c>
      <c r="X790" s="3">
        <f>IF(fNotasFiscais[[#This Row],[Data da Entrega]]&gt;fNotasFiscais[[#This Row],[Data Contratada]],0,1)</f>
        <v>1</v>
      </c>
      <c r="Y790" s="3">
        <f>IF(fNotasFiscais[[#This Row],[Ocorrência]]="",1,0)</f>
        <v>1</v>
      </c>
      <c r="Z790" s="2">
        <f>fNotasFiscais[[#This Row],[On Time]]*fNotasFiscais[[#This Row],[In Full]]</f>
        <v>1</v>
      </c>
      <c r="AA790">
        <f>IF(fNotasFiscais[[#This Row],[Nota Fiscal]]&lt;&gt;"",1,0)</f>
        <v>1</v>
      </c>
    </row>
    <row r="791" spans="1:27" x14ac:dyDescent="0.25">
      <c r="A791" s="1">
        <v>43343</v>
      </c>
      <c r="B791">
        <v>11200</v>
      </c>
      <c r="C791" s="2" t="s">
        <v>52</v>
      </c>
      <c r="D791" s="2" t="s">
        <v>53</v>
      </c>
      <c r="E791" s="2" t="s">
        <v>33</v>
      </c>
      <c r="F791">
        <v>4064</v>
      </c>
      <c r="G791" s="2" t="s">
        <v>128</v>
      </c>
      <c r="H791" s="2" t="s">
        <v>129</v>
      </c>
      <c r="I791" s="2" t="s">
        <v>33</v>
      </c>
      <c r="J791" s="2" t="s">
        <v>60</v>
      </c>
      <c r="K791" s="2" t="s">
        <v>33</v>
      </c>
      <c r="L791">
        <v>281.42</v>
      </c>
      <c r="M791">
        <v>2</v>
      </c>
      <c r="N791">
        <v>8.7669999999999995</v>
      </c>
      <c r="O791">
        <v>6400835</v>
      </c>
      <c r="P791" s="2" t="s">
        <v>130</v>
      </c>
      <c r="Q791" s="2" t="s">
        <v>131</v>
      </c>
      <c r="R791" s="2" t="s">
        <v>30</v>
      </c>
      <c r="S791">
        <v>11</v>
      </c>
      <c r="T791" s="1">
        <v>43343</v>
      </c>
      <c r="U791" s="1">
        <v>43346</v>
      </c>
      <c r="V791" s="2"/>
      <c r="W791" s="1">
        <f>fNotasFiscais[[#This Row],[Data da Coleta]]+fNotasFiscais[[#This Row],[Prazo Contratado]]</f>
        <v>43354</v>
      </c>
      <c r="X791" s="3">
        <f>IF(fNotasFiscais[[#This Row],[Data da Entrega]]&gt;fNotasFiscais[[#This Row],[Data Contratada]],0,1)</f>
        <v>1</v>
      </c>
      <c r="Y791" s="3">
        <f>IF(fNotasFiscais[[#This Row],[Ocorrência]]="",1,0)</f>
        <v>1</v>
      </c>
      <c r="Z791" s="2">
        <f>fNotasFiscais[[#This Row],[On Time]]*fNotasFiscais[[#This Row],[In Full]]</f>
        <v>1</v>
      </c>
      <c r="AA791">
        <f>IF(fNotasFiscais[[#This Row],[Nota Fiscal]]&lt;&gt;"",1,0)</f>
        <v>1</v>
      </c>
    </row>
    <row r="792" spans="1:27" x14ac:dyDescent="0.25">
      <c r="A792" s="1">
        <v>43343</v>
      </c>
      <c r="B792">
        <v>11201</v>
      </c>
      <c r="C792" s="2" t="s">
        <v>43</v>
      </c>
      <c r="D792" s="2" t="s">
        <v>44</v>
      </c>
      <c r="E792" s="2" t="s">
        <v>45</v>
      </c>
      <c r="F792">
        <v>4064</v>
      </c>
      <c r="G792" s="2" t="s">
        <v>128</v>
      </c>
      <c r="H792" s="2" t="s">
        <v>129</v>
      </c>
      <c r="I792" s="2" t="s">
        <v>33</v>
      </c>
      <c r="J792" s="2" t="s">
        <v>60</v>
      </c>
      <c r="K792" s="2" t="s">
        <v>33</v>
      </c>
      <c r="L792">
        <v>294.11</v>
      </c>
      <c r="M792">
        <v>1</v>
      </c>
      <c r="N792">
        <v>8.4809999999999999</v>
      </c>
      <c r="O792">
        <v>6400835</v>
      </c>
      <c r="P792" s="2" t="s">
        <v>130</v>
      </c>
      <c r="Q792" s="2" t="s">
        <v>131</v>
      </c>
      <c r="R792" s="2" t="s">
        <v>30</v>
      </c>
      <c r="S792">
        <v>3</v>
      </c>
      <c r="T792" s="1">
        <v>43343</v>
      </c>
      <c r="U792" s="1">
        <v>43351</v>
      </c>
      <c r="V792" s="2"/>
      <c r="W792" s="1">
        <f>fNotasFiscais[[#This Row],[Data da Coleta]]+fNotasFiscais[[#This Row],[Prazo Contratado]]</f>
        <v>43346</v>
      </c>
      <c r="X792" s="3">
        <f>IF(fNotasFiscais[[#This Row],[Data da Entrega]]&gt;fNotasFiscais[[#This Row],[Data Contratada]],0,1)</f>
        <v>0</v>
      </c>
      <c r="Y792" s="3">
        <f>IF(fNotasFiscais[[#This Row],[Ocorrência]]="",1,0)</f>
        <v>1</v>
      </c>
      <c r="Z792" s="2">
        <f>fNotasFiscais[[#This Row],[On Time]]*fNotasFiscais[[#This Row],[In Full]]</f>
        <v>0</v>
      </c>
      <c r="AA792">
        <f>IF(fNotasFiscais[[#This Row],[Nota Fiscal]]&lt;&gt;"",1,0)</f>
        <v>1</v>
      </c>
    </row>
    <row r="793" spans="1:27" x14ac:dyDescent="0.25">
      <c r="A793" s="1">
        <v>43344</v>
      </c>
      <c r="B793">
        <v>11202</v>
      </c>
      <c r="C793" s="2" t="s">
        <v>40</v>
      </c>
      <c r="D793" s="2" t="s">
        <v>41</v>
      </c>
      <c r="E793" s="2" t="s">
        <v>33</v>
      </c>
      <c r="F793">
        <v>4017</v>
      </c>
      <c r="G793" s="2" t="s">
        <v>74</v>
      </c>
      <c r="H793" s="2" t="s">
        <v>75</v>
      </c>
      <c r="I793" s="2" t="s">
        <v>39</v>
      </c>
      <c r="J793" s="2" t="s">
        <v>28</v>
      </c>
      <c r="K793" s="2" t="s">
        <v>39</v>
      </c>
      <c r="L793">
        <v>379.17</v>
      </c>
      <c r="M793">
        <v>2</v>
      </c>
      <c r="N793">
        <v>15.398999999999999</v>
      </c>
      <c r="O793">
        <v>6500948</v>
      </c>
      <c r="P793" s="2" t="s">
        <v>29</v>
      </c>
      <c r="Q793" s="2" t="s">
        <v>23</v>
      </c>
      <c r="R793" s="2" t="s">
        <v>30</v>
      </c>
      <c r="S793">
        <v>4</v>
      </c>
      <c r="T793" s="1">
        <v>43344</v>
      </c>
      <c r="U793" s="1">
        <v>43352</v>
      </c>
      <c r="V793" s="2"/>
      <c r="W793" s="1">
        <f>fNotasFiscais[[#This Row],[Data da Coleta]]+fNotasFiscais[[#This Row],[Prazo Contratado]]</f>
        <v>43348</v>
      </c>
      <c r="X793" s="3">
        <f>IF(fNotasFiscais[[#This Row],[Data da Entrega]]&gt;fNotasFiscais[[#This Row],[Data Contratada]],0,1)</f>
        <v>0</v>
      </c>
      <c r="Y793" s="3">
        <f>IF(fNotasFiscais[[#This Row],[Ocorrência]]="",1,0)</f>
        <v>1</v>
      </c>
      <c r="Z793" s="2">
        <f>fNotasFiscais[[#This Row],[On Time]]*fNotasFiscais[[#This Row],[In Full]]</f>
        <v>0</v>
      </c>
      <c r="AA793">
        <f>IF(fNotasFiscais[[#This Row],[Nota Fiscal]]&lt;&gt;"",1,0)</f>
        <v>1</v>
      </c>
    </row>
    <row r="794" spans="1:27" x14ac:dyDescent="0.25">
      <c r="A794" s="1">
        <v>43344</v>
      </c>
      <c r="B794">
        <v>11203</v>
      </c>
      <c r="C794" s="2" t="s">
        <v>40</v>
      </c>
      <c r="D794" s="2" t="s">
        <v>41</v>
      </c>
      <c r="E794" s="2" t="s">
        <v>33</v>
      </c>
      <c r="F794">
        <v>4121</v>
      </c>
      <c r="G794" s="2" t="s">
        <v>204</v>
      </c>
      <c r="H794" s="2" t="s">
        <v>165</v>
      </c>
      <c r="I794" s="2" t="s">
        <v>24</v>
      </c>
      <c r="J794" s="2" t="s">
        <v>28</v>
      </c>
      <c r="K794" s="2" t="s">
        <v>24</v>
      </c>
      <c r="L794">
        <v>917.29</v>
      </c>
      <c r="M794">
        <v>4</v>
      </c>
      <c r="N794">
        <v>34.878999999999998</v>
      </c>
      <c r="O794">
        <v>6500948</v>
      </c>
      <c r="P794" s="2" t="s">
        <v>29</v>
      </c>
      <c r="Q794" s="2" t="s">
        <v>23</v>
      </c>
      <c r="R794" s="2" t="s">
        <v>30</v>
      </c>
      <c r="S794">
        <v>12</v>
      </c>
      <c r="T794" s="1">
        <v>43344</v>
      </c>
      <c r="U794" s="1">
        <v>43348</v>
      </c>
      <c r="V794" s="2"/>
      <c r="W794" s="1">
        <f>fNotasFiscais[[#This Row],[Data da Coleta]]+fNotasFiscais[[#This Row],[Prazo Contratado]]</f>
        <v>43356</v>
      </c>
      <c r="X794" s="3">
        <f>IF(fNotasFiscais[[#This Row],[Data da Entrega]]&gt;fNotasFiscais[[#This Row],[Data Contratada]],0,1)</f>
        <v>1</v>
      </c>
      <c r="Y794" s="3">
        <f>IF(fNotasFiscais[[#This Row],[Ocorrência]]="",1,0)</f>
        <v>1</v>
      </c>
      <c r="Z794" s="2">
        <f>fNotasFiscais[[#This Row],[On Time]]*fNotasFiscais[[#This Row],[In Full]]</f>
        <v>1</v>
      </c>
      <c r="AA794">
        <f>IF(fNotasFiscais[[#This Row],[Nota Fiscal]]&lt;&gt;"",1,0)</f>
        <v>1</v>
      </c>
    </row>
    <row r="795" spans="1:27" x14ac:dyDescent="0.25">
      <c r="A795" s="1">
        <v>43344</v>
      </c>
      <c r="B795">
        <v>11204</v>
      </c>
      <c r="C795" s="2" t="s">
        <v>40</v>
      </c>
      <c r="D795" s="2" t="s">
        <v>41</v>
      </c>
      <c r="E795" s="2" t="s">
        <v>33</v>
      </c>
      <c r="F795">
        <v>4013</v>
      </c>
      <c r="G795" s="2" t="s">
        <v>37</v>
      </c>
      <c r="H795" s="2" t="s">
        <v>38</v>
      </c>
      <c r="I795" s="2" t="s">
        <v>39</v>
      </c>
      <c r="J795" s="2" t="s">
        <v>28</v>
      </c>
      <c r="K795" s="2" t="s">
        <v>39</v>
      </c>
      <c r="L795">
        <v>294.11</v>
      </c>
      <c r="M795">
        <v>1</v>
      </c>
      <c r="N795">
        <v>8.4809999999999999</v>
      </c>
      <c r="O795">
        <v>6500948</v>
      </c>
      <c r="P795" s="2" t="s">
        <v>29</v>
      </c>
      <c r="Q795" s="2" t="s">
        <v>23</v>
      </c>
      <c r="R795" s="2" t="s">
        <v>30</v>
      </c>
      <c r="S795">
        <v>6</v>
      </c>
      <c r="T795" s="1">
        <v>43344</v>
      </c>
      <c r="U795" s="1">
        <v>43353</v>
      </c>
      <c r="V795" s="2"/>
      <c r="W795" s="1">
        <f>fNotasFiscais[[#This Row],[Data da Coleta]]+fNotasFiscais[[#This Row],[Prazo Contratado]]</f>
        <v>43350</v>
      </c>
      <c r="X795" s="3">
        <f>IF(fNotasFiscais[[#This Row],[Data da Entrega]]&gt;fNotasFiscais[[#This Row],[Data Contratada]],0,1)</f>
        <v>0</v>
      </c>
      <c r="Y795" s="3">
        <f>IF(fNotasFiscais[[#This Row],[Ocorrência]]="",1,0)</f>
        <v>1</v>
      </c>
      <c r="Z795" s="2">
        <f>fNotasFiscais[[#This Row],[On Time]]*fNotasFiscais[[#This Row],[In Full]]</f>
        <v>0</v>
      </c>
      <c r="AA795">
        <f>IF(fNotasFiscais[[#This Row],[Nota Fiscal]]&lt;&gt;"",1,0)</f>
        <v>1</v>
      </c>
    </row>
    <row r="796" spans="1:27" x14ac:dyDescent="0.25">
      <c r="A796" s="1">
        <v>43347</v>
      </c>
      <c r="B796">
        <v>11205</v>
      </c>
      <c r="C796" s="2" t="s">
        <v>40</v>
      </c>
      <c r="D796" s="2" t="s">
        <v>41</v>
      </c>
      <c r="E796" s="2" t="s">
        <v>33</v>
      </c>
      <c r="F796">
        <v>4060</v>
      </c>
      <c r="G796" s="2" t="s">
        <v>134</v>
      </c>
      <c r="H796" s="2" t="s">
        <v>115</v>
      </c>
      <c r="I796" s="2" t="s">
        <v>107</v>
      </c>
      <c r="J796" s="2" t="s">
        <v>49</v>
      </c>
      <c r="K796" s="2" t="s">
        <v>107</v>
      </c>
      <c r="L796">
        <v>713.46</v>
      </c>
      <c r="M796">
        <v>1</v>
      </c>
      <c r="N796">
        <v>2.3540000000000001</v>
      </c>
      <c r="O796">
        <v>6100231</v>
      </c>
      <c r="P796" s="2" t="s">
        <v>50</v>
      </c>
      <c r="Q796" s="2" t="s">
        <v>51</v>
      </c>
      <c r="R796" s="2" t="s">
        <v>30</v>
      </c>
      <c r="S796">
        <v>11</v>
      </c>
      <c r="T796" s="1">
        <v>43347</v>
      </c>
      <c r="U796" s="1">
        <v>43351</v>
      </c>
      <c r="V796" s="2"/>
      <c r="W796" s="1">
        <f>fNotasFiscais[[#This Row],[Data da Coleta]]+fNotasFiscais[[#This Row],[Prazo Contratado]]</f>
        <v>43358</v>
      </c>
      <c r="X796" s="3">
        <f>IF(fNotasFiscais[[#This Row],[Data da Entrega]]&gt;fNotasFiscais[[#This Row],[Data Contratada]],0,1)</f>
        <v>1</v>
      </c>
      <c r="Y796" s="3">
        <f>IF(fNotasFiscais[[#This Row],[Ocorrência]]="",1,0)</f>
        <v>1</v>
      </c>
      <c r="Z796" s="2">
        <f>fNotasFiscais[[#This Row],[On Time]]*fNotasFiscais[[#This Row],[In Full]]</f>
        <v>1</v>
      </c>
      <c r="AA796">
        <f>IF(fNotasFiscais[[#This Row],[Nota Fiscal]]&lt;&gt;"",1,0)</f>
        <v>1</v>
      </c>
    </row>
    <row r="797" spans="1:27" x14ac:dyDescent="0.25">
      <c r="A797" s="1">
        <v>43347</v>
      </c>
      <c r="B797">
        <v>11206</v>
      </c>
      <c r="C797" s="2" t="s">
        <v>40</v>
      </c>
      <c r="D797" s="2" t="s">
        <v>41</v>
      </c>
      <c r="E797" s="2" t="s">
        <v>33</v>
      </c>
      <c r="F797">
        <v>4068</v>
      </c>
      <c r="G797" s="2" t="s">
        <v>63</v>
      </c>
      <c r="H797" s="2" t="s">
        <v>64</v>
      </c>
      <c r="I797" s="2" t="s">
        <v>65</v>
      </c>
      <c r="J797" s="2" t="s">
        <v>49</v>
      </c>
      <c r="K797" s="2" t="s">
        <v>65</v>
      </c>
      <c r="L797">
        <v>15.9</v>
      </c>
      <c r="M797">
        <v>1</v>
      </c>
      <c r="N797">
        <v>2.3E-2</v>
      </c>
      <c r="O797">
        <v>6100231</v>
      </c>
      <c r="P797" s="2" t="s">
        <v>50</v>
      </c>
      <c r="Q797" s="2" t="s">
        <v>51</v>
      </c>
      <c r="R797" s="2" t="s">
        <v>30</v>
      </c>
      <c r="S797">
        <v>8</v>
      </c>
      <c r="T797" s="1">
        <v>43347</v>
      </c>
      <c r="U797" s="1">
        <v>43348</v>
      </c>
      <c r="V797" s="2"/>
      <c r="W797" s="1">
        <f>fNotasFiscais[[#This Row],[Data da Coleta]]+fNotasFiscais[[#This Row],[Prazo Contratado]]</f>
        <v>43355</v>
      </c>
      <c r="X797" s="3">
        <f>IF(fNotasFiscais[[#This Row],[Data da Entrega]]&gt;fNotasFiscais[[#This Row],[Data Contratada]],0,1)</f>
        <v>1</v>
      </c>
      <c r="Y797" s="3">
        <f>IF(fNotasFiscais[[#This Row],[Ocorrência]]="",1,0)</f>
        <v>1</v>
      </c>
      <c r="Z797" s="2">
        <f>fNotasFiscais[[#This Row],[On Time]]*fNotasFiscais[[#This Row],[In Full]]</f>
        <v>1</v>
      </c>
      <c r="AA797">
        <f>IF(fNotasFiscais[[#This Row],[Nota Fiscal]]&lt;&gt;"",1,0)</f>
        <v>1</v>
      </c>
    </row>
    <row r="798" spans="1:27" x14ac:dyDescent="0.25">
      <c r="A798" s="1">
        <v>43347</v>
      </c>
      <c r="B798">
        <v>11207</v>
      </c>
      <c r="C798" s="2" t="s">
        <v>22</v>
      </c>
      <c r="D798" s="2" t="s">
        <v>23</v>
      </c>
      <c r="E798" s="2" t="s">
        <v>24</v>
      </c>
      <c r="F798">
        <v>4068</v>
      </c>
      <c r="G798" s="2" t="s">
        <v>63</v>
      </c>
      <c r="H798" s="2" t="s">
        <v>64</v>
      </c>
      <c r="I798" s="2" t="s">
        <v>65</v>
      </c>
      <c r="J798" s="2" t="s">
        <v>49</v>
      </c>
      <c r="K798" s="2" t="s">
        <v>65</v>
      </c>
      <c r="L798">
        <v>819.93</v>
      </c>
      <c r="M798">
        <v>3</v>
      </c>
      <c r="N798">
        <v>32.340000000000003</v>
      </c>
      <c r="O798">
        <v>6100231</v>
      </c>
      <c r="P798" s="2" t="s">
        <v>50</v>
      </c>
      <c r="Q798" s="2" t="s">
        <v>51</v>
      </c>
      <c r="R798" s="2" t="s">
        <v>30</v>
      </c>
      <c r="S798">
        <v>11</v>
      </c>
      <c r="T798" s="1">
        <v>43347</v>
      </c>
      <c r="U798" s="1">
        <v>43349</v>
      </c>
      <c r="V798" s="2"/>
      <c r="W798" s="1">
        <f>fNotasFiscais[[#This Row],[Data da Coleta]]+fNotasFiscais[[#This Row],[Prazo Contratado]]</f>
        <v>43358</v>
      </c>
      <c r="X798" s="3">
        <f>IF(fNotasFiscais[[#This Row],[Data da Entrega]]&gt;fNotasFiscais[[#This Row],[Data Contratada]],0,1)</f>
        <v>1</v>
      </c>
      <c r="Y798" s="3">
        <f>IF(fNotasFiscais[[#This Row],[Ocorrência]]="",1,0)</f>
        <v>1</v>
      </c>
      <c r="Z798" s="2">
        <f>fNotasFiscais[[#This Row],[On Time]]*fNotasFiscais[[#This Row],[In Full]]</f>
        <v>1</v>
      </c>
      <c r="AA798">
        <f>IF(fNotasFiscais[[#This Row],[Nota Fiscal]]&lt;&gt;"",1,0)</f>
        <v>1</v>
      </c>
    </row>
    <row r="799" spans="1:27" x14ac:dyDescent="0.25">
      <c r="A799" s="1">
        <v>43347</v>
      </c>
      <c r="B799">
        <v>11208</v>
      </c>
      <c r="C799" s="2" t="s">
        <v>34</v>
      </c>
      <c r="D799" s="2" t="s">
        <v>35</v>
      </c>
      <c r="E799" s="2" t="s">
        <v>36</v>
      </c>
      <c r="F799">
        <v>4068</v>
      </c>
      <c r="G799" s="2" t="s">
        <v>63</v>
      </c>
      <c r="H799" s="2" t="s">
        <v>64</v>
      </c>
      <c r="I799" s="2" t="s">
        <v>65</v>
      </c>
      <c r="J799" s="2" t="s">
        <v>49</v>
      </c>
      <c r="K799" s="2" t="s">
        <v>65</v>
      </c>
      <c r="L799">
        <v>1926.88</v>
      </c>
      <c r="M799">
        <v>3</v>
      </c>
      <c r="N799">
        <v>9.6950000000000003</v>
      </c>
      <c r="O799">
        <v>6100231</v>
      </c>
      <c r="P799" s="2" t="s">
        <v>50</v>
      </c>
      <c r="Q799" s="2" t="s">
        <v>51</v>
      </c>
      <c r="R799" s="2" t="s">
        <v>30</v>
      </c>
      <c r="S799">
        <v>6</v>
      </c>
      <c r="T799" s="1">
        <v>43347</v>
      </c>
      <c r="U799" s="1">
        <v>43349</v>
      </c>
      <c r="V799" s="2"/>
      <c r="W799" s="1">
        <f>fNotasFiscais[[#This Row],[Data da Coleta]]+fNotasFiscais[[#This Row],[Prazo Contratado]]</f>
        <v>43353</v>
      </c>
      <c r="X799" s="3">
        <f>IF(fNotasFiscais[[#This Row],[Data da Entrega]]&gt;fNotasFiscais[[#This Row],[Data Contratada]],0,1)</f>
        <v>1</v>
      </c>
      <c r="Y799" s="3">
        <f>IF(fNotasFiscais[[#This Row],[Ocorrência]]="",1,0)</f>
        <v>1</v>
      </c>
      <c r="Z799" s="2">
        <f>fNotasFiscais[[#This Row],[On Time]]*fNotasFiscais[[#This Row],[In Full]]</f>
        <v>1</v>
      </c>
      <c r="AA799">
        <f>IF(fNotasFiscais[[#This Row],[Nota Fiscal]]&lt;&gt;"",1,0)</f>
        <v>1</v>
      </c>
    </row>
    <row r="800" spans="1:27" x14ac:dyDescent="0.25">
      <c r="A800" s="1">
        <v>43348</v>
      </c>
      <c r="B800">
        <v>11209</v>
      </c>
      <c r="C800" s="2" t="s">
        <v>43</v>
      </c>
      <c r="D800" s="2" t="s">
        <v>44</v>
      </c>
      <c r="E800" s="2" t="s">
        <v>45</v>
      </c>
      <c r="F800">
        <v>4020</v>
      </c>
      <c r="G800" s="2" t="s">
        <v>82</v>
      </c>
      <c r="H800" s="2" t="s">
        <v>67</v>
      </c>
      <c r="I800" s="2" t="s">
        <v>27</v>
      </c>
      <c r="J800" s="2" t="s">
        <v>28</v>
      </c>
      <c r="K800" s="2" t="s">
        <v>27</v>
      </c>
      <c r="L800">
        <v>6620.35</v>
      </c>
      <c r="M800">
        <v>17</v>
      </c>
      <c r="N800">
        <v>41.454000000000001</v>
      </c>
      <c r="O800">
        <v>6500948</v>
      </c>
      <c r="P800" s="2" t="s">
        <v>29</v>
      </c>
      <c r="Q800" s="2" t="s">
        <v>23</v>
      </c>
      <c r="R800" s="2" t="s">
        <v>30</v>
      </c>
      <c r="S800">
        <v>11</v>
      </c>
      <c r="T800" s="1">
        <v>43348</v>
      </c>
      <c r="U800" s="1">
        <v>43358</v>
      </c>
      <c r="V800" s="2"/>
      <c r="W800" s="1">
        <f>fNotasFiscais[[#This Row],[Data da Coleta]]+fNotasFiscais[[#This Row],[Prazo Contratado]]</f>
        <v>43359</v>
      </c>
      <c r="X800" s="3">
        <f>IF(fNotasFiscais[[#This Row],[Data da Entrega]]&gt;fNotasFiscais[[#This Row],[Data Contratada]],0,1)</f>
        <v>1</v>
      </c>
      <c r="Y800" s="3">
        <f>IF(fNotasFiscais[[#This Row],[Ocorrência]]="",1,0)</f>
        <v>1</v>
      </c>
      <c r="Z800" s="2">
        <f>fNotasFiscais[[#This Row],[On Time]]*fNotasFiscais[[#This Row],[In Full]]</f>
        <v>1</v>
      </c>
      <c r="AA800">
        <f>IF(fNotasFiscais[[#This Row],[Nota Fiscal]]&lt;&gt;"",1,0)</f>
        <v>1</v>
      </c>
    </row>
    <row r="801" spans="1:27" x14ac:dyDescent="0.25">
      <c r="A801" s="1">
        <v>43349</v>
      </c>
      <c r="B801">
        <v>11210</v>
      </c>
      <c r="C801" s="2" t="s">
        <v>31</v>
      </c>
      <c r="D801" s="2" t="s">
        <v>32</v>
      </c>
      <c r="E801" s="2" t="s">
        <v>33</v>
      </c>
      <c r="F801">
        <v>4068</v>
      </c>
      <c r="G801" s="2" t="s">
        <v>63</v>
      </c>
      <c r="H801" s="2" t="s">
        <v>64</v>
      </c>
      <c r="I801" s="2" t="s">
        <v>65</v>
      </c>
      <c r="J801" s="2" t="s">
        <v>49</v>
      </c>
      <c r="K801" s="2" t="s">
        <v>65</v>
      </c>
      <c r="L801">
        <v>1018.64</v>
      </c>
      <c r="M801">
        <v>1</v>
      </c>
      <c r="N801">
        <v>9.35</v>
      </c>
      <c r="O801">
        <v>6100231</v>
      </c>
      <c r="P801" s="2" t="s">
        <v>50</v>
      </c>
      <c r="Q801" s="2" t="s">
        <v>51</v>
      </c>
      <c r="R801" s="2" t="s">
        <v>30</v>
      </c>
      <c r="S801">
        <v>4</v>
      </c>
      <c r="T801" s="1">
        <v>43349</v>
      </c>
      <c r="U801" s="1">
        <v>43356</v>
      </c>
      <c r="V801" s="2"/>
      <c r="W801" s="1">
        <f>fNotasFiscais[[#This Row],[Data da Coleta]]+fNotasFiscais[[#This Row],[Prazo Contratado]]</f>
        <v>43353</v>
      </c>
      <c r="X801" s="3">
        <f>IF(fNotasFiscais[[#This Row],[Data da Entrega]]&gt;fNotasFiscais[[#This Row],[Data Contratada]],0,1)</f>
        <v>0</v>
      </c>
      <c r="Y801" s="3">
        <f>IF(fNotasFiscais[[#This Row],[Ocorrência]]="",1,0)</f>
        <v>1</v>
      </c>
      <c r="Z801" s="2">
        <f>fNotasFiscais[[#This Row],[On Time]]*fNotasFiscais[[#This Row],[In Full]]</f>
        <v>0</v>
      </c>
      <c r="AA801">
        <f>IF(fNotasFiscais[[#This Row],[Nota Fiscal]]&lt;&gt;"",1,0)</f>
        <v>1</v>
      </c>
    </row>
    <row r="802" spans="1:27" x14ac:dyDescent="0.25">
      <c r="A802" s="1">
        <v>43349</v>
      </c>
      <c r="B802">
        <v>11211</v>
      </c>
      <c r="C802" s="2" t="s">
        <v>52</v>
      </c>
      <c r="D802" s="2" t="s">
        <v>53</v>
      </c>
      <c r="E802" s="2" t="s">
        <v>33</v>
      </c>
      <c r="F802">
        <v>4068</v>
      </c>
      <c r="G802" s="2" t="s">
        <v>63</v>
      </c>
      <c r="H802" s="2" t="s">
        <v>64</v>
      </c>
      <c r="I802" s="2" t="s">
        <v>65</v>
      </c>
      <c r="J802" s="2" t="s">
        <v>49</v>
      </c>
      <c r="K802" s="2" t="s">
        <v>65</v>
      </c>
      <c r="L802">
        <v>105.67</v>
      </c>
      <c r="M802">
        <v>1</v>
      </c>
      <c r="N802">
        <v>0.121</v>
      </c>
      <c r="O802">
        <v>6100231</v>
      </c>
      <c r="P802" s="2" t="s">
        <v>50</v>
      </c>
      <c r="Q802" s="2" t="s">
        <v>51</v>
      </c>
      <c r="R802" s="2" t="s">
        <v>30</v>
      </c>
      <c r="S802">
        <v>8</v>
      </c>
      <c r="T802" s="1">
        <v>43349</v>
      </c>
      <c r="U802" s="1">
        <v>43350</v>
      </c>
      <c r="V802" s="2"/>
      <c r="W802" s="1">
        <f>fNotasFiscais[[#This Row],[Data da Coleta]]+fNotasFiscais[[#This Row],[Prazo Contratado]]</f>
        <v>43357</v>
      </c>
      <c r="X802" s="3">
        <f>IF(fNotasFiscais[[#This Row],[Data da Entrega]]&gt;fNotasFiscais[[#This Row],[Data Contratada]],0,1)</f>
        <v>1</v>
      </c>
      <c r="Y802" s="3">
        <f>IF(fNotasFiscais[[#This Row],[Ocorrência]]="",1,0)</f>
        <v>1</v>
      </c>
      <c r="Z802" s="2">
        <f>fNotasFiscais[[#This Row],[On Time]]*fNotasFiscais[[#This Row],[In Full]]</f>
        <v>1</v>
      </c>
      <c r="AA802">
        <f>IF(fNotasFiscais[[#This Row],[Nota Fiscal]]&lt;&gt;"",1,0)</f>
        <v>1</v>
      </c>
    </row>
    <row r="803" spans="1:27" x14ac:dyDescent="0.25">
      <c r="A803" s="1">
        <v>43349</v>
      </c>
      <c r="B803">
        <v>11212</v>
      </c>
      <c r="C803" s="2" t="s">
        <v>52</v>
      </c>
      <c r="D803" s="2" t="s">
        <v>53</v>
      </c>
      <c r="E803" s="2" t="s">
        <v>33</v>
      </c>
      <c r="F803">
        <v>4068</v>
      </c>
      <c r="G803" s="2" t="s">
        <v>63</v>
      </c>
      <c r="H803" s="2" t="s">
        <v>64</v>
      </c>
      <c r="I803" s="2" t="s">
        <v>65</v>
      </c>
      <c r="J803" s="2" t="s">
        <v>49</v>
      </c>
      <c r="K803" s="2" t="s">
        <v>65</v>
      </c>
      <c r="L803">
        <v>1347.04</v>
      </c>
      <c r="M803">
        <v>3</v>
      </c>
      <c r="N803">
        <v>12.045999999999999</v>
      </c>
      <c r="O803">
        <v>6100231</v>
      </c>
      <c r="P803" s="2" t="s">
        <v>50</v>
      </c>
      <c r="Q803" s="2" t="s">
        <v>51</v>
      </c>
      <c r="R803" s="2" t="s">
        <v>30</v>
      </c>
      <c r="S803">
        <v>7</v>
      </c>
      <c r="T803" s="1">
        <v>43349</v>
      </c>
      <c r="U803" s="1">
        <v>43355</v>
      </c>
      <c r="V803" s="2"/>
      <c r="W803" s="1">
        <f>fNotasFiscais[[#This Row],[Data da Coleta]]+fNotasFiscais[[#This Row],[Prazo Contratado]]</f>
        <v>43356</v>
      </c>
      <c r="X803" s="3">
        <f>IF(fNotasFiscais[[#This Row],[Data da Entrega]]&gt;fNotasFiscais[[#This Row],[Data Contratada]],0,1)</f>
        <v>1</v>
      </c>
      <c r="Y803" s="3">
        <f>IF(fNotasFiscais[[#This Row],[Ocorrência]]="",1,0)</f>
        <v>1</v>
      </c>
      <c r="Z803" s="2">
        <f>fNotasFiscais[[#This Row],[On Time]]*fNotasFiscais[[#This Row],[In Full]]</f>
        <v>1</v>
      </c>
      <c r="AA803">
        <f>IF(fNotasFiscais[[#This Row],[Nota Fiscal]]&lt;&gt;"",1,0)</f>
        <v>1</v>
      </c>
    </row>
    <row r="804" spans="1:27" x14ac:dyDescent="0.25">
      <c r="A804" s="1">
        <v>43348</v>
      </c>
      <c r="B804">
        <v>11213</v>
      </c>
      <c r="C804" s="2" t="s">
        <v>34</v>
      </c>
      <c r="D804" s="2" t="s">
        <v>35</v>
      </c>
      <c r="E804" s="2" t="s">
        <v>36</v>
      </c>
      <c r="F804">
        <v>4032</v>
      </c>
      <c r="G804" s="2" t="s">
        <v>108</v>
      </c>
      <c r="H804" s="2" t="s">
        <v>51</v>
      </c>
      <c r="I804" s="2" t="s">
        <v>73</v>
      </c>
      <c r="J804" s="2" t="s">
        <v>49</v>
      </c>
      <c r="K804" s="2" t="s">
        <v>73</v>
      </c>
      <c r="L804">
        <v>3609.26</v>
      </c>
      <c r="M804">
        <v>5</v>
      </c>
      <c r="N804">
        <v>22.05</v>
      </c>
      <c r="O804">
        <v>6100231</v>
      </c>
      <c r="P804" s="2" t="s">
        <v>50</v>
      </c>
      <c r="Q804" s="2" t="s">
        <v>51</v>
      </c>
      <c r="R804" s="2" t="s">
        <v>30</v>
      </c>
      <c r="S804">
        <v>11</v>
      </c>
      <c r="T804" s="1">
        <v>43349</v>
      </c>
      <c r="U804" s="1">
        <v>43350</v>
      </c>
      <c r="V804" s="2"/>
      <c r="W804" s="1">
        <f>fNotasFiscais[[#This Row],[Data da Coleta]]+fNotasFiscais[[#This Row],[Prazo Contratado]]</f>
        <v>43360</v>
      </c>
      <c r="X804" s="3">
        <f>IF(fNotasFiscais[[#This Row],[Data da Entrega]]&gt;fNotasFiscais[[#This Row],[Data Contratada]],0,1)</f>
        <v>1</v>
      </c>
      <c r="Y804" s="3">
        <f>IF(fNotasFiscais[[#This Row],[Ocorrência]]="",1,0)</f>
        <v>1</v>
      </c>
      <c r="Z804" s="2">
        <f>fNotasFiscais[[#This Row],[On Time]]*fNotasFiscais[[#This Row],[In Full]]</f>
        <v>1</v>
      </c>
      <c r="AA804">
        <f>IF(fNotasFiscais[[#This Row],[Nota Fiscal]]&lt;&gt;"",1,0)</f>
        <v>1</v>
      </c>
    </row>
    <row r="805" spans="1:27" x14ac:dyDescent="0.25">
      <c r="A805" s="1">
        <v>43350</v>
      </c>
      <c r="B805">
        <v>11214</v>
      </c>
      <c r="C805" s="2" t="s">
        <v>43</v>
      </c>
      <c r="D805" s="2" t="s">
        <v>44</v>
      </c>
      <c r="E805" s="2" t="s">
        <v>45</v>
      </c>
      <c r="F805">
        <v>4028</v>
      </c>
      <c r="G805" s="2" t="s">
        <v>95</v>
      </c>
      <c r="H805" s="2" t="s">
        <v>26</v>
      </c>
      <c r="I805" s="2" t="s">
        <v>27</v>
      </c>
      <c r="J805" s="2" t="s">
        <v>28</v>
      </c>
      <c r="K805" s="2" t="s">
        <v>27</v>
      </c>
      <c r="L805">
        <v>8071.21</v>
      </c>
      <c r="M805">
        <v>27</v>
      </c>
      <c r="N805">
        <v>83.16</v>
      </c>
      <c r="O805">
        <v>6500948</v>
      </c>
      <c r="P805" s="2" t="s">
        <v>29</v>
      </c>
      <c r="Q805" s="2" t="s">
        <v>23</v>
      </c>
      <c r="R805" s="2" t="s">
        <v>30</v>
      </c>
      <c r="S805">
        <v>3</v>
      </c>
      <c r="T805" s="1">
        <v>43351</v>
      </c>
      <c r="U805" s="1">
        <v>43356</v>
      </c>
      <c r="V805" s="2"/>
      <c r="W805" s="1">
        <f>fNotasFiscais[[#This Row],[Data da Coleta]]+fNotasFiscais[[#This Row],[Prazo Contratado]]</f>
        <v>43354</v>
      </c>
      <c r="X805" s="3">
        <f>IF(fNotasFiscais[[#This Row],[Data da Entrega]]&gt;fNotasFiscais[[#This Row],[Data Contratada]],0,1)</f>
        <v>0</v>
      </c>
      <c r="Y805" s="3">
        <f>IF(fNotasFiscais[[#This Row],[Ocorrência]]="",1,0)</f>
        <v>1</v>
      </c>
      <c r="Z805" s="2">
        <f>fNotasFiscais[[#This Row],[On Time]]*fNotasFiscais[[#This Row],[In Full]]</f>
        <v>0</v>
      </c>
      <c r="AA805">
        <f>IF(fNotasFiscais[[#This Row],[Nota Fiscal]]&lt;&gt;"",1,0)</f>
        <v>1</v>
      </c>
    </row>
    <row r="806" spans="1:27" x14ac:dyDescent="0.25">
      <c r="A806" s="1">
        <v>43350</v>
      </c>
      <c r="B806">
        <v>11215</v>
      </c>
      <c r="C806" s="2" t="s">
        <v>52</v>
      </c>
      <c r="D806" s="2" t="s">
        <v>53</v>
      </c>
      <c r="E806" s="2" t="s">
        <v>33</v>
      </c>
      <c r="F806">
        <v>4055</v>
      </c>
      <c r="G806" s="2" t="s">
        <v>120</v>
      </c>
      <c r="H806" s="2" t="s">
        <v>47</v>
      </c>
      <c r="I806" s="2" t="s">
        <v>48</v>
      </c>
      <c r="J806" s="2" t="s">
        <v>49</v>
      </c>
      <c r="K806" s="2" t="s">
        <v>48</v>
      </c>
      <c r="L806">
        <v>66.06</v>
      </c>
      <c r="M806">
        <v>2</v>
      </c>
      <c r="N806">
        <v>0.28599999999999998</v>
      </c>
      <c r="O806">
        <v>6100231</v>
      </c>
      <c r="P806" s="2" t="s">
        <v>50</v>
      </c>
      <c r="Q806" s="2" t="s">
        <v>51</v>
      </c>
      <c r="R806" s="2" t="s">
        <v>30</v>
      </c>
      <c r="S806">
        <v>6</v>
      </c>
      <c r="T806" s="1">
        <v>43351</v>
      </c>
      <c r="U806" s="1">
        <v>43356</v>
      </c>
      <c r="V806" s="2"/>
      <c r="W806" s="1">
        <f>fNotasFiscais[[#This Row],[Data da Coleta]]+fNotasFiscais[[#This Row],[Prazo Contratado]]</f>
        <v>43357</v>
      </c>
      <c r="X806" s="3">
        <f>IF(fNotasFiscais[[#This Row],[Data da Entrega]]&gt;fNotasFiscais[[#This Row],[Data Contratada]],0,1)</f>
        <v>1</v>
      </c>
      <c r="Y806" s="3">
        <f>IF(fNotasFiscais[[#This Row],[Ocorrência]]="",1,0)</f>
        <v>1</v>
      </c>
      <c r="Z806" s="2">
        <f>fNotasFiscais[[#This Row],[On Time]]*fNotasFiscais[[#This Row],[In Full]]</f>
        <v>1</v>
      </c>
      <c r="AA806">
        <f>IF(fNotasFiscais[[#This Row],[Nota Fiscal]]&lt;&gt;"",1,0)</f>
        <v>1</v>
      </c>
    </row>
    <row r="807" spans="1:27" x14ac:dyDescent="0.25">
      <c r="A807" s="1">
        <v>43350</v>
      </c>
      <c r="B807">
        <v>11216</v>
      </c>
      <c r="C807" s="2" t="s">
        <v>34</v>
      </c>
      <c r="D807" s="2" t="s">
        <v>35</v>
      </c>
      <c r="E807" s="2" t="s">
        <v>36</v>
      </c>
      <c r="F807">
        <v>4062</v>
      </c>
      <c r="G807" s="2" t="s">
        <v>96</v>
      </c>
      <c r="H807" s="2" t="s">
        <v>97</v>
      </c>
      <c r="I807" s="2" t="s">
        <v>48</v>
      </c>
      <c r="J807" s="2" t="s">
        <v>49</v>
      </c>
      <c r="K807" s="2" t="s">
        <v>48</v>
      </c>
      <c r="L807">
        <v>7466.08</v>
      </c>
      <c r="M807">
        <v>1</v>
      </c>
      <c r="N807">
        <v>1.101</v>
      </c>
      <c r="O807">
        <v>6100231</v>
      </c>
      <c r="P807" s="2" t="s">
        <v>50</v>
      </c>
      <c r="Q807" s="2" t="s">
        <v>51</v>
      </c>
      <c r="R807" s="2" t="s">
        <v>30</v>
      </c>
      <c r="S807">
        <v>6</v>
      </c>
      <c r="T807" s="1">
        <v>43351</v>
      </c>
      <c r="U807" s="1">
        <v>43352</v>
      </c>
      <c r="V807" s="2"/>
      <c r="W807" s="1">
        <f>fNotasFiscais[[#This Row],[Data da Coleta]]+fNotasFiscais[[#This Row],[Prazo Contratado]]</f>
        <v>43357</v>
      </c>
      <c r="X807" s="3">
        <f>IF(fNotasFiscais[[#This Row],[Data da Entrega]]&gt;fNotasFiscais[[#This Row],[Data Contratada]],0,1)</f>
        <v>1</v>
      </c>
      <c r="Y807" s="3">
        <f>IF(fNotasFiscais[[#This Row],[Ocorrência]]="",1,0)</f>
        <v>1</v>
      </c>
      <c r="Z807" s="2">
        <f>fNotasFiscais[[#This Row],[On Time]]*fNotasFiscais[[#This Row],[In Full]]</f>
        <v>1</v>
      </c>
      <c r="AA807">
        <f>IF(fNotasFiscais[[#This Row],[Nota Fiscal]]&lt;&gt;"",1,0)</f>
        <v>1</v>
      </c>
    </row>
    <row r="808" spans="1:27" x14ac:dyDescent="0.25">
      <c r="A808" s="1">
        <v>43350</v>
      </c>
      <c r="B808">
        <v>11217</v>
      </c>
      <c r="C808" s="2" t="s">
        <v>40</v>
      </c>
      <c r="D808" s="2" t="s">
        <v>41</v>
      </c>
      <c r="E808" s="2" t="s">
        <v>33</v>
      </c>
      <c r="F808">
        <v>4028</v>
      </c>
      <c r="G808" s="2" t="s">
        <v>95</v>
      </c>
      <c r="H808" s="2" t="s">
        <v>26</v>
      </c>
      <c r="I808" s="2" t="s">
        <v>27</v>
      </c>
      <c r="J808" s="2" t="s">
        <v>28</v>
      </c>
      <c r="K808" s="2" t="s">
        <v>27</v>
      </c>
      <c r="L808">
        <v>527.22</v>
      </c>
      <c r="M808">
        <v>1</v>
      </c>
      <c r="N808">
        <v>0.154</v>
      </c>
      <c r="O808">
        <v>6500948</v>
      </c>
      <c r="P808" s="2" t="s">
        <v>29</v>
      </c>
      <c r="Q808" s="2" t="s">
        <v>23</v>
      </c>
      <c r="R808" s="2" t="s">
        <v>30</v>
      </c>
      <c r="S808">
        <v>1</v>
      </c>
      <c r="T808" s="1">
        <v>43351</v>
      </c>
      <c r="U808" s="1">
        <v>43359</v>
      </c>
      <c r="V808" s="2"/>
      <c r="W808" s="1">
        <f>fNotasFiscais[[#This Row],[Data da Coleta]]+fNotasFiscais[[#This Row],[Prazo Contratado]]</f>
        <v>43352</v>
      </c>
      <c r="X808" s="3">
        <f>IF(fNotasFiscais[[#This Row],[Data da Entrega]]&gt;fNotasFiscais[[#This Row],[Data Contratada]],0,1)</f>
        <v>0</v>
      </c>
      <c r="Y808" s="3">
        <f>IF(fNotasFiscais[[#This Row],[Ocorrência]]="",1,0)</f>
        <v>1</v>
      </c>
      <c r="Z808" s="2">
        <f>fNotasFiscais[[#This Row],[On Time]]*fNotasFiscais[[#This Row],[In Full]]</f>
        <v>0</v>
      </c>
      <c r="AA808">
        <f>IF(fNotasFiscais[[#This Row],[Nota Fiscal]]&lt;&gt;"",1,0)</f>
        <v>1</v>
      </c>
    </row>
    <row r="809" spans="1:27" x14ac:dyDescent="0.25">
      <c r="A809" s="1">
        <v>43350</v>
      </c>
      <c r="B809">
        <v>11218</v>
      </c>
      <c r="C809" s="2" t="s">
        <v>31</v>
      </c>
      <c r="D809" s="2" t="s">
        <v>32</v>
      </c>
      <c r="E809" s="2" t="s">
        <v>33</v>
      </c>
      <c r="F809">
        <v>4055</v>
      </c>
      <c r="G809" s="2" t="s">
        <v>120</v>
      </c>
      <c r="H809" s="2" t="s">
        <v>47</v>
      </c>
      <c r="I809" s="2" t="s">
        <v>48</v>
      </c>
      <c r="J809" s="2" t="s">
        <v>49</v>
      </c>
      <c r="K809" s="2" t="s">
        <v>48</v>
      </c>
      <c r="L809">
        <v>14531.17</v>
      </c>
      <c r="M809">
        <v>48</v>
      </c>
      <c r="N809">
        <v>145.114</v>
      </c>
      <c r="O809">
        <v>6100231</v>
      </c>
      <c r="P809" s="2" t="s">
        <v>50</v>
      </c>
      <c r="Q809" s="2" t="s">
        <v>51</v>
      </c>
      <c r="R809" s="2" t="s">
        <v>30</v>
      </c>
      <c r="S809">
        <v>9</v>
      </c>
      <c r="T809" s="1">
        <v>43351</v>
      </c>
      <c r="U809" s="1">
        <v>43360</v>
      </c>
      <c r="V809" s="2"/>
      <c r="W809" s="1">
        <f>fNotasFiscais[[#This Row],[Data da Coleta]]+fNotasFiscais[[#This Row],[Prazo Contratado]]</f>
        <v>43360</v>
      </c>
      <c r="X809" s="3">
        <f>IF(fNotasFiscais[[#This Row],[Data da Entrega]]&gt;fNotasFiscais[[#This Row],[Data Contratada]],0,1)</f>
        <v>1</v>
      </c>
      <c r="Y809" s="3">
        <f>IF(fNotasFiscais[[#This Row],[Ocorrência]]="",1,0)</f>
        <v>1</v>
      </c>
      <c r="Z809" s="2">
        <f>fNotasFiscais[[#This Row],[On Time]]*fNotasFiscais[[#This Row],[In Full]]</f>
        <v>1</v>
      </c>
      <c r="AA809">
        <f>IF(fNotasFiscais[[#This Row],[Nota Fiscal]]&lt;&gt;"",1,0)</f>
        <v>1</v>
      </c>
    </row>
    <row r="810" spans="1:27" x14ac:dyDescent="0.25">
      <c r="A810" s="1">
        <v>43350</v>
      </c>
      <c r="B810">
        <v>11219</v>
      </c>
      <c r="C810" s="2" t="s">
        <v>40</v>
      </c>
      <c r="D810" s="2" t="s">
        <v>41</v>
      </c>
      <c r="E810" s="2" t="s">
        <v>33</v>
      </c>
      <c r="F810">
        <v>4030</v>
      </c>
      <c r="G810" s="2" t="s">
        <v>102</v>
      </c>
      <c r="H810" s="2" t="s">
        <v>35</v>
      </c>
      <c r="I810" s="2" t="s">
        <v>36</v>
      </c>
      <c r="J810" s="2" t="s">
        <v>60</v>
      </c>
      <c r="K810" s="2" t="s">
        <v>36</v>
      </c>
      <c r="L810">
        <v>2076.6999999999998</v>
      </c>
      <c r="M810">
        <v>2</v>
      </c>
      <c r="N810">
        <v>21.187999999999999</v>
      </c>
      <c r="O810">
        <v>6600879</v>
      </c>
      <c r="P810" s="2" t="s">
        <v>61</v>
      </c>
      <c r="Q810" s="2" t="s">
        <v>35</v>
      </c>
      <c r="R810" s="2" t="s">
        <v>30</v>
      </c>
      <c r="S810">
        <v>9</v>
      </c>
      <c r="T810" s="1">
        <v>43351</v>
      </c>
      <c r="U810" s="1">
        <v>43352</v>
      </c>
      <c r="V810" s="2"/>
      <c r="W810" s="1">
        <f>fNotasFiscais[[#This Row],[Data da Coleta]]+fNotasFiscais[[#This Row],[Prazo Contratado]]</f>
        <v>43360</v>
      </c>
      <c r="X810" s="3">
        <f>IF(fNotasFiscais[[#This Row],[Data da Entrega]]&gt;fNotasFiscais[[#This Row],[Data Contratada]],0,1)</f>
        <v>1</v>
      </c>
      <c r="Y810" s="3">
        <f>IF(fNotasFiscais[[#This Row],[Ocorrência]]="",1,0)</f>
        <v>1</v>
      </c>
      <c r="Z810" s="2">
        <f>fNotasFiscais[[#This Row],[On Time]]*fNotasFiscais[[#This Row],[In Full]]</f>
        <v>1</v>
      </c>
      <c r="AA810">
        <f>IF(fNotasFiscais[[#This Row],[Nota Fiscal]]&lt;&gt;"",1,0)</f>
        <v>1</v>
      </c>
    </row>
    <row r="811" spans="1:27" x14ac:dyDescent="0.25">
      <c r="A811" s="1">
        <v>43350</v>
      </c>
      <c r="B811">
        <v>11220</v>
      </c>
      <c r="C811" s="2" t="s">
        <v>22</v>
      </c>
      <c r="D811" s="2" t="s">
        <v>23</v>
      </c>
      <c r="E811" s="2" t="s">
        <v>24</v>
      </c>
      <c r="F811">
        <v>4062</v>
      </c>
      <c r="G811" s="2" t="s">
        <v>96</v>
      </c>
      <c r="H811" s="2" t="s">
        <v>97</v>
      </c>
      <c r="I811" s="2" t="s">
        <v>48</v>
      </c>
      <c r="J811" s="2" t="s">
        <v>49</v>
      </c>
      <c r="K811" s="2" t="s">
        <v>48</v>
      </c>
      <c r="L811">
        <v>1286.4100000000001</v>
      </c>
      <c r="M811">
        <v>1</v>
      </c>
      <c r="N811">
        <v>3.96</v>
      </c>
      <c r="O811">
        <v>6100231</v>
      </c>
      <c r="P811" s="2" t="s">
        <v>50</v>
      </c>
      <c r="Q811" s="2" t="s">
        <v>51</v>
      </c>
      <c r="R811" s="2" t="s">
        <v>30</v>
      </c>
      <c r="S811">
        <v>6</v>
      </c>
      <c r="T811" s="1">
        <v>43351</v>
      </c>
      <c r="U811" s="1">
        <v>43358</v>
      </c>
      <c r="V811" s="2"/>
      <c r="W811" s="1">
        <f>fNotasFiscais[[#This Row],[Data da Coleta]]+fNotasFiscais[[#This Row],[Prazo Contratado]]</f>
        <v>43357</v>
      </c>
      <c r="X811" s="3">
        <f>IF(fNotasFiscais[[#This Row],[Data da Entrega]]&gt;fNotasFiscais[[#This Row],[Data Contratada]],0,1)</f>
        <v>0</v>
      </c>
      <c r="Y811" s="3">
        <f>IF(fNotasFiscais[[#This Row],[Ocorrência]]="",1,0)</f>
        <v>1</v>
      </c>
      <c r="Z811" s="2">
        <f>fNotasFiscais[[#This Row],[On Time]]*fNotasFiscais[[#This Row],[In Full]]</f>
        <v>0</v>
      </c>
      <c r="AA811">
        <f>IF(fNotasFiscais[[#This Row],[Nota Fiscal]]&lt;&gt;"",1,0)</f>
        <v>1</v>
      </c>
    </row>
    <row r="812" spans="1:27" x14ac:dyDescent="0.25">
      <c r="A812" s="1">
        <v>43350</v>
      </c>
      <c r="B812">
        <v>11221</v>
      </c>
      <c r="C812" s="2" t="s">
        <v>52</v>
      </c>
      <c r="D812" s="2" t="s">
        <v>53</v>
      </c>
      <c r="E812" s="2" t="s">
        <v>33</v>
      </c>
      <c r="F812">
        <v>4030</v>
      </c>
      <c r="G812" s="2" t="s">
        <v>102</v>
      </c>
      <c r="H812" s="2" t="s">
        <v>35</v>
      </c>
      <c r="I812" s="2" t="s">
        <v>36</v>
      </c>
      <c r="J812" s="2" t="s">
        <v>60</v>
      </c>
      <c r="K812" s="2" t="s">
        <v>36</v>
      </c>
      <c r="L812">
        <v>345.73</v>
      </c>
      <c r="M812">
        <v>1</v>
      </c>
      <c r="N812">
        <v>13.42</v>
      </c>
      <c r="O812">
        <v>6600879</v>
      </c>
      <c r="P812" s="2" t="s">
        <v>61</v>
      </c>
      <c r="Q812" s="2" t="s">
        <v>35</v>
      </c>
      <c r="R812" s="2" t="s">
        <v>62</v>
      </c>
      <c r="S812">
        <v>1</v>
      </c>
      <c r="T812" s="1">
        <v>43351</v>
      </c>
      <c r="U812" s="1">
        <v>43352</v>
      </c>
      <c r="V812" s="2"/>
      <c r="W812" s="1">
        <f>fNotasFiscais[[#This Row],[Data da Coleta]]+fNotasFiscais[[#This Row],[Prazo Contratado]]</f>
        <v>43352</v>
      </c>
      <c r="X812" s="3">
        <f>IF(fNotasFiscais[[#This Row],[Data da Entrega]]&gt;fNotasFiscais[[#This Row],[Data Contratada]],0,1)</f>
        <v>1</v>
      </c>
      <c r="Y812" s="3">
        <f>IF(fNotasFiscais[[#This Row],[Ocorrência]]="",1,0)</f>
        <v>1</v>
      </c>
      <c r="Z812" s="2">
        <f>fNotasFiscais[[#This Row],[On Time]]*fNotasFiscais[[#This Row],[In Full]]</f>
        <v>1</v>
      </c>
      <c r="AA812">
        <f>IF(fNotasFiscais[[#This Row],[Nota Fiscal]]&lt;&gt;"",1,0)</f>
        <v>1</v>
      </c>
    </row>
    <row r="813" spans="1:27" x14ac:dyDescent="0.25">
      <c r="A813" s="1">
        <v>43351</v>
      </c>
      <c r="B813">
        <v>11222</v>
      </c>
      <c r="C813" s="2" t="s">
        <v>31</v>
      </c>
      <c r="D813" s="2" t="s">
        <v>32</v>
      </c>
      <c r="E813" s="2" t="s">
        <v>33</v>
      </c>
      <c r="F813">
        <v>4022</v>
      </c>
      <c r="G813" s="2" t="s">
        <v>86</v>
      </c>
      <c r="H813" s="2" t="s">
        <v>87</v>
      </c>
      <c r="I813" s="2" t="s">
        <v>27</v>
      </c>
      <c r="J813" s="2" t="s">
        <v>28</v>
      </c>
      <c r="K813" s="2" t="s">
        <v>27</v>
      </c>
      <c r="L813">
        <v>502.56</v>
      </c>
      <c r="M813">
        <v>1</v>
      </c>
      <c r="N813">
        <v>3.96</v>
      </c>
      <c r="O813">
        <v>6500948</v>
      </c>
      <c r="P813" s="2" t="s">
        <v>29</v>
      </c>
      <c r="Q813" s="2" t="s">
        <v>23</v>
      </c>
      <c r="R813" s="2" t="s">
        <v>30</v>
      </c>
      <c r="S813">
        <v>5</v>
      </c>
      <c r="T813" s="1">
        <v>43352</v>
      </c>
      <c r="U813" s="1">
        <v>43361</v>
      </c>
      <c r="V813" s="2"/>
      <c r="W813" s="1">
        <f>fNotasFiscais[[#This Row],[Data da Coleta]]+fNotasFiscais[[#This Row],[Prazo Contratado]]</f>
        <v>43357</v>
      </c>
      <c r="X813" s="3">
        <f>IF(fNotasFiscais[[#This Row],[Data da Entrega]]&gt;fNotasFiscais[[#This Row],[Data Contratada]],0,1)</f>
        <v>0</v>
      </c>
      <c r="Y813" s="3">
        <f>IF(fNotasFiscais[[#This Row],[Ocorrência]]="",1,0)</f>
        <v>1</v>
      </c>
      <c r="Z813" s="2">
        <f>fNotasFiscais[[#This Row],[On Time]]*fNotasFiscais[[#This Row],[In Full]]</f>
        <v>0</v>
      </c>
      <c r="AA813">
        <f>IF(fNotasFiscais[[#This Row],[Nota Fiscal]]&lt;&gt;"",1,0)</f>
        <v>1</v>
      </c>
    </row>
    <row r="814" spans="1:27" x14ac:dyDescent="0.25">
      <c r="A814" s="1">
        <v>43353</v>
      </c>
      <c r="B814">
        <v>11223</v>
      </c>
      <c r="C814" s="2" t="s">
        <v>31</v>
      </c>
      <c r="D814" s="2" t="s">
        <v>32</v>
      </c>
      <c r="E814" s="2" t="s">
        <v>33</v>
      </c>
      <c r="F814">
        <v>4068</v>
      </c>
      <c r="G814" s="2" t="s">
        <v>63</v>
      </c>
      <c r="H814" s="2" t="s">
        <v>64</v>
      </c>
      <c r="I814" s="2" t="s">
        <v>65</v>
      </c>
      <c r="J814" s="2" t="s">
        <v>49</v>
      </c>
      <c r="K814" s="2" t="s">
        <v>65</v>
      </c>
      <c r="L814">
        <v>2486.5</v>
      </c>
      <c r="M814">
        <v>5</v>
      </c>
      <c r="N814">
        <v>20.736000000000001</v>
      </c>
      <c r="O814">
        <v>6100231</v>
      </c>
      <c r="P814" s="2" t="s">
        <v>50</v>
      </c>
      <c r="Q814" s="2" t="s">
        <v>51</v>
      </c>
      <c r="R814" s="2" t="s">
        <v>30</v>
      </c>
      <c r="S814">
        <v>10</v>
      </c>
      <c r="T814" s="1">
        <v>43354</v>
      </c>
      <c r="U814" s="1">
        <v>43363</v>
      </c>
      <c r="V814" s="2"/>
      <c r="W814" s="1">
        <f>fNotasFiscais[[#This Row],[Data da Coleta]]+fNotasFiscais[[#This Row],[Prazo Contratado]]</f>
        <v>43364</v>
      </c>
      <c r="X814" s="3">
        <f>IF(fNotasFiscais[[#This Row],[Data da Entrega]]&gt;fNotasFiscais[[#This Row],[Data Contratada]],0,1)</f>
        <v>1</v>
      </c>
      <c r="Y814" s="3">
        <f>IF(fNotasFiscais[[#This Row],[Ocorrência]]="",1,0)</f>
        <v>1</v>
      </c>
      <c r="Z814" s="2">
        <f>fNotasFiscais[[#This Row],[On Time]]*fNotasFiscais[[#This Row],[In Full]]</f>
        <v>1</v>
      </c>
      <c r="AA814">
        <f>IF(fNotasFiscais[[#This Row],[Nota Fiscal]]&lt;&gt;"",1,0)</f>
        <v>1</v>
      </c>
    </row>
    <row r="815" spans="1:27" x14ac:dyDescent="0.25">
      <c r="A815" s="1">
        <v>43353</v>
      </c>
      <c r="B815">
        <v>11224</v>
      </c>
      <c r="C815" s="2" t="s">
        <v>22</v>
      </c>
      <c r="D815" s="2" t="s">
        <v>23</v>
      </c>
      <c r="E815" s="2" t="s">
        <v>24</v>
      </c>
      <c r="F815">
        <v>4068</v>
      </c>
      <c r="G815" s="2" t="s">
        <v>63</v>
      </c>
      <c r="H815" s="2" t="s">
        <v>64</v>
      </c>
      <c r="I815" s="2" t="s">
        <v>65</v>
      </c>
      <c r="J815" s="2" t="s">
        <v>49</v>
      </c>
      <c r="K815" s="2" t="s">
        <v>65</v>
      </c>
      <c r="L815">
        <v>690.61</v>
      </c>
      <c r="M815">
        <v>3</v>
      </c>
      <c r="N815">
        <v>2.8159999999999998</v>
      </c>
      <c r="O815">
        <v>6100231</v>
      </c>
      <c r="P815" s="2" t="s">
        <v>50</v>
      </c>
      <c r="Q815" s="2" t="s">
        <v>51</v>
      </c>
      <c r="R815" s="2" t="s">
        <v>30</v>
      </c>
      <c r="S815">
        <v>1</v>
      </c>
      <c r="T815" s="1">
        <v>43354</v>
      </c>
      <c r="U815" s="1">
        <v>43360</v>
      </c>
      <c r="V815" s="2"/>
      <c r="W815" s="1">
        <f>fNotasFiscais[[#This Row],[Data da Coleta]]+fNotasFiscais[[#This Row],[Prazo Contratado]]</f>
        <v>43355</v>
      </c>
      <c r="X815" s="3">
        <f>IF(fNotasFiscais[[#This Row],[Data da Entrega]]&gt;fNotasFiscais[[#This Row],[Data Contratada]],0,1)</f>
        <v>0</v>
      </c>
      <c r="Y815" s="3">
        <f>IF(fNotasFiscais[[#This Row],[Ocorrência]]="",1,0)</f>
        <v>1</v>
      </c>
      <c r="Z815" s="2">
        <f>fNotasFiscais[[#This Row],[On Time]]*fNotasFiscais[[#This Row],[In Full]]</f>
        <v>0</v>
      </c>
      <c r="AA815">
        <f>IF(fNotasFiscais[[#This Row],[Nota Fiscal]]&lt;&gt;"",1,0)</f>
        <v>1</v>
      </c>
    </row>
    <row r="816" spans="1:27" x14ac:dyDescent="0.25">
      <c r="A816" s="1">
        <v>43353</v>
      </c>
      <c r="B816">
        <v>11225</v>
      </c>
      <c r="C816" s="2" t="s">
        <v>22</v>
      </c>
      <c r="D816" s="2" t="s">
        <v>23</v>
      </c>
      <c r="E816" s="2" t="s">
        <v>24</v>
      </c>
      <c r="F816">
        <v>4012</v>
      </c>
      <c r="G816" s="2" t="s">
        <v>25</v>
      </c>
      <c r="H816" s="2" t="s">
        <v>26</v>
      </c>
      <c r="I816" s="2" t="s">
        <v>27</v>
      </c>
      <c r="J816" s="2" t="s">
        <v>28</v>
      </c>
      <c r="K816" s="2" t="s">
        <v>27</v>
      </c>
      <c r="L816">
        <v>22420.01</v>
      </c>
      <c r="M816">
        <v>75</v>
      </c>
      <c r="N816">
        <v>231</v>
      </c>
      <c r="O816">
        <v>6500948</v>
      </c>
      <c r="P816" s="2" t="s">
        <v>29</v>
      </c>
      <c r="Q816" s="2" t="s">
        <v>23</v>
      </c>
      <c r="R816" s="2" t="s">
        <v>30</v>
      </c>
      <c r="S816">
        <v>1</v>
      </c>
      <c r="T816" s="1">
        <v>43354</v>
      </c>
      <c r="U816" s="1">
        <v>43361</v>
      </c>
      <c r="V816" s="2"/>
      <c r="W816" s="1">
        <f>fNotasFiscais[[#This Row],[Data da Coleta]]+fNotasFiscais[[#This Row],[Prazo Contratado]]</f>
        <v>43355</v>
      </c>
      <c r="X816" s="3">
        <f>IF(fNotasFiscais[[#This Row],[Data da Entrega]]&gt;fNotasFiscais[[#This Row],[Data Contratada]],0,1)</f>
        <v>0</v>
      </c>
      <c r="Y816" s="3">
        <f>IF(fNotasFiscais[[#This Row],[Ocorrência]]="",1,0)</f>
        <v>1</v>
      </c>
      <c r="Z816" s="2">
        <f>fNotasFiscais[[#This Row],[On Time]]*fNotasFiscais[[#This Row],[In Full]]</f>
        <v>0</v>
      </c>
      <c r="AA816">
        <f>IF(fNotasFiscais[[#This Row],[Nota Fiscal]]&lt;&gt;"",1,0)</f>
        <v>1</v>
      </c>
    </row>
    <row r="817" spans="1:27" x14ac:dyDescent="0.25">
      <c r="A817" s="1">
        <v>43357</v>
      </c>
      <c r="B817">
        <v>11226</v>
      </c>
      <c r="C817" s="2" t="s">
        <v>31</v>
      </c>
      <c r="D817" s="2" t="s">
        <v>32</v>
      </c>
      <c r="E817" s="2" t="s">
        <v>33</v>
      </c>
      <c r="F817">
        <v>4012</v>
      </c>
      <c r="G817" s="2" t="s">
        <v>25</v>
      </c>
      <c r="H817" s="2" t="s">
        <v>26</v>
      </c>
      <c r="I817" s="2" t="s">
        <v>27</v>
      </c>
      <c r="J817" s="2" t="s">
        <v>28</v>
      </c>
      <c r="K817" s="2" t="s">
        <v>27</v>
      </c>
      <c r="L817">
        <v>156.84</v>
      </c>
      <c r="M817">
        <v>2</v>
      </c>
      <c r="N817">
        <v>3.74</v>
      </c>
      <c r="O817">
        <v>6500948</v>
      </c>
      <c r="P817" s="2" t="s">
        <v>29</v>
      </c>
      <c r="Q817" s="2" t="s">
        <v>23</v>
      </c>
      <c r="R817" s="2" t="s">
        <v>30</v>
      </c>
      <c r="S817">
        <v>10</v>
      </c>
      <c r="T817" s="1">
        <v>43358</v>
      </c>
      <c r="U817" s="1">
        <v>43368</v>
      </c>
      <c r="V817" s="2"/>
      <c r="W817" s="1">
        <f>fNotasFiscais[[#This Row],[Data da Coleta]]+fNotasFiscais[[#This Row],[Prazo Contratado]]</f>
        <v>43368</v>
      </c>
      <c r="X817" s="3">
        <f>IF(fNotasFiscais[[#This Row],[Data da Entrega]]&gt;fNotasFiscais[[#This Row],[Data Contratada]],0,1)</f>
        <v>1</v>
      </c>
      <c r="Y817" s="3">
        <f>IF(fNotasFiscais[[#This Row],[Ocorrência]]="",1,0)</f>
        <v>1</v>
      </c>
      <c r="Z817" s="2">
        <f>fNotasFiscais[[#This Row],[On Time]]*fNotasFiscais[[#This Row],[In Full]]</f>
        <v>1</v>
      </c>
      <c r="AA817">
        <f>IF(fNotasFiscais[[#This Row],[Nota Fiscal]]&lt;&gt;"",1,0)</f>
        <v>1</v>
      </c>
    </row>
    <row r="818" spans="1:27" x14ac:dyDescent="0.25">
      <c r="A818" s="1">
        <v>43358</v>
      </c>
      <c r="B818">
        <v>11227</v>
      </c>
      <c r="C818" s="2" t="s">
        <v>40</v>
      </c>
      <c r="D818" s="2" t="s">
        <v>41</v>
      </c>
      <c r="E818" s="2" t="s">
        <v>33</v>
      </c>
      <c r="F818">
        <v>4019</v>
      </c>
      <c r="G818" s="2" t="s">
        <v>79</v>
      </c>
      <c r="H818" s="2" t="s">
        <v>80</v>
      </c>
      <c r="I818" s="2" t="s">
        <v>39</v>
      </c>
      <c r="J818" s="2" t="s">
        <v>28</v>
      </c>
      <c r="K818" s="2" t="s">
        <v>39</v>
      </c>
      <c r="L818">
        <v>1830.5</v>
      </c>
      <c r="M818">
        <v>3</v>
      </c>
      <c r="N818">
        <v>16.829999999999998</v>
      </c>
      <c r="O818">
        <v>6500948</v>
      </c>
      <c r="P818" s="2" t="s">
        <v>29</v>
      </c>
      <c r="Q818" s="2" t="s">
        <v>23</v>
      </c>
      <c r="R818" s="2" t="s">
        <v>30</v>
      </c>
      <c r="S818">
        <v>6</v>
      </c>
      <c r="T818" s="1">
        <v>43359</v>
      </c>
      <c r="U818" s="1">
        <v>43364</v>
      </c>
      <c r="V818" s="2"/>
      <c r="W818" s="1">
        <f>fNotasFiscais[[#This Row],[Data da Coleta]]+fNotasFiscais[[#This Row],[Prazo Contratado]]</f>
        <v>43365</v>
      </c>
      <c r="X818" s="3">
        <f>IF(fNotasFiscais[[#This Row],[Data da Entrega]]&gt;fNotasFiscais[[#This Row],[Data Contratada]],0,1)</f>
        <v>1</v>
      </c>
      <c r="Y818" s="3">
        <f>IF(fNotasFiscais[[#This Row],[Ocorrência]]="",1,0)</f>
        <v>1</v>
      </c>
      <c r="Z818" s="2">
        <f>fNotasFiscais[[#This Row],[On Time]]*fNotasFiscais[[#This Row],[In Full]]</f>
        <v>1</v>
      </c>
      <c r="AA818">
        <f>IF(fNotasFiscais[[#This Row],[Nota Fiscal]]&lt;&gt;"",1,0)</f>
        <v>1</v>
      </c>
    </row>
    <row r="819" spans="1:27" x14ac:dyDescent="0.25">
      <c r="A819" s="1">
        <v>43358</v>
      </c>
      <c r="B819">
        <v>11228</v>
      </c>
      <c r="C819" s="2" t="s">
        <v>40</v>
      </c>
      <c r="D819" s="2" t="s">
        <v>41</v>
      </c>
      <c r="E819" s="2" t="s">
        <v>33</v>
      </c>
      <c r="F819">
        <v>4022</v>
      </c>
      <c r="G819" s="2" t="s">
        <v>86</v>
      </c>
      <c r="H819" s="2" t="s">
        <v>87</v>
      </c>
      <c r="I819" s="2" t="s">
        <v>27</v>
      </c>
      <c r="J819" s="2" t="s">
        <v>28</v>
      </c>
      <c r="K819" s="2" t="s">
        <v>27</v>
      </c>
      <c r="L819">
        <v>546.61</v>
      </c>
      <c r="M819">
        <v>2</v>
      </c>
      <c r="N819">
        <v>21.56</v>
      </c>
      <c r="O819">
        <v>6500948</v>
      </c>
      <c r="P819" s="2" t="s">
        <v>29</v>
      </c>
      <c r="Q819" s="2" t="s">
        <v>23</v>
      </c>
      <c r="R819" s="2" t="s">
        <v>30</v>
      </c>
      <c r="S819">
        <v>1</v>
      </c>
      <c r="T819" s="1">
        <v>43359</v>
      </c>
      <c r="U819" s="1">
        <v>43368</v>
      </c>
      <c r="V819" s="2"/>
      <c r="W819" s="1">
        <f>fNotasFiscais[[#This Row],[Data da Coleta]]+fNotasFiscais[[#This Row],[Prazo Contratado]]</f>
        <v>43360</v>
      </c>
      <c r="X819" s="3">
        <f>IF(fNotasFiscais[[#This Row],[Data da Entrega]]&gt;fNotasFiscais[[#This Row],[Data Contratada]],0,1)</f>
        <v>0</v>
      </c>
      <c r="Y819" s="3">
        <f>IF(fNotasFiscais[[#This Row],[Ocorrência]]="",1,0)</f>
        <v>1</v>
      </c>
      <c r="Z819" s="2">
        <f>fNotasFiscais[[#This Row],[On Time]]*fNotasFiscais[[#This Row],[In Full]]</f>
        <v>0</v>
      </c>
      <c r="AA819">
        <f>IF(fNotasFiscais[[#This Row],[Nota Fiscal]]&lt;&gt;"",1,0)</f>
        <v>1</v>
      </c>
    </row>
    <row r="820" spans="1:27" x14ac:dyDescent="0.25">
      <c r="A820" s="1">
        <v>43358</v>
      </c>
      <c r="B820">
        <v>11229</v>
      </c>
      <c r="C820" s="2" t="s">
        <v>34</v>
      </c>
      <c r="D820" s="2" t="s">
        <v>35</v>
      </c>
      <c r="E820" s="2" t="s">
        <v>36</v>
      </c>
      <c r="F820">
        <v>4019</v>
      </c>
      <c r="G820" s="2" t="s">
        <v>79</v>
      </c>
      <c r="H820" s="2" t="s">
        <v>80</v>
      </c>
      <c r="I820" s="2" t="s">
        <v>39</v>
      </c>
      <c r="J820" s="2" t="s">
        <v>28</v>
      </c>
      <c r="K820" s="2" t="s">
        <v>39</v>
      </c>
      <c r="L820">
        <v>846.08</v>
      </c>
      <c r="M820">
        <v>1</v>
      </c>
      <c r="N820">
        <v>3.08</v>
      </c>
      <c r="O820">
        <v>6500948</v>
      </c>
      <c r="P820" s="2" t="s">
        <v>29</v>
      </c>
      <c r="Q820" s="2" t="s">
        <v>23</v>
      </c>
      <c r="R820" s="2" t="s">
        <v>30</v>
      </c>
      <c r="S820">
        <v>1</v>
      </c>
      <c r="T820" s="1">
        <v>43359</v>
      </c>
      <c r="U820" s="1">
        <v>43364</v>
      </c>
      <c r="V820" s="2"/>
      <c r="W820" s="1">
        <f>fNotasFiscais[[#This Row],[Data da Coleta]]+fNotasFiscais[[#This Row],[Prazo Contratado]]</f>
        <v>43360</v>
      </c>
      <c r="X820" s="3">
        <f>IF(fNotasFiscais[[#This Row],[Data da Entrega]]&gt;fNotasFiscais[[#This Row],[Data Contratada]],0,1)</f>
        <v>0</v>
      </c>
      <c r="Y820" s="3">
        <f>IF(fNotasFiscais[[#This Row],[Ocorrência]]="",1,0)</f>
        <v>1</v>
      </c>
      <c r="Z820" s="2">
        <f>fNotasFiscais[[#This Row],[On Time]]*fNotasFiscais[[#This Row],[In Full]]</f>
        <v>0</v>
      </c>
      <c r="AA820">
        <f>IF(fNotasFiscais[[#This Row],[Nota Fiscal]]&lt;&gt;"",1,0)</f>
        <v>1</v>
      </c>
    </row>
    <row r="821" spans="1:27" x14ac:dyDescent="0.25">
      <c r="A821" s="1">
        <v>43358</v>
      </c>
      <c r="B821">
        <v>11230</v>
      </c>
      <c r="C821" s="2" t="s">
        <v>43</v>
      </c>
      <c r="D821" s="2" t="s">
        <v>44</v>
      </c>
      <c r="E821" s="2" t="s">
        <v>45</v>
      </c>
      <c r="F821">
        <v>4019</v>
      </c>
      <c r="G821" s="2" t="s">
        <v>79</v>
      </c>
      <c r="H821" s="2" t="s">
        <v>80</v>
      </c>
      <c r="I821" s="2" t="s">
        <v>39</v>
      </c>
      <c r="J821" s="2" t="s">
        <v>28</v>
      </c>
      <c r="K821" s="2" t="s">
        <v>39</v>
      </c>
      <c r="L821">
        <v>598.55999999999995</v>
      </c>
      <c r="M821">
        <v>2</v>
      </c>
      <c r="N821">
        <v>1.623</v>
      </c>
      <c r="O821">
        <v>6500948</v>
      </c>
      <c r="P821" s="2" t="s">
        <v>29</v>
      </c>
      <c r="Q821" s="2" t="s">
        <v>23</v>
      </c>
      <c r="R821" s="2" t="s">
        <v>30</v>
      </c>
      <c r="S821">
        <v>1</v>
      </c>
      <c r="T821" s="1">
        <v>43359</v>
      </c>
      <c r="U821" s="1">
        <v>43362</v>
      </c>
      <c r="V821" s="2"/>
      <c r="W821" s="1">
        <f>fNotasFiscais[[#This Row],[Data da Coleta]]+fNotasFiscais[[#This Row],[Prazo Contratado]]</f>
        <v>43360</v>
      </c>
      <c r="X821" s="3">
        <f>IF(fNotasFiscais[[#This Row],[Data da Entrega]]&gt;fNotasFiscais[[#This Row],[Data Contratada]],0,1)</f>
        <v>0</v>
      </c>
      <c r="Y821" s="3">
        <f>IF(fNotasFiscais[[#This Row],[Ocorrência]]="",1,0)</f>
        <v>1</v>
      </c>
      <c r="Z821" s="2">
        <f>fNotasFiscais[[#This Row],[On Time]]*fNotasFiscais[[#This Row],[In Full]]</f>
        <v>0</v>
      </c>
      <c r="AA821">
        <f>IF(fNotasFiscais[[#This Row],[Nota Fiscal]]&lt;&gt;"",1,0)</f>
        <v>1</v>
      </c>
    </row>
    <row r="822" spans="1:27" x14ac:dyDescent="0.25">
      <c r="A822" s="1">
        <v>43358</v>
      </c>
      <c r="B822">
        <v>11231</v>
      </c>
      <c r="C822" s="2" t="s">
        <v>34</v>
      </c>
      <c r="D822" s="2" t="s">
        <v>35</v>
      </c>
      <c r="E822" s="2" t="s">
        <v>36</v>
      </c>
      <c r="F822">
        <v>4019</v>
      </c>
      <c r="G822" s="2" t="s">
        <v>79</v>
      </c>
      <c r="H822" s="2" t="s">
        <v>80</v>
      </c>
      <c r="I822" s="2" t="s">
        <v>39</v>
      </c>
      <c r="J822" s="2" t="s">
        <v>28</v>
      </c>
      <c r="K822" s="2" t="s">
        <v>39</v>
      </c>
      <c r="L822">
        <v>2037.28</v>
      </c>
      <c r="M822">
        <v>2</v>
      </c>
      <c r="N822">
        <v>18.7</v>
      </c>
      <c r="O822">
        <v>6500948</v>
      </c>
      <c r="P822" s="2" t="s">
        <v>29</v>
      </c>
      <c r="Q822" s="2" t="s">
        <v>23</v>
      </c>
      <c r="R822" s="2" t="s">
        <v>30</v>
      </c>
      <c r="S822">
        <v>8</v>
      </c>
      <c r="T822" s="1">
        <v>43359</v>
      </c>
      <c r="U822" s="1">
        <v>43369</v>
      </c>
      <c r="V822" s="2"/>
      <c r="W822" s="1">
        <f>fNotasFiscais[[#This Row],[Data da Coleta]]+fNotasFiscais[[#This Row],[Prazo Contratado]]</f>
        <v>43367</v>
      </c>
      <c r="X822" s="3">
        <f>IF(fNotasFiscais[[#This Row],[Data da Entrega]]&gt;fNotasFiscais[[#This Row],[Data Contratada]],0,1)</f>
        <v>0</v>
      </c>
      <c r="Y822" s="3">
        <f>IF(fNotasFiscais[[#This Row],[Ocorrência]]="",1,0)</f>
        <v>1</v>
      </c>
      <c r="Z822" s="2">
        <f>fNotasFiscais[[#This Row],[On Time]]*fNotasFiscais[[#This Row],[In Full]]</f>
        <v>0</v>
      </c>
      <c r="AA822">
        <f>IF(fNotasFiscais[[#This Row],[Nota Fiscal]]&lt;&gt;"",1,0)</f>
        <v>1</v>
      </c>
    </row>
    <row r="823" spans="1:27" x14ac:dyDescent="0.25">
      <c r="A823" s="1">
        <v>43358</v>
      </c>
      <c r="B823">
        <v>11232</v>
      </c>
      <c r="C823" s="2" t="s">
        <v>31</v>
      </c>
      <c r="D823" s="2" t="s">
        <v>32</v>
      </c>
      <c r="E823" s="2" t="s">
        <v>33</v>
      </c>
      <c r="F823">
        <v>4019</v>
      </c>
      <c r="G823" s="2" t="s">
        <v>79</v>
      </c>
      <c r="H823" s="2" t="s">
        <v>80</v>
      </c>
      <c r="I823" s="2" t="s">
        <v>39</v>
      </c>
      <c r="J823" s="2" t="s">
        <v>28</v>
      </c>
      <c r="K823" s="2" t="s">
        <v>39</v>
      </c>
      <c r="L823">
        <v>1876.82</v>
      </c>
      <c r="M823">
        <v>3</v>
      </c>
      <c r="N823">
        <v>24.2</v>
      </c>
      <c r="O823">
        <v>6500948</v>
      </c>
      <c r="P823" s="2" t="s">
        <v>29</v>
      </c>
      <c r="Q823" s="2" t="s">
        <v>23</v>
      </c>
      <c r="R823" s="2" t="s">
        <v>30</v>
      </c>
      <c r="S823">
        <v>7</v>
      </c>
      <c r="T823" s="1">
        <v>43359</v>
      </c>
      <c r="U823" s="1">
        <v>43367</v>
      </c>
      <c r="V823" s="2" t="s">
        <v>57</v>
      </c>
      <c r="W823" s="1">
        <f>fNotasFiscais[[#This Row],[Data da Coleta]]+fNotasFiscais[[#This Row],[Prazo Contratado]]</f>
        <v>43366</v>
      </c>
      <c r="X823" s="3">
        <f>IF(fNotasFiscais[[#This Row],[Data da Entrega]]&gt;fNotasFiscais[[#This Row],[Data Contratada]],0,1)</f>
        <v>0</v>
      </c>
      <c r="Y823" s="3">
        <f>IF(fNotasFiscais[[#This Row],[Ocorrência]]="",1,0)</f>
        <v>0</v>
      </c>
      <c r="Z823" s="2">
        <f>fNotasFiscais[[#This Row],[On Time]]*fNotasFiscais[[#This Row],[In Full]]</f>
        <v>0</v>
      </c>
      <c r="AA823">
        <f>IF(fNotasFiscais[[#This Row],[Nota Fiscal]]&lt;&gt;"",1,0)</f>
        <v>1</v>
      </c>
    </row>
    <row r="824" spans="1:27" x14ac:dyDescent="0.25">
      <c r="A824" s="1">
        <v>43360</v>
      </c>
      <c r="B824">
        <v>11233</v>
      </c>
      <c r="C824" s="2" t="s">
        <v>52</v>
      </c>
      <c r="D824" s="2" t="s">
        <v>53</v>
      </c>
      <c r="E824" s="2" t="s">
        <v>33</v>
      </c>
      <c r="F824">
        <v>4121</v>
      </c>
      <c r="G824" s="2" t="s">
        <v>204</v>
      </c>
      <c r="H824" s="2" t="s">
        <v>165</v>
      </c>
      <c r="I824" s="2" t="s">
        <v>24</v>
      </c>
      <c r="J824" s="2" t="s">
        <v>28</v>
      </c>
      <c r="K824" s="2" t="s">
        <v>24</v>
      </c>
      <c r="L824">
        <v>218.36</v>
      </c>
      <c r="M824">
        <v>1</v>
      </c>
      <c r="N824">
        <v>1.1200000000000001</v>
      </c>
      <c r="O824">
        <v>6500948</v>
      </c>
      <c r="P824" s="2" t="s">
        <v>29</v>
      </c>
      <c r="Q824" s="2" t="s">
        <v>23</v>
      </c>
      <c r="R824" s="2" t="s">
        <v>30</v>
      </c>
      <c r="S824">
        <v>9</v>
      </c>
      <c r="T824" s="1">
        <v>43361</v>
      </c>
      <c r="U824" s="1">
        <v>43367</v>
      </c>
      <c r="V824" s="2"/>
      <c r="W824" s="1">
        <f>fNotasFiscais[[#This Row],[Data da Coleta]]+fNotasFiscais[[#This Row],[Prazo Contratado]]</f>
        <v>43370</v>
      </c>
      <c r="X824" s="3">
        <f>IF(fNotasFiscais[[#This Row],[Data da Entrega]]&gt;fNotasFiscais[[#This Row],[Data Contratada]],0,1)</f>
        <v>1</v>
      </c>
      <c r="Y824" s="3">
        <f>IF(fNotasFiscais[[#This Row],[Ocorrência]]="",1,0)</f>
        <v>1</v>
      </c>
      <c r="Z824" s="2">
        <f>fNotasFiscais[[#This Row],[On Time]]*fNotasFiscais[[#This Row],[In Full]]</f>
        <v>1</v>
      </c>
      <c r="AA824">
        <f>IF(fNotasFiscais[[#This Row],[Nota Fiscal]]&lt;&gt;"",1,0)</f>
        <v>1</v>
      </c>
    </row>
    <row r="825" spans="1:27" x14ac:dyDescent="0.25">
      <c r="A825" s="1">
        <v>43360</v>
      </c>
      <c r="B825">
        <v>11234</v>
      </c>
      <c r="C825" s="2" t="s">
        <v>34</v>
      </c>
      <c r="D825" s="2" t="s">
        <v>35</v>
      </c>
      <c r="E825" s="2" t="s">
        <v>36</v>
      </c>
      <c r="F825">
        <v>4068</v>
      </c>
      <c r="G825" s="2" t="s">
        <v>63</v>
      </c>
      <c r="H825" s="2" t="s">
        <v>64</v>
      </c>
      <c r="I825" s="2" t="s">
        <v>65</v>
      </c>
      <c r="J825" s="2" t="s">
        <v>49</v>
      </c>
      <c r="K825" s="2" t="s">
        <v>65</v>
      </c>
      <c r="L825">
        <v>349.38</v>
      </c>
      <c r="M825">
        <v>1</v>
      </c>
      <c r="N825">
        <v>13.42</v>
      </c>
      <c r="O825">
        <v>6100231</v>
      </c>
      <c r="P825" s="2" t="s">
        <v>50</v>
      </c>
      <c r="Q825" s="2" t="s">
        <v>51</v>
      </c>
      <c r="R825" s="2" t="s">
        <v>30</v>
      </c>
      <c r="S825">
        <v>11</v>
      </c>
      <c r="T825" s="1">
        <v>43361</v>
      </c>
      <c r="U825" s="1">
        <v>43362</v>
      </c>
      <c r="V825" s="2"/>
      <c r="W825" s="1">
        <f>fNotasFiscais[[#This Row],[Data da Coleta]]+fNotasFiscais[[#This Row],[Prazo Contratado]]</f>
        <v>43372</v>
      </c>
      <c r="X825" s="3">
        <f>IF(fNotasFiscais[[#This Row],[Data da Entrega]]&gt;fNotasFiscais[[#This Row],[Data Contratada]],0,1)</f>
        <v>1</v>
      </c>
      <c r="Y825" s="3">
        <f>IF(fNotasFiscais[[#This Row],[Ocorrência]]="",1,0)</f>
        <v>1</v>
      </c>
      <c r="Z825" s="2">
        <f>fNotasFiscais[[#This Row],[On Time]]*fNotasFiscais[[#This Row],[In Full]]</f>
        <v>1</v>
      </c>
      <c r="AA825">
        <f>IF(fNotasFiscais[[#This Row],[Nota Fiscal]]&lt;&gt;"",1,0)</f>
        <v>1</v>
      </c>
    </row>
    <row r="826" spans="1:27" x14ac:dyDescent="0.25">
      <c r="A826" s="1">
        <v>43361</v>
      </c>
      <c r="B826">
        <v>11235</v>
      </c>
      <c r="C826" s="2" t="s">
        <v>40</v>
      </c>
      <c r="D826" s="2" t="s">
        <v>41</v>
      </c>
      <c r="E826" s="2" t="s">
        <v>33</v>
      </c>
      <c r="F826">
        <v>4033</v>
      </c>
      <c r="G826" s="2" t="s">
        <v>109</v>
      </c>
      <c r="H826" s="2" t="s">
        <v>51</v>
      </c>
      <c r="I826" s="2" t="s">
        <v>73</v>
      </c>
      <c r="J826" s="2" t="s">
        <v>49</v>
      </c>
      <c r="K826" s="2" t="s">
        <v>73</v>
      </c>
      <c r="L826">
        <v>1118.95</v>
      </c>
      <c r="M826">
        <v>1</v>
      </c>
      <c r="N826">
        <v>4.18</v>
      </c>
      <c r="O826">
        <v>6100231</v>
      </c>
      <c r="P826" s="2" t="s">
        <v>50</v>
      </c>
      <c r="Q826" s="2" t="s">
        <v>51</v>
      </c>
      <c r="R826" s="2" t="s">
        <v>30</v>
      </c>
      <c r="S826">
        <v>12</v>
      </c>
      <c r="T826" s="1">
        <v>43362</v>
      </c>
      <c r="U826" s="1">
        <v>43371</v>
      </c>
      <c r="V826" s="2"/>
      <c r="W826" s="1">
        <f>fNotasFiscais[[#This Row],[Data da Coleta]]+fNotasFiscais[[#This Row],[Prazo Contratado]]</f>
        <v>43374</v>
      </c>
      <c r="X826" s="3">
        <f>IF(fNotasFiscais[[#This Row],[Data da Entrega]]&gt;fNotasFiscais[[#This Row],[Data Contratada]],0,1)</f>
        <v>1</v>
      </c>
      <c r="Y826" s="3">
        <f>IF(fNotasFiscais[[#This Row],[Ocorrência]]="",1,0)</f>
        <v>1</v>
      </c>
      <c r="Z826" s="2">
        <f>fNotasFiscais[[#This Row],[On Time]]*fNotasFiscais[[#This Row],[In Full]]</f>
        <v>1</v>
      </c>
      <c r="AA826">
        <f>IF(fNotasFiscais[[#This Row],[Nota Fiscal]]&lt;&gt;"",1,0)</f>
        <v>1</v>
      </c>
    </row>
    <row r="827" spans="1:27" x14ac:dyDescent="0.25">
      <c r="A827" s="1">
        <v>43361</v>
      </c>
      <c r="B827">
        <v>11236</v>
      </c>
      <c r="C827" s="2" t="s">
        <v>54</v>
      </c>
      <c r="D827" s="2" t="s">
        <v>55</v>
      </c>
      <c r="E827" s="2" t="s">
        <v>56</v>
      </c>
      <c r="F827">
        <v>4064</v>
      </c>
      <c r="G827" s="2" t="s">
        <v>128</v>
      </c>
      <c r="H827" s="2" t="s">
        <v>129</v>
      </c>
      <c r="I827" s="2" t="s">
        <v>33</v>
      </c>
      <c r="J827" s="2" t="s">
        <v>60</v>
      </c>
      <c r="K827" s="2" t="s">
        <v>33</v>
      </c>
      <c r="L827">
        <v>1587.64</v>
      </c>
      <c r="M827">
        <v>2</v>
      </c>
      <c r="N827">
        <v>9.4600000000000009</v>
      </c>
      <c r="O827">
        <v>6400835</v>
      </c>
      <c r="P827" s="2" t="s">
        <v>130</v>
      </c>
      <c r="Q827" s="2" t="s">
        <v>131</v>
      </c>
      <c r="R827" s="2" t="s">
        <v>30</v>
      </c>
      <c r="S827">
        <v>8</v>
      </c>
      <c r="T827" s="1">
        <v>43362</v>
      </c>
      <c r="U827" s="1">
        <v>43367</v>
      </c>
      <c r="V827" s="2"/>
      <c r="W827" s="1">
        <f>fNotasFiscais[[#This Row],[Data da Coleta]]+fNotasFiscais[[#This Row],[Prazo Contratado]]</f>
        <v>43370</v>
      </c>
      <c r="X827" s="3">
        <f>IF(fNotasFiscais[[#This Row],[Data da Entrega]]&gt;fNotasFiscais[[#This Row],[Data Contratada]],0,1)</f>
        <v>1</v>
      </c>
      <c r="Y827" s="3">
        <f>IF(fNotasFiscais[[#This Row],[Ocorrência]]="",1,0)</f>
        <v>1</v>
      </c>
      <c r="Z827" s="2">
        <f>fNotasFiscais[[#This Row],[On Time]]*fNotasFiscais[[#This Row],[In Full]]</f>
        <v>1</v>
      </c>
      <c r="AA827">
        <f>IF(fNotasFiscais[[#This Row],[Nota Fiscal]]&lt;&gt;"",1,0)</f>
        <v>1</v>
      </c>
    </row>
    <row r="828" spans="1:27" x14ac:dyDescent="0.25">
      <c r="A828" s="1">
        <v>43361</v>
      </c>
      <c r="B828">
        <v>11237</v>
      </c>
      <c r="C828" s="2" t="s">
        <v>40</v>
      </c>
      <c r="D828" s="2" t="s">
        <v>41</v>
      </c>
      <c r="E828" s="2" t="s">
        <v>33</v>
      </c>
      <c r="F828">
        <v>4064</v>
      </c>
      <c r="G828" s="2" t="s">
        <v>128</v>
      </c>
      <c r="H828" s="2" t="s">
        <v>129</v>
      </c>
      <c r="I828" s="2" t="s">
        <v>33</v>
      </c>
      <c r="J828" s="2" t="s">
        <v>60</v>
      </c>
      <c r="K828" s="2" t="s">
        <v>33</v>
      </c>
      <c r="L828">
        <v>880.99</v>
      </c>
      <c r="M828">
        <v>1</v>
      </c>
      <c r="N828">
        <v>5.5060000000000002</v>
      </c>
      <c r="O828">
        <v>6400835</v>
      </c>
      <c r="P828" s="2" t="s">
        <v>130</v>
      </c>
      <c r="Q828" s="2" t="s">
        <v>131</v>
      </c>
      <c r="R828" s="2" t="s">
        <v>30</v>
      </c>
      <c r="S828">
        <v>2</v>
      </c>
      <c r="T828" s="1">
        <v>43362</v>
      </c>
      <c r="U828" s="1">
        <v>43363</v>
      </c>
      <c r="V828" s="2"/>
      <c r="W828" s="1">
        <f>fNotasFiscais[[#This Row],[Data da Coleta]]+fNotasFiscais[[#This Row],[Prazo Contratado]]</f>
        <v>43364</v>
      </c>
      <c r="X828" s="3">
        <f>IF(fNotasFiscais[[#This Row],[Data da Entrega]]&gt;fNotasFiscais[[#This Row],[Data Contratada]],0,1)</f>
        <v>1</v>
      </c>
      <c r="Y828" s="3">
        <f>IF(fNotasFiscais[[#This Row],[Ocorrência]]="",1,0)</f>
        <v>1</v>
      </c>
      <c r="Z828" s="2">
        <f>fNotasFiscais[[#This Row],[On Time]]*fNotasFiscais[[#This Row],[In Full]]</f>
        <v>1</v>
      </c>
      <c r="AA828">
        <f>IF(fNotasFiscais[[#This Row],[Nota Fiscal]]&lt;&gt;"",1,0)</f>
        <v>1</v>
      </c>
    </row>
    <row r="829" spans="1:27" x14ac:dyDescent="0.25">
      <c r="A829" s="1">
        <v>43361</v>
      </c>
      <c r="B829">
        <v>11238</v>
      </c>
      <c r="C829" s="2" t="s">
        <v>31</v>
      </c>
      <c r="D829" s="2" t="s">
        <v>32</v>
      </c>
      <c r="E829" s="2" t="s">
        <v>33</v>
      </c>
      <c r="F829">
        <v>4064</v>
      </c>
      <c r="G829" s="2" t="s">
        <v>128</v>
      </c>
      <c r="H829" s="2" t="s">
        <v>129</v>
      </c>
      <c r="I829" s="2" t="s">
        <v>33</v>
      </c>
      <c r="J829" s="2" t="s">
        <v>60</v>
      </c>
      <c r="K829" s="2" t="s">
        <v>33</v>
      </c>
      <c r="L829">
        <v>967.87</v>
      </c>
      <c r="M829">
        <v>2</v>
      </c>
      <c r="N829">
        <v>6.1580000000000004</v>
      </c>
      <c r="O829">
        <v>6400835</v>
      </c>
      <c r="P829" s="2" t="s">
        <v>130</v>
      </c>
      <c r="Q829" s="2" t="s">
        <v>131</v>
      </c>
      <c r="R829" s="2" t="s">
        <v>30</v>
      </c>
      <c r="S829">
        <v>4</v>
      </c>
      <c r="T829" s="1">
        <v>43362</v>
      </c>
      <c r="U829" s="1">
        <v>43366</v>
      </c>
      <c r="V829" s="2"/>
      <c r="W829" s="1">
        <f>fNotasFiscais[[#This Row],[Data da Coleta]]+fNotasFiscais[[#This Row],[Prazo Contratado]]</f>
        <v>43366</v>
      </c>
      <c r="X829" s="3">
        <f>IF(fNotasFiscais[[#This Row],[Data da Entrega]]&gt;fNotasFiscais[[#This Row],[Data Contratada]],0,1)</f>
        <v>1</v>
      </c>
      <c r="Y829" s="3">
        <f>IF(fNotasFiscais[[#This Row],[Ocorrência]]="",1,0)</f>
        <v>1</v>
      </c>
      <c r="Z829" s="2">
        <f>fNotasFiscais[[#This Row],[On Time]]*fNotasFiscais[[#This Row],[In Full]]</f>
        <v>1</v>
      </c>
      <c r="AA829">
        <f>IF(fNotasFiscais[[#This Row],[Nota Fiscal]]&lt;&gt;"",1,0)</f>
        <v>1</v>
      </c>
    </row>
    <row r="830" spans="1:27" x14ac:dyDescent="0.25">
      <c r="A830" s="1">
        <v>43361</v>
      </c>
      <c r="B830">
        <v>11239</v>
      </c>
      <c r="C830" s="2" t="s">
        <v>54</v>
      </c>
      <c r="D830" s="2" t="s">
        <v>55</v>
      </c>
      <c r="E830" s="2" t="s">
        <v>56</v>
      </c>
      <c r="F830">
        <v>4064</v>
      </c>
      <c r="G830" s="2" t="s">
        <v>128</v>
      </c>
      <c r="H830" s="2" t="s">
        <v>129</v>
      </c>
      <c r="I830" s="2" t="s">
        <v>33</v>
      </c>
      <c r="J830" s="2" t="s">
        <v>60</v>
      </c>
      <c r="K830" s="2" t="s">
        <v>33</v>
      </c>
      <c r="L830">
        <v>171.84</v>
      </c>
      <c r="M830">
        <v>1</v>
      </c>
      <c r="N830">
        <v>0.16500000000000001</v>
      </c>
      <c r="O830">
        <v>6400835</v>
      </c>
      <c r="P830" s="2" t="s">
        <v>130</v>
      </c>
      <c r="Q830" s="2" t="s">
        <v>131</v>
      </c>
      <c r="R830" s="2" t="s">
        <v>30</v>
      </c>
      <c r="S830">
        <v>3</v>
      </c>
      <c r="T830" s="1">
        <v>43362</v>
      </c>
      <c r="U830" s="1">
        <v>43365</v>
      </c>
      <c r="V830" s="2"/>
      <c r="W830" s="1">
        <f>fNotasFiscais[[#This Row],[Data da Coleta]]+fNotasFiscais[[#This Row],[Prazo Contratado]]</f>
        <v>43365</v>
      </c>
      <c r="X830" s="3">
        <f>IF(fNotasFiscais[[#This Row],[Data da Entrega]]&gt;fNotasFiscais[[#This Row],[Data Contratada]],0,1)</f>
        <v>1</v>
      </c>
      <c r="Y830" s="3">
        <f>IF(fNotasFiscais[[#This Row],[Ocorrência]]="",1,0)</f>
        <v>1</v>
      </c>
      <c r="Z830" s="2">
        <f>fNotasFiscais[[#This Row],[On Time]]*fNotasFiscais[[#This Row],[In Full]]</f>
        <v>1</v>
      </c>
      <c r="AA830">
        <f>IF(fNotasFiscais[[#This Row],[Nota Fiscal]]&lt;&gt;"",1,0)</f>
        <v>1</v>
      </c>
    </row>
    <row r="831" spans="1:27" x14ac:dyDescent="0.25">
      <c r="A831" s="1">
        <v>43361</v>
      </c>
      <c r="B831">
        <v>11240</v>
      </c>
      <c r="C831" s="2" t="s">
        <v>43</v>
      </c>
      <c r="D831" s="2" t="s">
        <v>44</v>
      </c>
      <c r="E831" s="2" t="s">
        <v>45</v>
      </c>
      <c r="F831">
        <v>4064</v>
      </c>
      <c r="G831" s="2" t="s">
        <v>128</v>
      </c>
      <c r="H831" s="2" t="s">
        <v>129</v>
      </c>
      <c r="I831" s="2" t="s">
        <v>33</v>
      </c>
      <c r="J831" s="2" t="s">
        <v>60</v>
      </c>
      <c r="K831" s="2" t="s">
        <v>33</v>
      </c>
      <c r="L831">
        <v>606.07000000000005</v>
      </c>
      <c r="M831">
        <v>1</v>
      </c>
      <c r="N831">
        <v>3.1E-2</v>
      </c>
      <c r="O831">
        <v>6400835</v>
      </c>
      <c r="P831" s="2" t="s">
        <v>130</v>
      </c>
      <c r="Q831" s="2" t="s">
        <v>131</v>
      </c>
      <c r="R831" s="2" t="s">
        <v>30</v>
      </c>
      <c r="S831">
        <v>5</v>
      </c>
      <c r="T831" s="1">
        <v>43362</v>
      </c>
      <c r="U831" s="1">
        <v>43363</v>
      </c>
      <c r="V831" s="2"/>
      <c r="W831" s="1">
        <f>fNotasFiscais[[#This Row],[Data da Coleta]]+fNotasFiscais[[#This Row],[Prazo Contratado]]</f>
        <v>43367</v>
      </c>
      <c r="X831" s="3">
        <f>IF(fNotasFiscais[[#This Row],[Data da Entrega]]&gt;fNotasFiscais[[#This Row],[Data Contratada]],0,1)</f>
        <v>1</v>
      </c>
      <c r="Y831" s="3">
        <f>IF(fNotasFiscais[[#This Row],[Ocorrência]]="",1,0)</f>
        <v>1</v>
      </c>
      <c r="Z831" s="2">
        <f>fNotasFiscais[[#This Row],[On Time]]*fNotasFiscais[[#This Row],[In Full]]</f>
        <v>1</v>
      </c>
      <c r="AA831">
        <f>IF(fNotasFiscais[[#This Row],[Nota Fiscal]]&lt;&gt;"",1,0)</f>
        <v>1</v>
      </c>
    </row>
    <row r="832" spans="1:27" x14ac:dyDescent="0.25">
      <c r="A832" s="1">
        <v>43361</v>
      </c>
      <c r="B832">
        <v>11241</v>
      </c>
      <c r="C832" s="2" t="s">
        <v>43</v>
      </c>
      <c r="D832" s="2" t="s">
        <v>44</v>
      </c>
      <c r="E832" s="2" t="s">
        <v>45</v>
      </c>
      <c r="F832">
        <v>4064</v>
      </c>
      <c r="G832" s="2" t="s">
        <v>128</v>
      </c>
      <c r="H832" s="2" t="s">
        <v>129</v>
      </c>
      <c r="I832" s="2" t="s">
        <v>33</v>
      </c>
      <c r="J832" s="2" t="s">
        <v>60</v>
      </c>
      <c r="K832" s="2" t="s">
        <v>33</v>
      </c>
      <c r="L832">
        <v>1263.32</v>
      </c>
      <c r="M832">
        <v>2</v>
      </c>
      <c r="N832">
        <v>7.117</v>
      </c>
      <c r="O832">
        <v>6400835</v>
      </c>
      <c r="P832" s="2" t="s">
        <v>130</v>
      </c>
      <c r="Q832" s="2" t="s">
        <v>131</v>
      </c>
      <c r="R832" s="2" t="s">
        <v>30</v>
      </c>
      <c r="S832">
        <v>6</v>
      </c>
      <c r="T832" s="1">
        <v>43362</v>
      </c>
      <c r="U832" s="1">
        <v>43365</v>
      </c>
      <c r="V832" s="2"/>
      <c r="W832" s="1">
        <f>fNotasFiscais[[#This Row],[Data da Coleta]]+fNotasFiscais[[#This Row],[Prazo Contratado]]</f>
        <v>43368</v>
      </c>
      <c r="X832" s="3">
        <f>IF(fNotasFiscais[[#This Row],[Data da Entrega]]&gt;fNotasFiscais[[#This Row],[Data Contratada]],0,1)</f>
        <v>1</v>
      </c>
      <c r="Y832" s="3">
        <f>IF(fNotasFiscais[[#This Row],[Ocorrência]]="",1,0)</f>
        <v>1</v>
      </c>
      <c r="Z832" s="2">
        <f>fNotasFiscais[[#This Row],[On Time]]*fNotasFiscais[[#This Row],[In Full]]</f>
        <v>1</v>
      </c>
      <c r="AA832">
        <f>IF(fNotasFiscais[[#This Row],[Nota Fiscal]]&lt;&gt;"",1,0)</f>
        <v>1</v>
      </c>
    </row>
    <row r="833" spans="1:27" x14ac:dyDescent="0.25">
      <c r="A833" s="1">
        <v>43361</v>
      </c>
      <c r="B833">
        <v>11242</v>
      </c>
      <c r="C833" s="2" t="s">
        <v>31</v>
      </c>
      <c r="D833" s="2" t="s">
        <v>32</v>
      </c>
      <c r="E833" s="2" t="s">
        <v>33</v>
      </c>
      <c r="F833">
        <v>4064</v>
      </c>
      <c r="G833" s="2" t="s">
        <v>128</v>
      </c>
      <c r="H833" s="2" t="s">
        <v>129</v>
      </c>
      <c r="I833" s="2" t="s">
        <v>33</v>
      </c>
      <c r="J833" s="2" t="s">
        <v>60</v>
      </c>
      <c r="K833" s="2" t="s">
        <v>33</v>
      </c>
      <c r="L833">
        <v>726.85</v>
      </c>
      <c r="M833">
        <v>1</v>
      </c>
      <c r="N833">
        <v>5.28</v>
      </c>
      <c r="O833">
        <v>6400835</v>
      </c>
      <c r="P833" s="2" t="s">
        <v>130</v>
      </c>
      <c r="Q833" s="2" t="s">
        <v>131</v>
      </c>
      <c r="R833" s="2" t="s">
        <v>30</v>
      </c>
      <c r="S833">
        <v>11</v>
      </c>
      <c r="T833" s="1">
        <v>43362</v>
      </c>
      <c r="U833" s="1">
        <v>43371</v>
      </c>
      <c r="V833" s="2" t="s">
        <v>42</v>
      </c>
      <c r="W833" s="1">
        <f>fNotasFiscais[[#This Row],[Data da Coleta]]+fNotasFiscais[[#This Row],[Prazo Contratado]]</f>
        <v>43373</v>
      </c>
      <c r="X833" s="3">
        <f>IF(fNotasFiscais[[#This Row],[Data da Entrega]]&gt;fNotasFiscais[[#This Row],[Data Contratada]],0,1)</f>
        <v>1</v>
      </c>
      <c r="Y833" s="3">
        <f>IF(fNotasFiscais[[#This Row],[Ocorrência]]="",1,0)</f>
        <v>0</v>
      </c>
      <c r="Z833" s="2">
        <f>fNotasFiscais[[#This Row],[On Time]]*fNotasFiscais[[#This Row],[In Full]]</f>
        <v>0</v>
      </c>
      <c r="AA833">
        <f>IF(fNotasFiscais[[#This Row],[Nota Fiscal]]&lt;&gt;"",1,0)</f>
        <v>1</v>
      </c>
    </row>
    <row r="834" spans="1:27" x14ac:dyDescent="0.25">
      <c r="A834" s="1">
        <v>43361</v>
      </c>
      <c r="B834">
        <v>11243</v>
      </c>
      <c r="C834" s="2" t="s">
        <v>52</v>
      </c>
      <c r="D834" s="2" t="s">
        <v>53</v>
      </c>
      <c r="E834" s="2" t="s">
        <v>33</v>
      </c>
      <c r="F834">
        <v>4064</v>
      </c>
      <c r="G834" s="2" t="s">
        <v>128</v>
      </c>
      <c r="H834" s="2" t="s">
        <v>129</v>
      </c>
      <c r="I834" s="2" t="s">
        <v>33</v>
      </c>
      <c r="J834" s="2" t="s">
        <v>60</v>
      </c>
      <c r="K834" s="2" t="s">
        <v>33</v>
      </c>
      <c r="L834">
        <v>226.92</v>
      </c>
      <c r="M834">
        <v>1</v>
      </c>
      <c r="N834">
        <v>0.998</v>
      </c>
      <c r="O834">
        <v>6400835</v>
      </c>
      <c r="P834" s="2" t="s">
        <v>130</v>
      </c>
      <c r="Q834" s="2" t="s">
        <v>131</v>
      </c>
      <c r="R834" s="2" t="s">
        <v>30</v>
      </c>
      <c r="S834">
        <v>3</v>
      </c>
      <c r="T834" s="1">
        <v>43362</v>
      </c>
      <c r="U834" s="1">
        <v>43368</v>
      </c>
      <c r="V834" s="2"/>
      <c r="W834" s="1">
        <f>fNotasFiscais[[#This Row],[Data da Coleta]]+fNotasFiscais[[#This Row],[Prazo Contratado]]</f>
        <v>43365</v>
      </c>
      <c r="X834" s="3">
        <f>IF(fNotasFiscais[[#This Row],[Data da Entrega]]&gt;fNotasFiscais[[#This Row],[Data Contratada]],0,1)</f>
        <v>0</v>
      </c>
      <c r="Y834" s="3">
        <f>IF(fNotasFiscais[[#This Row],[Ocorrência]]="",1,0)</f>
        <v>1</v>
      </c>
      <c r="Z834" s="2">
        <f>fNotasFiscais[[#This Row],[On Time]]*fNotasFiscais[[#This Row],[In Full]]</f>
        <v>0</v>
      </c>
      <c r="AA834">
        <f>IF(fNotasFiscais[[#This Row],[Nota Fiscal]]&lt;&gt;"",1,0)</f>
        <v>1</v>
      </c>
    </row>
    <row r="835" spans="1:27" x14ac:dyDescent="0.25">
      <c r="A835" s="1">
        <v>43362</v>
      </c>
      <c r="B835">
        <v>11244</v>
      </c>
      <c r="C835" s="2" t="s">
        <v>34</v>
      </c>
      <c r="D835" s="2" t="s">
        <v>35</v>
      </c>
      <c r="E835" s="2" t="s">
        <v>36</v>
      </c>
      <c r="F835">
        <v>4024</v>
      </c>
      <c r="G835" s="2" t="s">
        <v>89</v>
      </c>
      <c r="H835" s="2" t="s">
        <v>23</v>
      </c>
      <c r="I835" s="2" t="s">
        <v>24</v>
      </c>
      <c r="J835" s="2" t="s">
        <v>28</v>
      </c>
      <c r="K835" s="2" t="s">
        <v>24</v>
      </c>
      <c r="L835">
        <v>702.26</v>
      </c>
      <c r="M835">
        <v>2</v>
      </c>
      <c r="N835">
        <v>26.84</v>
      </c>
      <c r="O835">
        <v>6500948</v>
      </c>
      <c r="P835" s="2" t="s">
        <v>29</v>
      </c>
      <c r="Q835" s="2" t="s">
        <v>23</v>
      </c>
      <c r="R835" s="2" t="s">
        <v>30</v>
      </c>
      <c r="S835">
        <v>9</v>
      </c>
      <c r="T835" s="1">
        <v>43363</v>
      </c>
      <c r="U835" s="1">
        <v>43366</v>
      </c>
      <c r="V835" s="2"/>
      <c r="W835" s="1">
        <f>fNotasFiscais[[#This Row],[Data da Coleta]]+fNotasFiscais[[#This Row],[Prazo Contratado]]</f>
        <v>43372</v>
      </c>
      <c r="X835" s="3">
        <f>IF(fNotasFiscais[[#This Row],[Data da Entrega]]&gt;fNotasFiscais[[#This Row],[Data Contratada]],0,1)</f>
        <v>1</v>
      </c>
      <c r="Y835" s="3">
        <f>IF(fNotasFiscais[[#This Row],[Ocorrência]]="",1,0)</f>
        <v>1</v>
      </c>
      <c r="Z835" s="2">
        <f>fNotasFiscais[[#This Row],[On Time]]*fNotasFiscais[[#This Row],[In Full]]</f>
        <v>1</v>
      </c>
      <c r="AA835">
        <f>IF(fNotasFiscais[[#This Row],[Nota Fiscal]]&lt;&gt;"",1,0)</f>
        <v>1</v>
      </c>
    </row>
    <row r="836" spans="1:27" x14ac:dyDescent="0.25">
      <c r="A836" s="1">
        <v>43362</v>
      </c>
      <c r="B836">
        <v>11245</v>
      </c>
      <c r="C836" s="2" t="s">
        <v>54</v>
      </c>
      <c r="D836" s="2" t="s">
        <v>55</v>
      </c>
      <c r="E836" s="2" t="s">
        <v>56</v>
      </c>
      <c r="F836">
        <v>4122</v>
      </c>
      <c r="G836" s="2" t="s">
        <v>205</v>
      </c>
      <c r="H836" s="2" t="s">
        <v>173</v>
      </c>
      <c r="I836" s="2" t="s">
        <v>174</v>
      </c>
      <c r="J836" s="2" t="s">
        <v>175</v>
      </c>
      <c r="K836" s="2" t="s">
        <v>174</v>
      </c>
      <c r="L836">
        <v>2029.89</v>
      </c>
      <c r="M836">
        <v>8</v>
      </c>
      <c r="N836">
        <v>38.06</v>
      </c>
      <c r="O836">
        <v>6700091</v>
      </c>
      <c r="P836" s="2" t="s">
        <v>176</v>
      </c>
      <c r="Q836" s="2" t="s">
        <v>173</v>
      </c>
      <c r="R836" s="2" t="s">
        <v>30</v>
      </c>
      <c r="S836">
        <v>11</v>
      </c>
      <c r="T836" s="1">
        <v>43363</v>
      </c>
      <c r="U836" s="1">
        <v>43367</v>
      </c>
      <c r="V836" s="2"/>
      <c r="W836" s="1">
        <f>fNotasFiscais[[#This Row],[Data da Coleta]]+fNotasFiscais[[#This Row],[Prazo Contratado]]</f>
        <v>43374</v>
      </c>
      <c r="X836" s="3">
        <f>IF(fNotasFiscais[[#This Row],[Data da Entrega]]&gt;fNotasFiscais[[#This Row],[Data Contratada]],0,1)</f>
        <v>1</v>
      </c>
      <c r="Y836" s="3">
        <f>IF(fNotasFiscais[[#This Row],[Ocorrência]]="",1,0)</f>
        <v>1</v>
      </c>
      <c r="Z836" s="2">
        <f>fNotasFiscais[[#This Row],[On Time]]*fNotasFiscais[[#This Row],[In Full]]</f>
        <v>1</v>
      </c>
      <c r="AA836">
        <f>IF(fNotasFiscais[[#This Row],[Nota Fiscal]]&lt;&gt;"",1,0)</f>
        <v>1</v>
      </c>
    </row>
    <row r="837" spans="1:27" x14ac:dyDescent="0.25">
      <c r="A837" s="1">
        <v>43362</v>
      </c>
      <c r="B837">
        <v>11246</v>
      </c>
      <c r="C837" s="2" t="s">
        <v>31</v>
      </c>
      <c r="D837" s="2" t="s">
        <v>32</v>
      </c>
      <c r="E837" s="2" t="s">
        <v>33</v>
      </c>
      <c r="F837">
        <v>4012</v>
      </c>
      <c r="G837" s="2" t="s">
        <v>25</v>
      </c>
      <c r="H837" s="2" t="s">
        <v>26</v>
      </c>
      <c r="I837" s="2" t="s">
        <v>27</v>
      </c>
      <c r="J837" s="2" t="s">
        <v>28</v>
      </c>
      <c r="K837" s="2" t="s">
        <v>27</v>
      </c>
      <c r="L837">
        <v>726.85</v>
      </c>
      <c r="M837">
        <v>1</v>
      </c>
      <c r="N837">
        <v>5.28</v>
      </c>
      <c r="O837">
        <v>6500948</v>
      </c>
      <c r="P837" s="2" t="s">
        <v>29</v>
      </c>
      <c r="Q837" s="2" t="s">
        <v>23</v>
      </c>
      <c r="R837" s="2" t="s">
        <v>30</v>
      </c>
      <c r="S837">
        <v>1</v>
      </c>
      <c r="T837" s="1">
        <v>43363</v>
      </c>
      <c r="U837" s="1">
        <v>43371</v>
      </c>
      <c r="V837" s="2"/>
      <c r="W837" s="1">
        <f>fNotasFiscais[[#This Row],[Data da Coleta]]+fNotasFiscais[[#This Row],[Prazo Contratado]]</f>
        <v>43364</v>
      </c>
      <c r="X837" s="3">
        <f>IF(fNotasFiscais[[#This Row],[Data da Entrega]]&gt;fNotasFiscais[[#This Row],[Data Contratada]],0,1)</f>
        <v>0</v>
      </c>
      <c r="Y837" s="3">
        <f>IF(fNotasFiscais[[#This Row],[Ocorrência]]="",1,0)</f>
        <v>1</v>
      </c>
      <c r="Z837" s="2">
        <f>fNotasFiscais[[#This Row],[On Time]]*fNotasFiscais[[#This Row],[In Full]]</f>
        <v>0</v>
      </c>
      <c r="AA837">
        <f>IF(fNotasFiscais[[#This Row],[Nota Fiscal]]&lt;&gt;"",1,0)</f>
        <v>1</v>
      </c>
    </row>
    <row r="838" spans="1:27" x14ac:dyDescent="0.25">
      <c r="A838" s="1">
        <v>43363</v>
      </c>
      <c r="B838">
        <v>11247</v>
      </c>
      <c r="C838" s="2" t="s">
        <v>22</v>
      </c>
      <c r="D838" s="2" t="s">
        <v>23</v>
      </c>
      <c r="E838" s="2" t="s">
        <v>24</v>
      </c>
      <c r="F838">
        <v>4041</v>
      </c>
      <c r="G838" s="2" t="s">
        <v>83</v>
      </c>
      <c r="H838" s="2" t="s">
        <v>51</v>
      </c>
      <c r="I838" s="2" t="s">
        <v>73</v>
      </c>
      <c r="J838" s="2" t="s">
        <v>49</v>
      </c>
      <c r="K838" s="2" t="s">
        <v>73</v>
      </c>
      <c r="L838">
        <v>6564.33</v>
      </c>
      <c r="M838">
        <v>39</v>
      </c>
      <c r="N838">
        <v>145.268</v>
      </c>
      <c r="O838">
        <v>6100231</v>
      </c>
      <c r="P838" s="2" t="s">
        <v>50</v>
      </c>
      <c r="Q838" s="2" t="s">
        <v>51</v>
      </c>
      <c r="R838" s="2" t="s">
        <v>30</v>
      </c>
      <c r="S838">
        <v>3</v>
      </c>
      <c r="T838" s="1">
        <v>43364</v>
      </c>
      <c r="U838" s="1">
        <v>43365</v>
      </c>
      <c r="V838" s="2" t="s">
        <v>42</v>
      </c>
      <c r="W838" s="1">
        <f>fNotasFiscais[[#This Row],[Data da Coleta]]+fNotasFiscais[[#This Row],[Prazo Contratado]]</f>
        <v>43367</v>
      </c>
      <c r="X838" s="3">
        <f>IF(fNotasFiscais[[#This Row],[Data da Entrega]]&gt;fNotasFiscais[[#This Row],[Data Contratada]],0,1)</f>
        <v>1</v>
      </c>
      <c r="Y838" s="3">
        <f>IF(fNotasFiscais[[#This Row],[Ocorrência]]="",1,0)</f>
        <v>0</v>
      </c>
      <c r="Z838" s="2">
        <f>fNotasFiscais[[#This Row],[On Time]]*fNotasFiscais[[#This Row],[In Full]]</f>
        <v>0</v>
      </c>
      <c r="AA838">
        <f>IF(fNotasFiscais[[#This Row],[Nota Fiscal]]&lt;&gt;"",1,0)</f>
        <v>1</v>
      </c>
    </row>
    <row r="839" spans="1:27" x14ac:dyDescent="0.25">
      <c r="A839" s="1">
        <v>43363</v>
      </c>
      <c r="B839">
        <v>11248</v>
      </c>
      <c r="C839" s="2" t="s">
        <v>22</v>
      </c>
      <c r="D839" s="2" t="s">
        <v>23</v>
      </c>
      <c r="E839" s="2" t="s">
        <v>24</v>
      </c>
      <c r="F839">
        <v>4041</v>
      </c>
      <c r="G839" s="2" t="s">
        <v>83</v>
      </c>
      <c r="H839" s="2" t="s">
        <v>51</v>
      </c>
      <c r="I839" s="2" t="s">
        <v>73</v>
      </c>
      <c r="J839" s="2" t="s">
        <v>49</v>
      </c>
      <c r="K839" s="2" t="s">
        <v>73</v>
      </c>
      <c r="L839">
        <v>8923.43</v>
      </c>
      <c r="M839">
        <v>1</v>
      </c>
      <c r="N839">
        <v>1.1200000000000001</v>
      </c>
      <c r="O839">
        <v>6100231</v>
      </c>
      <c r="P839" s="2" t="s">
        <v>50</v>
      </c>
      <c r="Q839" s="2" t="s">
        <v>51</v>
      </c>
      <c r="R839" s="2" t="s">
        <v>30</v>
      </c>
      <c r="S839">
        <v>6</v>
      </c>
      <c r="T839" s="1">
        <v>43364</v>
      </c>
      <c r="U839" s="1">
        <v>43366</v>
      </c>
      <c r="V839" s="2"/>
      <c r="W839" s="1">
        <f>fNotasFiscais[[#This Row],[Data da Coleta]]+fNotasFiscais[[#This Row],[Prazo Contratado]]</f>
        <v>43370</v>
      </c>
      <c r="X839" s="3">
        <f>IF(fNotasFiscais[[#This Row],[Data da Entrega]]&gt;fNotasFiscais[[#This Row],[Data Contratada]],0,1)</f>
        <v>1</v>
      </c>
      <c r="Y839" s="3">
        <f>IF(fNotasFiscais[[#This Row],[Ocorrência]]="",1,0)</f>
        <v>1</v>
      </c>
      <c r="Z839" s="2">
        <f>fNotasFiscais[[#This Row],[On Time]]*fNotasFiscais[[#This Row],[In Full]]</f>
        <v>1</v>
      </c>
      <c r="AA839">
        <f>IF(fNotasFiscais[[#This Row],[Nota Fiscal]]&lt;&gt;"",1,0)</f>
        <v>1</v>
      </c>
    </row>
    <row r="840" spans="1:27" x14ac:dyDescent="0.25">
      <c r="A840" s="1">
        <v>43363</v>
      </c>
      <c r="B840">
        <v>11249</v>
      </c>
      <c r="C840" s="2" t="s">
        <v>22</v>
      </c>
      <c r="D840" s="2" t="s">
        <v>23</v>
      </c>
      <c r="E840" s="2" t="s">
        <v>24</v>
      </c>
      <c r="F840">
        <v>4041</v>
      </c>
      <c r="G840" s="2" t="s">
        <v>83</v>
      </c>
      <c r="H840" s="2" t="s">
        <v>51</v>
      </c>
      <c r="I840" s="2" t="s">
        <v>73</v>
      </c>
      <c r="J840" s="2" t="s">
        <v>49</v>
      </c>
      <c r="K840" s="2" t="s">
        <v>73</v>
      </c>
      <c r="L840">
        <v>53.34</v>
      </c>
      <c r="M840">
        <v>1</v>
      </c>
      <c r="N840">
        <v>0.433</v>
      </c>
      <c r="O840">
        <v>6100231</v>
      </c>
      <c r="P840" s="2" t="s">
        <v>50</v>
      </c>
      <c r="Q840" s="2" t="s">
        <v>51</v>
      </c>
      <c r="R840" s="2" t="s">
        <v>30</v>
      </c>
      <c r="S840">
        <v>6</v>
      </c>
      <c r="T840" s="1">
        <v>43364</v>
      </c>
      <c r="U840" s="1">
        <v>43373</v>
      </c>
      <c r="V840" s="2" t="s">
        <v>42</v>
      </c>
      <c r="W840" s="1">
        <f>fNotasFiscais[[#This Row],[Data da Coleta]]+fNotasFiscais[[#This Row],[Prazo Contratado]]</f>
        <v>43370</v>
      </c>
      <c r="X840" s="3">
        <f>IF(fNotasFiscais[[#This Row],[Data da Entrega]]&gt;fNotasFiscais[[#This Row],[Data Contratada]],0,1)</f>
        <v>0</v>
      </c>
      <c r="Y840" s="3">
        <f>IF(fNotasFiscais[[#This Row],[Ocorrência]]="",1,0)</f>
        <v>0</v>
      </c>
      <c r="Z840" s="2">
        <f>fNotasFiscais[[#This Row],[On Time]]*fNotasFiscais[[#This Row],[In Full]]</f>
        <v>0</v>
      </c>
      <c r="AA840">
        <f>IF(fNotasFiscais[[#This Row],[Nota Fiscal]]&lt;&gt;"",1,0)</f>
        <v>1</v>
      </c>
    </row>
    <row r="841" spans="1:27" x14ac:dyDescent="0.25">
      <c r="A841" s="1">
        <v>43363</v>
      </c>
      <c r="B841">
        <v>11250</v>
      </c>
      <c r="C841" s="2" t="s">
        <v>54</v>
      </c>
      <c r="D841" s="2" t="s">
        <v>55</v>
      </c>
      <c r="E841" s="2" t="s">
        <v>56</v>
      </c>
      <c r="F841">
        <v>4041</v>
      </c>
      <c r="G841" s="2" t="s">
        <v>83</v>
      </c>
      <c r="H841" s="2" t="s">
        <v>51</v>
      </c>
      <c r="I841" s="2" t="s">
        <v>73</v>
      </c>
      <c r="J841" s="2" t="s">
        <v>49</v>
      </c>
      <c r="K841" s="2" t="s">
        <v>73</v>
      </c>
      <c r="L841">
        <v>132.36000000000001</v>
      </c>
      <c r="M841">
        <v>3</v>
      </c>
      <c r="N841">
        <v>4.9790000000000001</v>
      </c>
      <c r="O841">
        <v>6100231</v>
      </c>
      <c r="P841" s="2" t="s">
        <v>50</v>
      </c>
      <c r="Q841" s="2" t="s">
        <v>51</v>
      </c>
      <c r="R841" s="2" t="s">
        <v>30</v>
      </c>
      <c r="S841">
        <v>2</v>
      </c>
      <c r="T841" s="1">
        <v>43364</v>
      </c>
      <c r="U841" s="1">
        <v>43371</v>
      </c>
      <c r="V841" s="2"/>
      <c r="W841" s="1">
        <f>fNotasFiscais[[#This Row],[Data da Coleta]]+fNotasFiscais[[#This Row],[Prazo Contratado]]</f>
        <v>43366</v>
      </c>
      <c r="X841" s="3">
        <f>IF(fNotasFiscais[[#This Row],[Data da Entrega]]&gt;fNotasFiscais[[#This Row],[Data Contratada]],0,1)</f>
        <v>0</v>
      </c>
      <c r="Y841" s="3">
        <f>IF(fNotasFiscais[[#This Row],[Ocorrência]]="",1,0)</f>
        <v>1</v>
      </c>
      <c r="Z841" s="2">
        <f>fNotasFiscais[[#This Row],[On Time]]*fNotasFiscais[[#This Row],[In Full]]</f>
        <v>0</v>
      </c>
      <c r="AA841">
        <f>IF(fNotasFiscais[[#This Row],[Nota Fiscal]]&lt;&gt;"",1,0)</f>
        <v>1</v>
      </c>
    </row>
    <row r="842" spans="1:27" x14ac:dyDescent="0.25">
      <c r="A842" s="1">
        <v>43363</v>
      </c>
      <c r="B842">
        <v>11251</v>
      </c>
      <c r="C842" s="2" t="s">
        <v>54</v>
      </c>
      <c r="D842" s="2" t="s">
        <v>55</v>
      </c>
      <c r="E842" s="2" t="s">
        <v>56</v>
      </c>
      <c r="F842">
        <v>4041</v>
      </c>
      <c r="G842" s="2" t="s">
        <v>83</v>
      </c>
      <c r="H842" s="2" t="s">
        <v>51</v>
      </c>
      <c r="I842" s="2" t="s">
        <v>73</v>
      </c>
      <c r="J842" s="2" t="s">
        <v>49</v>
      </c>
      <c r="K842" s="2" t="s">
        <v>73</v>
      </c>
      <c r="L842">
        <v>280.2</v>
      </c>
      <c r="M842">
        <v>1</v>
      </c>
      <c r="N842">
        <v>0.16200000000000001</v>
      </c>
      <c r="O842">
        <v>6100231</v>
      </c>
      <c r="P842" s="2" t="s">
        <v>50</v>
      </c>
      <c r="Q842" s="2" t="s">
        <v>51</v>
      </c>
      <c r="R842" s="2" t="s">
        <v>30</v>
      </c>
      <c r="S842">
        <v>5</v>
      </c>
      <c r="T842" s="1">
        <v>43364</v>
      </c>
      <c r="U842" s="1">
        <v>43374</v>
      </c>
      <c r="V842" s="2"/>
      <c r="W842" s="1">
        <f>fNotasFiscais[[#This Row],[Data da Coleta]]+fNotasFiscais[[#This Row],[Prazo Contratado]]</f>
        <v>43369</v>
      </c>
      <c r="X842" s="3">
        <f>IF(fNotasFiscais[[#This Row],[Data da Entrega]]&gt;fNotasFiscais[[#This Row],[Data Contratada]],0,1)</f>
        <v>0</v>
      </c>
      <c r="Y842" s="3">
        <f>IF(fNotasFiscais[[#This Row],[Ocorrência]]="",1,0)</f>
        <v>1</v>
      </c>
      <c r="Z842" s="2">
        <f>fNotasFiscais[[#This Row],[On Time]]*fNotasFiscais[[#This Row],[In Full]]</f>
        <v>0</v>
      </c>
      <c r="AA842">
        <f>IF(fNotasFiscais[[#This Row],[Nota Fiscal]]&lt;&gt;"",1,0)</f>
        <v>1</v>
      </c>
    </row>
    <row r="843" spans="1:27" x14ac:dyDescent="0.25">
      <c r="A843" s="1">
        <v>43363</v>
      </c>
      <c r="B843">
        <v>11252</v>
      </c>
      <c r="C843" s="2" t="s">
        <v>52</v>
      </c>
      <c r="D843" s="2" t="s">
        <v>53</v>
      </c>
      <c r="E843" s="2" t="s">
        <v>33</v>
      </c>
      <c r="F843">
        <v>4041</v>
      </c>
      <c r="G843" s="2" t="s">
        <v>83</v>
      </c>
      <c r="H843" s="2" t="s">
        <v>51</v>
      </c>
      <c r="I843" s="2" t="s">
        <v>73</v>
      </c>
      <c r="J843" s="2" t="s">
        <v>49</v>
      </c>
      <c r="K843" s="2" t="s">
        <v>73</v>
      </c>
      <c r="L843">
        <v>5376.22</v>
      </c>
      <c r="M843">
        <v>11</v>
      </c>
      <c r="N843">
        <v>34.83</v>
      </c>
      <c r="O843">
        <v>6100231</v>
      </c>
      <c r="P843" s="2" t="s">
        <v>50</v>
      </c>
      <c r="Q843" s="2" t="s">
        <v>51</v>
      </c>
      <c r="R843" s="2" t="s">
        <v>30</v>
      </c>
      <c r="S843">
        <v>3</v>
      </c>
      <c r="T843" s="1">
        <v>43364</v>
      </c>
      <c r="U843" s="1">
        <v>43368</v>
      </c>
      <c r="V843" s="2"/>
      <c r="W843" s="1">
        <f>fNotasFiscais[[#This Row],[Data da Coleta]]+fNotasFiscais[[#This Row],[Prazo Contratado]]</f>
        <v>43367</v>
      </c>
      <c r="X843" s="3">
        <f>IF(fNotasFiscais[[#This Row],[Data da Entrega]]&gt;fNotasFiscais[[#This Row],[Data Contratada]],0,1)</f>
        <v>0</v>
      </c>
      <c r="Y843" s="3">
        <f>IF(fNotasFiscais[[#This Row],[Ocorrência]]="",1,0)</f>
        <v>1</v>
      </c>
      <c r="Z843" s="2">
        <f>fNotasFiscais[[#This Row],[On Time]]*fNotasFiscais[[#This Row],[In Full]]</f>
        <v>0</v>
      </c>
      <c r="AA843">
        <f>IF(fNotasFiscais[[#This Row],[Nota Fiscal]]&lt;&gt;"",1,0)</f>
        <v>1</v>
      </c>
    </row>
    <row r="844" spans="1:27" x14ac:dyDescent="0.25">
      <c r="A844" s="1">
        <v>43363</v>
      </c>
      <c r="B844">
        <v>11253</v>
      </c>
      <c r="C844" s="2" t="s">
        <v>34</v>
      </c>
      <c r="D844" s="2" t="s">
        <v>35</v>
      </c>
      <c r="E844" s="2" t="s">
        <v>36</v>
      </c>
      <c r="F844">
        <v>4041</v>
      </c>
      <c r="G844" s="2" t="s">
        <v>83</v>
      </c>
      <c r="H844" s="2" t="s">
        <v>51</v>
      </c>
      <c r="I844" s="2" t="s">
        <v>73</v>
      </c>
      <c r="J844" s="2" t="s">
        <v>49</v>
      </c>
      <c r="K844" s="2" t="s">
        <v>73</v>
      </c>
      <c r="L844">
        <v>1053.3900000000001</v>
      </c>
      <c r="M844">
        <v>3</v>
      </c>
      <c r="N844">
        <v>40.26</v>
      </c>
      <c r="O844">
        <v>6100231</v>
      </c>
      <c r="P844" s="2" t="s">
        <v>50</v>
      </c>
      <c r="Q844" s="2" t="s">
        <v>51</v>
      </c>
      <c r="R844" s="2" t="s">
        <v>30</v>
      </c>
      <c r="S844">
        <v>3</v>
      </c>
      <c r="T844" s="1">
        <v>43364</v>
      </c>
      <c r="U844" s="1">
        <v>43372</v>
      </c>
      <c r="V844" s="2"/>
      <c r="W844" s="1">
        <f>fNotasFiscais[[#This Row],[Data da Coleta]]+fNotasFiscais[[#This Row],[Prazo Contratado]]</f>
        <v>43367</v>
      </c>
      <c r="X844" s="3">
        <f>IF(fNotasFiscais[[#This Row],[Data da Entrega]]&gt;fNotasFiscais[[#This Row],[Data Contratada]],0,1)</f>
        <v>0</v>
      </c>
      <c r="Y844" s="3">
        <f>IF(fNotasFiscais[[#This Row],[Ocorrência]]="",1,0)</f>
        <v>1</v>
      </c>
      <c r="Z844" s="2">
        <f>fNotasFiscais[[#This Row],[On Time]]*fNotasFiscais[[#This Row],[In Full]]</f>
        <v>0</v>
      </c>
      <c r="AA844">
        <f>IF(fNotasFiscais[[#This Row],[Nota Fiscal]]&lt;&gt;"",1,0)</f>
        <v>1</v>
      </c>
    </row>
    <row r="845" spans="1:27" x14ac:dyDescent="0.25">
      <c r="A845" s="1">
        <v>43363</v>
      </c>
      <c r="B845">
        <v>11254</v>
      </c>
      <c r="C845" s="2" t="s">
        <v>40</v>
      </c>
      <c r="D845" s="2" t="s">
        <v>41</v>
      </c>
      <c r="E845" s="2" t="s">
        <v>33</v>
      </c>
      <c r="F845">
        <v>4041</v>
      </c>
      <c r="G845" s="2" t="s">
        <v>83</v>
      </c>
      <c r="H845" s="2" t="s">
        <v>51</v>
      </c>
      <c r="I845" s="2" t="s">
        <v>73</v>
      </c>
      <c r="J845" s="2" t="s">
        <v>49</v>
      </c>
      <c r="K845" s="2" t="s">
        <v>73</v>
      </c>
      <c r="L845">
        <v>683.35</v>
      </c>
      <c r="M845">
        <v>1</v>
      </c>
      <c r="N845">
        <v>5.7640000000000002</v>
      </c>
      <c r="O845">
        <v>6100231</v>
      </c>
      <c r="P845" s="2" t="s">
        <v>50</v>
      </c>
      <c r="Q845" s="2" t="s">
        <v>51</v>
      </c>
      <c r="R845" s="2" t="s">
        <v>30</v>
      </c>
      <c r="S845">
        <v>2</v>
      </c>
      <c r="T845" s="1">
        <v>43364</v>
      </c>
      <c r="U845" s="1">
        <v>43369</v>
      </c>
      <c r="V845" s="2"/>
      <c r="W845" s="1">
        <f>fNotasFiscais[[#This Row],[Data da Coleta]]+fNotasFiscais[[#This Row],[Prazo Contratado]]</f>
        <v>43366</v>
      </c>
      <c r="X845" s="3">
        <f>IF(fNotasFiscais[[#This Row],[Data da Entrega]]&gt;fNotasFiscais[[#This Row],[Data Contratada]],0,1)</f>
        <v>0</v>
      </c>
      <c r="Y845" s="3">
        <f>IF(fNotasFiscais[[#This Row],[Ocorrência]]="",1,0)</f>
        <v>1</v>
      </c>
      <c r="Z845" s="2">
        <f>fNotasFiscais[[#This Row],[On Time]]*fNotasFiscais[[#This Row],[In Full]]</f>
        <v>0</v>
      </c>
      <c r="AA845">
        <f>IF(fNotasFiscais[[#This Row],[Nota Fiscal]]&lt;&gt;"",1,0)</f>
        <v>1</v>
      </c>
    </row>
    <row r="846" spans="1:27" x14ac:dyDescent="0.25">
      <c r="A846" s="1">
        <v>43363</v>
      </c>
      <c r="B846">
        <v>11255</v>
      </c>
      <c r="C846" s="2" t="s">
        <v>43</v>
      </c>
      <c r="D846" s="2" t="s">
        <v>44</v>
      </c>
      <c r="E846" s="2" t="s">
        <v>45</v>
      </c>
      <c r="F846">
        <v>4041</v>
      </c>
      <c r="G846" s="2" t="s">
        <v>83</v>
      </c>
      <c r="H846" s="2" t="s">
        <v>51</v>
      </c>
      <c r="I846" s="2" t="s">
        <v>73</v>
      </c>
      <c r="J846" s="2" t="s">
        <v>49</v>
      </c>
      <c r="K846" s="2" t="s">
        <v>73</v>
      </c>
      <c r="L846">
        <v>2016.66</v>
      </c>
      <c r="M846">
        <v>2</v>
      </c>
      <c r="N846">
        <v>18.7</v>
      </c>
      <c r="O846">
        <v>6100231</v>
      </c>
      <c r="P846" s="2" t="s">
        <v>50</v>
      </c>
      <c r="Q846" s="2" t="s">
        <v>51</v>
      </c>
      <c r="R846" s="2" t="s">
        <v>30</v>
      </c>
      <c r="S846">
        <v>6</v>
      </c>
      <c r="T846" s="1">
        <v>43364</v>
      </c>
      <c r="U846" s="1">
        <v>43368</v>
      </c>
      <c r="V846" s="2"/>
      <c r="W846" s="1">
        <f>fNotasFiscais[[#This Row],[Data da Coleta]]+fNotasFiscais[[#This Row],[Prazo Contratado]]</f>
        <v>43370</v>
      </c>
      <c r="X846" s="3">
        <f>IF(fNotasFiscais[[#This Row],[Data da Entrega]]&gt;fNotasFiscais[[#This Row],[Data Contratada]],0,1)</f>
        <v>1</v>
      </c>
      <c r="Y846" s="3">
        <f>IF(fNotasFiscais[[#This Row],[Ocorrência]]="",1,0)</f>
        <v>1</v>
      </c>
      <c r="Z846" s="2">
        <f>fNotasFiscais[[#This Row],[On Time]]*fNotasFiscais[[#This Row],[In Full]]</f>
        <v>1</v>
      </c>
      <c r="AA846">
        <f>IF(fNotasFiscais[[#This Row],[Nota Fiscal]]&lt;&gt;"",1,0)</f>
        <v>1</v>
      </c>
    </row>
    <row r="847" spans="1:27" x14ac:dyDescent="0.25">
      <c r="A847" s="1">
        <v>43364</v>
      </c>
      <c r="B847">
        <v>11256</v>
      </c>
      <c r="C847" s="2" t="s">
        <v>54</v>
      </c>
      <c r="D847" s="2" t="s">
        <v>55</v>
      </c>
      <c r="E847" s="2" t="s">
        <v>56</v>
      </c>
      <c r="F847">
        <v>4012</v>
      </c>
      <c r="G847" s="2" t="s">
        <v>25</v>
      </c>
      <c r="H847" s="2" t="s">
        <v>26</v>
      </c>
      <c r="I847" s="2" t="s">
        <v>27</v>
      </c>
      <c r="J847" s="2" t="s">
        <v>28</v>
      </c>
      <c r="K847" s="2" t="s">
        <v>27</v>
      </c>
      <c r="L847">
        <v>345.39</v>
      </c>
      <c r="M847">
        <v>1</v>
      </c>
      <c r="N847">
        <v>2.1080000000000001</v>
      </c>
      <c r="O847">
        <v>6500948</v>
      </c>
      <c r="P847" s="2" t="s">
        <v>29</v>
      </c>
      <c r="Q847" s="2" t="s">
        <v>23</v>
      </c>
      <c r="R847" s="2" t="s">
        <v>30</v>
      </c>
      <c r="S847">
        <v>6</v>
      </c>
      <c r="T847" s="1">
        <v>43365</v>
      </c>
      <c r="U847" s="1">
        <v>43375</v>
      </c>
      <c r="V847" s="2"/>
      <c r="W847" s="1">
        <f>fNotasFiscais[[#This Row],[Data da Coleta]]+fNotasFiscais[[#This Row],[Prazo Contratado]]</f>
        <v>43371</v>
      </c>
      <c r="X847" s="3">
        <f>IF(fNotasFiscais[[#This Row],[Data da Entrega]]&gt;fNotasFiscais[[#This Row],[Data Contratada]],0,1)</f>
        <v>0</v>
      </c>
      <c r="Y847" s="3">
        <f>IF(fNotasFiscais[[#This Row],[Ocorrência]]="",1,0)</f>
        <v>1</v>
      </c>
      <c r="Z847" s="2">
        <f>fNotasFiscais[[#This Row],[On Time]]*fNotasFiscais[[#This Row],[In Full]]</f>
        <v>0</v>
      </c>
      <c r="AA847">
        <f>IF(fNotasFiscais[[#This Row],[Nota Fiscal]]&lt;&gt;"",1,0)</f>
        <v>1</v>
      </c>
    </row>
    <row r="848" spans="1:27" x14ac:dyDescent="0.25">
      <c r="A848" s="1">
        <v>43364</v>
      </c>
      <c r="B848">
        <v>11257</v>
      </c>
      <c r="C848" s="2" t="s">
        <v>52</v>
      </c>
      <c r="D848" s="2" t="s">
        <v>53</v>
      </c>
      <c r="E848" s="2" t="s">
        <v>33</v>
      </c>
      <c r="F848">
        <v>4013</v>
      </c>
      <c r="G848" s="2" t="s">
        <v>37</v>
      </c>
      <c r="H848" s="2" t="s">
        <v>38</v>
      </c>
      <c r="I848" s="2" t="s">
        <v>39</v>
      </c>
      <c r="J848" s="2" t="s">
        <v>28</v>
      </c>
      <c r="K848" s="2" t="s">
        <v>39</v>
      </c>
      <c r="L848">
        <v>578.6</v>
      </c>
      <c r="M848">
        <v>1</v>
      </c>
      <c r="N848">
        <v>4.6760000000000002</v>
      </c>
      <c r="O848">
        <v>6500948</v>
      </c>
      <c r="P848" s="2" t="s">
        <v>29</v>
      </c>
      <c r="Q848" s="2" t="s">
        <v>23</v>
      </c>
      <c r="R848" s="2" t="s">
        <v>30</v>
      </c>
      <c r="S848">
        <v>12</v>
      </c>
      <c r="T848" s="1">
        <v>43365</v>
      </c>
      <c r="U848" s="1">
        <v>43373</v>
      </c>
      <c r="V848" s="2"/>
      <c r="W848" s="1">
        <f>fNotasFiscais[[#This Row],[Data da Coleta]]+fNotasFiscais[[#This Row],[Prazo Contratado]]</f>
        <v>43377</v>
      </c>
      <c r="X848" s="3">
        <f>IF(fNotasFiscais[[#This Row],[Data da Entrega]]&gt;fNotasFiscais[[#This Row],[Data Contratada]],0,1)</f>
        <v>1</v>
      </c>
      <c r="Y848" s="3">
        <f>IF(fNotasFiscais[[#This Row],[Ocorrência]]="",1,0)</f>
        <v>1</v>
      </c>
      <c r="Z848" s="2">
        <f>fNotasFiscais[[#This Row],[On Time]]*fNotasFiscais[[#This Row],[In Full]]</f>
        <v>1</v>
      </c>
      <c r="AA848">
        <f>IF(fNotasFiscais[[#This Row],[Nota Fiscal]]&lt;&gt;"",1,0)</f>
        <v>1</v>
      </c>
    </row>
    <row r="849" spans="1:27" x14ac:dyDescent="0.25">
      <c r="A849" s="1">
        <v>43365</v>
      </c>
      <c r="B849">
        <v>11258</v>
      </c>
      <c r="C849" s="2" t="s">
        <v>22</v>
      </c>
      <c r="D849" s="2" t="s">
        <v>23</v>
      </c>
      <c r="E849" s="2" t="s">
        <v>24</v>
      </c>
      <c r="F849">
        <v>4027</v>
      </c>
      <c r="G849" s="2" t="s">
        <v>93</v>
      </c>
      <c r="H849" s="2" t="s">
        <v>91</v>
      </c>
      <c r="I849" s="2" t="s">
        <v>24</v>
      </c>
      <c r="J849" s="2" t="s">
        <v>28</v>
      </c>
      <c r="K849" s="2" t="s">
        <v>24</v>
      </c>
      <c r="L849">
        <v>2127.84</v>
      </c>
      <c r="M849">
        <v>2</v>
      </c>
      <c r="N849">
        <v>12.125999999999999</v>
      </c>
      <c r="O849">
        <v>6500948</v>
      </c>
      <c r="P849" s="2" t="s">
        <v>29</v>
      </c>
      <c r="Q849" s="2" t="s">
        <v>23</v>
      </c>
      <c r="R849" s="2" t="s">
        <v>30</v>
      </c>
      <c r="S849">
        <v>12</v>
      </c>
      <c r="T849" s="1">
        <v>43366</v>
      </c>
      <c r="U849" s="1">
        <v>43370</v>
      </c>
      <c r="V849" s="2"/>
      <c r="W849" s="1">
        <f>fNotasFiscais[[#This Row],[Data da Coleta]]+fNotasFiscais[[#This Row],[Prazo Contratado]]</f>
        <v>43378</v>
      </c>
      <c r="X849" s="3">
        <f>IF(fNotasFiscais[[#This Row],[Data da Entrega]]&gt;fNotasFiscais[[#This Row],[Data Contratada]],0,1)</f>
        <v>1</v>
      </c>
      <c r="Y849" s="3">
        <f>IF(fNotasFiscais[[#This Row],[Ocorrência]]="",1,0)</f>
        <v>1</v>
      </c>
      <c r="Z849" s="2">
        <f>fNotasFiscais[[#This Row],[On Time]]*fNotasFiscais[[#This Row],[In Full]]</f>
        <v>1</v>
      </c>
      <c r="AA849">
        <f>IF(fNotasFiscais[[#This Row],[Nota Fiscal]]&lt;&gt;"",1,0)</f>
        <v>1</v>
      </c>
    </row>
    <row r="850" spans="1:27" x14ac:dyDescent="0.25">
      <c r="A850" s="1">
        <v>43365</v>
      </c>
      <c r="B850">
        <v>11259</v>
      </c>
      <c r="C850" s="2" t="s">
        <v>52</v>
      </c>
      <c r="D850" s="2" t="s">
        <v>53</v>
      </c>
      <c r="E850" s="2" t="s">
        <v>33</v>
      </c>
      <c r="F850">
        <v>4027</v>
      </c>
      <c r="G850" s="2" t="s">
        <v>93</v>
      </c>
      <c r="H850" s="2" t="s">
        <v>91</v>
      </c>
      <c r="I850" s="2" t="s">
        <v>24</v>
      </c>
      <c r="J850" s="2" t="s">
        <v>28</v>
      </c>
      <c r="K850" s="2" t="s">
        <v>24</v>
      </c>
      <c r="L850">
        <v>3405.8</v>
      </c>
      <c r="M850">
        <v>11</v>
      </c>
      <c r="N850">
        <v>36.795000000000002</v>
      </c>
      <c r="O850">
        <v>6500948</v>
      </c>
      <c r="P850" s="2" t="s">
        <v>29</v>
      </c>
      <c r="Q850" s="2" t="s">
        <v>23</v>
      </c>
      <c r="R850" s="2" t="s">
        <v>30</v>
      </c>
      <c r="S850">
        <v>2</v>
      </c>
      <c r="T850" s="1">
        <v>43366</v>
      </c>
      <c r="U850" s="1">
        <v>43375</v>
      </c>
      <c r="V850" s="2"/>
      <c r="W850" s="1">
        <f>fNotasFiscais[[#This Row],[Data da Coleta]]+fNotasFiscais[[#This Row],[Prazo Contratado]]</f>
        <v>43368</v>
      </c>
      <c r="X850" s="3">
        <f>IF(fNotasFiscais[[#This Row],[Data da Entrega]]&gt;fNotasFiscais[[#This Row],[Data Contratada]],0,1)</f>
        <v>0</v>
      </c>
      <c r="Y850" s="3">
        <f>IF(fNotasFiscais[[#This Row],[Ocorrência]]="",1,0)</f>
        <v>1</v>
      </c>
      <c r="Z850" s="2">
        <f>fNotasFiscais[[#This Row],[On Time]]*fNotasFiscais[[#This Row],[In Full]]</f>
        <v>0</v>
      </c>
      <c r="AA850">
        <f>IF(fNotasFiscais[[#This Row],[Nota Fiscal]]&lt;&gt;"",1,0)</f>
        <v>1</v>
      </c>
    </row>
    <row r="851" spans="1:27" x14ac:dyDescent="0.25">
      <c r="A851" s="1">
        <v>43365</v>
      </c>
      <c r="B851">
        <v>11260</v>
      </c>
      <c r="C851" s="2" t="s">
        <v>40</v>
      </c>
      <c r="D851" s="2" t="s">
        <v>41</v>
      </c>
      <c r="E851" s="2" t="s">
        <v>33</v>
      </c>
      <c r="F851">
        <v>4040</v>
      </c>
      <c r="G851" s="2" t="s">
        <v>117</v>
      </c>
      <c r="H851" s="2" t="s">
        <v>47</v>
      </c>
      <c r="I851" s="2" t="s">
        <v>48</v>
      </c>
      <c r="J851" s="2" t="s">
        <v>49</v>
      </c>
      <c r="K851" s="2" t="s">
        <v>48</v>
      </c>
      <c r="L851">
        <v>658.3</v>
      </c>
      <c r="M851">
        <v>1</v>
      </c>
      <c r="N851">
        <v>4.18</v>
      </c>
      <c r="O851">
        <v>6100231</v>
      </c>
      <c r="P851" s="2" t="s">
        <v>50</v>
      </c>
      <c r="Q851" s="2" t="s">
        <v>51</v>
      </c>
      <c r="R851" s="2" t="s">
        <v>30</v>
      </c>
      <c r="S851">
        <v>1</v>
      </c>
      <c r="T851" s="1">
        <v>43366</v>
      </c>
      <c r="U851" s="1">
        <v>43373</v>
      </c>
      <c r="V851" s="2"/>
      <c r="W851" s="1">
        <f>fNotasFiscais[[#This Row],[Data da Coleta]]+fNotasFiscais[[#This Row],[Prazo Contratado]]</f>
        <v>43367</v>
      </c>
      <c r="X851" s="3">
        <f>IF(fNotasFiscais[[#This Row],[Data da Entrega]]&gt;fNotasFiscais[[#This Row],[Data Contratada]],0,1)</f>
        <v>0</v>
      </c>
      <c r="Y851" s="3">
        <f>IF(fNotasFiscais[[#This Row],[Ocorrência]]="",1,0)</f>
        <v>1</v>
      </c>
      <c r="Z851" s="2">
        <f>fNotasFiscais[[#This Row],[On Time]]*fNotasFiscais[[#This Row],[In Full]]</f>
        <v>0</v>
      </c>
      <c r="AA851">
        <f>IF(fNotasFiscais[[#This Row],[Nota Fiscal]]&lt;&gt;"",1,0)</f>
        <v>1</v>
      </c>
    </row>
    <row r="852" spans="1:27" x14ac:dyDescent="0.25">
      <c r="A852" s="1">
        <v>43365</v>
      </c>
      <c r="B852">
        <v>11261</v>
      </c>
      <c r="C852" s="2" t="s">
        <v>40</v>
      </c>
      <c r="D852" s="2" t="s">
        <v>41</v>
      </c>
      <c r="E852" s="2" t="s">
        <v>33</v>
      </c>
      <c r="F852">
        <v>4055</v>
      </c>
      <c r="G852" s="2" t="s">
        <v>120</v>
      </c>
      <c r="H852" s="2" t="s">
        <v>47</v>
      </c>
      <c r="I852" s="2" t="s">
        <v>48</v>
      </c>
      <c r="J852" s="2" t="s">
        <v>49</v>
      </c>
      <c r="K852" s="2" t="s">
        <v>48</v>
      </c>
      <c r="L852">
        <v>2037.28</v>
      </c>
      <c r="M852">
        <v>2</v>
      </c>
      <c r="N852">
        <v>18.7</v>
      </c>
      <c r="O852">
        <v>6100231</v>
      </c>
      <c r="P852" s="2" t="s">
        <v>50</v>
      </c>
      <c r="Q852" s="2" t="s">
        <v>51</v>
      </c>
      <c r="R852" s="2" t="s">
        <v>30</v>
      </c>
      <c r="S852">
        <v>9</v>
      </c>
      <c r="T852" s="1">
        <v>43366</v>
      </c>
      <c r="U852" s="1">
        <v>43376</v>
      </c>
      <c r="V852" s="2"/>
      <c r="W852" s="1">
        <f>fNotasFiscais[[#This Row],[Data da Coleta]]+fNotasFiscais[[#This Row],[Prazo Contratado]]</f>
        <v>43375</v>
      </c>
      <c r="X852" s="3">
        <f>IF(fNotasFiscais[[#This Row],[Data da Entrega]]&gt;fNotasFiscais[[#This Row],[Data Contratada]],0,1)</f>
        <v>0</v>
      </c>
      <c r="Y852" s="3">
        <f>IF(fNotasFiscais[[#This Row],[Ocorrência]]="",1,0)</f>
        <v>1</v>
      </c>
      <c r="Z852" s="2">
        <f>fNotasFiscais[[#This Row],[On Time]]*fNotasFiscais[[#This Row],[In Full]]</f>
        <v>0</v>
      </c>
      <c r="AA852">
        <f>IF(fNotasFiscais[[#This Row],[Nota Fiscal]]&lt;&gt;"",1,0)</f>
        <v>1</v>
      </c>
    </row>
    <row r="853" spans="1:27" x14ac:dyDescent="0.25">
      <c r="A853" s="1">
        <v>43365</v>
      </c>
      <c r="B853">
        <v>11262</v>
      </c>
      <c r="C853" s="2" t="s">
        <v>31</v>
      </c>
      <c r="D853" s="2" t="s">
        <v>32</v>
      </c>
      <c r="E853" s="2" t="s">
        <v>33</v>
      </c>
      <c r="F853">
        <v>4062</v>
      </c>
      <c r="G853" s="2" t="s">
        <v>96</v>
      </c>
      <c r="H853" s="2" t="s">
        <v>97</v>
      </c>
      <c r="I853" s="2" t="s">
        <v>48</v>
      </c>
      <c r="J853" s="2" t="s">
        <v>49</v>
      </c>
      <c r="K853" s="2" t="s">
        <v>48</v>
      </c>
      <c r="L853">
        <v>4950.83</v>
      </c>
      <c r="M853">
        <v>10</v>
      </c>
      <c r="N853">
        <v>19.324000000000002</v>
      </c>
      <c r="O853">
        <v>6100231</v>
      </c>
      <c r="P853" s="2" t="s">
        <v>50</v>
      </c>
      <c r="Q853" s="2" t="s">
        <v>51</v>
      </c>
      <c r="R853" s="2" t="s">
        <v>30</v>
      </c>
      <c r="S853">
        <v>3</v>
      </c>
      <c r="T853" s="1">
        <v>43366</v>
      </c>
      <c r="U853" s="1">
        <v>43371</v>
      </c>
      <c r="V853" s="2"/>
      <c r="W853" s="1">
        <f>fNotasFiscais[[#This Row],[Data da Coleta]]+fNotasFiscais[[#This Row],[Prazo Contratado]]</f>
        <v>43369</v>
      </c>
      <c r="X853" s="3">
        <f>IF(fNotasFiscais[[#This Row],[Data da Entrega]]&gt;fNotasFiscais[[#This Row],[Data Contratada]],0,1)</f>
        <v>0</v>
      </c>
      <c r="Y853" s="3">
        <f>IF(fNotasFiscais[[#This Row],[Ocorrência]]="",1,0)</f>
        <v>1</v>
      </c>
      <c r="Z853" s="2">
        <f>fNotasFiscais[[#This Row],[On Time]]*fNotasFiscais[[#This Row],[In Full]]</f>
        <v>0</v>
      </c>
      <c r="AA853">
        <f>IF(fNotasFiscais[[#This Row],[Nota Fiscal]]&lt;&gt;"",1,0)</f>
        <v>1</v>
      </c>
    </row>
    <row r="854" spans="1:27" x14ac:dyDescent="0.25">
      <c r="A854" s="1">
        <v>43365</v>
      </c>
      <c r="B854">
        <v>11263</v>
      </c>
      <c r="C854" s="2" t="s">
        <v>22</v>
      </c>
      <c r="D854" s="2" t="s">
        <v>23</v>
      </c>
      <c r="E854" s="2" t="s">
        <v>24</v>
      </c>
      <c r="F854">
        <v>4028</v>
      </c>
      <c r="G854" s="2" t="s">
        <v>95</v>
      </c>
      <c r="H854" s="2" t="s">
        <v>26</v>
      </c>
      <c r="I854" s="2" t="s">
        <v>27</v>
      </c>
      <c r="J854" s="2" t="s">
        <v>28</v>
      </c>
      <c r="K854" s="2" t="s">
        <v>27</v>
      </c>
      <c r="L854">
        <v>1024.05</v>
      </c>
      <c r="M854">
        <v>1</v>
      </c>
      <c r="N854">
        <v>9.35</v>
      </c>
      <c r="O854">
        <v>6500948</v>
      </c>
      <c r="P854" s="2" t="s">
        <v>29</v>
      </c>
      <c r="Q854" s="2" t="s">
        <v>23</v>
      </c>
      <c r="R854" s="2" t="s">
        <v>30</v>
      </c>
      <c r="S854">
        <v>10</v>
      </c>
      <c r="T854" s="1">
        <v>43366</v>
      </c>
      <c r="U854" s="1">
        <v>43370</v>
      </c>
      <c r="V854" s="2"/>
      <c r="W854" s="1">
        <f>fNotasFiscais[[#This Row],[Data da Coleta]]+fNotasFiscais[[#This Row],[Prazo Contratado]]</f>
        <v>43376</v>
      </c>
      <c r="X854" s="3">
        <f>IF(fNotasFiscais[[#This Row],[Data da Entrega]]&gt;fNotasFiscais[[#This Row],[Data Contratada]],0,1)</f>
        <v>1</v>
      </c>
      <c r="Y854" s="3">
        <f>IF(fNotasFiscais[[#This Row],[Ocorrência]]="",1,0)</f>
        <v>1</v>
      </c>
      <c r="Z854" s="2">
        <f>fNotasFiscais[[#This Row],[On Time]]*fNotasFiscais[[#This Row],[In Full]]</f>
        <v>1</v>
      </c>
      <c r="AA854">
        <f>IF(fNotasFiscais[[#This Row],[Nota Fiscal]]&lt;&gt;"",1,0)</f>
        <v>1</v>
      </c>
    </row>
    <row r="855" spans="1:27" x14ac:dyDescent="0.25">
      <c r="A855" s="1">
        <v>43365</v>
      </c>
      <c r="B855">
        <v>11264</v>
      </c>
      <c r="C855" s="2" t="s">
        <v>40</v>
      </c>
      <c r="D855" s="2" t="s">
        <v>41</v>
      </c>
      <c r="E855" s="2" t="s">
        <v>33</v>
      </c>
      <c r="F855">
        <v>4028</v>
      </c>
      <c r="G855" s="2" t="s">
        <v>95</v>
      </c>
      <c r="H855" s="2" t="s">
        <v>26</v>
      </c>
      <c r="I855" s="2" t="s">
        <v>27</v>
      </c>
      <c r="J855" s="2" t="s">
        <v>28</v>
      </c>
      <c r="K855" s="2" t="s">
        <v>27</v>
      </c>
      <c r="L855">
        <v>1750.9</v>
      </c>
      <c r="M855">
        <v>2</v>
      </c>
      <c r="N855">
        <v>14.63</v>
      </c>
      <c r="O855">
        <v>6500948</v>
      </c>
      <c r="P855" s="2" t="s">
        <v>29</v>
      </c>
      <c r="Q855" s="2" t="s">
        <v>23</v>
      </c>
      <c r="R855" s="2" t="s">
        <v>30</v>
      </c>
      <c r="S855">
        <v>12</v>
      </c>
      <c r="T855" s="1">
        <v>43366</v>
      </c>
      <c r="U855" s="1">
        <v>43376</v>
      </c>
      <c r="V855" s="2"/>
      <c r="W855" s="1">
        <f>fNotasFiscais[[#This Row],[Data da Coleta]]+fNotasFiscais[[#This Row],[Prazo Contratado]]</f>
        <v>43378</v>
      </c>
      <c r="X855" s="3">
        <f>IF(fNotasFiscais[[#This Row],[Data da Entrega]]&gt;fNotasFiscais[[#This Row],[Data Contratada]],0,1)</f>
        <v>1</v>
      </c>
      <c r="Y855" s="3">
        <f>IF(fNotasFiscais[[#This Row],[Ocorrência]]="",1,0)</f>
        <v>1</v>
      </c>
      <c r="Z855" s="2">
        <f>fNotasFiscais[[#This Row],[On Time]]*fNotasFiscais[[#This Row],[In Full]]</f>
        <v>1</v>
      </c>
      <c r="AA855">
        <f>IF(fNotasFiscais[[#This Row],[Nota Fiscal]]&lt;&gt;"",1,0)</f>
        <v>1</v>
      </c>
    </row>
    <row r="856" spans="1:27" x14ac:dyDescent="0.25">
      <c r="A856" s="1">
        <v>43365</v>
      </c>
      <c r="B856">
        <v>11265</v>
      </c>
      <c r="C856" s="2" t="s">
        <v>22</v>
      </c>
      <c r="D856" s="2" t="s">
        <v>23</v>
      </c>
      <c r="E856" s="2" t="s">
        <v>24</v>
      </c>
      <c r="F856">
        <v>4022</v>
      </c>
      <c r="G856" s="2" t="s">
        <v>86</v>
      </c>
      <c r="H856" s="2" t="s">
        <v>87</v>
      </c>
      <c r="I856" s="2" t="s">
        <v>27</v>
      </c>
      <c r="J856" s="2" t="s">
        <v>28</v>
      </c>
      <c r="K856" s="2" t="s">
        <v>27</v>
      </c>
      <c r="L856">
        <v>1926.64</v>
      </c>
      <c r="M856">
        <v>2</v>
      </c>
      <c r="N856">
        <v>9.7829999999999995</v>
      </c>
      <c r="O856">
        <v>6500948</v>
      </c>
      <c r="P856" s="2" t="s">
        <v>29</v>
      </c>
      <c r="Q856" s="2" t="s">
        <v>23</v>
      </c>
      <c r="R856" s="2" t="s">
        <v>30</v>
      </c>
      <c r="S856">
        <v>4</v>
      </c>
      <c r="T856" s="1">
        <v>43366</v>
      </c>
      <c r="U856" s="1">
        <v>43373</v>
      </c>
      <c r="V856" s="2"/>
      <c r="W856" s="1">
        <f>fNotasFiscais[[#This Row],[Data da Coleta]]+fNotasFiscais[[#This Row],[Prazo Contratado]]</f>
        <v>43370</v>
      </c>
      <c r="X856" s="3">
        <f>IF(fNotasFiscais[[#This Row],[Data da Entrega]]&gt;fNotasFiscais[[#This Row],[Data Contratada]],0,1)</f>
        <v>0</v>
      </c>
      <c r="Y856" s="3">
        <f>IF(fNotasFiscais[[#This Row],[Ocorrência]]="",1,0)</f>
        <v>1</v>
      </c>
      <c r="Z856" s="2">
        <f>fNotasFiscais[[#This Row],[On Time]]*fNotasFiscais[[#This Row],[In Full]]</f>
        <v>0</v>
      </c>
      <c r="AA856">
        <f>IF(fNotasFiscais[[#This Row],[Nota Fiscal]]&lt;&gt;"",1,0)</f>
        <v>1</v>
      </c>
    </row>
    <row r="857" spans="1:27" x14ac:dyDescent="0.25">
      <c r="A857" s="1">
        <v>43365</v>
      </c>
      <c r="B857">
        <v>11266</v>
      </c>
      <c r="C857" s="2" t="s">
        <v>40</v>
      </c>
      <c r="D857" s="2" t="s">
        <v>41</v>
      </c>
      <c r="E857" s="2" t="s">
        <v>33</v>
      </c>
      <c r="F857">
        <v>4040</v>
      </c>
      <c r="G857" s="2" t="s">
        <v>117</v>
      </c>
      <c r="H857" s="2" t="s">
        <v>47</v>
      </c>
      <c r="I857" s="2" t="s">
        <v>48</v>
      </c>
      <c r="J857" s="2" t="s">
        <v>49</v>
      </c>
      <c r="K857" s="2" t="s">
        <v>48</v>
      </c>
      <c r="L857">
        <v>400.56</v>
      </c>
      <c r="M857">
        <v>1</v>
      </c>
      <c r="N857">
        <v>0.749</v>
      </c>
      <c r="O857">
        <v>6100231</v>
      </c>
      <c r="P857" s="2" t="s">
        <v>50</v>
      </c>
      <c r="Q857" s="2" t="s">
        <v>51</v>
      </c>
      <c r="R857" s="2" t="s">
        <v>30</v>
      </c>
      <c r="S857">
        <v>10</v>
      </c>
      <c r="T857" s="1">
        <v>43366</v>
      </c>
      <c r="U857" s="1">
        <v>43376</v>
      </c>
      <c r="V857" s="2"/>
      <c r="W857" s="1">
        <f>fNotasFiscais[[#This Row],[Data da Coleta]]+fNotasFiscais[[#This Row],[Prazo Contratado]]</f>
        <v>43376</v>
      </c>
      <c r="X857" s="3">
        <f>IF(fNotasFiscais[[#This Row],[Data da Entrega]]&gt;fNotasFiscais[[#This Row],[Data Contratada]],0,1)</f>
        <v>1</v>
      </c>
      <c r="Y857" s="3">
        <f>IF(fNotasFiscais[[#This Row],[Ocorrência]]="",1,0)</f>
        <v>1</v>
      </c>
      <c r="Z857" s="2">
        <f>fNotasFiscais[[#This Row],[On Time]]*fNotasFiscais[[#This Row],[In Full]]</f>
        <v>1</v>
      </c>
      <c r="AA857">
        <f>IF(fNotasFiscais[[#This Row],[Nota Fiscal]]&lt;&gt;"",1,0)</f>
        <v>1</v>
      </c>
    </row>
    <row r="858" spans="1:27" x14ac:dyDescent="0.25">
      <c r="A858" s="1">
        <v>43365</v>
      </c>
      <c r="B858">
        <v>11267</v>
      </c>
      <c r="C858" s="2" t="s">
        <v>52</v>
      </c>
      <c r="D858" s="2" t="s">
        <v>53</v>
      </c>
      <c r="E858" s="2" t="s">
        <v>33</v>
      </c>
      <c r="F858">
        <v>4055</v>
      </c>
      <c r="G858" s="2" t="s">
        <v>120</v>
      </c>
      <c r="H858" s="2" t="s">
        <v>47</v>
      </c>
      <c r="I858" s="2" t="s">
        <v>48</v>
      </c>
      <c r="J858" s="2" t="s">
        <v>49</v>
      </c>
      <c r="K858" s="2" t="s">
        <v>48</v>
      </c>
      <c r="L858">
        <v>3131.03</v>
      </c>
      <c r="M858">
        <v>3</v>
      </c>
      <c r="N858">
        <v>23.364000000000001</v>
      </c>
      <c r="O858">
        <v>6100231</v>
      </c>
      <c r="P858" s="2" t="s">
        <v>50</v>
      </c>
      <c r="Q858" s="2" t="s">
        <v>51</v>
      </c>
      <c r="R858" s="2" t="s">
        <v>30</v>
      </c>
      <c r="S858">
        <v>12</v>
      </c>
      <c r="T858" s="1">
        <v>43366</v>
      </c>
      <c r="U858" s="1">
        <v>43371</v>
      </c>
      <c r="V858" s="2"/>
      <c r="W858" s="1">
        <f>fNotasFiscais[[#This Row],[Data da Coleta]]+fNotasFiscais[[#This Row],[Prazo Contratado]]</f>
        <v>43378</v>
      </c>
      <c r="X858" s="3">
        <f>IF(fNotasFiscais[[#This Row],[Data da Entrega]]&gt;fNotasFiscais[[#This Row],[Data Contratada]],0,1)</f>
        <v>1</v>
      </c>
      <c r="Y858" s="3">
        <f>IF(fNotasFiscais[[#This Row],[Ocorrência]]="",1,0)</f>
        <v>1</v>
      </c>
      <c r="Z858" s="2">
        <f>fNotasFiscais[[#This Row],[On Time]]*fNotasFiscais[[#This Row],[In Full]]</f>
        <v>1</v>
      </c>
      <c r="AA858">
        <f>IF(fNotasFiscais[[#This Row],[Nota Fiscal]]&lt;&gt;"",1,0)</f>
        <v>1</v>
      </c>
    </row>
    <row r="859" spans="1:27" x14ac:dyDescent="0.25">
      <c r="A859" s="1">
        <v>43365</v>
      </c>
      <c r="B859">
        <v>11268</v>
      </c>
      <c r="C859" s="2" t="s">
        <v>34</v>
      </c>
      <c r="D859" s="2" t="s">
        <v>35</v>
      </c>
      <c r="E859" s="2" t="s">
        <v>36</v>
      </c>
      <c r="F859">
        <v>4062</v>
      </c>
      <c r="G859" s="2" t="s">
        <v>96</v>
      </c>
      <c r="H859" s="2" t="s">
        <v>97</v>
      </c>
      <c r="I859" s="2" t="s">
        <v>48</v>
      </c>
      <c r="J859" s="2" t="s">
        <v>49</v>
      </c>
      <c r="K859" s="2" t="s">
        <v>48</v>
      </c>
      <c r="L859">
        <v>641.69000000000005</v>
      </c>
      <c r="M859">
        <v>4</v>
      </c>
      <c r="N859">
        <v>19.71</v>
      </c>
      <c r="O859">
        <v>6100231</v>
      </c>
      <c r="P859" s="2" t="s">
        <v>50</v>
      </c>
      <c r="Q859" s="2" t="s">
        <v>51</v>
      </c>
      <c r="R859" s="2" t="s">
        <v>30</v>
      </c>
      <c r="S859">
        <v>8</v>
      </c>
      <c r="T859" s="1">
        <v>43366</v>
      </c>
      <c r="U859" s="1">
        <v>43373</v>
      </c>
      <c r="V859" s="2"/>
      <c r="W859" s="1">
        <f>fNotasFiscais[[#This Row],[Data da Coleta]]+fNotasFiscais[[#This Row],[Prazo Contratado]]</f>
        <v>43374</v>
      </c>
      <c r="X859" s="3">
        <f>IF(fNotasFiscais[[#This Row],[Data da Entrega]]&gt;fNotasFiscais[[#This Row],[Data Contratada]],0,1)</f>
        <v>1</v>
      </c>
      <c r="Y859" s="3">
        <f>IF(fNotasFiscais[[#This Row],[Ocorrência]]="",1,0)</f>
        <v>1</v>
      </c>
      <c r="Z859" s="2">
        <f>fNotasFiscais[[#This Row],[On Time]]*fNotasFiscais[[#This Row],[In Full]]</f>
        <v>1</v>
      </c>
      <c r="AA859">
        <f>IF(fNotasFiscais[[#This Row],[Nota Fiscal]]&lt;&gt;"",1,0)</f>
        <v>1</v>
      </c>
    </row>
    <row r="860" spans="1:27" x14ac:dyDescent="0.25">
      <c r="A860" s="1">
        <v>43365</v>
      </c>
      <c r="B860">
        <v>11269</v>
      </c>
      <c r="C860" s="2" t="s">
        <v>40</v>
      </c>
      <c r="D860" s="2" t="s">
        <v>41</v>
      </c>
      <c r="E860" s="2" t="s">
        <v>33</v>
      </c>
      <c r="F860">
        <v>4030</v>
      </c>
      <c r="G860" s="2" t="s">
        <v>102</v>
      </c>
      <c r="H860" s="2" t="s">
        <v>35</v>
      </c>
      <c r="I860" s="2" t="s">
        <v>36</v>
      </c>
      <c r="J860" s="2" t="s">
        <v>60</v>
      </c>
      <c r="K860" s="2" t="s">
        <v>36</v>
      </c>
      <c r="L860">
        <v>219.4</v>
      </c>
      <c r="M860">
        <v>1</v>
      </c>
      <c r="N860">
        <v>1.1200000000000001</v>
      </c>
      <c r="O860">
        <v>6600879</v>
      </c>
      <c r="P860" s="2" t="s">
        <v>61</v>
      </c>
      <c r="Q860" s="2" t="s">
        <v>35</v>
      </c>
      <c r="R860" s="2" t="s">
        <v>30</v>
      </c>
      <c r="S860">
        <v>5</v>
      </c>
      <c r="T860" s="1">
        <v>43366</v>
      </c>
      <c r="U860" s="1">
        <v>43376</v>
      </c>
      <c r="V860" s="2"/>
      <c r="W860" s="1">
        <f>fNotasFiscais[[#This Row],[Data da Coleta]]+fNotasFiscais[[#This Row],[Prazo Contratado]]</f>
        <v>43371</v>
      </c>
      <c r="X860" s="3">
        <f>IF(fNotasFiscais[[#This Row],[Data da Entrega]]&gt;fNotasFiscais[[#This Row],[Data Contratada]],0,1)</f>
        <v>0</v>
      </c>
      <c r="Y860" s="3">
        <f>IF(fNotasFiscais[[#This Row],[Ocorrência]]="",1,0)</f>
        <v>1</v>
      </c>
      <c r="Z860" s="2">
        <f>fNotasFiscais[[#This Row],[On Time]]*fNotasFiscais[[#This Row],[In Full]]</f>
        <v>0</v>
      </c>
      <c r="AA860">
        <f>IF(fNotasFiscais[[#This Row],[Nota Fiscal]]&lt;&gt;"",1,0)</f>
        <v>1</v>
      </c>
    </row>
    <row r="861" spans="1:27" x14ac:dyDescent="0.25">
      <c r="A861" s="1">
        <v>43365</v>
      </c>
      <c r="B861">
        <v>11270</v>
      </c>
      <c r="C861" s="2" t="s">
        <v>54</v>
      </c>
      <c r="D861" s="2" t="s">
        <v>55</v>
      </c>
      <c r="E861" s="2" t="s">
        <v>56</v>
      </c>
      <c r="F861">
        <v>4030</v>
      </c>
      <c r="G861" s="2" t="s">
        <v>102</v>
      </c>
      <c r="H861" s="2" t="s">
        <v>35</v>
      </c>
      <c r="I861" s="2" t="s">
        <v>36</v>
      </c>
      <c r="J861" s="2" t="s">
        <v>60</v>
      </c>
      <c r="K861" s="2" t="s">
        <v>36</v>
      </c>
      <c r="L861">
        <v>53.3</v>
      </c>
      <c r="M861">
        <v>1</v>
      </c>
      <c r="N861">
        <v>3.3000000000000002E-2</v>
      </c>
      <c r="O861">
        <v>6600879</v>
      </c>
      <c r="P861" s="2" t="s">
        <v>61</v>
      </c>
      <c r="Q861" s="2" t="s">
        <v>35</v>
      </c>
      <c r="R861" s="2" t="s">
        <v>30</v>
      </c>
      <c r="S861">
        <v>7</v>
      </c>
      <c r="T861" s="1">
        <v>43366</v>
      </c>
      <c r="U861" s="1">
        <v>43369</v>
      </c>
      <c r="V861" s="2"/>
      <c r="W861" s="1">
        <f>fNotasFiscais[[#This Row],[Data da Coleta]]+fNotasFiscais[[#This Row],[Prazo Contratado]]</f>
        <v>43373</v>
      </c>
      <c r="X861" s="3">
        <f>IF(fNotasFiscais[[#This Row],[Data da Entrega]]&gt;fNotasFiscais[[#This Row],[Data Contratada]],0,1)</f>
        <v>1</v>
      </c>
      <c r="Y861" s="3">
        <f>IF(fNotasFiscais[[#This Row],[Ocorrência]]="",1,0)</f>
        <v>1</v>
      </c>
      <c r="Z861" s="2">
        <f>fNotasFiscais[[#This Row],[On Time]]*fNotasFiscais[[#This Row],[In Full]]</f>
        <v>1</v>
      </c>
      <c r="AA861">
        <f>IF(fNotasFiscais[[#This Row],[Nota Fiscal]]&lt;&gt;"",1,0)</f>
        <v>1</v>
      </c>
    </row>
    <row r="862" spans="1:27" x14ac:dyDescent="0.25">
      <c r="A862" s="1">
        <v>43367</v>
      </c>
      <c r="B862">
        <v>11271</v>
      </c>
      <c r="C862" s="2" t="s">
        <v>54</v>
      </c>
      <c r="D862" s="2" t="s">
        <v>55</v>
      </c>
      <c r="E862" s="2" t="s">
        <v>56</v>
      </c>
      <c r="F862">
        <v>4084</v>
      </c>
      <c r="G862" s="2" t="s">
        <v>155</v>
      </c>
      <c r="H862" s="2" t="s">
        <v>149</v>
      </c>
      <c r="I862" s="2" t="s">
        <v>33</v>
      </c>
      <c r="J862" s="2" t="s">
        <v>60</v>
      </c>
      <c r="K862" s="2" t="s">
        <v>33</v>
      </c>
      <c r="L862">
        <v>1793.6</v>
      </c>
      <c r="M862">
        <v>6</v>
      </c>
      <c r="N862">
        <v>18.48</v>
      </c>
      <c r="O862">
        <v>6400835</v>
      </c>
      <c r="P862" s="2" t="s">
        <v>130</v>
      </c>
      <c r="Q862" s="2" t="s">
        <v>131</v>
      </c>
      <c r="R862" s="2" t="s">
        <v>30</v>
      </c>
      <c r="S862">
        <v>12</v>
      </c>
      <c r="T862" s="1">
        <v>43368</v>
      </c>
      <c r="U862" s="1">
        <v>43377</v>
      </c>
      <c r="V862" s="2"/>
      <c r="W862" s="1">
        <f>fNotasFiscais[[#This Row],[Data da Coleta]]+fNotasFiscais[[#This Row],[Prazo Contratado]]</f>
        <v>43380</v>
      </c>
      <c r="X862" s="3">
        <f>IF(fNotasFiscais[[#This Row],[Data da Entrega]]&gt;fNotasFiscais[[#This Row],[Data Contratada]],0,1)</f>
        <v>1</v>
      </c>
      <c r="Y862" s="3">
        <f>IF(fNotasFiscais[[#This Row],[Ocorrência]]="",1,0)</f>
        <v>1</v>
      </c>
      <c r="Z862" s="2">
        <f>fNotasFiscais[[#This Row],[On Time]]*fNotasFiscais[[#This Row],[In Full]]</f>
        <v>1</v>
      </c>
      <c r="AA862">
        <f>IF(fNotasFiscais[[#This Row],[Nota Fiscal]]&lt;&gt;"",1,0)</f>
        <v>1</v>
      </c>
    </row>
    <row r="863" spans="1:27" x14ac:dyDescent="0.25">
      <c r="A863" s="1">
        <v>43367</v>
      </c>
      <c r="B863">
        <v>11272</v>
      </c>
      <c r="C863" s="2" t="s">
        <v>40</v>
      </c>
      <c r="D863" s="2" t="s">
        <v>41</v>
      </c>
      <c r="E863" s="2" t="s">
        <v>33</v>
      </c>
      <c r="F863">
        <v>4068</v>
      </c>
      <c r="G863" s="2" t="s">
        <v>63</v>
      </c>
      <c r="H863" s="2" t="s">
        <v>64</v>
      </c>
      <c r="I863" s="2" t="s">
        <v>65</v>
      </c>
      <c r="J863" s="2" t="s">
        <v>49</v>
      </c>
      <c r="K863" s="2" t="s">
        <v>65</v>
      </c>
      <c r="L863">
        <v>1887.38</v>
      </c>
      <c r="M863">
        <v>6</v>
      </c>
      <c r="N863">
        <v>75.239999999999995</v>
      </c>
      <c r="O863">
        <v>6100231</v>
      </c>
      <c r="P863" s="2" t="s">
        <v>50</v>
      </c>
      <c r="Q863" s="2" t="s">
        <v>51</v>
      </c>
      <c r="R863" s="2" t="s">
        <v>30</v>
      </c>
      <c r="S863">
        <v>12</v>
      </c>
      <c r="T863" s="1">
        <v>43368</v>
      </c>
      <c r="U863" s="1">
        <v>43369</v>
      </c>
      <c r="V863" s="2"/>
      <c r="W863" s="1">
        <f>fNotasFiscais[[#This Row],[Data da Coleta]]+fNotasFiscais[[#This Row],[Prazo Contratado]]</f>
        <v>43380</v>
      </c>
      <c r="X863" s="3">
        <f>IF(fNotasFiscais[[#This Row],[Data da Entrega]]&gt;fNotasFiscais[[#This Row],[Data Contratada]],0,1)</f>
        <v>1</v>
      </c>
      <c r="Y863" s="3">
        <f>IF(fNotasFiscais[[#This Row],[Ocorrência]]="",1,0)</f>
        <v>1</v>
      </c>
      <c r="Z863" s="2">
        <f>fNotasFiscais[[#This Row],[On Time]]*fNotasFiscais[[#This Row],[In Full]]</f>
        <v>1</v>
      </c>
      <c r="AA863">
        <f>IF(fNotasFiscais[[#This Row],[Nota Fiscal]]&lt;&gt;"",1,0)</f>
        <v>1</v>
      </c>
    </row>
    <row r="864" spans="1:27" x14ac:dyDescent="0.25">
      <c r="A864" s="1">
        <v>43367</v>
      </c>
      <c r="B864">
        <v>11273</v>
      </c>
      <c r="C864" s="2" t="s">
        <v>54</v>
      </c>
      <c r="D864" s="2" t="s">
        <v>55</v>
      </c>
      <c r="E864" s="2" t="s">
        <v>56</v>
      </c>
      <c r="F864">
        <v>4023</v>
      </c>
      <c r="G864" s="2" t="s">
        <v>88</v>
      </c>
      <c r="H864" s="2" t="s">
        <v>78</v>
      </c>
      <c r="I864" s="2" t="s">
        <v>39</v>
      </c>
      <c r="J864" s="2" t="s">
        <v>28</v>
      </c>
      <c r="K864" s="2" t="s">
        <v>39</v>
      </c>
      <c r="L864">
        <v>351.14</v>
      </c>
      <c r="M864">
        <v>1</v>
      </c>
      <c r="N864">
        <v>13.42</v>
      </c>
      <c r="O864">
        <v>6500948</v>
      </c>
      <c r="P864" s="2" t="s">
        <v>29</v>
      </c>
      <c r="Q864" s="2" t="s">
        <v>23</v>
      </c>
      <c r="R864" s="2" t="s">
        <v>62</v>
      </c>
      <c r="S864">
        <v>9</v>
      </c>
      <c r="T864" s="1">
        <v>43368</v>
      </c>
      <c r="U864" s="1">
        <v>43369</v>
      </c>
      <c r="V864" s="2"/>
      <c r="W864" s="1">
        <f>fNotasFiscais[[#This Row],[Data da Coleta]]+fNotasFiscais[[#This Row],[Prazo Contratado]]</f>
        <v>43377</v>
      </c>
      <c r="X864" s="3">
        <f>IF(fNotasFiscais[[#This Row],[Data da Entrega]]&gt;fNotasFiscais[[#This Row],[Data Contratada]],0,1)</f>
        <v>1</v>
      </c>
      <c r="Y864" s="3">
        <f>IF(fNotasFiscais[[#This Row],[Ocorrência]]="",1,0)</f>
        <v>1</v>
      </c>
      <c r="Z864" s="2">
        <f>fNotasFiscais[[#This Row],[On Time]]*fNotasFiscais[[#This Row],[In Full]]</f>
        <v>1</v>
      </c>
      <c r="AA864">
        <f>IF(fNotasFiscais[[#This Row],[Nota Fiscal]]&lt;&gt;"",1,0)</f>
        <v>1</v>
      </c>
    </row>
    <row r="865" spans="1:27" x14ac:dyDescent="0.25">
      <c r="A865" s="1">
        <v>43367</v>
      </c>
      <c r="B865">
        <v>11274</v>
      </c>
      <c r="C865" s="2" t="s">
        <v>40</v>
      </c>
      <c r="D865" s="2" t="s">
        <v>41</v>
      </c>
      <c r="E865" s="2" t="s">
        <v>33</v>
      </c>
      <c r="F865">
        <v>4068</v>
      </c>
      <c r="G865" s="2" t="s">
        <v>63</v>
      </c>
      <c r="H865" s="2" t="s">
        <v>64</v>
      </c>
      <c r="I865" s="2" t="s">
        <v>65</v>
      </c>
      <c r="J865" s="2" t="s">
        <v>49</v>
      </c>
      <c r="K865" s="2" t="s">
        <v>65</v>
      </c>
      <c r="L865">
        <v>164.57</v>
      </c>
      <c r="M865">
        <v>1</v>
      </c>
      <c r="N865">
        <v>14.52</v>
      </c>
      <c r="O865">
        <v>6100231</v>
      </c>
      <c r="P865" s="2" t="s">
        <v>50</v>
      </c>
      <c r="Q865" s="2" t="s">
        <v>51</v>
      </c>
      <c r="R865" s="2" t="s">
        <v>30</v>
      </c>
      <c r="S865">
        <v>5</v>
      </c>
      <c r="T865" s="1">
        <v>43368</v>
      </c>
      <c r="U865" s="1">
        <v>43377</v>
      </c>
      <c r="V865" s="2"/>
      <c r="W865" s="1">
        <f>fNotasFiscais[[#This Row],[Data da Coleta]]+fNotasFiscais[[#This Row],[Prazo Contratado]]</f>
        <v>43373</v>
      </c>
      <c r="X865" s="3">
        <f>IF(fNotasFiscais[[#This Row],[Data da Entrega]]&gt;fNotasFiscais[[#This Row],[Data Contratada]],0,1)</f>
        <v>0</v>
      </c>
      <c r="Y865" s="3">
        <f>IF(fNotasFiscais[[#This Row],[Ocorrência]]="",1,0)</f>
        <v>1</v>
      </c>
      <c r="Z865" s="2">
        <f>fNotasFiscais[[#This Row],[On Time]]*fNotasFiscais[[#This Row],[In Full]]</f>
        <v>0</v>
      </c>
      <c r="AA865">
        <f>IF(fNotasFiscais[[#This Row],[Nota Fiscal]]&lt;&gt;"",1,0)</f>
        <v>1</v>
      </c>
    </row>
    <row r="866" spans="1:27" x14ac:dyDescent="0.25">
      <c r="A866" s="1">
        <v>43368</v>
      </c>
      <c r="B866">
        <v>11275</v>
      </c>
      <c r="C866" s="2" t="s">
        <v>40</v>
      </c>
      <c r="D866" s="2" t="s">
        <v>41</v>
      </c>
      <c r="E866" s="2" t="s">
        <v>33</v>
      </c>
      <c r="F866">
        <v>4069</v>
      </c>
      <c r="G866" s="2" t="s">
        <v>135</v>
      </c>
      <c r="H866" s="2" t="s">
        <v>47</v>
      </c>
      <c r="I866" s="2" t="s">
        <v>48</v>
      </c>
      <c r="J866" s="2" t="s">
        <v>49</v>
      </c>
      <c r="K866" s="2" t="s">
        <v>48</v>
      </c>
      <c r="L866">
        <v>23.65</v>
      </c>
      <c r="M866">
        <v>1</v>
      </c>
      <c r="N866">
        <v>2.1999999999999999E-2</v>
      </c>
      <c r="O866">
        <v>6100231</v>
      </c>
      <c r="P866" s="2" t="s">
        <v>50</v>
      </c>
      <c r="Q866" s="2" t="s">
        <v>51</v>
      </c>
      <c r="R866" s="2" t="s">
        <v>30</v>
      </c>
      <c r="S866">
        <v>3</v>
      </c>
      <c r="T866" s="1">
        <v>43369</v>
      </c>
      <c r="U866" s="1">
        <v>43371</v>
      </c>
      <c r="V866" s="2"/>
      <c r="W866" s="1">
        <f>fNotasFiscais[[#This Row],[Data da Coleta]]+fNotasFiscais[[#This Row],[Prazo Contratado]]</f>
        <v>43372</v>
      </c>
      <c r="X866" s="3">
        <f>IF(fNotasFiscais[[#This Row],[Data da Entrega]]&gt;fNotasFiscais[[#This Row],[Data Contratada]],0,1)</f>
        <v>1</v>
      </c>
      <c r="Y866" s="3">
        <f>IF(fNotasFiscais[[#This Row],[Ocorrência]]="",1,0)</f>
        <v>1</v>
      </c>
      <c r="Z866" s="2">
        <f>fNotasFiscais[[#This Row],[On Time]]*fNotasFiscais[[#This Row],[In Full]]</f>
        <v>1</v>
      </c>
      <c r="AA866">
        <f>IF(fNotasFiscais[[#This Row],[Nota Fiscal]]&lt;&gt;"",1,0)</f>
        <v>1</v>
      </c>
    </row>
    <row r="867" spans="1:27" x14ac:dyDescent="0.25">
      <c r="A867" s="1">
        <v>43368</v>
      </c>
      <c r="B867">
        <v>11276</v>
      </c>
      <c r="C867" s="2" t="s">
        <v>34</v>
      </c>
      <c r="D867" s="2" t="s">
        <v>35</v>
      </c>
      <c r="E867" s="2" t="s">
        <v>36</v>
      </c>
      <c r="F867">
        <v>4069</v>
      </c>
      <c r="G867" s="2" t="s">
        <v>135</v>
      </c>
      <c r="H867" s="2" t="s">
        <v>47</v>
      </c>
      <c r="I867" s="2" t="s">
        <v>48</v>
      </c>
      <c r="J867" s="2" t="s">
        <v>49</v>
      </c>
      <c r="K867" s="2" t="s">
        <v>48</v>
      </c>
      <c r="L867">
        <v>3587.21</v>
      </c>
      <c r="M867">
        <v>12</v>
      </c>
      <c r="N867">
        <v>36.96</v>
      </c>
      <c r="O867">
        <v>6100231</v>
      </c>
      <c r="P867" s="2" t="s">
        <v>50</v>
      </c>
      <c r="Q867" s="2" t="s">
        <v>51</v>
      </c>
      <c r="R867" s="2" t="s">
        <v>30</v>
      </c>
      <c r="S867">
        <v>2</v>
      </c>
      <c r="T867" s="1">
        <v>43369</v>
      </c>
      <c r="U867" s="1">
        <v>43376</v>
      </c>
      <c r="V867" s="2"/>
      <c r="W867" s="1">
        <f>fNotasFiscais[[#This Row],[Data da Coleta]]+fNotasFiscais[[#This Row],[Prazo Contratado]]</f>
        <v>43371</v>
      </c>
      <c r="X867" s="3">
        <f>IF(fNotasFiscais[[#This Row],[Data da Entrega]]&gt;fNotasFiscais[[#This Row],[Data Contratada]],0,1)</f>
        <v>0</v>
      </c>
      <c r="Y867" s="3">
        <f>IF(fNotasFiscais[[#This Row],[Ocorrência]]="",1,0)</f>
        <v>1</v>
      </c>
      <c r="Z867" s="2">
        <f>fNotasFiscais[[#This Row],[On Time]]*fNotasFiscais[[#This Row],[In Full]]</f>
        <v>0</v>
      </c>
      <c r="AA867">
        <f>IF(fNotasFiscais[[#This Row],[Nota Fiscal]]&lt;&gt;"",1,0)</f>
        <v>1</v>
      </c>
    </row>
    <row r="868" spans="1:27" x14ac:dyDescent="0.25">
      <c r="A868" s="1">
        <v>43368</v>
      </c>
      <c r="B868">
        <v>11277</v>
      </c>
      <c r="C868" s="2" t="s">
        <v>40</v>
      </c>
      <c r="D868" s="2" t="s">
        <v>41</v>
      </c>
      <c r="E868" s="2" t="s">
        <v>33</v>
      </c>
      <c r="F868">
        <v>4035</v>
      </c>
      <c r="G868" s="2" t="s">
        <v>111</v>
      </c>
      <c r="H868" s="2" t="s">
        <v>47</v>
      </c>
      <c r="I868" s="2" t="s">
        <v>48</v>
      </c>
      <c r="J868" s="2" t="s">
        <v>49</v>
      </c>
      <c r="K868" s="2" t="s">
        <v>48</v>
      </c>
      <c r="L868">
        <v>274.57</v>
      </c>
      <c r="M868">
        <v>2</v>
      </c>
      <c r="N868">
        <v>1.085</v>
      </c>
      <c r="O868">
        <v>6100231</v>
      </c>
      <c r="P868" s="2" t="s">
        <v>50</v>
      </c>
      <c r="Q868" s="2" t="s">
        <v>51</v>
      </c>
      <c r="R868" s="2" t="s">
        <v>30</v>
      </c>
      <c r="S868">
        <v>1</v>
      </c>
      <c r="T868" s="1">
        <v>43369</v>
      </c>
      <c r="U868" s="1">
        <v>43373</v>
      </c>
      <c r="V868" s="2" t="s">
        <v>57</v>
      </c>
      <c r="W868" s="1">
        <f>fNotasFiscais[[#This Row],[Data da Coleta]]+fNotasFiscais[[#This Row],[Prazo Contratado]]</f>
        <v>43370</v>
      </c>
      <c r="X868" s="3">
        <f>IF(fNotasFiscais[[#This Row],[Data da Entrega]]&gt;fNotasFiscais[[#This Row],[Data Contratada]],0,1)</f>
        <v>0</v>
      </c>
      <c r="Y868" s="3">
        <f>IF(fNotasFiscais[[#This Row],[Ocorrência]]="",1,0)</f>
        <v>0</v>
      </c>
      <c r="Z868" s="2">
        <f>fNotasFiscais[[#This Row],[On Time]]*fNotasFiscais[[#This Row],[In Full]]</f>
        <v>0</v>
      </c>
      <c r="AA868">
        <f>IF(fNotasFiscais[[#This Row],[Nota Fiscal]]&lt;&gt;"",1,0)</f>
        <v>1</v>
      </c>
    </row>
    <row r="869" spans="1:27" x14ac:dyDescent="0.25">
      <c r="A869" s="1">
        <v>43368</v>
      </c>
      <c r="B869">
        <v>11278</v>
      </c>
      <c r="C869" s="2" t="s">
        <v>54</v>
      </c>
      <c r="D869" s="2" t="s">
        <v>55</v>
      </c>
      <c r="E869" s="2" t="s">
        <v>56</v>
      </c>
      <c r="F869">
        <v>4035</v>
      </c>
      <c r="G869" s="2" t="s">
        <v>111</v>
      </c>
      <c r="H869" s="2" t="s">
        <v>47</v>
      </c>
      <c r="I869" s="2" t="s">
        <v>48</v>
      </c>
      <c r="J869" s="2" t="s">
        <v>49</v>
      </c>
      <c r="K869" s="2" t="s">
        <v>48</v>
      </c>
      <c r="L869">
        <v>623.79999999999995</v>
      </c>
      <c r="M869">
        <v>1</v>
      </c>
      <c r="N869">
        <v>0.38600000000000001</v>
      </c>
      <c r="O869">
        <v>6100231</v>
      </c>
      <c r="P869" s="2" t="s">
        <v>50</v>
      </c>
      <c r="Q869" s="2" t="s">
        <v>51</v>
      </c>
      <c r="R869" s="2" t="s">
        <v>30</v>
      </c>
      <c r="S869">
        <v>10</v>
      </c>
      <c r="T869" s="1">
        <v>43369</v>
      </c>
      <c r="U869" s="1">
        <v>43374</v>
      </c>
      <c r="V869" s="2"/>
      <c r="W869" s="1">
        <f>fNotasFiscais[[#This Row],[Data da Coleta]]+fNotasFiscais[[#This Row],[Prazo Contratado]]</f>
        <v>43379</v>
      </c>
      <c r="X869" s="3">
        <f>IF(fNotasFiscais[[#This Row],[Data da Entrega]]&gt;fNotasFiscais[[#This Row],[Data Contratada]],0,1)</f>
        <v>1</v>
      </c>
      <c r="Y869" s="3">
        <f>IF(fNotasFiscais[[#This Row],[Ocorrência]]="",1,0)</f>
        <v>1</v>
      </c>
      <c r="Z869" s="2">
        <f>fNotasFiscais[[#This Row],[On Time]]*fNotasFiscais[[#This Row],[In Full]]</f>
        <v>1</v>
      </c>
      <c r="AA869">
        <f>IF(fNotasFiscais[[#This Row],[Nota Fiscal]]&lt;&gt;"",1,0)</f>
        <v>1</v>
      </c>
    </row>
    <row r="870" spans="1:27" x14ac:dyDescent="0.25">
      <c r="A870" s="1">
        <v>43368</v>
      </c>
      <c r="B870">
        <v>11279</v>
      </c>
      <c r="C870" s="2" t="s">
        <v>40</v>
      </c>
      <c r="D870" s="2" t="s">
        <v>41</v>
      </c>
      <c r="E870" s="2" t="s">
        <v>33</v>
      </c>
      <c r="F870">
        <v>4035</v>
      </c>
      <c r="G870" s="2" t="s">
        <v>111</v>
      </c>
      <c r="H870" s="2" t="s">
        <v>47</v>
      </c>
      <c r="I870" s="2" t="s">
        <v>48</v>
      </c>
      <c r="J870" s="2" t="s">
        <v>49</v>
      </c>
      <c r="K870" s="2" t="s">
        <v>48</v>
      </c>
      <c r="L870">
        <v>1980.09</v>
      </c>
      <c r="M870">
        <v>6</v>
      </c>
      <c r="N870">
        <v>80.52</v>
      </c>
      <c r="O870">
        <v>6100231</v>
      </c>
      <c r="P870" s="2" t="s">
        <v>50</v>
      </c>
      <c r="Q870" s="2" t="s">
        <v>51</v>
      </c>
      <c r="R870" s="2" t="s">
        <v>30</v>
      </c>
      <c r="S870">
        <v>6</v>
      </c>
      <c r="T870" s="1">
        <v>43369</v>
      </c>
      <c r="U870" s="1">
        <v>43371</v>
      </c>
      <c r="V870" s="2"/>
      <c r="W870" s="1">
        <f>fNotasFiscais[[#This Row],[Data da Coleta]]+fNotasFiscais[[#This Row],[Prazo Contratado]]</f>
        <v>43375</v>
      </c>
      <c r="X870" s="3">
        <f>IF(fNotasFiscais[[#This Row],[Data da Entrega]]&gt;fNotasFiscais[[#This Row],[Data Contratada]],0,1)</f>
        <v>1</v>
      </c>
      <c r="Y870" s="3">
        <f>IF(fNotasFiscais[[#This Row],[Ocorrência]]="",1,0)</f>
        <v>1</v>
      </c>
      <c r="Z870" s="2">
        <f>fNotasFiscais[[#This Row],[On Time]]*fNotasFiscais[[#This Row],[In Full]]</f>
        <v>1</v>
      </c>
      <c r="AA870">
        <f>IF(fNotasFiscais[[#This Row],[Nota Fiscal]]&lt;&gt;"",1,0)</f>
        <v>1</v>
      </c>
    </row>
    <row r="871" spans="1:27" x14ac:dyDescent="0.25">
      <c r="A871" s="1">
        <v>43369</v>
      </c>
      <c r="B871">
        <v>11280</v>
      </c>
      <c r="C871" s="2" t="s">
        <v>34</v>
      </c>
      <c r="D871" s="2" t="s">
        <v>35</v>
      </c>
      <c r="E871" s="2" t="s">
        <v>36</v>
      </c>
      <c r="F871">
        <v>4123</v>
      </c>
      <c r="G871" s="2" t="s">
        <v>206</v>
      </c>
      <c r="H871" s="2" t="s">
        <v>44</v>
      </c>
      <c r="I871" s="2" t="s">
        <v>45</v>
      </c>
      <c r="J871" s="2" t="s">
        <v>60</v>
      </c>
      <c r="K871" s="2" t="s">
        <v>45</v>
      </c>
      <c r="L871">
        <v>1321.25</v>
      </c>
      <c r="M871">
        <v>2</v>
      </c>
      <c r="N871">
        <v>4.4039999999999999</v>
      </c>
      <c r="O871">
        <v>6140092</v>
      </c>
      <c r="P871" s="2" t="s">
        <v>137</v>
      </c>
      <c r="Q871" s="2" t="s">
        <v>138</v>
      </c>
      <c r="R871" s="2" t="s">
        <v>30</v>
      </c>
      <c r="S871">
        <v>9</v>
      </c>
      <c r="T871" s="1">
        <v>43370</v>
      </c>
      <c r="U871" s="1">
        <v>43374</v>
      </c>
      <c r="V871" s="2"/>
      <c r="W871" s="1">
        <f>fNotasFiscais[[#This Row],[Data da Coleta]]+fNotasFiscais[[#This Row],[Prazo Contratado]]</f>
        <v>43379</v>
      </c>
      <c r="X871" s="3">
        <f>IF(fNotasFiscais[[#This Row],[Data da Entrega]]&gt;fNotasFiscais[[#This Row],[Data Contratada]],0,1)</f>
        <v>1</v>
      </c>
      <c r="Y871" s="3">
        <f>IF(fNotasFiscais[[#This Row],[Ocorrência]]="",1,0)</f>
        <v>1</v>
      </c>
      <c r="Z871" s="2">
        <f>fNotasFiscais[[#This Row],[On Time]]*fNotasFiscais[[#This Row],[In Full]]</f>
        <v>1</v>
      </c>
      <c r="AA871">
        <f>IF(fNotasFiscais[[#This Row],[Nota Fiscal]]&lt;&gt;"",1,0)</f>
        <v>1</v>
      </c>
    </row>
    <row r="872" spans="1:27" x14ac:dyDescent="0.25">
      <c r="A872" s="1">
        <v>43369</v>
      </c>
      <c r="B872">
        <v>11281</v>
      </c>
      <c r="C872" s="2" t="s">
        <v>31</v>
      </c>
      <c r="D872" s="2" t="s">
        <v>32</v>
      </c>
      <c r="E872" s="2" t="s">
        <v>33</v>
      </c>
      <c r="F872">
        <v>4066</v>
      </c>
      <c r="G872" s="2" t="s">
        <v>132</v>
      </c>
      <c r="H872" s="2" t="s">
        <v>47</v>
      </c>
      <c r="I872" s="2" t="s">
        <v>48</v>
      </c>
      <c r="J872" s="2" t="s">
        <v>49</v>
      </c>
      <c r="K872" s="2" t="s">
        <v>48</v>
      </c>
      <c r="L872">
        <v>597.30999999999995</v>
      </c>
      <c r="M872">
        <v>1</v>
      </c>
      <c r="N872">
        <v>4.6760000000000002</v>
      </c>
      <c r="O872">
        <v>6100231</v>
      </c>
      <c r="P872" s="2" t="s">
        <v>50</v>
      </c>
      <c r="Q872" s="2" t="s">
        <v>51</v>
      </c>
      <c r="R872" s="2" t="s">
        <v>30</v>
      </c>
      <c r="S872">
        <v>10</v>
      </c>
      <c r="T872" s="1">
        <v>43370</v>
      </c>
      <c r="U872" s="1">
        <v>43372</v>
      </c>
      <c r="V872" s="2"/>
      <c r="W872" s="1">
        <f>fNotasFiscais[[#This Row],[Data da Coleta]]+fNotasFiscais[[#This Row],[Prazo Contratado]]</f>
        <v>43380</v>
      </c>
      <c r="X872" s="3">
        <f>IF(fNotasFiscais[[#This Row],[Data da Entrega]]&gt;fNotasFiscais[[#This Row],[Data Contratada]],0,1)</f>
        <v>1</v>
      </c>
      <c r="Y872" s="3">
        <f>IF(fNotasFiscais[[#This Row],[Ocorrência]]="",1,0)</f>
        <v>1</v>
      </c>
      <c r="Z872" s="2">
        <f>fNotasFiscais[[#This Row],[On Time]]*fNotasFiscais[[#This Row],[In Full]]</f>
        <v>1</v>
      </c>
      <c r="AA872">
        <f>IF(fNotasFiscais[[#This Row],[Nota Fiscal]]&lt;&gt;"",1,0)</f>
        <v>1</v>
      </c>
    </row>
    <row r="873" spans="1:27" x14ac:dyDescent="0.25">
      <c r="A873" s="1">
        <v>43370</v>
      </c>
      <c r="B873">
        <v>11282</v>
      </c>
      <c r="C873" s="2" t="s">
        <v>22</v>
      </c>
      <c r="D873" s="2" t="s">
        <v>23</v>
      </c>
      <c r="E873" s="2" t="s">
        <v>24</v>
      </c>
      <c r="F873">
        <v>4016</v>
      </c>
      <c r="G873" s="2" t="s">
        <v>68</v>
      </c>
      <c r="H873" s="2" t="s">
        <v>69</v>
      </c>
      <c r="I873" s="2" t="s">
        <v>36</v>
      </c>
      <c r="J873" s="2" t="s">
        <v>60</v>
      </c>
      <c r="K873" s="2" t="s">
        <v>36</v>
      </c>
      <c r="L873">
        <v>1024.05</v>
      </c>
      <c r="M873">
        <v>1</v>
      </c>
      <c r="N873">
        <v>9.35</v>
      </c>
      <c r="O873">
        <v>6600879</v>
      </c>
      <c r="P873" s="2" t="s">
        <v>61</v>
      </c>
      <c r="Q873" s="2" t="s">
        <v>35</v>
      </c>
      <c r="R873" s="2" t="s">
        <v>30</v>
      </c>
      <c r="S873">
        <v>4</v>
      </c>
      <c r="T873" s="1">
        <v>43371</v>
      </c>
      <c r="U873" s="1">
        <v>43374</v>
      </c>
      <c r="V873" s="2"/>
      <c r="W873" s="1">
        <f>fNotasFiscais[[#This Row],[Data da Coleta]]+fNotasFiscais[[#This Row],[Prazo Contratado]]</f>
        <v>43375</v>
      </c>
      <c r="X873" s="3">
        <f>IF(fNotasFiscais[[#This Row],[Data da Entrega]]&gt;fNotasFiscais[[#This Row],[Data Contratada]],0,1)</f>
        <v>1</v>
      </c>
      <c r="Y873" s="3">
        <f>IF(fNotasFiscais[[#This Row],[Ocorrência]]="",1,0)</f>
        <v>1</v>
      </c>
      <c r="Z873" s="2">
        <f>fNotasFiscais[[#This Row],[On Time]]*fNotasFiscais[[#This Row],[In Full]]</f>
        <v>1</v>
      </c>
      <c r="AA873">
        <f>IF(fNotasFiscais[[#This Row],[Nota Fiscal]]&lt;&gt;"",1,0)</f>
        <v>1</v>
      </c>
    </row>
    <row r="874" spans="1:27" x14ac:dyDescent="0.25">
      <c r="A874" s="1">
        <v>43370</v>
      </c>
      <c r="B874">
        <v>11283</v>
      </c>
      <c r="C874" s="2" t="s">
        <v>43</v>
      </c>
      <c r="D874" s="2" t="s">
        <v>44</v>
      </c>
      <c r="E874" s="2" t="s">
        <v>45</v>
      </c>
      <c r="F874">
        <v>4016</v>
      </c>
      <c r="G874" s="2" t="s">
        <v>68</v>
      </c>
      <c r="H874" s="2" t="s">
        <v>69</v>
      </c>
      <c r="I874" s="2" t="s">
        <v>36</v>
      </c>
      <c r="J874" s="2" t="s">
        <v>60</v>
      </c>
      <c r="K874" s="2" t="s">
        <v>36</v>
      </c>
      <c r="L874">
        <v>319.25</v>
      </c>
      <c r="M874">
        <v>1</v>
      </c>
      <c r="N874">
        <v>13.42</v>
      </c>
      <c r="O874">
        <v>6600879</v>
      </c>
      <c r="P874" s="2" t="s">
        <v>61</v>
      </c>
      <c r="Q874" s="2" t="s">
        <v>35</v>
      </c>
      <c r="R874" s="2" t="s">
        <v>30</v>
      </c>
      <c r="S874">
        <v>6</v>
      </c>
      <c r="T874" s="1">
        <v>43371</v>
      </c>
      <c r="U874" s="1">
        <v>43374</v>
      </c>
      <c r="V874" s="2" t="s">
        <v>57</v>
      </c>
      <c r="W874" s="1">
        <f>fNotasFiscais[[#This Row],[Data da Coleta]]+fNotasFiscais[[#This Row],[Prazo Contratado]]</f>
        <v>43377</v>
      </c>
      <c r="X874" s="3">
        <f>IF(fNotasFiscais[[#This Row],[Data da Entrega]]&gt;fNotasFiscais[[#This Row],[Data Contratada]],0,1)</f>
        <v>1</v>
      </c>
      <c r="Y874" s="3">
        <f>IF(fNotasFiscais[[#This Row],[Ocorrência]]="",1,0)</f>
        <v>0</v>
      </c>
      <c r="Z874" s="2">
        <f>fNotasFiscais[[#This Row],[On Time]]*fNotasFiscais[[#This Row],[In Full]]</f>
        <v>0</v>
      </c>
      <c r="AA874">
        <f>IF(fNotasFiscais[[#This Row],[Nota Fiscal]]&lt;&gt;"",1,0)</f>
        <v>1</v>
      </c>
    </row>
    <row r="875" spans="1:27" x14ac:dyDescent="0.25">
      <c r="A875" s="1">
        <v>43370</v>
      </c>
      <c r="B875">
        <v>11284</v>
      </c>
      <c r="C875" s="2" t="s">
        <v>40</v>
      </c>
      <c r="D875" s="2" t="s">
        <v>41</v>
      </c>
      <c r="E875" s="2" t="s">
        <v>33</v>
      </c>
      <c r="F875">
        <v>4016</v>
      </c>
      <c r="G875" s="2" t="s">
        <v>68</v>
      </c>
      <c r="H875" s="2" t="s">
        <v>69</v>
      </c>
      <c r="I875" s="2" t="s">
        <v>36</v>
      </c>
      <c r="J875" s="2" t="s">
        <v>60</v>
      </c>
      <c r="K875" s="2" t="s">
        <v>36</v>
      </c>
      <c r="L875">
        <v>1795.33</v>
      </c>
      <c r="M875">
        <v>5</v>
      </c>
      <c r="N875">
        <v>15.84</v>
      </c>
      <c r="O875">
        <v>6600879</v>
      </c>
      <c r="P875" s="2" t="s">
        <v>61</v>
      </c>
      <c r="Q875" s="2" t="s">
        <v>35</v>
      </c>
      <c r="R875" s="2" t="s">
        <v>30</v>
      </c>
      <c r="S875">
        <v>3</v>
      </c>
      <c r="T875" s="1">
        <v>43371</v>
      </c>
      <c r="U875" s="1">
        <v>43375</v>
      </c>
      <c r="V875" s="2"/>
      <c r="W875" s="1">
        <f>fNotasFiscais[[#This Row],[Data da Coleta]]+fNotasFiscais[[#This Row],[Prazo Contratado]]</f>
        <v>43374</v>
      </c>
      <c r="X875" s="3">
        <f>IF(fNotasFiscais[[#This Row],[Data da Entrega]]&gt;fNotasFiscais[[#This Row],[Data Contratada]],0,1)</f>
        <v>0</v>
      </c>
      <c r="Y875" s="3">
        <f>IF(fNotasFiscais[[#This Row],[Ocorrência]]="",1,0)</f>
        <v>1</v>
      </c>
      <c r="Z875" s="2">
        <f>fNotasFiscais[[#This Row],[On Time]]*fNotasFiscais[[#This Row],[In Full]]</f>
        <v>0</v>
      </c>
      <c r="AA875">
        <f>IF(fNotasFiscais[[#This Row],[Nota Fiscal]]&lt;&gt;"",1,0)</f>
        <v>1</v>
      </c>
    </row>
    <row r="876" spans="1:27" x14ac:dyDescent="0.25">
      <c r="A876" s="1">
        <v>43370</v>
      </c>
      <c r="B876">
        <v>11285</v>
      </c>
      <c r="C876" s="2" t="s">
        <v>34</v>
      </c>
      <c r="D876" s="2" t="s">
        <v>35</v>
      </c>
      <c r="E876" s="2" t="s">
        <v>36</v>
      </c>
      <c r="F876">
        <v>4016</v>
      </c>
      <c r="G876" s="2" t="s">
        <v>68</v>
      </c>
      <c r="H876" s="2" t="s">
        <v>69</v>
      </c>
      <c r="I876" s="2" t="s">
        <v>36</v>
      </c>
      <c r="J876" s="2" t="s">
        <v>60</v>
      </c>
      <c r="K876" s="2" t="s">
        <v>36</v>
      </c>
      <c r="L876">
        <v>3473.3</v>
      </c>
      <c r="M876">
        <v>10</v>
      </c>
      <c r="N876">
        <v>30.690999999999999</v>
      </c>
      <c r="O876">
        <v>6600879</v>
      </c>
      <c r="P876" s="2" t="s">
        <v>61</v>
      </c>
      <c r="Q876" s="2" t="s">
        <v>35</v>
      </c>
      <c r="R876" s="2" t="s">
        <v>30</v>
      </c>
      <c r="S876">
        <v>5</v>
      </c>
      <c r="T876" s="1">
        <v>43371</v>
      </c>
      <c r="U876" s="1">
        <v>43375</v>
      </c>
      <c r="V876" s="2"/>
      <c r="W876" s="1">
        <f>fNotasFiscais[[#This Row],[Data da Coleta]]+fNotasFiscais[[#This Row],[Prazo Contratado]]</f>
        <v>43376</v>
      </c>
      <c r="X876" s="3">
        <f>IF(fNotasFiscais[[#This Row],[Data da Entrega]]&gt;fNotasFiscais[[#This Row],[Data Contratada]],0,1)</f>
        <v>1</v>
      </c>
      <c r="Y876" s="3">
        <f>IF(fNotasFiscais[[#This Row],[Ocorrência]]="",1,0)</f>
        <v>1</v>
      </c>
      <c r="Z876" s="2">
        <f>fNotasFiscais[[#This Row],[On Time]]*fNotasFiscais[[#This Row],[In Full]]</f>
        <v>1</v>
      </c>
      <c r="AA876">
        <f>IF(fNotasFiscais[[#This Row],[Nota Fiscal]]&lt;&gt;"",1,0)</f>
        <v>1</v>
      </c>
    </row>
    <row r="877" spans="1:27" x14ac:dyDescent="0.25">
      <c r="A877" s="1">
        <v>43370</v>
      </c>
      <c r="B877">
        <v>11286</v>
      </c>
      <c r="C877" s="2" t="s">
        <v>34</v>
      </c>
      <c r="D877" s="2" t="s">
        <v>35</v>
      </c>
      <c r="E877" s="2" t="s">
        <v>36</v>
      </c>
      <c r="F877">
        <v>4016</v>
      </c>
      <c r="G877" s="2" t="s">
        <v>68</v>
      </c>
      <c r="H877" s="2" t="s">
        <v>69</v>
      </c>
      <c r="I877" s="2" t="s">
        <v>36</v>
      </c>
      <c r="J877" s="2" t="s">
        <v>60</v>
      </c>
      <c r="K877" s="2" t="s">
        <v>36</v>
      </c>
      <c r="L877">
        <v>5577.07</v>
      </c>
      <c r="M877">
        <v>13</v>
      </c>
      <c r="N877">
        <v>39.435000000000002</v>
      </c>
      <c r="O877">
        <v>6600879</v>
      </c>
      <c r="P877" s="2" t="s">
        <v>61</v>
      </c>
      <c r="Q877" s="2" t="s">
        <v>35</v>
      </c>
      <c r="R877" s="2" t="s">
        <v>30</v>
      </c>
      <c r="S877">
        <v>3</v>
      </c>
      <c r="T877" s="1">
        <v>43371</v>
      </c>
      <c r="U877" s="1">
        <v>43373</v>
      </c>
      <c r="V877" s="2"/>
      <c r="W877" s="1">
        <f>fNotasFiscais[[#This Row],[Data da Coleta]]+fNotasFiscais[[#This Row],[Prazo Contratado]]</f>
        <v>43374</v>
      </c>
      <c r="X877" s="3">
        <f>IF(fNotasFiscais[[#This Row],[Data da Entrega]]&gt;fNotasFiscais[[#This Row],[Data Contratada]],0,1)</f>
        <v>1</v>
      </c>
      <c r="Y877" s="3">
        <f>IF(fNotasFiscais[[#This Row],[Ocorrência]]="",1,0)</f>
        <v>1</v>
      </c>
      <c r="Z877" s="2">
        <f>fNotasFiscais[[#This Row],[On Time]]*fNotasFiscais[[#This Row],[In Full]]</f>
        <v>1</v>
      </c>
      <c r="AA877">
        <f>IF(fNotasFiscais[[#This Row],[Nota Fiscal]]&lt;&gt;"",1,0)</f>
        <v>1</v>
      </c>
    </row>
    <row r="878" spans="1:27" x14ac:dyDescent="0.25">
      <c r="A878" s="1">
        <v>43370</v>
      </c>
      <c r="B878">
        <v>11287</v>
      </c>
      <c r="C878" s="2" t="s">
        <v>34</v>
      </c>
      <c r="D878" s="2" t="s">
        <v>35</v>
      </c>
      <c r="E878" s="2" t="s">
        <v>36</v>
      </c>
      <c r="F878">
        <v>4016</v>
      </c>
      <c r="G878" s="2" t="s">
        <v>68</v>
      </c>
      <c r="H878" s="2" t="s">
        <v>69</v>
      </c>
      <c r="I878" s="2" t="s">
        <v>36</v>
      </c>
      <c r="J878" s="2" t="s">
        <v>60</v>
      </c>
      <c r="K878" s="2" t="s">
        <v>36</v>
      </c>
      <c r="L878">
        <v>5.16</v>
      </c>
      <c r="M878">
        <v>1</v>
      </c>
      <c r="N878">
        <v>6.0000000000000001E-3</v>
      </c>
      <c r="O878">
        <v>6600879</v>
      </c>
      <c r="P878" s="2" t="s">
        <v>61</v>
      </c>
      <c r="Q878" s="2" t="s">
        <v>35</v>
      </c>
      <c r="R878" s="2" t="s">
        <v>30</v>
      </c>
      <c r="S878">
        <v>12</v>
      </c>
      <c r="T878" s="1">
        <v>43371</v>
      </c>
      <c r="U878" s="1">
        <v>43375</v>
      </c>
      <c r="V878" s="2"/>
      <c r="W878" s="1">
        <f>fNotasFiscais[[#This Row],[Data da Coleta]]+fNotasFiscais[[#This Row],[Prazo Contratado]]</f>
        <v>43383</v>
      </c>
      <c r="X878" s="3">
        <f>IF(fNotasFiscais[[#This Row],[Data da Entrega]]&gt;fNotasFiscais[[#This Row],[Data Contratada]],0,1)</f>
        <v>1</v>
      </c>
      <c r="Y878" s="3">
        <f>IF(fNotasFiscais[[#This Row],[Ocorrência]]="",1,0)</f>
        <v>1</v>
      </c>
      <c r="Z878" s="2">
        <f>fNotasFiscais[[#This Row],[On Time]]*fNotasFiscais[[#This Row],[In Full]]</f>
        <v>1</v>
      </c>
      <c r="AA878">
        <f>IF(fNotasFiscais[[#This Row],[Nota Fiscal]]&lt;&gt;"",1,0)</f>
        <v>1</v>
      </c>
    </row>
    <row r="879" spans="1:27" x14ac:dyDescent="0.25">
      <c r="A879" s="1">
        <v>43370</v>
      </c>
      <c r="B879">
        <v>11288</v>
      </c>
      <c r="C879" s="2" t="s">
        <v>43</v>
      </c>
      <c r="D879" s="2" t="s">
        <v>44</v>
      </c>
      <c r="E879" s="2" t="s">
        <v>45</v>
      </c>
      <c r="F879">
        <v>4016</v>
      </c>
      <c r="G879" s="2" t="s">
        <v>68</v>
      </c>
      <c r="H879" s="2" t="s">
        <v>69</v>
      </c>
      <c r="I879" s="2" t="s">
        <v>36</v>
      </c>
      <c r="J879" s="2" t="s">
        <v>60</v>
      </c>
      <c r="K879" s="2" t="s">
        <v>36</v>
      </c>
      <c r="L879">
        <v>380.64</v>
      </c>
      <c r="M879">
        <v>1</v>
      </c>
      <c r="N879">
        <v>10.56</v>
      </c>
      <c r="O879">
        <v>6600879</v>
      </c>
      <c r="P879" s="2" t="s">
        <v>61</v>
      </c>
      <c r="Q879" s="2" t="s">
        <v>35</v>
      </c>
      <c r="R879" s="2" t="s">
        <v>30</v>
      </c>
      <c r="S879">
        <v>8</v>
      </c>
      <c r="T879" s="1">
        <v>43371</v>
      </c>
      <c r="U879" s="1">
        <v>43373</v>
      </c>
      <c r="V879" s="2"/>
      <c r="W879" s="1">
        <f>fNotasFiscais[[#This Row],[Data da Coleta]]+fNotasFiscais[[#This Row],[Prazo Contratado]]</f>
        <v>43379</v>
      </c>
      <c r="X879" s="3">
        <f>IF(fNotasFiscais[[#This Row],[Data da Entrega]]&gt;fNotasFiscais[[#This Row],[Data Contratada]],0,1)</f>
        <v>1</v>
      </c>
      <c r="Y879" s="3">
        <f>IF(fNotasFiscais[[#This Row],[Ocorrência]]="",1,0)</f>
        <v>1</v>
      </c>
      <c r="Z879" s="2">
        <f>fNotasFiscais[[#This Row],[On Time]]*fNotasFiscais[[#This Row],[In Full]]</f>
        <v>1</v>
      </c>
      <c r="AA879">
        <f>IF(fNotasFiscais[[#This Row],[Nota Fiscal]]&lt;&gt;"",1,0)</f>
        <v>1</v>
      </c>
    </row>
    <row r="880" spans="1:27" x14ac:dyDescent="0.25">
      <c r="A880" s="1">
        <v>43370</v>
      </c>
      <c r="B880">
        <v>11289</v>
      </c>
      <c r="C880" s="2" t="s">
        <v>52</v>
      </c>
      <c r="D880" s="2" t="s">
        <v>53</v>
      </c>
      <c r="E880" s="2" t="s">
        <v>33</v>
      </c>
      <c r="F880">
        <v>4016</v>
      </c>
      <c r="G880" s="2" t="s">
        <v>68</v>
      </c>
      <c r="H880" s="2" t="s">
        <v>69</v>
      </c>
      <c r="I880" s="2" t="s">
        <v>36</v>
      </c>
      <c r="J880" s="2" t="s">
        <v>60</v>
      </c>
      <c r="K880" s="2" t="s">
        <v>36</v>
      </c>
      <c r="L880">
        <v>597.87</v>
      </c>
      <c r="M880">
        <v>2</v>
      </c>
      <c r="N880">
        <v>6.16</v>
      </c>
      <c r="O880">
        <v>6600879</v>
      </c>
      <c r="P880" s="2" t="s">
        <v>61</v>
      </c>
      <c r="Q880" s="2" t="s">
        <v>35</v>
      </c>
      <c r="R880" s="2" t="s">
        <v>30</v>
      </c>
      <c r="S880">
        <v>4</v>
      </c>
      <c r="T880" s="1">
        <v>43371</v>
      </c>
      <c r="U880" s="1">
        <v>43372</v>
      </c>
      <c r="V880" s="2"/>
      <c r="W880" s="1">
        <f>fNotasFiscais[[#This Row],[Data da Coleta]]+fNotasFiscais[[#This Row],[Prazo Contratado]]</f>
        <v>43375</v>
      </c>
      <c r="X880" s="3">
        <f>IF(fNotasFiscais[[#This Row],[Data da Entrega]]&gt;fNotasFiscais[[#This Row],[Data Contratada]],0,1)</f>
        <v>1</v>
      </c>
      <c r="Y880" s="3">
        <f>IF(fNotasFiscais[[#This Row],[Ocorrência]]="",1,0)</f>
        <v>1</v>
      </c>
      <c r="Z880" s="2">
        <f>fNotasFiscais[[#This Row],[On Time]]*fNotasFiscais[[#This Row],[In Full]]</f>
        <v>1</v>
      </c>
      <c r="AA880">
        <f>IF(fNotasFiscais[[#This Row],[Nota Fiscal]]&lt;&gt;"",1,0)</f>
        <v>1</v>
      </c>
    </row>
    <row r="881" spans="1:27" x14ac:dyDescent="0.25">
      <c r="A881" s="1">
        <v>43370</v>
      </c>
      <c r="B881">
        <v>11290</v>
      </c>
      <c r="C881" s="2" t="s">
        <v>43</v>
      </c>
      <c r="D881" s="2" t="s">
        <v>44</v>
      </c>
      <c r="E881" s="2" t="s">
        <v>45</v>
      </c>
      <c r="F881">
        <v>4016</v>
      </c>
      <c r="G881" s="2" t="s">
        <v>68</v>
      </c>
      <c r="H881" s="2" t="s">
        <v>69</v>
      </c>
      <c r="I881" s="2" t="s">
        <v>36</v>
      </c>
      <c r="J881" s="2" t="s">
        <v>60</v>
      </c>
      <c r="K881" s="2" t="s">
        <v>36</v>
      </c>
      <c r="L881">
        <v>3400.04</v>
      </c>
      <c r="M881">
        <v>10</v>
      </c>
      <c r="N881">
        <v>33</v>
      </c>
      <c r="O881">
        <v>6600879</v>
      </c>
      <c r="P881" s="2" t="s">
        <v>61</v>
      </c>
      <c r="Q881" s="2" t="s">
        <v>35</v>
      </c>
      <c r="R881" s="2" t="s">
        <v>30</v>
      </c>
      <c r="S881">
        <v>7</v>
      </c>
      <c r="T881" s="1">
        <v>43371</v>
      </c>
      <c r="U881" s="1">
        <v>43381</v>
      </c>
      <c r="V881" s="2"/>
      <c r="W881" s="1">
        <f>fNotasFiscais[[#This Row],[Data da Coleta]]+fNotasFiscais[[#This Row],[Prazo Contratado]]</f>
        <v>43378</v>
      </c>
      <c r="X881" s="3">
        <f>IF(fNotasFiscais[[#This Row],[Data da Entrega]]&gt;fNotasFiscais[[#This Row],[Data Contratada]],0,1)</f>
        <v>0</v>
      </c>
      <c r="Y881" s="3">
        <f>IF(fNotasFiscais[[#This Row],[Ocorrência]]="",1,0)</f>
        <v>1</v>
      </c>
      <c r="Z881" s="2">
        <f>fNotasFiscais[[#This Row],[On Time]]*fNotasFiscais[[#This Row],[In Full]]</f>
        <v>0</v>
      </c>
      <c r="AA881">
        <f>IF(fNotasFiscais[[#This Row],[Nota Fiscal]]&lt;&gt;"",1,0)</f>
        <v>1</v>
      </c>
    </row>
    <row r="882" spans="1:27" x14ac:dyDescent="0.25">
      <c r="A882" s="1">
        <v>43370</v>
      </c>
      <c r="B882">
        <v>11291</v>
      </c>
      <c r="C882" s="2" t="s">
        <v>52</v>
      </c>
      <c r="D882" s="2" t="s">
        <v>53</v>
      </c>
      <c r="E882" s="2" t="s">
        <v>33</v>
      </c>
      <c r="F882">
        <v>4016</v>
      </c>
      <c r="G882" s="2" t="s">
        <v>68</v>
      </c>
      <c r="H882" s="2" t="s">
        <v>69</v>
      </c>
      <c r="I882" s="2" t="s">
        <v>36</v>
      </c>
      <c r="J882" s="2" t="s">
        <v>60</v>
      </c>
      <c r="K882" s="2" t="s">
        <v>36</v>
      </c>
      <c r="L882">
        <v>1316.62</v>
      </c>
      <c r="M882">
        <v>2</v>
      </c>
      <c r="N882">
        <v>8.36</v>
      </c>
      <c r="O882">
        <v>6600879</v>
      </c>
      <c r="P882" s="2" t="s">
        <v>61</v>
      </c>
      <c r="Q882" s="2" t="s">
        <v>35</v>
      </c>
      <c r="R882" s="2" t="s">
        <v>30</v>
      </c>
      <c r="S882">
        <v>4</v>
      </c>
      <c r="T882" s="1">
        <v>43371</v>
      </c>
      <c r="U882" s="1">
        <v>43377</v>
      </c>
      <c r="V882" s="2"/>
      <c r="W882" s="1">
        <f>fNotasFiscais[[#This Row],[Data da Coleta]]+fNotasFiscais[[#This Row],[Prazo Contratado]]</f>
        <v>43375</v>
      </c>
      <c r="X882" s="3">
        <f>IF(fNotasFiscais[[#This Row],[Data da Entrega]]&gt;fNotasFiscais[[#This Row],[Data Contratada]],0,1)</f>
        <v>0</v>
      </c>
      <c r="Y882" s="3">
        <f>IF(fNotasFiscais[[#This Row],[Ocorrência]]="",1,0)</f>
        <v>1</v>
      </c>
      <c r="Z882" s="2">
        <f>fNotasFiscais[[#This Row],[On Time]]*fNotasFiscais[[#This Row],[In Full]]</f>
        <v>0</v>
      </c>
      <c r="AA882">
        <f>IF(fNotasFiscais[[#This Row],[Nota Fiscal]]&lt;&gt;"",1,0)</f>
        <v>1</v>
      </c>
    </row>
    <row r="883" spans="1:27" x14ac:dyDescent="0.25">
      <c r="A883" s="1">
        <v>43370</v>
      </c>
      <c r="B883">
        <v>11292</v>
      </c>
      <c r="C883" s="2" t="s">
        <v>34</v>
      </c>
      <c r="D883" s="2" t="s">
        <v>35</v>
      </c>
      <c r="E883" s="2" t="s">
        <v>36</v>
      </c>
      <c r="F883">
        <v>4016</v>
      </c>
      <c r="G883" s="2" t="s">
        <v>68</v>
      </c>
      <c r="H883" s="2" t="s">
        <v>69</v>
      </c>
      <c r="I883" s="2" t="s">
        <v>36</v>
      </c>
      <c r="J883" s="2" t="s">
        <v>60</v>
      </c>
      <c r="K883" s="2" t="s">
        <v>36</v>
      </c>
      <c r="L883">
        <v>683.56</v>
      </c>
      <c r="M883">
        <v>3</v>
      </c>
      <c r="N883">
        <v>3.04</v>
      </c>
      <c r="O883">
        <v>6600879</v>
      </c>
      <c r="P883" s="2" t="s">
        <v>61</v>
      </c>
      <c r="Q883" s="2" t="s">
        <v>35</v>
      </c>
      <c r="R883" s="2" t="s">
        <v>30</v>
      </c>
      <c r="S883">
        <v>10</v>
      </c>
      <c r="T883" s="1">
        <v>43371</v>
      </c>
      <c r="U883" s="1">
        <v>43374</v>
      </c>
      <c r="V883" s="2"/>
      <c r="W883" s="1">
        <f>fNotasFiscais[[#This Row],[Data da Coleta]]+fNotasFiscais[[#This Row],[Prazo Contratado]]</f>
        <v>43381</v>
      </c>
      <c r="X883" s="3">
        <f>IF(fNotasFiscais[[#This Row],[Data da Entrega]]&gt;fNotasFiscais[[#This Row],[Data Contratada]],0,1)</f>
        <v>1</v>
      </c>
      <c r="Y883" s="3">
        <f>IF(fNotasFiscais[[#This Row],[Ocorrência]]="",1,0)</f>
        <v>1</v>
      </c>
      <c r="Z883" s="2">
        <f>fNotasFiscais[[#This Row],[On Time]]*fNotasFiscais[[#This Row],[In Full]]</f>
        <v>1</v>
      </c>
      <c r="AA883">
        <f>IF(fNotasFiscais[[#This Row],[Nota Fiscal]]&lt;&gt;"",1,0)</f>
        <v>1</v>
      </c>
    </row>
    <row r="884" spans="1:27" x14ac:dyDescent="0.25">
      <c r="A884" s="1">
        <v>43371</v>
      </c>
      <c r="B884">
        <v>11293</v>
      </c>
      <c r="C884" s="2" t="s">
        <v>34</v>
      </c>
      <c r="D884" s="2" t="s">
        <v>35</v>
      </c>
      <c r="E884" s="2" t="s">
        <v>36</v>
      </c>
      <c r="F884">
        <v>4056</v>
      </c>
      <c r="G884" s="2" t="s">
        <v>119</v>
      </c>
      <c r="H884" s="2" t="s">
        <v>51</v>
      </c>
      <c r="I884" s="2" t="s">
        <v>73</v>
      </c>
      <c r="J884" s="2" t="s">
        <v>49</v>
      </c>
      <c r="K884" s="2" t="s">
        <v>73</v>
      </c>
      <c r="L884">
        <v>1646.93</v>
      </c>
      <c r="M884">
        <v>1</v>
      </c>
      <c r="N884">
        <v>1.1200000000000001</v>
      </c>
      <c r="O884">
        <v>6100231</v>
      </c>
      <c r="P884" s="2" t="s">
        <v>50</v>
      </c>
      <c r="Q884" s="2" t="s">
        <v>51</v>
      </c>
      <c r="R884" s="2" t="s">
        <v>30</v>
      </c>
      <c r="S884">
        <v>6</v>
      </c>
      <c r="T884" s="1">
        <v>43372</v>
      </c>
      <c r="U884" s="1">
        <v>43377</v>
      </c>
      <c r="V884" s="2" t="s">
        <v>42</v>
      </c>
      <c r="W884" s="1">
        <f>fNotasFiscais[[#This Row],[Data da Coleta]]+fNotasFiscais[[#This Row],[Prazo Contratado]]</f>
        <v>43378</v>
      </c>
      <c r="X884" s="3">
        <f>IF(fNotasFiscais[[#This Row],[Data da Entrega]]&gt;fNotasFiscais[[#This Row],[Data Contratada]],0,1)</f>
        <v>1</v>
      </c>
      <c r="Y884" s="3">
        <f>IF(fNotasFiscais[[#This Row],[Ocorrência]]="",1,0)</f>
        <v>0</v>
      </c>
      <c r="Z884" s="2">
        <f>fNotasFiscais[[#This Row],[On Time]]*fNotasFiscais[[#This Row],[In Full]]</f>
        <v>0</v>
      </c>
      <c r="AA884">
        <f>IF(fNotasFiscais[[#This Row],[Nota Fiscal]]&lt;&gt;"",1,0)</f>
        <v>1</v>
      </c>
    </row>
    <row r="885" spans="1:27" x14ac:dyDescent="0.25">
      <c r="A885" s="1">
        <v>43371</v>
      </c>
      <c r="B885">
        <v>11294</v>
      </c>
      <c r="C885" s="2" t="s">
        <v>52</v>
      </c>
      <c r="D885" s="2" t="s">
        <v>53</v>
      </c>
      <c r="E885" s="2" t="s">
        <v>33</v>
      </c>
      <c r="F885">
        <v>4056</v>
      </c>
      <c r="G885" s="2" t="s">
        <v>119</v>
      </c>
      <c r="H885" s="2" t="s">
        <v>51</v>
      </c>
      <c r="I885" s="2" t="s">
        <v>73</v>
      </c>
      <c r="J885" s="2" t="s">
        <v>49</v>
      </c>
      <c r="K885" s="2" t="s">
        <v>73</v>
      </c>
      <c r="L885">
        <v>293.44</v>
      </c>
      <c r="M885">
        <v>2</v>
      </c>
      <c r="N885">
        <v>0.16500000000000001</v>
      </c>
      <c r="O885">
        <v>6100231</v>
      </c>
      <c r="P885" s="2" t="s">
        <v>50</v>
      </c>
      <c r="Q885" s="2" t="s">
        <v>51</v>
      </c>
      <c r="R885" s="2" t="s">
        <v>30</v>
      </c>
      <c r="S885">
        <v>9</v>
      </c>
      <c r="T885" s="1">
        <v>43372</v>
      </c>
      <c r="U885" s="1">
        <v>43381</v>
      </c>
      <c r="V885" s="2"/>
      <c r="W885" s="1">
        <f>fNotasFiscais[[#This Row],[Data da Coleta]]+fNotasFiscais[[#This Row],[Prazo Contratado]]</f>
        <v>43381</v>
      </c>
      <c r="X885" s="3">
        <f>IF(fNotasFiscais[[#This Row],[Data da Entrega]]&gt;fNotasFiscais[[#This Row],[Data Contratada]],0,1)</f>
        <v>1</v>
      </c>
      <c r="Y885" s="3">
        <f>IF(fNotasFiscais[[#This Row],[Ocorrência]]="",1,0)</f>
        <v>1</v>
      </c>
      <c r="Z885" s="2">
        <f>fNotasFiscais[[#This Row],[On Time]]*fNotasFiscais[[#This Row],[In Full]]</f>
        <v>1</v>
      </c>
      <c r="AA885">
        <f>IF(fNotasFiscais[[#This Row],[Nota Fiscal]]&lt;&gt;"",1,0)</f>
        <v>1</v>
      </c>
    </row>
    <row r="886" spans="1:27" x14ac:dyDescent="0.25">
      <c r="A886" s="1">
        <v>43371</v>
      </c>
      <c r="B886">
        <v>11295</v>
      </c>
      <c r="C886" s="2" t="s">
        <v>34</v>
      </c>
      <c r="D886" s="2" t="s">
        <v>35</v>
      </c>
      <c r="E886" s="2" t="s">
        <v>36</v>
      </c>
      <c r="F886">
        <v>4022</v>
      </c>
      <c r="G886" s="2" t="s">
        <v>86</v>
      </c>
      <c r="H886" s="2" t="s">
        <v>87</v>
      </c>
      <c r="I886" s="2" t="s">
        <v>27</v>
      </c>
      <c r="J886" s="2" t="s">
        <v>28</v>
      </c>
      <c r="K886" s="2" t="s">
        <v>27</v>
      </c>
      <c r="L886">
        <v>280.2</v>
      </c>
      <c r="M886">
        <v>1</v>
      </c>
      <c r="N886">
        <v>0.16200000000000001</v>
      </c>
      <c r="O886">
        <v>6500948</v>
      </c>
      <c r="P886" s="2" t="s">
        <v>29</v>
      </c>
      <c r="Q886" s="2" t="s">
        <v>23</v>
      </c>
      <c r="R886" s="2" t="s">
        <v>30</v>
      </c>
      <c r="S886">
        <v>7</v>
      </c>
      <c r="T886" s="1">
        <v>43372</v>
      </c>
      <c r="U886" s="1">
        <v>43379</v>
      </c>
      <c r="V886" s="2"/>
      <c r="W886" s="1">
        <f>fNotasFiscais[[#This Row],[Data da Coleta]]+fNotasFiscais[[#This Row],[Prazo Contratado]]</f>
        <v>43379</v>
      </c>
      <c r="X886" s="3">
        <f>IF(fNotasFiscais[[#This Row],[Data da Entrega]]&gt;fNotasFiscais[[#This Row],[Data Contratada]],0,1)</f>
        <v>1</v>
      </c>
      <c r="Y886" s="3">
        <f>IF(fNotasFiscais[[#This Row],[Ocorrência]]="",1,0)</f>
        <v>1</v>
      </c>
      <c r="Z886" s="2">
        <f>fNotasFiscais[[#This Row],[On Time]]*fNotasFiscais[[#This Row],[In Full]]</f>
        <v>1</v>
      </c>
      <c r="AA886">
        <f>IF(fNotasFiscais[[#This Row],[Nota Fiscal]]&lt;&gt;"",1,0)</f>
        <v>1</v>
      </c>
    </row>
    <row r="887" spans="1:27" x14ac:dyDescent="0.25">
      <c r="A887" s="1">
        <v>43371</v>
      </c>
      <c r="B887">
        <v>11296</v>
      </c>
      <c r="C887" s="2" t="s">
        <v>52</v>
      </c>
      <c r="D887" s="2" t="s">
        <v>53</v>
      </c>
      <c r="E887" s="2" t="s">
        <v>33</v>
      </c>
      <c r="F887">
        <v>4056</v>
      </c>
      <c r="G887" s="2" t="s">
        <v>119</v>
      </c>
      <c r="H887" s="2" t="s">
        <v>51</v>
      </c>
      <c r="I887" s="2" t="s">
        <v>73</v>
      </c>
      <c r="J887" s="2" t="s">
        <v>49</v>
      </c>
      <c r="K887" s="2" t="s">
        <v>73</v>
      </c>
      <c r="L887">
        <v>248.29</v>
      </c>
      <c r="M887">
        <v>2</v>
      </c>
      <c r="N887">
        <v>8.7680000000000007</v>
      </c>
      <c r="O887">
        <v>6100231</v>
      </c>
      <c r="P887" s="2" t="s">
        <v>50</v>
      </c>
      <c r="Q887" s="2" t="s">
        <v>51</v>
      </c>
      <c r="R887" s="2" t="s">
        <v>30</v>
      </c>
      <c r="S887">
        <v>8</v>
      </c>
      <c r="T887" s="1">
        <v>43372</v>
      </c>
      <c r="U887" s="1">
        <v>43374</v>
      </c>
      <c r="V887" s="2"/>
      <c r="W887" s="1">
        <f>fNotasFiscais[[#This Row],[Data da Coleta]]+fNotasFiscais[[#This Row],[Prazo Contratado]]</f>
        <v>43380</v>
      </c>
      <c r="X887" s="3">
        <f>IF(fNotasFiscais[[#This Row],[Data da Entrega]]&gt;fNotasFiscais[[#This Row],[Data Contratada]],0,1)</f>
        <v>1</v>
      </c>
      <c r="Y887" s="3">
        <f>IF(fNotasFiscais[[#This Row],[Ocorrência]]="",1,0)</f>
        <v>1</v>
      </c>
      <c r="Z887" s="2">
        <f>fNotasFiscais[[#This Row],[On Time]]*fNotasFiscais[[#This Row],[In Full]]</f>
        <v>1</v>
      </c>
      <c r="AA887">
        <f>IF(fNotasFiscais[[#This Row],[Nota Fiscal]]&lt;&gt;"",1,0)</f>
        <v>1</v>
      </c>
    </row>
    <row r="888" spans="1:27" x14ac:dyDescent="0.25">
      <c r="A888" s="1">
        <v>43372</v>
      </c>
      <c r="B888">
        <v>11297</v>
      </c>
      <c r="C888" s="2" t="s">
        <v>54</v>
      </c>
      <c r="D888" s="2" t="s">
        <v>55</v>
      </c>
      <c r="E888" s="2" t="s">
        <v>56</v>
      </c>
      <c r="F888">
        <v>4058</v>
      </c>
      <c r="G888" s="2" t="s">
        <v>46</v>
      </c>
      <c r="H888" s="2" t="s">
        <v>47</v>
      </c>
      <c r="I888" s="2" t="s">
        <v>48</v>
      </c>
      <c r="J888" s="2" t="s">
        <v>49</v>
      </c>
      <c r="K888" s="2" t="s">
        <v>48</v>
      </c>
      <c r="L888">
        <v>1220.47</v>
      </c>
      <c r="M888">
        <v>1</v>
      </c>
      <c r="N888">
        <v>1.1200000000000001</v>
      </c>
      <c r="O888">
        <v>6100231</v>
      </c>
      <c r="P888" s="2" t="s">
        <v>50</v>
      </c>
      <c r="Q888" s="2" t="s">
        <v>51</v>
      </c>
      <c r="R888" s="2" t="s">
        <v>30</v>
      </c>
      <c r="S888">
        <v>2</v>
      </c>
      <c r="T888" s="1">
        <v>43373</v>
      </c>
      <c r="U888" s="1">
        <v>43376</v>
      </c>
      <c r="V888" s="2" t="s">
        <v>42</v>
      </c>
      <c r="W888" s="1">
        <f>fNotasFiscais[[#This Row],[Data da Coleta]]+fNotasFiscais[[#This Row],[Prazo Contratado]]</f>
        <v>43375</v>
      </c>
      <c r="X888" s="3">
        <f>IF(fNotasFiscais[[#This Row],[Data da Entrega]]&gt;fNotasFiscais[[#This Row],[Data Contratada]],0,1)</f>
        <v>0</v>
      </c>
      <c r="Y888" s="3">
        <f>IF(fNotasFiscais[[#This Row],[Ocorrência]]="",1,0)</f>
        <v>0</v>
      </c>
      <c r="Z888" s="2">
        <f>fNotasFiscais[[#This Row],[On Time]]*fNotasFiscais[[#This Row],[In Full]]</f>
        <v>0</v>
      </c>
      <c r="AA888">
        <f>IF(fNotasFiscais[[#This Row],[Nota Fiscal]]&lt;&gt;"",1,0)</f>
        <v>1</v>
      </c>
    </row>
    <row r="889" spans="1:27" x14ac:dyDescent="0.25">
      <c r="A889" s="1">
        <v>43372</v>
      </c>
      <c r="B889">
        <v>11298</v>
      </c>
      <c r="C889" s="2" t="s">
        <v>40</v>
      </c>
      <c r="D889" s="2" t="s">
        <v>41</v>
      </c>
      <c r="E889" s="2" t="s">
        <v>33</v>
      </c>
      <c r="F889">
        <v>4014</v>
      </c>
      <c r="G889" s="2" t="s">
        <v>58</v>
      </c>
      <c r="H889" s="2" t="s">
        <v>59</v>
      </c>
      <c r="I889" s="2" t="s">
        <v>36</v>
      </c>
      <c r="J889" s="2" t="s">
        <v>60</v>
      </c>
      <c r="K889" s="2" t="s">
        <v>36</v>
      </c>
      <c r="L889">
        <v>594.69000000000005</v>
      </c>
      <c r="M889">
        <v>1</v>
      </c>
      <c r="N889">
        <v>5.7640000000000002</v>
      </c>
      <c r="O889">
        <v>6600879</v>
      </c>
      <c r="P889" s="2" t="s">
        <v>61</v>
      </c>
      <c r="Q889" s="2" t="s">
        <v>35</v>
      </c>
      <c r="R889" s="2" t="s">
        <v>30</v>
      </c>
      <c r="S889">
        <v>9</v>
      </c>
      <c r="T889" s="1">
        <v>43373</v>
      </c>
      <c r="U889" s="1">
        <v>43378</v>
      </c>
      <c r="V889" s="2"/>
      <c r="W889" s="1">
        <f>fNotasFiscais[[#This Row],[Data da Coleta]]+fNotasFiscais[[#This Row],[Prazo Contratado]]</f>
        <v>43382</v>
      </c>
      <c r="X889" s="3">
        <f>IF(fNotasFiscais[[#This Row],[Data da Entrega]]&gt;fNotasFiscais[[#This Row],[Data Contratada]],0,1)</f>
        <v>1</v>
      </c>
      <c r="Y889" s="3">
        <f>IF(fNotasFiscais[[#This Row],[Ocorrência]]="",1,0)</f>
        <v>1</v>
      </c>
      <c r="Z889" s="2">
        <f>fNotasFiscais[[#This Row],[On Time]]*fNotasFiscais[[#This Row],[In Full]]</f>
        <v>1</v>
      </c>
      <c r="AA889">
        <f>IF(fNotasFiscais[[#This Row],[Nota Fiscal]]&lt;&gt;"",1,0)</f>
        <v>1</v>
      </c>
    </row>
    <row r="890" spans="1:27" x14ac:dyDescent="0.25">
      <c r="A890" s="1">
        <v>43372</v>
      </c>
      <c r="B890">
        <v>11299</v>
      </c>
      <c r="C890" s="2" t="s">
        <v>34</v>
      </c>
      <c r="D890" s="2" t="s">
        <v>35</v>
      </c>
      <c r="E890" s="2" t="s">
        <v>36</v>
      </c>
      <c r="F890">
        <v>4064</v>
      </c>
      <c r="G890" s="2" t="s">
        <v>128</v>
      </c>
      <c r="H890" s="2" t="s">
        <v>129</v>
      </c>
      <c r="I890" s="2" t="s">
        <v>33</v>
      </c>
      <c r="J890" s="2" t="s">
        <v>60</v>
      </c>
      <c r="K890" s="2" t="s">
        <v>33</v>
      </c>
      <c r="L890">
        <v>1029.67</v>
      </c>
      <c r="M890">
        <v>9</v>
      </c>
      <c r="N890">
        <v>0.79200000000000004</v>
      </c>
      <c r="O890">
        <v>6400835</v>
      </c>
      <c r="P890" s="2" t="s">
        <v>130</v>
      </c>
      <c r="Q890" s="2" t="s">
        <v>131</v>
      </c>
      <c r="R890" s="2" t="s">
        <v>30</v>
      </c>
      <c r="S890">
        <v>3</v>
      </c>
      <c r="T890" s="1">
        <v>43373</v>
      </c>
      <c r="U890" s="1">
        <v>43376</v>
      </c>
      <c r="V890" s="2"/>
      <c r="W890" s="1">
        <f>fNotasFiscais[[#This Row],[Data da Coleta]]+fNotasFiscais[[#This Row],[Prazo Contratado]]</f>
        <v>43376</v>
      </c>
      <c r="X890" s="3">
        <f>IF(fNotasFiscais[[#This Row],[Data da Entrega]]&gt;fNotasFiscais[[#This Row],[Data Contratada]],0,1)</f>
        <v>1</v>
      </c>
      <c r="Y890" s="3">
        <f>IF(fNotasFiscais[[#This Row],[Ocorrência]]="",1,0)</f>
        <v>1</v>
      </c>
      <c r="Z890" s="2">
        <f>fNotasFiscais[[#This Row],[On Time]]*fNotasFiscais[[#This Row],[In Full]]</f>
        <v>1</v>
      </c>
      <c r="AA890">
        <f>IF(fNotasFiscais[[#This Row],[Nota Fiscal]]&lt;&gt;"",1,0)</f>
        <v>1</v>
      </c>
    </row>
    <row r="891" spans="1:27" x14ac:dyDescent="0.25">
      <c r="A891" s="1">
        <v>43372</v>
      </c>
      <c r="B891">
        <v>11300</v>
      </c>
      <c r="C891" s="2" t="s">
        <v>34</v>
      </c>
      <c r="D891" s="2" t="s">
        <v>35</v>
      </c>
      <c r="E891" s="2" t="s">
        <v>36</v>
      </c>
      <c r="F891">
        <v>4064</v>
      </c>
      <c r="G891" s="2" t="s">
        <v>128</v>
      </c>
      <c r="H891" s="2" t="s">
        <v>129</v>
      </c>
      <c r="I891" s="2" t="s">
        <v>33</v>
      </c>
      <c r="J891" s="2" t="s">
        <v>60</v>
      </c>
      <c r="K891" s="2" t="s">
        <v>33</v>
      </c>
      <c r="L891">
        <v>1464.81</v>
      </c>
      <c r="M891">
        <v>3</v>
      </c>
      <c r="N891">
        <v>11.704000000000001</v>
      </c>
      <c r="O891">
        <v>6400835</v>
      </c>
      <c r="P891" s="2" t="s">
        <v>130</v>
      </c>
      <c r="Q891" s="2" t="s">
        <v>131</v>
      </c>
      <c r="R891" s="2" t="s">
        <v>30</v>
      </c>
      <c r="S891">
        <v>4</v>
      </c>
      <c r="T891" s="1">
        <v>43373</v>
      </c>
      <c r="U891" s="1">
        <v>43382</v>
      </c>
      <c r="V891" s="2"/>
      <c r="W891" s="1">
        <f>fNotasFiscais[[#This Row],[Data da Coleta]]+fNotasFiscais[[#This Row],[Prazo Contratado]]</f>
        <v>43377</v>
      </c>
      <c r="X891" s="3">
        <f>IF(fNotasFiscais[[#This Row],[Data da Entrega]]&gt;fNotasFiscais[[#This Row],[Data Contratada]],0,1)</f>
        <v>0</v>
      </c>
      <c r="Y891" s="3">
        <f>IF(fNotasFiscais[[#This Row],[Ocorrência]]="",1,0)</f>
        <v>1</v>
      </c>
      <c r="Z891" s="2">
        <f>fNotasFiscais[[#This Row],[On Time]]*fNotasFiscais[[#This Row],[In Full]]</f>
        <v>0</v>
      </c>
      <c r="AA891">
        <f>IF(fNotasFiscais[[#This Row],[Nota Fiscal]]&lt;&gt;"",1,0)</f>
        <v>1</v>
      </c>
    </row>
    <row r="892" spans="1:27" x14ac:dyDescent="0.25">
      <c r="A892" s="1">
        <v>43372</v>
      </c>
      <c r="B892">
        <v>11301</v>
      </c>
      <c r="C892" s="2" t="s">
        <v>40</v>
      </c>
      <c r="D892" s="2" t="s">
        <v>41</v>
      </c>
      <c r="E892" s="2" t="s">
        <v>33</v>
      </c>
      <c r="F892">
        <v>4018</v>
      </c>
      <c r="G892" s="2" t="s">
        <v>77</v>
      </c>
      <c r="H892" s="2" t="s">
        <v>78</v>
      </c>
      <c r="I892" s="2" t="s">
        <v>39</v>
      </c>
      <c r="J892" s="2" t="s">
        <v>28</v>
      </c>
      <c r="K892" s="2" t="s">
        <v>39</v>
      </c>
      <c r="L892">
        <v>145.72999999999999</v>
      </c>
      <c r="M892">
        <v>1</v>
      </c>
      <c r="N892">
        <v>0.16500000000000001</v>
      </c>
      <c r="O892">
        <v>6500948</v>
      </c>
      <c r="P892" s="2" t="s">
        <v>29</v>
      </c>
      <c r="Q892" s="2" t="s">
        <v>23</v>
      </c>
      <c r="R892" s="2" t="s">
        <v>30</v>
      </c>
      <c r="S892">
        <v>11</v>
      </c>
      <c r="T892" s="1">
        <v>43373</v>
      </c>
      <c r="U892" s="1">
        <v>43374</v>
      </c>
      <c r="V892" s="2"/>
      <c r="W892" s="1">
        <f>fNotasFiscais[[#This Row],[Data da Coleta]]+fNotasFiscais[[#This Row],[Prazo Contratado]]</f>
        <v>43384</v>
      </c>
      <c r="X892" s="3">
        <f>IF(fNotasFiscais[[#This Row],[Data da Entrega]]&gt;fNotasFiscais[[#This Row],[Data Contratada]],0,1)</f>
        <v>1</v>
      </c>
      <c r="Y892" s="3">
        <f>IF(fNotasFiscais[[#This Row],[Ocorrência]]="",1,0)</f>
        <v>1</v>
      </c>
      <c r="Z892" s="2">
        <f>fNotasFiscais[[#This Row],[On Time]]*fNotasFiscais[[#This Row],[In Full]]</f>
        <v>1</v>
      </c>
      <c r="AA892">
        <f>IF(fNotasFiscais[[#This Row],[Nota Fiscal]]&lt;&gt;"",1,0)</f>
        <v>1</v>
      </c>
    </row>
    <row r="893" spans="1:27" x14ac:dyDescent="0.25">
      <c r="A893" s="1">
        <v>43372</v>
      </c>
      <c r="B893">
        <v>11302</v>
      </c>
      <c r="C893" s="2" t="s">
        <v>34</v>
      </c>
      <c r="D893" s="2" t="s">
        <v>35</v>
      </c>
      <c r="E893" s="2" t="s">
        <v>36</v>
      </c>
      <c r="F893">
        <v>4014</v>
      </c>
      <c r="G893" s="2" t="s">
        <v>58</v>
      </c>
      <c r="H893" s="2" t="s">
        <v>59</v>
      </c>
      <c r="I893" s="2" t="s">
        <v>36</v>
      </c>
      <c r="J893" s="2" t="s">
        <v>60</v>
      </c>
      <c r="K893" s="2" t="s">
        <v>36</v>
      </c>
      <c r="L893">
        <v>2684.99</v>
      </c>
      <c r="M893">
        <v>1</v>
      </c>
      <c r="N893">
        <v>13.904</v>
      </c>
      <c r="O893">
        <v>6600879</v>
      </c>
      <c r="P893" s="2" t="s">
        <v>61</v>
      </c>
      <c r="Q893" s="2" t="s">
        <v>35</v>
      </c>
      <c r="R893" s="2" t="s">
        <v>30</v>
      </c>
      <c r="S893">
        <v>12</v>
      </c>
      <c r="T893" s="1">
        <v>43373</v>
      </c>
      <c r="U893" s="1">
        <v>43375</v>
      </c>
      <c r="V893" s="2" t="s">
        <v>57</v>
      </c>
      <c r="W893" s="1">
        <f>fNotasFiscais[[#This Row],[Data da Coleta]]+fNotasFiscais[[#This Row],[Prazo Contratado]]</f>
        <v>43385</v>
      </c>
      <c r="X893" s="3">
        <f>IF(fNotasFiscais[[#This Row],[Data da Entrega]]&gt;fNotasFiscais[[#This Row],[Data Contratada]],0,1)</f>
        <v>1</v>
      </c>
      <c r="Y893" s="3">
        <f>IF(fNotasFiscais[[#This Row],[Ocorrência]]="",1,0)</f>
        <v>0</v>
      </c>
      <c r="Z893" s="2">
        <f>fNotasFiscais[[#This Row],[On Time]]*fNotasFiscais[[#This Row],[In Full]]</f>
        <v>0</v>
      </c>
      <c r="AA893">
        <f>IF(fNotasFiscais[[#This Row],[Nota Fiscal]]&lt;&gt;"",1,0)</f>
        <v>1</v>
      </c>
    </row>
    <row r="894" spans="1:27" x14ac:dyDescent="0.25">
      <c r="A894" s="1">
        <v>43372</v>
      </c>
      <c r="B894">
        <v>11303</v>
      </c>
      <c r="C894" s="2" t="s">
        <v>34</v>
      </c>
      <c r="D894" s="2" t="s">
        <v>35</v>
      </c>
      <c r="E894" s="2" t="s">
        <v>36</v>
      </c>
      <c r="F894">
        <v>4064</v>
      </c>
      <c r="G894" s="2" t="s">
        <v>128</v>
      </c>
      <c r="H894" s="2" t="s">
        <v>129</v>
      </c>
      <c r="I894" s="2" t="s">
        <v>33</v>
      </c>
      <c r="J894" s="2" t="s">
        <v>60</v>
      </c>
      <c r="K894" s="2" t="s">
        <v>33</v>
      </c>
      <c r="L894">
        <v>846.08</v>
      </c>
      <c r="M894">
        <v>1</v>
      </c>
      <c r="N894">
        <v>5.7759999999999998</v>
      </c>
      <c r="O894">
        <v>6400835</v>
      </c>
      <c r="P894" s="2" t="s">
        <v>130</v>
      </c>
      <c r="Q894" s="2" t="s">
        <v>131</v>
      </c>
      <c r="R894" s="2" t="s">
        <v>62</v>
      </c>
      <c r="S894">
        <v>10</v>
      </c>
      <c r="T894" s="1">
        <v>43373</v>
      </c>
      <c r="U894" s="1">
        <v>43374</v>
      </c>
      <c r="V894" s="2"/>
      <c r="W894" s="1">
        <f>fNotasFiscais[[#This Row],[Data da Coleta]]+fNotasFiscais[[#This Row],[Prazo Contratado]]</f>
        <v>43383</v>
      </c>
      <c r="X894" s="3">
        <f>IF(fNotasFiscais[[#This Row],[Data da Entrega]]&gt;fNotasFiscais[[#This Row],[Data Contratada]],0,1)</f>
        <v>1</v>
      </c>
      <c r="Y894" s="3">
        <f>IF(fNotasFiscais[[#This Row],[Ocorrência]]="",1,0)</f>
        <v>1</v>
      </c>
      <c r="Z894" s="2">
        <f>fNotasFiscais[[#This Row],[On Time]]*fNotasFiscais[[#This Row],[In Full]]</f>
        <v>1</v>
      </c>
      <c r="AA894">
        <f>IF(fNotasFiscais[[#This Row],[Nota Fiscal]]&lt;&gt;"",1,0)</f>
        <v>1</v>
      </c>
    </row>
    <row r="895" spans="1:27" x14ac:dyDescent="0.25">
      <c r="A895" s="1">
        <v>43372</v>
      </c>
      <c r="B895">
        <v>11304</v>
      </c>
      <c r="C895" s="2" t="s">
        <v>52</v>
      </c>
      <c r="D895" s="2" t="s">
        <v>53</v>
      </c>
      <c r="E895" s="2" t="s">
        <v>33</v>
      </c>
      <c r="F895">
        <v>4064</v>
      </c>
      <c r="G895" s="2" t="s">
        <v>128</v>
      </c>
      <c r="H895" s="2" t="s">
        <v>129</v>
      </c>
      <c r="I895" s="2" t="s">
        <v>33</v>
      </c>
      <c r="J895" s="2" t="s">
        <v>60</v>
      </c>
      <c r="K895" s="2" t="s">
        <v>33</v>
      </c>
      <c r="L895">
        <v>728.8</v>
      </c>
      <c r="M895">
        <v>2</v>
      </c>
      <c r="N895">
        <v>4.62</v>
      </c>
      <c r="O895">
        <v>6400835</v>
      </c>
      <c r="P895" s="2" t="s">
        <v>130</v>
      </c>
      <c r="Q895" s="2" t="s">
        <v>131</v>
      </c>
      <c r="R895" s="2" t="s">
        <v>30</v>
      </c>
      <c r="S895">
        <v>10</v>
      </c>
      <c r="T895" s="1">
        <v>43373</v>
      </c>
      <c r="U895" s="1">
        <v>43382</v>
      </c>
      <c r="V895" s="2"/>
      <c r="W895" s="1">
        <f>fNotasFiscais[[#This Row],[Data da Coleta]]+fNotasFiscais[[#This Row],[Prazo Contratado]]</f>
        <v>43383</v>
      </c>
      <c r="X895" s="3">
        <f>IF(fNotasFiscais[[#This Row],[Data da Entrega]]&gt;fNotasFiscais[[#This Row],[Data Contratada]],0,1)</f>
        <v>1</v>
      </c>
      <c r="Y895" s="3">
        <f>IF(fNotasFiscais[[#This Row],[Ocorrência]]="",1,0)</f>
        <v>1</v>
      </c>
      <c r="Z895" s="2">
        <f>fNotasFiscais[[#This Row],[On Time]]*fNotasFiscais[[#This Row],[In Full]]</f>
        <v>1</v>
      </c>
      <c r="AA895">
        <f>IF(fNotasFiscais[[#This Row],[Nota Fiscal]]&lt;&gt;"",1,0)</f>
        <v>1</v>
      </c>
    </row>
    <row r="896" spans="1:27" x14ac:dyDescent="0.25">
      <c r="A896" s="1">
        <v>43372</v>
      </c>
      <c r="B896">
        <v>11305</v>
      </c>
      <c r="C896" s="2" t="s">
        <v>22</v>
      </c>
      <c r="D896" s="2" t="s">
        <v>23</v>
      </c>
      <c r="E896" s="2" t="s">
        <v>24</v>
      </c>
      <c r="F896">
        <v>4058</v>
      </c>
      <c r="G896" s="2" t="s">
        <v>46</v>
      </c>
      <c r="H896" s="2" t="s">
        <v>47</v>
      </c>
      <c r="I896" s="2" t="s">
        <v>48</v>
      </c>
      <c r="J896" s="2" t="s">
        <v>49</v>
      </c>
      <c r="K896" s="2" t="s">
        <v>48</v>
      </c>
      <c r="L896">
        <v>989.88</v>
      </c>
      <c r="M896">
        <v>2</v>
      </c>
      <c r="N896">
        <v>3.992</v>
      </c>
      <c r="O896">
        <v>6100231</v>
      </c>
      <c r="P896" s="2" t="s">
        <v>50</v>
      </c>
      <c r="Q896" s="2" t="s">
        <v>51</v>
      </c>
      <c r="R896" s="2" t="s">
        <v>30</v>
      </c>
      <c r="S896">
        <v>8</v>
      </c>
      <c r="T896" s="1">
        <v>43373</v>
      </c>
      <c r="U896" s="1">
        <v>43380</v>
      </c>
      <c r="V896" s="2"/>
      <c r="W896" s="1">
        <f>fNotasFiscais[[#This Row],[Data da Coleta]]+fNotasFiscais[[#This Row],[Prazo Contratado]]</f>
        <v>43381</v>
      </c>
      <c r="X896" s="3">
        <f>IF(fNotasFiscais[[#This Row],[Data da Entrega]]&gt;fNotasFiscais[[#This Row],[Data Contratada]],0,1)</f>
        <v>1</v>
      </c>
      <c r="Y896" s="3">
        <f>IF(fNotasFiscais[[#This Row],[Ocorrência]]="",1,0)</f>
        <v>1</v>
      </c>
      <c r="Z896" s="2">
        <f>fNotasFiscais[[#This Row],[On Time]]*fNotasFiscais[[#This Row],[In Full]]</f>
        <v>1</v>
      </c>
      <c r="AA896">
        <f>IF(fNotasFiscais[[#This Row],[Nota Fiscal]]&lt;&gt;"",1,0)</f>
        <v>1</v>
      </c>
    </row>
    <row r="897" spans="1:27" x14ac:dyDescent="0.25">
      <c r="A897" s="1">
        <v>43372</v>
      </c>
      <c r="B897">
        <v>11306</v>
      </c>
      <c r="C897" s="2" t="s">
        <v>31</v>
      </c>
      <c r="D897" s="2" t="s">
        <v>32</v>
      </c>
      <c r="E897" s="2" t="s">
        <v>33</v>
      </c>
      <c r="F897">
        <v>4049</v>
      </c>
      <c r="G897" s="2" t="s">
        <v>118</v>
      </c>
      <c r="H897" s="2" t="s">
        <v>97</v>
      </c>
      <c r="I897" s="2" t="s">
        <v>48</v>
      </c>
      <c r="J897" s="2" t="s">
        <v>49</v>
      </c>
      <c r="K897" s="2" t="s">
        <v>48</v>
      </c>
      <c r="L897">
        <v>464.38</v>
      </c>
      <c r="M897">
        <v>1</v>
      </c>
      <c r="N897">
        <v>2.5299999999999998</v>
      </c>
      <c r="O897">
        <v>6100231</v>
      </c>
      <c r="P897" s="2" t="s">
        <v>50</v>
      </c>
      <c r="Q897" s="2" t="s">
        <v>51</v>
      </c>
      <c r="R897" s="2" t="s">
        <v>30</v>
      </c>
      <c r="S897">
        <v>5</v>
      </c>
      <c r="T897" s="1">
        <v>43373</v>
      </c>
      <c r="U897" s="1">
        <v>43376</v>
      </c>
      <c r="V897" s="2"/>
      <c r="W897" s="1">
        <f>fNotasFiscais[[#This Row],[Data da Coleta]]+fNotasFiscais[[#This Row],[Prazo Contratado]]</f>
        <v>43378</v>
      </c>
      <c r="X897" s="3">
        <f>IF(fNotasFiscais[[#This Row],[Data da Entrega]]&gt;fNotasFiscais[[#This Row],[Data Contratada]],0,1)</f>
        <v>1</v>
      </c>
      <c r="Y897" s="3">
        <f>IF(fNotasFiscais[[#This Row],[Ocorrência]]="",1,0)</f>
        <v>1</v>
      </c>
      <c r="Z897" s="2">
        <f>fNotasFiscais[[#This Row],[On Time]]*fNotasFiscais[[#This Row],[In Full]]</f>
        <v>1</v>
      </c>
      <c r="AA897">
        <f>IF(fNotasFiscais[[#This Row],[Nota Fiscal]]&lt;&gt;"",1,0)</f>
        <v>1</v>
      </c>
    </row>
    <row r="898" spans="1:27" x14ac:dyDescent="0.25">
      <c r="A898" s="1">
        <v>43372</v>
      </c>
      <c r="B898">
        <v>11307</v>
      </c>
      <c r="C898" s="2" t="s">
        <v>40</v>
      </c>
      <c r="D898" s="2" t="s">
        <v>41</v>
      </c>
      <c r="E898" s="2" t="s">
        <v>33</v>
      </c>
      <c r="F898">
        <v>4014</v>
      </c>
      <c r="G898" s="2" t="s">
        <v>58</v>
      </c>
      <c r="H898" s="2" t="s">
        <v>59</v>
      </c>
      <c r="I898" s="2" t="s">
        <v>36</v>
      </c>
      <c r="J898" s="2" t="s">
        <v>60</v>
      </c>
      <c r="K898" s="2" t="s">
        <v>36</v>
      </c>
      <c r="L898">
        <v>426.04</v>
      </c>
      <c r="M898">
        <v>1</v>
      </c>
      <c r="N898">
        <v>0.51700000000000002</v>
      </c>
      <c r="O898">
        <v>6600879</v>
      </c>
      <c r="P898" s="2" t="s">
        <v>61</v>
      </c>
      <c r="Q898" s="2" t="s">
        <v>35</v>
      </c>
      <c r="R898" s="2" t="s">
        <v>30</v>
      </c>
      <c r="S898">
        <v>1</v>
      </c>
      <c r="T898" s="1">
        <v>43373</v>
      </c>
      <c r="U898" s="1">
        <v>43374</v>
      </c>
      <c r="V898" s="2" t="s">
        <v>57</v>
      </c>
      <c r="W898" s="1">
        <f>fNotasFiscais[[#This Row],[Data da Coleta]]+fNotasFiscais[[#This Row],[Prazo Contratado]]</f>
        <v>43374</v>
      </c>
      <c r="X898" s="3">
        <f>IF(fNotasFiscais[[#This Row],[Data da Entrega]]&gt;fNotasFiscais[[#This Row],[Data Contratada]],0,1)</f>
        <v>1</v>
      </c>
      <c r="Y898" s="3">
        <f>IF(fNotasFiscais[[#This Row],[Ocorrência]]="",1,0)</f>
        <v>0</v>
      </c>
      <c r="Z898" s="2">
        <f>fNotasFiscais[[#This Row],[On Time]]*fNotasFiscais[[#This Row],[In Full]]</f>
        <v>0</v>
      </c>
      <c r="AA898">
        <f>IF(fNotasFiscais[[#This Row],[Nota Fiscal]]&lt;&gt;"",1,0)</f>
        <v>1</v>
      </c>
    </row>
    <row r="899" spans="1:27" x14ac:dyDescent="0.25">
      <c r="A899" s="1">
        <v>43373</v>
      </c>
      <c r="B899">
        <v>11308</v>
      </c>
      <c r="C899" s="2" t="s">
        <v>31</v>
      </c>
      <c r="D899" s="2" t="s">
        <v>32</v>
      </c>
      <c r="E899" s="2" t="s">
        <v>33</v>
      </c>
      <c r="F899">
        <v>4064</v>
      </c>
      <c r="G899" s="2" t="s">
        <v>128</v>
      </c>
      <c r="H899" s="2" t="s">
        <v>129</v>
      </c>
      <c r="I899" s="2" t="s">
        <v>33</v>
      </c>
      <c r="J899" s="2" t="s">
        <v>60</v>
      </c>
      <c r="K899" s="2" t="s">
        <v>33</v>
      </c>
      <c r="L899">
        <v>219.4</v>
      </c>
      <c r="M899">
        <v>1</v>
      </c>
      <c r="N899">
        <v>1.1200000000000001</v>
      </c>
      <c r="O899">
        <v>6400835</v>
      </c>
      <c r="P899" s="2" t="s">
        <v>130</v>
      </c>
      <c r="Q899" s="2" t="s">
        <v>131</v>
      </c>
      <c r="R899" s="2" t="s">
        <v>30</v>
      </c>
      <c r="S899">
        <v>3</v>
      </c>
      <c r="T899" s="1">
        <v>43373</v>
      </c>
      <c r="U899" s="1">
        <v>43381</v>
      </c>
      <c r="V899" s="2"/>
      <c r="W899" s="1">
        <f>fNotasFiscais[[#This Row],[Data da Coleta]]+fNotasFiscais[[#This Row],[Prazo Contratado]]</f>
        <v>43376</v>
      </c>
      <c r="X899" s="3">
        <f>IF(fNotasFiscais[[#This Row],[Data da Entrega]]&gt;fNotasFiscais[[#This Row],[Data Contratada]],0,1)</f>
        <v>0</v>
      </c>
      <c r="Y899" s="3">
        <f>IF(fNotasFiscais[[#This Row],[Ocorrência]]="",1,0)</f>
        <v>1</v>
      </c>
      <c r="Z899" s="2">
        <f>fNotasFiscais[[#This Row],[On Time]]*fNotasFiscais[[#This Row],[In Full]]</f>
        <v>0</v>
      </c>
      <c r="AA899">
        <f>IF(fNotasFiscais[[#This Row],[Nota Fiscal]]&lt;&gt;"",1,0)</f>
        <v>1</v>
      </c>
    </row>
    <row r="900" spans="1:27" x14ac:dyDescent="0.25">
      <c r="A900" s="1">
        <v>43373</v>
      </c>
      <c r="B900">
        <v>11309</v>
      </c>
      <c r="C900" s="2" t="s">
        <v>31</v>
      </c>
      <c r="D900" s="2" t="s">
        <v>32</v>
      </c>
      <c r="E900" s="2" t="s">
        <v>33</v>
      </c>
      <c r="F900">
        <v>4064</v>
      </c>
      <c r="G900" s="2" t="s">
        <v>128</v>
      </c>
      <c r="H900" s="2" t="s">
        <v>129</v>
      </c>
      <c r="I900" s="2" t="s">
        <v>33</v>
      </c>
      <c r="J900" s="2" t="s">
        <v>60</v>
      </c>
      <c r="K900" s="2" t="s">
        <v>33</v>
      </c>
      <c r="L900">
        <v>562.01</v>
      </c>
      <c r="M900">
        <v>1</v>
      </c>
      <c r="N900">
        <v>1.1200000000000001</v>
      </c>
      <c r="O900">
        <v>6400835</v>
      </c>
      <c r="P900" s="2" t="s">
        <v>130</v>
      </c>
      <c r="Q900" s="2" t="s">
        <v>131</v>
      </c>
      <c r="R900" s="2" t="s">
        <v>30</v>
      </c>
      <c r="S900">
        <v>2</v>
      </c>
      <c r="T900" s="1">
        <v>43373</v>
      </c>
      <c r="U900" s="1">
        <v>43374</v>
      </c>
      <c r="V900" s="2"/>
      <c r="W900" s="1">
        <f>fNotasFiscais[[#This Row],[Data da Coleta]]+fNotasFiscais[[#This Row],[Prazo Contratado]]</f>
        <v>43375</v>
      </c>
      <c r="X900" s="3">
        <f>IF(fNotasFiscais[[#This Row],[Data da Entrega]]&gt;fNotasFiscais[[#This Row],[Data Contratada]],0,1)</f>
        <v>1</v>
      </c>
      <c r="Y900" s="3">
        <f>IF(fNotasFiscais[[#This Row],[Ocorrência]]="",1,0)</f>
        <v>1</v>
      </c>
      <c r="Z900" s="2">
        <f>fNotasFiscais[[#This Row],[On Time]]*fNotasFiscais[[#This Row],[In Full]]</f>
        <v>1</v>
      </c>
      <c r="AA900">
        <f>IF(fNotasFiscais[[#This Row],[Nota Fiscal]]&lt;&gt;"",1,0)</f>
        <v>1</v>
      </c>
    </row>
    <row r="901" spans="1:27" x14ac:dyDescent="0.25">
      <c r="A901" s="1">
        <v>43373</v>
      </c>
      <c r="B901">
        <v>11310</v>
      </c>
      <c r="C901" s="2" t="s">
        <v>54</v>
      </c>
      <c r="D901" s="2" t="s">
        <v>55</v>
      </c>
      <c r="E901" s="2" t="s">
        <v>56</v>
      </c>
      <c r="F901">
        <v>4058</v>
      </c>
      <c r="G901" s="2" t="s">
        <v>46</v>
      </c>
      <c r="H901" s="2" t="s">
        <v>47</v>
      </c>
      <c r="I901" s="2" t="s">
        <v>48</v>
      </c>
      <c r="J901" s="2" t="s">
        <v>49</v>
      </c>
      <c r="K901" s="2" t="s">
        <v>48</v>
      </c>
      <c r="L901">
        <v>2037.29</v>
      </c>
      <c r="M901">
        <v>3</v>
      </c>
      <c r="N901">
        <v>9.6839999999999993</v>
      </c>
      <c r="O901">
        <v>6100231</v>
      </c>
      <c r="P901" s="2" t="s">
        <v>50</v>
      </c>
      <c r="Q901" s="2" t="s">
        <v>51</v>
      </c>
      <c r="R901" s="2" t="s">
        <v>30</v>
      </c>
      <c r="S901">
        <v>8</v>
      </c>
      <c r="T901" s="1">
        <v>43373</v>
      </c>
      <c r="U901" s="1">
        <v>43383</v>
      </c>
      <c r="V901" s="2"/>
      <c r="W901" s="1">
        <f>fNotasFiscais[[#This Row],[Data da Coleta]]+fNotasFiscais[[#This Row],[Prazo Contratado]]</f>
        <v>43381</v>
      </c>
      <c r="X901" s="3">
        <f>IF(fNotasFiscais[[#This Row],[Data da Entrega]]&gt;fNotasFiscais[[#This Row],[Data Contratada]],0,1)</f>
        <v>0</v>
      </c>
      <c r="Y901" s="3">
        <f>IF(fNotasFiscais[[#This Row],[Ocorrência]]="",1,0)</f>
        <v>1</v>
      </c>
      <c r="Z901" s="2">
        <f>fNotasFiscais[[#This Row],[On Time]]*fNotasFiscais[[#This Row],[In Full]]</f>
        <v>0</v>
      </c>
      <c r="AA901">
        <f>IF(fNotasFiscais[[#This Row],[Nota Fiscal]]&lt;&gt;"",1,0)</f>
        <v>1</v>
      </c>
    </row>
    <row r="902" spans="1:27" x14ac:dyDescent="0.25">
      <c r="A902" s="1">
        <v>43373</v>
      </c>
      <c r="B902">
        <v>11311</v>
      </c>
      <c r="C902" s="2" t="s">
        <v>34</v>
      </c>
      <c r="D902" s="2" t="s">
        <v>35</v>
      </c>
      <c r="E902" s="2" t="s">
        <v>36</v>
      </c>
      <c r="F902">
        <v>4056</v>
      </c>
      <c r="G902" s="2" t="s">
        <v>119</v>
      </c>
      <c r="H902" s="2" t="s">
        <v>51</v>
      </c>
      <c r="I902" s="2" t="s">
        <v>73</v>
      </c>
      <c r="J902" s="2" t="s">
        <v>49</v>
      </c>
      <c r="K902" s="2" t="s">
        <v>73</v>
      </c>
      <c r="L902">
        <v>519.36</v>
      </c>
      <c r="M902">
        <v>1</v>
      </c>
      <c r="N902">
        <v>15.18</v>
      </c>
      <c r="O902">
        <v>6100231</v>
      </c>
      <c r="P902" s="2" t="s">
        <v>50</v>
      </c>
      <c r="Q902" s="2" t="s">
        <v>51</v>
      </c>
      <c r="R902" s="2" t="s">
        <v>30</v>
      </c>
      <c r="S902">
        <v>3</v>
      </c>
      <c r="T902" s="1">
        <v>43373</v>
      </c>
      <c r="U902" s="1">
        <v>43381</v>
      </c>
      <c r="V902" s="2"/>
      <c r="W902" s="1">
        <f>fNotasFiscais[[#This Row],[Data da Coleta]]+fNotasFiscais[[#This Row],[Prazo Contratado]]</f>
        <v>43376</v>
      </c>
      <c r="X902" s="3">
        <f>IF(fNotasFiscais[[#This Row],[Data da Entrega]]&gt;fNotasFiscais[[#This Row],[Data Contratada]],0,1)</f>
        <v>0</v>
      </c>
      <c r="Y902" s="3">
        <f>IF(fNotasFiscais[[#This Row],[Ocorrência]]="",1,0)</f>
        <v>1</v>
      </c>
      <c r="Z902" s="2">
        <f>fNotasFiscais[[#This Row],[On Time]]*fNotasFiscais[[#This Row],[In Full]]</f>
        <v>0</v>
      </c>
      <c r="AA902">
        <f>IF(fNotasFiscais[[#This Row],[Nota Fiscal]]&lt;&gt;"",1,0)</f>
        <v>1</v>
      </c>
    </row>
    <row r="903" spans="1:27" x14ac:dyDescent="0.25">
      <c r="A903" s="1">
        <v>43373</v>
      </c>
      <c r="B903">
        <v>11312</v>
      </c>
      <c r="C903" s="2" t="s">
        <v>40</v>
      </c>
      <c r="D903" s="2" t="s">
        <v>41</v>
      </c>
      <c r="E903" s="2" t="s">
        <v>33</v>
      </c>
      <c r="F903">
        <v>4032</v>
      </c>
      <c r="G903" s="2" t="s">
        <v>108</v>
      </c>
      <c r="H903" s="2" t="s">
        <v>51</v>
      </c>
      <c r="I903" s="2" t="s">
        <v>73</v>
      </c>
      <c r="J903" s="2" t="s">
        <v>49</v>
      </c>
      <c r="K903" s="2" t="s">
        <v>73</v>
      </c>
      <c r="L903">
        <v>232.05</v>
      </c>
      <c r="M903">
        <v>1</v>
      </c>
      <c r="N903">
        <v>8.8000000000000007</v>
      </c>
      <c r="O903">
        <v>6100231</v>
      </c>
      <c r="P903" s="2" t="s">
        <v>50</v>
      </c>
      <c r="Q903" s="2" t="s">
        <v>51</v>
      </c>
      <c r="R903" s="2" t="s">
        <v>30</v>
      </c>
      <c r="S903">
        <v>6</v>
      </c>
      <c r="T903" s="1">
        <v>43373</v>
      </c>
      <c r="U903" s="1">
        <v>43381</v>
      </c>
      <c r="V903" s="2"/>
      <c r="W903" s="1">
        <f>fNotasFiscais[[#This Row],[Data da Coleta]]+fNotasFiscais[[#This Row],[Prazo Contratado]]</f>
        <v>43379</v>
      </c>
      <c r="X903" s="3">
        <f>IF(fNotasFiscais[[#This Row],[Data da Entrega]]&gt;fNotasFiscais[[#This Row],[Data Contratada]],0,1)</f>
        <v>0</v>
      </c>
      <c r="Y903" s="3">
        <f>IF(fNotasFiscais[[#This Row],[Ocorrência]]="",1,0)</f>
        <v>1</v>
      </c>
      <c r="Z903" s="2">
        <f>fNotasFiscais[[#This Row],[On Time]]*fNotasFiscais[[#This Row],[In Full]]</f>
        <v>0</v>
      </c>
      <c r="AA903">
        <f>IF(fNotasFiscais[[#This Row],[Nota Fiscal]]&lt;&gt;"",1,0)</f>
        <v>1</v>
      </c>
    </row>
    <row r="904" spans="1:27" x14ac:dyDescent="0.25">
      <c r="A904" s="1">
        <v>43373</v>
      </c>
      <c r="B904">
        <v>11313</v>
      </c>
      <c r="C904" s="2" t="s">
        <v>54</v>
      </c>
      <c r="D904" s="2" t="s">
        <v>55</v>
      </c>
      <c r="E904" s="2" t="s">
        <v>56</v>
      </c>
      <c r="F904">
        <v>4083</v>
      </c>
      <c r="G904" s="2" t="s">
        <v>154</v>
      </c>
      <c r="H904" s="2" t="s">
        <v>141</v>
      </c>
      <c r="I904" s="2" t="s">
        <v>33</v>
      </c>
      <c r="J904" s="2" t="s">
        <v>60</v>
      </c>
      <c r="K904" s="2" t="s">
        <v>33</v>
      </c>
      <c r="L904">
        <v>1314.54</v>
      </c>
      <c r="M904">
        <v>1</v>
      </c>
      <c r="N904">
        <v>4.18</v>
      </c>
      <c r="O904">
        <v>6400835</v>
      </c>
      <c r="P904" s="2" t="s">
        <v>130</v>
      </c>
      <c r="Q904" s="2" t="s">
        <v>131</v>
      </c>
      <c r="R904" s="2" t="s">
        <v>30</v>
      </c>
      <c r="S904">
        <v>4</v>
      </c>
      <c r="T904" s="1">
        <v>43373</v>
      </c>
      <c r="U904" s="1">
        <v>43383</v>
      </c>
      <c r="V904" s="2"/>
      <c r="W904" s="1">
        <f>fNotasFiscais[[#This Row],[Data da Coleta]]+fNotasFiscais[[#This Row],[Prazo Contratado]]</f>
        <v>43377</v>
      </c>
      <c r="X904" s="3">
        <f>IF(fNotasFiscais[[#This Row],[Data da Entrega]]&gt;fNotasFiscais[[#This Row],[Data Contratada]],0,1)</f>
        <v>0</v>
      </c>
      <c r="Y904" s="3">
        <f>IF(fNotasFiscais[[#This Row],[Ocorrência]]="",1,0)</f>
        <v>1</v>
      </c>
      <c r="Z904" s="2">
        <f>fNotasFiscais[[#This Row],[On Time]]*fNotasFiscais[[#This Row],[In Full]]</f>
        <v>0</v>
      </c>
      <c r="AA904">
        <f>IF(fNotasFiscais[[#This Row],[Nota Fiscal]]&lt;&gt;"",1,0)</f>
        <v>1</v>
      </c>
    </row>
    <row r="905" spans="1:27" x14ac:dyDescent="0.25">
      <c r="A905" s="1">
        <v>43373</v>
      </c>
      <c r="B905">
        <v>11314</v>
      </c>
      <c r="C905" s="2" t="s">
        <v>22</v>
      </c>
      <c r="D905" s="2" t="s">
        <v>23</v>
      </c>
      <c r="E905" s="2" t="s">
        <v>24</v>
      </c>
      <c r="F905">
        <v>4049</v>
      </c>
      <c r="G905" s="2" t="s">
        <v>118</v>
      </c>
      <c r="H905" s="2" t="s">
        <v>97</v>
      </c>
      <c r="I905" s="2" t="s">
        <v>48</v>
      </c>
      <c r="J905" s="2" t="s">
        <v>49</v>
      </c>
      <c r="K905" s="2" t="s">
        <v>48</v>
      </c>
      <c r="L905">
        <v>183.61</v>
      </c>
      <c r="M905">
        <v>1</v>
      </c>
      <c r="N905">
        <v>5.0599999999999996</v>
      </c>
      <c r="O905">
        <v>6100231</v>
      </c>
      <c r="P905" s="2" t="s">
        <v>50</v>
      </c>
      <c r="Q905" s="2" t="s">
        <v>51</v>
      </c>
      <c r="R905" s="2" t="s">
        <v>30</v>
      </c>
      <c r="S905">
        <v>8</v>
      </c>
      <c r="T905" s="1">
        <v>43373</v>
      </c>
      <c r="U905" s="1">
        <v>43374</v>
      </c>
      <c r="V905" s="2"/>
      <c r="W905" s="1">
        <f>fNotasFiscais[[#This Row],[Data da Coleta]]+fNotasFiscais[[#This Row],[Prazo Contratado]]</f>
        <v>43381</v>
      </c>
      <c r="X905" s="3">
        <f>IF(fNotasFiscais[[#This Row],[Data da Entrega]]&gt;fNotasFiscais[[#This Row],[Data Contratada]],0,1)</f>
        <v>1</v>
      </c>
      <c r="Y905" s="3">
        <f>IF(fNotasFiscais[[#This Row],[Ocorrência]]="",1,0)</f>
        <v>1</v>
      </c>
      <c r="Z905" s="2">
        <f>fNotasFiscais[[#This Row],[On Time]]*fNotasFiscais[[#This Row],[In Full]]</f>
        <v>1</v>
      </c>
      <c r="AA905">
        <f>IF(fNotasFiscais[[#This Row],[Nota Fiscal]]&lt;&gt;"",1,0)</f>
        <v>1</v>
      </c>
    </row>
    <row r="906" spans="1:27" x14ac:dyDescent="0.25">
      <c r="A906" s="1">
        <v>43373</v>
      </c>
      <c r="B906">
        <v>11315</v>
      </c>
      <c r="C906" s="2" t="s">
        <v>31</v>
      </c>
      <c r="D906" s="2" t="s">
        <v>32</v>
      </c>
      <c r="E906" s="2" t="s">
        <v>33</v>
      </c>
      <c r="F906">
        <v>4014</v>
      </c>
      <c r="G906" s="2" t="s">
        <v>58</v>
      </c>
      <c r="H906" s="2" t="s">
        <v>59</v>
      </c>
      <c r="I906" s="2" t="s">
        <v>36</v>
      </c>
      <c r="J906" s="2" t="s">
        <v>60</v>
      </c>
      <c r="K906" s="2" t="s">
        <v>36</v>
      </c>
      <c r="L906">
        <v>471.4</v>
      </c>
      <c r="M906">
        <v>1</v>
      </c>
      <c r="N906">
        <v>11.167</v>
      </c>
      <c r="O906">
        <v>6600879</v>
      </c>
      <c r="P906" s="2" t="s">
        <v>61</v>
      </c>
      <c r="Q906" s="2" t="s">
        <v>35</v>
      </c>
      <c r="R906" s="2" t="s">
        <v>30</v>
      </c>
      <c r="S906">
        <v>7</v>
      </c>
      <c r="T906" s="1">
        <v>43373</v>
      </c>
      <c r="U906" s="1">
        <v>43378</v>
      </c>
      <c r="V906" s="2"/>
      <c r="W906" s="1">
        <f>fNotasFiscais[[#This Row],[Data da Coleta]]+fNotasFiscais[[#This Row],[Prazo Contratado]]</f>
        <v>43380</v>
      </c>
      <c r="X906" s="3">
        <f>IF(fNotasFiscais[[#This Row],[Data da Entrega]]&gt;fNotasFiscais[[#This Row],[Data Contratada]],0,1)</f>
        <v>1</v>
      </c>
      <c r="Y906" s="3">
        <f>IF(fNotasFiscais[[#This Row],[Ocorrência]]="",1,0)</f>
        <v>1</v>
      </c>
      <c r="Z906" s="2">
        <f>fNotasFiscais[[#This Row],[On Time]]*fNotasFiscais[[#This Row],[In Full]]</f>
        <v>1</v>
      </c>
      <c r="AA906">
        <f>IF(fNotasFiscais[[#This Row],[Nota Fiscal]]&lt;&gt;"",1,0)</f>
        <v>1</v>
      </c>
    </row>
    <row r="907" spans="1:27" x14ac:dyDescent="0.25">
      <c r="A907" s="1">
        <v>43373</v>
      </c>
      <c r="B907">
        <v>11316</v>
      </c>
      <c r="C907" s="2" t="s">
        <v>43</v>
      </c>
      <c r="D907" s="2" t="s">
        <v>44</v>
      </c>
      <c r="E907" s="2" t="s">
        <v>45</v>
      </c>
      <c r="F907">
        <v>4049</v>
      </c>
      <c r="G907" s="2" t="s">
        <v>118</v>
      </c>
      <c r="H907" s="2" t="s">
        <v>97</v>
      </c>
      <c r="I907" s="2" t="s">
        <v>48</v>
      </c>
      <c r="J907" s="2" t="s">
        <v>49</v>
      </c>
      <c r="K907" s="2" t="s">
        <v>48</v>
      </c>
      <c r="L907">
        <v>624.21</v>
      </c>
      <c r="M907">
        <v>1</v>
      </c>
      <c r="N907">
        <v>24.423999999999999</v>
      </c>
      <c r="O907">
        <v>6100231</v>
      </c>
      <c r="P907" s="2" t="s">
        <v>50</v>
      </c>
      <c r="Q907" s="2" t="s">
        <v>51</v>
      </c>
      <c r="R907" s="2" t="s">
        <v>30</v>
      </c>
      <c r="S907">
        <v>4</v>
      </c>
      <c r="T907" s="1">
        <v>43373</v>
      </c>
      <c r="U907" s="1">
        <v>43375</v>
      </c>
      <c r="V907" s="2"/>
      <c r="W907" s="1">
        <f>fNotasFiscais[[#This Row],[Data da Coleta]]+fNotasFiscais[[#This Row],[Prazo Contratado]]</f>
        <v>43377</v>
      </c>
      <c r="X907" s="3">
        <f>IF(fNotasFiscais[[#This Row],[Data da Entrega]]&gt;fNotasFiscais[[#This Row],[Data Contratada]],0,1)</f>
        <v>1</v>
      </c>
      <c r="Y907" s="3">
        <f>IF(fNotasFiscais[[#This Row],[Ocorrência]]="",1,0)</f>
        <v>1</v>
      </c>
      <c r="Z907" s="2">
        <f>fNotasFiscais[[#This Row],[On Time]]*fNotasFiscais[[#This Row],[In Full]]</f>
        <v>1</v>
      </c>
      <c r="AA907">
        <f>IF(fNotasFiscais[[#This Row],[Nota Fiscal]]&lt;&gt;"",1,0)</f>
        <v>1</v>
      </c>
    </row>
    <row r="908" spans="1:27" x14ac:dyDescent="0.25">
      <c r="A908" s="1">
        <v>43373</v>
      </c>
      <c r="B908">
        <v>11317</v>
      </c>
      <c r="C908" s="2" t="s">
        <v>40</v>
      </c>
      <c r="D908" s="2" t="s">
        <v>41</v>
      </c>
      <c r="E908" s="2" t="s">
        <v>33</v>
      </c>
      <c r="F908">
        <v>4083</v>
      </c>
      <c r="G908" s="2" t="s">
        <v>154</v>
      </c>
      <c r="H908" s="2" t="s">
        <v>141</v>
      </c>
      <c r="I908" s="2" t="s">
        <v>33</v>
      </c>
      <c r="J908" s="2" t="s">
        <v>60</v>
      </c>
      <c r="K908" s="2" t="s">
        <v>33</v>
      </c>
      <c r="L908">
        <v>1580.32</v>
      </c>
      <c r="M908">
        <v>3</v>
      </c>
      <c r="N908">
        <v>69.3</v>
      </c>
      <c r="O908">
        <v>6400835</v>
      </c>
      <c r="P908" s="2" t="s">
        <v>130</v>
      </c>
      <c r="Q908" s="2" t="s">
        <v>131</v>
      </c>
      <c r="R908" s="2" t="s">
        <v>30</v>
      </c>
      <c r="S908">
        <v>3</v>
      </c>
      <c r="T908" s="1">
        <v>43373</v>
      </c>
      <c r="U908" s="1">
        <v>43379</v>
      </c>
      <c r="V908" s="2"/>
      <c r="W908" s="1">
        <f>fNotasFiscais[[#This Row],[Data da Coleta]]+fNotasFiscais[[#This Row],[Prazo Contratado]]</f>
        <v>43376</v>
      </c>
      <c r="X908" s="3">
        <f>IF(fNotasFiscais[[#This Row],[Data da Entrega]]&gt;fNotasFiscais[[#This Row],[Data Contratada]],0,1)</f>
        <v>0</v>
      </c>
      <c r="Y908" s="3">
        <f>IF(fNotasFiscais[[#This Row],[Ocorrência]]="",1,0)</f>
        <v>1</v>
      </c>
      <c r="Z908" s="2">
        <f>fNotasFiscais[[#This Row],[On Time]]*fNotasFiscais[[#This Row],[In Full]]</f>
        <v>0</v>
      </c>
      <c r="AA908">
        <f>IF(fNotasFiscais[[#This Row],[Nota Fiscal]]&lt;&gt;"",1,0)</f>
        <v>1</v>
      </c>
    </row>
    <row r="909" spans="1:27" x14ac:dyDescent="0.25">
      <c r="A909" s="1">
        <v>43373</v>
      </c>
      <c r="B909">
        <v>11318</v>
      </c>
      <c r="C909" s="2" t="s">
        <v>43</v>
      </c>
      <c r="D909" s="2" t="s">
        <v>44</v>
      </c>
      <c r="E909" s="2" t="s">
        <v>45</v>
      </c>
      <c r="F909">
        <v>4064</v>
      </c>
      <c r="G909" s="2" t="s">
        <v>128</v>
      </c>
      <c r="H909" s="2" t="s">
        <v>129</v>
      </c>
      <c r="I909" s="2" t="s">
        <v>33</v>
      </c>
      <c r="J909" s="2" t="s">
        <v>60</v>
      </c>
      <c r="K909" s="2" t="s">
        <v>33</v>
      </c>
      <c r="L909">
        <v>284.33999999999997</v>
      </c>
      <c r="M909">
        <v>1</v>
      </c>
      <c r="N909">
        <v>7.7</v>
      </c>
      <c r="O909">
        <v>6400835</v>
      </c>
      <c r="P909" s="2" t="s">
        <v>130</v>
      </c>
      <c r="Q909" s="2" t="s">
        <v>131</v>
      </c>
      <c r="R909" s="2" t="s">
        <v>30</v>
      </c>
      <c r="S909">
        <v>6</v>
      </c>
      <c r="T909" s="1">
        <v>43373</v>
      </c>
      <c r="U909" s="1">
        <v>43375</v>
      </c>
      <c r="V909" s="2"/>
      <c r="W909" s="1">
        <f>fNotasFiscais[[#This Row],[Data da Coleta]]+fNotasFiscais[[#This Row],[Prazo Contratado]]</f>
        <v>43379</v>
      </c>
      <c r="X909" s="3">
        <f>IF(fNotasFiscais[[#This Row],[Data da Entrega]]&gt;fNotasFiscais[[#This Row],[Data Contratada]],0,1)</f>
        <v>1</v>
      </c>
      <c r="Y909" s="3">
        <f>IF(fNotasFiscais[[#This Row],[Ocorrência]]="",1,0)</f>
        <v>1</v>
      </c>
      <c r="Z909" s="2">
        <f>fNotasFiscais[[#This Row],[On Time]]*fNotasFiscais[[#This Row],[In Full]]</f>
        <v>1</v>
      </c>
      <c r="AA909">
        <f>IF(fNotasFiscais[[#This Row],[Nota Fiscal]]&lt;&gt;"",1,0)</f>
        <v>1</v>
      </c>
    </row>
    <row r="910" spans="1:27" x14ac:dyDescent="0.25">
      <c r="A910" s="1">
        <v>43373</v>
      </c>
      <c r="B910">
        <v>11319</v>
      </c>
      <c r="C910" s="2" t="s">
        <v>52</v>
      </c>
      <c r="D910" s="2" t="s">
        <v>53</v>
      </c>
      <c r="E910" s="2" t="s">
        <v>33</v>
      </c>
      <c r="F910">
        <v>4064</v>
      </c>
      <c r="G910" s="2" t="s">
        <v>128</v>
      </c>
      <c r="H910" s="2" t="s">
        <v>129</v>
      </c>
      <c r="I910" s="2" t="s">
        <v>33</v>
      </c>
      <c r="J910" s="2" t="s">
        <v>60</v>
      </c>
      <c r="K910" s="2" t="s">
        <v>33</v>
      </c>
      <c r="L910">
        <v>369.41</v>
      </c>
      <c r="M910">
        <v>1</v>
      </c>
      <c r="N910">
        <v>5.0599999999999996</v>
      </c>
      <c r="O910">
        <v>6400835</v>
      </c>
      <c r="P910" s="2" t="s">
        <v>130</v>
      </c>
      <c r="Q910" s="2" t="s">
        <v>131</v>
      </c>
      <c r="R910" s="2" t="s">
        <v>30</v>
      </c>
      <c r="S910">
        <v>8</v>
      </c>
      <c r="T910" s="1">
        <v>43373</v>
      </c>
      <c r="U910" s="1">
        <v>43381</v>
      </c>
      <c r="V910" s="2"/>
      <c r="W910" s="1">
        <f>fNotasFiscais[[#This Row],[Data da Coleta]]+fNotasFiscais[[#This Row],[Prazo Contratado]]</f>
        <v>43381</v>
      </c>
      <c r="X910" s="3">
        <f>IF(fNotasFiscais[[#This Row],[Data da Entrega]]&gt;fNotasFiscais[[#This Row],[Data Contratada]],0,1)</f>
        <v>1</v>
      </c>
      <c r="Y910" s="3">
        <f>IF(fNotasFiscais[[#This Row],[Ocorrência]]="",1,0)</f>
        <v>1</v>
      </c>
      <c r="Z910" s="2">
        <f>fNotasFiscais[[#This Row],[On Time]]*fNotasFiscais[[#This Row],[In Full]]</f>
        <v>1</v>
      </c>
      <c r="AA910">
        <f>IF(fNotasFiscais[[#This Row],[Nota Fiscal]]&lt;&gt;"",1,0)</f>
        <v>1</v>
      </c>
    </row>
    <row r="911" spans="1:27" x14ac:dyDescent="0.25">
      <c r="A911" s="1">
        <v>43373</v>
      </c>
      <c r="B911">
        <v>11320</v>
      </c>
      <c r="C911" s="2" t="s">
        <v>52</v>
      </c>
      <c r="D911" s="2" t="s">
        <v>53</v>
      </c>
      <c r="E911" s="2" t="s">
        <v>33</v>
      </c>
      <c r="F911">
        <v>4056</v>
      </c>
      <c r="G911" s="2" t="s">
        <v>119</v>
      </c>
      <c r="H911" s="2" t="s">
        <v>51</v>
      </c>
      <c r="I911" s="2" t="s">
        <v>73</v>
      </c>
      <c r="J911" s="2" t="s">
        <v>49</v>
      </c>
      <c r="K911" s="2" t="s">
        <v>73</v>
      </c>
      <c r="L911">
        <v>6655.47</v>
      </c>
      <c r="M911">
        <v>11</v>
      </c>
      <c r="N911">
        <v>81.62</v>
      </c>
      <c r="O911">
        <v>6100231</v>
      </c>
      <c r="P911" s="2" t="s">
        <v>50</v>
      </c>
      <c r="Q911" s="2" t="s">
        <v>51</v>
      </c>
      <c r="R911" s="2" t="s">
        <v>30</v>
      </c>
      <c r="S911">
        <v>3</v>
      </c>
      <c r="T911" s="1">
        <v>43373</v>
      </c>
      <c r="U911" s="1">
        <v>43375</v>
      </c>
      <c r="V911" s="2"/>
      <c r="W911" s="1">
        <f>fNotasFiscais[[#This Row],[Data da Coleta]]+fNotasFiscais[[#This Row],[Prazo Contratado]]</f>
        <v>43376</v>
      </c>
      <c r="X911" s="3">
        <f>IF(fNotasFiscais[[#This Row],[Data da Entrega]]&gt;fNotasFiscais[[#This Row],[Data Contratada]],0,1)</f>
        <v>1</v>
      </c>
      <c r="Y911" s="3">
        <f>IF(fNotasFiscais[[#This Row],[Ocorrência]]="",1,0)</f>
        <v>1</v>
      </c>
      <c r="Z911" s="2">
        <f>fNotasFiscais[[#This Row],[On Time]]*fNotasFiscais[[#This Row],[In Full]]</f>
        <v>1</v>
      </c>
      <c r="AA911">
        <f>IF(fNotasFiscais[[#This Row],[Nota Fiscal]]&lt;&gt;"",1,0)</f>
        <v>1</v>
      </c>
    </row>
    <row r="912" spans="1:27" x14ac:dyDescent="0.25">
      <c r="A912" s="1">
        <v>43373</v>
      </c>
      <c r="B912">
        <v>11321</v>
      </c>
      <c r="C912" s="2" t="s">
        <v>40</v>
      </c>
      <c r="D912" s="2" t="s">
        <v>41</v>
      </c>
      <c r="E912" s="2" t="s">
        <v>33</v>
      </c>
      <c r="F912">
        <v>4022</v>
      </c>
      <c r="G912" s="2" t="s">
        <v>86</v>
      </c>
      <c r="H912" s="2" t="s">
        <v>87</v>
      </c>
      <c r="I912" s="2" t="s">
        <v>27</v>
      </c>
      <c r="J912" s="2" t="s">
        <v>28</v>
      </c>
      <c r="K912" s="2" t="s">
        <v>27</v>
      </c>
      <c r="L912">
        <v>23.6</v>
      </c>
      <c r="M912">
        <v>1</v>
      </c>
      <c r="N912">
        <v>5.5E-2</v>
      </c>
      <c r="O912">
        <v>6500948</v>
      </c>
      <c r="P912" s="2" t="s">
        <v>29</v>
      </c>
      <c r="Q912" s="2" t="s">
        <v>23</v>
      </c>
      <c r="R912" s="2" t="s">
        <v>30</v>
      </c>
      <c r="S912">
        <v>11</v>
      </c>
      <c r="T912" s="1">
        <v>43373</v>
      </c>
      <c r="U912" s="1">
        <v>43383</v>
      </c>
      <c r="V912" s="2"/>
      <c r="W912" s="1">
        <f>fNotasFiscais[[#This Row],[Data da Coleta]]+fNotasFiscais[[#This Row],[Prazo Contratado]]</f>
        <v>43384</v>
      </c>
      <c r="X912" s="3">
        <f>IF(fNotasFiscais[[#This Row],[Data da Entrega]]&gt;fNotasFiscais[[#This Row],[Data Contratada]],0,1)</f>
        <v>1</v>
      </c>
      <c r="Y912" s="3">
        <f>IF(fNotasFiscais[[#This Row],[Ocorrência]]="",1,0)</f>
        <v>1</v>
      </c>
      <c r="Z912" s="2">
        <f>fNotasFiscais[[#This Row],[On Time]]*fNotasFiscais[[#This Row],[In Full]]</f>
        <v>1</v>
      </c>
      <c r="AA912">
        <f>IF(fNotasFiscais[[#This Row],[Nota Fiscal]]&lt;&gt;"",1,0)</f>
        <v>1</v>
      </c>
    </row>
    <row r="913" spans="1:27" x14ac:dyDescent="0.25">
      <c r="A913" s="1">
        <v>43373</v>
      </c>
      <c r="B913">
        <v>11322</v>
      </c>
      <c r="C913" s="2" t="s">
        <v>43</v>
      </c>
      <c r="D913" s="2" t="s">
        <v>44</v>
      </c>
      <c r="E913" s="2" t="s">
        <v>45</v>
      </c>
      <c r="F913">
        <v>4049</v>
      </c>
      <c r="G913" s="2" t="s">
        <v>118</v>
      </c>
      <c r="H913" s="2" t="s">
        <v>97</v>
      </c>
      <c r="I913" s="2" t="s">
        <v>48</v>
      </c>
      <c r="J913" s="2" t="s">
        <v>49</v>
      </c>
      <c r="K913" s="2" t="s">
        <v>48</v>
      </c>
      <c r="L913">
        <v>673.94</v>
      </c>
      <c r="M913">
        <v>3</v>
      </c>
      <c r="N913">
        <v>2.7559999999999998</v>
      </c>
      <c r="O913">
        <v>6100231</v>
      </c>
      <c r="P913" s="2" t="s">
        <v>50</v>
      </c>
      <c r="Q913" s="2" t="s">
        <v>51</v>
      </c>
      <c r="R913" s="2" t="s">
        <v>30</v>
      </c>
      <c r="S913">
        <v>7</v>
      </c>
      <c r="T913" s="1">
        <v>43373</v>
      </c>
      <c r="U913" s="1">
        <v>43376</v>
      </c>
      <c r="V913" s="2"/>
      <c r="W913" s="1">
        <f>fNotasFiscais[[#This Row],[Data da Coleta]]+fNotasFiscais[[#This Row],[Prazo Contratado]]</f>
        <v>43380</v>
      </c>
      <c r="X913" s="3">
        <f>IF(fNotasFiscais[[#This Row],[Data da Entrega]]&gt;fNotasFiscais[[#This Row],[Data Contratada]],0,1)</f>
        <v>1</v>
      </c>
      <c r="Y913" s="3">
        <f>IF(fNotasFiscais[[#This Row],[Ocorrência]]="",1,0)</f>
        <v>1</v>
      </c>
      <c r="Z913" s="2">
        <f>fNotasFiscais[[#This Row],[On Time]]*fNotasFiscais[[#This Row],[In Full]]</f>
        <v>1</v>
      </c>
      <c r="AA913">
        <f>IF(fNotasFiscais[[#This Row],[Nota Fiscal]]&lt;&gt;"",1,0)</f>
        <v>1</v>
      </c>
    </row>
    <row r="914" spans="1:27" x14ac:dyDescent="0.25">
      <c r="A914" s="1">
        <v>43373</v>
      </c>
      <c r="B914">
        <v>11323</v>
      </c>
      <c r="C914" s="2" t="s">
        <v>52</v>
      </c>
      <c r="D914" s="2" t="s">
        <v>53</v>
      </c>
      <c r="E914" s="2" t="s">
        <v>33</v>
      </c>
      <c r="F914">
        <v>4083</v>
      </c>
      <c r="G914" s="2" t="s">
        <v>154</v>
      </c>
      <c r="H914" s="2" t="s">
        <v>141</v>
      </c>
      <c r="I914" s="2" t="s">
        <v>33</v>
      </c>
      <c r="J914" s="2" t="s">
        <v>60</v>
      </c>
      <c r="K914" s="2" t="s">
        <v>33</v>
      </c>
      <c r="L914">
        <v>4869.83</v>
      </c>
      <c r="M914">
        <v>5</v>
      </c>
      <c r="N914">
        <v>9.548</v>
      </c>
      <c r="O914">
        <v>6400835</v>
      </c>
      <c r="P914" s="2" t="s">
        <v>130</v>
      </c>
      <c r="Q914" s="2" t="s">
        <v>131</v>
      </c>
      <c r="R914" s="2" t="s">
        <v>30</v>
      </c>
      <c r="S914">
        <v>10</v>
      </c>
      <c r="T914" s="1">
        <v>43373</v>
      </c>
      <c r="U914" s="1">
        <v>43380</v>
      </c>
      <c r="V914" s="2"/>
      <c r="W914" s="1">
        <f>fNotasFiscais[[#This Row],[Data da Coleta]]+fNotasFiscais[[#This Row],[Prazo Contratado]]</f>
        <v>43383</v>
      </c>
      <c r="X914" s="3">
        <f>IF(fNotasFiscais[[#This Row],[Data da Entrega]]&gt;fNotasFiscais[[#This Row],[Data Contratada]],0,1)</f>
        <v>1</v>
      </c>
      <c r="Y914" s="3">
        <f>IF(fNotasFiscais[[#This Row],[Ocorrência]]="",1,0)</f>
        <v>1</v>
      </c>
      <c r="Z914" s="2">
        <f>fNotasFiscais[[#This Row],[On Time]]*fNotasFiscais[[#This Row],[In Full]]</f>
        <v>1</v>
      </c>
      <c r="AA914">
        <f>IF(fNotasFiscais[[#This Row],[Nota Fiscal]]&lt;&gt;"",1,0)</f>
        <v>1</v>
      </c>
    </row>
    <row r="915" spans="1:27" x14ac:dyDescent="0.25">
      <c r="A915" s="1">
        <v>43373</v>
      </c>
      <c r="B915">
        <v>11324</v>
      </c>
      <c r="C915" s="2" t="s">
        <v>52</v>
      </c>
      <c r="D915" s="2" t="s">
        <v>53</v>
      </c>
      <c r="E915" s="2" t="s">
        <v>33</v>
      </c>
      <c r="F915">
        <v>4056</v>
      </c>
      <c r="G915" s="2" t="s">
        <v>119</v>
      </c>
      <c r="H915" s="2" t="s">
        <v>51</v>
      </c>
      <c r="I915" s="2" t="s">
        <v>73</v>
      </c>
      <c r="J915" s="2" t="s">
        <v>49</v>
      </c>
      <c r="K915" s="2" t="s">
        <v>73</v>
      </c>
      <c r="L915">
        <v>551.1</v>
      </c>
      <c r="M915">
        <v>1</v>
      </c>
      <c r="N915">
        <v>1.54</v>
      </c>
      <c r="O915">
        <v>6100231</v>
      </c>
      <c r="P915" s="2" t="s">
        <v>50</v>
      </c>
      <c r="Q915" s="2" t="s">
        <v>51</v>
      </c>
      <c r="R915" s="2" t="s">
        <v>30</v>
      </c>
      <c r="S915">
        <v>7</v>
      </c>
      <c r="T915" s="1">
        <v>43373</v>
      </c>
      <c r="U915" s="1">
        <v>43381</v>
      </c>
      <c r="V915" s="2"/>
      <c r="W915" s="1">
        <f>fNotasFiscais[[#This Row],[Data da Coleta]]+fNotasFiscais[[#This Row],[Prazo Contratado]]</f>
        <v>43380</v>
      </c>
      <c r="X915" s="3">
        <f>IF(fNotasFiscais[[#This Row],[Data da Entrega]]&gt;fNotasFiscais[[#This Row],[Data Contratada]],0,1)</f>
        <v>0</v>
      </c>
      <c r="Y915" s="3">
        <f>IF(fNotasFiscais[[#This Row],[Ocorrência]]="",1,0)</f>
        <v>1</v>
      </c>
      <c r="Z915" s="2">
        <f>fNotasFiscais[[#This Row],[On Time]]*fNotasFiscais[[#This Row],[In Full]]</f>
        <v>0</v>
      </c>
      <c r="AA915">
        <f>IF(fNotasFiscais[[#This Row],[Nota Fiscal]]&lt;&gt;"",1,0)</f>
        <v>1</v>
      </c>
    </row>
    <row r="916" spans="1:27" x14ac:dyDescent="0.25">
      <c r="A916" s="1">
        <v>43373</v>
      </c>
      <c r="B916">
        <v>11325</v>
      </c>
      <c r="C916" s="2" t="s">
        <v>43</v>
      </c>
      <c r="D916" s="2" t="s">
        <v>44</v>
      </c>
      <c r="E916" s="2" t="s">
        <v>45</v>
      </c>
      <c r="F916">
        <v>4064</v>
      </c>
      <c r="G916" s="2" t="s">
        <v>128</v>
      </c>
      <c r="H916" s="2" t="s">
        <v>129</v>
      </c>
      <c r="I916" s="2" t="s">
        <v>33</v>
      </c>
      <c r="J916" s="2" t="s">
        <v>60</v>
      </c>
      <c r="K916" s="2" t="s">
        <v>33</v>
      </c>
      <c r="L916">
        <v>237</v>
      </c>
      <c r="M916">
        <v>1</v>
      </c>
      <c r="N916">
        <v>0.91900000000000004</v>
      </c>
      <c r="O916">
        <v>6400835</v>
      </c>
      <c r="P916" s="2" t="s">
        <v>130</v>
      </c>
      <c r="Q916" s="2" t="s">
        <v>131</v>
      </c>
      <c r="R916" s="2" t="s">
        <v>30</v>
      </c>
      <c r="S916">
        <v>1</v>
      </c>
      <c r="T916" s="1">
        <v>43373</v>
      </c>
      <c r="U916" s="1">
        <v>43374</v>
      </c>
      <c r="V916" s="2"/>
      <c r="W916" s="1">
        <f>fNotasFiscais[[#This Row],[Data da Coleta]]+fNotasFiscais[[#This Row],[Prazo Contratado]]</f>
        <v>43374</v>
      </c>
      <c r="X916" s="3">
        <f>IF(fNotasFiscais[[#This Row],[Data da Entrega]]&gt;fNotasFiscais[[#This Row],[Data Contratada]],0,1)</f>
        <v>1</v>
      </c>
      <c r="Y916" s="3">
        <f>IF(fNotasFiscais[[#This Row],[Ocorrência]]="",1,0)</f>
        <v>1</v>
      </c>
      <c r="Z916" s="2">
        <f>fNotasFiscais[[#This Row],[On Time]]*fNotasFiscais[[#This Row],[In Full]]</f>
        <v>1</v>
      </c>
      <c r="AA916">
        <f>IF(fNotasFiscais[[#This Row],[Nota Fiscal]]&lt;&gt;"",1,0)</f>
        <v>1</v>
      </c>
    </row>
    <row r="917" spans="1:27" x14ac:dyDescent="0.25">
      <c r="A917" s="1">
        <v>43373</v>
      </c>
      <c r="B917">
        <v>11326</v>
      </c>
      <c r="C917" s="2" t="s">
        <v>54</v>
      </c>
      <c r="D917" s="2" t="s">
        <v>55</v>
      </c>
      <c r="E917" s="2" t="s">
        <v>56</v>
      </c>
      <c r="F917">
        <v>4064</v>
      </c>
      <c r="G917" s="2" t="s">
        <v>128</v>
      </c>
      <c r="H917" s="2" t="s">
        <v>129</v>
      </c>
      <c r="I917" s="2" t="s">
        <v>33</v>
      </c>
      <c r="J917" s="2" t="s">
        <v>60</v>
      </c>
      <c r="K917" s="2" t="s">
        <v>33</v>
      </c>
      <c r="L917">
        <v>360.29</v>
      </c>
      <c r="M917">
        <v>1</v>
      </c>
      <c r="N917">
        <v>0.68200000000000005</v>
      </c>
      <c r="O917">
        <v>6400835</v>
      </c>
      <c r="P917" s="2" t="s">
        <v>130</v>
      </c>
      <c r="Q917" s="2" t="s">
        <v>131</v>
      </c>
      <c r="R917" s="2" t="s">
        <v>30</v>
      </c>
      <c r="S917">
        <v>6</v>
      </c>
      <c r="T917" s="1">
        <v>43373</v>
      </c>
      <c r="U917" s="1">
        <v>43382</v>
      </c>
      <c r="V917" s="2"/>
      <c r="W917" s="1">
        <f>fNotasFiscais[[#This Row],[Data da Coleta]]+fNotasFiscais[[#This Row],[Prazo Contratado]]</f>
        <v>43379</v>
      </c>
      <c r="X917" s="3">
        <f>IF(fNotasFiscais[[#This Row],[Data da Entrega]]&gt;fNotasFiscais[[#This Row],[Data Contratada]],0,1)</f>
        <v>0</v>
      </c>
      <c r="Y917" s="3">
        <f>IF(fNotasFiscais[[#This Row],[Ocorrência]]="",1,0)</f>
        <v>1</v>
      </c>
      <c r="Z917" s="2">
        <f>fNotasFiscais[[#This Row],[On Time]]*fNotasFiscais[[#This Row],[In Full]]</f>
        <v>0</v>
      </c>
      <c r="AA917">
        <f>IF(fNotasFiscais[[#This Row],[Nota Fiscal]]&lt;&gt;"",1,0)</f>
        <v>1</v>
      </c>
    </row>
    <row r="918" spans="1:27" x14ac:dyDescent="0.25">
      <c r="A918" s="1">
        <v>43373</v>
      </c>
      <c r="B918">
        <v>11327</v>
      </c>
      <c r="C918" s="2" t="s">
        <v>40</v>
      </c>
      <c r="D918" s="2" t="s">
        <v>41</v>
      </c>
      <c r="E918" s="2" t="s">
        <v>33</v>
      </c>
      <c r="F918">
        <v>4083</v>
      </c>
      <c r="G918" s="2" t="s">
        <v>154</v>
      </c>
      <c r="H918" s="2" t="s">
        <v>141</v>
      </c>
      <c r="I918" s="2" t="s">
        <v>33</v>
      </c>
      <c r="J918" s="2" t="s">
        <v>60</v>
      </c>
      <c r="K918" s="2" t="s">
        <v>33</v>
      </c>
      <c r="L918">
        <v>345.99</v>
      </c>
      <c r="M918">
        <v>1</v>
      </c>
      <c r="N918">
        <v>0.68200000000000005</v>
      </c>
      <c r="O918">
        <v>6400835</v>
      </c>
      <c r="P918" s="2" t="s">
        <v>130</v>
      </c>
      <c r="Q918" s="2" t="s">
        <v>131</v>
      </c>
      <c r="R918" s="2" t="s">
        <v>30</v>
      </c>
      <c r="S918">
        <v>2</v>
      </c>
      <c r="T918" s="1">
        <v>43373</v>
      </c>
      <c r="U918" s="1">
        <v>43382</v>
      </c>
      <c r="V918" s="2"/>
      <c r="W918" s="1">
        <f>fNotasFiscais[[#This Row],[Data da Coleta]]+fNotasFiscais[[#This Row],[Prazo Contratado]]</f>
        <v>43375</v>
      </c>
      <c r="X918" s="3">
        <f>IF(fNotasFiscais[[#This Row],[Data da Entrega]]&gt;fNotasFiscais[[#This Row],[Data Contratada]],0,1)</f>
        <v>0</v>
      </c>
      <c r="Y918" s="3">
        <f>IF(fNotasFiscais[[#This Row],[Ocorrência]]="",1,0)</f>
        <v>1</v>
      </c>
      <c r="Z918" s="2">
        <f>fNotasFiscais[[#This Row],[On Time]]*fNotasFiscais[[#This Row],[In Full]]</f>
        <v>0</v>
      </c>
      <c r="AA918">
        <f>IF(fNotasFiscais[[#This Row],[Nota Fiscal]]&lt;&gt;"",1,0)</f>
        <v>1</v>
      </c>
    </row>
    <row r="919" spans="1:27" x14ac:dyDescent="0.25">
      <c r="A919" s="1">
        <v>43373</v>
      </c>
      <c r="B919">
        <v>11328</v>
      </c>
      <c r="C919" s="2" t="s">
        <v>40</v>
      </c>
      <c r="D919" s="2" t="s">
        <v>41</v>
      </c>
      <c r="E919" s="2" t="s">
        <v>33</v>
      </c>
      <c r="F919">
        <v>4083</v>
      </c>
      <c r="G919" s="2" t="s">
        <v>154</v>
      </c>
      <c r="H919" s="2" t="s">
        <v>141</v>
      </c>
      <c r="I919" s="2" t="s">
        <v>33</v>
      </c>
      <c r="J919" s="2" t="s">
        <v>60</v>
      </c>
      <c r="K919" s="2" t="s">
        <v>33</v>
      </c>
      <c r="L919">
        <v>592.55999999999995</v>
      </c>
      <c r="M919">
        <v>1</v>
      </c>
      <c r="N919">
        <v>5.28</v>
      </c>
      <c r="O919">
        <v>6400835</v>
      </c>
      <c r="P919" s="2" t="s">
        <v>130</v>
      </c>
      <c r="Q919" s="2" t="s">
        <v>131</v>
      </c>
      <c r="R919" s="2" t="s">
        <v>30</v>
      </c>
      <c r="S919">
        <v>3</v>
      </c>
      <c r="T919" s="1">
        <v>43373</v>
      </c>
      <c r="U919" s="1">
        <v>43375</v>
      </c>
      <c r="V919" s="2"/>
      <c r="W919" s="1">
        <f>fNotasFiscais[[#This Row],[Data da Coleta]]+fNotasFiscais[[#This Row],[Prazo Contratado]]</f>
        <v>43376</v>
      </c>
      <c r="X919" s="3">
        <f>IF(fNotasFiscais[[#This Row],[Data da Entrega]]&gt;fNotasFiscais[[#This Row],[Data Contratada]],0,1)</f>
        <v>1</v>
      </c>
      <c r="Y919" s="3">
        <f>IF(fNotasFiscais[[#This Row],[Ocorrência]]="",1,0)</f>
        <v>1</v>
      </c>
      <c r="Z919" s="2">
        <f>fNotasFiscais[[#This Row],[On Time]]*fNotasFiscais[[#This Row],[In Full]]</f>
        <v>1</v>
      </c>
      <c r="AA919">
        <f>IF(fNotasFiscais[[#This Row],[Nota Fiscal]]&lt;&gt;"",1,0)</f>
        <v>1</v>
      </c>
    </row>
    <row r="920" spans="1:27" x14ac:dyDescent="0.25">
      <c r="A920" s="1">
        <v>43373</v>
      </c>
      <c r="B920">
        <v>11329</v>
      </c>
      <c r="C920" s="2" t="s">
        <v>22</v>
      </c>
      <c r="D920" s="2" t="s">
        <v>23</v>
      </c>
      <c r="E920" s="2" t="s">
        <v>24</v>
      </c>
      <c r="F920">
        <v>4083</v>
      </c>
      <c r="G920" s="2" t="s">
        <v>154</v>
      </c>
      <c r="H920" s="2" t="s">
        <v>141</v>
      </c>
      <c r="I920" s="2" t="s">
        <v>33</v>
      </c>
      <c r="J920" s="2" t="s">
        <v>60</v>
      </c>
      <c r="K920" s="2" t="s">
        <v>33</v>
      </c>
      <c r="L920">
        <v>3327.27</v>
      </c>
      <c r="M920">
        <v>2</v>
      </c>
      <c r="N920">
        <v>10.45</v>
      </c>
      <c r="O920">
        <v>6400835</v>
      </c>
      <c r="P920" s="2" t="s">
        <v>130</v>
      </c>
      <c r="Q920" s="2" t="s">
        <v>131</v>
      </c>
      <c r="R920" s="2" t="s">
        <v>30</v>
      </c>
      <c r="S920">
        <v>4</v>
      </c>
      <c r="T920" s="1">
        <v>43373</v>
      </c>
      <c r="U920" s="1">
        <v>43382</v>
      </c>
      <c r="V920" s="2"/>
      <c r="W920" s="1">
        <f>fNotasFiscais[[#This Row],[Data da Coleta]]+fNotasFiscais[[#This Row],[Prazo Contratado]]</f>
        <v>43377</v>
      </c>
      <c r="X920" s="3">
        <f>IF(fNotasFiscais[[#This Row],[Data da Entrega]]&gt;fNotasFiscais[[#This Row],[Data Contratada]],0,1)</f>
        <v>0</v>
      </c>
      <c r="Y920" s="3">
        <f>IF(fNotasFiscais[[#This Row],[Ocorrência]]="",1,0)</f>
        <v>1</v>
      </c>
      <c r="Z920" s="2">
        <f>fNotasFiscais[[#This Row],[On Time]]*fNotasFiscais[[#This Row],[In Full]]</f>
        <v>0</v>
      </c>
      <c r="AA920">
        <f>IF(fNotasFiscais[[#This Row],[Nota Fiscal]]&lt;&gt;"",1,0)</f>
        <v>1</v>
      </c>
    </row>
    <row r="921" spans="1:27" x14ac:dyDescent="0.25">
      <c r="A921" s="1">
        <v>43373</v>
      </c>
      <c r="B921">
        <v>11330</v>
      </c>
      <c r="C921" s="2" t="s">
        <v>52</v>
      </c>
      <c r="D921" s="2" t="s">
        <v>53</v>
      </c>
      <c r="E921" s="2" t="s">
        <v>33</v>
      </c>
      <c r="F921">
        <v>4049</v>
      </c>
      <c r="G921" s="2" t="s">
        <v>118</v>
      </c>
      <c r="H921" s="2" t="s">
        <v>97</v>
      </c>
      <c r="I921" s="2" t="s">
        <v>48</v>
      </c>
      <c r="J921" s="2" t="s">
        <v>49</v>
      </c>
      <c r="K921" s="2" t="s">
        <v>48</v>
      </c>
      <c r="L921">
        <v>2369.9299999999998</v>
      </c>
      <c r="M921">
        <v>7</v>
      </c>
      <c r="N921">
        <v>20.869</v>
      </c>
      <c r="O921">
        <v>6100231</v>
      </c>
      <c r="P921" s="2" t="s">
        <v>50</v>
      </c>
      <c r="Q921" s="2" t="s">
        <v>51</v>
      </c>
      <c r="R921" s="2" t="s">
        <v>30</v>
      </c>
      <c r="S921">
        <v>6</v>
      </c>
      <c r="T921" s="1">
        <v>43373</v>
      </c>
      <c r="U921" s="1">
        <v>43378</v>
      </c>
      <c r="V921" s="2"/>
      <c r="W921" s="1">
        <f>fNotasFiscais[[#This Row],[Data da Coleta]]+fNotasFiscais[[#This Row],[Prazo Contratado]]</f>
        <v>43379</v>
      </c>
      <c r="X921" s="3">
        <f>IF(fNotasFiscais[[#This Row],[Data da Entrega]]&gt;fNotasFiscais[[#This Row],[Data Contratada]],0,1)</f>
        <v>1</v>
      </c>
      <c r="Y921" s="3">
        <f>IF(fNotasFiscais[[#This Row],[Ocorrência]]="",1,0)</f>
        <v>1</v>
      </c>
      <c r="Z921" s="2">
        <f>fNotasFiscais[[#This Row],[On Time]]*fNotasFiscais[[#This Row],[In Full]]</f>
        <v>1</v>
      </c>
      <c r="AA921">
        <f>IF(fNotasFiscais[[#This Row],[Nota Fiscal]]&lt;&gt;"",1,0)</f>
        <v>1</v>
      </c>
    </row>
    <row r="922" spans="1:27" x14ac:dyDescent="0.25">
      <c r="A922" s="1">
        <v>43373</v>
      </c>
      <c r="B922">
        <v>11331</v>
      </c>
      <c r="C922" s="2" t="s">
        <v>40</v>
      </c>
      <c r="D922" s="2" t="s">
        <v>41</v>
      </c>
      <c r="E922" s="2" t="s">
        <v>33</v>
      </c>
      <c r="F922">
        <v>4049</v>
      </c>
      <c r="G922" s="2" t="s">
        <v>118</v>
      </c>
      <c r="H922" s="2" t="s">
        <v>97</v>
      </c>
      <c r="I922" s="2" t="s">
        <v>48</v>
      </c>
      <c r="J922" s="2" t="s">
        <v>49</v>
      </c>
      <c r="K922" s="2" t="s">
        <v>48</v>
      </c>
      <c r="L922">
        <v>2855.63</v>
      </c>
      <c r="M922">
        <v>4</v>
      </c>
      <c r="N922">
        <v>4.6159999999999997</v>
      </c>
      <c r="O922">
        <v>6100231</v>
      </c>
      <c r="P922" s="2" t="s">
        <v>50</v>
      </c>
      <c r="Q922" s="2" t="s">
        <v>51</v>
      </c>
      <c r="R922" s="2" t="s">
        <v>30</v>
      </c>
      <c r="S922">
        <v>9</v>
      </c>
      <c r="T922" s="1">
        <v>43373</v>
      </c>
      <c r="U922" s="1">
        <v>43375</v>
      </c>
      <c r="V922" s="2"/>
      <c r="W922" s="1">
        <f>fNotasFiscais[[#This Row],[Data da Coleta]]+fNotasFiscais[[#This Row],[Prazo Contratado]]</f>
        <v>43382</v>
      </c>
      <c r="X922" s="3">
        <f>IF(fNotasFiscais[[#This Row],[Data da Entrega]]&gt;fNotasFiscais[[#This Row],[Data Contratada]],0,1)</f>
        <v>1</v>
      </c>
      <c r="Y922" s="3">
        <f>IF(fNotasFiscais[[#This Row],[Ocorrência]]="",1,0)</f>
        <v>1</v>
      </c>
      <c r="Z922" s="2">
        <f>fNotasFiscais[[#This Row],[On Time]]*fNotasFiscais[[#This Row],[In Full]]</f>
        <v>1</v>
      </c>
      <c r="AA922">
        <f>IF(fNotasFiscais[[#This Row],[Nota Fiscal]]&lt;&gt;"",1,0)</f>
        <v>1</v>
      </c>
    </row>
    <row r="923" spans="1:27" x14ac:dyDescent="0.25">
      <c r="A923" s="1">
        <v>43373</v>
      </c>
      <c r="B923">
        <v>11332</v>
      </c>
      <c r="C923" s="2" t="s">
        <v>54</v>
      </c>
      <c r="D923" s="2" t="s">
        <v>55</v>
      </c>
      <c r="E923" s="2" t="s">
        <v>56</v>
      </c>
      <c r="F923">
        <v>4124</v>
      </c>
      <c r="G923" s="2" t="s">
        <v>207</v>
      </c>
      <c r="H923" s="2" t="s">
        <v>173</v>
      </c>
      <c r="I923" s="2" t="s">
        <v>174</v>
      </c>
      <c r="J923" s="2" t="s">
        <v>175</v>
      </c>
      <c r="K923" s="2" t="s">
        <v>174</v>
      </c>
      <c r="L923">
        <v>4562.05</v>
      </c>
      <c r="M923">
        <v>6</v>
      </c>
      <c r="N923">
        <v>8.9540000000000006</v>
      </c>
      <c r="O923">
        <v>6700091</v>
      </c>
      <c r="P923" s="2" t="s">
        <v>176</v>
      </c>
      <c r="Q923" s="2" t="s">
        <v>173</v>
      </c>
      <c r="R923" s="2" t="s">
        <v>30</v>
      </c>
      <c r="S923">
        <v>6</v>
      </c>
      <c r="T923" s="1">
        <v>43373</v>
      </c>
      <c r="U923" s="1">
        <v>43382</v>
      </c>
      <c r="V923" s="2"/>
      <c r="W923" s="1">
        <f>fNotasFiscais[[#This Row],[Data da Coleta]]+fNotasFiscais[[#This Row],[Prazo Contratado]]</f>
        <v>43379</v>
      </c>
      <c r="X923" s="3">
        <f>IF(fNotasFiscais[[#This Row],[Data da Entrega]]&gt;fNotasFiscais[[#This Row],[Data Contratada]],0,1)</f>
        <v>0</v>
      </c>
      <c r="Y923" s="3">
        <f>IF(fNotasFiscais[[#This Row],[Ocorrência]]="",1,0)</f>
        <v>1</v>
      </c>
      <c r="Z923" s="2">
        <f>fNotasFiscais[[#This Row],[On Time]]*fNotasFiscais[[#This Row],[In Full]]</f>
        <v>0</v>
      </c>
      <c r="AA923">
        <f>IF(fNotasFiscais[[#This Row],[Nota Fiscal]]&lt;&gt;"",1,0)</f>
        <v>1</v>
      </c>
    </row>
    <row r="924" spans="1:27" x14ac:dyDescent="0.25">
      <c r="A924" s="1">
        <v>43375</v>
      </c>
      <c r="B924">
        <v>11333</v>
      </c>
      <c r="C924" s="2" t="s">
        <v>52</v>
      </c>
      <c r="D924" s="2" t="s">
        <v>53</v>
      </c>
      <c r="E924" s="2" t="s">
        <v>33</v>
      </c>
      <c r="F924">
        <v>4068</v>
      </c>
      <c r="G924" s="2" t="s">
        <v>63</v>
      </c>
      <c r="H924" s="2" t="s">
        <v>64</v>
      </c>
      <c r="I924" s="2" t="s">
        <v>65</v>
      </c>
      <c r="J924" s="2" t="s">
        <v>49</v>
      </c>
      <c r="K924" s="2" t="s">
        <v>65</v>
      </c>
      <c r="L924">
        <v>658.2</v>
      </c>
      <c r="M924">
        <v>3</v>
      </c>
      <c r="N924">
        <v>58.08</v>
      </c>
      <c r="O924">
        <v>6100231</v>
      </c>
      <c r="P924" s="2" t="s">
        <v>50</v>
      </c>
      <c r="Q924" s="2" t="s">
        <v>51</v>
      </c>
      <c r="R924" s="2" t="s">
        <v>30</v>
      </c>
      <c r="S924">
        <v>7</v>
      </c>
      <c r="T924" s="1">
        <v>43375</v>
      </c>
      <c r="U924" s="1">
        <v>43383</v>
      </c>
      <c r="V924" s="2"/>
      <c r="W924" s="1">
        <f>fNotasFiscais[[#This Row],[Data da Coleta]]+fNotasFiscais[[#This Row],[Prazo Contratado]]</f>
        <v>43382</v>
      </c>
      <c r="X924" s="3">
        <f>IF(fNotasFiscais[[#This Row],[Data da Entrega]]&gt;fNotasFiscais[[#This Row],[Data Contratada]],0,1)</f>
        <v>0</v>
      </c>
      <c r="Y924" s="3">
        <f>IF(fNotasFiscais[[#This Row],[Ocorrência]]="",1,0)</f>
        <v>1</v>
      </c>
      <c r="Z924" s="2">
        <f>fNotasFiscais[[#This Row],[On Time]]*fNotasFiscais[[#This Row],[In Full]]</f>
        <v>0</v>
      </c>
      <c r="AA924">
        <f>IF(fNotasFiscais[[#This Row],[Nota Fiscal]]&lt;&gt;"",1,0)</f>
        <v>1</v>
      </c>
    </row>
    <row r="925" spans="1:27" x14ac:dyDescent="0.25">
      <c r="A925" s="1">
        <v>43375</v>
      </c>
      <c r="B925">
        <v>11334</v>
      </c>
      <c r="C925" s="2" t="s">
        <v>43</v>
      </c>
      <c r="D925" s="2" t="s">
        <v>44</v>
      </c>
      <c r="E925" s="2" t="s">
        <v>45</v>
      </c>
      <c r="F925">
        <v>4068</v>
      </c>
      <c r="G925" s="2" t="s">
        <v>63</v>
      </c>
      <c r="H925" s="2" t="s">
        <v>64</v>
      </c>
      <c r="I925" s="2" t="s">
        <v>65</v>
      </c>
      <c r="J925" s="2" t="s">
        <v>49</v>
      </c>
      <c r="K925" s="2" t="s">
        <v>65</v>
      </c>
      <c r="L925">
        <v>1.48</v>
      </c>
      <c r="M925">
        <v>1</v>
      </c>
      <c r="N925">
        <v>0.11799999999999999</v>
      </c>
      <c r="O925">
        <v>6100231</v>
      </c>
      <c r="P925" s="2" t="s">
        <v>50</v>
      </c>
      <c r="Q925" s="2" t="s">
        <v>51</v>
      </c>
      <c r="R925" s="2" t="s">
        <v>30</v>
      </c>
      <c r="S925">
        <v>4</v>
      </c>
      <c r="T925" s="1">
        <v>43375</v>
      </c>
      <c r="U925" s="1">
        <v>43376</v>
      </c>
      <c r="V925" s="2"/>
      <c r="W925" s="1">
        <f>fNotasFiscais[[#This Row],[Data da Coleta]]+fNotasFiscais[[#This Row],[Prazo Contratado]]</f>
        <v>43379</v>
      </c>
      <c r="X925" s="3">
        <f>IF(fNotasFiscais[[#This Row],[Data da Entrega]]&gt;fNotasFiscais[[#This Row],[Data Contratada]],0,1)</f>
        <v>1</v>
      </c>
      <c r="Y925" s="3">
        <f>IF(fNotasFiscais[[#This Row],[Ocorrência]]="",1,0)</f>
        <v>1</v>
      </c>
      <c r="Z925" s="2">
        <f>fNotasFiscais[[#This Row],[On Time]]*fNotasFiscais[[#This Row],[In Full]]</f>
        <v>1</v>
      </c>
      <c r="AA925">
        <f>IF(fNotasFiscais[[#This Row],[Nota Fiscal]]&lt;&gt;"",1,0)</f>
        <v>1</v>
      </c>
    </row>
    <row r="926" spans="1:27" x14ac:dyDescent="0.25">
      <c r="A926" s="1">
        <v>43375</v>
      </c>
      <c r="B926">
        <v>11335</v>
      </c>
      <c r="C926" s="2" t="s">
        <v>40</v>
      </c>
      <c r="D926" s="2" t="s">
        <v>41</v>
      </c>
      <c r="E926" s="2" t="s">
        <v>33</v>
      </c>
      <c r="F926">
        <v>4068</v>
      </c>
      <c r="G926" s="2" t="s">
        <v>63</v>
      </c>
      <c r="H926" s="2" t="s">
        <v>64</v>
      </c>
      <c r="I926" s="2" t="s">
        <v>65</v>
      </c>
      <c r="J926" s="2" t="s">
        <v>49</v>
      </c>
      <c r="K926" s="2" t="s">
        <v>65</v>
      </c>
      <c r="L926">
        <v>222.58</v>
      </c>
      <c r="M926">
        <v>1</v>
      </c>
      <c r="N926">
        <v>1.375</v>
      </c>
      <c r="O926">
        <v>6100231</v>
      </c>
      <c r="P926" s="2" t="s">
        <v>50</v>
      </c>
      <c r="Q926" s="2" t="s">
        <v>51</v>
      </c>
      <c r="R926" s="2" t="s">
        <v>30</v>
      </c>
      <c r="S926">
        <v>1</v>
      </c>
      <c r="T926" s="1">
        <v>43375</v>
      </c>
      <c r="U926" s="1">
        <v>43377</v>
      </c>
      <c r="V926" s="2"/>
      <c r="W926" s="1">
        <f>fNotasFiscais[[#This Row],[Data da Coleta]]+fNotasFiscais[[#This Row],[Prazo Contratado]]</f>
        <v>43376</v>
      </c>
      <c r="X926" s="3">
        <f>IF(fNotasFiscais[[#This Row],[Data da Entrega]]&gt;fNotasFiscais[[#This Row],[Data Contratada]],0,1)</f>
        <v>0</v>
      </c>
      <c r="Y926" s="3">
        <f>IF(fNotasFiscais[[#This Row],[Ocorrência]]="",1,0)</f>
        <v>1</v>
      </c>
      <c r="Z926" s="2">
        <f>fNotasFiscais[[#This Row],[On Time]]*fNotasFiscais[[#This Row],[In Full]]</f>
        <v>0</v>
      </c>
      <c r="AA926">
        <f>IF(fNotasFiscais[[#This Row],[Nota Fiscal]]&lt;&gt;"",1,0)</f>
        <v>1</v>
      </c>
    </row>
    <row r="927" spans="1:27" x14ac:dyDescent="0.25">
      <c r="A927" s="1">
        <v>43376</v>
      </c>
      <c r="B927">
        <v>11336</v>
      </c>
      <c r="C927" s="2" t="s">
        <v>40</v>
      </c>
      <c r="D927" s="2" t="s">
        <v>41</v>
      </c>
      <c r="E927" s="2" t="s">
        <v>33</v>
      </c>
      <c r="F927">
        <v>4076</v>
      </c>
      <c r="G927" s="2" t="s">
        <v>146</v>
      </c>
      <c r="H927" s="2" t="s">
        <v>141</v>
      </c>
      <c r="I927" s="2" t="s">
        <v>33</v>
      </c>
      <c r="J927" s="2" t="s">
        <v>60</v>
      </c>
      <c r="K927" s="2" t="s">
        <v>33</v>
      </c>
      <c r="L927">
        <v>438.32</v>
      </c>
      <c r="M927">
        <v>1</v>
      </c>
      <c r="N927">
        <v>2.4940000000000002</v>
      </c>
      <c r="O927">
        <v>6400835</v>
      </c>
      <c r="P927" s="2" t="s">
        <v>130</v>
      </c>
      <c r="Q927" s="2" t="s">
        <v>131</v>
      </c>
      <c r="R927" s="2" t="s">
        <v>30</v>
      </c>
      <c r="S927">
        <v>8</v>
      </c>
      <c r="T927" s="1">
        <v>43376</v>
      </c>
      <c r="U927" s="1">
        <v>43385</v>
      </c>
      <c r="V927" s="2"/>
      <c r="W927" s="1">
        <f>fNotasFiscais[[#This Row],[Data da Coleta]]+fNotasFiscais[[#This Row],[Prazo Contratado]]</f>
        <v>43384</v>
      </c>
      <c r="X927" s="3">
        <f>IF(fNotasFiscais[[#This Row],[Data da Entrega]]&gt;fNotasFiscais[[#This Row],[Data Contratada]],0,1)</f>
        <v>0</v>
      </c>
      <c r="Y927" s="3">
        <f>IF(fNotasFiscais[[#This Row],[Ocorrência]]="",1,0)</f>
        <v>1</v>
      </c>
      <c r="Z927" s="2">
        <f>fNotasFiscais[[#This Row],[On Time]]*fNotasFiscais[[#This Row],[In Full]]</f>
        <v>0</v>
      </c>
      <c r="AA927">
        <f>IF(fNotasFiscais[[#This Row],[Nota Fiscal]]&lt;&gt;"",1,0)</f>
        <v>1</v>
      </c>
    </row>
    <row r="928" spans="1:27" x14ac:dyDescent="0.25">
      <c r="A928" s="1">
        <v>43376</v>
      </c>
      <c r="B928">
        <v>11337</v>
      </c>
      <c r="C928" s="2" t="s">
        <v>43</v>
      </c>
      <c r="D928" s="2" t="s">
        <v>44</v>
      </c>
      <c r="E928" s="2" t="s">
        <v>45</v>
      </c>
      <c r="F928">
        <v>4076</v>
      </c>
      <c r="G928" s="2" t="s">
        <v>146</v>
      </c>
      <c r="H928" s="2" t="s">
        <v>141</v>
      </c>
      <c r="I928" s="2" t="s">
        <v>33</v>
      </c>
      <c r="J928" s="2" t="s">
        <v>60</v>
      </c>
      <c r="K928" s="2" t="s">
        <v>33</v>
      </c>
      <c r="L928">
        <v>646.42999999999995</v>
      </c>
      <c r="M928">
        <v>2</v>
      </c>
      <c r="N928">
        <v>0.20799999999999999</v>
      </c>
      <c r="O928">
        <v>6400835</v>
      </c>
      <c r="P928" s="2" t="s">
        <v>130</v>
      </c>
      <c r="Q928" s="2" t="s">
        <v>131</v>
      </c>
      <c r="R928" s="2" t="s">
        <v>30</v>
      </c>
      <c r="S928">
        <v>4</v>
      </c>
      <c r="T928" s="1">
        <v>43376</v>
      </c>
      <c r="U928" s="1">
        <v>43383</v>
      </c>
      <c r="V928" s="2"/>
      <c r="W928" s="1">
        <f>fNotasFiscais[[#This Row],[Data da Coleta]]+fNotasFiscais[[#This Row],[Prazo Contratado]]</f>
        <v>43380</v>
      </c>
      <c r="X928" s="3">
        <f>IF(fNotasFiscais[[#This Row],[Data da Entrega]]&gt;fNotasFiscais[[#This Row],[Data Contratada]],0,1)</f>
        <v>0</v>
      </c>
      <c r="Y928" s="3">
        <f>IF(fNotasFiscais[[#This Row],[Ocorrência]]="",1,0)</f>
        <v>1</v>
      </c>
      <c r="Z928" s="2">
        <f>fNotasFiscais[[#This Row],[On Time]]*fNotasFiscais[[#This Row],[In Full]]</f>
        <v>0</v>
      </c>
      <c r="AA928">
        <f>IF(fNotasFiscais[[#This Row],[Nota Fiscal]]&lt;&gt;"",1,0)</f>
        <v>1</v>
      </c>
    </row>
    <row r="929" spans="1:27" x14ac:dyDescent="0.25">
      <c r="A929" s="1">
        <v>43376</v>
      </c>
      <c r="B929">
        <v>11338</v>
      </c>
      <c r="C929" s="2" t="s">
        <v>52</v>
      </c>
      <c r="D929" s="2" t="s">
        <v>53</v>
      </c>
      <c r="E929" s="2" t="s">
        <v>33</v>
      </c>
      <c r="F929">
        <v>4022</v>
      </c>
      <c r="G929" s="2" t="s">
        <v>86</v>
      </c>
      <c r="H929" s="2" t="s">
        <v>87</v>
      </c>
      <c r="I929" s="2" t="s">
        <v>27</v>
      </c>
      <c r="J929" s="2" t="s">
        <v>28</v>
      </c>
      <c r="K929" s="2" t="s">
        <v>27</v>
      </c>
      <c r="L929">
        <v>722.8</v>
      </c>
      <c r="M929">
        <v>1</v>
      </c>
      <c r="N929">
        <v>2.202</v>
      </c>
      <c r="O929">
        <v>6500948</v>
      </c>
      <c r="P929" s="2" t="s">
        <v>29</v>
      </c>
      <c r="Q929" s="2" t="s">
        <v>23</v>
      </c>
      <c r="R929" s="2" t="s">
        <v>30</v>
      </c>
      <c r="S929">
        <v>11</v>
      </c>
      <c r="T929" s="1">
        <v>43376</v>
      </c>
      <c r="U929" s="1">
        <v>43384</v>
      </c>
      <c r="V929" s="2" t="s">
        <v>42</v>
      </c>
      <c r="W929" s="1">
        <f>fNotasFiscais[[#This Row],[Data da Coleta]]+fNotasFiscais[[#This Row],[Prazo Contratado]]</f>
        <v>43387</v>
      </c>
      <c r="X929" s="3">
        <f>IF(fNotasFiscais[[#This Row],[Data da Entrega]]&gt;fNotasFiscais[[#This Row],[Data Contratada]],0,1)</f>
        <v>1</v>
      </c>
      <c r="Y929" s="3">
        <f>IF(fNotasFiscais[[#This Row],[Ocorrência]]="",1,0)</f>
        <v>0</v>
      </c>
      <c r="Z929" s="2">
        <f>fNotasFiscais[[#This Row],[On Time]]*fNotasFiscais[[#This Row],[In Full]]</f>
        <v>0</v>
      </c>
      <c r="AA929">
        <f>IF(fNotasFiscais[[#This Row],[Nota Fiscal]]&lt;&gt;"",1,0)</f>
        <v>1</v>
      </c>
    </row>
    <row r="930" spans="1:27" x14ac:dyDescent="0.25">
      <c r="A930" s="1">
        <v>43378</v>
      </c>
      <c r="B930">
        <v>11339</v>
      </c>
      <c r="C930" s="2" t="s">
        <v>40</v>
      </c>
      <c r="D930" s="2" t="s">
        <v>41</v>
      </c>
      <c r="E930" s="2" t="s">
        <v>33</v>
      </c>
      <c r="F930">
        <v>4084</v>
      </c>
      <c r="G930" s="2" t="s">
        <v>155</v>
      </c>
      <c r="H930" s="2" t="s">
        <v>149</v>
      </c>
      <c r="I930" s="2" t="s">
        <v>33</v>
      </c>
      <c r="J930" s="2" t="s">
        <v>60</v>
      </c>
      <c r="K930" s="2" t="s">
        <v>33</v>
      </c>
      <c r="L930">
        <v>78.27</v>
      </c>
      <c r="M930">
        <v>1</v>
      </c>
      <c r="N930">
        <v>0.38500000000000001</v>
      </c>
      <c r="O930">
        <v>6400835</v>
      </c>
      <c r="P930" s="2" t="s">
        <v>130</v>
      </c>
      <c r="Q930" s="2" t="s">
        <v>131</v>
      </c>
      <c r="R930" s="2" t="s">
        <v>30</v>
      </c>
      <c r="S930">
        <v>11</v>
      </c>
      <c r="T930" s="1">
        <v>43378</v>
      </c>
      <c r="U930" s="1">
        <v>43388</v>
      </c>
      <c r="V930" s="2"/>
      <c r="W930" s="1">
        <f>fNotasFiscais[[#This Row],[Data da Coleta]]+fNotasFiscais[[#This Row],[Prazo Contratado]]</f>
        <v>43389</v>
      </c>
      <c r="X930" s="3">
        <f>IF(fNotasFiscais[[#This Row],[Data da Entrega]]&gt;fNotasFiscais[[#This Row],[Data Contratada]],0,1)</f>
        <v>1</v>
      </c>
      <c r="Y930" s="3">
        <f>IF(fNotasFiscais[[#This Row],[Ocorrência]]="",1,0)</f>
        <v>1</v>
      </c>
      <c r="Z930" s="2">
        <f>fNotasFiscais[[#This Row],[On Time]]*fNotasFiscais[[#This Row],[In Full]]</f>
        <v>1</v>
      </c>
      <c r="AA930">
        <f>IF(fNotasFiscais[[#This Row],[Nota Fiscal]]&lt;&gt;"",1,0)</f>
        <v>1</v>
      </c>
    </row>
    <row r="931" spans="1:27" x14ac:dyDescent="0.25">
      <c r="A931" s="1">
        <v>43379</v>
      </c>
      <c r="B931">
        <v>11340</v>
      </c>
      <c r="C931" s="2" t="s">
        <v>54</v>
      </c>
      <c r="D931" s="2" t="s">
        <v>55</v>
      </c>
      <c r="E931" s="2" t="s">
        <v>56</v>
      </c>
      <c r="F931">
        <v>4019</v>
      </c>
      <c r="G931" s="2" t="s">
        <v>79</v>
      </c>
      <c r="H931" s="2" t="s">
        <v>80</v>
      </c>
      <c r="I931" s="2" t="s">
        <v>39</v>
      </c>
      <c r="J931" s="2" t="s">
        <v>28</v>
      </c>
      <c r="K931" s="2" t="s">
        <v>39</v>
      </c>
      <c r="L931">
        <v>1583.31</v>
      </c>
      <c r="M931">
        <v>1</v>
      </c>
      <c r="N931">
        <v>1.6850000000000001</v>
      </c>
      <c r="O931">
        <v>6500948</v>
      </c>
      <c r="P931" s="2" t="s">
        <v>29</v>
      </c>
      <c r="Q931" s="2" t="s">
        <v>23</v>
      </c>
      <c r="R931" s="2" t="s">
        <v>30</v>
      </c>
      <c r="S931">
        <v>10</v>
      </c>
      <c r="T931" s="1">
        <v>43379</v>
      </c>
      <c r="U931" s="1">
        <v>43389</v>
      </c>
      <c r="V931" s="2" t="s">
        <v>42</v>
      </c>
      <c r="W931" s="1">
        <f>fNotasFiscais[[#This Row],[Data da Coleta]]+fNotasFiscais[[#This Row],[Prazo Contratado]]</f>
        <v>43389</v>
      </c>
      <c r="X931" s="3">
        <f>IF(fNotasFiscais[[#This Row],[Data da Entrega]]&gt;fNotasFiscais[[#This Row],[Data Contratada]],0,1)</f>
        <v>1</v>
      </c>
      <c r="Y931" s="3">
        <f>IF(fNotasFiscais[[#This Row],[Ocorrência]]="",1,0)</f>
        <v>0</v>
      </c>
      <c r="Z931" s="2">
        <f>fNotasFiscais[[#This Row],[On Time]]*fNotasFiscais[[#This Row],[In Full]]</f>
        <v>0</v>
      </c>
      <c r="AA931">
        <f>IF(fNotasFiscais[[#This Row],[Nota Fiscal]]&lt;&gt;"",1,0)</f>
        <v>1</v>
      </c>
    </row>
    <row r="932" spans="1:27" x14ac:dyDescent="0.25">
      <c r="A932" s="1">
        <v>43379</v>
      </c>
      <c r="B932">
        <v>11341</v>
      </c>
      <c r="C932" s="2" t="s">
        <v>52</v>
      </c>
      <c r="D932" s="2" t="s">
        <v>53</v>
      </c>
      <c r="E932" s="2" t="s">
        <v>33</v>
      </c>
      <c r="F932">
        <v>4125</v>
      </c>
      <c r="G932" s="2" t="s">
        <v>208</v>
      </c>
      <c r="H932" s="2" t="s">
        <v>32</v>
      </c>
      <c r="I932" s="2" t="s">
        <v>33</v>
      </c>
      <c r="J932" s="2" t="s">
        <v>60</v>
      </c>
      <c r="K932" s="2" t="s">
        <v>33</v>
      </c>
      <c r="L932">
        <v>18.03</v>
      </c>
      <c r="M932">
        <v>1</v>
      </c>
      <c r="N932">
        <v>0.88400000000000001</v>
      </c>
      <c r="O932">
        <v>6400835</v>
      </c>
      <c r="P932" s="2" t="s">
        <v>130</v>
      </c>
      <c r="Q932" s="2" t="s">
        <v>131</v>
      </c>
      <c r="R932" s="2" t="s">
        <v>30</v>
      </c>
      <c r="S932">
        <v>6</v>
      </c>
      <c r="T932" s="1">
        <v>43379</v>
      </c>
      <c r="U932" s="1">
        <v>43382</v>
      </c>
      <c r="V932" s="2"/>
      <c r="W932" s="1">
        <f>fNotasFiscais[[#This Row],[Data da Coleta]]+fNotasFiscais[[#This Row],[Prazo Contratado]]</f>
        <v>43385</v>
      </c>
      <c r="X932" s="3">
        <f>IF(fNotasFiscais[[#This Row],[Data da Entrega]]&gt;fNotasFiscais[[#This Row],[Data Contratada]],0,1)</f>
        <v>1</v>
      </c>
      <c r="Y932" s="3">
        <f>IF(fNotasFiscais[[#This Row],[Ocorrência]]="",1,0)</f>
        <v>1</v>
      </c>
      <c r="Z932" s="2">
        <f>fNotasFiscais[[#This Row],[On Time]]*fNotasFiscais[[#This Row],[In Full]]</f>
        <v>1</v>
      </c>
      <c r="AA932">
        <f>IF(fNotasFiscais[[#This Row],[Nota Fiscal]]&lt;&gt;"",1,0)</f>
        <v>1</v>
      </c>
    </row>
    <row r="933" spans="1:27" x14ac:dyDescent="0.25">
      <c r="A933" s="1">
        <v>43379</v>
      </c>
      <c r="B933">
        <v>11342</v>
      </c>
      <c r="C933" s="2" t="s">
        <v>52</v>
      </c>
      <c r="D933" s="2" t="s">
        <v>53</v>
      </c>
      <c r="E933" s="2" t="s">
        <v>33</v>
      </c>
      <c r="F933">
        <v>4068</v>
      </c>
      <c r="G933" s="2" t="s">
        <v>63</v>
      </c>
      <c r="H933" s="2" t="s">
        <v>64</v>
      </c>
      <c r="I933" s="2" t="s">
        <v>65</v>
      </c>
      <c r="J933" s="2" t="s">
        <v>49</v>
      </c>
      <c r="K933" s="2" t="s">
        <v>65</v>
      </c>
      <c r="L933">
        <v>97.31</v>
      </c>
      <c r="M933">
        <v>1</v>
      </c>
      <c r="N933">
        <v>1.1200000000000001</v>
      </c>
      <c r="O933">
        <v>6100231</v>
      </c>
      <c r="P933" s="2" t="s">
        <v>50</v>
      </c>
      <c r="Q933" s="2" t="s">
        <v>51</v>
      </c>
      <c r="R933" s="2" t="s">
        <v>30</v>
      </c>
      <c r="S933">
        <v>6</v>
      </c>
      <c r="T933" s="1">
        <v>43379</v>
      </c>
      <c r="U933" s="1">
        <v>43383</v>
      </c>
      <c r="V933" s="2"/>
      <c r="W933" s="1">
        <f>fNotasFiscais[[#This Row],[Data da Coleta]]+fNotasFiscais[[#This Row],[Prazo Contratado]]</f>
        <v>43385</v>
      </c>
      <c r="X933" s="3">
        <f>IF(fNotasFiscais[[#This Row],[Data da Entrega]]&gt;fNotasFiscais[[#This Row],[Data Contratada]],0,1)</f>
        <v>1</v>
      </c>
      <c r="Y933" s="3">
        <f>IF(fNotasFiscais[[#This Row],[Ocorrência]]="",1,0)</f>
        <v>1</v>
      </c>
      <c r="Z933" s="2">
        <f>fNotasFiscais[[#This Row],[On Time]]*fNotasFiscais[[#This Row],[In Full]]</f>
        <v>1</v>
      </c>
      <c r="AA933">
        <f>IF(fNotasFiscais[[#This Row],[Nota Fiscal]]&lt;&gt;"",1,0)</f>
        <v>1</v>
      </c>
    </row>
    <row r="934" spans="1:27" x14ac:dyDescent="0.25">
      <c r="A934" s="1">
        <v>43379</v>
      </c>
      <c r="B934">
        <v>11343</v>
      </c>
      <c r="C934" s="2" t="s">
        <v>22</v>
      </c>
      <c r="D934" s="2" t="s">
        <v>23</v>
      </c>
      <c r="E934" s="2" t="s">
        <v>24</v>
      </c>
      <c r="F934">
        <v>4113</v>
      </c>
      <c r="G934" s="2" t="s">
        <v>196</v>
      </c>
      <c r="H934" s="2" t="s">
        <v>44</v>
      </c>
      <c r="I934" s="2" t="s">
        <v>45</v>
      </c>
      <c r="J934" s="2" t="s">
        <v>60</v>
      </c>
      <c r="K934" s="2" t="s">
        <v>45</v>
      </c>
      <c r="L934">
        <v>708.48</v>
      </c>
      <c r="M934">
        <v>1</v>
      </c>
      <c r="N934">
        <v>1.87</v>
      </c>
      <c r="O934">
        <v>6140092</v>
      </c>
      <c r="P934" s="2" t="s">
        <v>137</v>
      </c>
      <c r="Q934" s="2" t="s">
        <v>138</v>
      </c>
      <c r="R934" s="2" t="s">
        <v>30</v>
      </c>
      <c r="S934">
        <v>7</v>
      </c>
      <c r="T934" s="1">
        <v>43379</v>
      </c>
      <c r="U934" s="1">
        <v>43380</v>
      </c>
      <c r="V934" s="2" t="s">
        <v>42</v>
      </c>
      <c r="W934" s="1">
        <f>fNotasFiscais[[#This Row],[Data da Coleta]]+fNotasFiscais[[#This Row],[Prazo Contratado]]</f>
        <v>43386</v>
      </c>
      <c r="X934" s="3">
        <f>IF(fNotasFiscais[[#This Row],[Data da Entrega]]&gt;fNotasFiscais[[#This Row],[Data Contratada]],0,1)</f>
        <v>1</v>
      </c>
      <c r="Y934" s="3">
        <f>IF(fNotasFiscais[[#This Row],[Ocorrência]]="",1,0)</f>
        <v>0</v>
      </c>
      <c r="Z934" s="2">
        <f>fNotasFiscais[[#This Row],[On Time]]*fNotasFiscais[[#This Row],[In Full]]</f>
        <v>0</v>
      </c>
      <c r="AA934">
        <f>IF(fNotasFiscais[[#This Row],[Nota Fiscal]]&lt;&gt;"",1,0)</f>
        <v>1</v>
      </c>
    </row>
    <row r="935" spans="1:27" x14ac:dyDescent="0.25">
      <c r="A935" s="1">
        <v>43379</v>
      </c>
      <c r="B935">
        <v>11344</v>
      </c>
      <c r="C935" s="2" t="s">
        <v>52</v>
      </c>
      <c r="D935" s="2" t="s">
        <v>53</v>
      </c>
      <c r="E935" s="2" t="s">
        <v>33</v>
      </c>
      <c r="F935">
        <v>4069</v>
      </c>
      <c r="G935" s="2" t="s">
        <v>135</v>
      </c>
      <c r="H935" s="2" t="s">
        <v>47</v>
      </c>
      <c r="I935" s="2" t="s">
        <v>48</v>
      </c>
      <c r="J935" s="2" t="s">
        <v>49</v>
      </c>
      <c r="K935" s="2" t="s">
        <v>48</v>
      </c>
      <c r="L935">
        <v>11.71</v>
      </c>
      <c r="M935">
        <v>1</v>
      </c>
      <c r="N935">
        <v>1.2999999999999999E-2</v>
      </c>
      <c r="O935">
        <v>6100231</v>
      </c>
      <c r="P935" s="2" t="s">
        <v>50</v>
      </c>
      <c r="Q935" s="2" t="s">
        <v>51</v>
      </c>
      <c r="R935" s="2" t="s">
        <v>30</v>
      </c>
      <c r="S935">
        <v>9</v>
      </c>
      <c r="T935" s="1">
        <v>43379</v>
      </c>
      <c r="U935" s="1">
        <v>43389</v>
      </c>
      <c r="V935" s="2"/>
      <c r="W935" s="1">
        <f>fNotasFiscais[[#This Row],[Data da Coleta]]+fNotasFiscais[[#This Row],[Prazo Contratado]]</f>
        <v>43388</v>
      </c>
      <c r="X935" s="3">
        <f>IF(fNotasFiscais[[#This Row],[Data da Entrega]]&gt;fNotasFiscais[[#This Row],[Data Contratada]],0,1)</f>
        <v>0</v>
      </c>
      <c r="Y935" s="3">
        <f>IF(fNotasFiscais[[#This Row],[Ocorrência]]="",1,0)</f>
        <v>1</v>
      </c>
      <c r="Z935" s="2">
        <f>fNotasFiscais[[#This Row],[On Time]]*fNotasFiscais[[#This Row],[In Full]]</f>
        <v>0</v>
      </c>
      <c r="AA935">
        <f>IF(fNotasFiscais[[#This Row],[Nota Fiscal]]&lt;&gt;"",1,0)</f>
        <v>1</v>
      </c>
    </row>
    <row r="936" spans="1:27" x14ac:dyDescent="0.25">
      <c r="A936" s="1">
        <v>43379</v>
      </c>
      <c r="B936">
        <v>11345</v>
      </c>
      <c r="C936" s="2" t="s">
        <v>22</v>
      </c>
      <c r="D936" s="2" t="s">
        <v>23</v>
      </c>
      <c r="E936" s="2" t="s">
        <v>24</v>
      </c>
      <c r="F936">
        <v>4113</v>
      </c>
      <c r="G936" s="2" t="s">
        <v>196</v>
      </c>
      <c r="H936" s="2" t="s">
        <v>44</v>
      </c>
      <c r="I936" s="2" t="s">
        <v>45</v>
      </c>
      <c r="J936" s="2" t="s">
        <v>60</v>
      </c>
      <c r="K936" s="2" t="s">
        <v>45</v>
      </c>
      <c r="L936">
        <v>67.209999999999994</v>
      </c>
      <c r="M936">
        <v>1</v>
      </c>
      <c r="N936">
        <v>0.11</v>
      </c>
      <c r="O936">
        <v>6140092</v>
      </c>
      <c r="P936" s="2" t="s">
        <v>137</v>
      </c>
      <c r="Q936" s="2" t="s">
        <v>138</v>
      </c>
      <c r="R936" s="2" t="s">
        <v>30</v>
      </c>
      <c r="S936">
        <v>2</v>
      </c>
      <c r="T936" s="1">
        <v>43379</v>
      </c>
      <c r="U936" s="1">
        <v>43385</v>
      </c>
      <c r="V936" s="2"/>
      <c r="W936" s="1">
        <f>fNotasFiscais[[#This Row],[Data da Coleta]]+fNotasFiscais[[#This Row],[Prazo Contratado]]</f>
        <v>43381</v>
      </c>
      <c r="X936" s="3">
        <f>IF(fNotasFiscais[[#This Row],[Data da Entrega]]&gt;fNotasFiscais[[#This Row],[Data Contratada]],0,1)</f>
        <v>0</v>
      </c>
      <c r="Y936" s="3">
        <f>IF(fNotasFiscais[[#This Row],[Ocorrência]]="",1,0)</f>
        <v>1</v>
      </c>
      <c r="Z936" s="2">
        <f>fNotasFiscais[[#This Row],[On Time]]*fNotasFiscais[[#This Row],[In Full]]</f>
        <v>0</v>
      </c>
      <c r="AA936">
        <f>IF(fNotasFiscais[[#This Row],[Nota Fiscal]]&lt;&gt;"",1,0)</f>
        <v>1</v>
      </c>
    </row>
    <row r="937" spans="1:27" x14ac:dyDescent="0.25">
      <c r="A937" s="1">
        <v>43382</v>
      </c>
      <c r="B937">
        <v>11346</v>
      </c>
      <c r="C937" s="2" t="s">
        <v>34</v>
      </c>
      <c r="D937" s="2" t="s">
        <v>35</v>
      </c>
      <c r="E937" s="2" t="s">
        <v>36</v>
      </c>
      <c r="F937">
        <v>4068</v>
      </c>
      <c r="G937" s="2" t="s">
        <v>63</v>
      </c>
      <c r="H937" s="2" t="s">
        <v>64</v>
      </c>
      <c r="I937" s="2" t="s">
        <v>65</v>
      </c>
      <c r="J937" s="2" t="s">
        <v>49</v>
      </c>
      <c r="K937" s="2" t="s">
        <v>65</v>
      </c>
      <c r="L937">
        <v>1849.5</v>
      </c>
      <c r="M937">
        <v>1</v>
      </c>
      <c r="N937">
        <v>4.51</v>
      </c>
      <c r="O937">
        <v>6100231</v>
      </c>
      <c r="P937" s="2" t="s">
        <v>50</v>
      </c>
      <c r="Q937" s="2" t="s">
        <v>51</v>
      </c>
      <c r="R937" s="2" t="s">
        <v>30</v>
      </c>
      <c r="S937">
        <v>9</v>
      </c>
      <c r="T937" s="1">
        <v>43382</v>
      </c>
      <c r="U937" s="1">
        <v>43390</v>
      </c>
      <c r="V937" s="2" t="s">
        <v>42</v>
      </c>
      <c r="W937" s="1">
        <f>fNotasFiscais[[#This Row],[Data da Coleta]]+fNotasFiscais[[#This Row],[Prazo Contratado]]</f>
        <v>43391</v>
      </c>
      <c r="X937" s="3">
        <f>IF(fNotasFiscais[[#This Row],[Data da Entrega]]&gt;fNotasFiscais[[#This Row],[Data Contratada]],0,1)</f>
        <v>1</v>
      </c>
      <c r="Y937" s="3">
        <f>IF(fNotasFiscais[[#This Row],[Ocorrência]]="",1,0)</f>
        <v>0</v>
      </c>
      <c r="Z937" s="2">
        <f>fNotasFiscais[[#This Row],[On Time]]*fNotasFiscais[[#This Row],[In Full]]</f>
        <v>0</v>
      </c>
      <c r="AA937">
        <f>IF(fNotasFiscais[[#This Row],[Nota Fiscal]]&lt;&gt;"",1,0)</f>
        <v>1</v>
      </c>
    </row>
    <row r="938" spans="1:27" x14ac:dyDescent="0.25">
      <c r="A938" s="1">
        <v>43382</v>
      </c>
      <c r="B938">
        <v>11347</v>
      </c>
      <c r="C938" s="2" t="s">
        <v>22</v>
      </c>
      <c r="D938" s="2" t="s">
        <v>23</v>
      </c>
      <c r="E938" s="2" t="s">
        <v>24</v>
      </c>
      <c r="F938">
        <v>4068</v>
      </c>
      <c r="G938" s="2" t="s">
        <v>63</v>
      </c>
      <c r="H938" s="2" t="s">
        <v>64</v>
      </c>
      <c r="I938" s="2" t="s">
        <v>65</v>
      </c>
      <c r="J938" s="2" t="s">
        <v>49</v>
      </c>
      <c r="K938" s="2" t="s">
        <v>65</v>
      </c>
      <c r="L938">
        <v>506.6</v>
      </c>
      <c r="M938">
        <v>1</v>
      </c>
      <c r="N938">
        <v>3.4390000000000001</v>
      </c>
      <c r="O938">
        <v>6100231</v>
      </c>
      <c r="P938" s="2" t="s">
        <v>50</v>
      </c>
      <c r="Q938" s="2" t="s">
        <v>51</v>
      </c>
      <c r="R938" s="2" t="s">
        <v>30</v>
      </c>
      <c r="S938">
        <v>5</v>
      </c>
      <c r="T938" s="1">
        <v>43382</v>
      </c>
      <c r="U938" s="1">
        <v>43388</v>
      </c>
      <c r="V938" s="2"/>
      <c r="W938" s="1">
        <f>fNotasFiscais[[#This Row],[Data da Coleta]]+fNotasFiscais[[#This Row],[Prazo Contratado]]</f>
        <v>43387</v>
      </c>
      <c r="X938" s="3">
        <f>IF(fNotasFiscais[[#This Row],[Data da Entrega]]&gt;fNotasFiscais[[#This Row],[Data Contratada]],0,1)</f>
        <v>0</v>
      </c>
      <c r="Y938" s="3">
        <f>IF(fNotasFiscais[[#This Row],[Ocorrência]]="",1,0)</f>
        <v>1</v>
      </c>
      <c r="Z938" s="2">
        <f>fNotasFiscais[[#This Row],[On Time]]*fNotasFiscais[[#This Row],[In Full]]</f>
        <v>0</v>
      </c>
      <c r="AA938">
        <f>IF(fNotasFiscais[[#This Row],[Nota Fiscal]]&lt;&gt;"",1,0)</f>
        <v>1</v>
      </c>
    </row>
    <row r="939" spans="1:27" x14ac:dyDescent="0.25">
      <c r="A939" s="1">
        <v>43383</v>
      </c>
      <c r="B939">
        <v>11348</v>
      </c>
      <c r="C939" s="2" t="s">
        <v>22</v>
      </c>
      <c r="D939" s="2" t="s">
        <v>23</v>
      </c>
      <c r="E939" s="2" t="s">
        <v>24</v>
      </c>
      <c r="F939">
        <v>4037</v>
      </c>
      <c r="G939" s="2" t="s">
        <v>113</v>
      </c>
      <c r="H939" s="2" t="s">
        <v>47</v>
      </c>
      <c r="I939" s="2" t="s">
        <v>48</v>
      </c>
      <c r="J939" s="2" t="s">
        <v>49</v>
      </c>
      <c r="K939" s="2" t="s">
        <v>48</v>
      </c>
      <c r="L939">
        <v>11.03</v>
      </c>
      <c r="M939">
        <v>1</v>
      </c>
      <c r="N939">
        <v>0.16</v>
      </c>
      <c r="O939">
        <v>6100231</v>
      </c>
      <c r="P939" s="2" t="s">
        <v>50</v>
      </c>
      <c r="Q939" s="2" t="s">
        <v>51</v>
      </c>
      <c r="R939" s="2" t="s">
        <v>30</v>
      </c>
      <c r="S939">
        <v>3</v>
      </c>
      <c r="T939" s="1">
        <v>43383</v>
      </c>
      <c r="U939" s="1">
        <v>43385</v>
      </c>
      <c r="V939" s="2"/>
      <c r="W939" s="1">
        <f>fNotasFiscais[[#This Row],[Data da Coleta]]+fNotasFiscais[[#This Row],[Prazo Contratado]]</f>
        <v>43386</v>
      </c>
      <c r="X939" s="3">
        <f>IF(fNotasFiscais[[#This Row],[Data da Entrega]]&gt;fNotasFiscais[[#This Row],[Data Contratada]],0,1)</f>
        <v>1</v>
      </c>
      <c r="Y939" s="3">
        <f>IF(fNotasFiscais[[#This Row],[Ocorrência]]="",1,0)</f>
        <v>1</v>
      </c>
      <c r="Z939" s="2">
        <f>fNotasFiscais[[#This Row],[On Time]]*fNotasFiscais[[#This Row],[In Full]]</f>
        <v>1</v>
      </c>
      <c r="AA939">
        <f>IF(fNotasFiscais[[#This Row],[Nota Fiscal]]&lt;&gt;"",1,0)</f>
        <v>1</v>
      </c>
    </row>
    <row r="940" spans="1:27" x14ac:dyDescent="0.25">
      <c r="A940" s="1">
        <v>43385</v>
      </c>
      <c r="B940">
        <v>11349</v>
      </c>
      <c r="C940" s="2" t="s">
        <v>43</v>
      </c>
      <c r="D940" s="2" t="s">
        <v>44</v>
      </c>
      <c r="E940" s="2" t="s">
        <v>45</v>
      </c>
      <c r="F940">
        <v>4126</v>
      </c>
      <c r="G940" s="2" t="s">
        <v>209</v>
      </c>
      <c r="H940" s="2" t="s">
        <v>35</v>
      </c>
      <c r="I940" s="2" t="s">
        <v>36</v>
      </c>
      <c r="J940" s="2" t="s">
        <v>60</v>
      </c>
      <c r="K940" s="2" t="s">
        <v>36</v>
      </c>
      <c r="L940">
        <v>607.47</v>
      </c>
      <c r="M940">
        <v>1</v>
      </c>
      <c r="N940">
        <v>2.2000000000000002</v>
      </c>
      <c r="O940">
        <v>6600879</v>
      </c>
      <c r="P940" s="2" t="s">
        <v>61</v>
      </c>
      <c r="Q940" s="2" t="s">
        <v>35</v>
      </c>
      <c r="R940" s="2" t="s">
        <v>30</v>
      </c>
      <c r="S940">
        <v>5</v>
      </c>
      <c r="T940" s="1">
        <v>43385</v>
      </c>
      <c r="U940" s="1">
        <v>43393</v>
      </c>
      <c r="V940" s="2"/>
      <c r="W940" s="1">
        <f>fNotasFiscais[[#This Row],[Data da Coleta]]+fNotasFiscais[[#This Row],[Prazo Contratado]]</f>
        <v>43390</v>
      </c>
      <c r="X940" s="3">
        <f>IF(fNotasFiscais[[#This Row],[Data da Entrega]]&gt;fNotasFiscais[[#This Row],[Data Contratada]],0,1)</f>
        <v>0</v>
      </c>
      <c r="Y940" s="3">
        <f>IF(fNotasFiscais[[#This Row],[Ocorrência]]="",1,0)</f>
        <v>1</v>
      </c>
      <c r="Z940" s="2">
        <f>fNotasFiscais[[#This Row],[On Time]]*fNotasFiscais[[#This Row],[In Full]]</f>
        <v>0</v>
      </c>
      <c r="AA940">
        <f>IF(fNotasFiscais[[#This Row],[Nota Fiscal]]&lt;&gt;"",1,0)</f>
        <v>1</v>
      </c>
    </row>
    <row r="941" spans="1:27" x14ac:dyDescent="0.25">
      <c r="A941" s="1">
        <v>43386</v>
      </c>
      <c r="B941">
        <v>11350</v>
      </c>
      <c r="C941" s="2" t="s">
        <v>31</v>
      </c>
      <c r="D941" s="2" t="s">
        <v>32</v>
      </c>
      <c r="E941" s="2" t="s">
        <v>33</v>
      </c>
      <c r="F941">
        <v>4028</v>
      </c>
      <c r="G941" s="2" t="s">
        <v>95</v>
      </c>
      <c r="H941" s="2" t="s">
        <v>26</v>
      </c>
      <c r="I941" s="2" t="s">
        <v>27</v>
      </c>
      <c r="J941" s="2" t="s">
        <v>28</v>
      </c>
      <c r="K941" s="2" t="s">
        <v>27</v>
      </c>
      <c r="L941">
        <v>72.069999999999993</v>
      </c>
      <c r="M941">
        <v>1</v>
      </c>
      <c r="N941">
        <v>0.187</v>
      </c>
      <c r="O941">
        <v>6500948</v>
      </c>
      <c r="P941" s="2" t="s">
        <v>29</v>
      </c>
      <c r="Q941" s="2" t="s">
        <v>23</v>
      </c>
      <c r="R941" s="2" t="s">
        <v>30</v>
      </c>
      <c r="S941">
        <v>11</v>
      </c>
      <c r="T941" s="1">
        <v>43386</v>
      </c>
      <c r="U941" s="1">
        <v>43390</v>
      </c>
      <c r="V941" s="2"/>
      <c r="W941" s="1">
        <f>fNotasFiscais[[#This Row],[Data da Coleta]]+fNotasFiscais[[#This Row],[Prazo Contratado]]</f>
        <v>43397</v>
      </c>
      <c r="X941" s="3">
        <f>IF(fNotasFiscais[[#This Row],[Data da Entrega]]&gt;fNotasFiscais[[#This Row],[Data Contratada]],0,1)</f>
        <v>1</v>
      </c>
      <c r="Y941" s="3">
        <f>IF(fNotasFiscais[[#This Row],[Ocorrência]]="",1,0)</f>
        <v>1</v>
      </c>
      <c r="Z941" s="2">
        <f>fNotasFiscais[[#This Row],[On Time]]*fNotasFiscais[[#This Row],[In Full]]</f>
        <v>1</v>
      </c>
      <c r="AA941">
        <f>IF(fNotasFiscais[[#This Row],[Nota Fiscal]]&lt;&gt;"",1,0)</f>
        <v>1</v>
      </c>
    </row>
    <row r="942" spans="1:27" x14ac:dyDescent="0.25">
      <c r="A942" s="1">
        <v>43386</v>
      </c>
      <c r="B942">
        <v>11351</v>
      </c>
      <c r="C942" s="2" t="s">
        <v>31</v>
      </c>
      <c r="D942" s="2" t="s">
        <v>32</v>
      </c>
      <c r="E942" s="2" t="s">
        <v>33</v>
      </c>
      <c r="F942">
        <v>4028</v>
      </c>
      <c r="G942" s="2" t="s">
        <v>95</v>
      </c>
      <c r="H942" s="2" t="s">
        <v>26</v>
      </c>
      <c r="I942" s="2" t="s">
        <v>27</v>
      </c>
      <c r="J942" s="2" t="s">
        <v>28</v>
      </c>
      <c r="K942" s="2" t="s">
        <v>27</v>
      </c>
      <c r="L942">
        <v>126.11</v>
      </c>
      <c r="M942">
        <v>1</v>
      </c>
      <c r="N942">
        <v>0.748</v>
      </c>
      <c r="O942">
        <v>6500948</v>
      </c>
      <c r="P942" s="2" t="s">
        <v>29</v>
      </c>
      <c r="Q942" s="2" t="s">
        <v>23</v>
      </c>
      <c r="R942" s="2" t="s">
        <v>30</v>
      </c>
      <c r="S942">
        <v>8</v>
      </c>
      <c r="T942" s="1">
        <v>43386</v>
      </c>
      <c r="U942" s="1">
        <v>43394</v>
      </c>
      <c r="V942" s="2"/>
      <c r="W942" s="1">
        <f>fNotasFiscais[[#This Row],[Data da Coleta]]+fNotasFiscais[[#This Row],[Prazo Contratado]]</f>
        <v>43394</v>
      </c>
      <c r="X942" s="3">
        <f>IF(fNotasFiscais[[#This Row],[Data da Entrega]]&gt;fNotasFiscais[[#This Row],[Data Contratada]],0,1)</f>
        <v>1</v>
      </c>
      <c r="Y942" s="3">
        <f>IF(fNotasFiscais[[#This Row],[Ocorrência]]="",1,0)</f>
        <v>1</v>
      </c>
      <c r="Z942" s="2">
        <f>fNotasFiscais[[#This Row],[On Time]]*fNotasFiscais[[#This Row],[In Full]]</f>
        <v>1</v>
      </c>
      <c r="AA942">
        <f>IF(fNotasFiscais[[#This Row],[Nota Fiscal]]&lt;&gt;"",1,0)</f>
        <v>1</v>
      </c>
    </row>
    <row r="943" spans="1:27" x14ac:dyDescent="0.25">
      <c r="A943" s="1">
        <v>43386</v>
      </c>
      <c r="B943">
        <v>11352</v>
      </c>
      <c r="C943" s="2" t="s">
        <v>40</v>
      </c>
      <c r="D943" s="2" t="s">
        <v>41</v>
      </c>
      <c r="E943" s="2" t="s">
        <v>33</v>
      </c>
      <c r="F943">
        <v>4022</v>
      </c>
      <c r="G943" s="2" t="s">
        <v>86</v>
      </c>
      <c r="H943" s="2" t="s">
        <v>87</v>
      </c>
      <c r="I943" s="2" t="s">
        <v>27</v>
      </c>
      <c r="J943" s="2" t="s">
        <v>28</v>
      </c>
      <c r="K943" s="2" t="s">
        <v>27</v>
      </c>
      <c r="L943">
        <v>57.97</v>
      </c>
      <c r="M943">
        <v>1</v>
      </c>
      <c r="N943">
        <v>0.55000000000000004</v>
      </c>
      <c r="O943">
        <v>6500948</v>
      </c>
      <c r="P943" s="2" t="s">
        <v>29</v>
      </c>
      <c r="Q943" s="2" t="s">
        <v>23</v>
      </c>
      <c r="R943" s="2" t="s">
        <v>30</v>
      </c>
      <c r="S943">
        <v>7</v>
      </c>
      <c r="T943" s="1">
        <v>43386</v>
      </c>
      <c r="U943" s="1">
        <v>43392</v>
      </c>
      <c r="V943" s="2"/>
      <c r="W943" s="1">
        <f>fNotasFiscais[[#This Row],[Data da Coleta]]+fNotasFiscais[[#This Row],[Prazo Contratado]]</f>
        <v>43393</v>
      </c>
      <c r="X943" s="3">
        <f>IF(fNotasFiscais[[#This Row],[Data da Entrega]]&gt;fNotasFiscais[[#This Row],[Data Contratada]],0,1)</f>
        <v>1</v>
      </c>
      <c r="Y943" s="3">
        <f>IF(fNotasFiscais[[#This Row],[Ocorrência]]="",1,0)</f>
        <v>1</v>
      </c>
      <c r="Z943" s="2">
        <f>fNotasFiscais[[#This Row],[On Time]]*fNotasFiscais[[#This Row],[In Full]]</f>
        <v>1</v>
      </c>
      <c r="AA943">
        <f>IF(fNotasFiscais[[#This Row],[Nota Fiscal]]&lt;&gt;"",1,0)</f>
        <v>1</v>
      </c>
    </row>
    <row r="944" spans="1:27" x14ac:dyDescent="0.25">
      <c r="A944" s="1">
        <v>43389</v>
      </c>
      <c r="B944">
        <v>11353</v>
      </c>
      <c r="C944" s="2" t="s">
        <v>31</v>
      </c>
      <c r="D944" s="2" t="s">
        <v>32</v>
      </c>
      <c r="E944" s="2" t="s">
        <v>33</v>
      </c>
      <c r="F944">
        <v>4068</v>
      </c>
      <c r="G944" s="2" t="s">
        <v>63</v>
      </c>
      <c r="H944" s="2" t="s">
        <v>64</v>
      </c>
      <c r="I944" s="2" t="s">
        <v>65</v>
      </c>
      <c r="J944" s="2" t="s">
        <v>49</v>
      </c>
      <c r="K944" s="2" t="s">
        <v>65</v>
      </c>
      <c r="L944">
        <v>578.44000000000005</v>
      </c>
      <c r="M944">
        <v>1</v>
      </c>
      <c r="N944">
        <v>1.98</v>
      </c>
      <c r="O944">
        <v>6100231</v>
      </c>
      <c r="P944" s="2" t="s">
        <v>50</v>
      </c>
      <c r="Q944" s="2" t="s">
        <v>51</v>
      </c>
      <c r="R944" s="2" t="s">
        <v>30</v>
      </c>
      <c r="S944">
        <v>8</v>
      </c>
      <c r="T944" s="1">
        <v>43389</v>
      </c>
      <c r="U944" s="1">
        <v>43398</v>
      </c>
      <c r="V944" s="2" t="s">
        <v>42</v>
      </c>
      <c r="W944" s="1">
        <f>fNotasFiscais[[#This Row],[Data da Coleta]]+fNotasFiscais[[#This Row],[Prazo Contratado]]</f>
        <v>43397</v>
      </c>
      <c r="X944" s="3">
        <f>IF(fNotasFiscais[[#This Row],[Data da Entrega]]&gt;fNotasFiscais[[#This Row],[Data Contratada]],0,1)</f>
        <v>0</v>
      </c>
      <c r="Y944" s="3">
        <f>IF(fNotasFiscais[[#This Row],[Ocorrência]]="",1,0)</f>
        <v>0</v>
      </c>
      <c r="Z944" s="2">
        <f>fNotasFiscais[[#This Row],[On Time]]*fNotasFiscais[[#This Row],[In Full]]</f>
        <v>0</v>
      </c>
      <c r="AA944">
        <f>IF(fNotasFiscais[[#This Row],[Nota Fiscal]]&lt;&gt;"",1,0)</f>
        <v>1</v>
      </c>
    </row>
    <row r="945" spans="1:27" x14ac:dyDescent="0.25">
      <c r="A945" s="1">
        <v>43389</v>
      </c>
      <c r="B945">
        <v>11354</v>
      </c>
      <c r="C945" s="2" t="s">
        <v>54</v>
      </c>
      <c r="D945" s="2" t="s">
        <v>55</v>
      </c>
      <c r="E945" s="2" t="s">
        <v>56</v>
      </c>
      <c r="F945">
        <v>4022</v>
      </c>
      <c r="G945" s="2" t="s">
        <v>86</v>
      </c>
      <c r="H945" s="2" t="s">
        <v>87</v>
      </c>
      <c r="I945" s="2" t="s">
        <v>27</v>
      </c>
      <c r="J945" s="2" t="s">
        <v>28</v>
      </c>
      <c r="K945" s="2" t="s">
        <v>27</v>
      </c>
      <c r="L945">
        <v>2356.88</v>
      </c>
      <c r="M945">
        <v>4</v>
      </c>
      <c r="N945">
        <v>7.92</v>
      </c>
      <c r="O945">
        <v>6500948</v>
      </c>
      <c r="P945" s="2" t="s">
        <v>29</v>
      </c>
      <c r="Q945" s="2" t="s">
        <v>23</v>
      </c>
      <c r="R945" s="2" t="s">
        <v>30</v>
      </c>
      <c r="S945">
        <v>2</v>
      </c>
      <c r="T945" s="1">
        <v>43389</v>
      </c>
      <c r="U945" s="1">
        <v>43392</v>
      </c>
      <c r="V945" s="2"/>
      <c r="W945" s="1">
        <f>fNotasFiscais[[#This Row],[Data da Coleta]]+fNotasFiscais[[#This Row],[Prazo Contratado]]</f>
        <v>43391</v>
      </c>
      <c r="X945" s="3">
        <f>IF(fNotasFiscais[[#This Row],[Data da Entrega]]&gt;fNotasFiscais[[#This Row],[Data Contratada]],0,1)</f>
        <v>0</v>
      </c>
      <c r="Y945" s="3">
        <f>IF(fNotasFiscais[[#This Row],[Ocorrência]]="",1,0)</f>
        <v>1</v>
      </c>
      <c r="Z945" s="2">
        <f>fNotasFiscais[[#This Row],[On Time]]*fNotasFiscais[[#This Row],[In Full]]</f>
        <v>0</v>
      </c>
      <c r="AA945">
        <f>IF(fNotasFiscais[[#This Row],[Nota Fiscal]]&lt;&gt;"",1,0)</f>
        <v>1</v>
      </c>
    </row>
    <row r="946" spans="1:27" x14ac:dyDescent="0.25">
      <c r="A946" s="1">
        <v>43390</v>
      </c>
      <c r="B946">
        <v>11355</v>
      </c>
      <c r="C946" s="2" t="s">
        <v>54</v>
      </c>
      <c r="D946" s="2" t="s">
        <v>55</v>
      </c>
      <c r="E946" s="2" t="s">
        <v>56</v>
      </c>
      <c r="F946">
        <v>4013</v>
      </c>
      <c r="G946" s="2" t="s">
        <v>37</v>
      </c>
      <c r="H946" s="2" t="s">
        <v>38</v>
      </c>
      <c r="I946" s="2" t="s">
        <v>39</v>
      </c>
      <c r="J946" s="2" t="s">
        <v>28</v>
      </c>
      <c r="K946" s="2" t="s">
        <v>39</v>
      </c>
      <c r="L946">
        <v>297.24</v>
      </c>
      <c r="M946">
        <v>1</v>
      </c>
      <c r="N946">
        <v>12.461</v>
      </c>
      <c r="O946">
        <v>6500948</v>
      </c>
      <c r="P946" s="2" t="s">
        <v>29</v>
      </c>
      <c r="Q946" s="2" t="s">
        <v>23</v>
      </c>
      <c r="R946" s="2" t="s">
        <v>30</v>
      </c>
      <c r="S946">
        <v>7</v>
      </c>
      <c r="T946" s="1">
        <v>43390</v>
      </c>
      <c r="U946" s="1">
        <v>43400</v>
      </c>
      <c r="V946" s="2"/>
      <c r="W946" s="1">
        <f>fNotasFiscais[[#This Row],[Data da Coleta]]+fNotasFiscais[[#This Row],[Prazo Contratado]]</f>
        <v>43397</v>
      </c>
      <c r="X946" s="3">
        <f>IF(fNotasFiscais[[#This Row],[Data da Entrega]]&gt;fNotasFiscais[[#This Row],[Data Contratada]],0,1)</f>
        <v>0</v>
      </c>
      <c r="Y946" s="3">
        <f>IF(fNotasFiscais[[#This Row],[Ocorrência]]="",1,0)</f>
        <v>1</v>
      </c>
      <c r="Z946" s="2">
        <f>fNotasFiscais[[#This Row],[On Time]]*fNotasFiscais[[#This Row],[In Full]]</f>
        <v>0</v>
      </c>
      <c r="AA946">
        <f>IF(fNotasFiscais[[#This Row],[Nota Fiscal]]&lt;&gt;"",1,0)</f>
        <v>1</v>
      </c>
    </row>
    <row r="947" spans="1:27" x14ac:dyDescent="0.25">
      <c r="A947" s="1">
        <v>43390</v>
      </c>
      <c r="B947">
        <v>11356</v>
      </c>
      <c r="C947" s="2" t="s">
        <v>34</v>
      </c>
      <c r="D947" s="2" t="s">
        <v>35</v>
      </c>
      <c r="E947" s="2" t="s">
        <v>36</v>
      </c>
      <c r="F947">
        <v>4034</v>
      </c>
      <c r="G947" s="2" t="s">
        <v>110</v>
      </c>
      <c r="H947" s="2" t="s">
        <v>51</v>
      </c>
      <c r="I947" s="2" t="s">
        <v>73</v>
      </c>
      <c r="J947" s="2" t="s">
        <v>49</v>
      </c>
      <c r="K947" s="2" t="s">
        <v>73</v>
      </c>
      <c r="L947">
        <v>589.22</v>
      </c>
      <c r="M947">
        <v>1</v>
      </c>
      <c r="N947">
        <v>1.98</v>
      </c>
      <c r="O947">
        <v>6100231</v>
      </c>
      <c r="P947" s="2" t="s">
        <v>50</v>
      </c>
      <c r="Q947" s="2" t="s">
        <v>51</v>
      </c>
      <c r="R947" s="2" t="s">
        <v>30</v>
      </c>
      <c r="S947">
        <v>11</v>
      </c>
      <c r="T947" s="1">
        <v>43390</v>
      </c>
      <c r="U947" s="1">
        <v>43398</v>
      </c>
      <c r="V947" s="2"/>
      <c r="W947" s="1">
        <f>fNotasFiscais[[#This Row],[Data da Coleta]]+fNotasFiscais[[#This Row],[Prazo Contratado]]</f>
        <v>43401</v>
      </c>
      <c r="X947" s="3">
        <f>IF(fNotasFiscais[[#This Row],[Data da Entrega]]&gt;fNotasFiscais[[#This Row],[Data Contratada]],0,1)</f>
        <v>1</v>
      </c>
      <c r="Y947" s="3">
        <f>IF(fNotasFiscais[[#This Row],[Ocorrência]]="",1,0)</f>
        <v>1</v>
      </c>
      <c r="Z947" s="2">
        <f>fNotasFiscais[[#This Row],[On Time]]*fNotasFiscais[[#This Row],[In Full]]</f>
        <v>1</v>
      </c>
      <c r="AA947">
        <f>IF(fNotasFiscais[[#This Row],[Nota Fiscal]]&lt;&gt;"",1,0)</f>
        <v>1</v>
      </c>
    </row>
    <row r="948" spans="1:27" x14ac:dyDescent="0.25">
      <c r="A948" s="1">
        <v>43391</v>
      </c>
      <c r="B948">
        <v>11357</v>
      </c>
      <c r="C948" s="2" t="s">
        <v>22</v>
      </c>
      <c r="D948" s="2" t="s">
        <v>23</v>
      </c>
      <c r="E948" s="2" t="s">
        <v>24</v>
      </c>
      <c r="F948">
        <v>4017</v>
      </c>
      <c r="G948" s="2" t="s">
        <v>74</v>
      </c>
      <c r="H948" s="2" t="s">
        <v>75</v>
      </c>
      <c r="I948" s="2" t="s">
        <v>39</v>
      </c>
      <c r="J948" s="2" t="s">
        <v>28</v>
      </c>
      <c r="K948" s="2" t="s">
        <v>39</v>
      </c>
      <c r="L948">
        <v>555.29999999999995</v>
      </c>
      <c r="M948">
        <v>1</v>
      </c>
      <c r="N948">
        <v>0.17499999999999999</v>
      </c>
      <c r="O948">
        <v>6500948</v>
      </c>
      <c r="P948" s="2" t="s">
        <v>29</v>
      </c>
      <c r="Q948" s="2" t="s">
        <v>23</v>
      </c>
      <c r="R948" s="2" t="s">
        <v>30</v>
      </c>
      <c r="S948">
        <v>4</v>
      </c>
      <c r="T948" s="1">
        <v>43391</v>
      </c>
      <c r="U948" s="1">
        <v>43394</v>
      </c>
      <c r="V948" s="2"/>
      <c r="W948" s="1">
        <f>fNotasFiscais[[#This Row],[Data da Coleta]]+fNotasFiscais[[#This Row],[Prazo Contratado]]</f>
        <v>43395</v>
      </c>
      <c r="X948" s="3">
        <f>IF(fNotasFiscais[[#This Row],[Data da Entrega]]&gt;fNotasFiscais[[#This Row],[Data Contratada]],0,1)</f>
        <v>1</v>
      </c>
      <c r="Y948" s="3">
        <f>IF(fNotasFiscais[[#This Row],[Ocorrência]]="",1,0)</f>
        <v>1</v>
      </c>
      <c r="Z948" s="2">
        <f>fNotasFiscais[[#This Row],[On Time]]*fNotasFiscais[[#This Row],[In Full]]</f>
        <v>1</v>
      </c>
      <c r="AA948">
        <f>IF(fNotasFiscais[[#This Row],[Nota Fiscal]]&lt;&gt;"",1,0)</f>
        <v>1</v>
      </c>
    </row>
    <row r="949" spans="1:27" x14ac:dyDescent="0.25">
      <c r="A949" s="1">
        <v>43391</v>
      </c>
      <c r="B949">
        <v>11358</v>
      </c>
      <c r="C949" s="2" t="s">
        <v>22</v>
      </c>
      <c r="D949" s="2" t="s">
        <v>23</v>
      </c>
      <c r="E949" s="2" t="s">
        <v>24</v>
      </c>
      <c r="F949">
        <v>4033</v>
      </c>
      <c r="G949" s="2" t="s">
        <v>109</v>
      </c>
      <c r="H949" s="2" t="s">
        <v>51</v>
      </c>
      <c r="I949" s="2" t="s">
        <v>73</v>
      </c>
      <c r="J949" s="2" t="s">
        <v>49</v>
      </c>
      <c r="K949" s="2" t="s">
        <v>73</v>
      </c>
      <c r="L949">
        <v>237.59</v>
      </c>
      <c r="M949">
        <v>1</v>
      </c>
      <c r="N949">
        <v>0.35899999999999999</v>
      </c>
      <c r="O949">
        <v>6100231</v>
      </c>
      <c r="P949" s="2" t="s">
        <v>50</v>
      </c>
      <c r="Q949" s="2" t="s">
        <v>51</v>
      </c>
      <c r="R949" s="2" t="s">
        <v>30</v>
      </c>
      <c r="S949">
        <v>9</v>
      </c>
      <c r="T949" s="1">
        <v>43391</v>
      </c>
      <c r="U949" s="1">
        <v>43398</v>
      </c>
      <c r="V949" s="2"/>
      <c r="W949" s="1">
        <f>fNotasFiscais[[#This Row],[Data da Coleta]]+fNotasFiscais[[#This Row],[Prazo Contratado]]</f>
        <v>43400</v>
      </c>
      <c r="X949" s="3">
        <f>IF(fNotasFiscais[[#This Row],[Data da Entrega]]&gt;fNotasFiscais[[#This Row],[Data Contratada]],0,1)</f>
        <v>1</v>
      </c>
      <c r="Y949" s="3">
        <f>IF(fNotasFiscais[[#This Row],[Ocorrência]]="",1,0)</f>
        <v>1</v>
      </c>
      <c r="Z949" s="2">
        <f>fNotasFiscais[[#This Row],[On Time]]*fNotasFiscais[[#This Row],[In Full]]</f>
        <v>1</v>
      </c>
      <c r="AA949">
        <f>IF(fNotasFiscais[[#This Row],[Nota Fiscal]]&lt;&gt;"",1,0)</f>
        <v>1</v>
      </c>
    </row>
    <row r="950" spans="1:27" x14ac:dyDescent="0.25">
      <c r="A950" s="1">
        <v>43391</v>
      </c>
      <c r="B950">
        <v>11359</v>
      </c>
      <c r="C950" s="2" t="s">
        <v>52</v>
      </c>
      <c r="D950" s="2" t="s">
        <v>53</v>
      </c>
      <c r="E950" s="2" t="s">
        <v>33</v>
      </c>
      <c r="F950">
        <v>4127</v>
      </c>
      <c r="G950" s="2" t="s">
        <v>210</v>
      </c>
      <c r="H950" s="2" t="s">
        <v>44</v>
      </c>
      <c r="I950" s="2" t="s">
        <v>45</v>
      </c>
      <c r="J950" s="2" t="s">
        <v>60</v>
      </c>
      <c r="K950" s="2" t="s">
        <v>45</v>
      </c>
      <c r="L950">
        <v>3069.36</v>
      </c>
      <c r="M950">
        <v>5</v>
      </c>
      <c r="N950">
        <v>23.381</v>
      </c>
      <c r="O950">
        <v>6140092</v>
      </c>
      <c r="P950" s="2" t="s">
        <v>137</v>
      </c>
      <c r="Q950" s="2" t="s">
        <v>138</v>
      </c>
      <c r="R950" s="2" t="s">
        <v>30</v>
      </c>
      <c r="S950">
        <v>9</v>
      </c>
      <c r="T950" s="1">
        <v>43391</v>
      </c>
      <c r="U950" s="1">
        <v>43397</v>
      </c>
      <c r="V950" s="2"/>
      <c r="W950" s="1">
        <f>fNotasFiscais[[#This Row],[Data da Coleta]]+fNotasFiscais[[#This Row],[Prazo Contratado]]</f>
        <v>43400</v>
      </c>
      <c r="X950" s="3">
        <f>IF(fNotasFiscais[[#This Row],[Data da Entrega]]&gt;fNotasFiscais[[#This Row],[Data Contratada]],0,1)</f>
        <v>1</v>
      </c>
      <c r="Y950" s="3">
        <f>IF(fNotasFiscais[[#This Row],[Ocorrência]]="",1,0)</f>
        <v>1</v>
      </c>
      <c r="Z950" s="2">
        <f>fNotasFiscais[[#This Row],[On Time]]*fNotasFiscais[[#This Row],[In Full]]</f>
        <v>1</v>
      </c>
      <c r="AA950">
        <f>IF(fNotasFiscais[[#This Row],[Nota Fiscal]]&lt;&gt;"",1,0)</f>
        <v>1</v>
      </c>
    </row>
    <row r="951" spans="1:27" x14ac:dyDescent="0.25">
      <c r="A951" s="1">
        <v>43391</v>
      </c>
      <c r="B951">
        <v>11360</v>
      </c>
      <c r="C951" s="2" t="s">
        <v>43</v>
      </c>
      <c r="D951" s="2" t="s">
        <v>44</v>
      </c>
      <c r="E951" s="2" t="s">
        <v>45</v>
      </c>
      <c r="F951">
        <v>4127</v>
      </c>
      <c r="G951" s="2" t="s">
        <v>210</v>
      </c>
      <c r="H951" s="2" t="s">
        <v>44</v>
      </c>
      <c r="I951" s="2" t="s">
        <v>45</v>
      </c>
      <c r="J951" s="2" t="s">
        <v>60</v>
      </c>
      <c r="K951" s="2" t="s">
        <v>45</v>
      </c>
      <c r="L951">
        <v>2165.7199999999998</v>
      </c>
      <c r="M951">
        <v>2</v>
      </c>
      <c r="N951">
        <v>2.9329999999999998</v>
      </c>
      <c r="O951">
        <v>6140092</v>
      </c>
      <c r="P951" s="2" t="s">
        <v>137</v>
      </c>
      <c r="Q951" s="2" t="s">
        <v>138</v>
      </c>
      <c r="R951" s="2" t="s">
        <v>30</v>
      </c>
      <c r="S951">
        <v>3</v>
      </c>
      <c r="T951" s="1">
        <v>43391</v>
      </c>
      <c r="U951" s="1">
        <v>43398</v>
      </c>
      <c r="V951" s="2"/>
      <c r="W951" s="1">
        <f>fNotasFiscais[[#This Row],[Data da Coleta]]+fNotasFiscais[[#This Row],[Prazo Contratado]]</f>
        <v>43394</v>
      </c>
      <c r="X951" s="3">
        <f>IF(fNotasFiscais[[#This Row],[Data da Entrega]]&gt;fNotasFiscais[[#This Row],[Data Contratada]],0,1)</f>
        <v>0</v>
      </c>
      <c r="Y951" s="3">
        <f>IF(fNotasFiscais[[#This Row],[Ocorrência]]="",1,0)</f>
        <v>1</v>
      </c>
      <c r="Z951" s="2">
        <f>fNotasFiscais[[#This Row],[On Time]]*fNotasFiscais[[#This Row],[In Full]]</f>
        <v>0</v>
      </c>
      <c r="AA951">
        <f>IF(fNotasFiscais[[#This Row],[Nota Fiscal]]&lt;&gt;"",1,0)</f>
        <v>1</v>
      </c>
    </row>
    <row r="952" spans="1:27" x14ac:dyDescent="0.25">
      <c r="A952" s="1">
        <v>43391</v>
      </c>
      <c r="B952">
        <v>11361</v>
      </c>
      <c r="C952" s="2" t="s">
        <v>43</v>
      </c>
      <c r="D952" s="2" t="s">
        <v>44</v>
      </c>
      <c r="E952" s="2" t="s">
        <v>45</v>
      </c>
      <c r="F952">
        <v>4018</v>
      </c>
      <c r="G952" s="2" t="s">
        <v>77</v>
      </c>
      <c r="H952" s="2" t="s">
        <v>78</v>
      </c>
      <c r="I952" s="2" t="s">
        <v>39</v>
      </c>
      <c r="J952" s="2" t="s">
        <v>28</v>
      </c>
      <c r="K952" s="2" t="s">
        <v>39</v>
      </c>
      <c r="L952">
        <v>1205.81</v>
      </c>
      <c r="M952">
        <v>1</v>
      </c>
      <c r="N952">
        <v>14.3</v>
      </c>
      <c r="O952">
        <v>6500948</v>
      </c>
      <c r="P952" s="2" t="s">
        <v>29</v>
      </c>
      <c r="Q952" s="2" t="s">
        <v>23</v>
      </c>
      <c r="R952" s="2" t="s">
        <v>62</v>
      </c>
      <c r="S952">
        <v>11</v>
      </c>
      <c r="T952" s="1">
        <v>43391</v>
      </c>
      <c r="U952" s="1">
        <v>43394</v>
      </c>
      <c r="V952" s="2"/>
      <c r="W952" s="1">
        <f>fNotasFiscais[[#This Row],[Data da Coleta]]+fNotasFiscais[[#This Row],[Prazo Contratado]]</f>
        <v>43402</v>
      </c>
      <c r="X952" s="3">
        <f>IF(fNotasFiscais[[#This Row],[Data da Entrega]]&gt;fNotasFiscais[[#This Row],[Data Contratada]],0,1)</f>
        <v>1</v>
      </c>
      <c r="Y952" s="3">
        <f>IF(fNotasFiscais[[#This Row],[Ocorrência]]="",1,0)</f>
        <v>1</v>
      </c>
      <c r="Z952" s="2">
        <f>fNotasFiscais[[#This Row],[On Time]]*fNotasFiscais[[#This Row],[In Full]]</f>
        <v>1</v>
      </c>
      <c r="AA952">
        <f>IF(fNotasFiscais[[#This Row],[Nota Fiscal]]&lt;&gt;"",1,0)</f>
        <v>1</v>
      </c>
    </row>
    <row r="953" spans="1:27" x14ac:dyDescent="0.25">
      <c r="A953" s="1">
        <v>43391</v>
      </c>
      <c r="B953">
        <v>11362</v>
      </c>
      <c r="C953" s="2" t="s">
        <v>43</v>
      </c>
      <c r="D953" s="2" t="s">
        <v>44</v>
      </c>
      <c r="E953" s="2" t="s">
        <v>45</v>
      </c>
      <c r="F953">
        <v>4040</v>
      </c>
      <c r="G953" s="2" t="s">
        <v>117</v>
      </c>
      <c r="H953" s="2" t="s">
        <v>47</v>
      </c>
      <c r="I953" s="2" t="s">
        <v>48</v>
      </c>
      <c r="J953" s="2" t="s">
        <v>49</v>
      </c>
      <c r="K953" s="2" t="s">
        <v>48</v>
      </c>
      <c r="L953">
        <v>514.02</v>
      </c>
      <c r="M953">
        <v>1</v>
      </c>
      <c r="N953">
        <v>0.51200000000000001</v>
      </c>
      <c r="O953">
        <v>6100231</v>
      </c>
      <c r="P953" s="2" t="s">
        <v>50</v>
      </c>
      <c r="Q953" s="2" t="s">
        <v>51</v>
      </c>
      <c r="R953" s="2" t="s">
        <v>30</v>
      </c>
      <c r="S953">
        <v>4</v>
      </c>
      <c r="T953" s="1">
        <v>43391</v>
      </c>
      <c r="U953" s="1">
        <v>43400</v>
      </c>
      <c r="V953" s="2"/>
      <c r="W953" s="1">
        <f>fNotasFiscais[[#This Row],[Data da Coleta]]+fNotasFiscais[[#This Row],[Prazo Contratado]]</f>
        <v>43395</v>
      </c>
      <c r="X953" s="3">
        <f>IF(fNotasFiscais[[#This Row],[Data da Entrega]]&gt;fNotasFiscais[[#This Row],[Data Contratada]],0,1)</f>
        <v>0</v>
      </c>
      <c r="Y953" s="3">
        <f>IF(fNotasFiscais[[#This Row],[Ocorrência]]="",1,0)</f>
        <v>1</v>
      </c>
      <c r="Z953" s="2">
        <f>fNotasFiscais[[#This Row],[On Time]]*fNotasFiscais[[#This Row],[In Full]]</f>
        <v>0</v>
      </c>
      <c r="AA953">
        <f>IF(fNotasFiscais[[#This Row],[Nota Fiscal]]&lt;&gt;"",1,0)</f>
        <v>1</v>
      </c>
    </row>
    <row r="954" spans="1:27" x14ac:dyDescent="0.25">
      <c r="A954" s="1">
        <v>43391</v>
      </c>
      <c r="B954">
        <v>11363</v>
      </c>
      <c r="C954" s="2" t="s">
        <v>22</v>
      </c>
      <c r="D954" s="2" t="s">
        <v>23</v>
      </c>
      <c r="E954" s="2" t="s">
        <v>24</v>
      </c>
      <c r="F954">
        <v>4027</v>
      </c>
      <c r="G954" s="2" t="s">
        <v>93</v>
      </c>
      <c r="H954" s="2" t="s">
        <v>91</v>
      </c>
      <c r="I954" s="2" t="s">
        <v>24</v>
      </c>
      <c r="J954" s="2" t="s">
        <v>28</v>
      </c>
      <c r="K954" s="2" t="s">
        <v>24</v>
      </c>
      <c r="L954">
        <v>357.54</v>
      </c>
      <c r="M954">
        <v>1</v>
      </c>
      <c r="N954">
        <v>4.093</v>
      </c>
      <c r="O954">
        <v>6500948</v>
      </c>
      <c r="P954" s="2" t="s">
        <v>29</v>
      </c>
      <c r="Q954" s="2" t="s">
        <v>23</v>
      </c>
      <c r="R954" s="2" t="s">
        <v>30</v>
      </c>
      <c r="S954">
        <v>8</v>
      </c>
      <c r="T954" s="1">
        <v>43391</v>
      </c>
      <c r="U954" s="1">
        <v>43394</v>
      </c>
      <c r="V954" s="2"/>
      <c r="W954" s="1">
        <f>fNotasFiscais[[#This Row],[Data da Coleta]]+fNotasFiscais[[#This Row],[Prazo Contratado]]</f>
        <v>43399</v>
      </c>
      <c r="X954" s="3">
        <f>IF(fNotasFiscais[[#This Row],[Data da Entrega]]&gt;fNotasFiscais[[#This Row],[Data Contratada]],0,1)</f>
        <v>1</v>
      </c>
      <c r="Y954" s="3">
        <f>IF(fNotasFiscais[[#This Row],[Ocorrência]]="",1,0)</f>
        <v>1</v>
      </c>
      <c r="Z954" s="2">
        <f>fNotasFiscais[[#This Row],[On Time]]*fNotasFiscais[[#This Row],[In Full]]</f>
        <v>1</v>
      </c>
      <c r="AA954">
        <f>IF(fNotasFiscais[[#This Row],[Nota Fiscal]]&lt;&gt;"",1,0)</f>
        <v>1</v>
      </c>
    </row>
    <row r="955" spans="1:27" x14ac:dyDescent="0.25">
      <c r="A955" s="1">
        <v>43391</v>
      </c>
      <c r="B955">
        <v>11364</v>
      </c>
      <c r="C955" s="2" t="s">
        <v>31</v>
      </c>
      <c r="D955" s="2" t="s">
        <v>32</v>
      </c>
      <c r="E955" s="2" t="s">
        <v>33</v>
      </c>
      <c r="F955">
        <v>4040</v>
      </c>
      <c r="G955" s="2" t="s">
        <v>117</v>
      </c>
      <c r="H955" s="2" t="s">
        <v>47</v>
      </c>
      <c r="I955" s="2" t="s">
        <v>48</v>
      </c>
      <c r="J955" s="2" t="s">
        <v>49</v>
      </c>
      <c r="K955" s="2" t="s">
        <v>48</v>
      </c>
      <c r="L955">
        <v>782.33</v>
      </c>
      <c r="M955">
        <v>1</v>
      </c>
      <c r="N955">
        <v>1.65</v>
      </c>
      <c r="O955">
        <v>6100231</v>
      </c>
      <c r="P955" s="2" t="s">
        <v>50</v>
      </c>
      <c r="Q955" s="2" t="s">
        <v>51</v>
      </c>
      <c r="R955" s="2" t="s">
        <v>30</v>
      </c>
      <c r="S955">
        <v>12</v>
      </c>
      <c r="T955" s="1">
        <v>43391</v>
      </c>
      <c r="U955" s="1">
        <v>43394</v>
      </c>
      <c r="V955" s="2"/>
      <c r="W955" s="1">
        <f>fNotasFiscais[[#This Row],[Data da Coleta]]+fNotasFiscais[[#This Row],[Prazo Contratado]]</f>
        <v>43403</v>
      </c>
      <c r="X955" s="3">
        <f>IF(fNotasFiscais[[#This Row],[Data da Entrega]]&gt;fNotasFiscais[[#This Row],[Data Contratada]],0,1)</f>
        <v>1</v>
      </c>
      <c r="Y955" s="3">
        <f>IF(fNotasFiscais[[#This Row],[Ocorrência]]="",1,0)</f>
        <v>1</v>
      </c>
      <c r="Z955" s="2">
        <f>fNotasFiscais[[#This Row],[On Time]]*fNotasFiscais[[#This Row],[In Full]]</f>
        <v>1</v>
      </c>
      <c r="AA955">
        <f>IF(fNotasFiscais[[#This Row],[Nota Fiscal]]&lt;&gt;"",1,0)</f>
        <v>1</v>
      </c>
    </row>
    <row r="956" spans="1:27" x14ac:dyDescent="0.25">
      <c r="A956" s="1">
        <v>43391</v>
      </c>
      <c r="B956">
        <v>11365</v>
      </c>
      <c r="C956" s="2" t="s">
        <v>52</v>
      </c>
      <c r="D956" s="2" t="s">
        <v>53</v>
      </c>
      <c r="E956" s="2" t="s">
        <v>33</v>
      </c>
      <c r="F956">
        <v>4027</v>
      </c>
      <c r="G956" s="2" t="s">
        <v>93</v>
      </c>
      <c r="H956" s="2" t="s">
        <v>91</v>
      </c>
      <c r="I956" s="2" t="s">
        <v>24</v>
      </c>
      <c r="J956" s="2" t="s">
        <v>28</v>
      </c>
      <c r="K956" s="2" t="s">
        <v>24</v>
      </c>
      <c r="L956">
        <v>620.62</v>
      </c>
      <c r="M956">
        <v>1</v>
      </c>
      <c r="N956">
        <v>5.72</v>
      </c>
      <c r="O956">
        <v>6500948</v>
      </c>
      <c r="P956" s="2" t="s">
        <v>29</v>
      </c>
      <c r="Q956" s="2" t="s">
        <v>23</v>
      </c>
      <c r="R956" s="2" t="s">
        <v>30</v>
      </c>
      <c r="S956">
        <v>12</v>
      </c>
      <c r="T956" s="1">
        <v>43391</v>
      </c>
      <c r="U956" s="1">
        <v>43393</v>
      </c>
      <c r="V956" s="2"/>
      <c r="W956" s="1">
        <f>fNotasFiscais[[#This Row],[Data da Coleta]]+fNotasFiscais[[#This Row],[Prazo Contratado]]</f>
        <v>43403</v>
      </c>
      <c r="X956" s="3">
        <f>IF(fNotasFiscais[[#This Row],[Data da Entrega]]&gt;fNotasFiscais[[#This Row],[Data Contratada]],0,1)</f>
        <v>1</v>
      </c>
      <c r="Y956" s="3">
        <f>IF(fNotasFiscais[[#This Row],[Ocorrência]]="",1,0)</f>
        <v>1</v>
      </c>
      <c r="Z956" s="2">
        <f>fNotasFiscais[[#This Row],[On Time]]*fNotasFiscais[[#This Row],[In Full]]</f>
        <v>1</v>
      </c>
      <c r="AA956">
        <f>IF(fNotasFiscais[[#This Row],[Nota Fiscal]]&lt;&gt;"",1,0)</f>
        <v>1</v>
      </c>
    </row>
    <row r="957" spans="1:27" x14ac:dyDescent="0.25">
      <c r="A957" s="1">
        <v>43391</v>
      </c>
      <c r="B957">
        <v>11366</v>
      </c>
      <c r="C957" s="2" t="s">
        <v>34</v>
      </c>
      <c r="D957" s="2" t="s">
        <v>35</v>
      </c>
      <c r="E957" s="2" t="s">
        <v>36</v>
      </c>
      <c r="F957">
        <v>4030</v>
      </c>
      <c r="G957" s="2" t="s">
        <v>102</v>
      </c>
      <c r="H957" s="2" t="s">
        <v>35</v>
      </c>
      <c r="I957" s="2" t="s">
        <v>36</v>
      </c>
      <c r="J957" s="2" t="s">
        <v>60</v>
      </c>
      <c r="K957" s="2" t="s">
        <v>36</v>
      </c>
      <c r="L957">
        <v>1697</v>
      </c>
      <c r="M957">
        <v>1</v>
      </c>
      <c r="N957">
        <v>7.2949999999999999</v>
      </c>
      <c r="O957">
        <v>6600879</v>
      </c>
      <c r="P957" s="2" t="s">
        <v>61</v>
      </c>
      <c r="Q957" s="2" t="s">
        <v>35</v>
      </c>
      <c r="R957" s="2" t="s">
        <v>30</v>
      </c>
      <c r="S957">
        <v>10</v>
      </c>
      <c r="T957" s="1">
        <v>43391</v>
      </c>
      <c r="U957" s="1">
        <v>43399</v>
      </c>
      <c r="V957" s="2"/>
      <c r="W957" s="1">
        <f>fNotasFiscais[[#This Row],[Data da Coleta]]+fNotasFiscais[[#This Row],[Prazo Contratado]]</f>
        <v>43401</v>
      </c>
      <c r="X957" s="3">
        <f>IF(fNotasFiscais[[#This Row],[Data da Entrega]]&gt;fNotasFiscais[[#This Row],[Data Contratada]],0,1)</f>
        <v>1</v>
      </c>
      <c r="Y957" s="3">
        <f>IF(fNotasFiscais[[#This Row],[Ocorrência]]="",1,0)</f>
        <v>1</v>
      </c>
      <c r="Z957" s="2">
        <f>fNotasFiscais[[#This Row],[On Time]]*fNotasFiscais[[#This Row],[In Full]]</f>
        <v>1</v>
      </c>
      <c r="AA957">
        <f>IF(fNotasFiscais[[#This Row],[Nota Fiscal]]&lt;&gt;"",1,0)</f>
        <v>1</v>
      </c>
    </row>
    <row r="958" spans="1:27" x14ac:dyDescent="0.25">
      <c r="A958" s="1">
        <v>43391</v>
      </c>
      <c r="B958">
        <v>11367</v>
      </c>
      <c r="C958" s="2" t="s">
        <v>54</v>
      </c>
      <c r="D958" s="2" t="s">
        <v>55</v>
      </c>
      <c r="E958" s="2" t="s">
        <v>56</v>
      </c>
      <c r="F958">
        <v>4126</v>
      </c>
      <c r="G958" s="2" t="s">
        <v>209</v>
      </c>
      <c r="H958" s="2" t="s">
        <v>35</v>
      </c>
      <c r="I958" s="2" t="s">
        <v>36</v>
      </c>
      <c r="J958" s="2" t="s">
        <v>60</v>
      </c>
      <c r="K958" s="2" t="s">
        <v>36</v>
      </c>
      <c r="L958">
        <v>297.63</v>
      </c>
      <c r="M958">
        <v>3</v>
      </c>
      <c r="N958">
        <v>0.48499999999999999</v>
      </c>
      <c r="O958">
        <v>6600879</v>
      </c>
      <c r="P958" s="2" t="s">
        <v>61</v>
      </c>
      <c r="Q958" s="2" t="s">
        <v>35</v>
      </c>
      <c r="R958" s="2" t="s">
        <v>30</v>
      </c>
      <c r="S958">
        <v>10</v>
      </c>
      <c r="T958" s="1">
        <v>43391</v>
      </c>
      <c r="U958" s="1">
        <v>43394</v>
      </c>
      <c r="V958" s="2"/>
      <c r="W958" s="1">
        <f>fNotasFiscais[[#This Row],[Data da Coleta]]+fNotasFiscais[[#This Row],[Prazo Contratado]]</f>
        <v>43401</v>
      </c>
      <c r="X958" s="3">
        <f>IF(fNotasFiscais[[#This Row],[Data da Entrega]]&gt;fNotasFiscais[[#This Row],[Data Contratada]],0,1)</f>
        <v>1</v>
      </c>
      <c r="Y958" s="3">
        <f>IF(fNotasFiscais[[#This Row],[Ocorrência]]="",1,0)</f>
        <v>1</v>
      </c>
      <c r="Z958" s="2">
        <f>fNotasFiscais[[#This Row],[On Time]]*fNotasFiscais[[#This Row],[In Full]]</f>
        <v>1</v>
      </c>
      <c r="AA958">
        <f>IF(fNotasFiscais[[#This Row],[Nota Fiscal]]&lt;&gt;"",1,0)</f>
        <v>1</v>
      </c>
    </row>
    <row r="959" spans="1:27" x14ac:dyDescent="0.25">
      <c r="A959" s="1">
        <v>43391</v>
      </c>
      <c r="B959">
        <v>11368</v>
      </c>
      <c r="C959" s="2" t="s">
        <v>34</v>
      </c>
      <c r="D959" s="2" t="s">
        <v>35</v>
      </c>
      <c r="E959" s="2" t="s">
        <v>36</v>
      </c>
      <c r="F959">
        <v>4126</v>
      </c>
      <c r="G959" s="2" t="s">
        <v>209</v>
      </c>
      <c r="H959" s="2" t="s">
        <v>35</v>
      </c>
      <c r="I959" s="2" t="s">
        <v>36</v>
      </c>
      <c r="J959" s="2" t="s">
        <v>60</v>
      </c>
      <c r="K959" s="2" t="s">
        <v>36</v>
      </c>
      <c r="L959">
        <v>8691.2199999999993</v>
      </c>
      <c r="M959">
        <v>25</v>
      </c>
      <c r="N959">
        <v>258.52199999999999</v>
      </c>
      <c r="O959">
        <v>6600879</v>
      </c>
      <c r="P959" s="2" t="s">
        <v>61</v>
      </c>
      <c r="Q959" s="2" t="s">
        <v>35</v>
      </c>
      <c r="R959" s="2" t="s">
        <v>30</v>
      </c>
      <c r="S959">
        <v>8</v>
      </c>
      <c r="T959" s="1">
        <v>43391</v>
      </c>
      <c r="U959" s="1">
        <v>43399</v>
      </c>
      <c r="V959" s="2"/>
      <c r="W959" s="1">
        <f>fNotasFiscais[[#This Row],[Data da Coleta]]+fNotasFiscais[[#This Row],[Prazo Contratado]]</f>
        <v>43399</v>
      </c>
      <c r="X959" s="3">
        <f>IF(fNotasFiscais[[#This Row],[Data da Entrega]]&gt;fNotasFiscais[[#This Row],[Data Contratada]],0,1)</f>
        <v>1</v>
      </c>
      <c r="Y959" s="3">
        <f>IF(fNotasFiscais[[#This Row],[Ocorrência]]="",1,0)</f>
        <v>1</v>
      </c>
      <c r="Z959" s="2">
        <f>fNotasFiscais[[#This Row],[On Time]]*fNotasFiscais[[#This Row],[In Full]]</f>
        <v>1</v>
      </c>
      <c r="AA959">
        <f>IF(fNotasFiscais[[#This Row],[Nota Fiscal]]&lt;&gt;"",1,0)</f>
        <v>1</v>
      </c>
    </row>
    <row r="960" spans="1:27" x14ac:dyDescent="0.25">
      <c r="A960" s="1">
        <v>43391</v>
      </c>
      <c r="B960">
        <v>11369</v>
      </c>
      <c r="C960" s="2" t="s">
        <v>54</v>
      </c>
      <c r="D960" s="2" t="s">
        <v>55</v>
      </c>
      <c r="E960" s="2" t="s">
        <v>56</v>
      </c>
      <c r="F960">
        <v>4030</v>
      </c>
      <c r="G960" s="2" t="s">
        <v>102</v>
      </c>
      <c r="H960" s="2" t="s">
        <v>35</v>
      </c>
      <c r="I960" s="2" t="s">
        <v>36</v>
      </c>
      <c r="J960" s="2" t="s">
        <v>60</v>
      </c>
      <c r="K960" s="2" t="s">
        <v>36</v>
      </c>
      <c r="L960">
        <v>621.6</v>
      </c>
      <c r="M960">
        <v>1</v>
      </c>
      <c r="N960">
        <v>7.9749999999999996</v>
      </c>
      <c r="O960">
        <v>6600879</v>
      </c>
      <c r="P960" s="2" t="s">
        <v>61</v>
      </c>
      <c r="Q960" s="2" t="s">
        <v>35</v>
      </c>
      <c r="R960" s="2" t="s">
        <v>30</v>
      </c>
      <c r="S960">
        <v>11</v>
      </c>
      <c r="T960" s="1">
        <v>43391</v>
      </c>
      <c r="U960" s="1">
        <v>43398</v>
      </c>
      <c r="V960" s="2"/>
      <c r="W960" s="1">
        <f>fNotasFiscais[[#This Row],[Data da Coleta]]+fNotasFiscais[[#This Row],[Prazo Contratado]]</f>
        <v>43402</v>
      </c>
      <c r="X960" s="3">
        <f>IF(fNotasFiscais[[#This Row],[Data da Entrega]]&gt;fNotasFiscais[[#This Row],[Data Contratada]],0,1)</f>
        <v>1</v>
      </c>
      <c r="Y960" s="3">
        <f>IF(fNotasFiscais[[#This Row],[Ocorrência]]="",1,0)</f>
        <v>1</v>
      </c>
      <c r="Z960" s="2">
        <f>fNotasFiscais[[#This Row],[On Time]]*fNotasFiscais[[#This Row],[In Full]]</f>
        <v>1</v>
      </c>
      <c r="AA960">
        <f>IF(fNotasFiscais[[#This Row],[Nota Fiscal]]&lt;&gt;"",1,0)</f>
        <v>1</v>
      </c>
    </row>
    <row r="961" spans="1:27" x14ac:dyDescent="0.25">
      <c r="A961" s="1">
        <v>43392</v>
      </c>
      <c r="B961">
        <v>11370</v>
      </c>
      <c r="C961" s="2" t="s">
        <v>40</v>
      </c>
      <c r="D961" s="2" t="s">
        <v>41</v>
      </c>
      <c r="E961" s="2" t="s">
        <v>33</v>
      </c>
      <c r="F961">
        <v>4013</v>
      </c>
      <c r="G961" s="2" t="s">
        <v>37</v>
      </c>
      <c r="H961" s="2" t="s">
        <v>38</v>
      </c>
      <c r="I961" s="2" t="s">
        <v>39</v>
      </c>
      <c r="J961" s="2" t="s">
        <v>28</v>
      </c>
      <c r="K961" s="2" t="s">
        <v>39</v>
      </c>
      <c r="L961">
        <v>755.34</v>
      </c>
      <c r="M961">
        <v>4</v>
      </c>
      <c r="N961">
        <v>3.96</v>
      </c>
      <c r="O961">
        <v>6500948</v>
      </c>
      <c r="P961" s="2" t="s">
        <v>29</v>
      </c>
      <c r="Q961" s="2" t="s">
        <v>23</v>
      </c>
      <c r="R961" s="2" t="s">
        <v>30</v>
      </c>
      <c r="S961">
        <v>8</v>
      </c>
      <c r="T961" s="1">
        <v>43392</v>
      </c>
      <c r="U961" s="1">
        <v>43395</v>
      </c>
      <c r="V961" s="2"/>
      <c r="W961" s="1">
        <f>fNotasFiscais[[#This Row],[Data da Coleta]]+fNotasFiscais[[#This Row],[Prazo Contratado]]</f>
        <v>43400</v>
      </c>
      <c r="X961" s="3">
        <f>IF(fNotasFiscais[[#This Row],[Data da Entrega]]&gt;fNotasFiscais[[#This Row],[Data Contratada]],0,1)</f>
        <v>1</v>
      </c>
      <c r="Y961" s="3">
        <f>IF(fNotasFiscais[[#This Row],[Ocorrência]]="",1,0)</f>
        <v>1</v>
      </c>
      <c r="Z961" s="2">
        <f>fNotasFiscais[[#This Row],[On Time]]*fNotasFiscais[[#This Row],[In Full]]</f>
        <v>1</v>
      </c>
      <c r="AA961">
        <f>IF(fNotasFiscais[[#This Row],[Nota Fiscal]]&lt;&gt;"",1,0)</f>
        <v>1</v>
      </c>
    </row>
    <row r="962" spans="1:27" x14ac:dyDescent="0.25">
      <c r="A962" s="1">
        <v>43393</v>
      </c>
      <c r="B962">
        <v>11371</v>
      </c>
      <c r="C962" s="2" t="s">
        <v>40</v>
      </c>
      <c r="D962" s="2" t="s">
        <v>41</v>
      </c>
      <c r="E962" s="2" t="s">
        <v>33</v>
      </c>
      <c r="F962">
        <v>4024</v>
      </c>
      <c r="G962" s="2" t="s">
        <v>89</v>
      </c>
      <c r="H962" s="2" t="s">
        <v>23</v>
      </c>
      <c r="I962" s="2" t="s">
        <v>24</v>
      </c>
      <c r="J962" s="2" t="s">
        <v>28</v>
      </c>
      <c r="K962" s="2" t="s">
        <v>24</v>
      </c>
      <c r="L962">
        <v>12886.6</v>
      </c>
      <c r="M962">
        <v>31</v>
      </c>
      <c r="N962">
        <v>308.16300000000001</v>
      </c>
      <c r="O962">
        <v>6500948</v>
      </c>
      <c r="P962" s="2" t="s">
        <v>29</v>
      </c>
      <c r="Q962" s="2" t="s">
        <v>23</v>
      </c>
      <c r="R962" s="2" t="s">
        <v>30</v>
      </c>
      <c r="S962">
        <v>5</v>
      </c>
      <c r="T962" s="1">
        <v>43393</v>
      </c>
      <c r="U962" s="1">
        <v>43403</v>
      </c>
      <c r="V962" s="2"/>
      <c r="W962" s="1">
        <f>fNotasFiscais[[#This Row],[Data da Coleta]]+fNotasFiscais[[#This Row],[Prazo Contratado]]</f>
        <v>43398</v>
      </c>
      <c r="X962" s="3">
        <f>IF(fNotasFiscais[[#This Row],[Data da Entrega]]&gt;fNotasFiscais[[#This Row],[Data Contratada]],0,1)</f>
        <v>0</v>
      </c>
      <c r="Y962" s="3">
        <f>IF(fNotasFiscais[[#This Row],[Ocorrência]]="",1,0)</f>
        <v>1</v>
      </c>
      <c r="Z962" s="2">
        <f>fNotasFiscais[[#This Row],[On Time]]*fNotasFiscais[[#This Row],[In Full]]</f>
        <v>0</v>
      </c>
      <c r="AA962">
        <f>IF(fNotasFiscais[[#This Row],[Nota Fiscal]]&lt;&gt;"",1,0)</f>
        <v>1</v>
      </c>
    </row>
    <row r="963" spans="1:27" x14ac:dyDescent="0.25">
      <c r="A963" s="1">
        <v>43393</v>
      </c>
      <c r="B963">
        <v>11372</v>
      </c>
      <c r="C963" s="2" t="s">
        <v>22</v>
      </c>
      <c r="D963" s="2" t="s">
        <v>23</v>
      </c>
      <c r="E963" s="2" t="s">
        <v>24</v>
      </c>
      <c r="F963">
        <v>4024</v>
      </c>
      <c r="G963" s="2" t="s">
        <v>89</v>
      </c>
      <c r="H963" s="2" t="s">
        <v>23</v>
      </c>
      <c r="I963" s="2" t="s">
        <v>24</v>
      </c>
      <c r="J963" s="2" t="s">
        <v>28</v>
      </c>
      <c r="K963" s="2" t="s">
        <v>24</v>
      </c>
      <c r="L963">
        <v>3118.2</v>
      </c>
      <c r="M963">
        <v>12</v>
      </c>
      <c r="N963">
        <v>100.074</v>
      </c>
      <c r="O963">
        <v>6500948</v>
      </c>
      <c r="P963" s="2" t="s">
        <v>29</v>
      </c>
      <c r="Q963" s="2" t="s">
        <v>23</v>
      </c>
      <c r="R963" s="2" t="s">
        <v>30</v>
      </c>
      <c r="S963">
        <v>10</v>
      </c>
      <c r="T963" s="1">
        <v>43393</v>
      </c>
      <c r="U963" s="1">
        <v>43399</v>
      </c>
      <c r="V963" s="2"/>
      <c r="W963" s="1">
        <f>fNotasFiscais[[#This Row],[Data da Coleta]]+fNotasFiscais[[#This Row],[Prazo Contratado]]</f>
        <v>43403</v>
      </c>
      <c r="X963" s="3">
        <f>IF(fNotasFiscais[[#This Row],[Data da Entrega]]&gt;fNotasFiscais[[#This Row],[Data Contratada]],0,1)</f>
        <v>1</v>
      </c>
      <c r="Y963" s="3">
        <f>IF(fNotasFiscais[[#This Row],[Ocorrência]]="",1,0)</f>
        <v>1</v>
      </c>
      <c r="Z963" s="2">
        <f>fNotasFiscais[[#This Row],[On Time]]*fNotasFiscais[[#This Row],[In Full]]</f>
        <v>1</v>
      </c>
      <c r="AA963">
        <f>IF(fNotasFiscais[[#This Row],[Nota Fiscal]]&lt;&gt;"",1,0)</f>
        <v>1</v>
      </c>
    </row>
    <row r="964" spans="1:27" x14ac:dyDescent="0.25">
      <c r="A964" s="1">
        <v>43393</v>
      </c>
      <c r="B964">
        <v>11373</v>
      </c>
      <c r="C964" s="2" t="s">
        <v>34</v>
      </c>
      <c r="D964" s="2" t="s">
        <v>35</v>
      </c>
      <c r="E964" s="2" t="s">
        <v>36</v>
      </c>
      <c r="F964">
        <v>4024</v>
      </c>
      <c r="G964" s="2" t="s">
        <v>89</v>
      </c>
      <c r="H964" s="2" t="s">
        <v>23</v>
      </c>
      <c r="I964" s="2" t="s">
        <v>24</v>
      </c>
      <c r="J964" s="2" t="s">
        <v>28</v>
      </c>
      <c r="K964" s="2" t="s">
        <v>24</v>
      </c>
      <c r="L964">
        <v>2567.56</v>
      </c>
      <c r="M964">
        <v>10</v>
      </c>
      <c r="N964">
        <v>75.382999999999996</v>
      </c>
      <c r="O964">
        <v>6500948</v>
      </c>
      <c r="P964" s="2" t="s">
        <v>29</v>
      </c>
      <c r="Q964" s="2" t="s">
        <v>23</v>
      </c>
      <c r="R964" s="2" t="s">
        <v>30</v>
      </c>
      <c r="S964">
        <v>6</v>
      </c>
      <c r="T964" s="1">
        <v>43393</v>
      </c>
      <c r="U964" s="1">
        <v>43396</v>
      </c>
      <c r="V964" s="2"/>
      <c r="W964" s="1">
        <f>fNotasFiscais[[#This Row],[Data da Coleta]]+fNotasFiscais[[#This Row],[Prazo Contratado]]</f>
        <v>43399</v>
      </c>
      <c r="X964" s="3">
        <f>IF(fNotasFiscais[[#This Row],[Data da Entrega]]&gt;fNotasFiscais[[#This Row],[Data Contratada]],0,1)</f>
        <v>1</v>
      </c>
      <c r="Y964" s="3">
        <f>IF(fNotasFiscais[[#This Row],[Ocorrência]]="",1,0)</f>
        <v>1</v>
      </c>
      <c r="Z964" s="2">
        <f>fNotasFiscais[[#This Row],[On Time]]*fNotasFiscais[[#This Row],[In Full]]</f>
        <v>1</v>
      </c>
      <c r="AA964">
        <f>IF(fNotasFiscais[[#This Row],[Nota Fiscal]]&lt;&gt;"",1,0)</f>
        <v>1</v>
      </c>
    </row>
    <row r="965" spans="1:27" x14ac:dyDescent="0.25">
      <c r="A965" s="1">
        <v>43393</v>
      </c>
      <c r="B965">
        <v>11374</v>
      </c>
      <c r="C965" s="2" t="s">
        <v>40</v>
      </c>
      <c r="D965" s="2" t="s">
        <v>41</v>
      </c>
      <c r="E965" s="2" t="s">
        <v>33</v>
      </c>
      <c r="F965">
        <v>4013</v>
      </c>
      <c r="G965" s="2" t="s">
        <v>37</v>
      </c>
      <c r="H965" s="2" t="s">
        <v>38</v>
      </c>
      <c r="I965" s="2" t="s">
        <v>39</v>
      </c>
      <c r="J965" s="2" t="s">
        <v>28</v>
      </c>
      <c r="K965" s="2" t="s">
        <v>39</v>
      </c>
      <c r="L965">
        <v>704.25</v>
      </c>
      <c r="M965">
        <v>3</v>
      </c>
      <c r="N965">
        <v>0.66</v>
      </c>
      <c r="O965">
        <v>6500948</v>
      </c>
      <c r="P965" s="2" t="s">
        <v>29</v>
      </c>
      <c r="Q965" s="2" t="s">
        <v>23</v>
      </c>
      <c r="R965" s="2" t="s">
        <v>30</v>
      </c>
      <c r="S965">
        <v>6</v>
      </c>
      <c r="T965" s="1">
        <v>43393</v>
      </c>
      <c r="U965" s="1">
        <v>43400</v>
      </c>
      <c r="V965" s="2"/>
      <c r="W965" s="1">
        <f>fNotasFiscais[[#This Row],[Data da Coleta]]+fNotasFiscais[[#This Row],[Prazo Contratado]]</f>
        <v>43399</v>
      </c>
      <c r="X965" s="3">
        <f>IF(fNotasFiscais[[#This Row],[Data da Entrega]]&gt;fNotasFiscais[[#This Row],[Data Contratada]],0,1)</f>
        <v>0</v>
      </c>
      <c r="Y965" s="3">
        <f>IF(fNotasFiscais[[#This Row],[Ocorrência]]="",1,0)</f>
        <v>1</v>
      </c>
      <c r="Z965" s="2">
        <f>fNotasFiscais[[#This Row],[On Time]]*fNotasFiscais[[#This Row],[In Full]]</f>
        <v>0</v>
      </c>
      <c r="AA965">
        <f>IF(fNotasFiscais[[#This Row],[Nota Fiscal]]&lt;&gt;"",1,0)</f>
        <v>1</v>
      </c>
    </row>
    <row r="966" spans="1:27" x14ac:dyDescent="0.25">
      <c r="A966" s="1">
        <v>43393</v>
      </c>
      <c r="B966">
        <v>11375</v>
      </c>
      <c r="C966" s="2" t="s">
        <v>54</v>
      </c>
      <c r="D966" s="2" t="s">
        <v>55</v>
      </c>
      <c r="E966" s="2" t="s">
        <v>56</v>
      </c>
      <c r="F966">
        <v>4013</v>
      </c>
      <c r="G966" s="2" t="s">
        <v>37</v>
      </c>
      <c r="H966" s="2" t="s">
        <v>38</v>
      </c>
      <c r="I966" s="2" t="s">
        <v>39</v>
      </c>
      <c r="J966" s="2" t="s">
        <v>28</v>
      </c>
      <c r="K966" s="2" t="s">
        <v>39</v>
      </c>
      <c r="L966">
        <v>1501.93</v>
      </c>
      <c r="M966">
        <v>2</v>
      </c>
      <c r="N966">
        <v>2.202</v>
      </c>
      <c r="O966">
        <v>6500948</v>
      </c>
      <c r="P966" s="2" t="s">
        <v>29</v>
      </c>
      <c r="Q966" s="2" t="s">
        <v>23</v>
      </c>
      <c r="R966" s="2" t="s">
        <v>30</v>
      </c>
      <c r="S966">
        <v>3</v>
      </c>
      <c r="T966" s="1">
        <v>43393</v>
      </c>
      <c r="U966" s="1">
        <v>43402</v>
      </c>
      <c r="V966" s="2"/>
      <c r="W966" s="1">
        <f>fNotasFiscais[[#This Row],[Data da Coleta]]+fNotasFiscais[[#This Row],[Prazo Contratado]]</f>
        <v>43396</v>
      </c>
      <c r="X966" s="3">
        <f>IF(fNotasFiscais[[#This Row],[Data da Entrega]]&gt;fNotasFiscais[[#This Row],[Data Contratada]],0,1)</f>
        <v>0</v>
      </c>
      <c r="Y966" s="3">
        <f>IF(fNotasFiscais[[#This Row],[Ocorrência]]="",1,0)</f>
        <v>1</v>
      </c>
      <c r="Z966" s="2">
        <f>fNotasFiscais[[#This Row],[On Time]]*fNotasFiscais[[#This Row],[In Full]]</f>
        <v>0</v>
      </c>
      <c r="AA966">
        <f>IF(fNotasFiscais[[#This Row],[Nota Fiscal]]&lt;&gt;"",1,0)</f>
        <v>1</v>
      </c>
    </row>
    <row r="967" spans="1:27" x14ac:dyDescent="0.25">
      <c r="A967" s="1">
        <v>43393</v>
      </c>
      <c r="B967">
        <v>11376</v>
      </c>
      <c r="C967" s="2" t="s">
        <v>31</v>
      </c>
      <c r="D967" s="2" t="s">
        <v>32</v>
      </c>
      <c r="E967" s="2" t="s">
        <v>33</v>
      </c>
      <c r="F967">
        <v>4022</v>
      </c>
      <c r="G967" s="2" t="s">
        <v>86</v>
      </c>
      <c r="H967" s="2" t="s">
        <v>87</v>
      </c>
      <c r="I967" s="2" t="s">
        <v>27</v>
      </c>
      <c r="J967" s="2" t="s">
        <v>28</v>
      </c>
      <c r="K967" s="2" t="s">
        <v>27</v>
      </c>
      <c r="L967">
        <v>185.73</v>
      </c>
      <c r="M967">
        <v>1</v>
      </c>
      <c r="N967">
        <v>0.44</v>
      </c>
      <c r="O967">
        <v>6500948</v>
      </c>
      <c r="P967" s="2" t="s">
        <v>29</v>
      </c>
      <c r="Q967" s="2" t="s">
        <v>23</v>
      </c>
      <c r="R967" s="2" t="s">
        <v>30</v>
      </c>
      <c r="S967">
        <v>10</v>
      </c>
      <c r="T967" s="1">
        <v>43393</v>
      </c>
      <c r="U967" s="1">
        <v>43395</v>
      </c>
      <c r="V967" s="2"/>
      <c r="W967" s="1">
        <f>fNotasFiscais[[#This Row],[Data da Coleta]]+fNotasFiscais[[#This Row],[Prazo Contratado]]</f>
        <v>43403</v>
      </c>
      <c r="X967" s="3">
        <f>IF(fNotasFiscais[[#This Row],[Data da Entrega]]&gt;fNotasFiscais[[#This Row],[Data Contratada]],0,1)</f>
        <v>1</v>
      </c>
      <c r="Y967" s="3">
        <f>IF(fNotasFiscais[[#This Row],[Ocorrência]]="",1,0)</f>
        <v>1</v>
      </c>
      <c r="Z967" s="2">
        <f>fNotasFiscais[[#This Row],[On Time]]*fNotasFiscais[[#This Row],[In Full]]</f>
        <v>1</v>
      </c>
      <c r="AA967">
        <f>IF(fNotasFiscais[[#This Row],[Nota Fiscal]]&lt;&gt;"",1,0)</f>
        <v>1</v>
      </c>
    </row>
    <row r="968" spans="1:27" x14ac:dyDescent="0.25">
      <c r="A968" s="1">
        <v>43394</v>
      </c>
      <c r="B968">
        <v>11377</v>
      </c>
      <c r="C968" s="2" t="s">
        <v>22</v>
      </c>
      <c r="D968" s="2" t="s">
        <v>23</v>
      </c>
      <c r="E968" s="2" t="s">
        <v>24</v>
      </c>
      <c r="F968">
        <v>4032</v>
      </c>
      <c r="G968" s="2" t="s">
        <v>108</v>
      </c>
      <c r="H968" s="2" t="s">
        <v>51</v>
      </c>
      <c r="I968" s="2" t="s">
        <v>73</v>
      </c>
      <c r="J968" s="2" t="s">
        <v>49</v>
      </c>
      <c r="K968" s="2" t="s">
        <v>73</v>
      </c>
      <c r="L968">
        <v>1254.03</v>
      </c>
      <c r="M968">
        <v>1</v>
      </c>
      <c r="N968">
        <v>9.9</v>
      </c>
      <c r="O968">
        <v>6100231</v>
      </c>
      <c r="P968" s="2" t="s">
        <v>50</v>
      </c>
      <c r="Q968" s="2" t="s">
        <v>51</v>
      </c>
      <c r="R968" s="2" t="s">
        <v>30</v>
      </c>
      <c r="S968">
        <v>6</v>
      </c>
      <c r="T968" s="1">
        <v>43394</v>
      </c>
      <c r="U968" s="1">
        <v>43395</v>
      </c>
      <c r="V968" s="2"/>
      <c r="W968" s="1">
        <f>fNotasFiscais[[#This Row],[Data da Coleta]]+fNotasFiscais[[#This Row],[Prazo Contratado]]</f>
        <v>43400</v>
      </c>
      <c r="X968" s="3">
        <f>IF(fNotasFiscais[[#This Row],[Data da Entrega]]&gt;fNotasFiscais[[#This Row],[Data Contratada]],0,1)</f>
        <v>1</v>
      </c>
      <c r="Y968" s="3">
        <f>IF(fNotasFiscais[[#This Row],[Ocorrência]]="",1,0)</f>
        <v>1</v>
      </c>
      <c r="Z968" s="2">
        <f>fNotasFiscais[[#This Row],[On Time]]*fNotasFiscais[[#This Row],[In Full]]</f>
        <v>1</v>
      </c>
      <c r="AA968">
        <f>IF(fNotasFiscais[[#This Row],[Nota Fiscal]]&lt;&gt;"",1,0)</f>
        <v>1</v>
      </c>
    </row>
    <row r="969" spans="1:27" x14ac:dyDescent="0.25">
      <c r="A969" s="1">
        <v>43396</v>
      </c>
      <c r="B969">
        <v>11378</v>
      </c>
      <c r="C969" s="2" t="s">
        <v>34</v>
      </c>
      <c r="D969" s="2" t="s">
        <v>35</v>
      </c>
      <c r="E969" s="2" t="s">
        <v>36</v>
      </c>
      <c r="F969">
        <v>4060</v>
      </c>
      <c r="G969" s="2" t="s">
        <v>134</v>
      </c>
      <c r="H969" s="2" t="s">
        <v>115</v>
      </c>
      <c r="I969" s="2" t="s">
        <v>107</v>
      </c>
      <c r="J969" s="2" t="s">
        <v>49</v>
      </c>
      <c r="K969" s="2" t="s">
        <v>107</v>
      </c>
      <c r="L969">
        <v>5670.59</v>
      </c>
      <c r="M969">
        <v>9</v>
      </c>
      <c r="N969">
        <v>25.795000000000002</v>
      </c>
      <c r="O969">
        <v>6100231</v>
      </c>
      <c r="P969" s="2" t="s">
        <v>50</v>
      </c>
      <c r="Q969" s="2" t="s">
        <v>51</v>
      </c>
      <c r="R969" s="2" t="s">
        <v>30</v>
      </c>
      <c r="S969">
        <v>2</v>
      </c>
      <c r="T969" s="1">
        <v>43396</v>
      </c>
      <c r="U969" s="1">
        <v>43398</v>
      </c>
      <c r="V969" s="2"/>
      <c r="W969" s="1">
        <f>fNotasFiscais[[#This Row],[Data da Coleta]]+fNotasFiscais[[#This Row],[Prazo Contratado]]</f>
        <v>43398</v>
      </c>
      <c r="X969" s="3">
        <f>IF(fNotasFiscais[[#This Row],[Data da Entrega]]&gt;fNotasFiscais[[#This Row],[Data Contratada]],0,1)</f>
        <v>1</v>
      </c>
      <c r="Y969" s="3">
        <f>IF(fNotasFiscais[[#This Row],[Ocorrência]]="",1,0)</f>
        <v>1</v>
      </c>
      <c r="Z969" s="2">
        <f>fNotasFiscais[[#This Row],[On Time]]*fNotasFiscais[[#This Row],[In Full]]</f>
        <v>1</v>
      </c>
      <c r="AA969">
        <f>IF(fNotasFiscais[[#This Row],[Nota Fiscal]]&lt;&gt;"",1,0)</f>
        <v>1</v>
      </c>
    </row>
    <row r="970" spans="1:27" x14ac:dyDescent="0.25">
      <c r="A970" s="1">
        <v>43397</v>
      </c>
      <c r="B970">
        <v>11379</v>
      </c>
      <c r="C970" s="2" t="s">
        <v>34</v>
      </c>
      <c r="D970" s="2" t="s">
        <v>35</v>
      </c>
      <c r="E970" s="2" t="s">
        <v>36</v>
      </c>
      <c r="F970">
        <v>4062</v>
      </c>
      <c r="G970" s="2" t="s">
        <v>96</v>
      </c>
      <c r="H970" s="2" t="s">
        <v>97</v>
      </c>
      <c r="I970" s="2" t="s">
        <v>48</v>
      </c>
      <c r="J970" s="2" t="s">
        <v>49</v>
      </c>
      <c r="K970" s="2" t="s">
        <v>48</v>
      </c>
      <c r="L970">
        <v>11515.11</v>
      </c>
      <c r="M970">
        <v>25</v>
      </c>
      <c r="N970">
        <v>228.86699999999999</v>
      </c>
      <c r="O970">
        <v>6100231</v>
      </c>
      <c r="P970" s="2" t="s">
        <v>50</v>
      </c>
      <c r="Q970" s="2" t="s">
        <v>51</v>
      </c>
      <c r="R970" s="2" t="s">
        <v>30</v>
      </c>
      <c r="S970">
        <v>7</v>
      </c>
      <c r="T970" s="1">
        <v>43397</v>
      </c>
      <c r="U970" s="1">
        <v>43400</v>
      </c>
      <c r="V970" s="2"/>
      <c r="W970" s="1">
        <f>fNotasFiscais[[#This Row],[Data da Coleta]]+fNotasFiscais[[#This Row],[Prazo Contratado]]</f>
        <v>43404</v>
      </c>
      <c r="X970" s="3">
        <f>IF(fNotasFiscais[[#This Row],[Data da Entrega]]&gt;fNotasFiscais[[#This Row],[Data Contratada]],0,1)</f>
        <v>1</v>
      </c>
      <c r="Y970" s="3">
        <f>IF(fNotasFiscais[[#This Row],[Ocorrência]]="",1,0)</f>
        <v>1</v>
      </c>
      <c r="Z970" s="2">
        <f>fNotasFiscais[[#This Row],[On Time]]*fNotasFiscais[[#This Row],[In Full]]</f>
        <v>1</v>
      </c>
      <c r="AA970">
        <f>IF(fNotasFiscais[[#This Row],[Nota Fiscal]]&lt;&gt;"",1,0)</f>
        <v>1</v>
      </c>
    </row>
    <row r="971" spans="1:27" x14ac:dyDescent="0.25">
      <c r="A971" s="1">
        <v>43397</v>
      </c>
      <c r="B971">
        <v>11380</v>
      </c>
      <c r="C971" s="2" t="s">
        <v>40</v>
      </c>
      <c r="D971" s="2" t="s">
        <v>41</v>
      </c>
      <c r="E971" s="2" t="s">
        <v>33</v>
      </c>
      <c r="F971">
        <v>4028</v>
      </c>
      <c r="G971" s="2" t="s">
        <v>95</v>
      </c>
      <c r="H971" s="2" t="s">
        <v>26</v>
      </c>
      <c r="I971" s="2" t="s">
        <v>27</v>
      </c>
      <c r="J971" s="2" t="s">
        <v>28</v>
      </c>
      <c r="K971" s="2" t="s">
        <v>27</v>
      </c>
      <c r="L971">
        <v>1763.52</v>
      </c>
      <c r="M971">
        <v>1</v>
      </c>
      <c r="N971">
        <v>1.1200000000000001</v>
      </c>
      <c r="O971">
        <v>6500948</v>
      </c>
      <c r="P971" s="2" t="s">
        <v>29</v>
      </c>
      <c r="Q971" s="2" t="s">
        <v>23</v>
      </c>
      <c r="R971" s="2" t="s">
        <v>30</v>
      </c>
      <c r="S971">
        <v>4</v>
      </c>
      <c r="T971" s="1">
        <v>43397</v>
      </c>
      <c r="U971" s="1">
        <v>43401</v>
      </c>
      <c r="V971" s="2"/>
      <c r="W971" s="1">
        <f>fNotasFiscais[[#This Row],[Data da Coleta]]+fNotasFiscais[[#This Row],[Prazo Contratado]]</f>
        <v>43401</v>
      </c>
      <c r="X971" s="3">
        <f>IF(fNotasFiscais[[#This Row],[Data da Entrega]]&gt;fNotasFiscais[[#This Row],[Data Contratada]],0,1)</f>
        <v>1</v>
      </c>
      <c r="Y971" s="3">
        <f>IF(fNotasFiscais[[#This Row],[Ocorrência]]="",1,0)</f>
        <v>1</v>
      </c>
      <c r="Z971" s="2">
        <f>fNotasFiscais[[#This Row],[On Time]]*fNotasFiscais[[#This Row],[In Full]]</f>
        <v>1</v>
      </c>
      <c r="AA971">
        <f>IF(fNotasFiscais[[#This Row],[Nota Fiscal]]&lt;&gt;"",1,0)</f>
        <v>1</v>
      </c>
    </row>
    <row r="972" spans="1:27" x14ac:dyDescent="0.25">
      <c r="A972" s="1">
        <v>43397</v>
      </c>
      <c r="B972">
        <v>11381</v>
      </c>
      <c r="C972" s="2" t="s">
        <v>34</v>
      </c>
      <c r="D972" s="2" t="s">
        <v>35</v>
      </c>
      <c r="E972" s="2" t="s">
        <v>36</v>
      </c>
      <c r="F972">
        <v>4040</v>
      </c>
      <c r="G972" s="2" t="s">
        <v>117</v>
      </c>
      <c r="H972" s="2" t="s">
        <v>47</v>
      </c>
      <c r="I972" s="2" t="s">
        <v>48</v>
      </c>
      <c r="J972" s="2" t="s">
        <v>49</v>
      </c>
      <c r="K972" s="2" t="s">
        <v>48</v>
      </c>
      <c r="L972">
        <v>1446.11</v>
      </c>
      <c r="M972">
        <v>1</v>
      </c>
      <c r="N972">
        <v>0.66</v>
      </c>
      <c r="O972">
        <v>6100231</v>
      </c>
      <c r="P972" s="2" t="s">
        <v>50</v>
      </c>
      <c r="Q972" s="2" t="s">
        <v>51</v>
      </c>
      <c r="R972" s="2" t="s">
        <v>30</v>
      </c>
      <c r="S972">
        <v>4</v>
      </c>
      <c r="T972" s="1">
        <v>43397</v>
      </c>
      <c r="U972" s="1">
        <v>43398</v>
      </c>
      <c r="V972" s="2"/>
      <c r="W972" s="1">
        <f>fNotasFiscais[[#This Row],[Data da Coleta]]+fNotasFiscais[[#This Row],[Prazo Contratado]]</f>
        <v>43401</v>
      </c>
      <c r="X972" s="3">
        <f>IF(fNotasFiscais[[#This Row],[Data da Entrega]]&gt;fNotasFiscais[[#This Row],[Data Contratada]],0,1)</f>
        <v>1</v>
      </c>
      <c r="Y972" s="3">
        <f>IF(fNotasFiscais[[#This Row],[Ocorrência]]="",1,0)</f>
        <v>1</v>
      </c>
      <c r="Z972" s="2">
        <f>fNotasFiscais[[#This Row],[On Time]]*fNotasFiscais[[#This Row],[In Full]]</f>
        <v>1</v>
      </c>
      <c r="AA972">
        <f>IF(fNotasFiscais[[#This Row],[Nota Fiscal]]&lt;&gt;"",1,0)</f>
        <v>1</v>
      </c>
    </row>
    <row r="973" spans="1:27" x14ac:dyDescent="0.25">
      <c r="A973" s="1">
        <v>43397</v>
      </c>
      <c r="B973">
        <v>11382</v>
      </c>
      <c r="C973" s="2" t="s">
        <v>52</v>
      </c>
      <c r="D973" s="2" t="s">
        <v>53</v>
      </c>
      <c r="E973" s="2" t="s">
        <v>33</v>
      </c>
      <c r="F973">
        <v>4055</v>
      </c>
      <c r="G973" s="2" t="s">
        <v>120</v>
      </c>
      <c r="H973" s="2" t="s">
        <v>47</v>
      </c>
      <c r="I973" s="2" t="s">
        <v>48</v>
      </c>
      <c r="J973" s="2" t="s">
        <v>49</v>
      </c>
      <c r="K973" s="2" t="s">
        <v>48</v>
      </c>
      <c r="L973">
        <v>576.11</v>
      </c>
      <c r="M973">
        <v>1</v>
      </c>
      <c r="N973">
        <v>0.63600000000000001</v>
      </c>
      <c r="O973">
        <v>6100231</v>
      </c>
      <c r="P973" s="2" t="s">
        <v>50</v>
      </c>
      <c r="Q973" s="2" t="s">
        <v>51</v>
      </c>
      <c r="R973" s="2" t="s">
        <v>30</v>
      </c>
      <c r="S973">
        <v>6</v>
      </c>
      <c r="T973" s="1">
        <v>43397</v>
      </c>
      <c r="U973" s="1">
        <v>43403</v>
      </c>
      <c r="V973" s="2"/>
      <c r="W973" s="1">
        <f>fNotasFiscais[[#This Row],[Data da Coleta]]+fNotasFiscais[[#This Row],[Prazo Contratado]]</f>
        <v>43403</v>
      </c>
      <c r="X973" s="3">
        <f>IF(fNotasFiscais[[#This Row],[Data da Entrega]]&gt;fNotasFiscais[[#This Row],[Data Contratada]],0,1)</f>
        <v>1</v>
      </c>
      <c r="Y973" s="3">
        <f>IF(fNotasFiscais[[#This Row],[Ocorrência]]="",1,0)</f>
        <v>1</v>
      </c>
      <c r="Z973" s="2">
        <f>fNotasFiscais[[#This Row],[On Time]]*fNotasFiscais[[#This Row],[In Full]]</f>
        <v>1</v>
      </c>
      <c r="AA973">
        <f>IF(fNotasFiscais[[#This Row],[Nota Fiscal]]&lt;&gt;"",1,0)</f>
        <v>1</v>
      </c>
    </row>
    <row r="974" spans="1:27" x14ac:dyDescent="0.25">
      <c r="A974" s="1">
        <v>43397</v>
      </c>
      <c r="B974">
        <v>11383</v>
      </c>
      <c r="C974" s="2" t="s">
        <v>54</v>
      </c>
      <c r="D974" s="2" t="s">
        <v>55</v>
      </c>
      <c r="E974" s="2" t="s">
        <v>56</v>
      </c>
      <c r="F974">
        <v>4027</v>
      </c>
      <c r="G974" s="2" t="s">
        <v>93</v>
      </c>
      <c r="H974" s="2" t="s">
        <v>91</v>
      </c>
      <c r="I974" s="2" t="s">
        <v>24</v>
      </c>
      <c r="J974" s="2" t="s">
        <v>28</v>
      </c>
      <c r="K974" s="2" t="s">
        <v>24</v>
      </c>
      <c r="L974">
        <v>15145.93</v>
      </c>
      <c r="M974">
        <v>32</v>
      </c>
      <c r="N974">
        <v>171.23699999999999</v>
      </c>
      <c r="O974">
        <v>6500948</v>
      </c>
      <c r="P974" s="2" t="s">
        <v>29</v>
      </c>
      <c r="Q974" s="2" t="s">
        <v>23</v>
      </c>
      <c r="R974" s="2" t="s">
        <v>30</v>
      </c>
      <c r="S974">
        <v>6</v>
      </c>
      <c r="T974" s="1">
        <v>43397</v>
      </c>
      <c r="U974" s="1">
        <v>43403</v>
      </c>
      <c r="V974" s="2"/>
      <c r="W974" s="1">
        <f>fNotasFiscais[[#This Row],[Data da Coleta]]+fNotasFiscais[[#This Row],[Prazo Contratado]]</f>
        <v>43403</v>
      </c>
      <c r="X974" s="3">
        <f>IF(fNotasFiscais[[#This Row],[Data da Entrega]]&gt;fNotasFiscais[[#This Row],[Data Contratada]],0,1)</f>
        <v>1</v>
      </c>
      <c r="Y974" s="3">
        <f>IF(fNotasFiscais[[#This Row],[Ocorrência]]="",1,0)</f>
        <v>1</v>
      </c>
      <c r="Z974" s="2">
        <f>fNotasFiscais[[#This Row],[On Time]]*fNotasFiscais[[#This Row],[In Full]]</f>
        <v>1</v>
      </c>
      <c r="AA974">
        <f>IF(fNotasFiscais[[#This Row],[Nota Fiscal]]&lt;&gt;"",1,0)</f>
        <v>1</v>
      </c>
    </row>
    <row r="975" spans="1:27" x14ac:dyDescent="0.25">
      <c r="A975" s="1">
        <v>43397</v>
      </c>
      <c r="B975">
        <v>11384</v>
      </c>
      <c r="C975" s="2" t="s">
        <v>22</v>
      </c>
      <c r="D975" s="2" t="s">
        <v>23</v>
      </c>
      <c r="E975" s="2" t="s">
        <v>24</v>
      </c>
      <c r="F975">
        <v>4027</v>
      </c>
      <c r="G975" s="2" t="s">
        <v>93</v>
      </c>
      <c r="H975" s="2" t="s">
        <v>91</v>
      </c>
      <c r="I975" s="2" t="s">
        <v>24</v>
      </c>
      <c r="J975" s="2" t="s">
        <v>28</v>
      </c>
      <c r="K975" s="2" t="s">
        <v>24</v>
      </c>
      <c r="L975">
        <v>13415.79</v>
      </c>
      <c r="M975">
        <v>30</v>
      </c>
      <c r="N975">
        <v>154.04599999999999</v>
      </c>
      <c r="O975">
        <v>6500948</v>
      </c>
      <c r="P975" s="2" t="s">
        <v>29</v>
      </c>
      <c r="Q975" s="2" t="s">
        <v>23</v>
      </c>
      <c r="R975" s="2" t="s">
        <v>30</v>
      </c>
      <c r="S975">
        <v>7</v>
      </c>
      <c r="T975" s="1">
        <v>43397</v>
      </c>
      <c r="U975" s="1">
        <v>43406</v>
      </c>
      <c r="V975" s="2"/>
      <c r="W975" s="1">
        <f>fNotasFiscais[[#This Row],[Data da Coleta]]+fNotasFiscais[[#This Row],[Prazo Contratado]]</f>
        <v>43404</v>
      </c>
      <c r="X975" s="3">
        <f>IF(fNotasFiscais[[#This Row],[Data da Entrega]]&gt;fNotasFiscais[[#This Row],[Data Contratada]],0,1)</f>
        <v>0</v>
      </c>
      <c r="Y975" s="3">
        <f>IF(fNotasFiscais[[#This Row],[Ocorrência]]="",1,0)</f>
        <v>1</v>
      </c>
      <c r="Z975" s="2">
        <f>fNotasFiscais[[#This Row],[On Time]]*fNotasFiscais[[#This Row],[In Full]]</f>
        <v>0</v>
      </c>
      <c r="AA975">
        <f>IF(fNotasFiscais[[#This Row],[Nota Fiscal]]&lt;&gt;"",1,0)</f>
        <v>1</v>
      </c>
    </row>
    <row r="976" spans="1:27" x14ac:dyDescent="0.25">
      <c r="A976" s="1">
        <v>43397</v>
      </c>
      <c r="B976">
        <v>11385</v>
      </c>
      <c r="C976" s="2" t="s">
        <v>31</v>
      </c>
      <c r="D976" s="2" t="s">
        <v>32</v>
      </c>
      <c r="E976" s="2" t="s">
        <v>33</v>
      </c>
      <c r="F976">
        <v>4028</v>
      </c>
      <c r="G976" s="2" t="s">
        <v>95</v>
      </c>
      <c r="H976" s="2" t="s">
        <v>26</v>
      </c>
      <c r="I976" s="2" t="s">
        <v>27</v>
      </c>
      <c r="J976" s="2" t="s">
        <v>28</v>
      </c>
      <c r="K976" s="2" t="s">
        <v>27</v>
      </c>
      <c r="L976">
        <v>436.72</v>
      </c>
      <c r="M976">
        <v>7</v>
      </c>
      <c r="N976">
        <v>51.356999999999999</v>
      </c>
      <c r="O976">
        <v>6500948</v>
      </c>
      <c r="P976" s="2" t="s">
        <v>29</v>
      </c>
      <c r="Q976" s="2" t="s">
        <v>23</v>
      </c>
      <c r="R976" s="2" t="s">
        <v>30</v>
      </c>
      <c r="S976">
        <v>4</v>
      </c>
      <c r="T976" s="1">
        <v>43397</v>
      </c>
      <c r="U976" s="1">
        <v>43399</v>
      </c>
      <c r="V976" s="2"/>
      <c r="W976" s="1">
        <f>fNotasFiscais[[#This Row],[Data da Coleta]]+fNotasFiscais[[#This Row],[Prazo Contratado]]</f>
        <v>43401</v>
      </c>
      <c r="X976" s="3">
        <f>IF(fNotasFiscais[[#This Row],[Data da Entrega]]&gt;fNotasFiscais[[#This Row],[Data Contratada]],0,1)</f>
        <v>1</v>
      </c>
      <c r="Y976" s="3">
        <f>IF(fNotasFiscais[[#This Row],[Ocorrência]]="",1,0)</f>
        <v>1</v>
      </c>
      <c r="Z976" s="2">
        <f>fNotasFiscais[[#This Row],[On Time]]*fNotasFiscais[[#This Row],[In Full]]</f>
        <v>1</v>
      </c>
      <c r="AA976">
        <f>IF(fNotasFiscais[[#This Row],[Nota Fiscal]]&lt;&gt;"",1,0)</f>
        <v>1</v>
      </c>
    </row>
    <row r="977" spans="1:27" x14ac:dyDescent="0.25">
      <c r="A977" s="1">
        <v>43397</v>
      </c>
      <c r="B977">
        <v>11386</v>
      </c>
      <c r="C977" s="2" t="s">
        <v>31</v>
      </c>
      <c r="D977" s="2" t="s">
        <v>32</v>
      </c>
      <c r="E977" s="2" t="s">
        <v>33</v>
      </c>
      <c r="F977">
        <v>4022</v>
      </c>
      <c r="G977" s="2" t="s">
        <v>86</v>
      </c>
      <c r="H977" s="2" t="s">
        <v>87</v>
      </c>
      <c r="I977" s="2" t="s">
        <v>27</v>
      </c>
      <c r="J977" s="2" t="s">
        <v>28</v>
      </c>
      <c r="K977" s="2" t="s">
        <v>27</v>
      </c>
      <c r="L977">
        <v>1643.35</v>
      </c>
      <c r="M977">
        <v>1</v>
      </c>
      <c r="N977">
        <v>1.1200000000000001</v>
      </c>
      <c r="O977">
        <v>6500948</v>
      </c>
      <c r="P977" s="2" t="s">
        <v>29</v>
      </c>
      <c r="Q977" s="2" t="s">
        <v>23</v>
      </c>
      <c r="R977" s="2" t="s">
        <v>30</v>
      </c>
      <c r="S977">
        <v>7</v>
      </c>
      <c r="T977" s="1">
        <v>43397</v>
      </c>
      <c r="U977" s="1">
        <v>43398</v>
      </c>
      <c r="V977" s="2"/>
      <c r="W977" s="1">
        <f>fNotasFiscais[[#This Row],[Data da Coleta]]+fNotasFiscais[[#This Row],[Prazo Contratado]]</f>
        <v>43404</v>
      </c>
      <c r="X977" s="3">
        <f>IF(fNotasFiscais[[#This Row],[Data da Entrega]]&gt;fNotasFiscais[[#This Row],[Data Contratada]],0,1)</f>
        <v>1</v>
      </c>
      <c r="Y977" s="3">
        <f>IF(fNotasFiscais[[#This Row],[Ocorrência]]="",1,0)</f>
        <v>1</v>
      </c>
      <c r="Z977" s="2">
        <f>fNotasFiscais[[#This Row],[On Time]]*fNotasFiscais[[#This Row],[In Full]]</f>
        <v>1</v>
      </c>
      <c r="AA977">
        <f>IF(fNotasFiscais[[#This Row],[Nota Fiscal]]&lt;&gt;"",1,0)</f>
        <v>1</v>
      </c>
    </row>
    <row r="978" spans="1:27" x14ac:dyDescent="0.25">
      <c r="A978" s="1">
        <v>43397</v>
      </c>
      <c r="B978">
        <v>11387</v>
      </c>
      <c r="C978" s="2" t="s">
        <v>34</v>
      </c>
      <c r="D978" s="2" t="s">
        <v>35</v>
      </c>
      <c r="E978" s="2" t="s">
        <v>36</v>
      </c>
      <c r="F978">
        <v>4040</v>
      </c>
      <c r="G978" s="2" t="s">
        <v>117</v>
      </c>
      <c r="H978" s="2" t="s">
        <v>47</v>
      </c>
      <c r="I978" s="2" t="s">
        <v>48</v>
      </c>
      <c r="J978" s="2" t="s">
        <v>49</v>
      </c>
      <c r="K978" s="2" t="s">
        <v>48</v>
      </c>
      <c r="L978">
        <v>141.84</v>
      </c>
      <c r="M978">
        <v>1</v>
      </c>
      <c r="N978">
        <v>3.3</v>
      </c>
      <c r="O978">
        <v>6100231</v>
      </c>
      <c r="P978" s="2" t="s">
        <v>50</v>
      </c>
      <c r="Q978" s="2" t="s">
        <v>51</v>
      </c>
      <c r="R978" s="2" t="s">
        <v>30</v>
      </c>
      <c r="S978">
        <v>4</v>
      </c>
      <c r="T978" s="1">
        <v>43397</v>
      </c>
      <c r="U978" s="1">
        <v>43406</v>
      </c>
      <c r="V978" s="2"/>
      <c r="W978" s="1">
        <f>fNotasFiscais[[#This Row],[Data da Coleta]]+fNotasFiscais[[#This Row],[Prazo Contratado]]</f>
        <v>43401</v>
      </c>
      <c r="X978" s="3">
        <f>IF(fNotasFiscais[[#This Row],[Data da Entrega]]&gt;fNotasFiscais[[#This Row],[Data Contratada]],0,1)</f>
        <v>0</v>
      </c>
      <c r="Y978" s="3">
        <f>IF(fNotasFiscais[[#This Row],[Ocorrência]]="",1,0)</f>
        <v>1</v>
      </c>
      <c r="Z978" s="2">
        <f>fNotasFiscais[[#This Row],[On Time]]*fNotasFiscais[[#This Row],[In Full]]</f>
        <v>0</v>
      </c>
      <c r="AA978">
        <f>IF(fNotasFiscais[[#This Row],[Nota Fiscal]]&lt;&gt;"",1,0)</f>
        <v>1</v>
      </c>
    </row>
    <row r="979" spans="1:27" x14ac:dyDescent="0.25">
      <c r="A979" s="1">
        <v>43397</v>
      </c>
      <c r="B979">
        <v>11388</v>
      </c>
      <c r="C979" s="2" t="s">
        <v>40</v>
      </c>
      <c r="D979" s="2" t="s">
        <v>41</v>
      </c>
      <c r="E979" s="2" t="s">
        <v>33</v>
      </c>
      <c r="F979">
        <v>4055</v>
      </c>
      <c r="G979" s="2" t="s">
        <v>120</v>
      </c>
      <c r="H979" s="2" t="s">
        <v>47</v>
      </c>
      <c r="I979" s="2" t="s">
        <v>48</v>
      </c>
      <c r="J979" s="2" t="s">
        <v>49</v>
      </c>
      <c r="K979" s="2" t="s">
        <v>48</v>
      </c>
      <c r="L979">
        <v>814.39</v>
      </c>
      <c r="M979">
        <v>1</v>
      </c>
      <c r="N979">
        <v>8.25</v>
      </c>
      <c r="O979">
        <v>6100231</v>
      </c>
      <c r="P979" s="2" t="s">
        <v>50</v>
      </c>
      <c r="Q979" s="2" t="s">
        <v>51</v>
      </c>
      <c r="R979" s="2" t="s">
        <v>30</v>
      </c>
      <c r="S979">
        <v>5</v>
      </c>
      <c r="T979" s="1">
        <v>43397</v>
      </c>
      <c r="U979" s="1">
        <v>43403</v>
      </c>
      <c r="V979" s="2"/>
      <c r="W979" s="1">
        <f>fNotasFiscais[[#This Row],[Data da Coleta]]+fNotasFiscais[[#This Row],[Prazo Contratado]]</f>
        <v>43402</v>
      </c>
      <c r="X979" s="3">
        <f>IF(fNotasFiscais[[#This Row],[Data da Entrega]]&gt;fNotasFiscais[[#This Row],[Data Contratada]],0,1)</f>
        <v>0</v>
      </c>
      <c r="Y979" s="3">
        <f>IF(fNotasFiscais[[#This Row],[Ocorrência]]="",1,0)</f>
        <v>1</v>
      </c>
      <c r="Z979" s="2">
        <f>fNotasFiscais[[#This Row],[On Time]]*fNotasFiscais[[#This Row],[In Full]]</f>
        <v>0</v>
      </c>
      <c r="AA979">
        <f>IF(fNotasFiscais[[#This Row],[Nota Fiscal]]&lt;&gt;"",1,0)</f>
        <v>1</v>
      </c>
    </row>
    <row r="980" spans="1:27" x14ac:dyDescent="0.25">
      <c r="A980" s="1">
        <v>43397</v>
      </c>
      <c r="B980">
        <v>11389</v>
      </c>
      <c r="C980" s="2" t="s">
        <v>31</v>
      </c>
      <c r="D980" s="2" t="s">
        <v>32</v>
      </c>
      <c r="E980" s="2" t="s">
        <v>33</v>
      </c>
      <c r="F980">
        <v>4062</v>
      </c>
      <c r="G980" s="2" t="s">
        <v>96</v>
      </c>
      <c r="H980" s="2" t="s">
        <v>97</v>
      </c>
      <c r="I980" s="2" t="s">
        <v>48</v>
      </c>
      <c r="J980" s="2" t="s">
        <v>49</v>
      </c>
      <c r="K980" s="2" t="s">
        <v>48</v>
      </c>
      <c r="L980">
        <v>9778.27</v>
      </c>
      <c r="M980">
        <v>21</v>
      </c>
      <c r="N980">
        <v>23.471</v>
      </c>
      <c r="O980">
        <v>6100231</v>
      </c>
      <c r="P980" s="2" t="s">
        <v>50</v>
      </c>
      <c r="Q980" s="2" t="s">
        <v>51</v>
      </c>
      <c r="R980" s="2" t="s">
        <v>30</v>
      </c>
      <c r="S980">
        <v>12</v>
      </c>
      <c r="T980" s="1">
        <v>43397</v>
      </c>
      <c r="U980" s="1">
        <v>43404</v>
      </c>
      <c r="V980" s="2"/>
      <c r="W980" s="1">
        <f>fNotasFiscais[[#This Row],[Data da Coleta]]+fNotasFiscais[[#This Row],[Prazo Contratado]]</f>
        <v>43409</v>
      </c>
      <c r="X980" s="3">
        <f>IF(fNotasFiscais[[#This Row],[Data da Entrega]]&gt;fNotasFiscais[[#This Row],[Data Contratada]],0,1)</f>
        <v>1</v>
      </c>
      <c r="Y980" s="3">
        <f>IF(fNotasFiscais[[#This Row],[Ocorrência]]="",1,0)</f>
        <v>1</v>
      </c>
      <c r="Z980" s="2">
        <f>fNotasFiscais[[#This Row],[On Time]]*fNotasFiscais[[#This Row],[In Full]]</f>
        <v>1</v>
      </c>
      <c r="AA980">
        <f>IF(fNotasFiscais[[#This Row],[Nota Fiscal]]&lt;&gt;"",1,0)</f>
        <v>1</v>
      </c>
    </row>
    <row r="981" spans="1:27" x14ac:dyDescent="0.25">
      <c r="A981" s="1">
        <v>43397</v>
      </c>
      <c r="B981">
        <v>11390</v>
      </c>
      <c r="C981" s="2" t="s">
        <v>34</v>
      </c>
      <c r="D981" s="2" t="s">
        <v>35</v>
      </c>
      <c r="E981" s="2" t="s">
        <v>36</v>
      </c>
      <c r="F981">
        <v>4030</v>
      </c>
      <c r="G981" s="2" t="s">
        <v>102</v>
      </c>
      <c r="H981" s="2" t="s">
        <v>35</v>
      </c>
      <c r="I981" s="2" t="s">
        <v>36</v>
      </c>
      <c r="J981" s="2" t="s">
        <v>60</v>
      </c>
      <c r="K981" s="2" t="s">
        <v>36</v>
      </c>
      <c r="L981">
        <v>310.41000000000003</v>
      </c>
      <c r="M981">
        <v>1</v>
      </c>
      <c r="N981">
        <v>3.5419999999999998</v>
      </c>
      <c r="O981">
        <v>6600879</v>
      </c>
      <c r="P981" s="2" t="s">
        <v>61</v>
      </c>
      <c r="Q981" s="2" t="s">
        <v>35</v>
      </c>
      <c r="R981" s="2" t="s">
        <v>30</v>
      </c>
      <c r="S981">
        <v>8</v>
      </c>
      <c r="T981" s="1">
        <v>43397</v>
      </c>
      <c r="U981" s="1">
        <v>43405</v>
      </c>
      <c r="V981" s="2"/>
      <c r="W981" s="1">
        <f>fNotasFiscais[[#This Row],[Data da Coleta]]+fNotasFiscais[[#This Row],[Prazo Contratado]]</f>
        <v>43405</v>
      </c>
      <c r="X981" s="3">
        <f>IF(fNotasFiscais[[#This Row],[Data da Entrega]]&gt;fNotasFiscais[[#This Row],[Data Contratada]],0,1)</f>
        <v>1</v>
      </c>
      <c r="Y981" s="3">
        <f>IF(fNotasFiscais[[#This Row],[Ocorrência]]="",1,0)</f>
        <v>1</v>
      </c>
      <c r="Z981" s="2">
        <f>fNotasFiscais[[#This Row],[On Time]]*fNotasFiscais[[#This Row],[In Full]]</f>
        <v>1</v>
      </c>
      <c r="AA981">
        <f>IF(fNotasFiscais[[#This Row],[Nota Fiscal]]&lt;&gt;"",1,0)</f>
        <v>1</v>
      </c>
    </row>
    <row r="982" spans="1:27" x14ac:dyDescent="0.25">
      <c r="A982" s="1">
        <v>43397</v>
      </c>
      <c r="B982">
        <v>11391</v>
      </c>
      <c r="C982" s="2" t="s">
        <v>31</v>
      </c>
      <c r="D982" s="2" t="s">
        <v>32</v>
      </c>
      <c r="E982" s="2" t="s">
        <v>33</v>
      </c>
      <c r="F982">
        <v>4030</v>
      </c>
      <c r="G982" s="2" t="s">
        <v>102</v>
      </c>
      <c r="H982" s="2" t="s">
        <v>35</v>
      </c>
      <c r="I982" s="2" t="s">
        <v>36</v>
      </c>
      <c r="J982" s="2" t="s">
        <v>60</v>
      </c>
      <c r="K982" s="2" t="s">
        <v>36</v>
      </c>
      <c r="L982">
        <v>3217.61</v>
      </c>
      <c r="M982">
        <v>4</v>
      </c>
      <c r="N982">
        <v>28.440999999999999</v>
      </c>
      <c r="O982">
        <v>6600879</v>
      </c>
      <c r="P982" s="2" t="s">
        <v>61</v>
      </c>
      <c r="Q982" s="2" t="s">
        <v>35</v>
      </c>
      <c r="R982" s="2" t="s">
        <v>30</v>
      </c>
      <c r="S982">
        <v>4</v>
      </c>
      <c r="T982" s="1">
        <v>43397</v>
      </c>
      <c r="U982" s="1">
        <v>43401</v>
      </c>
      <c r="V982" s="2"/>
      <c r="W982" s="1">
        <f>fNotasFiscais[[#This Row],[Data da Coleta]]+fNotasFiscais[[#This Row],[Prazo Contratado]]</f>
        <v>43401</v>
      </c>
      <c r="X982" s="3">
        <f>IF(fNotasFiscais[[#This Row],[Data da Entrega]]&gt;fNotasFiscais[[#This Row],[Data Contratada]],0,1)</f>
        <v>1</v>
      </c>
      <c r="Y982" s="3">
        <f>IF(fNotasFiscais[[#This Row],[Ocorrência]]="",1,0)</f>
        <v>1</v>
      </c>
      <c r="Z982" s="2">
        <f>fNotasFiscais[[#This Row],[On Time]]*fNotasFiscais[[#This Row],[In Full]]</f>
        <v>1</v>
      </c>
      <c r="AA982">
        <f>IF(fNotasFiscais[[#This Row],[Nota Fiscal]]&lt;&gt;"",1,0)</f>
        <v>1</v>
      </c>
    </row>
    <row r="983" spans="1:27" x14ac:dyDescent="0.25">
      <c r="A983" s="1">
        <v>43398</v>
      </c>
      <c r="B983">
        <v>11392</v>
      </c>
      <c r="C983" s="2" t="s">
        <v>22</v>
      </c>
      <c r="D983" s="2" t="s">
        <v>23</v>
      </c>
      <c r="E983" s="2" t="s">
        <v>24</v>
      </c>
      <c r="F983">
        <v>4023</v>
      </c>
      <c r="G983" s="2" t="s">
        <v>88</v>
      </c>
      <c r="H983" s="2" t="s">
        <v>78</v>
      </c>
      <c r="I983" s="2" t="s">
        <v>39</v>
      </c>
      <c r="J983" s="2" t="s">
        <v>28</v>
      </c>
      <c r="K983" s="2" t="s">
        <v>39</v>
      </c>
      <c r="L983">
        <v>4071.22</v>
      </c>
      <c r="M983">
        <v>7</v>
      </c>
      <c r="N983">
        <v>38.646999999999998</v>
      </c>
      <c r="O983">
        <v>6500948</v>
      </c>
      <c r="P983" s="2" t="s">
        <v>29</v>
      </c>
      <c r="Q983" s="2" t="s">
        <v>23</v>
      </c>
      <c r="R983" s="2" t="s">
        <v>30</v>
      </c>
      <c r="S983">
        <v>9</v>
      </c>
      <c r="T983" s="1">
        <v>43398</v>
      </c>
      <c r="U983" s="1">
        <v>43408</v>
      </c>
      <c r="V983" s="2"/>
      <c r="W983" s="1">
        <f>fNotasFiscais[[#This Row],[Data da Coleta]]+fNotasFiscais[[#This Row],[Prazo Contratado]]</f>
        <v>43407</v>
      </c>
      <c r="X983" s="3">
        <f>IF(fNotasFiscais[[#This Row],[Data da Entrega]]&gt;fNotasFiscais[[#This Row],[Data Contratada]],0,1)</f>
        <v>0</v>
      </c>
      <c r="Y983" s="3">
        <f>IF(fNotasFiscais[[#This Row],[Ocorrência]]="",1,0)</f>
        <v>1</v>
      </c>
      <c r="Z983" s="2">
        <f>fNotasFiscais[[#This Row],[On Time]]*fNotasFiscais[[#This Row],[In Full]]</f>
        <v>0</v>
      </c>
      <c r="AA983">
        <f>IF(fNotasFiscais[[#This Row],[Nota Fiscal]]&lt;&gt;"",1,0)</f>
        <v>1</v>
      </c>
    </row>
    <row r="984" spans="1:27" x14ac:dyDescent="0.25">
      <c r="A984" s="1">
        <v>43399</v>
      </c>
      <c r="B984">
        <v>11393</v>
      </c>
      <c r="C984" s="2" t="s">
        <v>31</v>
      </c>
      <c r="D984" s="2" t="s">
        <v>32</v>
      </c>
      <c r="E984" s="2" t="s">
        <v>33</v>
      </c>
      <c r="F984">
        <v>4128</v>
      </c>
      <c r="G984" s="2" t="s">
        <v>211</v>
      </c>
      <c r="H984" s="2" t="s">
        <v>167</v>
      </c>
      <c r="I984" s="2" t="s">
        <v>168</v>
      </c>
      <c r="J984" s="2" t="s">
        <v>169</v>
      </c>
      <c r="K984" s="2" t="s">
        <v>168</v>
      </c>
      <c r="L984">
        <v>386.49</v>
      </c>
      <c r="M984">
        <v>1</v>
      </c>
      <c r="N984">
        <v>0.27500000000000002</v>
      </c>
      <c r="O984">
        <v>6900304</v>
      </c>
      <c r="P984" s="2" t="s">
        <v>170</v>
      </c>
      <c r="Q984" s="2" t="s">
        <v>171</v>
      </c>
      <c r="R984" s="2" t="s">
        <v>30</v>
      </c>
      <c r="S984">
        <v>2</v>
      </c>
      <c r="T984" s="1">
        <v>43399</v>
      </c>
      <c r="U984" s="1">
        <v>43405</v>
      </c>
      <c r="V984" s="2"/>
      <c r="W984" s="1">
        <f>fNotasFiscais[[#This Row],[Data da Coleta]]+fNotasFiscais[[#This Row],[Prazo Contratado]]</f>
        <v>43401</v>
      </c>
      <c r="X984" s="3">
        <f>IF(fNotasFiscais[[#This Row],[Data da Entrega]]&gt;fNotasFiscais[[#This Row],[Data Contratada]],0,1)</f>
        <v>0</v>
      </c>
      <c r="Y984" s="3">
        <f>IF(fNotasFiscais[[#This Row],[Ocorrência]]="",1,0)</f>
        <v>1</v>
      </c>
      <c r="Z984" s="2">
        <f>fNotasFiscais[[#This Row],[On Time]]*fNotasFiscais[[#This Row],[In Full]]</f>
        <v>0</v>
      </c>
      <c r="AA984">
        <f>IF(fNotasFiscais[[#This Row],[Nota Fiscal]]&lt;&gt;"",1,0)</f>
        <v>1</v>
      </c>
    </row>
    <row r="985" spans="1:27" x14ac:dyDescent="0.25">
      <c r="A985" s="1">
        <v>43400</v>
      </c>
      <c r="B985">
        <v>11394</v>
      </c>
      <c r="C985" s="2" t="s">
        <v>34</v>
      </c>
      <c r="D985" s="2" t="s">
        <v>35</v>
      </c>
      <c r="E985" s="2" t="s">
        <v>36</v>
      </c>
      <c r="F985">
        <v>4129</v>
      </c>
      <c r="G985" s="2" t="s">
        <v>212</v>
      </c>
      <c r="H985" s="2" t="s">
        <v>35</v>
      </c>
      <c r="I985" s="2" t="s">
        <v>36</v>
      </c>
      <c r="J985" s="2" t="s">
        <v>60</v>
      </c>
      <c r="K985" s="2" t="s">
        <v>36</v>
      </c>
      <c r="L985">
        <v>6824.54</v>
      </c>
      <c r="M985">
        <v>20</v>
      </c>
      <c r="N985">
        <v>103.568</v>
      </c>
      <c r="O985">
        <v>6600879</v>
      </c>
      <c r="P985" s="2" t="s">
        <v>61</v>
      </c>
      <c r="Q985" s="2" t="s">
        <v>35</v>
      </c>
      <c r="R985" s="2" t="s">
        <v>30</v>
      </c>
      <c r="S985">
        <v>7</v>
      </c>
      <c r="T985" s="1">
        <v>43400</v>
      </c>
      <c r="U985" s="1">
        <v>43403</v>
      </c>
      <c r="V985" s="2"/>
      <c r="W985" s="1">
        <f>fNotasFiscais[[#This Row],[Data da Coleta]]+fNotasFiscais[[#This Row],[Prazo Contratado]]</f>
        <v>43407</v>
      </c>
      <c r="X985" s="3">
        <f>IF(fNotasFiscais[[#This Row],[Data da Entrega]]&gt;fNotasFiscais[[#This Row],[Data Contratada]],0,1)</f>
        <v>1</v>
      </c>
      <c r="Y985" s="3">
        <f>IF(fNotasFiscais[[#This Row],[Ocorrência]]="",1,0)</f>
        <v>1</v>
      </c>
      <c r="Z985" s="2">
        <f>fNotasFiscais[[#This Row],[On Time]]*fNotasFiscais[[#This Row],[In Full]]</f>
        <v>1</v>
      </c>
      <c r="AA985">
        <f>IF(fNotasFiscais[[#This Row],[Nota Fiscal]]&lt;&gt;"",1,0)</f>
        <v>1</v>
      </c>
    </row>
    <row r="986" spans="1:27" x14ac:dyDescent="0.25">
      <c r="A986" s="1">
        <v>43400</v>
      </c>
      <c r="B986">
        <v>11395</v>
      </c>
      <c r="C986" s="2" t="s">
        <v>43</v>
      </c>
      <c r="D986" s="2" t="s">
        <v>44</v>
      </c>
      <c r="E986" s="2" t="s">
        <v>45</v>
      </c>
      <c r="F986">
        <v>4024</v>
      </c>
      <c r="G986" s="2" t="s">
        <v>89</v>
      </c>
      <c r="H986" s="2" t="s">
        <v>23</v>
      </c>
      <c r="I986" s="2" t="s">
        <v>24</v>
      </c>
      <c r="J986" s="2" t="s">
        <v>28</v>
      </c>
      <c r="K986" s="2" t="s">
        <v>24</v>
      </c>
      <c r="L986">
        <v>841.3</v>
      </c>
      <c r="M986">
        <v>1</v>
      </c>
      <c r="N986">
        <v>5.72</v>
      </c>
      <c r="O986">
        <v>6500948</v>
      </c>
      <c r="P986" s="2" t="s">
        <v>29</v>
      </c>
      <c r="Q986" s="2" t="s">
        <v>23</v>
      </c>
      <c r="R986" s="2" t="s">
        <v>30</v>
      </c>
      <c r="S986">
        <v>6</v>
      </c>
      <c r="T986" s="1">
        <v>43400</v>
      </c>
      <c r="U986" s="1">
        <v>43402</v>
      </c>
      <c r="V986" s="2"/>
      <c r="W986" s="1">
        <f>fNotasFiscais[[#This Row],[Data da Coleta]]+fNotasFiscais[[#This Row],[Prazo Contratado]]</f>
        <v>43406</v>
      </c>
      <c r="X986" s="3">
        <f>IF(fNotasFiscais[[#This Row],[Data da Entrega]]&gt;fNotasFiscais[[#This Row],[Data Contratada]],0,1)</f>
        <v>1</v>
      </c>
      <c r="Y986" s="3">
        <f>IF(fNotasFiscais[[#This Row],[Ocorrência]]="",1,0)</f>
        <v>1</v>
      </c>
      <c r="Z986" s="2">
        <f>fNotasFiscais[[#This Row],[On Time]]*fNotasFiscais[[#This Row],[In Full]]</f>
        <v>1</v>
      </c>
      <c r="AA986">
        <f>IF(fNotasFiscais[[#This Row],[Nota Fiscal]]&lt;&gt;"",1,0)</f>
        <v>1</v>
      </c>
    </row>
    <row r="987" spans="1:27" x14ac:dyDescent="0.25">
      <c r="A987" s="1">
        <v>43401</v>
      </c>
      <c r="B987">
        <v>11396</v>
      </c>
      <c r="C987" s="2" t="s">
        <v>54</v>
      </c>
      <c r="D987" s="2" t="s">
        <v>55</v>
      </c>
      <c r="E987" s="2" t="s">
        <v>56</v>
      </c>
      <c r="F987">
        <v>4049</v>
      </c>
      <c r="G987" s="2" t="s">
        <v>118</v>
      </c>
      <c r="H987" s="2" t="s">
        <v>97</v>
      </c>
      <c r="I987" s="2" t="s">
        <v>48</v>
      </c>
      <c r="J987" s="2" t="s">
        <v>49</v>
      </c>
      <c r="K987" s="2" t="s">
        <v>48</v>
      </c>
      <c r="L987">
        <v>3453.31</v>
      </c>
      <c r="M987">
        <v>2</v>
      </c>
      <c r="N987">
        <v>16.347999999999999</v>
      </c>
      <c r="O987">
        <v>6100231</v>
      </c>
      <c r="P987" s="2" t="s">
        <v>50</v>
      </c>
      <c r="Q987" s="2" t="s">
        <v>51</v>
      </c>
      <c r="R987" s="2" t="s">
        <v>30</v>
      </c>
      <c r="S987">
        <v>1</v>
      </c>
      <c r="T987" s="1">
        <v>43401</v>
      </c>
      <c r="U987" s="1">
        <v>43408</v>
      </c>
      <c r="V987" s="2"/>
      <c r="W987" s="1">
        <f>fNotasFiscais[[#This Row],[Data da Coleta]]+fNotasFiscais[[#This Row],[Prazo Contratado]]</f>
        <v>43402</v>
      </c>
      <c r="X987" s="3">
        <f>IF(fNotasFiscais[[#This Row],[Data da Entrega]]&gt;fNotasFiscais[[#This Row],[Data Contratada]],0,1)</f>
        <v>0</v>
      </c>
      <c r="Y987" s="3">
        <f>IF(fNotasFiscais[[#This Row],[Ocorrência]]="",1,0)</f>
        <v>1</v>
      </c>
      <c r="Z987" s="2">
        <f>fNotasFiscais[[#This Row],[On Time]]*fNotasFiscais[[#This Row],[In Full]]</f>
        <v>0</v>
      </c>
      <c r="AA987">
        <f>IF(fNotasFiscais[[#This Row],[Nota Fiscal]]&lt;&gt;"",1,0)</f>
        <v>1</v>
      </c>
    </row>
    <row r="988" spans="1:27" x14ac:dyDescent="0.25">
      <c r="A988" s="1">
        <v>43401</v>
      </c>
      <c r="B988">
        <v>11397</v>
      </c>
      <c r="C988" s="2" t="s">
        <v>43</v>
      </c>
      <c r="D988" s="2" t="s">
        <v>44</v>
      </c>
      <c r="E988" s="2" t="s">
        <v>45</v>
      </c>
      <c r="F988">
        <v>4049</v>
      </c>
      <c r="G988" s="2" t="s">
        <v>118</v>
      </c>
      <c r="H988" s="2" t="s">
        <v>97</v>
      </c>
      <c r="I988" s="2" t="s">
        <v>48</v>
      </c>
      <c r="J988" s="2" t="s">
        <v>49</v>
      </c>
      <c r="K988" s="2" t="s">
        <v>48</v>
      </c>
      <c r="L988">
        <v>1146.25</v>
      </c>
      <c r="M988">
        <v>3</v>
      </c>
      <c r="N988">
        <v>4.125</v>
      </c>
      <c r="O988">
        <v>6100231</v>
      </c>
      <c r="P988" s="2" t="s">
        <v>50</v>
      </c>
      <c r="Q988" s="2" t="s">
        <v>51</v>
      </c>
      <c r="R988" s="2" t="s">
        <v>30</v>
      </c>
      <c r="S988">
        <v>7</v>
      </c>
      <c r="T988" s="1">
        <v>43401</v>
      </c>
      <c r="U988" s="1">
        <v>43407</v>
      </c>
      <c r="V988" s="2"/>
      <c r="W988" s="1">
        <f>fNotasFiscais[[#This Row],[Data da Coleta]]+fNotasFiscais[[#This Row],[Prazo Contratado]]</f>
        <v>43408</v>
      </c>
      <c r="X988" s="3">
        <f>IF(fNotasFiscais[[#This Row],[Data da Entrega]]&gt;fNotasFiscais[[#This Row],[Data Contratada]],0,1)</f>
        <v>1</v>
      </c>
      <c r="Y988" s="3">
        <f>IF(fNotasFiscais[[#This Row],[Ocorrência]]="",1,0)</f>
        <v>1</v>
      </c>
      <c r="Z988" s="2">
        <f>fNotasFiscais[[#This Row],[On Time]]*fNotasFiscais[[#This Row],[In Full]]</f>
        <v>1</v>
      </c>
      <c r="AA988">
        <f>IF(fNotasFiscais[[#This Row],[Nota Fiscal]]&lt;&gt;"",1,0)</f>
        <v>1</v>
      </c>
    </row>
    <row r="989" spans="1:27" x14ac:dyDescent="0.25">
      <c r="A989" s="1">
        <v>43401</v>
      </c>
      <c r="B989">
        <v>11398</v>
      </c>
      <c r="C989" s="2" t="s">
        <v>52</v>
      </c>
      <c r="D989" s="2" t="s">
        <v>53</v>
      </c>
      <c r="E989" s="2" t="s">
        <v>33</v>
      </c>
      <c r="F989">
        <v>4049</v>
      </c>
      <c r="G989" s="2" t="s">
        <v>118</v>
      </c>
      <c r="H989" s="2" t="s">
        <v>97</v>
      </c>
      <c r="I989" s="2" t="s">
        <v>48</v>
      </c>
      <c r="J989" s="2" t="s">
        <v>49</v>
      </c>
      <c r="K989" s="2" t="s">
        <v>48</v>
      </c>
      <c r="L989">
        <v>471.18</v>
      </c>
      <c r="M989">
        <v>2</v>
      </c>
      <c r="N989">
        <v>2.593</v>
      </c>
      <c r="O989">
        <v>6100231</v>
      </c>
      <c r="P989" s="2" t="s">
        <v>50</v>
      </c>
      <c r="Q989" s="2" t="s">
        <v>51</v>
      </c>
      <c r="R989" s="2" t="s">
        <v>30</v>
      </c>
      <c r="S989">
        <v>7</v>
      </c>
      <c r="T989" s="1">
        <v>43401</v>
      </c>
      <c r="U989" s="1">
        <v>43406</v>
      </c>
      <c r="V989" s="2"/>
      <c r="W989" s="1">
        <f>fNotasFiscais[[#This Row],[Data da Coleta]]+fNotasFiscais[[#This Row],[Prazo Contratado]]</f>
        <v>43408</v>
      </c>
      <c r="X989" s="3">
        <f>IF(fNotasFiscais[[#This Row],[Data da Entrega]]&gt;fNotasFiscais[[#This Row],[Data Contratada]],0,1)</f>
        <v>1</v>
      </c>
      <c r="Y989" s="3">
        <f>IF(fNotasFiscais[[#This Row],[Ocorrência]]="",1,0)</f>
        <v>1</v>
      </c>
      <c r="Z989" s="2">
        <f>fNotasFiscais[[#This Row],[On Time]]*fNotasFiscais[[#This Row],[In Full]]</f>
        <v>1</v>
      </c>
      <c r="AA989">
        <f>IF(fNotasFiscais[[#This Row],[Nota Fiscal]]&lt;&gt;"",1,0)</f>
        <v>1</v>
      </c>
    </row>
    <row r="990" spans="1:27" x14ac:dyDescent="0.25">
      <c r="A990" s="1">
        <v>43401</v>
      </c>
      <c r="B990">
        <v>11399</v>
      </c>
      <c r="C990" s="2" t="s">
        <v>40</v>
      </c>
      <c r="D990" s="2" t="s">
        <v>41</v>
      </c>
      <c r="E990" s="2" t="s">
        <v>33</v>
      </c>
      <c r="F990">
        <v>4049</v>
      </c>
      <c r="G990" s="2" t="s">
        <v>118</v>
      </c>
      <c r="H990" s="2" t="s">
        <v>97</v>
      </c>
      <c r="I990" s="2" t="s">
        <v>48</v>
      </c>
      <c r="J990" s="2" t="s">
        <v>49</v>
      </c>
      <c r="K990" s="2" t="s">
        <v>48</v>
      </c>
      <c r="L990">
        <v>683.09</v>
      </c>
      <c r="M990">
        <v>1</v>
      </c>
      <c r="N990">
        <v>1.1200000000000001</v>
      </c>
      <c r="O990">
        <v>6100231</v>
      </c>
      <c r="P990" s="2" t="s">
        <v>50</v>
      </c>
      <c r="Q990" s="2" t="s">
        <v>51</v>
      </c>
      <c r="R990" s="2" t="s">
        <v>30</v>
      </c>
      <c r="S990">
        <v>11</v>
      </c>
      <c r="T990" s="1">
        <v>43401</v>
      </c>
      <c r="U990" s="1">
        <v>43408</v>
      </c>
      <c r="V990" s="2"/>
      <c r="W990" s="1">
        <f>fNotasFiscais[[#This Row],[Data da Coleta]]+fNotasFiscais[[#This Row],[Prazo Contratado]]</f>
        <v>43412</v>
      </c>
      <c r="X990" s="3">
        <f>IF(fNotasFiscais[[#This Row],[Data da Entrega]]&gt;fNotasFiscais[[#This Row],[Data Contratada]],0,1)</f>
        <v>1</v>
      </c>
      <c r="Y990" s="3">
        <f>IF(fNotasFiscais[[#This Row],[Ocorrência]]="",1,0)</f>
        <v>1</v>
      </c>
      <c r="Z990" s="2">
        <f>fNotasFiscais[[#This Row],[On Time]]*fNotasFiscais[[#This Row],[In Full]]</f>
        <v>1</v>
      </c>
      <c r="AA990">
        <f>IF(fNotasFiscais[[#This Row],[Nota Fiscal]]&lt;&gt;"",1,0)</f>
        <v>1</v>
      </c>
    </row>
    <row r="991" spans="1:27" x14ac:dyDescent="0.25">
      <c r="A991" s="1">
        <v>43401</v>
      </c>
      <c r="B991">
        <v>11400</v>
      </c>
      <c r="C991" s="2" t="s">
        <v>54</v>
      </c>
      <c r="D991" s="2" t="s">
        <v>55</v>
      </c>
      <c r="E991" s="2" t="s">
        <v>56</v>
      </c>
      <c r="F991">
        <v>4022</v>
      </c>
      <c r="G991" s="2" t="s">
        <v>86</v>
      </c>
      <c r="H991" s="2" t="s">
        <v>87</v>
      </c>
      <c r="I991" s="2" t="s">
        <v>27</v>
      </c>
      <c r="J991" s="2" t="s">
        <v>28</v>
      </c>
      <c r="K991" s="2" t="s">
        <v>27</v>
      </c>
      <c r="L991">
        <v>1842.3</v>
      </c>
      <c r="M991">
        <v>2</v>
      </c>
      <c r="N991">
        <v>8.7999999999999995E-2</v>
      </c>
      <c r="O991">
        <v>6500948</v>
      </c>
      <c r="P991" s="2" t="s">
        <v>29</v>
      </c>
      <c r="Q991" s="2" t="s">
        <v>23</v>
      </c>
      <c r="R991" s="2" t="s">
        <v>30</v>
      </c>
      <c r="S991">
        <v>8</v>
      </c>
      <c r="T991" s="1">
        <v>43401</v>
      </c>
      <c r="U991" s="1">
        <v>43407</v>
      </c>
      <c r="V991" s="2"/>
      <c r="W991" s="1">
        <f>fNotasFiscais[[#This Row],[Data da Coleta]]+fNotasFiscais[[#This Row],[Prazo Contratado]]</f>
        <v>43409</v>
      </c>
      <c r="X991" s="3">
        <f>IF(fNotasFiscais[[#This Row],[Data da Entrega]]&gt;fNotasFiscais[[#This Row],[Data Contratada]],0,1)</f>
        <v>1</v>
      </c>
      <c r="Y991" s="3">
        <f>IF(fNotasFiscais[[#This Row],[Ocorrência]]="",1,0)</f>
        <v>1</v>
      </c>
      <c r="Z991" s="2">
        <f>fNotasFiscais[[#This Row],[On Time]]*fNotasFiscais[[#This Row],[In Full]]</f>
        <v>1</v>
      </c>
      <c r="AA991">
        <f>IF(fNotasFiscais[[#This Row],[Nota Fiscal]]&lt;&gt;"",1,0)</f>
        <v>1</v>
      </c>
    </row>
    <row r="992" spans="1:27" x14ac:dyDescent="0.25">
      <c r="A992" s="1">
        <v>43401</v>
      </c>
      <c r="B992">
        <v>11401</v>
      </c>
      <c r="C992" s="2" t="s">
        <v>22</v>
      </c>
      <c r="D992" s="2" t="s">
        <v>23</v>
      </c>
      <c r="E992" s="2" t="s">
        <v>24</v>
      </c>
      <c r="F992">
        <v>4049</v>
      </c>
      <c r="G992" s="2" t="s">
        <v>118</v>
      </c>
      <c r="H992" s="2" t="s">
        <v>97</v>
      </c>
      <c r="I992" s="2" t="s">
        <v>48</v>
      </c>
      <c r="J992" s="2" t="s">
        <v>49</v>
      </c>
      <c r="K992" s="2" t="s">
        <v>48</v>
      </c>
      <c r="L992">
        <v>3448.11</v>
      </c>
      <c r="M992">
        <v>5</v>
      </c>
      <c r="N992">
        <v>14.093999999999999</v>
      </c>
      <c r="O992">
        <v>6100231</v>
      </c>
      <c r="P992" s="2" t="s">
        <v>50</v>
      </c>
      <c r="Q992" s="2" t="s">
        <v>51</v>
      </c>
      <c r="R992" s="2" t="s">
        <v>30</v>
      </c>
      <c r="S992">
        <v>6</v>
      </c>
      <c r="T992" s="1">
        <v>43401</v>
      </c>
      <c r="U992" s="1">
        <v>43409</v>
      </c>
      <c r="V992" s="2"/>
      <c r="W992" s="1">
        <f>fNotasFiscais[[#This Row],[Data da Coleta]]+fNotasFiscais[[#This Row],[Prazo Contratado]]</f>
        <v>43407</v>
      </c>
      <c r="X992" s="3">
        <f>IF(fNotasFiscais[[#This Row],[Data da Entrega]]&gt;fNotasFiscais[[#This Row],[Data Contratada]],0,1)</f>
        <v>0</v>
      </c>
      <c r="Y992" s="3">
        <f>IF(fNotasFiscais[[#This Row],[Ocorrência]]="",1,0)</f>
        <v>1</v>
      </c>
      <c r="Z992" s="2">
        <f>fNotasFiscais[[#This Row],[On Time]]*fNotasFiscais[[#This Row],[In Full]]</f>
        <v>0</v>
      </c>
      <c r="AA992">
        <f>IF(fNotasFiscais[[#This Row],[Nota Fiscal]]&lt;&gt;"",1,0)</f>
        <v>1</v>
      </c>
    </row>
    <row r="993" spans="1:27" x14ac:dyDescent="0.25">
      <c r="A993" s="1">
        <v>43401</v>
      </c>
      <c r="B993">
        <v>11402</v>
      </c>
      <c r="C993" s="2" t="s">
        <v>34</v>
      </c>
      <c r="D993" s="2" t="s">
        <v>35</v>
      </c>
      <c r="E993" s="2" t="s">
        <v>36</v>
      </c>
      <c r="F993">
        <v>4049</v>
      </c>
      <c r="G993" s="2" t="s">
        <v>118</v>
      </c>
      <c r="H993" s="2" t="s">
        <v>97</v>
      </c>
      <c r="I993" s="2" t="s">
        <v>48</v>
      </c>
      <c r="J993" s="2" t="s">
        <v>49</v>
      </c>
      <c r="K993" s="2" t="s">
        <v>48</v>
      </c>
      <c r="L993">
        <v>1103.8699999999999</v>
      </c>
      <c r="M993">
        <v>2</v>
      </c>
      <c r="N993">
        <v>6.5119999999999996</v>
      </c>
      <c r="O993">
        <v>6100231</v>
      </c>
      <c r="P993" s="2" t="s">
        <v>50</v>
      </c>
      <c r="Q993" s="2" t="s">
        <v>51</v>
      </c>
      <c r="R993" s="2" t="s">
        <v>30</v>
      </c>
      <c r="S993">
        <v>1</v>
      </c>
      <c r="T993" s="1">
        <v>43401</v>
      </c>
      <c r="U993" s="1">
        <v>43408</v>
      </c>
      <c r="V993" s="2"/>
      <c r="W993" s="1">
        <f>fNotasFiscais[[#This Row],[Data da Coleta]]+fNotasFiscais[[#This Row],[Prazo Contratado]]</f>
        <v>43402</v>
      </c>
      <c r="X993" s="3">
        <f>IF(fNotasFiscais[[#This Row],[Data da Entrega]]&gt;fNotasFiscais[[#This Row],[Data Contratada]],0,1)</f>
        <v>0</v>
      </c>
      <c r="Y993" s="3">
        <f>IF(fNotasFiscais[[#This Row],[Ocorrência]]="",1,0)</f>
        <v>1</v>
      </c>
      <c r="Z993" s="2">
        <f>fNotasFiscais[[#This Row],[On Time]]*fNotasFiscais[[#This Row],[In Full]]</f>
        <v>0</v>
      </c>
      <c r="AA993">
        <f>IF(fNotasFiscais[[#This Row],[Nota Fiscal]]&lt;&gt;"",1,0)</f>
        <v>1</v>
      </c>
    </row>
    <row r="994" spans="1:27" x14ac:dyDescent="0.25">
      <c r="A994" s="1">
        <v>43401</v>
      </c>
      <c r="B994">
        <v>11403</v>
      </c>
      <c r="C994" s="2" t="s">
        <v>54</v>
      </c>
      <c r="D994" s="2" t="s">
        <v>55</v>
      </c>
      <c r="E994" s="2" t="s">
        <v>56</v>
      </c>
      <c r="F994">
        <v>4049</v>
      </c>
      <c r="G994" s="2" t="s">
        <v>118</v>
      </c>
      <c r="H994" s="2" t="s">
        <v>97</v>
      </c>
      <c r="I994" s="2" t="s">
        <v>48</v>
      </c>
      <c r="J994" s="2" t="s">
        <v>49</v>
      </c>
      <c r="K994" s="2" t="s">
        <v>48</v>
      </c>
      <c r="L994">
        <v>419.24</v>
      </c>
      <c r="M994">
        <v>1</v>
      </c>
      <c r="N994">
        <v>1.76</v>
      </c>
      <c r="O994">
        <v>6100231</v>
      </c>
      <c r="P994" s="2" t="s">
        <v>50</v>
      </c>
      <c r="Q994" s="2" t="s">
        <v>51</v>
      </c>
      <c r="R994" s="2" t="s">
        <v>30</v>
      </c>
      <c r="S994">
        <v>10</v>
      </c>
      <c r="T994" s="1">
        <v>43401</v>
      </c>
      <c r="U994" s="1">
        <v>43404</v>
      </c>
      <c r="V994" s="2"/>
      <c r="W994" s="1">
        <f>fNotasFiscais[[#This Row],[Data da Coleta]]+fNotasFiscais[[#This Row],[Prazo Contratado]]</f>
        <v>43411</v>
      </c>
      <c r="X994" s="3">
        <f>IF(fNotasFiscais[[#This Row],[Data da Entrega]]&gt;fNotasFiscais[[#This Row],[Data Contratada]],0,1)</f>
        <v>1</v>
      </c>
      <c r="Y994" s="3">
        <f>IF(fNotasFiscais[[#This Row],[Ocorrência]]="",1,0)</f>
        <v>1</v>
      </c>
      <c r="Z994" s="2">
        <f>fNotasFiscais[[#This Row],[On Time]]*fNotasFiscais[[#This Row],[In Full]]</f>
        <v>1</v>
      </c>
      <c r="AA994">
        <f>IF(fNotasFiscais[[#This Row],[Nota Fiscal]]&lt;&gt;"",1,0)</f>
        <v>1</v>
      </c>
    </row>
    <row r="995" spans="1:27" x14ac:dyDescent="0.25">
      <c r="A995" s="1">
        <v>43401</v>
      </c>
      <c r="B995">
        <v>11404</v>
      </c>
      <c r="C995" s="2" t="s">
        <v>31</v>
      </c>
      <c r="D995" s="2" t="s">
        <v>32</v>
      </c>
      <c r="E995" s="2" t="s">
        <v>33</v>
      </c>
      <c r="F995">
        <v>4049</v>
      </c>
      <c r="G995" s="2" t="s">
        <v>118</v>
      </c>
      <c r="H995" s="2" t="s">
        <v>97</v>
      </c>
      <c r="I995" s="2" t="s">
        <v>48</v>
      </c>
      <c r="J995" s="2" t="s">
        <v>49</v>
      </c>
      <c r="K995" s="2" t="s">
        <v>48</v>
      </c>
      <c r="L995">
        <v>2851.94</v>
      </c>
      <c r="M995">
        <v>3</v>
      </c>
      <c r="N995">
        <v>6.258</v>
      </c>
      <c r="O995">
        <v>6100231</v>
      </c>
      <c r="P995" s="2" t="s">
        <v>50</v>
      </c>
      <c r="Q995" s="2" t="s">
        <v>51</v>
      </c>
      <c r="R995" s="2" t="s">
        <v>30</v>
      </c>
      <c r="S995">
        <v>9</v>
      </c>
      <c r="T995" s="1">
        <v>43401</v>
      </c>
      <c r="U995" s="1">
        <v>43407</v>
      </c>
      <c r="V995" s="2"/>
      <c r="W995" s="1">
        <f>fNotasFiscais[[#This Row],[Data da Coleta]]+fNotasFiscais[[#This Row],[Prazo Contratado]]</f>
        <v>43410</v>
      </c>
      <c r="X995" s="3">
        <f>IF(fNotasFiscais[[#This Row],[Data da Entrega]]&gt;fNotasFiscais[[#This Row],[Data Contratada]],0,1)</f>
        <v>1</v>
      </c>
      <c r="Y995" s="3">
        <f>IF(fNotasFiscais[[#This Row],[Ocorrência]]="",1,0)</f>
        <v>1</v>
      </c>
      <c r="Z995" s="2">
        <f>fNotasFiscais[[#This Row],[On Time]]*fNotasFiscais[[#This Row],[In Full]]</f>
        <v>1</v>
      </c>
      <c r="AA995">
        <f>IF(fNotasFiscais[[#This Row],[Nota Fiscal]]&lt;&gt;"",1,0)</f>
        <v>1</v>
      </c>
    </row>
    <row r="996" spans="1:27" x14ac:dyDescent="0.25">
      <c r="A996" s="1">
        <v>43401</v>
      </c>
      <c r="B996">
        <v>11405</v>
      </c>
      <c r="C996" s="2" t="s">
        <v>22</v>
      </c>
      <c r="D996" s="2" t="s">
        <v>23</v>
      </c>
      <c r="E996" s="2" t="s">
        <v>24</v>
      </c>
      <c r="F996">
        <v>4049</v>
      </c>
      <c r="G996" s="2" t="s">
        <v>118</v>
      </c>
      <c r="H996" s="2" t="s">
        <v>97</v>
      </c>
      <c r="I996" s="2" t="s">
        <v>48</v>
      </c>
      <c r="J996" s="2" t="s">
        <v>49</v>
      </c>
      <c r="K996" s="2" t="s">
        <v>48</v>
      </c>
      <c r="L996">
        <v>1512.17</v>
      </c>
      <c r="M996">
        <v>3</v>
      </c>
      <c r="N996">
        <v>15.843999999999999</v>
      </c>
      <c r="O996">
        <v>6100231</v>
      </c>
      <c r="P996" s="2" t="s">
        <v>50</v>
      </c>
      <c r="Q996" s="2" t="s">
        <v>51</v>
      </c>
      <c r="R996" s="2" t="s">
        <v>30</v>
      </c>
      <c r="S996">
        <v>3</v>
      </c>
      <c r="T996" s="1">
        <v>43401</v>
      </c>
      <c r="U996" s="1">
        <v>43405</v>
      </c>
      <c r="V996" s="2"/>
      <c r="W996" s="1">
        <f>fNotasFiscais[[#This Row],[Data da Coleta]]+fNotasFiscais[[#This Row],[Prazo Contratado]]</f>
        <v>43404</v>
      </c>
      <c r="X996" s="3">
        <f>IF(fNotasFiscais[[#This Row],[Data da Entrega]]&gt;fNotasFiscais[[#This Row],[Data Contratada]],0,1)</f>
        <v>0</v>
      </c>
      <c r="Y996" s="3">
        <f>IF(fNotasFiscais[[#This Row],[Ocorrência]]="",1,0)</f>
        <v>1</v>
      </c>
      <c r="Z996" s="2">
        <f>fNotasFiscais[[#This Row],[On Time]]*fNotasFiscais[[#This Row],[In Full]]</f>
        <v>0</v>
      </c>
      <c r="AA996">
        <f>IF(fNotasFiscais[[#This Row],[Nota Fiscal]]&lt;&gt;"",1,0)</f>
        <v>1</v>
      </c>
    </row>
    <row r="997" spans="1:27" x14ac:dyDescent="0.25">
      <c r="A997" s="1">
        <v>43401</v>
      </c>
      <c r="B997">
        <v>11406</v>
      </c>
      <c r="C997" s="2" t="s">
        <v>54</v>
      </c>
      <c r="D997" s="2" t="s">
        <v>55</v>
      </c>
      <c r="E997" s="2" t="s">
        <v>56</v>
      </c>
      <c r="F997">
        <v>4049</v>
      </c>
      <c r="G997" s="2" t="s">
        <v>118</v>
      </c>
      <c r="H997" s="2" t="s">
        <v>97</v>
      </c>
      <c r="I997" s="2" t="s">
        <v>48</v>
      </c>
      <c r="J997" s="2" t="s">
        <v>49</v>
      </c>
      <c r="K997" s="2" t="s">
        <v>48</v>
      </c>
      <c r="L997">
        <v>1253.3800000000001</v>
      </c>
      <c r="M997">
        <v>5</v>
      </c>
      <c r="N997">
        <v>60.83</v>
      </c>
      <c r="O997">
        <v>6100231</v>
      </c>
      <c r="P997" s="2" t="s">
        <v>50</v>
      </c>
      <c r="Q997" s="2" t="s">
        <v>51</v>
      </c>
      <c r="R997" s="2" t="s">
        <v>30</v>
      </c>
      <c r="S997">
        <v>4</v>
      </c>
      <c r="T997" s="1">
        <v>43401</v>
      </c>
      <c r="U997" s="1">
        <v>43411</v>
      </c>
      <c r="V997" s="2"/>
      <c r="W997" s="1">
        <f>fNotasFiscais[[#This Row],[Data da Coleta]]+fNotasFiscais[[#This Row],[Prazo Contratado]]</f>
        <v>43405</v>
      </c>
      <c r="X997" s="3">
        <f>IF(fNotasFiscais[[#This Row],[Data da Entrega]]&gt;fNotasFiscais[[#This Row],[Data Contratada]],0,1)</f>
        <v>0</v>
      </c>
      <c r="Y997" s="3">
        <f>IF(fNotasFiscais[[#This Row],[Ocorrência]]="",1,0)</f>
        <v>1</v>
      </c>
      <c r="Z997" s="2">
        <f>fNotasFiscais[[#This Row],[On Time]]*fNotasFiscais[[#This Row],[In Full]]</f>
        <v>0</v>
      </c>
      <c r="AA997">
        <f>IF(fNotasFiscais[[#This Row],[Nota Fiscal]]&lt;&gt;"",1,0)</f>
        <v>1</v>
      </c>
    </row>
    <row r="998" spans="1:27" x14ac:dyDescent="0.25">
      <c r="A998" s="1">
        <v>43403</v>
      </c>
      <c r="B998">
        <v>11407</v>
      </c>
      <c r="C998" s="2" t="s">
        <v>52</v>
      </c>
      <c r="D998" s="2" t="s">
        <v>53</v>
      </c>
      <c r="E998" s="2" t="s">
        <v>33</v>
      </c>
      <c r="F998">
        <v>4023</v>
      </c>
      <c r="G998" s="2" t="s">
        <v>88</v>
      </c>
      <c r="H998" s="2" t="s">
        <v>78</v>
      </c>
      <c r="I998" s="2" t="s">
        <v>39</v>
      </c>
      <c r="J998" s="2" t="s">
        <v>28</v>
      </c>
      <c r="K998" s="2" t="s">
        <v>39</v>
      </c>
      <c r="L998">
        <v>233.4</v>
      </c>
      <c r="M998">
        <v>6</v>
      </c>
      <c r="N998">
        <v>53.811999999999998</v>
      </c>
      <c r="O998">
        <v>6500948</v>
      </c>
      <c r="P998" s="2" t="s">
        <v>29</v>
      </c>
      <c r="Q998" s="2" t="s">
        <v>23</v>
      </c>
      <c r="R998" s="2" t="s">
        <v>30</v>
      </c>
      <c r="S998">
        <v>7</v>
      </c>
      <c r="T998" s="1">
        <v>43403</v>
      </c>
      <c r="U998" s="1">
        <v>43405</v>
      </c>
      <c r="V998" s="2"/>
      <c r="W998" s="1">
        <f>fNotasFiscais[[#This Row],[Data da Coleta]]+fNotasFiscais[[#This Row],[Prazo Contratado]]</f>
        <v>43410</v>
      </c>
      <c r="X998" s="3">
        <f>IF(fNotasFiscais[[#This Row],[Data da Entrega]]&gt;fNotasFiscais[[#This Row],[Data Contratada]],0,1)</f>
        <v>1</v>
      </c>
      <c r="Y998" s="3">
        <f>IF(fNotasFiscais[[#This Row],[Ocorrência]]="",1,0)</f>
        <v>1</v>
      </c>
      <c r="Z998" s="2">
        <f>fNotasFiscais[[#This Row],[On Time]]*fNotasFiscais[[#This Row],[In Full]]</f>
        <v>1</v>
      </c>
      <c r="AA998">
        <f>IF(fNotasFiscais[[#This Row],[Nota Fiscal]]&lt;&gt;"",1,0)</f>
        <v>1</v>
      </c>
    </row>
    <row r="999" spans="1:27" x14ac:dyDescent="0.25">
      <c r="A999" s="1">
        <v>43403</v>
      </c>
      <c r="B999">
        <v>11408</v>
      </c>
      <c r="C999" s="2" t="s">
        <v>22</v>
      </c>
      <c r="D999" s="2" t="s">
        <v>23</v>
      </c>
      <c r="E999" s="2" t="s">
        <v>24</v>
      </c>
      <c r="F999">
        <v>4068</v>
      </c>
      <c r="G999" s="2" t="s">
        <v>63</v>
      </c>
      <c r="H999" s="2" t="s">
        <v>64</v>
      </c>
      <c r="I999" s="2" t="s">
        <v>65</v>
      </c>
      <c r="J999" s="2" t="s">
        <v>49</v>
      </c>
      <c r="K999" s="2" t="s">
        <v>65</v>
      </c>
      <c r="L999">
        <v>4051.63</v>
      </c>
      <c r="M999">
        <v>1</v>
      </c>
      <c r="N999">
        <v>1.1200000000000001</v>
      </c>
      <c r="O999">
        <v>6100231</v>
      </c>
      <c r="P999" s="2" t="s">
        <v>50</v>
      </c>
      <c r="Q999" s="2" t="s">
        <v>51</v>
      </c>
      <c r="R999" s="2" t="s">
        <v>30</v>
      </c>
      <c r="S999">
        <v>8</v>
      </c>
      <c r="T999" s="1">
        <v>43403</v>
      </c>
      <c r="U999" s="1">
        <v>43410</v>
      </c>
      <c r="V999" s="2"/>
      <c r="W999" s="1">
        <f>fNotasFiscais[[#This Row],[Data da Coleta]]+fNotasFiscais[[#This Row],[Prazo Contratado]]</f>
        <v>43411</v>
      </c>
      <c r="X999" s="3">
        <f>IF(fNotasFiscais[[#This Row],[Data da Entrega]]&gt;fNotasFiscais[[#This Row],[Data Contratada]],0,1)</f>
        <v>1</v>
      </c>
      <c r="Y999" s="3">
        <f>IF(fNotasFiscais[[#This Row],[Ocorrência]]="",1,0)</f>
        <v>1</v>
      </c>
      <c r="Z999" s="2">
        <f>fNotasFiscais[[#This Row],[On Time]]*fNotasFiscais[[#This Row],[In Full]]</f>
        <v>1</v>
      </c>
      <c r="AA999">
        <f>IF(fNotasFiscais[[#This Row],[Nota Fiscal]]&lt;&gt;"",1,0)</f>
        <v>1</v>
      </c>
    </row>
    <row r="1000" spans="1:27" x14ac:dyDescent="0.25">
      <c r="A1000" s="1">
        <v>43403</v>
      </c>
      <c r="B1000">
        <v>11409</v>
      </c>
      <c r="C1000" s="2" t="s">
        <v>40</v>
      </c>
      <c r="D1000" s="2" t="s">
        <v>41</v>
      </c>
      <c r="E1000" s="2" t="s">
        <v>33</v>
      </c>
      <c r="F1000">
        <v>4068</v>
      </c>
      <c r="G1000" s="2" t="s">
        <v>63</v>
      </c>
      <c r="H1000" s="2" t="s">
        <v>64</v>
      </c>
      <c r="I1000" s="2" t="s">
        <v>65</v>
      </c>
      <c r="J1000" s="2" t="s">
        <v>49</v>
      </c>
      <c r="K1000" s="2" t="s">
        <v>65</v>
      </c>
      <c r="L1000">
        <v>440.29</v>
      </c>
      <c r="M1000">
        <v>1</v>
      </c>
      <c r="N1000">
        <v>5.7640000000000002</v>
      </c>
      <c r="O1000">
        <v>6100231</v>
      </c>
      <c r="P1000" s="2" t="s">
        <v>50</v>
      </c>
      <c r="Q1000" s="2" t="s">
        <v>51</v>
      </c>
      <c r="R1000" s="2" t="s">
        <v>30</v>
      </c>
      <c r="S1000">
        <v>4</v>
      </c>
      <c r="T1000" s="1">
        <v>43403</v>
      </c>
      <c r="U1000" s="1">
        <v>43411</v>
      </c>
      <c r="V1000" s="2"/>
      <c r="W1000" s="1">
        <f>fNotasFiscais[[#This Row],[Data da Coleta]]+fNotasFiscais[[#This Row],[Prazo Contratado]]</f>
        <v>43407</v>
      </c>
      <c r="X1000" s="3">
        <f>IF(fNotasFiscais[[#This Row],[Data da Entrega]]&gt;fNotasFiscais[[#This Row],[Data Contratada]],0,1)</f>
        <v>0</v>
      </c>
      <c r="Y1000" s="3">
        <f>IF(fNotasFiscais[[#This Row],[Ocorrência]]="",1,0)</f>
        <v>1</v>
      </c>
      <c r="Z1000" s="2">
        <f>fNotasFiscais[[#This Row],[On Time]]*fNotasFiscais[[#This Row],[In Full]]</f>
        <v>0</v>
      </c>
      <c r="AA1000">
        <f>IF(fNotasFiscais[[#This Row],[Nota Fiscal]]&lt;&gt;"",1,0)</f>
        <v>1</v>
      </c>
    </row>
    <row r="1001" spans="1:27" x14ac:dyDescent="0.25">
      <c r="A1001" s="1">
        <v>43403</v>
      </c>
      <c r="B1001">
        <v>11410</v>
      </c>
      <c r="C1001" s="2" t="s">
        <v>22</v>
      </c>
      <c r="D1001" s="2" t="s">
        <v>23</v>
      </c>
      <c r="E1001" s="2" t="s">
        <v>24</v>
      </c>
      <c r="F1001">
        <v>4068</v>
      </c>
      <c r="G1001" s="2" t="s">
        <v>63</v>
      </c>
      <c r="H1001" s="2" t="s">
        <v>64</v>
      </c>
      <c r="I1001" s="2" t="s">
        <v>65</v>
      </c>
      <c r="J1001" s="2" t="s">
        <v>49</v>
      </c>
      <c r="K1001" s="2" t="s">
        <v>65</v>
      </c>
      <c r="L1001">
        <v>1261.6600000000001</v>
      </c>
      <c r="M1001">
        <v>2</v>
      </c>
      <c r="N1001">
        <v>11.000999999999999</v>
      </c>
      <c r="O1001">
        <v>6100231</v>
      </c>
      <c r="P1001" s="2" t="s">
        <v>50</v>
      </c>
      <c r="Q1001" s="2" t="s">
        <v>51</v>
      </c>
      <c r="R1001" s="2" t="s">
        <v>30</v>
      </c>
      <c r="S1001">
        <v>6</v>
      </c>
      <c r="T1001" s="1">
        <v>43403</v>
      </c>
      <c r="U1001" s="1">
        <v>43410</v>
      </c>
      <c r="V1001" s="2"/>
      <c r="W1001" s="1">
        <f>fNotasFiscais[[#This Row],[Data da Coleta]]+fNotasFiscais[[#This Row],[Prazo Contratado]]</f>
        <v>43409</v>
      </c>
      <c r="X1001" s="3">
        <f>IF(fNotasFiscais[[#This Row],[Data da Entrega]]&gt;fNotasFiscais[[#This Row],[Data Contratada]],0,1)</f>
        <v>0</v>
      </c>
      <c r="Y1001" s="3">
        <f>IF(fNotasFiscais[[#This Row],[Ocorrência]]="",1,0)</f>
        <v>1</v>
      </c>
      <c r="Z1001" s="2">
        <f>fNotasFiscais[[#This Row],[On Time]]*fNotasFiscais[[#This Row],[In Full]]</f>
        <v>0</v>
      </c>
      <c r="AA1001">
        <f>IF(fNotasFiscais[[#This Row],[Nota Fiscal]]&lt;&gt;"",1,0)</f>
        <v>1</v>
      </c>
    </row>
    <row r="1002" spans="1:27" x14ac:dyDescent="0.25">
      <c r="A1002" s="1">
        <v>43403</v>
      </c>
      <c r="B1002">
        <v>11411</v>
      </c>
      <c r="C1002" s="2" t="s">
        <v>22</v>
      </c>
      <c r="D1002" s="2" t="s">
        <v>23</v>
      </c>
      <c r="E1002" s="2" t="s">
        <v>24</v>
      </c>
      <c r="F1002">
        <v>4018</v>
      </c>
      <c r="G1002" s="2" t="s">
        <v>77</v>
      </c>
      <c r="H1002" s="2" t="s">
        <v>78</v>
      </c>
      <c r="I1002" s="2" t="s">
        <v>39</v>
      </c>
      <c r="J1002" s="2" t="s">
        <v>28</v>
      </c>
      <c r="K1002" s="2" t="s">
        <v>39</v>
      </c>
      <c r="L1002">
        <v>2040.38</v>
      </c>
      <c r="M1002">
        <v>4</v>
      </c>
      <c r="N1002">
        <v>10.183999999999999</v>
      </c>
      <c r="O1002">
        <v>6500948</v>
      </c>
      <c r="P1002" s="2" t="s">
        <v>29</v>
      </c>
      <c r="Q1002" s="2" t="s">
        <v>23</v>
      </c>
      <c r="R1002" s="2" t="s">
        <v>30</v>
      </c>
      <c r="S1002">
        <v>5</v>
      </c>
      <c r="T1002" s="1">
        <v>43403</v>
      </c>
      <c r="U1002" s="1">
        <v>43405</v>
      </c>
      <c r="V1002" s="2"/>
      <c r="W1002" s="1">
        <f>fNotasFiscais[[#This Row],[Data da Coleta]]+fNotasFiscais[[#This Row],[Prazo Contratado]]</f>
        <v>43408</v>
      </c>
      <c r="X1002" s="3">
        <f>IF(fNotasFiscais[[#This Row],[Data da Entrega]]&gt;fNotasFiscais[[#This Row],[Data Contratada]],0,1)</f>
        <v>1</v>
      </c>
      <c r="Y1002" s="3">
        <f>IF(fNotasFiscais[[#This Row],[Ocorrência]]="",1,0)</f>
        <v>1</v>
      </c>
      <c r="Z1002" s="2">
        <f>fNotasFiscais[[#This Row],[On Time]]*fNotasFiscais[[#This Row],[In Full]]</f>
        <v>1</v>
      </c>
      <c r="AA1002">
        <f>IF(fNotasFiscais[[#This Row],[Nota Fiscal]]&lt;&gt;"",1,0)</f>
        <v>1</v>
      </c>
    </row>
    <row r="1003" spans="1:27" x14ac:dyDescent="0.25">
      <c r="A1003" s="1">
        <v>43403</v>
      </c>
      <c r="B1003">
        <v>11412</v>
      </c>
      <c r="C1003" s="2" t="s">
        <v>52</v>
      </c>
      <c r="D1003" s="2" t="s">
        <v>53</v>
      </c>
      <c r="E1003" s="2" t="s">
        <v>33</v>
      </c>
      <c r="F1003">
        <v>4045</v>
      </c>
      <c r="G1003" s="2" t="s">
        <v>124</v>
      </c>
      <c r="H1003" s="2" t="s">
        <v>35</v>
      </c>
      <c r="I1003" s="2" t="s">
        <v>36</v>
      </c>
      <c r="J1003" s="2" t="s">
        <v>60</v>
      </c>
      <c r="K1003" s="2" t="s">
        <v>36</v>
      </c>
      <c r="L1003">
        <v>9026.23</v>
      </c>
      <c r="M1003">
        <v>15</v>
      </c>
      <c r="N1003">
        <v>64.629000000000005</v>
      </c>
      <c r="O1003">
        <v>6600879</v>
      </c>
      <c r="P1003" s="2" t="s">
        <v>61</v>
      </c>
      <c r="Q1003" s="2" t="s">
        <v>35</v>
      </c>
      <c r="R1003" s="2" t="s">
        <v>30</v>
      </c>
      <c r="S1003">
        <v>3</v>
      </c>
      <c r="T1003" s="1">
        <v>43403</v>
      </c>
      <c r="U1003" s="1">
        <v>43406</v>
      </c>
      <c r="V1003" s="2"/>
      <c r="W1003" s="1">
        <f>fNotasFiscais[[#This Row],[Data da Coleta]]+fNotasFiscais[[#This Row],[Prazo Contratado]]</f>
        <v>43406</v>
      </c>
      <c r="X1003" s="3">
        <f>IF(fNotasFiscais[[#This Row],[Data da Entrega]]&gt;fNotasFiscais[[#This Row],[Data Contratada]],0,1)</f>
        <v>1</v>
      </c>
      <c r="Y1003" s="3">
        <f>IF(fNotasFiscais[[#This Row],[Ocorrência]]="",1,0)</f>
        <v>1</v>
      </c>
      <c r="Z1003" s="2">
        <f>fNotasFiscais[[#This Row],[On Time]]*fNotasFiscais[[#This Row],[In Full]]</f>
        <v>1</v>
      </c>
      <c r="AA1003">
        <f>IF(fNotasFiscais[[#This Row],[Nota Fiscal]]&lt;&gt;"",1,0)</f>
        <v>1</v>
      </c>
    </row>
    <row r="1004" spans="1:27" x14ac:dyDescent="0.25">
      <c r="A1004" s="1">
        <v>43403</v>
      </c>
      <c r="B1004">
        <v>11413</v>
      </c>
      <c r="C1004" s="2" t="s">
        <v>31</v>
      </c>
      <c r="D1004" s="2" t="s">
        <v>32</v>
      </c>
      <c r="E1004" s="2" t="s">
        <v>33</v>
      </c>
      <c r="F1004">
        <v>4035</v>
      </c>
      <c r="G1004" s="2" t="s">
        <v>111</v>
      </c>
      <c r="H1004" s="2" t="s">
        <v>47</v>
      </c>
      <c r="I1004" s="2" t="s">
        <v>48</v>
      </c>
      <c r="J1004" s="2" t="s">
        <v>49</v>
      </c>
      <c r="K1004" s="2" t="s">
        <v>48</v>
      </c>
      <c r="L1004">
        <v>423.03</v>
      </c>
      <c r="M1004">
        <v>1</v>
      </c>
      <c r="N1004">
        <v>0.749</v>
      </c>
      <c r="O1004">
        <v>6100231</v>
      </c>
      <c r="P1004" s="2" t="s">
        <v>50</v>
      </c>
      <c r="Q1004" s="2" t="s">
        <v>51</v>
      </c>
      <c r="R1004" s="2" t="s">
        <v>30</v>
      </c>
      <c r="S1004">
        <v>1</v>
      </c>
      <c r="T1004" s="1">
        <v>43403</v>
      </c>
      <c r="U1004" s="1">
        <v>43404</v>
      </c>
      <c r="V1004" s="2"/>
      <c r="W1004" s="1">
        <f>fNotasFiscais[[#This Row],[Data da Coleta]]+fNotasFiscais[[#This Row],[Prazo Contratado]]</f>
        <v>43404</v>
      </c>
      <c r="X1004" s="3">
        <f>IF(fNotasFiscais[[#This Row],[Data da Entrega]]&gt;fNotasFiscais[[#This Row],[Data Contratada]],0,1)</f>
        <v>1</v>
      </c>
      <c r="Y1004" s="3">
        <f>IF(fNotasFiscais[[#This Row],[Ocorrência]]="",1,0)</f>
        <v>1</v>
      </c>
      <c r="Z1004" s="2">
        <f>fNotasFiscais[[#This Row],[On Time]]*fNotasFiscais[[#This Row],[In Full]]</f>
        <v>1</v>
      </c>
      <c r="AA1004">
        <f>IF(fNotasFiscais[[#This Row],[Nota Fiscal]]&lt;&gt;"",1,0)</f>
        <v>1</v>
      </c>
    </row>
    <row r="1005" spans="1:27" x14ac:dyDescent="0.25">
      <c r="A1005" s="1">
        <v>43403</v>
      </c>
      <c r="B1005">
        <v>11414</v>
      </c>
      <c r="C1005" s="2" t="s">
        <v>40</v>
      </c>
      <c r="D1005" s="2" t="s">
        <v>41</v>
      </c>
      <c r="E1005" s="2" t="s">
        <v>33</v>
      </c>
      <c r="F1005">
        <v>4032</v>
      </c>
      <c r="G1005" s="2" t="s">
        <v>108</v>
      </c>
      <c r="H1005" s="2" t="s">
        <v>51</v>
      </c>
      <c r="I1005" s="2" t="s">
        <v>73</v>
      </c>
      <c r="J1005" s="2" t="s">
        <v>49</v>
      </c>
      <c r="K1005" s="2" t="s">
        <v>73</v>
      </c>
      <c r="L1005">
        <v>2183.73</v>
      </c>
      <c r="M1005">
        <v>3</v>
      </c>
      <c r="N1005">
        <v>9.9039999999999999</v>
      </c>
      <c r="O1005">
        <v>6100231</v>
      </c>
      <c r="P1005" s="2" t="s">
        <v>50</v>
      </c>
      <c r="Q1005" s="2" t="s">
        <v>51</v>
      </c>
      <c r="R1005" s="2" t="s">
        <v>30</v>
      </c>
      <c r="S1005">
        <v>3</v>
      </c>
      <c r="T1005" s="1">
        <v>43403</v>
      </c>
      <c r="U1005" s="1">
        <v>43411</v>
      </c>
      <c r="V1005" s="2"/>
      <c r="W1005" s="1">
        <f>fNotasFiscais[[#This Row],[Data da Coleta]]+fNotasFiscais[[#This Row],[Prazo Contratado]]</f>
        <v>43406</v>
      </c>
      <c r="X1005" s="3">
        <f>IF(fNotasFiscais[[#This Row],[Data da Entrega]]&gt;fNotasFiscais[[#This Row],[Data Contratada]],0,1)</f>
        <v>0</v>
      </c>
      <c r="Y1005" s="3">
        <f>IF(fNotasFiscais[[#This Row],[Ocorrência]]="",1,0)</f>
        <v>1</v>
      </c>
      <c r="Z1005" s="2">
        <f>fNotasFiscais[[#This Row],[On Time]]*fNotasFiscais[[#This Row],[In Full]]</f>
        <v>0</v>
      </c>
      <c r="AA1005">
        <f>IF(fNotasFiscais[[#This Row],[Nota Fiscal]]&lt;&gt;"",1,0)</f>
        <v>1</v>
      </c>
    </row>
    <row r="1006" spans="1:27" x14ac:dyDescent="0.25">
      <c r="A1006" s="1">
        <v>43403</v>
      </c>
      <c r="B1006">
        <v>11415</v>
      </c>
      <c r="C1006" s="2" t="s">
        <v>40</v>
      </c>
      <c r="D1006" s="2" t="s">
        <v>41</v>
      </c>
      <c r="E1006" s="2" t="s">
        <v>33</v>
      </c>
      <c r="F1006">
        <v>4045</v>
      </c>
      <c r="G1006" s="2" t="s">
        <v>124</v>
      </c>
      <c r="H1006" s="2" t="s">
        <v>35</v>
      </c>
      <c r="I1006" s="2" t="s">
        <v>36</v>
      </c>
      <c r="J1006" s="2" t="s">
        <v>60</v>
      </c>
      <c r="K1006" s="2" t="s">
        <v>36</v>
      </c>
      <c r="L1006">
        <v>322.8</v>
      </c>
      <c r="M1006">
        <v>1</v>
      </c>
      <c r="N1006">
        <v>4.4039999999999999</v>
      </c>
      <c r="O1006">
        <v>6600879</v>
      </c>
      <c r="P1006" s="2" t="s">
        <v>61</v>
      </c>
      <c r="Q1006" s="2" t="s">
        <v>35</v>
      </c>
      <c r="R1006" s="2" t="s">
        <v>30</v>
      </c>
      <c r="S1006">
        <v>11</v>
      </c>
      <c r="T1006" s="1">
        <v>43403</v>
      </c>
      <c r="U1006" s="1">
        <v>43412</v>
      </c>
      <c r="V1006" s="2"/>
      <c r="W1006" s="1">
        <f>fNotasFiscais[[#This Row],[Data da Coleta]]+fNotasFiscais[[#This Row],[Prazo Contratado]]</f>
        <v>43414</v>
      </c>
      <c r="X1006" s="3">
        <f>IF(fNotasFiscais[[#This Row],[Data da Entrega]]&gt;fNotasFiscais[[#This Row],[Data Contratada]],0,1)</f>
        <v>1</v>
      </c>
      <c r="Y1006" s="3">
        <f>IF(fNotasFiscais[[#This Row],[Ocorrência]]="",1,0)</f>
        <v>1</v>
      </c>
      <c r="Z1006" s="2">
        <f>fNotasFiscais[[#This Row],[On Time]]*fNotasFiscais[[#This Row],[In Full]]</f>
        <v>1</v>
      </c>
      <c r="AA1006">
        <f>IF(fNotasFiscais[[#This Row],[Nota Fiscal]]&lt;&gt;"",1,0)</f>
        <v>1</v>
      </c>
    </row>
    <row r="1007" spans="1:27" x14ac:dyDescent="0.25">
      <c r="A1007" s="1">
        <v>43403</v>
      </c>
      <c r="B1007">
        <v>11416</v>
      </c>
      <c r="C1007" s="2" t="s">
        <v>34</v>
      </c>
      <c r="D1007" s="2" t="s">
        <v>35</v>
      </c>
      <c r="E1007" s="2" t="s">
        <v>36</v>
      </c>
      <c r="F1007">
        <v>4035</v>
      </c>
      <c r="G1007" s="2" t="s">
        <v>111</v>
      </c>
      <c r="H1007" s="2" t="s">
        <v>47</v>
      </c>
      <c r="I1007" s="2" t="s">
        <v>48</v>
      </c>
      <c r="J1007" s="2" t="s">
        <v>49</v>
      </c>
      <c r="K1007" s="2" t="s">
        <v>48</v>
      </c>
      <c r="L1007">
        <v>1628.88</v>
      </c>
      <c r="M1007">
        <v>3</v>
      </c>
      <c r="N1007">
        <v>15.417999999999999</v>
      </c>
      <c r="O1007">
        <v>6100231</v>
      </c>
      <c r="P1007" s="2" t="s">
        <v>50</v>
      </c>
      <c r="Q1007" s="2" t="s">
        <v>51</v>
      </c>
      <c r="R1007" s="2" t="s">
        <v>30</v>
      </c>
      <c r="S1007">
        <v>1</v>
      </c>
      <c r="T1007" s="1">
        <v>43403</v>
      </c>
      <c r="U1007" s="1">
        <v>43406</v>
      </c>
      <c r="V1007" s="2"/>
      <c r="W1007" s="1">
        <f>fNotasFiscais[[#This Row],[Data da Coleta]]+fNotasFiscais[[#This Row],[Prazo Contratado]]</f>
        <v>43404</v>
      </c>
      <c r="X1007" s="3">
        <f>IF(fNotasFiscais[[#This Row],[Data da Entrega]]&gt;fNotasFiscais[[#This Row],[Data Contratada]],0,1)</f>
        <v>0</v>
      </c>
      <c r="Y1007" s="3">
        <f>IF(fNotasFiscais[[#This Row],[Ocorrência]]="",1,0)</f>
        <v>1</v>
      </c>
      <c r="Z1007" s="2">
        <f>fNotasFiscais[[#This Row],[On Time]]*fNotasFiscais[[#This Row],[In Full]]</f>
        <v>0</v>
      </c>
      <c r="AA1007">
        <f>IF(fNotasFiscais[[#This Row],[Nota Fiscal]]&lt;&gt;"",1,0)</f>
        <v>1</v>
      </c>
    </row>
    <row r="1008" spans="1:27" x14ac:dyDescent="0.25">
      <c r="A1008" s="1">
        <v>43403</v>
      </c>
      <c r="B1008">
        <v>11417</v>
      </c>
      <c r="C1008" s="2" t="s">
        <v>40</v>
      </c>
      <c r="D1008" s="2" t="s">
        <v>41</v>
      </c>
      <c r="E1008" s="2" t="s">
        <v>33</v>
      </c>
      <c r="F1008">
        <v>4035</v>
      </c>
      <c r="G1008" s="2" t="s">
        <v>111</v>
      </c>
      <c r="H1008" s="2" t="s">
        <v>47</v>
      </c>
      <c r="I1008" s="2" t="s">
        <v>48</v>
      </c>
      <c r="J1008" s="2" t="s">
        <v>49</v>
      </c>
      <c r="K1008" s="2" t="s">
        <v>48</v>
      </c>
      <c r="L1008">
        <v>3103.66</v>
      </c>
      <c r="M1008">
        <v>2</v>
      </c>
      <c r="N1008">
        <v>11.978999999999999</v>
      </c>
      <c r="O1008">
        <v>6100231</v>
      </c>
      <c r="P1008" s="2" t="s">
        <v>50</v>
      </c>
      <c r="Q1008" s="2" t="s">
        <v>51</v>
      </c>
      <c r="R1008" s="2" t="s">
        <v>30</v>
      </c>
      <c r="S1008">
        <v>5</v>
      </c>
      <c r="T1008" s="1">
        <v>43403</v>
      </c>
      <c r="U1008" s="1">
        <v>43405</v>
      </c>
      <c r="V1008" s="2" t="s">
        <v>57</v>
      </c>
      <c r="W1008" s="1">
        <f>fNotasFiscais[[#This Row],[Data da Coleta]]+fNotasFiscais[[#This Row],[Prazo Contratado]]</f>
        <v>43408</v>
      </c>
      <c r="X1008" s="3">
        <f>IF(fNotasFiscais[[#This Row],[Data da Entrega]]&gt;fNotasFiscais[[#This Row],[Data Contratada]],0,1)</f>
        <v>1</v>
      </c>
      <c r="Y1008" s="3">
        <f>IF(fNotasFiscais[[#This Row],[Ocorrência]]="",1,0)</f>
        <v>0</v>
      </c>
      <c r="Z1008" s="2">
        <f>fNotasFiscais[[#This Row],[On Time]]*fNotasFiscais[[#This Row],[In Full]]</f>
        <v>0</v>
      </c>
      <c r="AA1008">
        <f>IF(fNotasFiscais[[#This Row],[Nota Fiscal]]&lt;&gt;"",1,0)</f>
        <v>1</v>
      </c>
    </row>
    <row r="1009" spans="1:27" x14ac:dyDescent="0.25">
      <c r="A1009" s="1">
        <v>43403</v>
      </c>
      <c r="B1009">
        <v>11418</v>
      </c>
      <c r="C1009" s="2" t="s">
        <v>40</v>
      </c>
      <c r="D1009" s="2" t="s">
        <v>41</v>
      </c>
      <c r="E1009" s="2" t="s">
        <v>33</v>
      </c>
      <c r="F1009">
        <v>4045</v>
      </c>
      <c r="G1009" s="2" t="s">
        <v>124</v>
      </c>
      <c r="H1009" s="2" t="s">
        <v>35</v>
      </c>
      <c r="I1009" s="2" t="s">
        <v>36</v>
      </c>
      <c r="J1009" s="2" t="s">
        <v>60</v>
      </c>
      <c r="K1009" s="2" t="s">
        <v>36</v>
      </c>
      <c r="L1009">
        <v>631.79999999999995</v>
      </c>
      <c r="M1009">
        <v>2</v>
      </c>
      <c r="N1009">
        <v>4.4039999999999999</v>
      </c>
      <c r="O1009">
        <v>6600879</v>
      </c>
      <c r="P1009" s="2" t="s">
        <v>61</v>
      </c>
      <c r="Q1009" s="2" t="s">
        <v>35</v>
      </c>
      <c r="R1009" s="2" t="s">
        <v>30</v>
      </c>
      <c r="S1009">
        <v>1</v>
      </c>
      <c r="T1009" s="1">
        <v>43403</v>
      </c>
      <c r="U1009" s="1">
        <v>43412</v>
      </c>
      <c r="V1009" s="2"/>
      <c r="W1009" s="1">
        <f>fNotasFiscais[[#This Row],[Data da Coleta]]+fNotasFiscais[[#This Row],[Prazo Contratado]]</f>
        <v>43404</v>
      </c>
      <c r="X1009" s="3">
        <f>IF(fNotasFiscais[[#This Row],[Data da Entrega]]&gt;fNotasFiscais[[#This Row],[Data Contratada]],0,1)</f>
        <v>0</v>
      </c>
      <c r="Y1009" s="3">
        <f>IF(fNotasFiscais[[#This Row],[Ocorrência]]="",1,0)</f>
        <v>1</v>
      </c>
      <c r="Z1009" s="2">
        <f>fNotasFiscais[[#This Row],[On Time]]*fNotasFiscais[[#This Row],[In Full]]</f>
        <v>0</v>
      </c>
      <c r="AA1009">
        <f>IF(fNotasFiscais[[#This Row],[Nota Fiscal]]&lt;&gt;"",1,0)</f>
        <v>1</v>
      </c>
    </row>
    <row r="1010" spans="1:27" x14ac:dyDescent="0.25">
      <c r="A1010" s="1">
        <v>43404</v>
      </c>
      <c r="B1010">
        <v>11419</v>
      </c>
      <c r="C1010" s="2" t="s">
        <v>31</v>
      </c>
      <c r="D1010" s="2" t="s">
        <v>32</v>
      </c>
      <c r="E1010" s="2" t="s">
        <v>33</v>
      </c>
      <c r="F1010">
        <v>4069</v>
      </c>
      <c r="G1010" s="2" t="s">
        <v>135</v>
      </c>
      <c r="H1010" s="2" t="s">
        <v>47</v>
      </c>
      <c r="I1010" s="2" t="s">
        <v>48</v>
      </c>
      <c r="J1010" s="2" t="s">
        <v>49</v>
      </c>
      <c r="K1010" s="2" t="s">
        <v>48</v>
      </c>
      <c r="L1010">
        <v>3333.48</v>
      </c>
      <c r="M1010">
        <v>5</v>
      </c>
      <c r="N1010">
        <v>16.196000000000002</v>
      </c>
      <c r="O1010">
        <v>6100231</v>
      </c>
      <c r="P1010" s="2" t="s">
        <v>50</v>
      </c>
      <c r="Q1010" s="2" t="s">
        <v>51</v>
      </c>
      <c r="R1010" s="2" t="s">
        <v>30</v>
      </c>
      <c r="S1010">
        <v>9</v>
      </c>
      <c r="T1010" s="1">
        <v>43404</v>
      </c>
      <c r="U1010" s="1">
        <v>43407</v>
      </c>
      <c r="V1010" s="2"/>
      <c r="W1010" s="1">
        <f>fNotasFiscais[[#This Row],[Data da Coleta]]+fNotasFiscais[[#This Row],[Prazo Contratado]]</f>
        <v>43413</v>
      </c>
      <c r="X1010" s="3">
        <f>IF(fNotasFiscais[[#This Row],[Data da Entrega]]&gt;fNotasFiscais[[#This Row],[Data Contratada]],0,1)</f>
        <v>1</v>
      </c>
      <c r="Y1010" s="3">
        <f>IF(fNotasFiscais[[#This Row],[Ocorrência]]="",1,0)</f>
        <v>1</v>
      </c>
      <c r="Z1010" s="2">
        <f>fNotasFiscais[[#This Row],[On Time]]*fNotasFiscais[[#This Row],[In Full]]</f>
        <v>1</v>
      </c>
      <c r="AA1010">
        <f>IF(fNotasFiscais[[#This Row],[Nota Fiscal]]&lt;&gt;"",1,0)</f>
        <v>1</v>
      </c>
    </row>
    <row r="1011" spans="1:27" x14ac:dyDescent="0.25">
      <c r="A1011" s="1">
        <v>43404</v>
      </c>
      <c r="B1011">
        <v>11420</v>
      </c>
      <c r="C1011" s="2" t="s">
        <v>31</v>
      </c>
      <c r="D1011" s="2" t="s">
        <v>32</v>
      </c>
      <c r="E1011" s="2" t="s">
        <v>33</v>
      </c>
      <c r="F1011">
        <v>4013</v>
      </c>
      <c r="G1011" s="2" t="s">
        <v>37</v>
      </c>
      <c r="H1011" s="2" t="s">
        <v>38</v>
      </c>
      <c r="I1011" s="2" t="s">
        <v>39</v>
      </c>
      <c r="J1011" s="2" t="s">
        <v>28</v>
      </c>
      <c r="K1011" s="2" t="s">
        <v>39</v>
      </c>
      <c r="L1011">
        <v>9097.99</v>
      </c>
      <c r="M1011">
        <v>9</v>
      </c>
      <c r="N1011">
        <v>51.81</v>
      </c>
      <c r="O1011">
        <v>6500948</v>
      </c>
      <c r="P1011" s="2" t="s">
        <v>29</v>
      </c>
      <c r="Q1011" s="2" t="s">
        <v>23</v>
      </c>
      <c r="R1011" s="2" t="s">
        <v>30</v>
      </c>
      <c r="S1011">
        <v>8</v>
      </c>
      <c r="T1011" s="1">
        <v>43404</v>
      </c>
      <c r="U1011" s="1">
        <v>43410</v>
      </c>
      <c r="V1011" s="2"/>
      <c r="W1011" s="1">
        <f>fNotasFiscais[[#This Row],[Data da Coleta]]+fNotasFiscais[[#This Row],[Prazo Contratado]]</f>
        <v>43412</v>
      </c>
      <c r="X1011" s="3">
        <f>IF(fNotasFiscais[[#This Row],[Data da Entrega]]&gt;fNotasFiscais[[#This Row],[Data Contratada]],0,1)</f>
        <v>1</v>
      </c>
      <c r="Y1011" s="3">
        <f>IF(fNotasFiscais[[#This Row],[Ocorrência]]="",1,0)</f>
        <v>1</v>
      </c>
      <c r="Z1011" s="2">
        <f>fNotasFiscais[[#This Row],[On Time]]*fNotasFiscais[[#This Row],[In Full]]</f>
        <v>1</v>
      </c>
      <c r="AA1011">
        <f>IF(fNotasFiscais[[#This Row],[Nota Fiscal]]&lt;&gt;"",1,0)</f>
        <v>1</v>
      </c>
    </row>
    <row r="1012" spans="1:27" x14ac:dyDescent="0.25">
      <c r="A1012" s="1">
        <v>43404</v>
      </c>
      <c r="B1012">
        <v>11421</v>
      </c>
      <c r="C1012" s="2" t="s">
        <v>34</v>
      </c>
      <c r="D1012" s="2" t="s">
        <v>35</v>
      </c>
      <c r="E1012" s="2" t="s">
        <v>36</v>
      </c>
      <c r="F1012">
        <v>4056</v>
      </c>
      <c r="G1012" s="2" t="s">
        <v>119</v>
      </c>
      <c r="H1012" s="2" t="s">
        <v>51</v>
      </c>
      <c r="I1012" s="2" t="s">
        <v>73</v>
      </c>
      <c r="J1012" s="2" t="s">
        <v>49</v>
      </c>
      <c r="K1012" s="2" t="s">
        <v>73</v>
      </c>
      <c r="L1012">
        <v>1044.3900000000001</v>
      </c>
      <c r="M1012">
        <v>5</v>
      </c>
      <c r="N1012">
        <v>70.884</v>
      </c>
      <c r="O1012">
        <v>6100231</v>
      </c>
      <c r="P1012" s="2" t="s">
        <v>50</v>
      </c>
      <c r="Q1012" s="2" t="s">
        <v>51</v>
      </c>
      <c r="R1012" s="2" t="s">
        <v>30</v>
      </c>
      <c r="S1012">
        <v>4</v>
      </c>
      <c r="T1012" s="1">
        <v>43404</v>
      </c>
      <c r="U1012" s="1">
        <v>43409</v>
      </c>
      <c r="V1012" s="2"/>
      <c r="W1012" s="1">
        <f>fNotasFiscais[[#This Row],[Data da Coleta]]+fNotasFiscais[[#This Row],[Prazo Contratado]]</f>
        <v>43408</v>
      </c>
      <c r="X1012" s="3">
        <f>IF(fNotasFiscais[[#This Row],[Data da Entrega]]&gt;fNotasFiscais[[#This Row],[Data Contratada]],0,1)</f>
        <v>0</v>
      </c>
      <c r="Y1012" s="3">
        <f>IF(fNotasFiscais[[#This Row],[Ocorrência]]="",1,0)</f>
        <v>1</v>
      </c>
      <c r="Z1012" s="2">
        <f>fNotasFiscais[[#This Row],[On Time]]*fNotasFiscais[[#This Row],[In Full]]</f>
        <v>0</v>
      </c>
      <c r="AA1012">
        <f>IF(fNotasFiscais[[#This Row],[Nota Fiscal]]&lt;&gt;"",1,0)</f>
        <v>1</v>
      </c>
    </row>
    <row r="1013" spans="1:27" x14ac:dyDescent="0.25">
      <c r="A1013" s="1">
        <v>43404</v>
      </c>
      <c r="B1013">
        <v>11422</v>
      </c>
      <c r="C1013" s="2" t="s">
        <v>22</v>
      </c>
      <c r="D1013" s="2" t="s">
        <v>23</v>
      </c>
      <c r="E1013" s="2" t="s">
        <v>24</v>
      </c>
      <c r="F1013">
        <v>4056</v>
      </c>
      <c r="G1013" s="2" t="s">
        <v>119</v>
      </c>
      <c r="H1013" s="2" t="s">
        <v>51</v>
      </c>
      <c r="I1013" s="2" t="s">
        <v>73</v>
      </c>
      <c r="J1013" s="2" t="s">
        <v>49</v>
      </c>
      <c r="K1013" s="2" t="s">
        <v>73</v>
      </c>
      <c r="L1013">
        <v>1594.28</v>
      </c>
      <c r="M1013">
        <v>1</v>
      </c>
      <c r="N1013">
        <v>1.1200000000000001</v>
      </c>
      <c r="O1013">
        <v>6100231</v>
      </c>
      <c r="P1013" s="2" t="s">
        <v>50</v>
      </c>
      <c r="Q1013" s="2" t="s">
        <v>51</v>
      </c>
      <c r="R1013" s="2" t="s">
        <v>30</v>
      </c>
      <c r="S1013">
        <v>1</v>
      </c>
      <c r="T1013" s="1">
        <v>43404</v>
      </c>
      <c r="U1013" s="1">
        <v>43409</v>
      </c>
      <c r="V1013" s="2"/>
      <c r="W1013" s="1">
        <f>fNotasFiscais[[#This Row],[Data da Coleta]]+fNotasFiscais[[#This Row],[Prazo Contratado]]</f>
        <v>43405</v>
      </c>
      <c r="X1013" s="3">
        <f>IF(fNotasFiscais[[#This Row],[Data da Entrega]]&gt;fNotasFiscais[[#This Row],[Data Contratada]],0,1)</f>
        <v>0</v>
      </c>
      <c r="Y1013" s="3">
        <f>IF(fNotasFiscais[[#This Row],[Ocorrência]]="",1,0)</f>
        <v>1</v>
      </c>
      <c r="Z1013" s="2">
        <f>fNotasFiscais[[#This Row],[On Time]]*fNotasFiscais[[#This Row],[In Full]]</f>
        <v>0</v>
      </c>
      <c r="AA1013">
        <f>IF(fNotasFiscais[[#This Row],[Nota Fiscal]]&lt;&gt;"",1,0)</f>
        <v>1</v>
      </c>
    </row>
    <row r="1014" spans="1:27" x14ac:dyDescent="0.25">
      <c r="A1014" s="1">
        <v>43404</v>
      </c>
      <c r="B1014">
        <v>11423</v>
      </c>
      <c r="C1014" s="2" t="s">
        <v>52</v>
      </c>
      <c r="D1014" s="2" t="s">
        <v>53</v>
      </c>
      <c r="E1014" s="2" t="s">
        <v>33</v>
      </c>
      <c r="F1014">
        <v>4056</v>
      </c>
      <c r="G1014" s="2" t="s">
        <v>119</v>
      </c>
      <c r="H1014" s="2" t="s">
        <v>51</v>
      </c>
      <c r="I1014" s="2" t="s">
        <v>73</v>
      </c>
      <c r="J1014" s="2" t="s">
        <v>49</v>
      </c>
      <c r="K1014" s="2" t="s">
        <v>73</v>
      </c>
      <c r="L1014">
        <v>8954.74</v>
      </c>
      <c r="M1014">
        <v>28</v>
      </c>
      <c r="N1014">
        <v>82.433999999999997</v>
      </c>
      <c r="O1014">
        <v>6100231</v>
      </c>
      <c r="P1014" s="2" t="s">
        <v>50</v>
      </c>
      <c r="Q1014" s="2" t="s">
        <v>51</v>
      </c>
      <c r="R1014" s="2" t="s">
        <v>30</v>
      </c>
      <c r="S1014">
        <v>8</v>
      </c>
      <c r="T1014" s="1">
        <v>43404</v>
      </c>
      <c r="U1014" s="1">
        <v>43409</v>
      </c>
      <c r="V1014" s="2"/>
      <c r="W1014" s="1">
        <f>fNotasFiscais[[#This Row],[Data da Coleta]]+fNotasFiscais[[#This Row],[Prazo Contratado]]</f>
        <v>43412</v>
      </c>
      <c r="X1014" s="3">
        <f>IF(fNotasFiscais[[#This Row],[Data da Entrega]]&gt;fNotasFiscais[[#This Row],[Data Contratada]],0,1)</f>
        <v>1</v>
      </c>
      <c r="Y1014" s="3">
        <f>IF(fNotasFiscais[[#This Row],[Ocorrência]]="",1,0)</f>
        <v>1</v>
      </c>
      <c r="Z1014" s="2">
        <f>fNotasFiscais[[#This Row],[On Time]]*fNotasFiscais[[#This Row],[In Full]]</f>
        <v>1</v>
      </c>
      <c r="AA1014">
        <f>IF(fNotasFiscais[[#This Row],[Nota Fiscal]]&lt;&gt;"",1,0)</f>
        <v>1</v>
      </c>
    </row>
    <row r="1015" spans="1:27" x14ac:dyDescent="0.25">
      <c r="A1015" s="1">
        <v>43404</v>
      </c>
      <c r="B1015">
        <v>11424</v>
      </c>
      <c r="C1015" s="2" t="s">
        <v>22</v>
      </c>
      <c r="D1015" s="2" t="s">
        <v>23</v>
      </c>
      <c r="E1015" s="2" t="s">
        <v>24</v>
      </c>
      <c r="F1015">
        <v>4056</v>
      </c>
      <c r="G1015" s="2" t="s">
        <v>119</v>
      </c>
      <c r="H1015" s="2" t="s">
        <v>51</v>
      </c>
      <c r="I1015" s="2" t="s">
        <v>73</v>
      </c>
      <c r="J1015" s="2" t="s">
        <v>49</v>
      </c>
      <c r="K1015" s="2" t="s">
        <v>73</v>
      </c>
      <c r="L1015">
        <v>429.24</v>
      </c>
      <c r="M1015">
        <v>1</v>
      </c>
      <c r="N1015">
        <v>1.0449999999999999</v>
      </c>
      <c r="O1015">
        <v>6100231</v>
      </c>
      <c r="P1015" s="2" t="s">
        <v>50</v>
      </c>
      <c r="Q1015" s="2" t="s">
        <v>51</v>
      </c>
      <c r="R1015" s="2" t="s">
        <v>30</v>
      </c>
      <c r="S1015">
        <v>7</v>
      </c>
      <c r="T1015" s="1">
        <v>43404</v>
      </c>
      <c r="U1015" s="1">
        <v>43408</v>
      </c>
      <c r="V1015" s="2" t="s">
        <v>57</v>
      </c>
      <c r="W1015" s="1">
        <f>fNotasFiscais[[#This Row],[Data da Coleta]]+fNotasFiscais[[#This Row],[Prazo Contratado]]</f>
        <v>43411</v>
      </c>
      <c r="X1015" s="3">
        <f>IF(fNotasFiscais[[#This Row],[Data da Entrega]]&gt;fNotasFiscais[[#This Row],[Data Contratada]],0,1)</f>
        <v>1</v>
      </c>
      <c r="Y1015" s="3">
        <f>IF(fNotasFiscais[[#This Row],[Ocorrência]]="",1,0)</f>
        <v>0</v>
      </c>
      <c r="Z1015" s="2">
        <f>fNotasFiscais[[#This Row],[On Time]]*fNotasFiscais[[#This Row],[In Full]]</f>
        <v>0</v>
      </c>
      <c r="AA1015">
        <f>IF(fNotasFiscais[[#This Row],[Nota Fiscal]]&lt;&gt;"",1,0)</f>
        <v>1</v>
      </c>
    </row>
    <row r="1016" spans="1:27" x14ac:dyDescent="0.25">
      <c r="A1016" s="1">
        <v>43404</v>
      </c>
      <c r="B1016">
        <v>11425</v>
      </c>
      <c r="C1016" s="2" t="s">
        <v>43</v>
      </c>
      <c r="D1016" s="2" t="s">
        <v>44</v>
      </c>
      <c r="E1016" s="2" t="s">
        <v>45</v>
      </c>
      <c r="F1016">
        <v>4022</v>
      </c>
      <c r="G1016" s="2" t="s">
        <v>86</v>
      </c>
      <c r="H1016" s="2" t="s">
        <v>87</v>
      </c>
      <c r="I1016" s="2" t="s">
        <v>27</v>
      </c>
      <c r="J1016" s="2" t="s">
        <v>28</v>
      </c>
      <c r="K1016" s="2" t="s">
        <v>27</v>
      </c>
      <c r="L1016">
        <v>9921.43</v>
      </c>
      <c r="M1016">
        <v>17</v>
      </c>
      <c r="N1016">
        <v>134.54900000000001</v>
      </c>
      <c r="O1016">
        <v>6500948</v>
      </c>
      <c r="P1016" s="2" t="s">
        <v>29</v>
      </c>
      <c r="Q1016" s="2" t="s">
        <v>23</v>
      </c>
      <c r="R1016" s="2" t="s">
        <v>30</v>
      </c>
      <c r="S1016">
        <v>12</v>
      </c>
      <c r="T1016" s="1">
        <v>43404</v>
      </c>
      <c r="U1016" s="1">
        <v>43405</v>
      </c>
      <c r="V1016" s="2"/>
      <c r="W1016" s="1">
        <f>fNotasFiscais[[#This Row],[Data da Coleta]]+fNotasFiscais[[#This Row],[Prazo Contratado]]</f>
        <v>43416</v>
      </c>
      <c r="X1016" s="3">
        <f>IF(fNotasFiscais[[#This Row],[Data da Entrega]]&gt;fNotasFiscais[[#This Row],[Data Contratada]],0,1)</f>
        <v>1</v>
      </c>
      <c r="Y1016" s="3">
        <f>IF(fNotasFiscais[[#This Row],[Ocorrência]]="",1,0)</f>
        <v>1</v>
      </c>
      <c r="Z1016" s="2">
        <f>fNotasFiscais[[#This Row],[On Time]]*fNotasFiscais[[#This Row],[In Full]]</f>
        <v>1</v>
      </c>
      <c r="AA1016">
        <f>IF(fNotasFiscais[[#This Row],[Nota Fiscal]]&lt;&gt;"",1,0)</f>
        <v>1</v>
      </c>
    </row>
    <row r="1017" spans="1:27" x14ac:dyDescent="0.25">
      <c r="A1017" s="1">
        <v>43404</v>
      </c>
      <c r="B1017">
        <v>11426</v>
      </c>
      <c r="C1017" s="2" t="s">
        <v>40</v>
      </c>
      <c r="D1017" s="2" t="s">
        <v>41</v>
      </c>
      <c r="E1017" s="2" t="s">
        <v>33</v>
      </c>
      <c r="F1017">
        <v>4056</v>
      </c>
      <c r="G1017" s="2" t="s">
        <v>119</v>
      </c>
      <c r="H1017" s="2" t="s">
        <v>51</v>
      </c>
      <c r="I1017" s="2" t="s">
        <v>73</v>
      </c>
      <c r="J1017" s="2" t="s">
        <v>49</v>
      </c>
      <c r="K1017" s="2" t="s">
        <v>73</v>
      </c>
      <c r="L1017">
        <v>719.59</v>
      </c>
      <c r="M1017">
        <v>3</v>
      </c>
      <c r="N1017">
        <v>3.96</v>
      </c>
      <c r="O1017">
        <v>6100231</v>
      </c>
      <c r="P1017" s="2" t="s">
        <v>50</v>
      </c>
      <c r="Q1017" s="2" t="s">
        <v>51</v>
      </c>
      <c r="R1017" s="2" t="s">
        <v>30</v>
      </c>
      <c r="S1017">
        <v>12</v>
      </c>
      <c r="T1017" s="1">
        <v>43404</v>
      </c>
      <c r="U1017" s="1">
        <v>43406</v>
      </c>
      <c r="V1017" s="2"/>
      <c r="W1017" s="1">
        <f>fNotasFiscais[[#This Row],[Data da Coleta]]+fNotasFiscais[[#This Row],[Prazo Contratado]]</f>
        <v>43416</v>
      </c>
      <c r="X1017" s="3">
        <f>IF(fNotasFiscais[[#This Row],[Data da Entrega]]&gt;fNotasFiscais[[#This Row],[Data Contratada]],0,1)</f>
        <v>1</v>
      </c>
      <c r="Y1017" s="3">
        <f>IF(fNotasFiscais[[#This Row],[Ocorrência]]="",1,0)</f>
        <v>1</v>
      </c>
      <c r="Z1017" s="2">
        <f>fNotasFiscais[[#This Row],[On Time]]*fNotasFiscais[[#This Row],[In Full]]</f>
        <v>1</v>
      </c>
      <c r="AA1017">
        <f>IF(fNotasFiscais[[#This Row],[Nota Fiscal]]&lt;&gt;"",1,0)</f>
        <v>1</v>
      </c>
    </row>
    <row r="1018" spans="1:27" x14ac:dyDescent="0.25">
      <c r="A1018" s="1">
        <v>43404</v>
      </c>
      <c r="B1018">
        <v>11427</v>
      </c>
      <c r="C1018" s="2" t="s">
        <v>22</v>
      </c>
      <c r="D1018" s="2" t="s">
        <v>23</v>
      </c>
      <c r="E1018" s="2" t="s">
        <v>24</v>
      </c>
      <c r="F1018">
        <v>4056</v>
      </c>
      <c r="G1018" s="2" t="s">
        <v>119</v>
      </c>
      <c r="H1018" s="2" t="s">
        <v>51</v>
      </c>
      <c r="I1018" s="2" t="s">
        <v>73</v>
      </c>
      <c r="J1018" s="2" t="s">
        <v>49</v>
      </c>
      <c r="K1018" s="2" t="s">
        <v>73</v>
      </c>
      <c r="L1018">
        <v>809.4</v>
      </c>
      <c r="M1018">
        <v>3</v>
      </c>
      <c r="N1018">
        <v>8.6389999999999993</v>
      </c>
      <c r="O1018">
        <v>6100231</v>
      </c>
      <c r="P1018" s="2" t="s">
        <v>50</v>
      </c>
      <c r="Q1018" s="2" t="s">
        <v>51</v>
      </c>
      <c r="R1018" s="2" t="s">
        <v>30</v>
      </c>
      <c r="S1018">
        <v>2</v>
      </c>
      <c r="T1018" s="1">
        <v>43404</v>
      </c>
      <c r="U1018" s="1">
        <v>43408</v>
      </c>
      <c r="V1018" s="2"/>
      <c r="W1018" s="1">
        <f>fNotasFiscais[[#This Row],[Data da Coleta]]+fNotasFiscais[[#This Row],[Prazo Contratado]]</f>
        <v>43406</v>
      </c>
      <c r="X1018" s="3">
        <f>IF(fNotasFiscais[[#This Row],[Data da Entrega]]&gt;fNotasFiscais[[#This Row],[Data Contratada]],0,1)</f>
        <v>0</v>
      </c>
      <c r="Y1018" s="3">
        <f>IF(fNotasFiscais[[#This Row],[Ocorrência]]="",1,0)</f>
        <v>1</v>
      </c>
      <c r="Z1018" s="2">
        <f>fNotasFiscais[[#This Row],[On Time]]*fNotasFiscais[[#This Row],[In Full]]</f>
        <v>0</v>
      </c>
      <c r="AA1018">
        <f>IF(fNotasFiscais[[#This Row],[Nota Fiscal]]&lt;&gt;"",1,0)</f>
        <v>1</v>
      </c>
    </row>
    <row r="1019" spans="1:27" x14ac:dyDescent="0.25">
      <c r="A1019" s="1">
        <v>43410</v>
      </c>
      <c r="B1019">
        <v>11428</v>
      </c>
      <c r="C1019" s="2" t="s">
        <v>40</v>
      </c>
      <c r="D1019" s="2" t="s">
        <v>41</v>
      </c>
      <c r="E1019" s="2" t="s">
        <v>33</v>
      </c>
      <c r="F1019">
        <v>4068</v>
      </c>
      <c r="G1019" s="2" t="s">
        <v>63</v>
      </c>
      <c r="H1019" s="2" t="s">
        <v>64</v>
      </c>
      <c r="I1019" s="2" t="s">
        <v>65</v>
      </c>
      <c r="J1019" s="2" t="s">
        <v>49</v>
      </c>
      <c r="K1019" s="2" t="s">
        <v>65</v>
      </c>
      <c r="L1019">
        <v>2319.39</v>
      </c>
      <c r="M1019">
        <v>4</v>
      </c>
      <c r="N1019">
        <v>18.396000000000001</v>
      </c>
      <c r="O1019">
        <v>6100231</v>
      </c>
      <c r="P1019" s="2" t="s">
        <v>50</v>
      </c>
      <c r="Q1019" s="2" t="s">
        <v>51</v>
      </c>
      <c r="R1019" s="2" t="s">
        <v>30</v>
      </c>
      <c r="S1019">
        <v>8</v>
      </c>
      <c r="T1019" s="1">
        <v>43410</v>
      </c>
      <c r="U1019" s="1">
        <v>43420</v>
      </c>
      <c r="V1019" s="2"/>
      <c r="W1019" s="1">
        <f>fNotasFiscais[[#This Row],[Data da Coleta]]+fNotasFiscais[[#This Row],[Prazo Contratado]]</f>
        <v>43418</v>
      </c>
      <c r="X1019" s="3">
        <f>IF(fNotasFiscais[[#This Row],[Data da Entrega]]&gt;fNotasFiscais[[#This Row],[Data Contratada]],0,1)</f>
        <v>0</v>
      </c>
      <c r="Y1019" s="3">
        <f>IF(fNotasFiscais[[#This Row],[Ocorrência]]="",1,0)</f>
        <v>1</v>
      </c>
      <c r="Z1019" s="2">
        <f>fNotasFiscais[[#This Row],[On Time]]*fNotasFiscais[[#This Row],[In Full]]</f>
        <v>0</v>
      </c>
      <c r="AA1019">
        <f>IF(fNotasFiscais[[#This Row],[Nota Fiscal]]&lt;&gt;"",1,0)</f>
        <v>1</v>
      </c>
    </row>
    <row r="1020" spans="1:27" x14ac:dyDescent="0.25">
      <c r="A1020" s="1">
        <v>43411</v>
      </c>
      <c r="B1020">
        <v>11429</v>
      </c>
      <c r="C1020" s="2" t="s">
        <v>40</v>
      </c>
      <c r="D1020" s="2" t="s">
        <v>41</v>
      </c>
      <c r="E1020" s="2" t="s">
        <v>33</v>
      </c>
      <c r="F1020">
        <v>4068</v>
      </c>
      <c r="G1020" s="2" t="s">
        <v>63</v>
      </c>
      <c r="H1020" s="2" t="s">
        <v>64</v>
      </c>
      <c r="I1020" s="2" t="s">
        <v>65</v>
      </c>
      <c r="J1020" s="2" t="s">
        <v>49</v>
      </c>
      <c r="K1020" s="2" t="s">
        <v>65</v>
      </c>
      <c r="L1020">
        <v>3927.91</v>
      </c>
      <c r="M1020">
        <v>2</v>
      </c>
      <c r="N1020">
        <v>16.544</v>
      </c>
      <c r="O1020">
        <v>6100231</v>
      </c>
      <c r="P1020" s="2" t="s">
        <v>50</v>
      </c>
      <c r="Q1020" s="2" t="s">
        <v>51</v>
      </c>
      <c r="R1020" s="2" t="s">
        <v>30</v>
      </c>
      <c r="S1020">
        <v>1</v>
      </c>
      <c r="T1020" s="1">
        <v>43411</v>
      </c>
      <c r="U1020" s="1">
        <v>43421</v>
      </c>
      <c r="V1020" s="2"/>
      <c r="W1020" s="1">
        <f>fNotasFiscais[[#This Row],[Data da Coleta]]+fNotasFiscais[[#This Row],[Prazo Contratado]]</f>
        <v>43412</v>
      </c>
      <c r="X1020" s="3">
        <f>IF(fNotasFiscais[[#This Row],[Data da Entrega]]&gt;fNotasFiscais[[#This Row],[Data Contratada]],0,1)</f>
        <v>0</v>
      </c>
      <c r="Y1020" s="3">
        <f>IF(fNotasFiscais[[#This Row],[Ocorrência]]="",1,0)</f>
        <v>1</v>
      </c>
      <c r="Z1020" s="2">
        <f>fNotasFiscais[[#This Row],[On Time]]*fNotasFiscais[[#This Row],[In Full]]</f>
        <v>0</v>
      </c>
      <c r="AA1020">
        <f>IF(fNotasFiscais[[#This Row],[Nota Fiscal]]&lt;&gt;"",1,0)</f>
        <v>1</v>
      </c>
    </row>
    <row r="1021" spans="1:27" x14ac:dyDescent="0.25">
      <c r="A1021" s="1">
        <v>43412</v>
      </c>
      <c r="B1021">
        <v>11430</v>
      </c>
      <c r="C1021" s="2" t="s">
        <v>22</v>
      </c>
      <c r="D1021" s="2" t="s">
        <v>23</v>
      </c>
      <c r="E1021" s="2" t="s">
        <v>24</v>
      </c>
      <c r="F1021">
        <v>4017</v>
      </c>
      <c r="G1021" s="2" t="s">
        <v>74</v>
      </c>
      <c r="H1021" s="2" t="s">
        <v>75</v>
      </c>
      <c r="I1021" s="2" t="s">
        <v>39</v>
      </c>
      <c r="J1021" s="2" t="s">
        <v>28</v>
      </c>
      <c r="K1021" s="2" t="s">
        <v>39</v>
      </c>
      <c r="L1021">
        <v>772.16</v>
      </c>
      <c r="M1021">
        <v>1</v>
      </c>
      <c r="N1021">
        <v>1.1200000000000001</v>
      </c>
      <c r="O1021">
        <v>6500948</v>
      </c>
      <c r="P1021" s="2" t="s">
        <v>29</v>
      </c>
      <c r="Q1021" s="2" t="s">
        <v>23</v>
      </c>
      <c r="R1021" s="2" t="s">
        <v>30</v>
      </c>
      <c r="S1021">
        <v>11</v>
      </c>
      <c r="T1021" s="1">
        <v>43412</v>
      </c>
      <c r="U1021" s="1">
        <v>43419</v>
      </c>
      <c r="V1021" s="2"/>
      <c r="W1021" s="1">
        <f>fNotasFiscais[[#This Row],[Data da Coleta]]+fNotasFiscais[[#This Row],[Prazo Contratado]]</f>
        <v>43423</v>
      </c>
      <c r="X1021" s="3">
        <f>IF(fNotasFiscais[[#This Row],[Data da Entrega]]&gt;fNotasFiscais[[#This Row],[Data Contratada]],0,1)</f>
        <v>1</v>
      </c>
      <c r="Y1021" s="3">
        <f>IF(fNotasFiscais[[#This Row],[Ocorrência]]="",1,0)</f>
        <v>1</v>
      </c>
      <c r="Z1021" s="2">
        <f>fNotasFiscais[[#This Row],[On Time]]*fNotasFiscais[[#This Row],[In Full]]</f>
        <v>1</v>
      </c>
      <c r="AA1021">
        <f>IF(fNotasFiscais[[#This Row],[Nota Fiscal]]&lt;&gt;"",1,0)</f>
        <v>1</v>
      </c>
    </row>
    <row r="1022" spans="1:27" x14ac:dyDescent="0.25">
      <c r="A1022" s="1">
        <v>43412</v>
      </c>
      <c r="B1022">
        <v>11431</v>
      </c>
      <c r="C1022" s="2" t="s">
        <v>40</v>
      </c>
      <c r="D1022" s="2" t="s">
        <v>41</v>
      </c>
      <c r="E1022" s="2" t="s">
        <v>33</v>
      </c>
      <c r="F1022">
        <v>4084</v>
      </c>
      <c r="G1022" s="2" t="s">
        <v>155</v>
      </c>
      <c r="H1022" s="2" t="s">
        <v>149</v>
      </c>
      <c r="I1022" s="2" t="s">
        <v>33</v>
      </c>
      <c r="J1022" s="2" t="s">
        <v>60</v>
      </c>
      <c r="K1022" s="2" t="s">
        <v>33</v>
      </c>
      <c r="L1022">
        <v>221.39</v>
      </c>
      <c r="M1022">
        <v>1</v>
      </c>
      <c r="N1022">
        <v>0.93799999999999994</v>
      </c>
      <c r="O1022">
        <v>6400835</v>
      </c>
      <c r="P1022" s="2" t="s">
        <v>130</v>
      </c>
      <c r="Q1022" s="2" t="s">
        <v>131</v>
      </c>
      <c r="R1022" s="2" t="s">
        <v>30</v>
      </c>
      <c r="S1022">
        <v>10</v>
      </c>
      <c r="T1022" s="1">
        <v>43412</v>
      </c>
      <c r="U1022" s="1">
        <v>43418</v>
      </c>
      <c r="V1022" s="2"/>
      <c r="W1022" s="1">
        <f>fNotasFiscais[[#This Row],[Data da Coleta]]+fNotasFiscais[[#This Row],[Prazo Contratado]]</f>
        <v>43422</v>
      </c>
      <c r="X1022" s="3">
        <f>IF(fNotasFiscais[[#This Row],[Data da Entrega]]&gt;fNotasFiscais[[#This Row],[Data Contratada]],0,1)</f>
        <v>1</v>
      </c>
      <c r="Y1022" s="3">
        <f>IF(fNotasFiscais[[#This Row],[Ocorrência]]="",1,0)</f>
        <v>1</v>
      </c>
      <c r="Z1022" s="2">
        <f>fNotasFiscais[[#This Row],[On Time]]*fNotasFiscais[[#This Row],[In Full]]</f>
        <v>1</v>
      </c>
      <c r="AA1022">
        <f>IF(fNotasFiscais[[#This Row],[Nota Fiscal]]&lt;&gt;"",1,0)</f>
        <v>1</v>
      </c>
    </row>
    <row r="1023" spans="1:27" x14ac:dyDescent="0.25">
      <c r="A1023" s="1">
        <v>43413</v>
      </c>
      <c r="B1023">
        <v>11432</v>
      </c>
      <c r="C1023" s="2" t="s">
        <v>31</v>
      </c>
      <c r="D1023" s="2" t="s">
        <v>32</v>
      </c>
      <c r="E1023" s="2" t="s">
        <v>33</v>
      </c>
      <c r="F1023">
        <v>4130</v>
      </c>
      <c r="G1023" s="2" t="s">
        <v>213</v>
      </c>
      <c r="H1023" s="2" t="s">
        <v>165</v>
      </c>
      <c r="I1023" s="2" t="s">
        <v>24</v>
      </c>
      <c r="J1023" s="2" t="s">
        <v>28</v>
      </c>
      <c r="K1023" s="2" t="s">
        <v>24</v>
      </c>
      <c r="L1023">
        <v>1398.5</v>
      </c>
      <c r="M1023">
        <v>9</v>
      </c>
      <c r="N1023">
        <v>10.287000000000001</v>
      </c>
      <c r="O1023">
        <v>6500948</v>
      </c>
      <c r="P1023" s="2" t="s">
        <v>29</v>
      </c>
      <c r="Q1023" s="2" t="s">
        <v>23</v>
      </c>
      <c r="R1023" s="2" t="s">
        <v>30</v>
      </c>
      <c r="S1023">
        <v>5</v>
      </c>
      <c r="T1023" s="1">
        <v>43413</v>
      </c>
      <c r="U1023" s="1">
        <v>43423</v>
      </c>
      <c r="V1023" s="2"/>
      <c r="W1023" s="1">
        <f>fNotasFiscais[[#This Row],[Data da Coleta]]+fNotasFiscais[[#This Row],[Prazo Contratado]]</f>
        <v>43418</v>
      </c>
      <c r="X1023" s="3">
        <f>IF(fNotasFiscais[[#This Row],[Data da Entrega]]&gt;fNotasFiscais[[#This Row],[Data Contratada]],0,1)</f>
        <v>0</v>
      </c>
      <c r="Y1023" s="3">
        <f>IF(fNotasFiscais[[#This Row],[Ocorrência]]="",1,0)</f>
        <v>1</v>
      </c>
      <c r="Z1023" s="2">
        <f>fNotasFiscais[[#This Row],[On Time]]*fNotasFiscais[[#This Row],[In Full]]</f>
        <v>0</v>
      </c>
      <c r="AA1023">
        <f>IF(fNotasFiscais[[#This Row],[Nota Fiscal]]&lt;&gt;"",1,0)</f>
        <v>1</v>
      </c>
    </row>
    <row r="1024" spans="1:27" x14ac:dyDescent="0.25">
      <c r="A1024" s="1">
        <v>43413</v>
      </c>
      <c r="B1024">
        <v>11433</v>
      </c>
      <c r="C1024" s="2" t="s">
        <v>31</v>
      </c>
      <c r="D1024" s="2" t="s">
        <v>32</v>
      </c>
      <c r="E1024" s="2" t="s">
        <v>33</v>
      </c>
      <c r="F1024">
        <v>4027</v>
      </c>
      <c r="G1024" s="2" t="s">
        <v>93</v>
      </c>
      <c r="H1024" s="2" t="s">
        <v>91</v>
      </c>
      <c r="I1024" s="2" t="s">
        <v>24</v>
      </c>
      <c r="J1024" s="2" t="s">
        <v>28</v>
      </c>
      <c r="K1024" s="2" t="s">
        <v>24</v>
      </c>
      <c r="L1024">
        <v>15408.1</v>
      </c>
      <c r="M1024">
        <v>18</v>
      </c>
      <c r="N1024">
        <v>61.35</v>
      </c>
      <c r="O1024">
        <v>6500948</v>
      </c>
      <c r="P1024" s="2" t="s">
        <v>29</v>
      </c>
      <c r="Q1024" s="2" t="s">
        <v>23</v>
      </c>
      <c r="R1024" s="2" t="s">
        <v>30</v>
      </c>
      <c r="S1024">
        <v>2</v>
      </c>
      <c r="T1024" s="1">
        <v>43413</v>
      </c>
      <c r="U1024" s="1">
        <v>43421</v>
      </c>
      <c r="V1024" s="2"/>
      <c r="W1024" s="1">
        <f>fNotasFiscais[[#This Row],[Data da Coleta]]+fNotasFiscais[[#This Row],[Prazo Contratado]]</f>
        <v>43415</v>
      </c>
      <c r="X1024" s="3">
        <f>IF(fNotasFiscais[[#This Row],[Data da Entrega]]&gt;fNotasFiscais[[#This Row],[Data Contratada]],0,1)</f>
        <v>0</v>
      </c>
      <c r="Y1024" s="3">
        <f>IF(fNotasFiscais[[#This Row],[Ocorrência]]="",1,0)</f>
        <v>1</v>
      </c>
      <c r="Z1024" s="2">
        <f>fNotasFiscais[[#This Row],[On Time]]*fNotasFiscais[[#This Row],[In Full]]</f>
        <v>0</v>
      </c>
      <c r="AA1024">
        <f>IF(fNotasFiscais[[#This Row],[Nota Fiscal]]&lt;&gt;"",1,0)</f>
        <v>1</v>
      </c>
    </row>
    <row r="1025" spans="1:27" x14ac:dyDescent="0.25">
      <c r="A1025" s="1">
        <v>43413</v>
      </c>
      <c r="B1025">
        <v>11434</v>
      </c>
      <c r="C1025" s="2" t="s">
        <v>43</v>
      </c>
      <c r="D1025" s="2" t="s">
        <v>44</v>
      </c>
      <c r="E1025" s="2" t="s">
        <v>45</v>
      </c>
      <c r="F1025">
        <v>4062</v>
      </c>
      <c r="G1025" s="2" t="s">
        <v>96</v>
      </c>
      <c r="H1025" s="2" t="s">
        <v>97</v>
      </c>
      <c r="I1025" s="2" t="s">
        <v>48</v>
      </c>
      <c r="J1025" s="2" t="s">
        <v>49</v>
      </c>
      <c r="K1025" s="2" t="s">
        <v>48</v>
      </c>
      <c r="L1025">
        <v>1421.44</v>
      </c>
      <c r="M1025">
        <v>2</v>
      </c>
      <c r="N1025">
        <v>16.532</v>
      </c>
      <c r="O1025">
        <v>6100231</v>
      </c>
      <c r="P1025" s="2" t="s">
        <v>50</v>
      </c>
      <c r="Q1025" s="2" t="s">
        <v>51</v>
      </c>
      <c r="R1025" s="2" t="s">
        <v>30</v>
      </c>
      <c r="S1025">
        <v>5</v>
      </c>
      <c r="T1025" s="1">
        <v>43413</v>
      </c>
      <c r="U1025" s="1">
        <v>43414</v>
      </c>
      <c r="V1025" s="2"/>
      <c r="W1025" s="1">
        <f>fNotasFiscais[[#This Row],[Data da Coleta]]+fNotasFiscais[[#This Row],[Prazo Contratado]]</f>
        <v>43418</v>
      </c>
      <c r="X1025" s="3">
        <f>IF(fNotasFiscais[[#This Row],[Data da Entrega]]&gt;fNotasFiscais[[#This Row],[Data Contratada]],0,1)</f>
        <v>1</v>
      </c>
      <c r="Y1025" s="3">
        <f>IF(fNotasFiscais[[#This Row],[Ocorrência]]="",1,0)</f>
        <v>1</v>
      </c>
      <c r="Z1025" s="2">
        <f>fNotasFiscais[[#This Row],[On Time]]*fNotasFiscais[[#This Row],[In Full]]</f>
        <v>1</v>
      </c>
      <c r="AA1025">
        <f>IF(fNotasFiscais[[#This Row],[Nota Fiscal]]&lt;&gt;"",1,0)</f>
        <v>1</v>
      </c>
    </row>
    <row r="1026" spans="1:27" x14ac:dyDescent="0.25">
      <c r="A1026" s="1">
        <v>43413</v>
      </c>
      <c r="B1026">
        <v>11435</v>
      </c>
      <c r="C1026" s="2" t="s">
        <v>40</v>
      </c>
      <c r="D1026" s="2" t="s">
        <v>41</v>
      </c>
      <c r="E1026" s="2" t="s">
        <v>33</v>
      </c>
      <c r="F1026">
        <v>4027</v>
      </c>
      <c r="G1026" s="2" t="s">
        <v>93</v>
      </c>
      <c r="H1026" s="2" t="s">
        <v>91</v>
      </c>
      <c r="I1026" s="2" t="s">
        <v>24</v>
      </c>
      <c r="J1026" s="2" t="s">
        <v>28</v>
      </c>
      <c r="K1026" s="2" t="s">
        <v>24</v>
      </c>
      <c r="L1026">
        <v>562.37</v>
      </c>
      <c r="M1026">
        <v>1</v>
      </c>
      <c r="N1026">
        <v>1.65</v>
      </c>
      <c r="O1026">
        <v>6500948</v>
      </c>
      <c r="P1026" s="2" t="s">
        <v>29</v>
      </c>
      <c r="Q1026" s="2" t="s">
        <v>23</v>
      </c>
      <c r="R1026" s="2" t="s">
        <v>30</v>
      </c>
      <c r="S1026">
        <v>6</v>
      </c>
      <c r="T1026" s="1">
        <v>43413</v>
      </c>
      <c r="U1026" s="1">
        <v>43421</v>
      </c>
      <c r="V1026" s="2"/>
      <c r="W1026" s="1">
        <f>fNotasFiscais[[#This Row],[Data da Coleta]]+fNotasFiscais[[#This Row],[Prazo Contratado]]</f>
        <v>43419</v>
      </c>
      <c r="X1026" s="3">
        <f>IF(fNotasFiscais[[#This Row],[Data da Entrega]]&gt;fNotasFiscais[[#This Row],[Data Contratada]],0,1)</f>
        <v>0</v>
      </c>
      <c r="Y1026" s="3">
        <f>IF(fNotasFiscais[[#This Row],[Ocorrência]]="",1,0)</f>
        <v>1</v>
      </c>
      <c r="Z1026" s="2">
        <f>fNotasFiscais[[#This Row],[On Time]]*fNotasFiscais[[#This Row],[In Full]]</f>
        <v>0</v>
      </c>
      <c r="AA1026">
        <f>IF(fNotasFiscais[[#This Row],[Nota Fiscal]]&lt;&gt;"",1,0)</f>
        <v>1</v>
      </c>
    </row>
    <row r="1027" spans="1:27" x14ac:dyDescent="0.25">
      <c r="A1027" s="1">
        <v>43413</v>
      </c>
      <c r="B1027">
        <v>11436</v>
      </c>
      <c r="C1027" s="2" t="s">
        <v>22</v>
      </c>
      <c r="D1027" s="2" t="s">
        <v>23</v>
      </c>
      <c r="E1027" s="2" t="s">
        <v>24</v>
      </c>
      <c r="F1027">
        <v>4062</v>
      </c>
      <c r="G1027" s="2" t="s">
        <v>96</v>
      </c>
      <c r="H1027" s="2" t="s">
        <v>97</v>
      </c>
      <c r="I1027" s="2" t="s">
        <v>48</v>
      </c>
      <c r="J1027" s="2" t="s">
        <v>49</v>
      </c>
      <c r="K1027" s="2" t="s">
        <v>48</v>
      </c>
      <c r="L1027">
        <v>508.07</v>
      </c>
      <c r="M1027">
        <v>1</v>
      </c>
      <c r="N1027">
        <v>0.77600000000000002</v>
      </c>
      <c r="O1027">
        <v>6100231</v>
      </c>
      <c r="P1027" s="2" t="s">
        <v>50</v>
      </c>
      <c r="Q1027" s="2" t="s">
        <v>51</v>
      </c>
      <c r="R1027" s="2" t="s">
        <v>30</v>
      </c>
      <c r="S1027">
        <v>3</v>
      </c>
      <c r="T1027" s="1">
        <v>43413</v>
      </c>
      <c r="U1027" s="1">
        <v>43419</v>
      </c>
      <c r="V1027" s="2"/>
      <c r="W1027" s="1">
        <f>fNotasFiscais[[#This Row],[Data da Coleta]]+fNotasFiscais[[#This Row],[Prazo Contratado]]</f>
        <v>43416</v>
      </c>
      <c r="X1027" s="3">
        <f>IF(fNotasFiscais[[#This Row],[Data da Entrega]]&gt;fNotasFiscais[[#This Row],[Data Contratada]],0,1)</f>
        <v>0</v>
      </c>
      <c r="Y1027" s="3">
        <f>IF(fNotasFiscais[[#This Row],[Ocorrência]]="",1,0)</f>
        <v>1</v>
      </c>
      <c r="Z1027" s="2">
        <f>fNotasFiscais[[#This Row],[On Time]]*fNotasFiscais[[#This Row],[In Full]]</f>
        <v>0</v>
      </c>
      <c r="AA1027">
        <f>IF(fNotasFiscais[[#This Row],[Nota Fiscal]]&lt;&gt;"",1,0)</f>
        <v>1</v>
      </c>
    </row>
    <row r="1028" spans="1:27" x14ac:dyDescent="0.25">
      <c r="A1028" s="1">
        <v>43414</v>
      </c>
      <c r="B1028">
        <v>11437</v>
      </c>
      <c r="C1028" s="2" t="s">
        <v>40</v>
      </c>
      <c r="D1028" s="2" t="s">
        <v>41</v>
      </c>
      <c r="E1028" s="2" t="s">
        <v>33</v>
      </c>
      <c r="F1028">
        <v>4069</v>
      </c>
      <c r="G1028" s="2" t="s">
        <v>135</v>
      </c>
      <c r="H1028" s="2" t="s">
        <v>47</v>
      </c>
      <c r="I1028" s="2" t="s">
        <v>48</v>
      </c>
      <c r="J1028" s="2" t="s">
        <v>49</v>
      </c>
      <c r="K1028" s="2" t="s">
        <v>48</v>
      </c>
      <c r="L1028">
        <v>485.28</v>
      </c>
      <c r="M1028">
        <v>3</v>
      </c>
      <c r="N1028">
        <v>42.53</v>
      </c>
      <c r="O1028">
        <v>6100231</v>
      </c>
      <c r="P1028" s="2" t="s">
        <v>50</v>
      </c>
      <c r="Q1028" s="2" t="s">
        <v>51</v>
      </c>
      <c r="R1028" s="2" t="s">
        <v>30</v>
      </c>
      <c r="S1028">
        <v>9</v>
      </c>
      <c r="T1028" s="1">
        <v>43414</v>
      </c>
      <c r="U1028" s="1">
        <v>43421</v>
      </c>
      <c r="V1028" s="2" t="s">
        <v>42</v>
      </c>
      <c r="W1028" s="1">
        <f>fNotasFiscais[[#This Row],[Data da Coleta]]+fNotasFiscais[[#This Row],[Prazo Contratado]]</f>
        <v>43423</v>
      </c>
      <c r="X1028" s="3">
        <f>IF(fNotasFiscais[[#This Row],[Data da Entrega]]&gt;fNotasFiscais[[#This Row],[Data Contratada]],0,1)</f>
        <v>1</v>
      </c>
      <c r="Y1028" s="3">
        <f>IF(fNotasFiscais[[#This Row],[Ocorrência]]="",1,0)</f>
        <v>0</v>
      </c>
      <c r="Z1028" s="2">
        <f>fNotasFiscais[[#This Row],[On Time]]*fNotasFiscais[[#This Row],[In Full]]</f>
        <v>0</v>
      </c>
      <c r="AA1028">
        <f>IF(fNotasFiscais[[#This Row],[Nota Fiscal]]&lt;&gt;"",1,0)</f>
        <v>1</v>
      </c>
    </row>
    <row r="1029" spans="1:27" x14ac:dyDescent="0.25">
      <c r="A1029" s="1">
        <v>43414</v>
      </c>
      <c r="B1029">
        <v>11438</v>
      </c>
      <c r="C1029" s="2" t="s">
        <v>43</v>
      </c>
      <c r="D1029" s="2" t="s">
        <v>44</v>
      </c>
      <c r="E1029" s="2" t="s">
        <v>45</v>
      </c>
      <c r="F1029">
        <v>4013</v>
      </c>
      <c r="G1029" s="2" t="s">
        <v>37</v>
      </c>
      <c r="H1029" s="2" t="s">
        <v>38</v>
      </c>
      <c r="I1029" s="2" t="s">
        <v>39</v>
      </c>
      <c r="J1029" s="2" t="s">
        <v>28</v>
      </c>
      <c r="K1029" s="2" t="s">
        <v>39</v>
      </c>
      <c r="L1029">
        <v>1709.7</v>
      </c>
      <c r="M1029">
        <v>1</v>
      </c>
      <c r="N1029">
        <v>1.1200000000000001</v>
      </c>
      <c r="O1029">
        <v>6500948</v>
      </c>
      <c r="P1029" s="2" t="s">
        <v>29</v>
      </c>
      <c r="Q1029" s="2" t="s">
        <v>23</v>
      </c>
      <c r="R1029" s="2" t="s">
        <v>30</v>
      </c>
      <c r="S1029">
        <v>11</v>
      </c>
      <c r="T1029" s="1">
        <v>43414</v>
      </c>
      <c r="U1029" s="1">
        <v>43419</v>
      </c>
      <c r="V1029" s="2"/>
      <c r="W1029" s="1">
        <f>fNotasFiscais[[#This Row],[Data da Coleta]]+fNotasFiscais[[#This Row],[Prazo Contratado]]</f>
        <v>43425</v>
      </c>
      <c r="X1029" s="3">
        <f>IF(fNotasFiscais[[#This Row],[Data da Entrega]]&gt;fNotasFiscais[[#This Row],[Data Contratada]],0,1)</f>
        <v>1</v>
      </c>
      <c r="Y1029" s="3">
        <f>IF(fNotasFiscais[[#This Row],[Ocorrência]]="",1,0)</f>
        <v>1</v>
      </c>
      <c r="Z1029" s="2">
        <f>fNotasFiscais[[#This Row],[On Time]]*fNotasFiscais[[#This Row],[In Full]]</f>
        <v>1</v>
      </c>
      <c r="AA1029">
        <f>IF(fNotasFiscais[[#This Row],[Nota Fiscal]]&lt;&gt;"",1,0)</f>
        <v>1</v>
      </c>
    </row>
    <row r="1030" spans="1:27" x14ac:dyDescent="0.25">
      <c r="A1030" s="1">
        <v>43414</v>
      </c>
      <c r="B1030">
        <v>11439</v>
      </c>
      <c r="C1030" s="2" t="s">
        <v>22</v>
      </c>
      <c r="D1030" s="2" t="s">
        <v>23</v>
      </c>
      <c r="E1030" s="2" t="s">
        <v>24</v>
      </c>
      <c r="F1030">
        <v>4028</v>
      </c>
      <c r="G1030" s="2" t="s">
        <v>95</v>
      </c>
      <c r="H1030" s="2" t="s">
        <v>26</v>
      </c>
      <c r="I1030" s="2" t="s">
        <v>27</v>
      </c>
      <c r="J1030" s="2" t="s">
        <v>28</v>
      </c>
      <c r="K1030" s="2" t="s">
        <v>27</v>
      </c>
      <c r="L1030">
        <v>881.25</v>
      </c>
      <c r="M1030">
        <v>1</v>
      </c>
      <c r="N1030">
        <v>1.1200000000000001</v>
      </c>
      <c r="O1030">
        <v>6500948</v>
      </c>
      <c r="P1030" s="2" t="s">
        <v>29</v>
      </c>
      <c r="Q1030" s="2" t="s">
        <v>23</v>
      </c>
      <c r="R1030" s="2" t="s">
        <v>30</v>
      </c>
      <c r="S1030">
        <v>9</v>
      </c>
      <c r="T1030" s="1">
        <v>43414</v>
      </c>
      <c r="U1030" s="1">
        <v>43417</v>
      </c>
      <c r="V1030" s="2"/>
      <c r="W1030" s="1">
        <f>fNotasFiscais[[#This Row],[Data da Coleta]]+fNotasFiscais[[#This Row],[Prazo Contratado]]</f>
        <v>43423</v>
      </c>
      <c r="X1030" s="3">
        <f>IF(fNotasFiscais[[#This Row],[Data da Entrega]]&gt;fNotasFiscais[[#This Row],[Data Contratada]],0,1)</f>
        <v>1</v>
      </c>
      <c r="Y1030" s="3">
        <f>IF(fNotasFiscais[[#This Row],[Ocorrência]]="",1,0)</f>
        <v>1</v>
      </c>
      <c r="Z1030" s="2">
        <f>fNotasFiscais[[#This Row],[On Time]]*fNotasFiscais[[#This Row],[In Full]]</f>
        <v>1</v>
      </c>
      <c r="AA1030">
        <f>IF(fNotasFiscais[[#This Row],[Nota Fiscal]]&lt;&gt;"",1,0)</f>
        <v>1</v>
      </c>
    </row>
    <row r="1031" spans="1:27" x14ac:dyDescent="0.25">
      <c r="A1031" s="1">
        <v>43414</v>
      </c>
      <c r="B1031">
        <v>11440</v>
      </c>
      <c r="C1031" s="2" t="s">
        <v>40</v>
      </c>
      <c r="D1031" s="2" t="s">
        <v>41</v>
      </c>
      <c r="E1031" s="2" t="s">
        <v>33</v>
      </c>
      <c r="F1031">
        <v>4019</v>
      </c>
      <c r="G1031" s="2" t="s">
        <v>79</v>
      </c>
      <c r="H1031" s="2" t="s">
        <v>80</v>
      </c>
      <c r="I1031" s="2" t="s">
        <v>39</v>
      </c>
      <c r="J1031" s="2" t="s">
        <v>28</v>
      </c>
      <c r="K1031" s="2" t="s">
        <v>39</v>
      </c>
      <c r="L1031">
        <v>7557.25</v>
      </c>
      <c r="M1031">
        <v>18</v>
      </c>
      <c r="N1031">
        <v>58.442999999999998</v>
      </c>
      <c r="O1031">
        <v>6500948</v>
      </c>
      <c r="P1031" s="2" t="s">
        <v>29</v>
      </c>
      <c r="Q1031" s="2" t="s">
        <v>23</v>
      </c>
      <c r="R1031" s="2" t="s">
        <v>30</v>
      </c>
      <c r="S1031">
        <v>2</v>
      </c>
      <c r="T1031" s="1">
        <v>43414</v>
      </c>
      <c r="U1031" s="1">
        <v>43416</v>
      </c>
      <c r="V1031" s="2"/>
      <c r="W1031" s="1">
        <f>fNotasFiscais[[#This Row],[Data da Coleta]]+fNotasFiscais[[#This Row],[Prazo Contratado]]</f>
        <v>43416</v>
      </c>
      <c r="X1031" s="3">
        <f>IF(fNotasFiscais[[#This Row],[Data da Entrega]]&gt;fNotasFiscais[[#This Row],[Data Contratada]],0,1)</f>
        <v>1</v>
      </c>
      <c r="Y1031" s="3">
        <f>IF(fNotasFiscais[[#This Row],[Ocorrência]]="",1,0)</f>
        <v>1</v>
      </c>
      <c r="Z1031" s="2">
        <f>fNotasFiscais[[#This Row],[On Time]]*fNotasFiscais[[#This Row],[In Full]]</f>
        <v>1</v>
      </c>
      <c r="AA1031">
        <f>IF(fNotasFiscais[[#This Row],[Nota Fiscal]]&lt;&gt;"",1,0)</f>
        <v>1</v>
      </c>
    </row>
    <row r="1032" spans="1:27" x14ac:dyDescent="0.25">
      <c r="A1032" s="1">
        <v>43414</v>
      </c>
      <c r="B1032">
        <v>11441</v>
      </c>
      <c r="C1032" s="2" t="s">
        <v>22</v>
      </c>
      <c r="D1032" s="2" t="s">
        <v>23</v>
      </c>
      <c r="E1032" s="2" t="s">
        <v>24</v>
      </c>
      <c r="F1032">
        <v>4040</v>
      </c>
      <c r="G1032" s="2" t="s">
        <v>117</v>
      </c>
      <c r="H1032" s="2" t="s">
        <v>47</v>
      </c>
      <c r="I1032" s="2" t="s">
        <v>48</v>
      </c>
      <c r="J1032" s="2" t="s">
        <v>49</v>
      </c>
      <c r="K1032" s="2" t="s">
        <v>48</v>
      </c>
      <c r="L1032">
        <v>1973.01</v>
      </c>
      <c r="M1032">
        <v>4</v>
      </c>
      <c r="N1032">
        <v>12.497999999999999</v>
      </c>
      <c r="O1032">
        <v>6100231</v>
      </c>
      <c r="P1032" s="2" t="s">
        <v>50</v>
      </c>
      <c r="Q1032" s="2" t="s">
        <v>51</v>
      </c>
      <c r="R1032" s="2" t="s">
        <v>30</v>
      </c>
      <c r="S1032">
        <v>9</v>
      </c>
      <c r="T1032" s="1">
        <v>43414</v>
      </c>
      <c r="U1032" s="1">
        <v>43421</v>
      </c>
      <c r="V1032" s="2"/>
      <c r="W1032" s="1">
        <f>fNotasFiscais[[#This Row],[Data da Coleta]]+fNotasFiscais[[#This Row],[Prazo Contratado]]</f>
        <v>43423</v>
      </c>
      <c r="X1032" s="3">
        <f>IF(fNotasFiscais[[#This Row],[Data da Entrega]]&gt;fNotasFiscais[[#This Row],[Data Contratada]],0,1)</f>
        <v>1</v>
      </c>
      <c r="Y1032" s="3">
        <f>IF(fNotasFiscais[[#This Row],[Ocorrência]]="",1,0)</f>
        <v>1</v>
      </c>
      <c r="Z1032" s="2">
        <f>fNotasFiscais[[#This Row],[On Time]]*fNotasFiscais[[#This Row],[In Full]]</f>
        <v>1</v>
      </c>
      <c r="AA1032">
        <f>IF(fNotasFiscais[[#This Row],[Nota Fiscal]]&lt;&gt;"",1,0)</f>
        <v>1</v>
      </c>
    </row>
    <row r="1033" spans="1:27" x14ac:dyDescent="0.25">
      <c r="A1033" s="1">
        <v>43414</v>
      </c>
      <c r="B1033">
        <v>11442</v>
      </c>
      <c r="C1033" s="2" t="s">
        <v>34</v>
      </c>
      <c r="D1033" s="2" t="s">
        <v>35</v>
      </c>
      <c r="E1033" s="2" t="s">
        <v>36</v>
      </c>
      <c r="F1033">
        <v>4055</v>
      </c>
      <c r="G1033" s="2" t="s">
        <v>120</v>
      </c>
      <c r="H1033" s="2" t="s">
        <v>47</v>
      </c>
      <c r="I1033" s="2" t="s">
        <v>48</v>
      </c>
      <c r="J1033" s="2" t="s">
        <v>49</v>
      </c>
      <c r="K1033" s="2" t="s">
        <v>48</v>
      </c>
      <c r="L1033">
        <v>1623.92</v>
      </c>
      <c r="M1033">
        <v>2</v>
      </c>
      <c r="N1033">
        <v>15.055</v>
      </c>
      <c r="O1033">
        <v>6100231</v>
      </c>
      <c r="P1033" s="2" t="s">
        <v>50</v>
      </c>
      <c r="Q1033" s="2" t="s">
        <v>51</v>
      </c>
      <c r="R1033" s="2" t="s">
        <v>30</v>
      </c>
      <c r="S1033">
        <v>7</v>
      </c>
      <c r="T1033" s="1">
        <v>43414</v>
      </c>
      <c r="U1033" s="1">
        <v>43422</v>
      </c>
      <c r="V1033" s="2"/>
      <c r="W1033" s="1">
        <f>fNotasFiscais[[#This Row],[Data da Coleta]]+fNotasFiscais[[#This Row],[Prazo Contratado]]</f>
        <v>43421</v>
      </c>
      <c r="X1033" s="3">
        <f>IF(fNotasFiscais[[#This Row],[Data da Entrega]]&gt;fNotasFiscais[[#This Row],[Data Contratada]],0,1)</f>
        <v>0</v>
      </c>
      <c r="Y1033" s="3">
        <f>IF(fNotasFiscais[[#This Row],[Ocorrência]]="",1,0)</f>
        <v>1</v>
      </c>
      <c r="Z1033" s="2">
        <f>fNotasFiscais[[#This Row],[On Time]]*fNotasFiscais[[#This Row],[In Full]]</f>
        <v>0</v>
      </c>
      <c r="AA1033">
        <f>IF(fNotasFiscais[[#This Row],[Nota Fiscal]]&lt;&gt;"",1,0)</f>
        <v>1</v>
      </c>
    </row>
    <row r="1034" spans="1:27" x14ac:dyDescent="0.25">
      <c r="A1034" s="1">
        <v>43414</v>
      </c>
      <c r="B1034">
        <v>11443</v>
      </c>
      <c r="C1034" s="2" t="s">
        <v>43</v>
      </c>
      <c r="D1034" s="2" t="s">
        <v>44</v>
      </c>
      <c r="E1034" s="2" t="s">
        <v>45</v>
      </c>
      <c r="F1034">
        <v>4028</v>
      </c>
      <c r="G1034" s="2" t="s">
        <v>95</v>
      </c>
      <c r="H1034" s="2" t="s">
        <v>26</v>
      </c>
      <c r="I1034" s="2" t="s">
        <v>27</v>
      </c>
      <c r="J1034" s="2" t="s">
        <v>28</v>
      </c>
      <c r="K1034" s="2" t="s">
        <v>27</v>
      </c>
      <c r="L1034">
        <v>1829.53</v>
      </c>
      <c r="M1034">
        <v>3</v>
      </c>
      <c r="N1034">
        <v>4.95</v>
      </c>
      <c r="O1034">
        <v>6500948</v>
      </c>
      <c r="P1034" s="2" t="s">
        <v>29</v>
      </c>
      <c r="Q1034" s="2" t="s">
        <v>23</v>
      </c>
      <c r="R1034" s="2" t="s">
        <v>30</v>
      </c>
      <c r="S1034">
        <v>6</v>
      </c>
      <c r="T1034" s="1">
        <v>43414</v>
      </c>
      <c r="U1034" s="1">
        <v>43415</v>
      </c>
      <c r="V1034" s="2"/>
      <c r="W1034" s="1">
        <f>fNotasFiscais[[#This Row],[Data da Coleta]]+fNotasFiscais[[#This Row],[Prazo Contratado]]</f>
        <v>43420</v>
      </c>
      <c r="X1034" s="3">
        <f>IF(fNotasFiscais[[#This Row],[Data da Entrega]]&gt;fNotasFiscais[[#This Row],[Data Contratada]],0,1)</f>
        <v>1</v>
      </c>
      <c r="Y1034" s="3">
        <f>IF(fNotasFiscais[[#This Row],[Ocorrência]]="",1,0)</f>
        <v>1</v>
      </c>
      <c r="Z1034" s="2">
        <f>fNotasFiscais[[#This Row],[On Time]]*fNotasFiscais[[#This Row],[In Full]]</f>
        <v>1</v>
      </c>
      <c r="AA1034">
        <f>IF(fNotasFiscais[[#This Row],[Nota Fiscal]]&lt;&gt;"",1,0)</f>
        <v>1</v>
      </c>
    </row>
    <row r="1035" spans="1:27" x14ac:dyDescent="0.25">
      <c r="A1035" s="1">
        <v>43414</v>
      </c>
      <c r="B1035">
        <v>11444</v>
      </c>
      <c r="C1035" s="2" t="s">
        <v>52</v>
      </c>
      <c r="D1035" s="2" t="s">
        <v>53</v>
      </c>
      <c r="E1035" s="2" t="s">
        <v>33</v>
      </c>
      <c r="F1035">
        <v>4019</v>
      </c>
      <c r="G1035" s="2" t="s">
        <v>79</v>
      </c>
      <c r="H1035" s="2" t="s">
        <v>80</v>
      </c>
      <c r="I1035" s="2" t="s">
        <v>39</v>
      </c>
      <c r="J1035" s="2" t="s">
        <v>28</v>
      </c>
      <c r="K1035" s="2" t="s">
        <v>39</v>
      </c>
      <c r="L1035">
        <v>515.92999999999995</v>
      </c>
      <c r="M1035">
        <v>1</v>
      </c>
      <c r="N1035">
        <v>1.177</v>
      </c>
      <c r="O1035">
        <v>6500948</v>
      </c>
      <c r="P1035" s="2" t="s">
        <v>29</v>
      </c>
      <c r="Q1035" s="2" t="s">
        <v>23</v>
      </c>
      <c r="R1035" s="2" t="s">
        <v>30</v>
      </c>
      <c r="S1035">
        <v>9</v>
      </c>
      <c r="T1035" s="1">
        <v>43414</v>
      </c>
      <c r="U1035" s="1">
        <v>43418</v>
      </c>
      <c r="V1035" s="2" t="s">
        <v>42</v>
      </c>
      <c r="W1035" s="1">
        <f>fNotasFiscais[[#This Row],[Data da Coleta]]+fNotasFiscais[[#This Row],[Prazo Contratado]]</f>
        <v>43423</v>
      </c>
      <c r="X1035" s="3">
        <f>IF(fNotasFiscais[[#This Row],[Data da Entrega]]&gt;fNotasFiscais[[#This Row],[Data Contratada]],0,1)</f>
        <v>1</v>
      </c>
      <c r="Y1035" s="3">
        <f>IF(fNotasFiscais[[#This Row],[Ocorrência]]="",1,0)</f>
        <v>0</v>
      </c>
      <c r="Z1035" s="2">
        <f>fNotasFiscais[[#This Row],[On Time]]*fNotasFiscais[[#This Row],[In Full]]</f>
        <v>0</v>
      </c>
      <c r="AA1035">
        <f>IF(fNotasFiscais[[#This Row],[Nota Fiscal]]&lt;&gt;"",1,0)</f>
        <v>1</v>
      </c>
    </row>
    <row r="1036" spans="1:27" x14ac:dyDescent="0.25">
      <c r="A1036" s="1">
        <v>43414</v>
      </c>
      <c r="B1036">
        <v>11445</v>
      </c>
      <c r="C1036" s="2" t="s">
        <v>43</v>
      </c>
      <c r="D1036" s="2" t="s">
        <v>44</v>
      </c>
      <c r="E1036" s="2" t="s">
        <v>45</v>
      </c>
      <c r="F1036">
        <v>4040</v>
      </c>
      <c r="G1036" s="2" t="s">
        <v>117</v>
      </c>
      <c r="H1036" s="2" t="s">
        <v>47</v>
      </c>
      <c r="I1036" s="2" t="s">
        <v>48</v>
      </c>
      <c r="J1036" s="2" t="s">
        <v>49</v>
      </c>
      <c r="K1036" s="2" t="s">
        <v>48</v>
      </c>
      <c r="L1036">
        <v>1184.24</v>
      </c>
      <c r="M1036">
        <v>1</v>
      </c>
      <c r="N1036">
        <v>6.2380000000000004</v>
      </c>
      <c r="O1036">
        <v>6100231</v>
      </c>
      <c r="P1036" s="2" t="s">
        <v>50</v>
      </c>
      <c r="Q1036" s="2" t="s">
        <v>51</v>
      </c>
      <c r="R1036" s="2" t="s">
        <v>30</v>
      </c>
      <c r="S1036">
        <v>3</v>
      </c>
      <c r="T1036" s="1">
        <v>43414</v>
      </c>
      <c r="U1036" s="1">
        <v>43420</v>
      </c>
      <c r="V1036" s="2"/>
      <c r="W1036" s="1">
        <f>fNotasFiscais[[#This Row],[Data da Coleta]]+fNotasFiscais[[#This Row],[Prazo Contratado]]</f>
        <v>43417</v>
      </c>
      <c r="X1036" s="3">
        <f>IF(fNotasFiscais[[#This Row],[Data da Entrega]]&gt;fNotasFiscais[[#This Row],[Data Contratada]],0,1)</f>
        <v>0</v>
      </c>
      <c r="Y1036" s="3">
        <f>IF(fNotasFiscais[[#This Row],[Ocorrência]]="",1,0)</f>
        <v>1</v>
      </c>
      <c r="Z1036" s="2">
        <f>fNotasFiscais[[#This Row],[On Time]]*fNotasFiscais[[#This Row],[In Full]]</f>
        <v>0</v>
      </c>
      <c r="AA1036">
        <f>IF(fNotasFiscais[[#This Row],[Nota Fiscal]]&lt;&gt;"",1,0)</f>
        <v>1</v>
      </c>
    </row>
    <row r="1037" spans="1:27" x14ac:dyDescent="0.25">
      <c r="A1037" s="1">
        <v>43414</v>
      </c>
      <c r="B1037">
        <v>11446</v>
      </c>
      <c r="C1037" s="2" t="s">
        <v>22</v>
      </c>
      <c r="D1037" s="2" t="s">
        <v>23</v>
      </c>
      <c r="E1037" s="2" t="s">
        <v>24</v>
      </c>
      <c r="F1037">
        <v>4055</v>
      </c>
      <c r="G1037" s="2" t="s">
        <v>120</v>
      </c>
      <c r="H1037" s="2" t="s">
        <v>47</v>
      </c>
      <c r="I1037" s="2" t="s">
        <v>48</v>
      </c>
      <c r="J1037" s="2" t="s">
        <v>49</v>
      </c>
      <c r="K1037" s="2" t="s">
        <v>48</v>
      </c>
      <c r="L1037">
        <v>280.8</v>
      </c>
      <c r="M1037">
        <v>1</v>
      </c>
      <c r="N1037">
        <v>2.2000000000000002</v>
      </c>
      <c r="O1037">
        <v>6100231</v>
      </c>
      <c r="P1037" s="2" t="s">
        <v>50</v>
      </c>
      <c r="Q1037" s="2" t="s">
        <v>51</v>
      </c>
      <c r="R1037" s="2" t="s">
        <v>30</v>
      </c>
      <c r="S1037">
        <v>10</v>
      </c>
      <c r="T1037" s="1">
        <v>43414</v>
      </c>
      <c r="U1037" s="1">
        <v>43417</v>
      </c>
      <c r="V1037" s="2" t="s">
        <v>42</v>
      </c>
      <c r="W1037" s="1">
        <f>fNotasFiscais[[#This Row],[Data da Coleta]]+fNotasFiscais[[#This Row],[Prazo Contratado]]</f>
        <v>43424</v>
      </c>
      <c r="X1037" s="3">
        <f>IF(fNotasFiscais[[#This Row],[Data da Entrega]]&gt;fNotasFiscais[[#This Row],[Data Contratada]],0,1)</f>
        <v>1</v>
      </c>
      <c r="Y1037" s="3">
        <f>IF(fNotasFiscais[[#This Row],[Ocorrência]]="",1,0)</f>
        <v>0</v>
      </c>
      <c r="Z1037" s="2">
        <f>fNotasFiscais[[#This Row],[On Time]]*fNotasFiscais[[#This Row],[In Full]]</f>
        <v>0</v>
      </c>
      <c r="AA1037">
        <f>IF(fNotasFiscais[[#This Row],[Nota Fiscal]]&lt;&gt;"",1,0)</f>
        <v>1</v>
      </c>
    </row>
    <row r="1038" spans="1:27" x14ac:dyDescent="0.25">
      <c r="A1038" s="1">
        <v>43414</v>
      </c>
      <c r="B1038">
        <v>11447</v>
      </c>
      <c r="C1038" s="2" t="s">
        <v>54</v>
      </c>
      <c r="D1038" s="2" t="s">
        <v>55</v>
      </c>
      <c r="E1038" s="2" t="s">
        <v>56</v>
      </c>
      <c r="F1038">
        <v>4030</v>
      </c>
      <c r="G1038" s="2" t="s">
        <v>102</v>
      </c>
      <c r="H1038" s="2" t="s">
        <v>35</v>
      </c>
      <c r="I1038" s="2" t="s">
        <v>36</v>
      </c>
      <c r="J1038" s="2" t="s">
        <v>60</v>
      </c>
      <c r="K1038" s="2" t="s">
        <v>36</v>
      </c>
      <c r="L1038">
        <v>380.64</v>
      </c>
      <c r="M1038">
        <v>6</v>
      </c>
      <c r="N1038">
        <v>26.536000000000001</v>
      </c>
      <c r="O1038">
        <v>6600879</v>
      </c>
      <c r="P1038" s="2" t="s">
        <v>61</v>
      </c>
      <c r="Q1038" s="2" t="s">
        <v>35</v>
      </c>
      <c r="R1038" s="2" t="s">
        <v>30</v>
      </c>
      <c r="S1038">
        <v>6</v>
      </c>
      <c r="T1038" s="1">
        <v>43414</v>
      </c>
      <c r="U1038" s="1">
        <v>43420</v>
      </c>
      <c r="V1038" s="2"/>
      <c r="W1038" s="1">
        <f>fNotasFiscais[[#This Row],[Data da Coleta]]+fNotasFiscais[[#This Row],[Prazo Contratado]]</f>
        <v>43420</v>
      </c>
      <c r="X1038" s="3">
        <f>IF(fNotasFiscais[[#This Row],[Data da Entrega]]&gt;fNotasFiscais[[#This Row],[Data Contratada]],0,1)</f>
        <v>1</v>
      </c>
      <c r="Y1038" s="3">
        <f>IF(fNotasFiscais[[#This Row],[Ocorrência]]="",1,0)</f>
        <v>1</v>
      </c>
      <c r="Z1038" s="2">
        <f>fNotasFiscais[[#This Row],[On Time]]*fNotasFiscais[[#This Row],[In Full]]</f>
        <v>1</v>
      </c>
      <c r="AA1038">
        <f>IF(fNotasFiscais[[#This Row],[Nota Fiscal]]&lt;&gt;"",1,0)</f>
        <v>1</v>
      </c>
    </row>
    <row r="1039" spans="1:27" x14ac:dyDescent="0.25">
      <c r="A1039" s="1">
        <v>43414</v>
      </c>
      <c r="B1039">
        <v>11448</v>
      </c>
      <c r="C1039" s="2" t="s">
        <v>31</v>
      </c>
      <c r="D1039" s="2" t="s">
        <v>32</v>
      </c>
      <c r="E1039" s="2" t="s">
        <v>33</v>
      </c>
      <c r="F1039">
        <v>4030</v>
      </c>
      <c r="G1039" s="2" t="s">
        <v>102</v>
      </c>
      <c r="H1039" s="2" t="s">
        <v>35</v>
      </c>
      <c r="I1039" s="2" t="s">
        <v>36</v>
      </c>
      <c r="J1039" s="2" t="s">
        <v>60</v>
      </c>
      <c r="K1039" s="2" t="s">
        <v>36</v>
      </c>
      <c r="L1039">
        <v>1879.98</v>
      </c>
      <c r="M1039">
        <v>1</v>
      </c>
      <c r="N1039">
        <v>1.1200000000000001</v>
      </c>
      <c r="O1039">
        <v>6600879</v>
      </c>
      <c r="P1039" s="2" t="s">
        <v>61</v>
      </c>
      <c r="Q1039" s="2" t="s">
        <v>35</v>
      </c>
      <c r="R1039" s="2" t="s">
        <v>30</v>
      </c>
      <c r="S1039">
        <v>6</v>
      </c>
      <c r="T1039" s="1">
        <v>43414</v>
      </c>
      <c r="U1039" s="1">
        <v>43419</v>
      </c>
      <c r="V1039" s="2"/>
      <c r="W1039" s="1">
        <f>fNotasFiscais[[#This Row],[Data da Coleta]]+fNotasFiscais[[#This Row],[Prazo Contratado]]</f>
        <v>43420</v>
      </c>
      <c r="X1039" s="3">
        <f>IF(fNotasFiscais[[#This Row],[Data da Entrega]]&gt;fNotasFiscais[[#This Row],[Data Contratada]],0,1)</f>
        <v>1</v>
      </c>
      <c r="Y1039" s="3">
        <f>IF(fNotasFiscais[[#This Row],[Ocorrência]]="",1,0)</f>
        <v>1</v>
      </c>
      <c r="Z1039" s="2">
        <f>fNotasFiscais[[#This Row],[On Time]]*fNotasFiscais[[#This Row],[In Full]]</f>
        <v>1</v>
      </c>
      <c r="AA1039">
        <f>IF(fNotasFiscais[[#This Row],[Nota Fiscal]]&lt;&gt;"",1,0)</f>
        <v>1</v>
      </c>
    </row>
    <row r="1040" spans="1:27" x14ac:dyDescent="0.25">
      <c r="A1040" s="1">
        <v>43414</v>
      </c>
      <c r="B1040">
        <v>11449</v>
      </c>
      <c r="C1040" s="2" t="s">
        <v>31</v>
      </c>
      <c r="D1040" s="2" t="s">
        <v>32</v>
      </c>
      <c r="E1040" s="2" t="s">
        <v>33</v>
      </c>
      <c r="F1040">
        <v>4019</v>
      </c>
      <c r="G1040" s="2" t="s">
        <v>79</v>
      </c>
      <c r="H1040" s="2" t="s">
        <v>80</v>
      </c>
      <c r="I1040" s="2" t="s">
        <v>39</v>
      </c>
      <c r="J1040" s="2" t="s">
        <v>28</v>
      </c>
      <c r="K1040" s="2" t="s">
        <v>39</v>
      </c>
      <c r="L1040">
        <v>1286.69</v>
      </c>
      <c r="M1040">
        <v>1</v>
      </c>
      <c r="N1040">
        <v>6.2590000000000003</v>
      </c>
      <c r="O1040">
        <v>6500948</v>
      </c>
      <c r="P1040" s="2" t="s">
        <v>29</v>
      </c>
      <c r="Q1040" s="2" t="s">
        <v>23</v>
      </c>
      <c r="R1040" s="2" t="s">
        <v>30</v>
      </c>
      <c r="S1040">
        <v>4</v>
      </c>
      <c r="T1040" s="1">
        <v>43414</v>
      </c>
      <c r="U1040" s="1">
        <v>43417</v>
      </c>
      <c r="V1040" s="2"/>
      <c r="W1040" s="1">
        <f>fNotasFiscais[[#This Row],[Data da Coleta]]+fNotasFiscais[[#This Row],[Prazo Contratado]]</f>
        <v>43418</v>
      </c>
      <c r="X1040" s="3">
        <f>IF(fNotasFiscais[[#This Row],[Data da Entrega]]&gt;fNotasFiscais[[#This Row],[Data Contratada]],0,1)</f>
        <v>1</v>
      </c>
      <c r="Y1040" s="3">
        <f>IF(fNotasFiscais[[#This Row],[Ocorrência]]="",1,0)</f>
        <v>1</v>
      </c>
      <c r="Z1040" s="2">
        <f>fNotasFiscais[[#This Row],[On Time]]*fNotasFiscais[[#This Row],[In Full]]</f>
        <v>1</v>
      </c>
      <c r="AA1040">
        <f>IF(fNotasFiscais[[#This Row],[Nota Fiscal]]&lt;&gt;"",1,0)</f>
        <v>1</v>
      </c>
    </row>
    <row r="1041" spans="1:27" x14ac:dyDescent="0.25">
      <c r="A1041" s="1">
        <v>43414</v>
      </c>
      <c r="B1041">
        <v>11450</v>
      </c>
      <c r="C1041" s="2" t="s">
        <v>43</v>
      </c>
      <c r="D1041" s="2" t="s">
        <v>44</v>
      </c>
      <c r="E1041" s="2" t="s">
        <v>45</v>
      </c>
      <c r="F1041">
        <v>4013</v>
      </c>
      <c r="G1041" s="2" t="s">
        <v>37</v>
      </c>
      <c r="H1041" s="2" t="s">
        <v>38</v>
      </c>
      <c r="I1041" s="2" t="s">
        <v>39</v>
      </c>
      <c r="J1041" s="2" t="s">
        <v>28</v>
      </c>
      <c r="K1041" s="2" t="s">
        <v>39</v>
      </c>
      <c r="L1041">
        <v>3162.63</v>
      </c>
      <c r="M1041">
        <v>3</v>
      </c>
      <c r="N1041">
        <v>22.071999999999999</v>
      </c>
      <c r="O1041">
        <v>6500948</v>
      </c>
      <c r="P1041" s="2" t="s">
        <v>29</v>
      </c>
      <c r="Q1041" s="2" t="s">
        <v>23</v>
      </c>
      <c r="R1041" s="2" t="s">
        <v>30</v>
      </c>
      <c r="S1041">
        <v>12</v>
      </c>
      <c r="T1041" s="1">
        <v>43414</v>
      </c>
      <c r="U1041" s="1">
        <v>43415</v>
      </c>
      <c r="V1041" s="2"/>
      <c r="W1041" s="1">
        <f>fNotasFiscais[[#This Row],[Data da Coleta]]+fNotasFiscais[[#This Row],[Prazo Contratado]]</f>
        <v>43426</v>
      </c>
      <c r="X1041" s="3">
        <f>IF(fNotasFiscais[[#This Row],[Data da Entrega]]&gt;fNotasFiscais[[#This Row],[Data Contratada]],0,1)</f>
        <v>1</v>
      </c>
      <c r="Y1041" s="3">
        <f>IF(fNotasFiscais[[#This Row],[Ocorrência]]="",1,0)</f>
        <v>1</v>
      </c>
      <c r="Z1041" s="2">
        <f>fNotasFiscais[[#This Row],[On Time]]*fNotasFiscais[[#This Row],[In Full]]</f>
        <v>1</v>
      </c>
      <c r="AA1041">
        <f>IF(fNotasFiscais[[#This Row],[Nota Fiscal]]&lt;&gt;"",1,0)</f>
        <v>1</v>
      </c>
    </row>
    <row r="1042" spans="1:27" x14ac:dyDescent="0.25">
      <c r="A1042" s="1">
        <v>43414</v>
      </c>
      <c r="B1042">
        <v>11451</v>
      </c>
      <c r="C1042" s="2" t="s">
        <v>40</v>
      </c>
      <c r="D1042" s="2" t="s">
        <v>41</v>
      </c>
      <c r="E1042" s="2" t="s">
        <v>33</v>
      </c>
      <c r="F1042">
        <v>4013</v>
      </c>
      <c r="G1042" s="2" t="s">
        <v>37</v>
      </c>
      <c r="H1042" s="2" t="s">
        <v>38</v>
      </c>
      <c r="I1042" s="2" t="s">
        <v>39</v>
      </c>
      <c r="J1042" s="2" t="s">
        <v>28</v>
      </c>
      <c r="K1042" s="2" t="s">
        <v>39</v>
      </c>
      <c r="L1042">
        <v>659.31</v>
      </c>
      <c r="M1042">
        <v>2</v>
      </c>
      <c r="N1042">
        <v>28.353999999999999</v>
      </c>
      <c r="O1042">
        <v>6500948</v>
      </c>
      <c r="P1042" s="2" t="s">
        <v>29</v>
      </c>
      <c r="Q1042" s="2" t="s">
        <v>23</v>
      </c>
      <c r="R1042" s="2" t="s">
        <v>30</v>
      </c>
      <c r="S1042">
        <v>6</v>
      </c>
      <c r="T1042" s="1">
        <v>43414</v>
      </c>
      <c r="U1042" s="1">
        <v>43420</v>
      </c>
      <c r="V1042" s="2"/>
      <c r="W1042" s="1">
        <f>fNotasFiscais[[#This Row],[Data da Coleta]]+fNotasFiscais[[#This Row],[Prazo Contratado]]</f>
        <v>43420</v>
      </c>
      <c r="X1042" s="3">
        <f>IF(fNotasFiscais[[#This Row],[Data da Entrega]]&gt;fNotasFiscais[[#This Row],[Data Contratada]],0,1)</f>
        <v>1</v>
      </c>
      <c r="Y1042" s="3">
        <f>IF(fNotasFiscais[[#This Row],[Ocorrência]]="",1,0)</f>
        <v>1</v>
      </c>
      <c r="Z1042" s="2">
        <f>fNotasFiscais[[#This Row],[On Time]]*fNotasFiscais[[#This Row],[In Full]]</f>
        <v>1</v>
      </c>
      <c r="AA1042">
        <f>IF(fNotasFiscais[[#This Row],[Nota Fiscal]]&lt;&gt;"",1,0)</f>
        <v>1</v>
      </c>
    </row>
    <row r="1043" spans="1:27" x14ac:dyDescent="0.25">
      <c r="A1043" s="1">
        <v>43413</v>
      </c>
      <c r="B1043">
        <v>11452</v>
      </c>
      <c r="C1043" s="2" t="s">
        <v>34</v>
      </c>
      <c r="D1043" s="2" t="s">
        <v>35</v>
      </c>
      <c r="E1043" s="2" t="s">
        <v>36</v>
      </c>
      <c r="F1043">
        <v>4019</v>
      </c>
      <c r="G1043" s="2" t="s">
        <v>79</v>
      </c>
      <c r="H1043" s="2" t="s">
        <v>80</v>
      </c>
      <c r="I1043" s="2" t="s">
        <v>39</v>
      </c>
      <c r="J1043" s="2" t="s">
        <v>28</v>
      </c>
      <c r="K1043" s="2" t="s">
        <v>39</v>
      </c>
      <c r="L1043">
        <v>1299.6600000000001</v>
      </c>
      <c r="M1043">
        <v>1</v>
      </c>
      <c r="N1043">
        <v>1.1200000000000001</v>
      </c>
      <c r="O1043">
        <v>6500948</v>
      </c>
      <c r="P1043" s="2" t="s">
        <v>29</v>
      </c>
      <c r="Q1043" s="2" t="s">
        <v>23</v>
      </c>
      <c r="R1043" s="2" t="s">
        <v>30</v>
      </c>
      <c r="S1043">
        <v>8</v>
      </c>
      <c r="T1043" s="1">
        <v>43414</v>
      </c>
      <c r="U1043" s="1">
        <v>43415</v>
      </c>
      <c r="V1043" s="2"/>
      <c r="W1043" s="1">
        <f>fNotasFiscais[[#This Row],[Data da Coleta]]+fNotasFiscais[[#This Row],[Prazo Contratado]]</f>
        <v>43422</v>
      </c>
      <c r="X1043" s="3">
        <f>IF(fNotasFiscais[[#This Row],[Data da Entrega]]&gt;fNotasFiscais[[#This Row],[Data Contratada]],0,1)</f>
        <v>1</v>
      </c>
      <c r="Y1043" s="3">
        <f>IF(fNotasFiscais[[#This Row],[Ocorrência]]="",1,0)</f>
        <v>1</v>
      </c>
      <c r="Z1043" s="2">
        <f>fNotasFiscais[[#This Row],[On Time]]*fNotasFiscais[[#This Row],[In Full]]</f>
        <v>1</v>
      </c>
      <c r="AA1043">
        <f>IF(fNotasFiscais[[#This Row],[Nota Fiscal]]&lt;&gt;"",1,0)</f>
        <v>1</v>
      </c>
    </row>
    <row r="1044" spans="1:27" x14ac:dyDescent="0.25">
      <c r="A1044" s="1">
        <v>43413</v>
      </c>
      <c r="B1044">
        <v>11453</v>
      </c>
      <c r="C1044" s="2" t="s">
        <v>54</v>
      </c>
      <c r="D1044" s="2" t="s">
        <v>55</v>
      </c>
      <c r="E1044" s="2" t="s">
        <v>56</v>
      </c>
      <c r="F1044">
        <v>4019</v>
      </c>
      <c r="G1044" s="2" t="s">
        <v>79</v>
      </c>
      <c r="H1044" s="2" t="s">
        <v>80</v>
      </c>
      <c r="I1044" s="2" t="s">
        <v>39</v>
      </c>
      <c r="J1044" s="2" t="s">
        <v>28</v>
      </c>
      <c r="K1044" s="2" t="s">
        <v>39</v>
      </c>
      <c r="L1044">
        <v>431.76</v>
      </c>
      <c r="M1044">
        <v>1</v>
      </c>
      <c r="N1044">
        <v>1.1200000000000001</v>
      </c>
      <c r="O1044">
        <v>6500948</v>
      </c>
      <c r="P1044" s="2" t="s">
        <v>29</v>
      </c>
      <c r="Q1044" s="2" t="s">
        <v>23</v>
      </c>
      <c r="R1044" s="2" t="s">
        <v>30</v>
      </c>
      <c r="S1044">
        <v>2</v>
      </c>
      <c r="T1044" s="1">
        <v>43414</v>
      </c>
      <c r="U1044" s="1">
        <v>43421</v>
      </c>
      <c r="V1044" s="2"/>
      <c r="W1044" s="1">
        <f>fNotasFiscais[[#This Row],[Data da Coleta]]+fNotasFiscais[[#This Row],[Prazo Contratado]]</f>
        <v>43416</v>
      </c>
      <c r="X1044" s="3">
        <f>IF(fNotasFiscais[[#This Row],[Data da Entrega]]&gt;fNotasFiscais[[#This Row],[Data Contratada]],0,1)</f>
        <v>0</v>
      </c>
      <c r="Y1044" s="3">
        <f>IF(fNotasFiscais[[#This Row],[Ocorrência]]="",1,0)</f>
        <v>1</v>
      </c>
      <c r="Z1044" s="2">
        <f>fNotasFiscais[[#This Row],[On Time]]*fNotasFiscais[[#This Row],[In Full]]</f>
        <v>0</v>
      </c>
      <c r="AA1044">
        <f>IF(fNotasFiscais[[#This Row],[Nota Fiscal]]&lt;&gt;"",1,0)</f>
        <v>1</v>
      </c>
    </row>
    <row r="1045" spans="1:27" x14ac:dyDescent="0.25">
      <c r="A1045" s="1">
        <v>43414</v>
      </c>
      <c r="B1045">
        <v>11454</v>
      </c>
      <c r="C1045" s="2" t="s">
        <v>31</v>
      </c>
      <c r="D1045" s="2" t="s">
        <v>32</v>
      </c>
      <c r="E1045" s="2" t="s">
        <v>33</v>
      </c>
      <c r="F1045">
        <v>4068</v>
      </c>
      <c r="G1045" s="2" t="s">
        <v>63</v>
      </c>
      <c r="H1045" s="2" t="s">
        <v>64</v>
      </c>
      <c r="I1045" s="2" t="s">
        <v>65</v>
      </c>
      <c r="J1045" s="2" t="s">
        <v>49</v>
      </c>
      <c r="K1045" s="2" t="s">
        <v>65</v>
      </c>
      <c r="L1045">
        <v>892.76</v>
      </c>
      <c r="M1045">
        <v>3</v>
      </c>
      <c r="N1045">
        <v>8.6389999999999993</v>
      </c>
      <c r="O1045">
        <v>6100231</v>
      </c>
      <c r="P1045" s="2" t="s">
        <v>50</v>
      </c>
      <c r="Q1045" s="2" t="s">
        <v>51</v>
      </c>
      <c r="R1045" s="2" t="s">
        <v>30</v>
      </c>
      <c r="S1045">
        <v>5</v>
      </c>
      <c r="T1045" s="1">
        <v>43415</v>
      </c>
      <c r="U1045" s="1">
        <v>43421</v>
      </c>
      <c r="V1045" s="2"/>
      <c r="W1045" s="1">
        <f>fNotasFiscais[[#This Row],[Data da Coleta]]+fNotasFiscais[[#This Row],[Prazo Contratado]]</f>
        <v>43420</v>
      </c>
      <c r="X1045" s="3">
        <f>IF(fNotasFiscais[[#This Row],[Data da Entrega]]&gt;fNotasFiscais[[#This Row],[Data Contratada]],0,1)</f>
        <v>0</v>
      </c>
      <c r="Y1045" s="3">
        <f>IF(fNotasFiscais[[#This Row],[Ocorrência]]="",1,0)</f>
        <v>1</v>
      </c>
      <c r="Z1045" s="2">
        <f>fNotasFiscais[[#This Row],[On Time]]*fNotasFiscais[[#This Row],[In Full]]</f>
        <v>0</v>
      </c>
      <c r="AA1045">
        <f>IF(fNotasFiscais[[#This Row],[Nota Fiscal]]&lt;&gt;"",1,0)</f>
        <v>1</v>
      </c>
    </row>
    <row r="1046" spans="1:27" x14ac:dyDescent="0.25">
      <c r="A1046" s="1">
        <v>43416</v>
      </c>
      <c r="B1046">
        <v>11455</v>
      </c>
      <c r="C1046" s="2" t="s">
        <v>22</v>
      </c>
      <c r="D1046" s="2" t="s">
        <v>23</v>
      </c>
      <c r="E1046" s="2" t="s">
        <v>24</v>
      </c>
      <c r="F1046">
        <v>4128</v>
      </c>
      <c r="G1046" s="2" t="s">
        <v>211</v>
      </c>
      <c r="H1046" s="2" t="s">
        <v>167</v>
      </c>
      <c r="I1046" s="2" t="s">
        <v>168</v>
      </c>
      <c r="J1046" s="2" t="s">
        <v>169</v>
      </c>
      <c r="K1046" s="2" t="s">
        <v>168</v>
      </c>
      <c r="L1046">
        <v>533.78</v>
      </c>
      <c r="M1046">
        <v>3</v>
      </c>
      <c r="N1046">
        <v>2.5209999999999999</v>
      </c>
      <c r="O1046">
        <v>6900304</v>
      </c>
      <c r="P1046" s="2" t="s">
        <v>170</v>
      </c>
      <c r="Q1046" s="2" t="s">
        <v>171</v>
      </c>
      <c r="R1046" s="2" t="s">
        <v>30</v>
      </c>
      <c r="S1046">
        <v>11</v>
      </c>
      <c r="T1046" s="1">
        <v>43417</v>
      </c>
      <c r="U1046" s="1">
        <v>43424</v>
      </c>
      <c r="V1046" s="2"/>
      <c r="W1046" s="1">
        <f>fNotasFiscais[[#This Row],[Data da Coleta]]+fNotasFiscais[[#This Row],[Prazo Contratado]]</f>
        <v>43428</v>
      </c>
      <c r="X1046" s="3">
        <f>IF(fNotasFiscais[[#This Row],[Data da Entrega]]&gt;fNotasFiscais[[#This Row],[Data Contratada]],0,1)</f>
        <v>1</v>
      </c>
      <c r="Y1046" s="3">
        <f>IF(fNotasFiscais[[#This Row],[Ocorrência]]="",1,0)</f>
        <v>1</v>
      </c>
      <c r="Z1046" s="2">
        <f>fNotasFiscais[[#This Row],[On Time]]*fNotasFiscais[[#This Row],[In Full]]</f>
        <v>1</v>
      </c>
      <c r="AA1046">
        <f>IF(fNotasFiscais[[#This Row],[Nota Fiscal]]&lt;&gt;"",1,0)</f>
        <v>1</v>
      </c>
    </row>
    <row r="1047" spans="1:27" x14ac:dyDescent="0.25">
      <c r="A1047" s="1">
        <v>43416</v>
      </c>
      <c r="B1047">
        <v>11456</v>
      </c>
      <c r="C1047" s="2" t="s">
        <v>22</v>
      </c>
      <c r="D1047" s="2" t="s">
        <v>23</v>
      </c>
      <c r="E1047" s="2" t="s">
        <v>24</v>
      </c>
      <c r="F1047">
        <v>4128</v>
      </c>
      <c r="G1047" s="2" t="s">
        <v>211</v>
      </c>
      <c r="H1047" s="2" t="s">
        <v>167</v>
      </c>
      <c r="I1047" s="2" t="s">
        <v>168</v>
      </c>
      <c r="J1047" s="2" t="s">
        <v>169</v>
      </c>
      <c r="K1047" s="2" t="s">
        <v>168</v>
      </c>
      <c r="L1047">
        <v>1842.69</v>
      </c>
      <c r="M1047">
        <v>2</v>
      </c>
      <c r="N1047">
        <v>3.6909999999999998</v>
      </c>
      <c r="O1047">
        <v>6900304</v>
      </c>
      <c r="P1047" s="2" t="s">
        <v>170</v>
      </c>
      <c r="Q1047" s="2" t="s">
        <v>171</v>
      </c>
      <c r="R1047" s="2" t="s">
        <v>30</v>
      </c>
      <c r="S1047">
        <v>9</v>
      </c>
      <c r="T1047" s="1">
        <v>43417</v>
      </c>
      <c r="U1047" s="1">
        <v>43419</v>
      </c>
      <c r="V1047" s="2"/>
      <c r="W1047" s="1">
        <f>fNotasFiscais[[#This Row],[Data da Coleta]]+fNotasFiscais[[#This Row],[Prazo Contratado]]</f>
        <v>43426</v>
      </c>
      <c r="X1047" s="3">
        <f>IF(fNotasFiscais[[#This Row],[Data da Entrega]]&gt;fNotasFiscais[[#This Row],[Data Contratada]],0,1)</f>
        <v>1</v>
      </c>
      <c r="Y1047" s="3">
        <f>IF(fNotasFiscais[[#This Row],[Ocorrência]]="",1,0)</f>
        <v>1</v>
      </c>
      <c r="Z1047" s="2">
        <f>fNotasFiscais[[#This Row],[On Time]]*fNotasFiscais[[#This Row],[In Full]]</f>
        <v>1</v>
      </c>
      <c r="AA1047">
        <f>IF(fNotasFiscais[[#This Row],[Nota Fiscal]]&lt;&gt;"",1,0)</f>
        <v>1</v>
      </c>
    </row>
    <row r="1048" spans="1:27" x14ac:dyDescent="0.25">
      <c r="A1048" s="1">
        <v>43416</v>
      </c>
      <c r="B1048">
        <v>11457</v>
      </c>
      <c r="C1048" s="2" t="s">
        <v>52</v>
      </c>
      <c r="D1048" s="2" t="s">
        <v>53</v>
      </c>
      <c r="E1048" s="2" t="s">
        <v>33</v>
      </c>
      <c r="F1048">
        <v>4128</v>
      </c>
      <c r="G1048" s="2" t="s">
        <v>211</v>
      </c>
      <c r="H1048" s="2" t="s">
        <v>167</v>
      </c>
      <c r="I1048" s="2" t="s">
        <v>168</v>
      </c>
      <c r="J1048" s="2" t="s">
        <v>169</v>
      </c>
      <c r="K1048" s="2" t="s">
        <v>168</v>
      </c>
      <c r="L1048">
        <v>847.77</v>
      </c>
      <c r="M1048">
        <v>3</v>
      </c>
      <c r="N1048">
        <v>8.6389999999999993</v>
      </c>
      <c r="O1048">
        <v>6900304</v>
      </c>
      <c r="P1048" s="2" t="s">
        <v>170</v>
      </c>
      <c r="Q1048" s="2" t="s">
        <v>171</v>
      </c>
      <c r="R1048" s="2" t="s">
        <v>30</v>
      </c>
      <c r="S1048">
        <v>10</v>
      </c>
      <c r="T1048" s="1">
        <v>43417</v>
      </c>
      <c r="U1048" s="1">
        <v>43423</v>
      </c>
      <c r="V1048" s="2"/>
      <c r="W1048" s="1">
        <f>fNotasFiscais[[#This Row],[Data da Coleta]]+fNotasFiscais[[#This Row],[Prazo Contratado]]</f>
        <v>43427</v>
      </c>
      <c r="X1048" s="3">
        <f>IF(fNotasFiscais[[#This Row],[Data da Entrega]]&gt;fNotasFiscais[[#This Row],[Data Contratada]],0,1)</f>
        <v>1</v>
      </c>
      <c r="Y1048" s="3">
        <f>IF(fNotasFiscais[[#This Row],[Ocorrência]]="",1,0)</f>
        <v>1</v>
      </c>
      <c r="Z1048" s="2">
        <f>fNotasFiscais[[#This Row],[On Time]]*fNotasFiscais[[#This Row],[In Full]]</f>
        <v>1</v>
      </c>
      <c r="AA1048">
        <f>IF(fNotasFiscais[[#This Row],[Nota Fiscal]]&lt;&gt;"",1,0)</f>
        <v>1</v>
      </c>
    </row>
    <row r="1049" spans="1:27" x14ac:dyDescent="0.25">
      <c r="A1049" s="1">
        <v>43416</v>
      </c>
      <c r="B1049">
        <v>11458</v>
      </c>
      <c r="C1049" s="2" t="s">
        <v>31</v>
      </c>
      <c r="D1049" s="2" t="s">
        <v>32</v>
      </c>
      <c r="E1049" s="2" t="s">
        <v>33</v>
      </c>
      <c r="F1049">
        <v>4068</v>
      </c>
      <c r="G1049" s="2" t="s">
        <v>63</v>
      </c>
      <c r="H1049" s="2" t="s">
        <v>64</v>
      </c>
      <c r="I1049" s="2" t="s">
        <v>65</v>
      </c>
      <c r="J1049" s="2" t="s">
        <v>49</v>
      </c>
      <c r="K1049" s="2" t="s">
        <v>65</v>
      </c>
      <c r="L1049">
        <v>1088.42</v>
      </c>
      <c r="M1049">
        <v>1</v>
      </c>
      <c r="N1049">
        <v>9.35</v>
      </c>
      <c r="O1049">
        <v>6100231</v>
      </c>
      <c r="P1049" s="2" t="s">
        <v>50</v>
      </c>
      <c r="Q1049" s="2" t="s">
        <v>51</v>
      </c>
      <c r="R1049" s="2" t="s">
        <v>30</v>
      </c>
      <c r="S1049">
        <v>9</v>
      </c>
      <c r="T1049" s="1">
        <v>43417</v>
      </c>
      <c r="U1049" s="1">
        <v>43420</v>
      </c>
      <c r="V1049" s="2"/>
      <c r="W1049" s="1">
        <f>fNotasFiscais[[#This Row],[Data da Coleta]]+fNotasFiscais[[#This Row],[Prazo Contratado]]</f>
        <v>43426</v>
      </c>
      <c r="X1049" s="3">
        <f>IF(fNotasFiscais[[#This Row],[Data da Entrega]]&gt;fNotasFiscais[[#This Row],[Data Contratada]],0,1)</f>
        <v>1</v>
      </c>
      <c r="Y1049" s="3">
        <f>IF(fNotasFiscais[[#This Row],[Ocorrência]]="",1,0)</f>
        <v>1</v>
      </c>
      <c r="Z1049" s="2">
        <f>fNotasFiscais[[#This Row],[On Time]]*fNotasFiscais[[#This Row],[In Full]]</f>
        <v>1</v>
      </c>
      <c r="AA1049">
        <f>IF(fNotasFiscais[[#This Row],[Nota Fiscal]]&lt;&gt;"",1,0)</f>
        <v>1</v>
      </c>
    </row>
    <row r="1050" spans="1:27" x14ac:dyDescent="0.25">
      <c r="A1050" s="1">
        <v>43416</v>
      </c>
      <c r="B1050">
        <v>11459</v>
      </c>
      <c r="C1050" s="2" t="s">
        <v>31</v>
      </c>
      <c r="D1050" s="2" t="s">
        <v>32</v>
      </c>
      <c r="E1050" s="2" t="s">
        <v>33</v>
      </c>
      <c r="F1050">
        <v>4022</v>
      </c>
      <c r="G1050" s="2" t="s">
        <v>86</v>
      </c>
      <c r="H1050" s="2" t="s">
        <v>87</v>
      </c>
      <c r="I1050" s="2" t="s">
        <v>27</v>
      </c>
      <c r="J1050" s="2" t="s">
        <v>28</v>
      </c>
      <c r="K1050" s="2" t="s">
        <v>27</v>
      </c>
      <c r="L1050">
        <v>531.42999999999995</v>
      </c>
      <c r="M1050">
        <v>1</v>
      </c>
      <c r="N1050">
        <v>1.177</v>
      </c>
      <c r="O1050">
        <v>6500948</v>
      </c>
      <c r="P1050" s="2" t="s">
        <v>29</v>
      </c>
      <c r="Q1050" s="2" t="s">
        <v>23</v>
      </c>
      <c r="R1050" s="2" t="s">
        <v>30</v>
      </c>
      <c r="S1050">
        <v>7</v>
      </c>
      <c r="T1050" s="1">
        <v>43417</v>
      </c>
      <c r="U1050" s="1">
        <v>43427</v>
      </c>
      <c r="V1050" s="2"/>
      <c r="W1050" s="1">
        <f>fNotasFiscais[[#This Row],[Data da Coleta]]+fNotasFiscais[[#This Row],[Prazo Contratado]]</f>
        <v>43424</v>
      </c>
      <c r="X1050" s="3">
        <f>IF(fNotasFiscais[[#This Row],[Data da Entrega]]&gt;fNotasFiscais[[#This Row],[Data Contratada]],0,1)</f>
        <v>0</v>
      </c>
      <c r="Y1050" s="3">
        <f>IF(fNotasFiscais[[#This Row],[Ocorrência]]="",1,0)</f>
        <v>1</v>
      </c>
      <c r="Z1050" s="2">
        <f>fNotasFiscais[[#This Row],[On Time]]*fNotasFiscais[[#This Row],[In Full]]</f>
        <v>0</v>
      </c>
      <c r="AA1050">
        <f>IF(fNotasFiscais[[#This Row],[Nota Fiscal]]&lt;&gt;"",1,0)</f>
        <v>1</v>
      </c>
    </row>
    <row r="1051" spans="1:27" x14ac:dyDescent="0.25">
      <c r="A1051" s="1">
        <v>43417</v>
      </c>
      <c r="B1051">
        <v>11460</v>
      </c>
      <c r="C1051" s="2" t="s">
        <v>52</v>
      </c>
      <c r="D1051" s="2" t="s">
        <v>53</v>
      </c>
      <c r="E1051" s="2" t="s">
        <v>33</v>
      </c>
      <c r="F1051">
        <v>4105</v>
      </c>
      <c r="G1051" s="2" t="s">
        <v>188</v>
      </c>
      <c r="H1051" s="2" t="s">
        <v>44</v>
      </c>
      <c r="I1051" s="2" t="s">
        <v>45</v>
      </c>
      <c r="J1051" s="2" t="s">
        <v>60</v>
      </c>
      <c r="K1051" s="2" t="s">
        <v>45</v>
      </c>
      <c r="L1051">
        <v>1583.53</v>
      </c>
      <c r="M1051">
        <v>1</v>
      </c>
      <c r="N1051">
        <v>11</v>
      </c>
      <c r="O1051">
        <v>6140092</v>
      </c>
      <c r="P1051" s="2" t="s">
        <v>137</v>
      </c>
      <c r="Q1051" s="2" t="s">
        <v>138</v>
      </c>
      <c r="R1051" s="2" t="s">
        <v>30</v>
      </c>
      <c r="S1051">
        <v>8</v>
      </c>
      <c r="T1051" s="1">
        <v>43418</v>
      </c>
      <c r="U1051" s="1">
        <v>43427</v>
      </c>
      <c r="V1051" s="2"/>
      <c r="W1051" s="1">
        <f>fNotasFiscais[[#This Row],[Data da Coleta]]+fNotasFiscais[[#This Row],[Prazo Contratado]]</f>
        <v>43426</v>
      </c>
      <c r="X1051" s="3">
        <f>IF(fNotasFiscais[[#This Row],[Data da Entrega]]&gt;fNotasFiscais[[#This Row],[Data Contratada]],0,1)</f>
        <v>0</v>
      </c>
      <c r="Y1051" s="3">
        <f>IF(fNotasFiscais[[#This Row],[Ocorrência]]="",1,0)</f>
        <v>1</v>
      </c>
      <c r="Z1051" s="2">
        <f>fNotasFiscais[[#This Row],[On Time]]*fNotasFiscais[[#This Row],[In Full]]</f>
        <v>0</v>
      </c>
      <c r="AA1051">
        <f>IF(fNotasFiscais[[#This Row],[Nota Fiscal]]&lt;&gt;"",1,0)</f>
        <v>1</v>
      </c>
    </row>
    <row r="1052" spans="1:27" x14ac:dyDescent="0.25">
      <c r="A1052" s="1">
        <v>43418</v>
      </c>
      <c r="B1052">
        <v>11461</v>
      </c>
      <c r="C1052" s="2" t="s">
        <v>40</v>
      </c>
      <c r="D1052" s="2" t="s">
        <v>41</v>
      </c>
      <c r="E1052" s="2" t="s">
        <v>33</v>
      </c>
      <c r="F1052">
        <v>4032</v>
      </c>
      <c r="G1052" s="2" t="s">
        <v>108</v>
      </c>
      <c r="H1052" s="2" t="s">
        <v>51</v>
      </c>
      <c r="I1052" s="2" t="s">
        <v>73</v>
      </c>
      <c r="J1052" s="2" t="s">
        <v>49</v>
      </c>
      <c r="K1052" s="2" t="s">
        <v>73</v>
      </c>
      <c r="L1052">
        <v>4566.1099999999997</v>
      </c>
      <c r="M1052">
        <v>11</v>
      </c>
      <c r="N1052">
        <v>61.886000000000003</v>
      </c>
      <c r="O1052">
        <v>6100231</v>
      </c>
      <c r="P1052" s="2" t="s">
        <v>50</v>
      </c>
      <c r="Q1052" s="2" t="s">
        <v>51</v>
      </c>
      <c r="R1052" s="2" t="s">
        <v>30</v>
      </c>
      <c r="S1052">
        <v>3</v>
      </c>
      <c r="T1052" s="1">
        <v>43418</v>
      </c>
      <c r="U1052" s="1">
        <v>43428</v>
      </c>
      <c r="V1052" s="2"/>
      <c r="W1052" s="1">
        <f>fNotasFiscais[[#This Row],[Data da Coleta]]+fNotasFiscais[[#This Row],[Prazo Contratado]]</f>
        <v>43421</v>
      </c>
      <c r="X1052" s="3">
        <f>IF(fNotasFiscais[[#This Row],[Data da Entrega]]&gt;fNotasFiscais[[#This Row],[Data Contratada]],0,1)</f>
        <v>0</v>
      </c>
      <c r="Y1052" s="3">
        <f>IF(fNotasFiscais[[#This Row],[Ocorrência]]="",1,0)</f>
        <v>1</v>
      </c>
      <c r="Z1052" s="2">
        <f>fNotasFiscais[[#This Row],[On Time]]*fNotasFiscais[[#This Row],[In Full]]</f>
        <v>0</v>
      </c>
      <c r="AA1052">
        <f>IF(fNotasFiscais[[#This Row],[Nota Fiscal]]&lt;&gt;"",1,0)</f>
        <v>1</v>
      </c>
    </row>
    <row r="1053" spans="1:27" x14ac:dyDescent="0.25">
      <c r="A1053" s="1">
        <v>43420</v>
      </c>
      <c r="B1053">
        <v>11462</v>
      </c>
      <c r="C1053" s="2" t="s">
        <v>34</v>
      </c>
      <c r="D1053" s="2" t="s">
        <v>35</v>
      </c>
      <c r="E1053" s="2" t="s">
        <v>36</v>
      </c>
      <c r="F1053">
        <v>4131</v>
      </c>
      <c r="G1053" s="2" t="s">
        <v>214</v>
      </c>
      <c r="H1053" s="2" t="s">
        <v>167</v>
      </c>
      <c r="I1053" s="2" t="s">
        <v>168</v>
      </c>
      <c r="J1053" s="2" t="s">
        <v>169</v>
      </c>
      <c r="K1053" s="2" t="s">
        <v>168</v>
      </c>
      <c r="L1053">
        <v>1522.56</v>
      </c>
      <c r="M1053">
        <v>1</v>
      </c>
      <c r="N1053">
        <v>1.1200000000000001</v>
      </c>
      <c r="O1053">
        <v>6900304</v>
      </c>
      <c r="P1053" s="2" t="s">
        <v>170</v>
      </c>
      <c r="Q1053" s="2" t="s">
        <v>171</v>
      </c>
      <c r="R1053" s="2" t="s">
        <v>30</v>
      </c>
      <c r="S1053">
        <v>2</v>
      </c>
      <c r="T1053" s="1">
        <v>43420</v>
      </c>
      <c r="U1053" s="1">
        <v>43430</v>
      </c>
      <c r="V1053" s="2"/>
      <c r="W1053" s="1">
        <f>fNotasFiscais[[#This Row],[Data da Coleta]]+fNotasFiscais[[#This Row],[Prazo Contratado]]</f>
        <v>43422</v>
      </c>
      <c r="X1053" s="3">
        <f>IF(fNotasFiscais[[#This Row],[Data da Entrega]]&gt;fNotasFiscais[[#This Row],[Data Contratada]],0,1)</f>
        <v>0</v>
      </c>
      <c r="Y1053" s="3">
        <f>IF(fNotasFiscais[[#This Row],[Ocorrência]]="",1,0)</f>
        <v>1</v>
      </c>
      <c r="Z1053" s="2">
        <f>fNotasFiscais[[#This Row],[On Time]]*fNotasFiscais[[#This Row],[In Full]]</f>
        <v>0</v>
      </c>
      <c r="AA1053">
        <f>IF(fNotasFiscais[[#This Row],[Nota Fiscal]]&lt;&gt;"",1,0)</f>
        <v>1</v>
      </c>
    </row>
    <row r="1054" spans="1:27" x14ac:dyDescent="0.25">
      <c r="A1054" s="1">
        <v>43421</v>
      </c>
      <c r="B1054">
        <v>11463</v>
      </c>
      <c r="C1054" s="2" t="s">
        <v>34</v>
      </c>
      <c r="D1054" s="2" t="s">
        <v>35</v>
      </c>
      <c r="E1054" s="2" t="s">
        <v>36</v>
      </c>
      <c r="F1054">
        <v>4024</v>
      </c>
      <c r="G1054" s="2" t="s">
        <v>89</v>
      </c>
      <c r="H1054" s="2" t="s">
        <v>23</v>
      </c>
      <c r="I1054" s="2" t="s">
        <v>24</v>
      </c>
      <c r="J1054" s="2" t="s">
        <v>28</v>
      </c>
      <c r="K1054" s="2" t="s">
        <v>24</v>
      </c>
      <c r="L1054">
        <v>571.71</v>
      </c>
      <c r="M1054">
        <v>2</v>
      </c>
      <c r="N1054">
        <v>4.4000000000000004</v>
      </c>
      <c r="O1054">
        <v>6500948</v>
      </c>
      <c r="P1054" s="2" t="s">
        <v>29</v>
      </c>
      <c r="Q1054" s="2" t="s">
        <v>23</v>
      </c>
      <c r="R1054" s="2" t="s">
        <v>30</v>
      </c>
      <c r="S1054">
        <v>6</v>
      </c>
      <c r="T1054" s="1">
        <v>43421</v>
      </c>
      <c r="U1054" s="1">
        <v>43430</v>
      </c>
      <c r="V1054" s="2"/>
      <c r="W1054" s="1">
        <f>fNotasFiscais[[#This Row],[Data da Coleta]]+fNotasFiscais[[#This Row],[Prazo Contratado]]</f>
        <v>43427</v>
      </c>
      <c r="X1054" s="3">
        <f>IF(fNotasFiscais[[#This Row],[Data da Entrega]]&gt;fNotasFiscais[[#This Row],[Data Contratada]],0,1)</f>
        <v>0</v>
      </c>
      <c r="Y1054" s="3">
        <f>IF(fNotasFiscais[[#This Row],[Ocorrência]]="",1,0)</f>
        <v>1</v>
      </c>
      <c r="Z1054" s="2">
        <f>fNotasFiscais[[#This Row],[On Time]]*fNotasFiscais[[#This Row],[In Full]]</f>
        <v>0</v>
      </c>
      <c r="AA1054">
        <f>IF(fNotasFiscais[[#This Row],[Nota Fiscal]]&lt;&gt;"",1,0)</f>
        <v>1</v>
      </c>
    </row>
    <row r="1055" spans="1:27" x14ac:dyDescent="0.25">
      <c r="A1055" s="1">
        <v>43421</v>
      </c>
      <c r="B1055">
        <v>11464</v>
      </c>
      <c r="C1055" s="2" t="s">
        <v>52</v>
      </c>
      <c r="D1055" s="2" t="s">
        <v>53</v>
      </c>
      <c r="E1055" s="2" t="s">
        <v>33</v>
      </c>
      <c r="F1055">
        <v>4033</v>
      </c>
      <c r="G1055" s="2" t="s">
        <v>109</v>
      </c>
      <c r="H1055" s="2" t="s">
        <v>51</v>
      </c>
      <c r="I1055" s="2" t="s">
        <v>73</v>
      </c>
      <c r="J1055" s="2" t="s">
        <v>49</v>
      </c>
      <c r="K1055" s="2" t="s">
        <v>73</v>
      </c>
      <c r="L1055">
        <v>428.29</v>
      </c>
      <c r="M1055">
        <v>1</v>
      </c>
      <c r="N1055">
        <v>0.749</v>
      </c>
      <c r="O1055">
        <v>6100231</v>
      </c>
      <c r="P1055" s="2" t="s">
        <v>50</v>
      </c>
      <c r="Q1055" s="2" t="s">
        <v>51</v>
      </c>
      <c r="R1055" s="2" t="s">
        <v>30</v>
      </c>
      <c r="S1055">
        <v>4</v>
      </c>
      <c r="T1055" s="1">
        <v>43421</v>
      </c>
      <c r="U1055" s="1">
        <v>43427</v>
      </c>
      <c r="V1055" s="2"/>
      <c r="W1055" s="1">
        <f>fNotasFiscais[[#This Row],[Data da Coleta]]+fNotasFiscais[[#This Row],[Prazo Contratado]]</f>
        <v>43425</v>
      </c>
      <c r="X1055" s="3">
        <f>IF(fNotasFiscais[[#This Row],[Data da Entrega]]&gt;fNotasFiscais[[#This Row],[Data Contratada]],0,1)</f>
        <v>0</v>
      </c>
      <c r="Y1055" s="3">
        <f>IF(fNotasFiscais[[#This Row],[Ocorrência]]="",1,0)</f>
        <v>1</v>
      </c>
      <c r="Z1055" s="2">
        <f>fNotasFiscais[[#This Row],[On Time]]*fNotasFiscais[[#This Row],[In Full]]</f>
        <v>0</v>
      </c>
      <c r="AA1055">
        <f>IF(fNotasFiscais[[#This Row],[Nota Fiscal]]&lt;&gt;"",1,0)</f>
        <v>1</v>
      </c>
    </row>
    <row r="1056" spans="1:27" x14ac:dyDescent="0.25">
      <c r="A1056" s="1">
        <v>43421</v>
      </c>
      <c r="B1056">
        <v>11465</v>
      </c>
      <c r="C1056" s="2" t="s">
        <v>52</v>
      </c>
      <c r="D1056" s="2" t="s">
        <v>53</v>
      </c>
      <c r="E1056" s="2" t="s">
        <v>33</v>
      </c>
      <c r="F1056">
        <v>4013</v>
      </c>
      <c r="G1056" s="2" t="s">
        <v>37</v>
      </c>
      <c r="H1056" s="2" t="s">
        <v>38</v>
      </c>
      <c r="I1056" s="2" t="s">
        <v>39</v>
      </c>
      <c r="J1056" s="2" t="s">
        <v>28</v>
      </c>
      <c r="K1056" s="2" t="s">
        <v>39</v>
      </c>
      <c r="L1056">
        <v>268.10000000000002</v>
      </c>
      <c r="M1056">
        <v>1</v>
      </c>
      <c r="N1056">
        <v>0.504</v>
      </c>
      <c r="O1056">
        <v>6500948</v>
      </c>
      <c r="P1056" s="2" t="s">
        <v>29</v>
      </c>
      <c r="Q1056" s="2" t="s">
        <v>23</v>
      </c>
      <c r="R1056" s="2" t="s">
        <v>30</v>
      </c>
      <c r="S1056">
        <v>6</v>
      </c>
      <c r="T1056" s="1">
        <v>43421</v>
      </c>
      <c r="U1056" s="1">
        <v>43427</v>
      </c>
      <c r="V1056" s="2"/>
      <c r="W1056" s="1">
        <f>fNotasFiscais[[#This Row],[Data da Coleta]]+fNotasFiscais[[#This Row],[Prazo Contratado]]</f>
        <v>43427</v>
      </c>
      <c r="X1056" s="3">
        <f>IF(fNotasFiscais[[#This Row],[Data da Entrega]]&gt;fNotasFiscais[[#This Row],[Data Contratada]],0,1)</f>
        <v>1</v>
      </c>
      <c r="Y1056" s="3">
        <f>IF(fNotasFiscais[[#This Row],[Ocorrência]]="",1,0)</f>
        <v>1</v>
      </c>
      <c r="Z1056" s="2">
        <f>fNotasFiscais[[#This Row],[On Time]]*fNotasFiscais[[#This Row],[In Full]]</f>
        <v>1</v>
      </c>
      <c r="AA1056">
        <f>IF(fNotasFiscais[[#This Row],[Nota Fiscal]]&lt;&gt;"",1,0)</f>
        <v>1</v>
      </c>
    </row>
    <row r="1057" spans="1:27" x14ac:dyDescent="0.25">
      <c r="A1057" s="1">
        <v>43421</v>
      </c>
      <c r="B1057">
        <v>11466</v>
      </c>
      <c r="C1057" s="2" t="s">
        <v>43</v>
      </c>
      <c r="D1057" s="2" t="s">
        <v>44</v>
      </c>
      <c r="E1057" s="2" t="s">
        <v>45</v>
      </c>
      <c r="F1057">
        <v>4034</v>
      </c>
      <c r="G1057" s="2" t="s">
        <v>110</v>
      </c>
      <c r="H1057" s="2" t="s">
        <v>51</v>
      </c>
      <c r="I1057" s="2" t="s">
        <v>73</v>
      </c>
      <c r="J1057" s="2" t="s">
        <v>49</v>
      </c>
      <c r="K1057" s="2" t="s">
        <v>73</v>
      </c>
      <c r="L1057">
        <v>897.3</v>
      </c>
      <c r="M1057">
        <v>3</v>
      </c>
      <c r="N1057">
        <v>8.6389999999999993</v>
      </c>
      <c r="O1057">
        <v>6100231</v>
      </c>
      <c r="P1057" s="2" t="s">
        <v>50</v>
      </c>
      <c r="Q1057" s="2" t="s">
        <v>51</v>
      </c>
      <c r="R1057" s="2" t="s">
        <v>30</v>
      </c>
      <c r="S1057">
        <v>3</v>
      </c>
      <c r="T1057" s="1">
        <v>43421</v>
      </c>
      <c r="U1057" s="1">
        <v>43423</v>
      </c>
      <c r="V1057" s="2"/>
      <c r="W1057" s="1">
        <f>fNotasFiscais[[#This Row],[Data da Coleta]]+fNotasFiscais[[#This Row],[Prazo Contratado]]</f>
        <v>43424</v>
      </c>
      <c r="X1057" s="3">
        <f>IF(fNotasFiscais[[#This Row],[Data da Entrega]]&gt;fNotasFiscais[[#This Row],[Data Contratada]],0,1)</f>
        <v>1</v>
      </c>
      <c r="Y1057" s="3">
        <f>IF(fNotasFiscais[[#This Row],[Ocorrência]]="",1,0)</f>
        <v>1</v>
      </c>
      <c r="Z1057" s="2">
        <f>fNotasFiscais[[#This Row],[On Time]]*fNotasFiscais[[#This Row],[In Full]]</f>
        <v>1</v>
      </c>
      <c r="AA1057">
        <f>IF(fNotasFiscais[[#This Row],[Nota Fiscal]]&lt;&gt;"",1,0)</f>
        <v>1</v>
      </c>
    </row>
    <row r="1058" spans="1:27" x14ac:dyDescent="0.25">
      <c r="A1058" s="1">
        <v>43422</v>
      </c>
      <c r="B1058">
        <v>11467</v>
      </c>
      <c r="C1058" s="2" t="s">
        <v>31</v>
      </c>
      <c r="D1058" s="2" t="s">
        <v>32</v>
      </c>
      <c r="E1058" s="2" t="s">
        <v>33</v>
      </c>
      <c r="F1058">
        <v>4064</v>
      </c>
      <c r="G1058" s="2" t="s">
        <v>128</v>
      </c>
      <c r="H1058" s="2" t="s">
        <v>129</v>
      </c>
      <c r="I1058" s="2" t="s">
        <v>33</v>
      </c>
      <c r="J1058" s="2" t="s">
        <v>60</v>
      </c>
      <c r="K1058" s="2" t="s">
        <v>33</v>
      </c>
      <c r="L1058">
        <v>911.7</v>
      </c>
      <c r="M1058">
        <v>4</v>
      </c>
      <c r="N1058">
        <v>24.091000000000001</v>
      </c>
      <c r="O1058">
        <v>6400835</v>
      </c>
      <c r="P1058" s="2" t="s">
        <v>130</v>
      </c>
      <c r="Q1058" s="2" t="s">
        <v>131</v>
      </c>
      <c r="R1058" s="2" t="s">
        <v>30</v>
      </c>
      <c r="S1058">
        <v>5</v>
      </c>
      <c r="T1058" s="1">
        <v>43422</v>
      </c>
      <c r="U1058" s="1">
        <v>43425</v>
      </c>
      <c r="V1058" s="2"/>
      <c r="W1058" s="1">
        <f>fNotasFiscais[[#This Row],[Data da Coleta]]+fNotasFiscais[[#This Row],[Prazo Contratado]]</f>
        <v>43427</v>
      </c>
      <c r="X1058" s="3">
        <f>IF(fNotasFiscais[[#This Row],[Data da Entrega]]&gt;fNotasFiscais[[#This Row],[Data Contratada]],0,1)</f>
        <v>1</v>
      </c>
      <c r="Y1058" s="3">
        <f>IF(fNotasFiscais[[#This Row],[Ocorrência]]="",1,0)</f>
        <v>1</v>
      </c>
      <c r="Z1058" s="2">
        <f>fNotasFiscais[[#This Row],[On Time]]*fNotasFiscais[[#This Row],[In Full]]</f>
        <v>1</v>
      </c>
      <c r="AA1058">
        <f>IF(fNotasFiscais[[#This Row],[Nota Fiscal]]&lt;&gt;"",1,0)</f>
        <v>1</v>
      </c>
    </row>
    <row r="1059" spans="1:27" x14ac:dyDescent="0.25">
      <c r="A1059" s="1">
        <v>43422</v>
      </c>
      <c r="B1059">
        <v>11468</v>
      </c>
      <c r="C1059" s="2" t="s">
        <v>54</v>
      </c>
      <c r="D1059" s="2" t="s">
        <v>55</v>
      </c>
      <c r="E1059" s="2" t="s">
        <v>56</v>
      </c>
      <c r="F1059">
        <v>4064</v>
      </c>
      <c r="G1059" s="2" t="s">
        <v>128</v>
      </c>
      <c r="H1059" s="2" t="s">
        <v>129</v>
      </c>
      <c r="I1059" s="2" t="s">
        <v>33</v>
      </c>
      <c r="J1059" s="2" t="s">
        <v>60</v>
      </c>
      <c r="K1059" s="2" t="s">
        <v>33</v>
      </c>
      <c r="L1059">
        <v>814.08</v>
      </c>
      <c r="M1059">
        <v>1</v>
      </c>
      <c r="N1059">
        <v>1.1200000000000001</v>
      </c>
      <c r="O1059">
        <v>6400835</v>
      </c>
      <c r="P1059" s="2" t="s">
        <v>130</v>
      </c>
      <c r="Q1059" s="2" t="s">
        <v>131</v>
      </c>
      <c r="R1059" s="2" t="s">
        <v>30</v>
      </c>
      <c r="S1059">
        <v>12</v>
      </c>
      <c r="T1059" s="1">
        <v>43422</v>
      </c>
      <c r="U1059" s="1">
        <v>43431</v>
      </c>
      <c r="V1059" s="2"/>
      <c r="W1059" s="1">
        <f>fNotasFiscais[[#This Row],[Data da Coleta]]+fNotasFiscais[[#This Row],[Prazo Contratado]]</f>
        <v>43434</v>
      </c>
      <c r="X1059" s="3">
        <f>IF(fNotasFiscais[[#This Row],[Data da Entrega]]&gt;fNotasFiscais[[#This Row],[Data Contratada]],0,1)</f>
        <v>1</v>
      </c>
      <c r="Y1059" s="3">
        <f>IF(fNotasFiscais[[#This Row],[Ocorrência]]="",1,0)</f>
        <v>1</v>
      </c>
      <c r="Z1059" s="2">
        <f>fNotasFiscais[[#This Row],[On Time]]*fNotasFiscais[[#This Row],[In Full]]</f>
        <v>1</v>
      </c>
      <c r="AA1059">
        <f>IF(fNotasFiscais[[#This Row],[Nota Fiscal]]&lt;&gt;"",1,0)</f>
        <v>1</v>
      </c>
    </row>
    <row r="1060" spans="1:27" x14ac:dyDescent="0.25">
      <c r="A1060" s="1">
        <v>43421</v>
      </c>
      <c r="B1060">
        <v>11469</v>
      </c>
      <c r="C1060" s="2" t="s">
        <v>52</v>
      </c>
      <c r="D1060" s="2" t="s">
        <v>53</v>
      </c>
      <c r="E1060" s="2" t="s">
        <v>33</v>
      </c>
      <c r="F1060">
        <v>4064</v>
      </c>
      <c r="G1060" s="2" t="s">
        <v>128</v>
      </c>
      <c r="H1060" s="2" t="s">
        <v>129</v>
      </c>
      <c r="I1060" s="2" t="s">
        <v>33</v>
      </c>
      <c r="J1060" s="2" t="s">
        <v>60</v>
      </c>
      <c r="K1060" s="2" t="s">
        <v>33</v>
      </c>
      <c r="L1060">
        <v>613.08000000000004</v>
      </c>
      <c r="M1060">
        <v>1</v>
      </c>
      <c r="N1060">
        <v>1.65</v>
      </c>
      <c r="O1060">
        <v>6400835</v>
      </c>
      <c r="P1060" s="2" t="s">
        <v>130</v>
      </c>
      <c r="Q1060" s="2" t="s">
        <v>131</v>
      </c>
      <c r="R1060" s="2" t="s">
        <v>30</v>
      </c>
      <c r="S1060">
        <v>2</v>
      </c>
      <c r="T1060" s="1">
        <v>43422</v>
      </c>
      <c r="U1060" s="1">
        <v>43429</v>
      </c>
      <c r="V1060" s="2"/>
      <c r="W1060" s="1">
        <f>fNotasFiscais[[#This Row],[Data da Coleta]]+fNotasFiscais[[#This Row],[Prazo Contratado]]</f>
        <v>43424</v>
      </c>
      <c r="X1060" s="3">
        <f>IF(fNotasFiscais[[#This Row],[Data da Entrega]]&gt;fNotasFiscais[[#This Row],[Data Contratada]],0,1)</f>
        <v>0</v>
      </c>
      <c r="Y1060" s="3">
        <f>IF(fNotasFiscais[[#This Row],[Ocorrência]]="",1,0)</f>
        <v>1</v>
      </c>
      <c r="Z1060" s="2">
        <f>fNotasFiscais[[#This Row],[On Time]]*fNotasFiscais[[#This Row],[In Full]]</f>
        <v>0</v>
      </c>
      <c r="AA1060">
        <f>IF(fNotasFiscais[[#This Row],[Nota Fiscal]]&lt;&gt;"",1,0)</f>
        <v>1</v>
      </c>
    </row>
    <row r="1061" spans="1:27" x14ac:dyDescent="0.25">
      <c r="A1061" s="1">
        <v>43421</v>
      </c>
      <c r="B1061">
        <v>11470</v>
      </c>
      <c r="C1061" s="2" t="s">
        <v>34</v>
      </c>
      <c r="D1061" s="2" t="s">
        <v>35</v>
      </c>
      <c r="E1061" s="2" t="s">
        <v>36</v>
      </c>
      <c r="F1061">
        <v>4064</v>
      </c>
      <c r="G1061" s="2" t="s">
        <v>128</v>
      </c>
      <c r="H1061" s="2" t="s">
        <v>129</v>
      </c>
      <c r="I1061" s="2" t="s">
        <v>33</v>
      </c>
      <c r="J1061" s="2" t="s">
        <v>60</v>
      </c>
      <c r="K1061" s="2" t="s">
        <v>33</v>
      </c>
      <c r="L1061">
        <v>484.37</v>
      </c>
      <c r="M1061">
        <v>1</v>
      </c>
      <c r="N1061">
        <v>1.65</v>
      </c>
      <c r="O1061">
        <v>6400835</v>
      </c>
      <c r="P1061" s="2" t="s">
        <v>130</v>
      </c>
      <c r="Q1061" s="2" t="s">
        <v>131</v>
      </c>
      <c r="R1061" s="2" t="s">
        <v>30</v>
      </c>
      <c r="S1061">
        <v>2</v>
      </c>
      <c r="T1061" s="1">
        <v>43422</v>
      </c>
      <c r="U1061" s="1">
        <v>43428</v>
      </c>
      <c r="V1061" s="2"/>
      <c r="W1061" s="1">
        <f>fNotasFiscais[[#This Row],[Data da Coleta]]+fNotasFiscais[[#This Row],[Prazo Contratado]]</f>
        <v>43424</v>
      </c>
      <c r="X1061" s="3">
        <f>IF(fNotasFiscais[[#This Row],[Data da Entrega]]&gt;fNotasFiscais[[#This Row],[Data Contratada]],0,1)</f>
        <v>0</v>
      </c>
      <c r="Y1061" s="3">
        <f>IF(fNotasFiscais[[#This Row],[Ocorrência]]="",1,0)</f>
        <v>1</v>
      </c>
      <c r="Z1061" s="2">
        <f>fNotasFiscais[[#This Row],[On Time]]*fNotasFiscais[[#This Row],[In Full]]</f>
        <v>0</v>
      </c>
      <c r="AA1061">
        <f>IF(fNotasFiscais[[#This Row],[Nota Fiscal]]&lt;&gt;"",1,0)</f>
        <v>1</v>
      </c>
    </row>
    <row r="1062" spans="1:27" x14ac:dyDescent="0.25">
      <c r="A1062" s="1">
        <v>43421</v>
      </c>
      <c r="B1062">
        <v>11471</v>
      </c>
      <c r="C1062" s="2" t="s">
        <v>22</v>
      </c>
      <c r="D1062" s="2" t="s">
        <v>23</v>
      </c>
      <c r="E1062" s="2" t="s">
        <v>24</v>
      </c>
      <c r="F1062">
        <v>4064</v>
      </c>
      <c r="G1062" s="2" t="s">
        <v>128</v>
      </c>
      <c r="H1062" s="2" t="s">
        <v>129</v>
      </c>
      <c r="I1062" s="2" t="s">
        <v>33</v>
      </c>
      <c r="J1062" s="2" t="s">
        <v>60</v>
      </c>
      <c r="K1062" s="2" t="s">
        <v>33</v>
      </c>
      <c r="L1062">
        <v>939.78</v>
      </c>
      <c r="M1062">
        <v>1</v>
      </c>
      <c r="N1062">
        <v>3.2429999999999999</v>
      </c>
      <c r="O1062">
        <v>6400835</v>
      </c>
      <c r="P1062" s="2" t="s">
        <v>130</v>
      </c>
      <c r="Q1062" s="2" t="s">
        <v>131</v>
      </c>
      <c r="R1062" s="2" t="s">
        <v>30</v>
      </c>
      <c r="S1062">
        <v>5</v>
      </c>
      <c r="T1062" s="1">
        <v>43422</v>
      </c>
      <c r="U1062" s="1">
        <v>43430</v>
      </c>
      <c r="V1062" s="2"/>
      <c r="W1062" s="1">
        <f>fNotasFiscais[[#This Row],[Data da Coleta]]+fNotasFiscais[[#This Row],[Prazo Contratado]]</f>
        <v>43427</v>
      </c>
      <c r="X1062" s="3">
        <f>IF(fNotasFiscais[[#This Row],[Data da Entrega]]&gt;fNotasFiscais[[#This Row],[Data Contratada]],0,1)</f>
        <v>0</v>
      </c>
      <c r="Y1062" s="3">
        <f>IF(fNotasFiscais[[#This Row],[Ocorrência]]="",1,0)</f>
        <v>1</v>
      </c>
      <c r="Z1062" s="2">
        <f>fNotasFiscais[[#This Row],[On Time]]*fNotasFiscais[[#This Row],[In Full]]</f>
        <v>0</v>
      </c>
      <c r="AA1062">
        <f>IF(fNotasFiscais[[#This Row],[Nota Fiscal]]&lt;&gt;"",1,0)</f>
        <v>1</v>
      </c>
    </row>
    <row r="1063" spans="1:27" x14ac:dyDescent="0.25">
      <c r="A1063" s="1">
        <v>43421</v>
      </c>
      <c r="B1063">
        <v>11472</v>
      </c>
      <c r="C1063" s="2" t="s">
        <v>54</v>
      </c>
      <c r="D1063" s="2" t="s">
        <v>55</v>
      </c>
      <c r="E1063" s="2" t="s">
        <v>56</v>
      </c>
      <c r="F1063">
        <v>4064</v>
      </c>
      <c r="G1063" s="2" t="s">
        <v>128</v>
      </c>
      <c r="H1063" s="2" t="s">
        <v>129</v>
      </c>
      <c r="I1063" s="2" t="s">
        <v>33</v>
      </c>
      <c r="J1063" s="2" t="s">
        <v>60</v>
      </c>
      <c r="K1063" s="2" t="s">
        <v>33</v>
      </c>
      <c r="L1063">
        <v>1387.38</v>
      </c>
      <c r="M1063">
        <v>1</v>
      </c>
      <c r="N1063">
        <v>3.9380000000000002</v>
      </c>
      <c r="O1063">
        <v>6400835</v>
      </c>
      <c r="P1063" s="2" t="s">
        <v>130</v>
      </c>
      <c r="Q1063" s="2" t="s">
        <v>131</v>
      </c>
      <c r="R1063" s="2" t="s">
        <v>30</v>
      </c>
      <c r="S1063">
        <v>10</v>
      </c>
      <c r="T1063" s="1">
        <v>43422</v>
      </c>
      <c r="U1063" s="1">
        <v>43426</v>
      </c>
      <c r="V1063" s="2"/>
      <c r="W1063" s="1">
        <f>fNotasFiscais[[#This Row],[Data da Coleta]]+fNotasFiscais[[#This Row],[Prazo Contratado]]</f>
        <v>43432</v>
      </c>
      <c r="X1063" s="3">
        <f>IF(fNotasFiscais[[#This Row],[Data da Entrega]]&gt;fNotasFiscais[[#This Row],[Data Contratada]],0,1)</f>
        <v>1</v>
      </c>
      <c r="Y1063" s="3">
        <f>IF(fNotasFiscais[[#This Row],[Ocorrência]]="",1,0)</f>
        <v>1</v>
      </c>
      <c r="Z1063" s="2">
        <f>fNotasFiscais[[#This Row],[On Time]]*fNotasFiscais[[#This Row],[In Full]]</f>
        <v>1</v>
      </c>
      <c r="AA1063">
        <f>IF(fNotasFiscais[[#This Row],[Nota Fiscal]]&lt;&gt;"",1,0)</f>
        <v>1</v>
      </c>
    </row>
    <row r="1064" spans="1:27" x14ac:dyDescent="0.25">
      <c r="A1064" s="1">
        <v>43421</v>
      </c>
      <c r="B1064">
        <v>11473</v>
      </c>
      <c r="C1064" s="2" t="s">
        <v>22</v>
      </c>
      <c r="D1064" s="2" t="s">
        <v>23</v>
      </c>
      <c r="E1064" s="2" t="s">
        <v>24</v>
      </c>
      <c r="F1064">
        <v>4022</v>
      </c>
      <c r="G1064" s="2" t="s">
        <v>86</v>
      </c>
      <c r="H1064" s="2" t="s">
        <v>87</v>
      </c>
      <c r="I1064" s="2" t="s">
        <v>27</v>
      </c>
      <c r="J1064" s="2" t="s">
        <v>28</v>
      </c>
      <c r="K1064" s="2" t="s">
        <v>27</v>
      </c>
      <c r="L1064">
        <v>2118.88</v>
      </c>
      <c r="M1064">
        <v>1</v>
      </c>
      <c r="N1064">
        <v>5.0049999999999999</v>
      </c>
      <c r="O1064">
        <v>6500948</v>
      </c>
      <c r="P1064" s="2" t="s">
        <v>29</v>
      </c>
      <c r="Q1064" s="2" t="s">
        <v>23</v>
      </c>
      <c r="R1064" s="2" t="s">
        <v>30</v>
      </c>
      <c r="S1064">
        <v>7</v>
      </c>
      <c r="T1064" s="1">
        <v>43422</v>
      </c>
      <c r="U1064" s="1">
        <v>43423</v>
      </c>
      <c r="V1064" s="2"/>
      <c r="W1064" s="1">
        <f>fNotasFiscais[[#This Row],[Data da Coleta]]+fNotasFiscais[[#This Row],[Prazo Contratado]]</f>
        <v>43429</v>
      </c>
      <c r="X1064" s="3">
        <f>IF(fNotasFiscais[[#This Row],[Data da Entrega]]&gt;fNotasFiscais[[#This Row],[Data Contratada]],0,1)</f>
        <v>1</v>
      </c>
      <c r="Y1064" s="3">
        <f>IF(fNotasFiscais[[#This Row],[Ocorrência]]="",1,0)</f>
        <v>1</v>
      </c>
      <c r="Z1064" s="2">
        <f>fNotasFiscais[[#This Row],[On Time]]*fNotasFiscais[[#This Row],[In Full]]</f>
        <v>1</v>
      </c>
      <c r="AA1064">
        <f>IF(fNotasFiscais[[#This Row],[Nota Fiscal]]&lt;&gt;"",1,0)</f>
        <v>1</v>
      </c>
    </row>
    <row r="1065" spans="1:27" x14ac:dyDescent="0.25">
      <c r="A1065" s="1">
        <v>43421</v>
      </c>
      <c r="B1065">
        <v>11474</v>
      </c>
      <c r="C1065" s="2" t="s">
        <v>31</v>
      </c>
      <c r="D1065" s="2" t="s">
        <v>32</v>
      </c>
      <c r="E1065" s="2" t="s">
        <v>33</v>
      </c>
      <c r="F1065">
        <v>4064</v>
      </c>
      <c r="G1065" s="2" t="s">
        <v>128</v>
      </c>
      <c r="H1065" s="2" t="s">
        <v>129</v>
      </c>
      <c r="I1065" s="2" t="s">
        <v>33</v>
      </c>
      <c r="J1065" s="2" t="s">
        <v>60</v>
      </c>
      <c r="K1065" s="2" t="s">
        <v>33</v>
      </c>
      <c r="L1065">
        <v>2802.57</v>
      </c>
      <c r="M1065">
        <v>3</v>
      </c>
      <c r="N1065">
        <v>20.968</v>
      </c>
      <c r="O1065">
        <v>6400835</v>
      </c>
      <c r="P1065" s="2" t="s">
        <v>130</v>
      </c>
      <c r="Q1065" s="2" t="s">
        <v>131</v>
      </c>
      <c r="R1065" s="2" t="s">
        <v>30</v>
      </c>
      <c r="S1065">
        <v>4</v>
      </c>
      <c r="T1065" s="1">
        <v>43422</v>
      </c>
      <c r="U1065" s="1">
        <v>43427</v>
      </c>
      <c r="V1065" s="2"/>
      <c r="W1065" s="1">
        <f>fNotasFiscais[[#This Row],[Data da Coleta]]+fNotasFiscais[[#This Row],[Prazo Contratado]]</f>
        <v>43426</v>
      </c>
      <c r="X1065" s="3">
        <f>IF(fNotasFiscais[[#This Row],[Data da Entrega]]&gt;fNotasFiscais[[#This Row],[Data Contratada]],0,1)</f>
        <v>0</v>
      </c>
      <c r="Y1065" s="3">
        <f>IF(fNotasFiscais[[#This Row],[Ocorrência]]="",1,0)</f>
        <v>1</v>
      </c>
      <c r="Z1065" s="2">
        <f>fNotasFiscais[[#This Row],[On Time]]*fNotasFiscais[[#This Row],[In Full]]</f>
        <v>0</v>
      </c>
      <c r="AA1065">
        <f>IF(fNotasFiscais[[#This Row],[Nota Fiscal]]&lt;&gt;"",1,0)</f>
        <v>1</v>
      </c>
    </row>
    <row r="1066" spans="1:27" x14ac:dyDescent="0.25">
      <c r="A1066" s="1">
        <v>43421</v>
      </c>
      <c r="B1066">
        <v>11475</v>
      </c>
      <c r="C1066" s="2" t="s">
        <v>52</v>
      </c>
      <c r="D1066" s="2" t="s">
        <v>53</v>
      </c>
      <c r="E1066" s="2" t="s">
        <v>33</v>
      </c>
      <c r="F1066">
        <v>4064</v>
      </c>
      <c r="G1066" s="2" t="s">
        <v>128</v>
      </c>
      <c r="H1066" s="2" t="s">
        <v>129</v>
      </c>
      <c r="I1066" s="2" t="s">
        <v>33</v>
      </c>
      <c r="J1066" s="2" t="s">
        <v>60</v>
      </c>
      <c r="K1066" s="2" t="s">
        <v>33</v>
      </c>
      <c r="L1066">
        <v>447.39</v>
      </c>
      <c r="M1066">
        <v>1</v>
      </c>
      <c r="N1066">
        <v>3.6629999999999998</v>
      </c>
      <c r="O1066">
        <v>6400835</v>
      </c>
      <c r="P1066" s="2" t="s">
        <v>130</v>
      </c>
      <c r="Q1066" s="2" t="s">
        <v>131</v>
      </c>
      <c r="R1066" s="2" t="s">
        <v>30</v>
      </c>
      <c r="S1066">
        <v>8</v>
      </c>
      <c r="T1066" s="1">
        <v>43422</v>
      </c>
      <c r="U1066" s="1">
        <v>43423</v>
      </c>
      <c r="V1066" s="2"/>
      <c r="W1066" s="1">
        <f>fNotasFiscais[[#This Row],[Data da Coleta]]+fNotasFiscais[[#This Row],[Prazo Contratado]]</f>
        <v>43430</v>
      </c>
      <c r="X1066" s="3">
        <f>IF(fNotasFiscais[[#This Row],[Data da Entrega]]&gt;fNotasFiscais[[#This Row],[Data Contratada]],0,1)</f>
        <v>1</v>
      </c>
      <c r="Y1066" s="3">
        <f>IF(fNotasFiscais[[#This Row],[Ocorrência]]="",1,0)</f>
        <v>1</v>
      </c>
      <c r="Z1066" s="2">
        <f>fNotasFiscais[[#This Row],[On Time]]*fNotasFiscais[[#This Row],[In Full]]</f>
        <v>1</v>
      </c>
      <c r="AA1066">
        <f>IF(fNotasFiscais[[#This Row],[Nota Fiscal]]&lt;&gt;"",1,0)</f>
        <v>1</v>
      </c>
    </row>
    <row r="1067" spans="1:27" x14ac:dyDescent="0.25">
      <c r="A1067" s="1">
        <v>43421</v>
      </c>
      <c r="B1067">
        <v>11476</v>
      </c>
      <c r="C1067" s="2" t="s">
        <v>52</v>
      </c>
      <c r="D1067" s="2" t="s">
        <v>53</v>
      </c>
      <c r="E1067" s="2" t="s">
        <v>33</v>
      </c>
      <c r="F1067">
        <v>4064</v>
      </c>
      <c r="G1067" s="2" t="s">
        <v>128</v>
      </c>
      <c r="H1067" s="2" t="s">
        <v>129</v>
      </c>
      <c r="I1067" s="2" t="s">
        <v>33</v>
      </c>
      <c r="J1067" s="2" t="s">
        <v>60</v>
      </c>
      <c r="K1067" s="2" t="s">
        <v>33</v>
      </c>
      <c r="L1067">
        <v>971.38</v>
      </c>
      <c r="M1067">
        <v>4</v>
      </c>
      <c r="N1067">
        <v>18.718</v>
      </c>
      <c r="O1067">
        <v>6400835</v>
      </c>
      <c r="P1067" s="2" t="s">
        <v>130</v>
      </c>
      <c r="Q1067" s="2" t="s">
        <v>131</v>
      </c>
      <c r="R1067" s="2" t="s">
        <v>30</v>
      </c>
      <c r="S1067">
        <v>2</v>
      </c>
      <c r="T1067" s="1">
        <v>43422</v>
      </c>
      <c r="U1067" s="1">
        <v>43431</v>
      </c>
      <c r="V1067" s="2" t="s">
        <v>57</v>
      </c>
      <c r="W1067" s="1">
        <f>fNotasFiscais[[#This Row],[Data da Coleta]]+fNotasFiscais[[#This Row],[Prazo Contratado]]</f>
        <v>43424</v>
      </c>
      <c r="X1067" s="3">
        <f>IF(fNotasFiscais[[#This Row],[Data da Entrega]]&gt;fNotasFiscais[[#This Row],[Data Contratada]],0,1)</f>
        <v>0</v>
      </c>
      <c r="Y1067" s="3">
        <f>IF(fNotasFiscais[[#This Row],[Ocorrência]]="",1,0)</f>
        <v>0</v>
      </c>
      <c r="Z1067" s="2">
        <f>fNotasFiscais[[#This Row],[On Time]]*fNotasFiscais[[#This Row],[In Full]]</f>
        <v>0</v>
      </c>
      <c r="AA1067">
        <f>IF(fNotasFiscais[[#This Row],[Nota Fiscal]]&lt;&gt;"",1,0)</f>
        <v>1</v>
      </c>
    </row>
    <row r="1068" spans="1:27" x14ac:dyDescent="0.25">
      <c r="A1068" s="1">
        <v>43421</v>
      </c>
      <c r="B1068">
        <v>11477</v>
      </c>
      <c r="C1068" s="2" t="s">
        <v>22</v>
      </c>
      <c r="D1068" s="2" t="s">
        <v>23</v>
      </c>
      <c r="E1068" s="2" t="s">
        <v>24</v>
      </c>
      <c r="F1068">
        <v>4064</v>
      </c>
      <c r="G1068" s="2" t="s">
        <v>128</v>
      </c>
      <c r="H1068" s="2" t="s">
        <v>129</v>
      </c>
      <c r="I1068" s="2" t="s">
        <v>33</v>
      </c>
      <c r="J1068" s="2" t="s">
        <v>60</v>
      </c>
      <c r="K1068" s="2" t="s">
        <v>33</v>
      </c>
      <c r="L1068">
        <v>93.51</v>
      </c>
      <c r="M1068">
        <v>1</v>
      </c>
      <c r="N1068">
        <v>0.38500000000000001</v>
      </c>
      <c r="O1068">
        <v>6400835</v>
      </c>
      <c r="P1068" s="2" t="s">
        <v>130</v>
      </c>
      <c r="Q1068" s="2" t="s">
        <v>131</v>
      </c>
      <c r="R1068" s="2" t="s">
        <v>30</v>
      </c>
      <c r="S1068">
        <v>6</v>
      </c>
      <c r="T1068" s="1">
        <v>43422</v>
      </c>
      <c r="U1068" s="1">
        <v>43428</v>
      </c>
      <c r="V1068" s="2"/>
      <c r="W1068" s="1">
        <f>fNotasFiscais[[#This Row],[Data da Coleta]]+fNotasFiscais[[#This Row],[Prazo Contratado]]</f>
        <v>43428</v>
      </c>
      <c r="X1068" s="3">
        <f>IF(fNotasFiscais[[#This Row],[Data da Entrega]]&gt;fNotasFiscais[[#This Row],[Data Contratada]],0,1)</f>
        <v>1</v>
      </c>
      <c r="Y1068" s="3">
        <f>IF(fNotasFiscais[[#This Row],[Ocorrência]]="",1,0)</f>
        <v>1</v>
      </c>
      <c r="Z1068" s="2">
        <f>fNotasFiscais[[#This Row],[On Time]]*fNotasFiscais[[#This Row],[In Full]]</f>
        <v>1</v>
      </c>
      <c r="AA1068">
        <f>IF(fNotasFiscais[[#This Row],[Nota Fiscal]]&lt;&gt;"",1,0)</f>
        <v>1</v>
      </c>
    </row>
    <row r="1069" spans="1:27" x14ac:dyDescent="0.25">
      <c r="A1069" s="1">
        <v>43423</v>
      </c>
      <c r="B1069">
        <v>11478</v>
      </c>
      <c r="C1069" s="2" t="s">
        <v>54</v>
      </c>
      <c r="D1069" s="2" t="s">
        <v>55</v>
      </c>
      <c r="E1069" s="2" t="s">
        <v>56</v>
      </c>
      <c r="F1069">
        <v>4024</v>
      </c>
      <c r="G1069" s="2" t="s">
        <v>89</v>
      </c>
      <c r="H1069" s="2" t="s">
        <v>23</v>
      </c>
      <c r="I1069" s="2" t="s">
        <v>24</v>
      </c>
      <c r="J1069" s="2" t="s">
        <v>28</v>
      </c>
      <c r="K1069" s="2" t="s">
        <v>24</v>
      </c>
      <c r="L1069">
        <v>2967.98</v>
      </c>
      <c r="M1069">
        <v>2</v>
      </c>
      <c r="N1069">
        <v>5.7439999999999998</v>
      </c>
      <c r="O1069">
        <v>6500948</v>
      </c>
      <c r="P1069" s="2" t="s">
        <v>29</v>
      </c>
      <c r="Q1069" s="2" t="s">
        <v>23</v>
      </c>
      <c r="R1069" s="2" t="s">
        <v>30</v>
      </c>
      <c r="S1069">
        <v>5</v>
      </c>
      <c r="T1069" s="1">
        <v>43424</v>
      </c>
      <c r="U1069" s="1">
        <v>43431</v>
      </c>
      <c r="V1069" s="2" t="s">
        <v>57</v>
      </c>
      <c r="W1069" s="1">
        <f>fNotasFiscais[[#This Row],[Data da Coleta]]+fNotasFiscais[[#This Row],[Prazo Contratado]]</f>
        <v>43429</v>
      </c>
      <c r="X1069" s="3">
        <f>IF(fNotasFiscais[[#This Row],[Data da Entrega]]&gt;fNotasFiscais[[#This Row],[Data Contratada]],0,1)</f>
        <v>0</v>
      </c>
      <c r="Y1069" s="3">
        <f>IF(fNotasFiscais[[#This Row],[Ocorrência]]="",1,0)</f>
        <v>0</v>
      </c>
      <c r="Z1069" s="2">
        <f>fNotasFiscais[[#This Row],[On Time]]*fNotasFiscais[[#This Row],[In Full]]</f>
        <v>0</v>
      </c>
      <c r="AA1069">
        <f>IF(fNotasFiscais[[#This Row],[Nota Fiscal]]&lt;&gt;"",1,0)</f>
        <v>1</v>
      </c>
    </row>
    <row r="1070" spans="1:27" x14ac:dyDescent="0.25">
      <c r="A1070" s="1">
        <v>43423</v>
      </c>
      <c r="B1070">
        <v>11479</v>
      </c>
      <c r="C1070" s="2" t="s">
        <v>40</v>
      </c>
      <c r="D1070" s="2" t="s">
        <v>41</v>
      </c>
      <c r="E1070" s="2" t="s">
        <v>33</v>
      </c>
      <c r="F1070">
        <v>4046</v>
      </c>
      <c r="G1070" s="2" t="s">
        <v>112</v>
      </c>
      <c r="H1070" s="2" t="s">
        <v>35</v>
      </c>
      <c r="I1070" s="2" t="s">
        <v>36</v>
      </c>
      <c r="J1070" s="2" t="s">
        <v>60</v>
      </c>
      <c r="K1070" s="2" t="s">
        <v>36</v>
      </c>
      <c r="L1070">
        <v>338.53</v>
      </c>
      <c r="M1070">
        <v>1</v>
      </c>
      <c r="N1070">
        <v>1.3520000000000001</v>
      </c>
      <c r="O1070">
        <v>6600879</v>
      </c>
      <c r="P1070" s="2" t="s">
        <v>61</v>
      </c>
      <c r="Q1070" s="2" t="s">
        <v>35</v>
      </c>
      <c r="R1070" s="2" t="s">
        <v>30</v>
      </c>
      <c r="S1070">
        <v>4</v>
      </c>
      <c r="T1070" s="1">
        <v>43424</v>
      </c>
      <c r="U1070" s="1">
        <v>43430</v>
      </c>
      <c r="V1070" s="2" t="s">
        <v>42</v>
      </c>
      <c r="W1070" s="1">
        <f>fNotasFiscais[[#This Row],[Data da Coleta]]+fNotasFiscais[[#This Row],[Prazo Contratado]]</f>
        <v>43428</v>
      </c>
      <c r="X1070" s="3">
        <f>IF(fNotasFiscais[[#This Row],[Data da Entrega]]&gt;fNotasFiscais[[#This Row],[Data Contratada]],0,1)</f>
        <v>0</v>
      </c>
      <c r="Y1070" s="3">
        <f>IF(fNotasFiscais[[#This Row],[Ocorrência]]="",1,0)</f>
        <v>0</v>
      </c>
      <c r="Z1070" s="2">
        <f>fNotasFiscais[[#This Row],[On Time]]*fNotasFiscais[[#This Row],[In Full]]</f>
        <v>0</v>
      </c>
      <c r="AA1070">
        <f>IF(fNotasFiscais[[#This Row],[Nota Fiscal]]&lt;&gt;"",1,0)</f>
        <v>1</v>
      </c>
    </row>
    <row r="1071" spans="1:27" x14ac:dyDescent="0.25">
      <c r="A1071" s="1">
        <v>43423</v>
      </c>
      <c r="B1071">
        <v>11480</v>
      </c>
      <c r="C1071" s="2" t="s">
        <v>34</v>
      </c>
      <c r="D1071" s="2" t="s">
        <v>35</v>
      </c>
      <c r="E1071" s="2" t="s">
        <v>36</v>
      </c>
      <c r="F1071">
        <v>4068</v>
      </c>
      <c r="G1071" s="2" t="s">
        <v>63</v>
      </c>
      <c r="H1071" s="2" t="s">
        <v>64</v>
      </c>
      <c r="I1071" s="2" t="s">
        <v>65</v>
      </c>
      <c r="J1071" s="2" t="s">
        <v>49</v>
      </c>
      <c r="K1071" s="2" t="s">
        <v>65</v>
      </c>
      <c r="L1071">
        <v>5721.29</v>
      </c>
      <c r="M1071">
        <v>6</v>
      </c>
      <c r="N1071">
        <v>15.217000000000001</v>
      </c>
      <c r="O1071">
        <v>6100231</v>
      </c>
      <c r="P1071" s="2" t="s">
        <v>50</v>
      </c>
      <c r="Q1071" s="2" t="s">
        <v>51</v>
      </c>
      <c r="R1071" s="2" t="s">
        <v>30</v>
      </c>
      <c r="S1071">
        <v>9</v>
      </c>
      <c r="T1071" s="1">
        <v>43424</v>
      </c>
      <c r="U1071" s="1">
        <v>43425</v>
      </c>
      <c r="V1071" s="2" t="s">
        <v>42</v>
      </c>
      <c r="W1071" s="1">
        <f>fNotasFiscais[[#This Row],[Data da Coleta]]+fNotasFiscais[[#This Row],[Prazo Contratado]]</f>
        <v>43433</v>
      </c>
      <c r="X1071" s="3">
        <f>IF(fNotasFiscais[[#This Row],[Data da Entrega]]&gt;fNotasFiscais[[#This Row],[Data Contratada]],0,1)</f>
        <v>1</v>
      </c>
      <c r="Y1071" s="3">
        <f>IF(fNotasFiscais[[#This Row],[Ocorrência]]="",1,0)</f>
        <v>0</v>
      </c>
      <c r="Z1071" s="2">
        <f>fNotasFiscais[[#This Row],[On Time]]*fNotasFiscais[[#This Row],[In Full]]</f>
        <v>0</v>
      </c>
      <c r="AA1071">
        <f>IF(fNotasFiscais[[#This Row],[Nota Fiscal]]&lt;&gt;"",1,0)</f>
        <v>1</v>
      </c>
    </row>
    <row r="1072" spans="1:27" x14ac:dyDescent="0.25">
      <c r="A1072" s="1">
        <v>43423</v>
      </c>
      <c r="B1072">
        <v>11481</v>
      </c>
      <c r="C1072" s="2" t="s">
        <v>52</v>
      </c>
      <c r="D1072" s="2" t="s">
        <v>53</v>
      </c>
      <c r="E1072" s="2" t="s">
        <v>33</v>
      </c>
      <c r="F1072">
        <v>4068</v>
      </c>
      <c r="G1072" s="2" t="s">
        <v>63</v>
      </c>
      <c r="H1072" s="2" t="s">
        <v>64</v>
      </c>
      <c r="I1072" s="2" t="s">
        <v>65</v>
      </c>
      <c r="J1072" s="2" t="s">
        <v>49</v>
      </c>
      <c r="K1072" s="2" t="s">
        <v>65</v>
      </c>
      <c r="L1072">
        <v>1000.57</v>
      </c>
      <c r="M1072">
        <v>1</v>
      </c>
      <c r="N1072">
        <v>4.3380000000000001</v>
      </c>
      <c r="O1072">
        <v>6100231</v>
      </c>
      <c r="P1072" s="2" t="s">
        <v>50</v>
      </c>
      <c r="Q1072" s="2" t="s">
        <v>51</v>
      </c>
      <c r="R1072" s="2" t="s">
        <v>30</v>
      </c>
      <c r="S1072">
        <v>9</v>
      </c>
      <c r="T1072" s="1">
        <v>43424</v>
      </c>
      <c r="U1072" s="1">
        <v>43430</v>
      </c>
      <c r="V1072" s="2"/>
      <c r="W1072" s="1">
        <f>fNotasFiscais[[#This Row],[Data da Coleta]]+fNotasFiscais[[#This Row],[Prazo Contratado]]</f>
        <v>43433</v>
      </c>
      <c r="X1072" s="3">
        <f>IF(fNotasFiscais[[#This Row],[Data da Entrega]]&gt;fNotasFiscais[[#This Row],[Data Contratada]],0,1)</f>
        <v>1</v>
      </c>
      <c r="Y1072" s="3">
        <f>IF(fNotasFiscais[[#This Row],[Ocorrência]]="",1,0)</f>
        <v>1</v>
      </c>
      <c r="Z1072" s="2">
        <f>fNotasFiscais[[#This Row],[On Time]]*fNotasFiscais[[#This Row],[In Full]]</f>
        <v>1</v>
      </c>
      <c r="AA1072">
        <f>IF(fNotasFiscais[[#This Row],[Nota Fiscal]]&lt;&gt;"",1,0)</f>
        <v>1</v>
      </c>
    </row>
    <row r="1073" spans="1:27" x14ac:dyDescent="0.25">
      <c r="A1073" s="1">
        <v>43423</v>
      </c>
      <c r="B1073">
        <v>11482</v>
      </c>
      <c r="C1073" s="2" t="s">
        <v>43</v>
      </c>
      <c r="D1073" s="2" t="s">
        <v>44</v>
      </c>
      <c r="E1073" s="2" t="s">
        <v>45</v>
      </c>
      <c r="F1073">
        <v>4049</v>
      </c>
      <c r="G1073" s="2" t="s">
        <v>118</v>
      </c>
      <c r="H1073" s="2" t="s">
        <v>97</v>
      </c>
      <c r="I1073" s="2" t="s">
        <v>48</v>
      </c>
      <c r="J1073" s="2" t="s">
        <v>49</v>
      </c>
      <c r="K1073" s="2" t="s">
        <v>48</v>
      </c>
      <c r="L1073">
        <v>1464.83</v>
      </c>
      <c r="M1073">
        <v>1</v>
      </c>
      <c r="N1073">
        <v>9.91</v>
      </c>
      <c r="O1073">
        <v>6100231</v>
      </c>
      <c r="P1073" s="2" t="s">
        <v>50</v>
      </c>
      <c r="Q1073" s="2" t="s">
        <v>51</v>
      </c>
      <c r="R1073" s="2" t="s">
        <v>30</v>
      </c>
      <c r="S1073">
        <v>7</v>
      </c>
      <c r="T1073" s="1">
        <v>43424</v>
      </c>
      <c r="U1073" s="1">
        <v>43425</v>
      </c>
      <c r="V1073" s="2"/>
      <c r="W1073" s="1">
        <f>fNotasFiscais[[#This Row],[Data da Coleta]]+fNotasFiscais[[#This Row],[Prazo Contratado]]</f>
        <v>43431</v>
      </c>
      <c r="X1073" s="3">
        <f>IF(fNotasFiscais[[#This Row],[Data da Entrega]]&gt;fNotasFiscais[[#This Row],[Data Contratada]],0,1)</f>
        <v>1</v>
      </c>
      <c r="Y1073" s="3">
        <f>IF(fNotasFiscais[[#This Row],[Ocorrência]]="",1,0)</f>
        <v>1</v>
      </c>
      <c r="Z1073" s="2">
        <f>fNotasFiscais[[#This Row],[On Time]]*fNotasFiscais[[#This Row],[In Full]]</f>
        <v>1</v>
      </c>
      <c r="AA1073">
        <f>IF(fNotasFiscais[[#This Row],[Nota Fiscal]]&lt;&gt;"",1,0)</f>
        <v>1</v>
      </c>
    </row>
    <row r="1074" spans="1:27" x14ac:dyDescent="0.25">
      <c r="A1074" s="1">
        <v>43423</v>
      </c>
      <c r="B1074">
        <v>11483</v>
      </c>
      <c r="C1074" s="2" t="s">
        <v>52</v>
      </c>
      <c r="D1074" s="2" t="s">
        <v>53</v>
      </c>
      <c r="E1074" s="2" t="s">
        <v>33</v>
      </c>
      <c r="F1074">
        <v>4049</v>
      </c>
      <c r="G1074" s="2" t="s">
        <v>118</v>
      </c>
      <c r="H1074" s="2" t="s">
        <v>97</v>
      </c>
      <c r="I1074" s="2" t="s">
        <v>48</v>
      </c>
      <c r="J1074" s="2" t="s">
        <v>49</v>
      </c>
      <c r="K1074" s="2" t="s">
        <v>48</v>
      </c>
      <c r="L1074">
        <v>1927.2</v>
      </c>
      <c r="M1074">
        <v>4</v>
      </c>
      <c r="N1074">
        <v>31.161999999999999</v>
      </c>
      <c r="O1074">
        <v>6100231</v>
      </c>
      <c r="P1074" s="2" t="s">
        <v>50</v>
      </c>
      <c r="Q1074" s="2" t="s">
        <v>51</v>
      </c>
      <c r="R1074" s="2" t="s">
        <v>30</v>
      </c>
      <c r="S1074">
        <v>5</v>
      </c>
      <c r="T1074" s="1">
        <v>43424</v>
      </c>
      <c r="U1074" s="1">
        <v>43428</v>
      </c>
      <c r="V1074" s="2"/>
      <c r="W1074" s="1">
        <f>fNotasFiscais[[#This Row],[Data da Coleta]]+fNotasFiscais[[#This Row],[Prazo Contratado]]</f>
        <v>43429</v>
      </c>
      <c r="X1074" s="3">
        <f>IF(fNotasFiscais[[#This Row],[Data da Entrega]]&gt;fNotasFiscais[[#This Row],[Data Contratada]],0,1)</f>
        <v>1</v>
      </c>
      <c r="Y1074" s="3">
        <f>IF(fNotasFiscais[[#This Row],[Ocorrência]]="",1,0)</f>
        <v>1</v>
      </c>
      <c r="Z1074" s="2">
        <f>fNotasFiscais[[#This Row],[On Time]]*fNotasFiscais[[#This Row],[In Full]]</f>
        <v>1</v>
      </c>
      <c r="AA1074">
        <f>IF(fNotasFiscais[[#This Row],[Nota Fiscal]]&lt;&gt;"",1,0)</f>
        <v>1</v>
      </c>
    </row>
    <row r="1075" spans="1:27" x14ac:dyDescent="0.25">
      <c r="A1075" s="1">
        <v>43423</v>
      </c>
      <c r="B1075">
        <v>11484</v>
      </c>
      <c r="C1075" s="2" t="s">
        <v>40</v>
      </c>
      <c r="D1075" s="2" t="s">
        <v>41</v>
      </c>
      <c r="E1075" s="2" t="s">
        <v>33</v>
      </c>
      <c r="F1075">
        <v>4049</v>
      </c>
      <c r="G1075" s="2" t="s">
        <v>118</v>
      </c>
      <c r="H1075" s="2" t="s">
        <v>97</v>
      </c>
      <c r="I1075" s="2" t="s">
        <v>48</v>
      </c>
      <c r="J1075" s="2" t="s">
        <v>49</v>
      </c>
      <c r="K1075" s="2" t="s">
        <v>48</v>
      </c>
      <c r="L1075">
        <v>262.25</v>
      </c>
      <c r="M1075">
        <v>2</v>
      </c>
      <c r="N1075">
        <v>3.3029999999999999</v>
      </c>
      <c r="O1075">
        <v>6100231</v>
      </c>
      <c r="P1075" s="2" t="s">
        <v>50</v>
      </c>
      <c r="Q1075" s="2" t="s">
        <v>51</v>
      </c>
      <c r="R1075" s="2" t="s">
        <v>30</v>
      </c>
      <c r="S1075">
        <v>1</v>
      </c>
      <c r="T1075" s="1">
        <v>43424</v>
      </c>
      <c r="U1075" s="1">
        <v>43434</v>
      </c>
      <c r="V1075" s="2" t="s">
        <v>42</v>
      </c>
      <c r="W1075" s="1">
        <f>fNotasFiscais[[#This Row],[Data da Coleta]]+fNotasFiscais[[#This Row],[Prazo Contratado]]</f>
        <v>43425</v>
      </c>
      <c r="X1075" s="3">
        <f>IF(fNotasFiscais[[#This Row],[Data da Entrega]]&gt;fNotasFiscais[[#This Row],[Data Contratada]],0,1)</f>
        <v>0</v>
      </c>
      <c r="Y1075" s="3">
        <f>IF(fNotasFiscais[[#This Row],[Ocorrência]]="",1,0)</f>
        <v>0</v>
      </c>
      <c r="Z1075" s="2">
        <f>fNotasFiscais[[#This Row],[On Time]]*fNotasFiscais[[#This Row],[In Full]]</f>
        <v>0</v>
      </c>
      <c r="AA1075">
        <f>IF(fNotasFiscais[[#This Row],[Nota Fiscal]]&lt;&gt;"",1,0)</f>
        <v>1</v>
      </c>
    </row>
    <row r="1076" spans="1:27" x14ac:dyDescent="0.25">
      <c r="A1076" s="1">
        <v>43423</v>
      </c>
      <c r="B1076">
        <v>11485</v>
      </c>
      <c r="C1076" s="2" t="s">
        <v>43</v>
      </c>
      <c r="D1076" s="2" t="s">
        <v>44</v>
      </c>
      <c r="E1076" s="2" t="s">
        <v>45</v>
      </c>
      <c r="F1076">
        <v>4049</v>
      </c>
      <c r="G1076" s="2" t="s">
        <v>118</v>
      </c>
      <c r="H1076" s="2" t="s">
        <v>97</v>
      </c>
      <c r="I1076" s="2" t="s">
        <v>48</v>
      </c>
      <c r="J1076" s="2" t="s">
        <v>49</v>
      </c>
      <c r="K1076" s="2" t="s">
        <v>48</v>
      </c>
      <c r="L1076">
        <v>3886.6</v>
      </c>
      <c r="M1076">
        <v>1</v>
      </c>
      <c r="N1076">
        <v>1.1200000000000001</v>
      </c>
      <c r="O1076">
        <v>6100231</v>
      </c>
      <c r="P1076" s="2" t="s">
        <v>50</v>
      </c>
      <c r="Q1076" s="2" t="s">
        <v>51</v>
      </c>
      <c r="R1076" s="2" t="s">
        <v>62</v>
      </c>
      <c r="S1076">
        <v>11</v>
      </c>
      <c r="T1076" s="1">
        <v>43424</v>
      </c>
      <c r="U1076" s="1">
        <v>43427</v>
      </c>
      <c r="V1076" s="2" t="s">
        <v>42</v>
      </c>
      <c r="W1076" s="1">
        <f>fNotasFiscais[[#This Row],[Data da Coleta]]+fNotasFiscais[[#This Row],[Prazo Contratado]]</f>
        <v>43435</v>
      </c>
      <c r="X1076" s="3">
        <f>IF(fNotasFiscais[[#This Row],[Data da Entrega]]&gt;fNotasFiscais[[#This Row],[Data Contratada]],0,1)</f>
        <v>1</v>
      </c>
      <c r="Y1076" s="3">
        <f>IF(fNotasFiscais[[#This Row],[Ocorrência]]="",1,0)</f>
        <v>0</v>
      </c>
      <c r="Z1076" s="2">
        <f>fNotasFiscais[[#This Row],[On Time]]*fNotasFiscais[[#This Row],[In Full]]</f>
        <v>0</v>
      </c>
      <c r="AA1076">
        <f>IF(fNotasFiscais[[#This Row],[Nota Fiscal]]&lt;&gt;"",1,0)</f>
        <v>1</v>
      </c>
    </row>
    <row r="1077" spans="1:27" x14ac:dyDescent="0.25">
      <c r="A1077" s="1">
        <v>43423</v>
      </c>
      <c r="B1077">
        <v>11486</v>
      </c>
      <c r="C1077" s="2" t="s">
        <v>22</v>
      </c>
      <c r="D1077" s="2" t="s">
        <v>23</v>
      </c>
      <c r="E1077" s="2" t="s">
        <v>24</v>
      </c>
      <c r="F1077">
        <v>4049</v>
      </c>
      <c r="G1077" s="2" t="s">
        <v>118</v>
      </c>
      <c r="H1077" s="2" t="s">
        <v>97</v>
      </c>
      <c r="I1077" s="2" t="s">
        <v>48</v>
      </c>
      <c r="J1077" s="2" t="s">
        <v>49</v>
      </c>
      <c r="K1077" s="2" t="s">
        <v>48</v>
      </c>
      <c r="L1077">
        <v>1164.42</v>
      </c>
      <c r="M1077">
        <v>1</v>
      </c>
      <c r="N1077">
        <v>6.7759999999999998</v>
      </c>
      <c r="O1077">
        <v>6100231</v>
      </c>
      <c r="P1077" s="2" t="s">
        <v>50</v>
      </c>
      <c r="Q1077" s="2" t="s">
        <v>51</v>
      </c>
      <c r="R1077" s="2" t="s">
        <v>30</v>
      </c>
      <c r="S1077">
        <v>9</v>
      </c>
      <c r="T1077" s="1">
        <v>43424</v>
      </c>
      <c r="U1077" s="1">
        <v>43428</v>
      </c>
      <c r="V1077" s="2" t="s">
        <v>42</v>
      </c>
      <c r="W1077" s="1">
        <f>fNotasFiscais[[#This Row],[Data da Coleta]]+fNotasFiscais[[#This Row],[Prazo Contratado]]</f>
        <v>43433</v>
      </c>
      <c r="X1077" s="3">
        <f>IF(fNotasFiscais[[#This Row],[Data da Entrega]]&gt;fNotasFiscais[[#This Row],[Data Contratada]],0,1)</f>
        <v>1</v>
      </c>
      <c r="Y1077" s="3">
        <f>IF(fNotasFiscais[[#This Row],[Ocorrência]]="",1,0)</f>
        <v>0</v>
      </c>
      <c r="Z1077" s="2">
        <f>fNotasFiscais[[#This Row],[On Time]]*fNotasFiscais[[#This Row],[In Full]]</f>
        <v>0</v>
      </c>
      <c r="AA1077">
        <f>IF(fNotasFiscais[[#This Row],[Nota Fiscal]]&lt;&gt;"",1,0)</f>
        <v>1</v>
      </c>
    </row>
    <row r="1078" spans="1:27" x14ac:dyDescent="0.25">
      <c r="A1078" s="1">
        <v>43423</v>
      </c>
      <c r="B1078">
        <v>11487</v>
      </c>
      <c r="C1078" s="2" t="s">
        <v>54</v>
      </c>
      <c r="D1078" s="2" t="s">
        <v>55</v>
      </c>
      <c r="E1078" s="2" t="s">
        <v>56</v>
      </c>
      <c r="F1078">
        <v>4049</v>
      </c>
      <c r="G1078" s="2" t="s">
        <v>118</v>
      </c>
      <c r="H1078" s="2" t="s">
        <v>97</v>
      </c>
      <c r="I1078" s="2" t="s">
        <v>48</v>
      </c>
      <c r="J1078" s="2" t="s">
        <v>49</v>
      </c>
      <c r="K1078" s="2" t="s">
        <v>48</v>
      </c>
      <c r="L1078">
        <v>2593.2199999999998</v>
      </c>
      <c r="M1078">
        <v>4</v>
      </c>
      <c r="N1078">
        <v>37.267000000000003</v>
      </c>
      <c r="O1078">
        <v>6100231</v>
      </c>
      <c r="P1078" s="2" t="s">
        <v>50</v>
      </c>
      <c r="Q1078" s="2" t="s">
        <v>51</v>
      </c>
      <c r="R1078" s="2" t="s">
        <v>30</v>
      </c>
      <c r="S1078">
        <v>4</v>
      </c>
      <c r="T1078" s="1">
        <v>43424</v>
      </c>
      <c r="U1078" s="1">
        <v>43432</v>
      </c>
      <c r="V1078" s="2"/>
      <c r="W1078" s="1">
        <f>fNotasFiscais[[#This Row],[Data da Coleta]]+fNotasFiscais[[#This Row],[Prazo Contratado]]</f>
        <v>43428</v>
      </c>
      <c r="X1078" s="3">
        <f>IF(fNotasFiscais[[#This Row],[Data da Entrega]]&gt;fNotasFiscais[[#This Row],[Data Contratada]],0,1)</f>
        <v>0</v>
      </c>
      <c r="Y1078" s="3">
        <f>IF(fNotasFiscais[[#This Row],[Ocorrência]]="",1,0)</f>
        <v>1</v>
      </c>
      <c r="Z1078" s="2">
        <f>fNotasFiscais[[#This Row],[On Time]]*fNotasFiscais[[#This Row],[In Full]]</f>
        <v>0</v>
      </c>
      <c r="AA1078">
        <f>IF(fNotasFiscais[[#This Row],[Nota Fiscal]]&lt;&gt;"",1,0)</f>
        <v>1</v>
      </c>
    </row>
    <row r="1079" spans="1:27" x14ac:dyDescent="0.25">
      <c r="A1079" s="1">
        <v>43423</v>
      </c>
      <c r="B1079">
        <v>11488</v>
      </c>
      <c r="C1079" s="2" t="s">
        <v>40</v>
      </c>
      <c r="D1079" s="2" t="s">
        <v>41</v>
      </c>
      <c r="E1079" s="2" t="s">
        <v>33</v>
      </c>
      <c r="F1079">
        <v>4049</v>
      </c>
      <c r="G1079" s="2" t="s">
        <v>118</v>
      </c>
      <c r="H1079" s="2" t="s">
        <v>97</v>
      </c>
      <c r="I1079" s="2" t="s">
        <v>48</v>
      </c>
      <c r="J1079" s="2" t="s">
        <v>49</v>
      </c>
      <c r="K1079" s="2" t="s">
        <v>48</v>
      </c>
      <c r="L1079">
        <v>3218.59</v>
      </c>
      <c r="M1079">
        <v>1</v>
      </c>
      <c r="N1079">
        <v>1.1200000000000001</v>
      </c>
      <c r="O1079">
        <v>6100231</v>
      </c>
      <c r="P1079" s="2" t="s">
        <v>50</v>
      </c>
      <c r="Q1079" s="2" t="s">
        <v>51</v>
      </c>
      <c r="R1079" s="2" t="s">
        <v>30</v>
      </c>
      <c r="S1079">
        <v>3</v>
      </c>
      <c r="T1079" s="1">
        <v>43424</v>
      </c>
      <c r="U1079" s="1">
        <v>43431</v>
      </c>
      <c r="V1079" s="2" t="s">
        <v>42</v>
      </c>
      <c r="W1079" s="1">
        <f>fNotasFiscais[[#This Row],[Data da Coleta]]+fNotasFiscais[[#This Row],[Prazo Contratado]]</f>
        <v>43427</v>
      </c>
      <c r="X1079" s="3">
        <f>IF(fNotasFiscais[[#This Row],[Data da Entrega]]&gt;fNotasFiscais[[#This Row],[Data Contratada]],0,1)</f>
        <v>0</v>
      </c>
      <c r="Y1079" s="3">
        <f>IF(fNotasFiscais[[#This Row],[Ocorrência]]="",1,0)</f>
        <v>0</v>
      </c>
      <c r="Z1079" s="2">
        <f>fNotasFiscais[[#This Row],[On Time]]*fNotasFiscais[[#This Row],[In Full]]</f>
        <v>0</v>
      </c>
      <c r="AA1079">
        <f>IF(fNotasFiscais[[#This Row],[Nota Fiscal]]&lt;&gt;"",1,0)</f>
        <v>1</v>
      </c>
    </row>
    <row r="1080" spans="1:27" x14ac:dyDescent="0.25">
      <c r="A1080" s="1">
        <v>43423</v>
      </c>
      <c r="B1080">
        <v>11489</v>
      </c>
      <c r="C1080" s="2" t="s">
        <v>31</v>
      </c>
      <c r="D1080" s="2" t="s">
        <v>32</v>
      </c>
      <c r="E1080" s="2" t="s">
        <v>33</v>
      </c>
      <c r="F1080">
        <v>4049</v>
      </c>
      <c r="G1080" s="2" t="s">
        <v>118</v>
      </c>
      <c r="H1080" s="2" t="s">
        <v>97</v>
      </c>
      <c r="I1080" s="2" t="s">
        <v>48</v>
      </c>
      <c r="J1080" s="2" t="s">
        <v>49</v>
      </c>
      <c r="K1080" s="2" t="s">
        <v>48</v>
      </c>
      <c r="L1080">
        <v>36.61</v>
      </c>
      <c r="M1080">
        <v>1</v>
      </c>
      <c r="N1080">
        <v>0.28199999999999997</v>
      </c>
      <c r="O1080">
        <v>6100231</v>
      </c>
      <c r="P1080" s="2" t="s">
        <v>50</v>
      </c>
      <c r="Q1080" s="2" t="s">
        <v>51</v>
      </c>
      <c r="R1080" s="2" t="s">
        <v>30</v>
      </c>
      <c r="S1080">
        <v>9</v>
      </c>
      <c r="T1080" s="1">
        <v>43424</v>
      </c>
      <c r="U1080" s="1">
        <v>43434</v>
      </c>
      <c r="V1080" s="2" t="s">
        <v>42</v>
      </c>
      <c r="W1080" s="1">
        <f>fNotasFiscais[[#This Row],[Data da Coleta]]+fNotasFiscais[[#This Row],[Prazo Contratado]]</f>
        <v>43433</v>
      </c>
      <c r="X1080" s="3">
        <f>IF(fNotasFiscais[[#This Row],[Data da Entrega]]&gt;fNotasFiscais[[#This Row],[Data Contratada]],0,1)</f>
        <v>0</v>
      </c>
      <c r="Y1080" s="3">
        <f>IF(fNotasFiscais[[#This Row],[Ocorrência]]="",1,0)</f>
        <v>0</v>
      </c>
      <c r="Z1080" s="2">
        <f>fNotasFiscais[[#This Row],[On Time]]*fNotasFiscais[[#This Row],[In Full]]</f>
        <v>0</v>
      </c>
      <c r="AA1080">
        <f>IF(fNotasFiscais[[#This Row],[Nota Fiscal]]&lt;&gt;"",1,0)</f>
        <v>1</v>
      </c>
    </row>
    <row r="1081" spans="1:27" x14ac:dyDescent="0.25">
      <c r="A1081" s="1">
        <v>43424</v>
      </c>
      <c r="B1081">
        <v>11490</v>
      </c>
      <c r="C1081" s="2" t="s">
        <v>40</v>
      </c>
      <c r="D1081" s="2" t="s">
        <v>41</v>
      </c>
      <c r="E1081" s="2" t="s">
        <v>33</v>
      </c>
      <c r="F1081">
        <v>4060</v>
      </c>
      <c r="G1081" s="2" t="s">
        <v>134</v>
      </c>
      <c r="H1081" s="2" t="s">
        <v>115</v>
      </c>
      <c r="I1081" s="2" t="s">
        <v>107</v>
      </c>
      <c r="J1081" s="2" t="s">
        <v>49</v>
      </c>
      <c r="K1081" s="2" t="s">
        <v>107</v>
      </c>
      <c r="L1081">
        <v>461.19</v>
      </c>
      <c r="M1081">
        <v>1</v>
      </c>
      <c r="N1081">
        <v>4.3650000000000002</v>
      </c>
      <c r="O1081">
        <v>6100231</v>
      </c>
      <c r="P1081" s="2" t="s">
        <v>50</v>
      </c>
      <c r="Q1081" s="2" t="s">
        <v>51</v>
      </c>
      <c r="R1081" s="2" t="s">
        <v>30</v>
      </c>
      <c r="S1081">
        <v>1</v>
      </c>
      <c r="T1081" s="1">
        <v>43425</v>
      </c>
      <c r="U1081" s="1">
        <v>43431</v>
      </c>
      <c r="V1081" s="2"/>
      <c r="W1081" s="1">
        <f>fNotasFiscais[[#This Row],[Data da Coleta]]+fNotasFiscais[[#This Row],[Prazo Contratado]]</f>
        <v>43426</v>
      </c>
      <c r="X1081" s="3">
        <f>IF(fNotasFiscais[[#This Row],[Data da Entrega]]&gt;fNotasFiscais[[#This Row],[Data Contratada]],0,1)</f>
        <v>0</v>
      </c>
      <c r="Y1081" s="3">
        <f>IF(fNotasFiscais[[#This Row],[Ocorrência]]="",1,0)</f>
        <v>1</v>
      </c>
      <c r="Z1081" s="2">
        <f>fNotasFiscais[[#This Row],[On Time]]*fNotasFiscais[[#This Row],[In Full]]</f>
        <v>0</v>
      </c>
      <c r="AA1081">
        <f>IF(fNotasFiscais[[#This Row],[Nota Fiscal]]&lt;&gt;"",1,0)</f>
        <v>1</v>
      </c>
    </row>
    <row r="1082" spans="1:27" x14ac:dyDescent="0.25">
      <c r="A1082" s="1">
        <v>43424</v>
      </c>
      <c r="B1082">
        <v>11491</v>
      </c>
      <c r="C1082" s="2" t="s">
        <v>40</v>
      </c>
      <c r="D1082" s="2" t="s">
        <v>41</v>
      </c>
      <c r="E1082" s="2" t="s">
        <v>33</v>
      </c>
      <c r="F1082">
        <v>4018</v>
      </c>
      <c r="G1082" s="2" t="s">
        <v>77</v>
      </c>
      <c r="H1082" s="2" t="s">
        <v>78</v>
      </c>
      <c r="I1082" s="2" t="s">
        <v>39</v>
      </c>
      <c r="J1082" s="2" t="s">
        <v>28</v>
      </c>
      <c r="K1082" s="2" t="s">
        <v>39</v>
      </c>
      <c r="L1082">
        <v>31.32</v>
      </c>
      <c r="M1082">
        <v>1</v>
      </c>
      <c r="N1082">
        <v>0.36599999999999999</v>
      </c>
      <c r="O1082">
        <v>6500948</v>
      </c>
      <c r="P1082" s="2" t="s">
        <v>29</v>
      </c>
      <c r="Q1082" s="2" t="s">
        <v>23</v>
      </c>
      <c r="R1082" s="2" t="s">
        <v>30</v>
      </c>
      <c r="S1082">
        <v>11</v>
      </c>
      <c r="T1082" s="1">
        <v>43425</v>
      </c>
      <c r="U1082" s="1">
        <v>43429</v>
      </c>
      <c r="V1082" s="2" t="s">
        <v>42</v>
      </c>
      <c r="W1082" s="1">
        <f>fNotasFiscais[[#This Row],[Data da Coleta]]+fNotasFiscais[[#This Row],[Prazo Contratado]]</f>
        <v>43436</v>
      </c>
      <c r="X1082" s="3">
        <f>IF(fNotasFiscais[[#This Row],[Data da Entrega]]&gt;fNotasFiscais[[#This Row],[Data Contratada]],0,1)</f>
        <v>1</v>
      </c>
      <c r="Y1082" s="3">
        <f>IF(fNotasFiscais[[#This Row],[Ocorrência]]="",1,0)</f>
        <v>0</v>
      </c>
      <c r="Z1082" s="2">
        <f>fNotasFiscais[[#This Row],[On Time]]*fNotasFiscais[[#This Row],[In Full]]</f>
        <v>0</v>
      </c>
      <c r="AA1082">
        <f>IF(fNotasFiscais[[#This Row],[Nota Fiscal]]&lt;&gt;"",1,0)</f>
        <v>1</v>
      </c>
    </row>
    <row r="1083" spans="1:27" x14ac:dyDescent="0.25">
      <c r="A1083" s="1">
        <v>43426</v>
      </c>
      <c r="B1083">
        <v>11492</v>
      </c>
      <c r="C1083" s="2" t="s">
        <v>40</v>
      </c>
      <c r="D1083" s="2" t="s">
        <v>41</v>
      </c>
      <c r="E1083" s="2" t="s">
        <v>33</v>
      </c>
      <c r="F1083">
        <v>4013</v>
      </c>
      <c r="G1083" s="2" t="s">
        <v>37</v>
      </c>
      <c r="H1083" s="2" t="s">
        <v>38</v>
      </c>
      <c r="I1083" s="2" t="s">
        <v>39</v>
      </c>
      <c r="J1083" s="2" t="s">
        <v>28</v>
      </c>
      <c r="K1083" s="2" t="s">
        <v>39</v>
      </c>
      <c r="L1083">
        <v>3022.54</v>
      </c>
      <c r="M1083">
        <v>4</v>
      </c>
      <c r="N1083">
        <v>17.294</v>
      </c>
      <c r="O1083">
        <v>6500948</v>
      </c>
      <c r="P1083" s="2" t="s">
        <v>29</v>
      </c>
      <c r="Q1083" s="2" t="s">
        <v>23</v>
      </c>
      <c r="R1083" s="2" t="s">
        <v>30</v>
      </c>
      <c r="S1083">
        <v>6</v>
      </c>
      <c r="T1083" s="1">
        <v>43427</v>
      </c>
      <c r="U1083" s="1">
        <v>43434</v>
      </c>
      <c r="V1083" s="2"/>
      <c r="W1083" s="1">
        <f>fNotasFiscais[[#This Row],[Data da Coleta]]+fNotasFiscais[[#This Row],[Prazo Contratado]]</f>
        <v>43433</v>
      </c>
      <c r="X1083" s="3">
        <f>IF(fNotasFiscais[[#This Row],[Data da Entrega]]&gt;fNotasFiscais[[#This Row],[Data Contratada]],0,1)</f>
        <v>0</v>
      </c>
      <c r="Y1083" s="3">
        <f>IF(fNotasFiscais[[#This Row],[Ocorrência]]="",1,0)</f>
        <v>1</v>
      </c>
      <c r="Z1083" s="2">
        <f>fNotasFiscais[[#This Row],[On Time]]*fNotasFiscais[[#This Row],[In Full]]</f>
        <v>0</v>
      </c>
      <c r="AA1083">
        <f>IF(fNotasFiscais[[#This Row],[Nota Fiscal]]&lt;&gt;"",1,0)</f>
        <v>1</v>
      </c>
    </row>
    <row r="1084" spans="1:27" x14ac:dyDescent="0.25">
      <c r="A1084" s="1">
        <v>43426</v>
      </c>
      <c r="B1084">
        <v>11493</v>
      </c>
      <c r="C1084" s="2" t="s">
        <v>34</v>
      </c>
      <c r="D1084" s="2" t="s">
        <v>35</v>
      </c>
      <c r="E1084" s="2" t="s">
        <v>36</v>
      </c>
      <c r="F1084">
        <v>4013</v>
      </c>
      <c r="G1084" s="2" t="s">
        <v>37</v>
      </c>
      <c r="H1084" s="2" t="s">
        <v>38</v>
      </c>
      <c r="I1084" s="2" t="s">
        <v>39</v>
      </c>
      <c r="J1084" s="2" t="s">
        <v>28</v>
      </c>
      <c r="K1084" s="2" t="s">
        <v>39</v>
      </c>
      <c r="L1084">
        <v>4571.7700000000004</v>
      </c>
      <c r="M1084">
        <v>2</v>
      </c>
      <c r="N1084">
        <v>3.52</v>
      </c>
      <c r="O1084">
        <v>6500948</v>
      </c>
      <c r="P1084" s="2" t="s">
        <v>29</v>
      </c>
      <c r="Q1084" s="2" t="s">
        <v>23</v>
      </c>
      <c r="R1084" s="2" t="s">
        <v>30</v>
      </c>
      <c r="S1084">
        <v>3</v>
      </c>
      <c r="T1084" s="1">
        <v>43427</v>
      </c>
      <c r="U1084" s="1">
        <v>43433</v>
      </c>
      <c r="V1084" s="2" t="s">
        <v>42</v>
      </c>
      <c r="W1084" s="1">
        <f>fNotasFiscais[[#This Row],[Data da Coleta]]+fNotasFiscais[[#This Row],[Prazo Contratado]]</f>
        <v>43430</v>
      </c>
      <c r="X1084" s="3">
        <f>IF(fNotasFiscais[[#This Row],[Data da Entrega]]&gt;fNotasFiscais[[#This Row],[Data Contratada]],0,1)</f>
        <v>0</v>
      </c>
      <c r="Y1084" s="3">
        <f>IF(fNotasFiscais[[#This Row],[Ocorrência]]="",1,0)</f>
        <v>0</v>
      </c>
      <c r="Z1084" s="2">
        <f>fNotasFiscais[[#This Row],[On Time]]*fNotasFiscais[[#This Row],[In Full]]</f>
        <v>0</v>
      </c>
      <c r="AA1084">
        <f>IF(fNotasFiscais[[#This Row],[Nota Fiscal]]&lt;&gt;"",1,0)</f>
        <v>1</v>
      </c>
    </row>
    <row r="1085" spans="1:27" x14ac:dyDescent="0.25">
      <c r="A1085" s="1">
        <v>43426</v>
      </c>
      <c r="B1085">
        <v>11494</v>
      </c>
      <c r="C1085" s="2" t="s">
        <v>43</v>
      </c>
      <c r="D1085" s="2" t="s">
        <v>44</v>
      </c>
      <c r="E1085" s="2" t="s">
        <v>45</v>
      </c>
      <c r="F1085">
        <v>4028</v>
      </c>
      <c r="G1085" s="2" t="s">
        <v>95</v>
      </c>
      <c r="H1085" s="2" t="s">
        <v>26</v>
      </c>
      <c r="I1085" s="2" t="s">
        <v>27</v>
      </c>
      <c r="J1085" s="2" t="s">
        <v>28</v>
      </c>
      <c r="K1085" s="2" t="s">
        <v>27</v>
      </c>
      <c r="L1085">
        <v>3094.83</v>
      </c>
      <c r="M1085">
        <v>1</v>
      </c>
      <c r="N1085">
        <v>1.1200000000000001</v>
      </c>
      <c r="O1085">
        <v>6500948</v>
      </c>
      <c r="P1085" s="2" t="s">
        <v>29</v>
      </c>
      <c r="Q1085" s="2" t="s">
        <v>23</v>
      </c>
      <c r="R1085" s="2" t="s">
        <v>30</v>
      </c>
      <c r="S1085">
        <v>11</v>
      </c>
      <c r="T1085" s="1">
        <v>43427</v>
      </c>
      <c r="U1085" s="1">
        <v>43433</v>
      </c>
      <c r="V1085" s="2" t="s">
        <v>42</v>
      </c>
      <c r="W1085" s="1">
        <f>fNotasFiscais[[#This Row],[Data da Coleta]]+fNotasFiscais[[#This Row],[Prazo Contratado]]</f>
        <v>43438</v>
      </c>
      <c r="X1085" s="3">
        <f>IF(fNotasFiscais[[#This Row],[Data da Entrega]]&gt;fNotasFiscais[[#This Row],[Data Contratada]],0,1)</f>
        <v>1</v>
      </c>
      <c r="Y1085" s="3">
        <f>IF(fNotasFiscais[[#This Row],[Ocorrência]]="",1,0)</f>
        <v>0</v>
      </c>
      <c r="Z1085" s="2">
        <f>fNotasFiscais[[#This Row],[On Time]]*fNotasFiscais[[#This Row],[In Full]]</f>
        <v>0</v>
      </c>
      <c r="AA1085">
        <f>IF(fNotasFiscais[[#This Row],[Nota Fiscal]]&lt;&gt;"",1,0)</f>
        <v>1</v>
      </c>
    </row>
    <row r="1086" spans="1:27" x14ac:dyDescent="0.25">
      <c r="A1086" s="1">
        <v>43426</v>
      </c>
      <c r="B1086">
        <v>11495</v>
      </c>
      <c r="C1086" s="2" t="s">
        <v>31</v>
      </c>
      <c r="D1086" s="2" t="s">
        <v>32</v>
      </c>
      <c r="E1086" s="2" t="s">
        <v>33</v>
      </c>
      <c r="F1086">
        <v>4055</v>
      </c>
      <c r="G1086" s="2" t="s">
        <v>120</v>
      </c>
      <c r="H1086" s="2" t="s">
        <v>47</v>
      </c>
      <c r="I1086" s="2" t="s">
        <v>48</v>
      </c>
      <c r="J1086" s="2" t="s">
        <v>49</v>
      </c>
      <c r="K1086" s="2" t="s">
        <v>48</v>
      </c>
      <c r="L1086">
        <v>226.95</v>
      </c>
      <c r="M1086">
        <v>1</v>
      </c>
      <c r="N1086">
        <v>1.1200000000000001</v>
      </c>
      <c r="O1086">
        <v>6100231</v>
      </c>
      <c r="P1086" s="2" t="s">
        <v>50</v>
      </c>
      <c r="Q1086" s="2" t="s">
        <v>51</v>
      </c>
      <c r="R1086" s="2" t="s">
        <v>30</v>
      </c>
      <c r="S1086">
        <v>12</v>
      </c>
      <c r="T1086" s="1">
        <v>43427</v>
      </c>
      <c r="U1086" s="1">
        <v>43431</v>
      </c>
      <c r="V1086" s="2"/>
      <c r="W1086" s="1">
        <f>fNotasFiscais[[#This Row],[Data da Coleta]]+fNotasFiscais[[#This Row],[Prazo Contratado]]</f>
        <v>43439</v>
      </c>
      <c r="X1086" s="3">
        <f>IF(fNotasFiscais[[#This Row],[Data da Entrega]]&gt;fNotasFiscais[[#This Row],[Data Contratada]],0,1)</f>
        <v>1</v>
      </c>
      <c r="Y1086" s="3">
        <f>IF(fNotasFiscais[[#This Row],[Ocorrência]]="",1,0)</f>
        <v>1</v>
      </c>
      <c r="Z1086" s="2">
        <f>fNotasFiscais[[#This Row],[On Time]]*fNotasFiscais[[#This Row],[In Full]]</f>
        <v>1</v>
      </c>
      <c r="AA1086">
        <f>IF(fNotasFiscais[[#This Row],[Nota Fiscal]]&lt;&gt;"",1,0)</f>
        <v>1</v>
      </c>
    </row>
    <row r="1087" spans="1:27" x14ac:dyDescent="0.25">
      <c r="A1087" s="1">
        <v>43426</v>
      </c>
      <c r="B1087">
        <v>11496</v>
      </c>
      <c r="C1087" s="2" t="s">
        <v>34</v>
      </c>
      <c r="D1087" s="2" t="s">
        <v>35</v>
      </c>
      <c r="E1087" s="2" t="s">
        <v>36</v>
      </c>
      <c r="F1087">
        <v>4027</v>
      </c>
      <c r="G1087" s="2" t="s">
        <v>93</v>
      </c>
      <c r="H1087" s="2" t="s">
        <v>91</v>
      </c>
      <c r="I1087" s="2" t="s">
        <v>24</v>
      </c>
      <c r="J1087" s="2" t="s">
        <v>28</v>
      </c>
      <c r="K1087" s="2" t="s">
        <v>24</v>
      </c>
      <c r="L1087">
        <v>2447.37</v>
      </c>
      <c r="M1087">
        <v>4</v>
      </c>
      <c r="N1087">
        <v>14.625999999999999</v>
      </c>
      <c r="O1087">
        <v>6500948</v>
      </c>
      <c r="P1087" s="2" t="s">
        <v>29</v>
      </c>
      <c r="Q1087" s="2" t="s">
        <v>23</v>
      </c>
      <c r="R1087" s="2" t="s">
        <v>30</v>
      </c>
      <c r="S1087">
        <v>4</v>
      </c>
      <c r="T1087" s="1">
        <v>43427</v>
      </c>
      <c r="U1087" s="1">
        <v>43432</v>
      </c>
      <c r="V1087" s="2" t="s">
        <v>42</v>
      </c>
      <c r="W1087" s="1">
        <f>fNotasFiscais[[#This Row],[Data da Coleta]]+fNotasFiscais[[#This Row],[Prazo Contratado]]</f>
        <v>43431</v>
      </c>
      <c r="X1087" s="3">
        <f>IF(fNotasFiscais[[#This Row],[Data da Entrega]]&gt;fNotasFiscais[[#This Row],[Data Contratada]],0,1)</f>
        <v>0</v>
      </c>
      <c r="Y1087" s="3">
        <f>IF(fNotasFiscais[[#This Row],[Ocorrência]]="",1,0)</f>
        <v>0</v>
      </c>
      <c r="Z1087" s="2">
        <f>fNotasFiscais[[#This Row],[On Time]]*fNotasFiscais[[#This Row],[In Full]]</f>
        <v>0</v>
      </c>
      <c r="AA1087">
        <f>IF(fNotasFiscais[[#This Row],[Nota Fiscal]]&lt;&gt;"",1,0)</f>
        <v>1</v>
      </c>
    </row>
    <row r="1088" spans="1:27" x14ac:dyDescent="0.25">
      <c r="A1088" s="1">
        <v>43426</v>
      </c>
      <c r="B1088">
        <v>11497</v>
      </c>
      <c r="C1088" s="2" t="s">
        <v>43</v>
      </c>
      <c r="D1088" s="2" t="s">
        <v>44</v>
      </c>
      <c r="E1088" s="2" t="s">
        <v>45</v>
      </c>
      <c r="F1088">
        <v>4027</v>
      </c>
      <c r="G1088" s="2" t="s">
        <v>93</v>
      </c>
      <c r="H1088" s="2" t="s">
        <v>91</v>
      </c>
      <c r="I1088" s="2" t="s">
        <v>24</v>
      </c>
      <c r="J1088" s="2" t="s">
        <v>28</v>
      </c>
      <c r="K1088" s="2" t="s">
        <v>24</v>
      </c>
      <c r="L1088">
        <v>2785.28</v>
      </c>
      <c r="M1088">
        <v>2</v>
      </c>
      <c r="N1088">
        <v>20.913</v>
      </c>
      <c r="O1088">
        <v>6500948</v>
      </c>
      <c r="P1088" s="2" t="s">
        <v>29</v>
      </c>
      <c r="Q1088" s="2" t="s">
        <v>23</v>
      </c>
      <c r="R1088" s="2" t="s">
        <v>30</v>
      </c>
      <c r="S1088">
        <v>1</v>
      </c>
      <c r="T1088" s="1">
        <v>43427</v>
      </c>
      <c r="U1088" s="1">
        <v>43435</v>
      </c>
      <c r="V1088" s="2" t="s">
        <v>42</v>
      </c>
      <c r="W1088" s="1">
        <f>fNotasFiscais[[#This Row],[Data da Coleta]]+fNotasFiscais[[#This Row],[Prazo Contratado]]</f>
        <v>43428</v>
      </c>
      <c r="X1088" s="3">
        <f>IF(fNotasFiscais[[#This Row],[Data da Entrega]]&gt;fNotasFiscais[[#This Row],[Data Contratada]],0,1)</f>
        <v>0</v>
      </c>
      <c r="Y1088" s="3">
        <f>IF(fNotasFiscais[[#This Row],[Ocorrência]]="",1,0)</f>
        <v>0</v>
      </c>
      <c r="Z1088" s="2">
        <f>fNotasFiscais[[#This Row],[On Time]]*fNotasFiscais[[#This Row],[In Full]]</f>
        <v>0</v>
      </c>
      <c r="AA1088">
        <f>IF(fNotasFiscais[[#This Row],[Nota Fiscal]]&lt;&gt;"",1,0)</f>
        <v>1</v>
      </c>
    </row>
    <row r="1089" spans="1:27" x14ac:dyDescent="0.25">
      <c r="A1089" s="1">
        <v>43426</v>
      </c>
      <c r="B1089">
        <v>11498</v>
      </c>
      <c r="C1089" s="2" t="s">
        <v>31</v>
      </c>
      <c r="D1089" s="2" t="s">
        <v>32</v>
      </c>
      <c r="E1089" s="2" t="s">
        <v>33</v>
      </c>
      <c r="F1089">
        <v>4030</v>
      </c>
      <c r="G1089" s="2" t="s">
        <v>102</v>
      </c>
      <c r="H1089" s="2" t="s">
        <v>35</v>
      </c>
      <c r="I1089" s="2" t="s">
        <v>36</v>
      </c>
      <c r="J1089" s="2" t="s">
        <v>60</v>
      </c>
      <c r="K1089" s="2" t="s">
        <v>36</v>
      </c>
      <c r="L1089">
        <v>355.32</v>
      </c>
      <c r="M1089">
        <v>1</v>
      </c>
      <c r="N1089">
        <v>0.94299999999999995</v>
      </c>
      <c r="O1089">
        <v>6600879</v>
      </c>
      <c r="P1089" s="2" t="s">
        <v>61</v>
      </c>
      <c r="Q1089" s="2" t="s">
        <v>35</v>
      </c>
      <c r="R1089" s="2" t="s">
        <v>30</v>
      </c>
      <c r="S1089">
        <v>10</v>
      </c>
      <c r="T1089" s="1">
        <v>43427</v>
      </c>
      <c r="U1089" s="1">
        <v>43428</v>
      </c>
      <c r="V1089" s="2"/>
      <c r="W1089" s="1">
        <f>fNotasFiscais[[#This Row],[Data da Coleta]]+fNotasFiscais[[#This Row],[Prazo Contratado]]</f>
        <v>43437</v>
      </c>
      <c r="X1089" s="3">
        <f>IF(fNotasFiscais[[#This Row],[Data da Entrega]]&gt;fNotasFiscais[[#This Row],[Data Contratada]],0,1)</f>
        <v>1</v>
      </c>
      <c r="Y1089" s="3">
        <f>IF(fNotasFiscais[[#This Row],[Ocorrência]]="",1,0)</f>
        <v>1</v>
      </c>
      <c r="Z1089" s="2">
        <f>fNotasFiscais[[#This Row],[On Time]]*fNotasFiscais[[#This Row],[In Full]]</f>
        <v>1</v>
      </c>
      <c r="AA1089">
        <f>IF(fNotasFiscais[[#This Row],[Nota Fiscal]]&lt;&gt;"",1,0)</f>
        <v>1</v>
      </c>
    </row>
    <row r="1090" spans="1:27" x14ac:dyDescent="0.25">
      <c r="A1090" s="1">
        <v>43426</v>
      </c>
      <c r="B1090">
        <v>11499</v>
      </c>
      <c r="C1090" s="2" t="s">
        <v>52</v>
      </c>
      <c r="D1090" s="2" t="s">
        <v>53</v>
      </c>
      <c r="E1090" s="2" t="s">
        <v>33</v>
      </c>
      <c r="F1090">
        <v>4028</v>
      </c>
      <c r="G1090" s="2" t="s">
        <v>95</v>
      </c>
      <c r="H1090" s="2" t="s">
        <v>26</v>
      </c>
      <c r="I1090" s="2" t="s">
        <v>27</v>
      </c>
      <c r="J1090" s="2" t="s">
        <v>28</v>
      </c>
      <c r="K1090" s="2" t="s">
        <v>27</v>
      </c>
      <c r="L1090">
        <v>2020.6</v>
      </c>
      <c r="M1090">
        <v>8</v>
      </c>
      <c r="N1090">
        <v>86.24</v>
      </c>
      <c r="O1090">
        <v>6500948</v>
      </c>
      <c r="P1090" s="2" t="s">
        <v>29</v>
      </c>
      <c r="Q1090" s="2" t="s">
        <v>23</v>
      </c>
      <c r="R1090" s="2" t="s">
        <v>30</v>
      </c>
      <c r="S1090">
        <v>11</v>
      </c>
      <c r="T1090" s="1">
        <v>43427</v>
      </c>
      <c r="U1090" s="1">
        <v>43431</v>
      </c>
      <c r="V1090" s="2" t="s">
        <v>42</v>
      </c>
      <c r="W1090" s="1">
        <f>fNotasFiscais[[#This Row],[Data da Coleta]]+fNotasFiscais[[#This Row],[Prazo Contratado]]</f>
        <v>43438</v>
      </c>
      <c r="X1090" s="3">
        <f>IF(fNotasFiscais[[#This Row],[Data da Entrega]]&gt;fNotasFiscais[[#This Row],[Data Contratada]],0,1)</f>
        <v>1</v>
      </c>
      <c r="Y1090" s="3">
        <f>IF(fNotasFiscais[[#This Row],[Ocorrência]]="",1,0)</f>
        <v>0</v>
      </c>
      <c r="Z1090" s="2">
        <f>fNotasFiscais[[#This Row],[On Time]]*fNotasFiscais[[#This Row],[In Full]]</f>
        <v>0</v>
      </c>
      <c r="AA1090">
        <f>IF(fNotasFiscais[[#This Row],[Nota Fiscal]]&lt;&gt;"",1,0)</f>
        <v>1</v>
      </c>
    </row>
    <row r="1091" spans="1:27" x14ac:dyDescent="0.25">
      <c r="A1091" s="1">
        <v>43426</v>
      </c>
      <c r="B1091">
        <v>11500</v>
      </c>
      <c r="C1091" s="2" t="s">
        <v>31</v>
      </c>
      <c r="D1091" s="2" t="s">
        <v>32</v>
      </c>
      <c r="E1091" s="2" t="s">
        <v>33</v>
      </c>
      <c r="F1091">
        <v>4055</v>
      </c>
      <c r="G1091" s="2" t="s">
        <v>120</v>
      </c>
      <c r="H1091" s="2" t="s">
        <v>47</v>
      </c>
      <c r="I1091" s="2" t="s">
        <v>48</v>
      </c>
      <c r="J1091" s="2" t="s">
        <v>49</v>
      </c>
      <c r="K1091" s="2" t="s">
        <v>48</v>
      </c>
      <c r="L1091">
        <v>1494.75</v>
      </c>
      <c r="M1091">
        <v>1</v>
      </c>
      <c r="N1091">
        <v>2.3849999999999998</v>
      </c>
      <c r="O1091">
        <v>6100231</v>
      </c>
      <c r="P1091" s="2" t="s">
        <v>50</v>
      </c>
      <c r="Q1091" s="2" t="s">
        <v>51</v>
      </c>
      <c r="R1091" s="2" t="s">
        <v>30</v>
      </c>
      <c r="S1091">
        <v>11</v>
      </c>
      <c r="T1091" s="1">
        <v>43427</v>
      </c>
      <c r="U1091" s="1">
        <v>43434</v>
      </c>
      <c r="V1091" s="2"/>
      <c r="W1091" s="1">
        <f>fNotasFiscais[[#This Row],[Data da Coleta]]+fNotasFiscais[[#This Row],[Prazo Contratado]]</f>
        <v>43438</v>
      </c>
      <c r="X1091" s="3">
        <f>IF(fNotasFiscais[[#This Row],[Data da Entrega]]&gt;fNotasFiscais[[#This Row],[Data Contratada]],0,1)</f>
        <v>1</v>
      </c>
      <c r="Y1091" s="3">
        <f>IF(fNotasFiscais[[#This Row],[Ocorrência]]="",1,0)</f>
        <v>1</v>
      </c>
      <c r="Z1091" s="2">
        <f>fNotasFiscais[[#This Row],[On Time]]*fNotasFiscais[[#This Row],[In Full]]</f>
        <v>1</v>
      </c>
      <c r="AA1091">
        <f>IF(fNotasFiscais[[#This Row],[Nota Fiscal]]&lt;&gt;"",1,0)</f>
        <v>1</v>
      </c>
    </row>
    <row r="1092" spans="1:27" x14ac:dyDescent="0.25">
      <c r="A1092" s="1">
        <v>43426</v>
      </c>
      <c r="B1092">
        <v>11501</v>
      </c>
      <c r="C1092" s="2" t="s">
        <v>40</v>
      </c>
      <c r="D1092" s="2" t="s">
        <v>41</v>
      </c>
      <c r="E1092" s="2" t="s">
        <v>33</v>
      </c>
      <c r="F1092">
        <v>4030</v>
      </c>
      <c r="G1092" s="2" t="s">
        <v>102</v>
      </c>
      <c r="H1092" s="2" t="s">
        <v>35</v>
      </c>
      <c r="I1092" s="2" t="s">
        <v>36</v>
      </c>
      <c r="J1092" s="2" t="s">
        <v>60</v>
      </c>
      <c r="K1092" s="2" t="s">
        <v>36</v>
      </c>
      <c r="L1092">
        <v>1200.32</v>
      </c>
      <c r="M1092">
        <v>1</v>
      </c>
      <c r="N1092">
        <v>14.000999999999999</v>
      </c>
      <c r="O1092">
        <v>6600879</v>
      </c>
      <c r="P1092" s="2" t="s">
        <v>61</v>
      </c>
      <c r="Q1092" s="2" t="s">
        <v>35</v>
      </c>
      <c r="R1092" s="2" t="s">
        <v>30</v>
      </c>
      <c r="S1092">
        <v>11</v>
      </c>
      <c r="T1092" s="1">
        <v>43427</v>
      </c>
      <c r="U1092" s="1">
        <v>43435</v>
      </c>
      <c r="V1092" s="2"/>
      <c r="W1092" s="1">
        <f>fNotasFiscais[[#This Row],[Data da Coleta]]+fNotasFiscais[[#This Row],[Prazo Contratado]]</f>
        <v>43438</v>
      </c>
      <c r="X1092" s="3">
        <f>IF(fNotasFiscais[[#This Row],[Data da Entrega]]&gt;fNotasFiscais[[#This Row],[Data Contratada]],0,1)</f>
        <v>1</v>
      </c>
      <c r="Y1092" s="3">
        <f>IF(fNotasFiscais[[#This Row],[Ocorrência]]="",1,0)</f>
        <v>1</v>
      </c>
      <c r="Z1092" s="2">
        <f>fNotasFiscais[[#This Row],[On Time]]*fNotasFiscais[[#This Row],[In Full]]</f>
        <v>1</v>
      </c>
      <c r="AA1092">
        <f>IF(fNotasFiscais[[#This Row],[Nota Fiscal]]&lt;&gt;"",1,0)</f>
        <v>1</v>
      </c>
    </row>
    <row r="1093" spans="1:27" x14ac:dyDescent="0.25">
      <c r="A1093" s="1">
        <v>43427</v>
      </c>
      <c r="B1093">
        <v>11502</v>
      </c>
      <c r="C1093" s="2" t="s">
        <v>34</v>
      </c>
      <c r="D1093" s="2" t="s">
        <v>35</v>
      </c>
      <c r="E1093" s="2" t="s">
        <v>36</v>
      </c>
      <c r="F1093">
        <v>4046</v>
      </c>
      <c r="G1093" s="2" t="s">
        <v>112</v>
      </c>
      <c r="H1093" s="2" t="s">
        <v>35</v>
      </c>
      <c r="I1093" s="2" t="s">
        <v>36</v>
      </c>
      <c r="J1093" s="2" t="s">
        <v>60</v>
      </c>
      <c r="K1093" s="2" t="s">
        <v>36</v>
      </c>
      <c r="L1093">
        <v>558.62</v>
      </c>
      <c r="M1093">
        <v>2</v>
      </c>
      <c r="N1093">
        <v>2.1619999999999999</v>
      </c>
      <c r="O1093">
        <v>6600879</v>
      </c>
      <c r="P1093" s="2" t="s">
        <v>61</v>
      </c>
      <c r="Q1093" s="2" t="s">
        <v>35</v>
      </c>
      <c r="R1093" s="2" t="s">
        <v>30</v>
      </c>
      <c r="S1093">
        <v>6</v>
      </c>
      <c r="T1093" s="1">
        <v>43428</v>
      </c>
      <c r="U1093" s="1">
        <v>43436</v>
      </c>
      <c r="V1093" s="2" t="s">
        <v>57</v>
      </c>
      <c r="W1093" s="1">
        <f>fNotasFiscais[[#This Row],[Data da Coleta]]+fNotasFiscais[[#This Row],[Prazo Contratado]]</f>
        <v>43434</v>
      </c>
      <c r="X1093" s="3">
        <f>IF(fNotasFiscais[[#This Row],[Data da Entrega]]&gt;fNotasFiscais[[#This Row],[Data Contratada]],0,1)</f>
        <v>0</v>
      </c>
      <c r="Y1093" s="3">
        <f>IF(fNotasFiscais[[#This Row],[Ocorrência]]="",1,0)</f>
        <v>0</v>
      </c>
      <c r="Z1093" s="2">
        <f>fNotasFiscais[[#This Row],[On Time]]*fNotasFiscais[[#This Row],[In Full]]</f>
        <v>0</v>
      </c>
      <c r="AA1093">
        <f>IF(fNotasFiscais[[#This Row],[Nota Fiscal]]&lt;&gt;"",1,0)</f>
        <v>1</v>
      </c>
    </row>
    <row r="1094" spans="1:27" x14ac:dyDescent="0.25">
      <c r="A1094" s="1">
        <v>43427</v>
      </c>
      <c r="B1094">
        <v>11503</v>
      </c>
      <c r="C1094" s="2" t="s">
        <v>34</v>
      </c>
      <c r="D1094" s="2" t="s">
        <v>35</v>
      </c>
      <c r="E1094" s="2" t="s">
        <v>36</v>
      </c>
      <c r="F1094">
        <v>4022</v>
      </c>
      <c r="G1094" s="2" t="s">
        <v>86</v>
      </c>
      <c r="H1094" s="2" t="s">
        <v>87</v>
      </c>
      <c r="I1094" s="2" t="s">
        <v>27</v>
      </c>
      <c r="J1094" s="2" t="s">
        <v>28</v>
      </c>
      <c r="K1094" s="2" t="s">
        <v>27</v>
      </c>
      <c r="L1094">
        <v>3907.82</v>
      </c>
      <c r="M1094">
        <v>3</v>
      </c>
      <c r="N1094">
        <v>7.8289999999999997</v>
      </c>
      <c r="O1094">
        <v>6500948</v>
      </c>
      <c r="P1094" s="2" t="s">
        <v>29</v>
      </c>
      <c r="Q1094" s="2" t="s">
        <v>23</v>
      </c>
      <c r="R1094" s="2" t="s">
        <v>30</v>
      </c>
      <c r="S1094">
        <v>10</v>
      </c>
      <c r="T1094" s="1">
        <v>43428</v>
      </c>
      <c r="U1094" s="1">
        <v>43435</v>
      </c>
      <c r="V1094" s="2"/>
      <c r="W1094" s="1">
        <f>fNotasFiscais[[#This Row],[Data da Coleta]]+fNotasFiscais[[#This Row],[Prazo Contratado]]</f>
        <v>43438</v>
      </c>
      <c r="X1094" s="3">
        <f>IF(fNotasFiscais[[#This Row],[Data da Entrega]]&gt;fNotasFiscais[[#This Row],[Data Contratada]],0,1)</f>
        <v>1</v>
      </c>
      <c r="Y1094" s="3">
        <f>IF(fNotasFiscais[[#This Row],[Ocorrência]]="",1,0)</f>
        <v>1</v>
      </c>
      <c r="Z1094" s="2">
        <f>fNotasFiscais[[#This Row],[On Time]]*fNotasFiscais[[#This Row],[In Full]]</f>
        <v>1</v>
      </c>
      <c r="AA1094">
        <f>IF(fNotasFiscais[[#This Row],[Nota Fiscal]]&lt;&gt;"",1,0)</f>
        <v>1</v>
      </c>
    </row>
    <row r="1095" spans="1:27" x14ac:dyDescent="0.25">
      <c r="A1095" s="1">
        <v>43430</v>
      </c>
      <c r="B1095">
        <v>11504</v>
      </c>
      <c r="C1095" s="2" t="s">
        <v>31</v>
      </c>
      <c r="D1095" s="2" t="s">
        <v>32</v>
      </c>
      <c r="E1095" s="2" t="s">
        <v>33</v>
      </c>
      <c r="F1095">
        <v>4068</v>
      </c>
      <c r="G1095" s="2" t="s">
        <v>63</v>
      </c>
      <c r="H1095" s="2" t="s">
        <v>64</v>
      </c>
      <c r="I1095" s="2" t="s">
        <v>65</v>
      </c>
      <c r="J1095" s="2" t="s">
        <v>49</v>
      </c>
      <c r="K1095" s="2" t="s">
        <v>65</v>
      </c>
      <c r="L1095">
        <v>3835.72</v>
      </c>
      <c r="M1095">
        <v>10</v>
      </c>
      <c r="N1095">
        <v>134.19999999999999</v>
      </c>
      <c r="O1095">
        <v>6100231</v>
      </c>
      <c r="P1095" s="2" t="s">
        <v>50</v>
      </c>
      <c r="Q1095" s="2" t="s">
        <v>51</v>
      </c>
      <c r="R1095" s="2" t="s">
        <v>30</v>
      </c>
      <c r="S1095">
        <v>12</v>
      </c>
      <c r="T1095" s="1">
        <v>43431</v>
      </c>
      <c r="U1095" s="1">
        <v>43440</v>
      </c>
      <c r="V1095" s="2"/>
      <c r="W1095" s="1">
        <f>fNotasFiscais[[#This Row],[Data da Coleta]]+fNotasFiscais[[#This Row],[Prazo Contratado]]</f>
        <v>43443</v>
      </c>
      <c r="X1095" s="3">
        <f>IF(fNotasFiscais[[#This Row],[Data da Entrega]]&gt;fNotasFiscais[[#This Row],[Data Contratada]],0,1)</f>
        <v>1</v>
      </c>
      <c r="Y1095" s="3">
        <f>IF(fNotasFiscais[[#This Row],[Ocorrência]]="",1,0)</f>
        <v>1</v>
      </c>
      <c r="Z1095" s="2">
        <f>fNotasFiscais[[#This Row],[On Time]]*fNotasFiscais[[#This Row],[In Full]]</f>
        <v>1</v>
      </c>
      <c r="AA1095">
        <f>IF(fNotasFiscais[[#This Row],[Nota Fiscal]]&lt;&gt;"",1,0)</f>
        <v>1</v>
      </c>
    </row>
    <row r="1096" spans="1:27" x14ac:dyDescent="0.25">
      <c r="A1096" s="1">
        <v>43430</v>
      </c>
      <c r="B1096">
        <v>11505</v>
      </c>
      <c r="C1096" s="2" t="s">
        <v>52</v>
      </c>
      <c r="D1096" s="2" t="s">
        <v>53</v>
      </c>
      <c r="E1096" s="2" t="s">
        <v>33</v>
      </c>
      <c r="F1096">
        <v>4068</v>
      </c>
      <c r="G1096" s="2" t="s">
        <v>63</v>
      </c>
      <c r="H1096" s="2" t="s">
        <v>64</v>
      </c>
      <c r="I1096" s="2" t="s">
        <v>65</v>
      </c>
      <c r="J1096" s="2" t="s">
        <v>49</v>
      </c>
      <c r="K1096" s="2" t="s">
        <v>65</v>
      </c>
      <c r="L1096">
        <v>6229.45</v>
      </c>
      <c r="M1096">
        <v>4</v>
      </c>
      <c r="N1096">
        <v>50.16</v>
      </c>
      <c r="O1096">
        <v>6100231</v>
      </c>
      <c r="P1096" s="2" t="s">
        <v>50</v>
      </c>
      <c r="Q1096" s="2" t="s">
        <v>51</v>
      </c>
      <c r="R1096" s="2" t="s">
        <v>30</v>
      </c>
      <c r="S1096">
        <v>6</v>
      </c>
      <c r="T1096" s="1">
        <v>43431</v>
      </c>
      <c r="U1096" s="1">
        <v>43439</v>
      </c>
      <c r="V1096" s="2"/>
      <c r="W1096" s="1">
        <f>fNotasFiscais[[#This Row],[Data da Coleta]]+fNotasFiscais[[#This Row],[Prazo Contratado]]</f>
        <v>43437</v>
      </c>
      <c r="X1096" s="3">
        <f>IF(fNotasFiscais[[#This Row],[Data da Entrega]]&gt;fNotasFiscais[[#This Row],[Data Contratada]],0,1)</f>
        <v>0</v>
      </c>
      <c r="Y1096" s="3">
        <f>IF(fNotasFiscais[[#This Row],[Ocorrência]]="",1,0)</f>
        <v>1</v>
      </c>
      <c r="Z1096" s="2">
        <f>fNotasFiscais[[#This Row],[On Time]]*fNotasFiscais[[#This Row],[In Full]]</f>
        <v>0</v>
      </c>
      <c r="AA1096">
        <f>IF(fNotasFiscais[[#This Row],[Nota Fiscal]]&lt;&gt;"",1,0)</f>
        <v>1</v>
      </c>
    </row>
    <row r="1097" spans="1:27" x14ac:dyDescent="0.25">
      <c r="A1097" s="1">
        <v>43430</v>
      </c>
      <c r="B1097">
        <v>11506</v>
      </c>
      <c r="C1097" s="2" t="s">
        <v>52</v>
      </c>
      <c r="D1097" s="2" t="s">
        <v>53</v>
      </c>
      <c r="E1097" s="2" t="s">
        <v>33</v>
      </c>
      <c r="F1097">
        <v>4022</v>
      </c>
      <c r="G1097" s="2" t="s">
        <v>86</v>
      </c>
      <c r="H1097" s="2" t="s">
        <v>87</v>
      </c>
      <c r="I1097" s="2" t="s">
        <v>27</v>
      </c>
      <c r="J1097" s="2" t="s">
        <v>28</v>
      </c>
      <c r="K1097" s="2" t="s">
        <v>27</v>
      </c>
      <c r="L1097">
        <v>2385.4299999999998</v>
      </c>
      <c r="M1097">
        <v>10</v>
      </c>
      <c r="N1097">
        <v>107.8</v>
      </c>
      <c r="O1097">
        <v>6500948</v>
      </c>
      <c r="P1097" s="2" t="s">
        <v>29</v>
      </c>
      <c r="Q1097" s="2" t="s">
        <v>23</v>
      </c>
      <c r="R1097" s="2" t="s">
        <v>30</v>
      </c>
      <c r="S1097">
        <v>3</v>
      </c>
      <c r="T1097" s="1">
        <v>43431</v>
      </c>
      <c r="U1097" s="1">
        <v>43438</v>
      </c>
      <c r="V1097" s="2" t="s">
        <v>57</v>
      </c>
      <c r="W1097" s="1">
        <f>fNotasFiscais[[#This Row],[Data da Coleta]]+fNotasFiscais[[#This Row],[Prazo Contratado]]</f>
        <v>43434</v>
      </c>
      <c r="X1097" s="3">
        <f>IF(fNotasFiscais[[#This Row],[Data da Entrega]]&gt;fNotasFiscais[[#This Row],[Data Contratada]],0,1)</f>
        <v>0</v>
      </c>
      <c r="Y1097" s="3">
        <f>IF(fNotasFiscais[[#This Row],[Ocorrência]]="",1,0)</f>
        <v>0</v>
      </c>
      <c r="Z1097" s="2">
        <f>fNotasFiscais[[#This Row],[On Time]]*fNotasFiscais[[#This Row],[In Full]]</f>
        <v>0</v>
      </c>
      <c r="AA1097">
        <f>IF(fNotasFiscais[[#This Row],[Nota Fiscal]]&lt;&gt;"",1,0)</f>
        <v>1</v>
      </c>
    </row>
    <row r="1098" spans="1:27" x14ac:dyDescent="0.25">
      <c r="A1098" s="1">
        <v>43431</v>
      </c>
      <c r="B1098">
        <v>11507</v>
      </c>
      <c r="C1098" s="2" t="s">
        <v>52</v>
      </c>
      <c r="D1098" s="2" t="s">
        <v>53</v>
      </c>
      <c r="E1098" s="2" t="s">
        <v>33</v>
      </c>
      <c r="F1098">
        <v>4033</v>
      </c>
      <c r="G1098" s="2" t="s">
        <v>109</v>
      </c>
      <c r="H1098" s="2" t="s">
        <v>51</v>
      </c>
      <c r="I1098" s="2" t="s">
        <v>73</v>
      </c>
      <c r="J1098" s="2" t="s">
        <v>49</v>
      </c>
      <c r="K1098" s="2" t="s">
        <v>73</v>
      </c>
      <c r="L1098">
        <v>7736.37</v>
      </c>
      <c r="M1098">
        <v>2</v>
      </c>
      <c r="N1098">
        <v>26.716999999999999</v>
      </c>
      <c r="O1098">
        <v>6100231</v>
      </c>
      <c r="P1098" s="2" t="s">
        <v>50</v>
      </c>
      <c r="Q1098" s="2" t="s">
        <v>51</v>
      </c>
      <c r="R1098" s="2" t="s">
        <v>30</v>
      </c>
      <c r="S1098">
        <v>10</v>
      </c>
      <c r="T1098" s="1">
        <v>43432</v>
      </c>
      <c r="U1098" s="1">
        <v>43433</v>
      </c>
      <c r="V1098" s="2"/>
      <c r="W1098" s="1">
        <f>fNotasFiscais[[#This Row],[Data da Coleta]]+fNotasFiscais[[#This Row],[Prazo Contratado]]</f>
        <v>43442</v>
      </c>
      <c r="X1098" s="3">
        <f>IF(fNotasFiscais[[#This Row],[Data da Entrega]]&gt;fNotasFiscais[[#This Row],[Data Contratada]],0,1)</f>
        <v>1</v>
      </c>
      <c r="Y1098" s="3">
        <f>IF(fNotasFiscais[[#This Row],[Ocorrência]]="",1,0)</f>
        <v>1</v>
      </c>
      <c r="Z1098" s="2">
        <f>fNotasFiscais[[#This Row],[On Time]]*fNotasFiscais[[#This Row],[In Full]]</f>
        <v>1</v>
      </c>
      <c r="AA1098">
        <f>IF(fNotasFiscais[[#This Row],[Nota Fiscal]]&lt;&gt;"",1,0)</f>
        <v>1</v>
      </c>
    </row>
    <row r="1099" spans="1:27" x14ac:dyDescent="0.25">
      <c r="A1099" s="1">
        <v>43433</v>
      </c>
      <c r="B1099">
        <v>11508</v>
      </c>
      <c r="C1099" s="2" t="s">
        <v>34</v>
      </c>
      <c r="D1099" s="2" t="s">
        <v>35</v>
      </c>
      <c r="E1099" s="2" t="s">
        <v>36</v>
      </c>
      <c r="F1099">
        <v>4012</v>
      </c>
      <c r="G1099" s="2" t="s">
        <v>25</v>
      </c>
      <c r="H1099" s="2" t="s">
        <v>26</v>
      </c>
      <c r="I1099" s="2" t="s">
        <v>27</v>
      </c>
      <c r="J1099" s="2" t="s">
        <v>28</v>
      </c>
      <c r="K1099" s="2" t="s">
        <v>27</v>
      </c>
      <c r="L1099">
        <v>3.17</v>
      </c>
      <c r="M1099">
        <v>1</v>
      </c>
      <c r="N1099">
        <v>3.5000000000000003E-2</v>
      </c>
      <c r="O1099">
        <v>6500948</v>
      </c>
      <c r="P1099" s="2" t="s">
        <v>29</v>
      </c>
      <c r="Q1099" s="2" t="s">
        <v>23</v>
      </c>
      <c r="R1099" s="2" t="s">
        <v>30</v>
      </c>
      <c r="S1099">
        <v>2</v>
      </c>
      <c r="T1099" s="1">
        <v>43433</v>
      </c>
      <c r="U1099" s="1">
        <v>43442</v>
      </c>
      <c r="V1099" s="2"/>
      <c r="W1099" s="1">
        <f>fNotasFiscais[[#This Row],[Data da Coleta]]+fNotasFiscais[[#This Row],[Prazo Contratado]]</f>
        <v>43435</v>
      </c>
      <c r="X1099" s="3">
        <f>IF(fNotasFiscais[[#This Row],[Data da Entrega]]&gt;fNotasFiscais[[#This Row],[Data Contratada]],0,1)</f>
        <v>0</v>
      </c>
      <c r="Y1099" s="3">
        <f>IF(fNotasFiscais[[#This Row],[Ocorrência]]="",1,0)</f>
        <v>1</v>
      </c>
      <c r="Z1099" s="2">
        <f>fNotasFiscais[[#This Row],[On Time]]*fNotasFiscais[[#This Row],[In Full]]</f>
        <v>0</v>
      </c>
      <c r="AA1099">
        <f>IF(fNotasFiscais[[#This Row],[Nota Fiscal]]&lt;&gt;"",1,0)</f>
        <v>1</v>
      </c>
    </row>
    <row r="1100" spans="1:27" x14ac:dyDescent="0.25">
      <c r="A1100" s="1">
        <v>43433</v>
      </c>
      <c r="B1100">
        <v>11509</v>
      </c>
      <c r="C1100" s="2" t="s">
        <v>52</v>
      </c>
      <c r="D1100" s="2" t="s">
        <v>53</v>
      </c>
      <c r="E1100" s="2" t="s">
        <v>33</v>
      </c>
      <c r="F1100">
        <v>4022</v>
      </c>
      <c r="G1100" s="2" t="s">
        <v>86</v>
      </c>
      <c r="H1100" s="2" t="s">
        <v>87</v>
      </c>
      <c r="I1100" s="2" t="s">
        <v>27</v>
      </c>
      <c r="J1100" s="2" t="s">
        <v>28</v>
      </c>
      <c r="K1100" s="2" t="s">
        <v>27</v>
      </c>
      <c r="L1100">
        <v>35.89</v>
      </c>
      <c r="M1100">
        <v>1</v>
      </c>
      <c r="N1100">
        <v>1.1200000000000001</v>
      </c>
      <c r="O1100">
        <v>6500948</v>
      </c>
      <c r="P1100" s="2" t="s">
        <v>29</v>
      </c>
      <c r="Q1100" s="2" t="s">
        <v>23</v>
      </c>
      <c r="R1100" s="2" t="s">
        <v>30</v>
      </c>
      <c r="S1100">
        <v>2</v>
      </c>
      <c r="T1100" s="1">
        <v>43433</v>
      </c>
      <c r="U1100" s="1">
        <v>43438</v>
      </c>
      <c r="V1100" s="2"/>
      <c r="W1100" s="1">
        <f>fNotasFiscais[[#This Row],[Data da Coleta]]+fNotasFiscais[[#This Row],[Prazo Contratado]]</f>
        <v>43435</v>
      </c>
      <c r="X1100" s="3">
        <f>IF(fNotasFiscais[[#This Row],[Data da Entrega]]&gt;fNotasFiscais[[#This Row],[Data Contratada]],0,1)</f>
        <v>0</v>
      </c>
      <c r="Y1100" s="3">
        <f>IF(fNotasFiscais[[#This Row],[Ocorrência]]="",1,0)</f>
        <v>1</v>
      </c>
      <c r="Z1100" s="2">
        <f>fNotasFiscais[[#This Row],[On Time]]*fNotasFiscais[[#This Row],[In Full]]</f>
        <v>0</v>
      </c>
      <c r="AA1100">
        <f>IF(fNotasFiscais[[#This Row],[Nota Fiscal]]&lt;&gt;"",1,0)</f>
        <v>1</v>
      </c>
    </row>
    <row r="1101" spans="1:27" x14ac:dyDescent="0.25">
      <c r="A1101" s="1">
        <v>43434</v>
      </c>
      <c r="B1101">
        <v>11510</v>
      </c>
      <c r="C1101" s="2" t="s">
        <v>52</v>
      </c>
      <c r="D1101" s="2" t="s">
        <v>53</v>
      </c>
      <c r="E1101" s="2" t="s">
        <v>33</v>
      </c>
      <c r="F1101">
        <v>4018</v>
      </c>
      <c r="G1101" s="2" t="s">
        <v>77</v>
      </c>
      <c r="H1101" s="2" t="s">
        <v>78</v>
      </c>
      <c r="I1101" s="2" t="s">
        <v>39</v>
      </c>
      <c r="J1101" s="2" t="s">
        <v>28</v>
      </c>
      <c r="K1101" s="2" t="s">
        <v>39</v>
      </c>
      <c r="L1101">
        <v>22155.18</v>
      </c>
      <c r="M1101">
        <v>12</v>
      </c>
      <c r="N1101">
        <v>119.30200000000001</v>
      </c>
      <c r="O1101">
        <v>6500948</v>
      </c>
      <c r="P1101" s="2" t="s">
        <v>29</v>
      </c>
      <c r="Q1101" s="2" t="s">
        <v>23</v>
      </c>
      <c r="R1101" s="2" t="s">
        <v>30</v>
      </c>
      <c r="S1101">
        <v>2</v>
      </c>
      <c r="T1101" s="1">
        <v>43434</v>
      </c>
      <c r="U1101" s="1">
        <v>43442</v>
      </c>
      <c r="V1101" s="2"/>
      <c r="W1101" s="1">
        <f>fNotasFiscais[[#This Row],[Data da Coleta]]+fNotasFiscais[[#This Row],[Prazo Contratado]]</f>
        <v>43436</v>
      </c>
      <c r="X1101" s="3">
        <f>IF(fNotasFiscais[[#This Row],[Data da Entrega]]&gt;fNotasFiscais[[#This Row],[Data Contratada]],0,1)</f>
        <v>0</v>
      </c>
      <c r="Y1101" s="3">
        <f>IF(fNotasFiscais[[#This Row],[Ocorrência]]="",1,0)</f>
        <v>1</v>
      </c>
      <c r="Z1101" s="2">
        <f>fNotasFiscais[[#This Row],[On Time]]*fNotasFiscais[[#This Row],[In Full]]</f>
        <v>0</v>
      </c>
      <c r="AA1101">
        <f>IF(fNotasFiscais[[#This Row],[Nota Fiscal]]&lt;&gt;"",1,0)</f>
        <v>1</v>
      </c>
    </row>
    <row r="1102" spans="1:27" x14ac:dyDescent="0.25">
      <c r="A1102" s="1">
        <v>43434</v>
      </c>
      <c r="B1102">
        <v>11511</v>
      </c>
      <c r="C1102" s="2" t="s">
        <v>34</v>
      </c>
      <c r="D1102" s="2" t="s">
        <v>35</v>
      </c>
      <c r="E1102" s="2" t="s">
        <v>36</v>
      </c>
      <c r="F1102">
        <v>4034</v>
      </c>
      <c r="G1102" s="2" t="s">
        <v>110</v>
      </c>
      <c r="H1102" s="2" t="s">
        <v>51</v>
      </c>
      <c r="I1102" s="2" t="s">
        <v>73</v>
      </c>
      <c r="J1102" s="2" t="s">
        <v>49</v>
      </c>
      <c r="K1102" s="2" t="s">
        <v>73</v>
      </c>
      <c r="L1102">
        <v>108.35</v>
      </c>
      <c r="M1102">
        <v>1</v>
      </c>
      <c r="N1102">
        <v>0.121</v>
      </c>
      <c r="O1102">
        <v>6100231</v>
      </c>
      <c r="P1102" s="2" t="s">
        <v>50</v>
      </c>
      <c r="Q1102" s="2" t="s">
        <v>51</v>
      </c>
      <c r="R1102" s="2" t="s">
        <v>30</v>
      </c>
      <c r="S1102">
        <v>9</v>
      </c>
      <c r="T1102" s="1">
        <v>43434</v>
      </c>
      <c r="U1102" s="1">
        <v>43436</v>
      </c>
      <c r="V1102" s="2"/>
      <c r="W1102" s="1">
        <f>fNotasFiscais[[#This Row],[Data da Coleta]]+fNotasFiscais[[#This Row],[Prazo Contratado]]</f>
        <v>43443</v>
      </c>
      <c r="X1102" s="3">
        <f>IF(fNotasFiscais[[#This Row],[Data da Entrega]]&gt;fNotasFiscais[[#This Row],[Data Contratada]],0,1)</f>
        <v>1</v>
      </c>
      <c r="Y1102" s="3">
        <f>IF(fNotasFiscais[[#This Row],[Ocorrência]]="",1,0)</f>
        <v>1</v>
      </c>
      <c r="Z1102" s="2">
        <f>fNotasFiscais[[#This Row],[On Time]]*fNotasFiscais[[#This Row],[In Full]]</f>
        <v>1</v>
      </c>
      <c r="AA1102">
        <f>IF(fNotasFiscais[[#This Row],[Nota Fiscal]]&lt;&gt;"",1,0)</f>
        <v>1</v>
      </c>
    </row>
    <row r="1103" spans="1:27" x14ac:dyDescent="0.25">
      <c r="A1103" s="1">
        <v>43434</v>
      </c>
      <c r="B1103">
        <v>11512</v>
      </c>
      <c r="C1103" s="2" t="s">
        <v>31</v>
      </c>
      <c r="D1103" s="2" t="s">
        <v>32</v>
      </c>
      <c r="E1103" s="2" t="s">
        <v>33</v>
      </c>
      <c r="F1103">
        <v>4013</v>
      </c>
      <c r="G1103" s="2" t="s">
        <v>37</v>
      </c>
      <c r="H1103" s="2" t="s">
        <v>38</v>
      </c>
      <c r="I1103" s="2" t="s">
        <v>39</v>
      </c>
      <c r="J1103" s="2" t="s">
        <v>28</v>
      </c>
      <c r="K1103" s="2" t="s">
        <v>39</v>
      </c>
      <c r="L1103">
        <v>1380.65</v>
      </c>
      <c r="M1103">
        <v>1</v>
      </c>
      <c r="N1103">
        <v>14.3</v>
      </c>
      <c r="O1103">
        <v>6500948</v>
      </c>
      <c r="P1103" s="2" t="s">
        <v>29</v>
      </c>
      <c r="Q1103" s="2" t="s">
        <v>23</v>
      </c>
      <c r="R1103" s="2" t="s">
        <v>30</v>
      </c>
      <c r="S1103">
        <v>6</v>
      </c>
      <c r="T1103" s="1">
        <v>43434</v>
      </c>
      <c r="U1103" s="1">
        <v>43440</v>
      </c>
      <c r="V1103" s="2"/>
      <c r="W1103" s="1">
        <f>fNotasFiscais[[#This Row],[Data da Coleta]]+fNotasFiscais[[#This Row],[Prazo Contratado]]</f>
        <v>43440</v>
      </c>
      <c r="X1103" s="3">
        <f>IF(fNotasFiscais[[#This Row],[Data da Entrega]]&gt;fNotasFiscais[[#This Row],[Data Contratada]],0,1)</f>
        <v>1</v>
      </c>
      <c r="Y1103" s="3">
        <f>IF(fNotasFiscais[[#This Row],[Ocorrência]]="",1,0)</f>
        <v>1</v>
      </c>
      <c r="Z1103" s="2">
        <f>fNotasFiscais[[#This Row],[On Time]]*fNotasFiscais[[#This Row],[In Full]]</f>
        <v>1</v>
      </c>
      <c r="AA1103">
        <f>IF(fNotasFiscais[[#This Row],[Nota Fiscal]]&lt;&gt;"",1,0)</f>
        <v>1</v>
      </c>
    </row>
    <row r="1104" spans="1:27" x14ac:dyDescent="0.25">
      <c r="A1104" s="1">
        <v>43434</v>
      </c>
      <c r="B1104">
        <v>11513</v>
      </c>
      <c r="C1104" s="2" t="s">
        <v>52</v>
      </c>
      <c r="D1104" s="2" t="s">
        <v>53</v>
      </c>
      <c r="E1104" s="2" t="s">
        <v>33</v>
      </c>
      <c r="F1104">
        <v>4056</v>
      </c>
      <c r="G1104" s="2" t="s">
        <v>119</v>
      </c>
      <c r="H1104" s="2" t="s">
        <v>51</v>
      </c>
      <c r="I1104" s="2" t="s">
        <v>73</v>
      </c>
      <c r="J1104" s="2" t="s">
        <v>49</v>
      </c>
      <c r="K1104" s="2" t="s">
        <v>73</v>
      </c>
      <c r="L1104">
        <v>110.11</v>
      </c>
      <c r="M1104">
        <v>2</v>
      </c>
      <c r="N1104">
        <v>1.1279999999999999</v>
      </c>
      <c r="O1104">
        <v>6100231</v>
      </c>
      <c r="P1104" s="2" t="s">
        <v>50</v>
      </c>
      <c r="Q1104" s="2" t="s">
        <v>51</v>
      </c>
      <c r="R1104" s="2" t="s">
        <v>30</v>
      </c>
      <c r="S1104">
        <v>8</v>
      </c>
      <c r="T1104" s="1">
        <v>43434</v>
      </c>
      <c r="U1104" s="1">
        <v>43436</v>
      </c>
      <c r="V1104" s="2"/>
      <c r="W1104" s="1">
        <f>fNotasFiscais[[#This Row],[Data da Coleta]]+fNotasFiscais[[#This Row],[Prazo Contratado]]</f>
        <v>43442</v>
      </c>
      <c r="X1104" s="3">
        <f>IF(fNotasFiscais[[#This Row],[Data da Entrega]]&gt;fNotasFiscais[[#This Row],[Data Contratada]],0,1)</f>
        <v>1</v>
      </c>
      <c r="Y1104" s="3">
        <f>IF(fNotasFiscais[[#This Row],[Ocorrência]]="",1,0)</f>
        <v>1</v>
      </c>
      <c r="Z1104" s="2">
        <f>fNotasFiscais[[#This Row],[On Time]]*fNotasFiscais[[#This Row],[In Full]]</f>
        <v>1</v>
      </c>
      <c r="AA1104">
        <f>IF(fNotasFiscais[[#This Row],[Nota Fiscal]]&lt;&gt;"",1,0)</f>
        <v>1</v>
      </c>
    </row>
    <row r="1105" spans="1:27" x14ac:dyDescent="0.25">
      <c r="A1105" s="1">
        <v>43434</v>
      </c>
      <c r="B1105">
        <v>11514</v>
      </c>
      <c r="C1105" s="2" t="s">
        <v>34</v>
      </c>
      <c r="D1105" s="2" t="s">
        <v>35</v>
      </c>
      <c r="E1105" s="2" t="s">
        <v>36</v>
      </c>
      <c r="F1105">
        <v>4032</v>
      </c>
      <c r="G1105" s="2" t="s">
        <v>108</v>
      </c>
      <c r="H1105" s="2" t="s">
        <v>51</v>
      </c>
      <c r="I1105" s="2" t="s">
        <v>73</v>
      </c>
      <c r="J1105" s="2" t="s">
        <v>49</v>
      </c>
      <c r="K1105" s="2" t="s">
        <v>73</v>
      </c>
      <c r="L1105">
        <v>366.7</v>
      </c>
      <c r="M1105">
        <v>1</v>
      </c>
      <c r="N1105">
        <v>1.1200000000000001</v>
      </c>
      <c r="O1105">
        <v>6100231</v>
      </c>
      <c r="P1105" s="2" t="s">
        <v>50</v>
      </c>
      <c r="Q1105" s="2" t="s">
        <v>51</v>
      </c>
      <c r="R1105" s="2" t="s">
        <v>30</v>
      </c>
      <c r="S1105">
        <v>10</v>
      </c>
      <c r="T1105" s="1">
        <v>43434</v>
      </c>
      <c r="U1105" s="1">
        <v>43442</v>
      </c>
      <c r="V1105" s="2"/>
      <c r="W1105" s="1">
        <f>fNotasFiscais[[#This Row],[Data da Coleta]]+fNotasFiscais[[#This Row],[Prazo Contratado]]</f>
        <v>43444</v>
      </c>
      <c r="X1105" s="3">
        <f>IF(fNotasFiscais[[#This Row],[Data da Entrega]]&gt;fNotasFiscais[[#This Row],[Data Contratada]],0,1)</f>
        <v>1</v>
      </c>
      <c r="Y1105" s="3">
        <f>IF(fNotasFiscais[[#This Row],[Ocorrência]]="",1,0)</f>
        <v>1</v>
      </c>
      <c r="Z1105" s="2">
        <f>fNotasFiscais[[#This Row],[On Time]]*fNotasFiscais[[#This Row],[In Full]]</f>
        <v>1</v>
      </c>
      <c r="AA1105">
        <f>IF(fNotasFiscais[[#This Row],[Nota Fiscal]]&lt;&gt;"",1,0)</f>
        <v>1</v>
      </c>
    </row>
    <row r="1106" spans="1:27" x14ac:dyDescent="0.25">
      <c r="A1106" s="1">
        <v>43434</v>
      </c>
      <c r="B1106">
        <v>11515</v>
      </c>
      <c r="C1106" s="2" t="s">
        <v>31</v>
      </c>
      <c r="D1106" s="2" t="s">
        <v>32</v>
      </c>
      <c r="E1106" s="2" t="s">
        <v>33</v>
      </c>
      <c r="F1106">
        <v>4049</v>
      </c>
      <c r="G1106" s="2" t="s">
        <v>118</v>
      </c>
      <c r="H1106" s="2" t="s">
        <v>97</v>
      </c>
      <c r="I1106" s="2" t="s">
        <v>48</v>
      </c>
      <c r="J1106" s="2" t="s">
        <v>49</v>
      </c>
      <c r="K1106" s="2" t="s">
        <v>48</v>
      </c>
      <c r="L1106">
        <v>1411.93</v>
      </c>
      <c r="M1106">
        <v>1</v>
      </c>
      <c r="N1106">
        <v>3.6829999999999998</v>
      </c>
      <c r="O1106">
        <v>6100231</v>
      </c>
      <c r="P1106" s="2" t="s">
        <v>50</v>
      </c>
      <c r="Q1106" s="2" t="s">
        <v>51</v>
      </c>
      <c r="R1106" s="2" t="s">
        <v>30</v>
      </c>
      <c r="S1106">
        <v>6</v>
      </c>
      <c r="T1106" s="1">
        <v>43434</v>
      </c>
      <c r="U1106" s="1">
        <v>43439</v>
      </c>
      <c r="V1106" s="2"/>
      <c r="W1106" s="1">
        <f>fNotasFiscais[[#This Row],[Data da Coleta]]+fNotasFiscais[[#This Row],[Prazo Contratado]]</f>
        <v>43440</v>
      </c>
      <c r="X1106" s="3">
        <f>IF(fNotasFiscais[[#This Row],[Data da Entrega]]&gt;fNotasFiscais[[#This Row],[Data Contratada]],0,1)</f>
        <v>1</v>
      </c>
      <c r="Y1106" s="3">
        <f>IF(fNotasFiscais[[#This Row],[Ocorrência]]="",1,0)</f>
        <v>1</v>
      </c>
      <c r="Z1106" s="2">
        <f>fNotasFiscais[[#This Row],[On Time]]*fNotasFiscais[[#This Row],[In Full]]</f>
        <v>1</v>
      </c>
      <c r="AA1106">
        <f>IF(fNotasFiscais[[#This Row],[Nota Fiscal]]&lt;&gt;"",1,0)</f>
        <v>1</v>
      </c>
    </row>
    <row r="1107" spans="1:27" x14ac:dyDescent="0.25">
      <c r="A1107" s="1">
        <v>43434</v>
      </c>
      <c r="B1107">
        <v>11516</v>
      </c>
      <c r="C1107" s="2" t="s">
        <v>52</v>
      </c>
      <c r="D1107" s="2" t="s">
        <v>53</v>
      </c>
      <c r="E1107" s="2" t="s">
        <v>33</v>
      </c>
      <c r="F1107">
        <v>4045</v>
      </c>
      <c r="G1107" s="2" t="s">
        <v>124</v>
      </c>
      <c r="H1107" s="2" t="s">
        <v>35</v>
      </c>
      <c r="I1107" s="2" t="s">
        <v>36</v>
      </c>
      <c r="J1107" s="2" t="s">
        <v>60</v>
      </c>
      <c r="K1107" s="2" t="s">
        <v>36</v>
      </c>
      <c r="L1107">
        <v>269.51</v>
      </c>
      <c r="M1107">
        <v>2</v>
      </c>
      <c r="N1107">
        <v>2.0579999999999998</v>
      </c>
      <c r="O1107">
        <v>6600879</v>
      </c>
      <c r="P1107" s="2" t="s">
        <v>61</v>
      </c>
      <c r="Q1107" s="2" t="s">
        <v>35</v>
      </c>
      <c r="R1107" s="2" t="s">
        <v>30</v>
      </c>
      <c r="S1107">
        <v>10</v>
      </c>
      <c r="T1107" s="1">
        <v>43434</v>
      </c>
      <c r="U1107" s="1">
        <v>43437</v>
      </c>
      <c r="V1107" s="2"/>
      <c r="W1107" s="1">
        <f>fNotasFiscais[[#This Row],[Data da Coleta]]+fNotasFiscais[[#This Row],[Prazo Contratado]]</f>
        <v>43444</v>
      </c>
      <c r="X1107" s="3">
        <f>IF(fNotasFiscais[[#This Row],[Data da Entrega]]&gt;fNotasFiscais[[#This Row],[Data Contratada]],0,1)</f>
        <v>1</v>
      </c>
      <c r="Y1107" s="3">
        <f>IF(fNotasFiscais[[#This Row],[Ocorrência]]="",1,0)</f>
        <v>1</v>
      </c>
      <c r="Z1107" s="2">
        <f>fNotasFiscais[[#This Row],[On Time]]*fNotasFiscais[[#This Row],[In Full]]</f>
        <v>1</v>
      </c>
      <c r="AA1107">
        <f>IF(fNotasFiscais[[#This Row],[Nota Fiscal]]&lt;&gt;"",1,0)</f>
        <v>1</v>
      </c>
    </row>
    <row r="1108" spans="1:27" x14ac:dyDescent="0.25">
      <c r="A1108" s="1">
        <v>43434</v>
      </c>
      <c r="B1108">
        <v>11517</v>
      </c>
      <c r="C1108" s="2" t="s">
        <v>54</v>
      </c>
      <c r="D1108" s="2" t="s">
        <v>55</v>
      </c>
      <c r="E1108" s="2" t="s">
        <v>56</v>
      </c>
      <c r="F1108">
        <v>4049</v>
      </c>
      <c r="G1108" s="2" t="s">
        <v>118</v>
      </c>
      <c r="H1108" s="2" t="s">
        <v>97</v>
      </c>
      <c r="I1108" s="2" t="s">
        <v>48</v>
      </c>
      <c r="J1108" s="2" t="s">
        <v>49</v>
      </c>
      <c r="K1108" s="2" t="s">
        <v>48</v>
      </c>
      <c r="L1108">
        <v>324.14</v>
      </c>
      <c r="M1108">
        <v>1</v>
      </c>
      <c r="N1108">
        <v>0.51500000000000001</v>
      </c>
      <c r="O1108">
        <v>6100231</v>
      </c>
      <c r="P1108" s="2" t="s">
        <v>50</v>
      </c>
      <c r="Q1108" s="2" t="s">
        <v>51</v>
      </c>
      <c r="R1108" s="2" t="s">
        <v>30</v>
      </c>
      <c r="S1108">
        <v>9</v>
      </c>
      <c r="T1108" s="1">
        <v>43434</v>
      </c>
      <c r="U1108" s="1">
        <v>43442</v>
      </c>
      <c r="V1108" s="2"/>
      <c r="W1108" s="1">
        <f>fNotasFiscais[[#This Row],[Data da Coleta]]+fNotasFiscais[[#This Row],[Prazo Contratado]]</f>
        <v>43443</v>
      </c>
      <c r="X1108" s="3">
        <f>IF(fNotasFiscais[[#This Row],[Data da Entrega]]&gt;fNotasFiscais[[#This Row],[Data Contratada]],0,1)</f>
        <v>1</v>
      </c>
      <c r="Y1108" s="3">
        <f>IF(fNotasFiscais[[#This Row],[Ocorrência]]="",1,0)</f>
        <v>1</v>
      </c>
      <c r="Z1108" s="2">
        <f>fNotasFiscais[[#This Row],[On Time]]*fNotasFiscais[[#This Row],[In Full]]</f>
        <v>1</v>
      </c>
      <c r="AA1108">
        <f>IF(fNotasFiscais[[#This Row],[Nota Fiscal]]&lt;&gt;"",1,0)</f>
        <v>1</v>
      </c>
    </row>
    <row r="1109" spans="1:27" x14ac:dyDescent="0.25">
      <c r="A1109" s="1">
        <v>43434</v>
      </c>
      <c r="B1109">
        <v>11518</v>
      </c>
      <c r="C1109" s="2" t="s">
        <v>22</v>
      </c>
      <c r="D1109" s="2" t="s">
        <v>23</v>
      </c>
      <c r="E1109" s="2" t="s">
        <v>24</v>
      </c>
      <c r="F1109">
        <v>4056</v>
      </c>
      <c r="G1109" s="2" t="s">
        <v>119</v>
      </c>
      <c r="H1109" s="2" t="s">
        <v>51</v>
      </c>
      <c r="I1109" s="2" t="s">
        <v>73</v>
      </c>
      <c r="J1109" s="2" t="s">
        <v>49</v>
      </c>
      <c r="K1109" s="2" t="s">
        <v>73</v>
      </c>
      <c r="L1109">
        <v>1075.03</v>
      </c>
      <c r="M1109">
        <v>1</v>
      </c>
      <c r="N1109">
        <v>1.716</v>
      </c>
      <c r="O1109">
        <v>6100231</v>
      </c>
      <c r="P1109" s="2" t="s">
        <v>50</v>
      </c>
      <c r="Q1109" s="2" t="s">
        <v>51</v>
      </c>
      <c r="R1109" s="2" t="s">
        <v>30</v>
      </c>
      <c r="S1109">
        <v>4</v>
      </c>
      <c r="T1109" s="1">
        <v>43434</v>
      </c>
      <c r="U1109" s="1">
        <v>43444</v>
      </c>
      <c r="V1109" s="2"/>
      <c r="W1109" s="1">
        <f>fNotasFiscais[[#This Row],[Data da Coleta]]+fNotasFiscais[[#This Row],[Prazo Contratado]]</f>
        <v>43438</v>
      </c>
      <c r="X1109" s="3">
        <f>IF(fNotasFiscais[[#This Row],[Data da Entrega]]&gt;fNotasFiscais[[#This Row],[Data Contratada]],0,1)</f>
        <v>0</v>
      </c>
      <c r="Y1109" s="3">
        <f>IF(fNotasFiscais[[#This Row],[Ocorrência]]="",1,0)</f>
        <v>1</v>
      </c>
      <c r="Z1109" s="2">
        <f>fNotasFiscais[[#This Row],[On Time]]*fNotasFiscais[[#This Row],[In Full]]</f>
        <v>0</v>
      </c>
      <c r="AA1109">
        <f>IF(fNotasFiscais[[#This Row],[Nota Fiscal]]&lt;&gt;"",1,0)</f>
        <v>1</v>
      </c>
    </row>
    <row r="1110" spans="1:27" x14ac:dyDescent="0.25">
      <c r="A1110" s="1">
        <v>43434</v>
      </c>
      <c r="B1110">
        <v>11519</v>
      </c>
      <c r="C1110" s="2" t="s">
        <v>22</v>
      </c>
      <c r="D1110" s="2" t="s">
        <v>23</v>
      </c>
      <c r="E1110" s="2" t="s">
        <v>24</v>
      </c>
      <c r="F1110">
        <v>4049</v>
      </c>
      <c r="G1110" s="2" t="s">
        <v>118</v>
      </c>
      <c r="H1110" s="2" t="s">
        <v>97</v>
      </c>
      <c r="I1110" s="2" t="s">
        <v>48</v>
      </c>
      <c r="J1110" s="2" t="s">
        <v>49</v>
      </c>
      <c r="K1110" s="2" t="s">
        <v>48</v>
      </c>
      <c r="L1110">
        <v>387.24</v>
      </c>
      <c r="M1110">
        <v>1</v>
      </c>
      <c r="N1110">
        <v>1.32</v>
      </c>
      <c r="O1110">
        <v>6100231</v>
      </c>
      <c r="P1110" s="2" t="s">
        <v>50</v>
      </c>
      <c r="Q1110" s="2" t="s">
        <v>51</v>
      </c>
      <c r="R1110" s="2" t="s">
        <v>30</v>
      </c>
      <c r="S1110">
        <v>4</v>
      </c>
      <c r="T1110" s="1">
        <v>43434</v>
      </c>
      <c r="U1110" s="1">
        <v>43444</v>
      </c>
      <c r="V1110" s="2"/>
      <c r="W1110" s="1">
        <f>fNotasFiscais[[#This Row],[Data da Coleta]]+fNotasFiscais[[#This Row],[Prazo Contratado]]</f>
        <v>43438</v>
      </c>
      <c r="X1110" s="3">
        <f>IF(fNotasFiscais[[#This Row],[Data da Entrega]]&gt;fNotasFiscais[[#This Row],[Data Contratada]],0,1)</f>
        <v>0</v>
      </c>
      <c r="Y1110" s="3">
        <f>IF(fNotasFiscais[[#This Row],[Ocorrência]]="",1,0)</f>
        <v>1</v>
      </c>
      <c r="Z1110" s="2">
        <f>fNotasFiscais[[#This Row],[On Time]]*fNotasFiscais[[#This Row],[In Full]]</f>
        <v>0</v>
      </c>
      <c r="AA1110">
        <f>IF(fNotasFiscais[[#This Row],[Nota Fiscal]]&lt;&gt;"",1,0)</f>
        <v>1</v>
      </c>
    </row>
    <row r="1111" spans="1:27" x14ac:dyDescent="0.25">
      <c r="A1111" s="1">
        <v>43434</v>
      </c>
      <c r="B1111">
        <v>11520</v>
      </c>
      <c r="C1111" s="2" t="s">
        <v>40</v>
      </c>
      <c r="D1111" s="2" t="s">
        <v>41</v>
      </c>
      <c r="E1111" s="2" t="s">
        <v>33</v>
      </c>
      <c r="F1111">
        <v>4056</v>
      </c>
      <c r="G1111" s="2" t="s">
        <v>119</v>
      </c>
      <c r="H1111" s="2" t="s">
        <v>51</v>
      </c>
      <c r="I1111" s="2" t="s">
        <v>73</v>
      </c>
      <c r="J1111" s="2" t="s">
        <v>49</v>
      </c>
      <c r="K1111" s="2" t="s">
        <v>73</v>
      </c>
      <c r="L1111">
        <v>398.55</v>
      </c>
      <c r="M1111">
        <v>1</v>
      </c>
      <c r="N1111">
        <v>1.1200000000000001</v>
      </c>
      <c r="O1111">
        <v>6100231</v>
      </c>
      <c r="P1111" s="2" t="s">
        <v>50</v>
      </c>
      <c r="Q1111" s="2" t="s">
        <v>51</v>
      </c>
      <c r="R1111" s="2" t="s">
        <v>30</v>
      </c>
      <c r="S1111">
        <v>4</v>
      </c>
      <c r="T1111" s="1">
        <v>43434</v>
      </c>
      <c r="U1111" s="1">
        <v>43444</v>
      </c>
      <c r="V1111" s="2"/>
      <c r="W1111" s="1">
        <f>fNotasFiscais[[#This Row],[Data da Coleta]]+fNotasFiscais[[#This Row],[Prazo Contratado]]</f>
        <v>43438</v>
      </c>
      <c r="X1111" s="3">
        <f>IF(fNotasFiscais[[#This Row],[Data da Entrega]]&gt;fNotasFiscais[[#This Row],[Data Contratada]],0,1)</f>
        <v>0</v>
      </c>
      <c r="Y1111" s="3">
        <f>IF(fNotasFiscais[[#This Row],[Ocorrência]]="",1,0)</f>
        <v>1</v>
      </c>
      <c r="Z1111" s="2">
        <f>fNotasFiscais[[#This Row],[On Time]]*fNotasFiscais[[#This Row],[In Full]]</f>
        <v>0</v>
      </c>
      <c r="AA1111">
        <f>IF(fNotasFiscais[[#This Row],[Nota Fiscal]]&lt;&gt;"",1,0)</f>
        <v>1</v>
      </c>
    </row>
    <row r="1112" spans="1:27" x14ac:dyDescent="0.25">
      <c r="A1112" s="1">
        <v>43434</v>
      </c>
      <c r="B1112">
        <v>11521</v>
      </c>
      <c r="C1112" s="2" t="s">
        <v>31</v>
      </c>
      <c r="D1112" s="2" t="s">
        <v>32</v>
      </c>
      <c r="E1112" s="2" t="s">
        <v>33</v>
      </c>
      <c r="F1112">
        <v>4045</v>
      </c>
      <c r="G1112" s="2" t="s">
        <v>124</v>
      </c>
      <c r="H1112" s="2" t="s">
        <v>35</v>
      </c>
      <c r="I1112" s="2" t="s">
        <v>36</v>
      </c>
      <c r="J1112" s="2" t="s">
        <v>60</v>
      </c>
      <c r="K1112" s="2" t="s">
        <v>36</v>
      </c>
      <c r="L1112">
        <v>60</v>
      </c>
      <c r="M1112">
        <v>1</v>
      </c>
      <c r="N1112">
        <v>100.595</v>
      </c>
      <c r="O1112">
        <v>6600879</v>
      </c>
      <c r="P1112" s="2" t="s">
        <v>61</v>
      </c>
      <c r="Q1112" s="2" t="s">
        <v>35</v>
      </c>
      <c r="R1112" s="2" t="s">
        <v>30</v>
      </c>
      <c r="S1112">
        <v>10</v>
      </c>
      <c r="T1112" s="1">
        <v>43434</v>
      </c>
      <c r="U1112" s="1">
        <v>43444</v>
      </c>
      <c r="V1112" s="2" t="s">
        <v>57</v>
      </c>
      <c r="W1112" s="1">
        <f>fNotasFiscais[[#This Row],[Data da Coleta]]+fNotasFiscais[[#This Row],[Prazo Contratado]]</f>
        <v>43444</v>
      </c>
      <c r="X1112" s="3">
        <f>IF(fNotasFiscais[[#This Row],[Data da Entrega]]&gt;fNotasFiscais[[#This Row],[Data Contratada]],0,1)</f>
        <v>1</v>
      </c>
      <c r="Y1112" s="3">
        <f>IF(fNotasFiscais[[#This Row],[Ocorrência]]="",1,0)</f>
        <v>0</v>
      </c>
      <c r="Z1112" s="2">
        <f>fNotasFiscais[[#This Row],[On Time]]*fNotasFiscais[[#This Row],[In Full]]</f>
        <v>0</v>
      </c>
      <c r="AA1112">
        <f>IF(fNotasFiscais[[#This Row],[Nota Fiscal]]&lt;&gt;"",1,0)</f>
        <v>1</v>
      </c>
    </row>
    <row r="1113" spans="1:27" x14ac:dyDescent="0.25">
      <c r="A1113" s="1">
        <v>43434</v>
      </c>
      <c r="B1113">
        <v>11522</v>
      </c>
      <c r="C1113" s="2" t="s">
        <v>54</v>
      </c>
      <c r="D1113" s="2" t="s">
        <v>55</v>
      </c>
      <c r="E1113" s="2" t="s">
        <v>56</v>
      </c>
      <c r="F1113">
        <v>4049</v>
      </c>
      <c r="G1113" s="2" t="s">
        <v>118</v>
      </c>
      <c r="H1113" s="2" t="s">
        <v>97</v>
      </c>
      <c r="I1113" s="2" t="s">
        <v>48</v>
      </c>
      <c r="J1113" s="2" t="s">
        <v>49</v>
      </c>
      <c r="K1113" s="2" t="s">
        <v>48</v>
      </c>
      <c r="L1113">
        <v>239.76</v>
      </c>
      <c r="M1113">
        <v>1</v>
      </c>
      <c r="N1113">
        <v>0.29299999999999998</v>
      </c>
      <c r="O1113">
        <v>6100231</v>
      </c>
      <c r="P1113" s="2" t="s">
        <v>50</v>
      </c>
      <c r="Q1113" s="2" t="s">
        <v>51</v>
      </c>
      <c r="R1113" s="2" t="s">
        <v>30</v>
      </c>
      <c r="S1113">
        <v>10</v>
      </c>
      <c r="T1113" s="1">
        <v>43434</v>
      </c>
      <c r="U1113" s="1">
        <v>43443</v>
      </c>
      <c r="V1113" s="2"/>
      <c r="W1113" s="1">
        <f>fNotasFiscais[[#This Row],[Data da Coleta]]+fNotasFiscais[[#This Row],[Prazo Contratado]]</f>
        <v>43444</v>
      </c>
      <c r="X1113" s="3">
        <f>IF(fNotasFiscais[[#This Row],[Data da Entrega]]&gt;fNotasFiscais[[#This Row],[Data Contratada]],0,1)</f>
        <v>1</v>
      </c>
      <c r="Y1113" s="3">
        <f>IF(fNotasFiscais[[#This Row],[Ocorrência]]="",1,0)</f>
        <v>1</v>
      </c>
      <c r="Z1113" s="2">
        <f>fNotasFiscais[[#This Row],[On Time]]*fNotasFiscais[[#This Row],[In Full]]</f>
        <v>1</v>
      </c>
      <c r="AA1113">
        <f>IF(fNotasFiscais[[#This Row],[Nota Fiscal]]&lt;&gt;"",1,0)</f>
        <v>1</v>
      </c>
    </row>
    <row r="1114" spans="1:27" x14ac:dyDescent="0.25">
      <c r="A1114" s="1">
        <v>43434</v>
      </c>
      <c r="B1114">
        <v>11523</v>
      </c>
      <c r="C1114" s="2" t="s">
        <v>40</v>
      </c>
      <c r="D1114" s="2" t="s">
        <v>41</v>
      </c>
      <c r="E1114" s="2" t="s">
        <v>33</v>
      </c>
      <c r="F1114">
        <v>4049</v>
      </c>
      <c r="G1114" s="2" t="s">
        <v>118</v>
      </c>
      <c r="H1114" s="2" t="s">
        <v>97</v>
      </c>
      <c r="I1114" s="2" t="s">
        <v>48</v>
      </c>
      <c r="J1114" s="2" t="s">
        <v>49</v>
      </c>
      <c r="K1114" s="2" t="s">
        <v>48</v>
      </c>
      <c r="L1114">
        <v>55.48</v>
      </c>
      <c r="M1114">
        <v>1</v>
      </c>
      <c r="N1114">
        <v>1.1200000000000001</v>
      </c>
      <c r="O1114">
        <v>6100231</v>
      </c>
      <c r="P1114" s="2" t="s">
        <v>50</v>
      </c>
      <c r="Q1114" s="2" t="s">
        <v>51</v>
      </c>
      <c r="R1114" s="2" t="s">
        <v>30</v>
      </c>
      <c r="S1114">
        <v>7</v>
      </c>
      <c r="T1114" s="1">
        <v>43434</v>
      </c>
      <c r="U1114" s="1">
        <v>43444</v>
      </c>
      <c r="V1114" s="2"/>
      <c r="W1114" s="1">
        <f>fNotasFiscais[[#This Row],[Data da Coleta]]+fNotasFiscais[[#This Row],[Prazo Contratado]]</f>
        <v>43441</v>
      </c>
      <c r="X1114" s="3">
        <f>IF(fNotasFiscais[[#This Row],[Data da Entrega]]&gt;fNotasFiscais[[#This Row],[Data Contratada]],0,1)</f>
        <v>0</v>
      </c>
      <c r="Y1114" s="3">
        <f>IF(fNotasFiscais[[#This Row],[Ocorrência]]="",1,0)</f>
        <v>1</v>
      </c>
      <c r="Z1114" s="2">
        <f>fNotasFiscais[[#This Row],[On Time]]*fNotasFiscais[[#This Row],[In Full]]</f>
        <v>0</v>
      </c>
      <c r="AA1114">
        <f>IF(fNotasFiscais[[#This Row],[Nota Fiscal]]&lt;&gt;"",1,0)</f>
        <v>1</v>
      </c>
    </row>
    <row r="1115" spans="1:27" x14ac:dyDescent="0.25">
      <c r="A1115" s="1">
        <v>43434</v>
      </c>
      <c r="B1115">
        <v>11524</v>
      </c>
      <c r="C1115" s="2" t="s">
        <v>52</v>
      </c>
      <c r="D1115" s="2" t="s">
        <v>53</v>
      </c>
      <c r="E1115" s="2" t="s">
        <v>33</v>
      </c>
      <c r="F1115">
        <v>4049</v>
      </c>
      <c r="G1115" s="2" t="s">
        <v>118</v>
      </c>
      <c r="H1115" s="2" t="s">
        <v>97</v>
      </c>
      <c r="I1115" s="2" t="s">
        <v>48</v>
      </c>
      <c r="J1115" s="2" t="s">
        <v>49</v>
      </c>
      <c r="K1115" s="2" t="s">
        <v>48</v>
      </c>
      <c r="L1115">
        <v>87.01</v>
      </c>
      <c r="M1115">
        <v>1</v>
      </c>
      <c r="N1115">
        <v>0.121</v>
      </c>
      <c r="O1115">
        <v>6100231</v>
      </c>
      <c r="P1115" s="2" t="s">
        <v>50</v>
      </c>
      <c r="Q1115" s="2" t="s">
        <v>51</v>
      </c>
      <c r="R1115" s="2" t="s">
        <v>30</v>
      </c>
      <c r="S1115">
        <v>3</v>
      </c>
      <c r="T1115" s="1">
        <v>43434</v>
      </c>
      <c r="U1115" s="1">
        <v>43444</v>
      </c>
      <c r="V1115" s="2" t="s">
        <v>57</v>
      </c>
      <c r="W1115" s="1">
        <f>fNotasFiscais[[#This Row],[Data da Coleta]]+fNotasFiscais[[#This Row],[Prazo Contratado]]</f>
        <v>43437</v>
      </c>
      <c r="X1115" s="3">
        <f>IF(fNotasFiscais[[#This Row],[Data da Entrega]]&gt;fNotasFiscais[[#This Row],[Data Contratada]],0,1)</f>
        <v>0</v>
      </c>
      <c r="Y1115" s="3">
        <f>IF(fNotasFiscais[[#This Row],[Ocorrência]]="",1,0)</f>
        <v>0</v>
      </c>
      <c r="Z1115" s="2">
        <f>fNotasFiscais[[#This Row],[On Time]]*fNotasFiscais[[#This Row],[In Full]]</f>
        <v>0</v>
      </c>
      <c r="AA1115">
        <f>IF(fNotasFiscais[[#This Row],[Nota Fiscal]]&lt;&gt;"",1,0)</f>
        <v>1</v>
      </c>
    </row>
    <row r="1116" spans="1:27" x14ac:dyDescent="0.25">
      <c r="A1116" s="1">
        <v>43434</v>
      </c>
      <c r="B1116">
        <v>11525</v>
      </c>
      <c r="C1116" s="2" t="s">
        <v>22</v>
      </c>
      <c r="D1116" s="2" t="s">
        <v>23</v>
      </c>
      <c r="E1116" s="2" t="s">
        <v>24</v>
      </c>
      <c r="F1116">
        <v>4049</v>
      </c>
      <c r="G1116" s="2" t="s">
        <v>118</v>
      </c>
      <c r="H1116" s="2" t="s">
        <v>97</v>
      </c>
      <c r="I1116" s="2" t="s">
        <v>48</v>
      </c>
      <c r="J1116" s="2" t="s">
        <v>49</v>
      </c>
      <c r="K1116" s="2" t="s">
        <v>48</v>
      </c>
      <c r="L1116">
        <v>174.02</v>
      </c>
      <c r="M1116">
        <v>2</v>
      </c>
      <c r="N1116">
        <v>0.24199999999999999</v>
      </c>
      <c r="O1116">
        <v>6100231</v>
      </c>
      <c r="P1116" s="2" t="s">
        <v>50</v>
      </c>
      <c r="Q1116" s="2" t="s">
        <v>51</v>
      </c>
      <c r="R1116" s="2" t="s">
        <v>30</v>
      </c>
      <c r="S1116">
        <v>8</v>
      </c>
      <c r="T1116" s="1">
        <v>43434</v>
      </c>
      <c r="U1116" s="1">
        <v>43441</v>
      </c>
      <c r="V1116" s="2"/>
      <c r="W1116" s="1">
        <f>fNotasFiscais[[#This Row],[Data da Coleta]]+fNotasFiscais[[#This Row],[Prazo Contratado]]</f>
        <v>43442</v>
      </c>
      <c r="X1116" s="3">
        <f>IF(fNotasFiscais[[#This Row],[Data da Entrega]]&gt;fNotasFiscais[[#This Row],[Data Contratada]],0,1)</f>
        <v>1</v>
      </c>
      <c r="Y1116" s="3">
        <f>IF(fNotasFiscais[[#This Row],[Ocorrência]]="",1,0)</f>
        <v>1</v>
      </c>
      <c r="Z1116" s="2">
        <f>fNotasFiscais[[#This Row],[On Time]]*fNotasFiscais[[#This Row],[In Full]]</f>
        <v>1</v>
      </c>
      <c r="AA1116">
        <f>IF(fNotasFiscais[[#This Row],[Nota Fiscal]]&lt;&gt;"",1,0)</f>
        <v>1</v>
      </c>
    </row>
    <row r="1117" spans="1:27" x14ac:dyDescent="0.25">
      <c r="A1117" s="1">
        <v>43434</v>
      </c>
      <c r="B1117">
        <v>11526</v>
      </c>
      <c r="C1117" s="2" t="s">
        <v>54</v>
      </c>
      <c r="D1117" s="2" t="s">
        <v>55</v>
      </c>
      <c r="E1117" s="2" t="s">
        <v>56</v>
      </c>
      <c r="F1117">
        <v>4049</v>
      </c>
      <c r="G1117" s="2" t="s">
        <v>118</v>
      </c>
      <c r="H1117" s="2" t="s">
        <v>97</v>
      </c>
      <c r="I1117" s="2" t="s">
        <v>48</v>
      </c>
      <c r="J1117" s="2" t="s">
        <v>49</v>
      </c>
      <c r="K1117" s="2" t="s">
        <v>48</v>
      </c>
      <c r="L1117">
        <v>34.299999999999997</v>
      </c>
      <c r="M1117">
        <v>1</v>
      </c>
      <c r="N1117">
        <v>1.1200000000000001</v>
      </c>
      <c r="O1117">
        <v>6100231</v>
      </c>
      <c r="P1117" s="2" t="s">
        <v>50</v>
      </c>
      <c r="Q1117" s="2" t="s">
        <v>51</v>
      </c>
      <c r="R1117" s="2" t="s">
        <v>30</v>
      </c>
      <c r="S1117">
        <v>1</v>
      </c>
      <c r="T1117" s="1">
        <v>43434</v>
      </c>
      <c r="U1117" s="1">
        <v>43439</v>
      </c>
      <c r="V1117" s="2" t="s">
        <v>57</v>
      </c>
      <c r="W1117" s="1">
        <f>fNotasFiscais[[#This Row],[Data da Coleta]]+fNotasFiscais[[#This Row],[Prazo Contratado]]</f>
        <v>43435</v>
      </c>
      <c r="X1117" s="3">
        <f>IF(fNotasFiscais[[#This Row],[Data da Entrega]]&gt;fNotasFiscais[[#This Row],[Data Contratada]],0,1)</f>
        <v>0</v>
      </c>
      <c r="Y1117" s="3">
        <f>IF(fNotasFiscais[[#This Row],[Ocorrência]]="",1,0)</f>
        <v>0</v>
      </c>
      <c r="Z1117" s="2">
        <f>fNotasFiscais[[#This Row],[On Time]]*fNotasFiscais[[#This Row],[In Full]]</f>
        <v>0</v>
      </c>
      <c r="AA1117">
        <f>IF(fNotasFiscais[[#This Row],[Nota Fiscal]]&lt;&gt;"",1,0)</f>
        <v>1</v>
      </c>
    </row>
    <row r="1118" spans="1:27" x14ac:dyDescent="0.25">
      <c r="A1118" s="1">
        <v>43434</v>
      </c>
      <c r="B1118">
        <v>11527</v>
      </c>
      <c r="C1118" s="2" t="s">
        <v>22</v>
      </c>
      <c r="D1118" s="2" t="s">
        <v>23</v>
      </c>
      <c r="E1118" s="2" t="s">
        <v>24</v>
      </c>
      <c r="F1118">
        <v>4049</v>
      </c>
      <c r="G1118" s="2" t="s">
        <v>118</v>
      </c>
      <c r="H1118" s="2" t="s">
        <v>97</v>
      </c>
      <c r="I1118" s="2" t="s">
        <v>48</v>
      </c>
      <c r="J1118" s="2" t="s">
        <v>49</v>
      </c>
      <c r="K1118" s="2" t="s">
        <v>48</v>
      </c>
      <c r="L1118">
        <v>8076.29</v>
      </c>
      <c r="M1118">
        <v>7</v>
      </c>
      <c r="N1118">
        <v>44.11</v>
      </c>
      <c r="O1118">
        <v>6100231</v>
      </c>
      <c r="P1118" s="2" t="s">
        <v>50</v>
      </c>
      <c r="Q1118" s="2" t="s">
        <v>51</v>
      </c>
      <c r="R1118" s="2" t="s">
        <v>30</v>
      </c>
      <c r="S1118">
        <v>1</v>
      </c>
      <c r="T1118" s="1">
        <v>43434</v>
      </c>
      <c r="U1118" s="1">
        <v>43438</v>
      </c>
      <c r="V1118" s="2"/>
      <c r="W1118" s="1">
        <f>fNotasFiscais[[#This Row],[Data da Coleta]]+fNotasFiscais[[#This Row],[Prazo Contratado]]</f>
        <v>43435</v>
      </c>
      <c r="X1118" s="3">
        <f>IF(fNotasFiscais[[#This Row],[Data da Entrega]]&gt;fNotasFiscais[[#This Row],[Data Contratada]],0,1)</f>
        <v>0</v>
      </c>
      <c r="Y1118" s="3">
        <f>IF(fNotasFiscais[[#This Row],[Ocorrência]]="",1,0)</f>
        <v>1</v>
      </c>
      <c r="Z1118" s="2">
        <f>fNotasFiscais[[#This Row],[On Time]]*fNotasFiscais[[#This Row],[In Full]]</f>
        <v>0</v>
      </c>
      <c r="AA1118">
        <f>IF(fNotasFiscais[[#This Row],[Nota Fiscal]]&lt;&gt;"",1,0)</f>
        <v>1</v>
      </c>
    </row>
    <row r="1119" spans="1:27" x14ac:dyDescent="0.25">
      <c r="A1119" s="1">
        <v>43434</v>
      </c>
      <c r="B1119">
        <v>11528</v>
      </c>
      <c r="C1119" s="2" t="s">
        <v>34</v>
      </c>
      <c r="D1119" s="2" t="s">
        <v>35</v>
      </c>
      <c r="E1119" s="2" t="s">
        <v>36</v>
      </c>
      <c r="F1119">
        <v>4049</v>
      </c>
      <c r="G1119" s="2" t="s">
        <v>118</v>
      </c>
      <c r="H1119" s="2" t="s">
        <v>97</v>
      </c>
      <c r="I1119" s="2" t="s">
        <v>48</v>
      </c>
      <c r="J1119" s="2" t="s">
        <v>49</v>
      </c>
      <c r="K1119" s="2" t="s">
        <v>48</v>
      </c>
      <c r="L1119">
        <v>2876.9</v>
      </c>
      <c r="M1119">
        <v>10</v>
      </c>
      <c r="N1119">
        <v>134.19999999999999</v>
      </c>
      <c r="O1119">
        <v>6100231</v>
      </c>
      <c r="P1119" s="2" t="s">
        <v>50</v>
      </c>
      <c r="Q1119" s="2" t="s">
        <v>51</v>
      </c>
      <c r="R1119" s="2" t="s">
        <v>30</v>
      </c>
      <c r="S1119">
        <v>1</v>
      </c>
      <c r="T1119" s="1">
        <v>43434</v>
      </c>
      <c r="U1119" s="1">
        <v>43435</v>
      </c>
      <c r="V1119" s="2"/>
      <c r="W1119" s="1">
        <f>fNotasFiscais[[#This Row],[Data da Coleta]]+fNotasFiscais[[#This Row],[Prazo Contratado]]</f>
        <v>43435</v>
      </c>
      <c r="X1119" s="3">
        <f>IF(fNotasFiscais[[#This Row],[Data da Entrega]]&gt;fNotasFiscais[[#This Row],[Data Contratada]],0,1)</f>
        <v>1</v>
      </c>
      <c r="Y1119" s="3">
        <f>IF(fNotasFiscais[[#This Row],[Ocorrência]]="",1,0)</f>
        <v>1</v>
      </c>
      <c r="Z1119" s="2">
        <f>fNotasFiscais[[#This Row],[On Time]]*fNotasFiscais[[#This Row],[In Full]]</f>
        <v>1</v>
      </c>
      <c r="AA1119">
        <f>IF(fNotasFiscais[[#This Row],[Nota Fiscal]]&lt;&gt;"",1,0)</f>
        <v>1</v>
      </c>
    </row>
    <row r="1120" spans="1:27" x14ac:dyDescent="0.25">
      <c r="A1120" s="1">
        <v>43435</v>
      </c>
      <c r="B1120">
        <v>11529</v>
      </c>
      <c r="C1120" s="2" t="s">
        <v>54</v>
      </c>
      <c r="D1120" s="2" t="s">
        <v>55</v>
      </c>
      <c r="E1120" s="2" t="s">
        <v>56</v>
      </c>
      <c r="F1120">
        <v>4084</v>
      </c>
      <c r="G1120" s="2" t="s">
        <v>155</v>
      </c>
      <c r="H1120" s="2" t="s">
        <v>149</v>
      </c>
      <c r="I1120" s="2" t="s">
        <v>33</v>
      </c>
      <c r="J1120" s="2" t="s">
        <v>60</v>
      </c>
      <c r="K1120" s="2" t="s">
        <v>33</v>
      </c>
      <c r="L1120">
        <v>346.37</v>
      </c>
      <c r="M1120">
        <v>2</v>
      </c>
      <c r="N1120">
        <v>1.167</v>
      </c>
      <c r="O1120">
        <v>6400835</v>
      </c>
      <c r="P1120" s="2" t="s">
        <v>130</v>
      </c>
      <c r="Q1120" s="2" t="s">
        <v>131</v>
      </c>
      <c r="R1120" s="2" t="s">
        <v>30</v>
      </c>
      <c r="S1120">
        <v>11</v>
      </c>
      <c r="T1120" s="1">
        <v>43435</v>
      </c>
      <c r="U1120" s="1">
        <v>43442</v>
      </c>
      <c r="V1120" s="2"/>
      <c r="W1120" s="1">
        <f>fNotasFiscais[[#This Row],[Data da Coleta]]+fNotasFiscais[[#This Row],[Prazo Contratado]]</f>
        <v>43446</v>
      </c>
      <c r="X1120" s="3">
        <f>IF(fNotasFiscais[[#This Row],[Data da Entrega]]&gt;fNotasFiscais[[#This Row],[Data Contratada]],0,1)</f>
        <v>1</v>
      </c>
      <c r="Y1120" s="3">
        <f>IF(fNotasFiscais[[#This Row],[Ocorrência]]="",1,0)</f>
        <v>1</v>
      </c>
      <c r="Z1120" s="2">
        <f>fNotasFiscais[[#This Row],[On Time]]*fNotasFiscais[[#This Row],[In Full]]</f>
        <v>1</v>
      </c>
      <c r="AA1120">
        <f>IF(fNotasFiscais[[#This Row],[Nota Fiscal]]&lt;&gt;"",1,0)</f>
        <v>1</v>
      </c>
    </row>
    <row r="1121" spans="1:27" x14ac:dyDescent="0.25">
      <c r="A1121" s="1">
        <v>43435</v>
      </c>
      <c r="B1121">
        <v>11530</v>
      </c>
      <c r="C1121" s="2" t="s">
        <v>22</v>
      </c>
      <c r="D1121" s="2" t="s">
        <v>23</v>
      </c>
      <c r="E1121" s="2" t="s">
        <v>24</v>
      </c>
      <c r="F1121">
        <v>4013</v>
      </c>
      <c r="G1121" s="2" t="s">
        <v>37</v>
      </c>
      <c r="H1121" s="2" t="s">
        <v>38</v>
      </c>
      <c r="I1121" s="2" t="s">
        <v>39</v>
      </c>
      <c r="J1121" s="2" t="s">
        <v>28</v>
      </c>
      <c r="K1121" s="2" t="s">
        <v>39</v>
      </c>
      <c r="L1121">
        <v>330.3</v>
      </c>
      <c r="M1121">
        <v>1</v>
      </c>
      <c r="N1121">
        <v>0.36299999999999999</v>
      </c>
      <c r="O1121">
        <v>6500948</v>
      </c>
      <c r="P1121" s="2" t="s">
        <v>29</v>
      </c>
      <c r="Q1121" s="2" t="s">
        <v>23</v>
      </c>
      <c r="R1121" s="2" t="s">
        <v>30</v>
      </c>
      <c r="S1121">
        <v>10</v>
      </c>
      <c r="T1121" s="1">
        <v>43435</v>
      </c>
      <c r="U1121" s="1">
        <v>43436</v>
      </c>
      <c r="V1121" s="2" t="s">
        <v>57</v>
      </c>
      <c r="W1121" s="1">
        <f>fNotasFiscais[[#This Row],[Data da Coleta]]+fNotasFiscais[[#This Row],[Prazo Contratado]]</f>
        <v>43445</v>
      </c>
      <c r="X1121" s="3">
        <f>IF(fNotasFiscais[[#This Row],[Data da Entrega]]&gt;fNotasFiscais[[#This Row],[Data Contratada]],0,1)</f>
        <v>1</v>
      </c>
      <c r="Y1121" s="3">
        <f>IF(fNotasFiscais[[#This Row],[Ocorrência]]="",1,0)</f>
        <v>0</v>
      </c>
      <c r="Z1121" s="2">
        <f>fNotasFiscais[[#This Row],[On Time]]*fNotasFiscais[[#This Row],[In Full]]</f>
        <v>0</v>
      </c>
      <c r="AA1121">
        <f>IF(fNotasFiscais[[#This Row],[Nota Fiscal]]&lt;&gt;"",1,0)</f>
        <v>1</v>
      </c>
    </row>
    <row r="1122" spans="1:27" x14ac:dyDescent="0.25">
      <c r="A1122" s="1">
        <v>43439</v>
      </c>
      <c r="B1122">
        <v>11531</v>
      </c>
      <c r="C1122" s="2" t="s">
        <v>43</v>
      </c>
      <c r="D1122" s="2" t="s">
        <v>44</v>
      </c>
      <c r="E1122" s="2" t="s">
        <v>45</v>
      </c>
      <c r="F1122">
        <v>4022</v>
      </c>
      <c r="G1122" s="2" t="s">
        <v>86</v>
      </c>
      <c r="H1122" s="2" t="s">
        <v>87</v>
      </c>
      <c r="I1122" s="2" t="s">
        <v>27</v>
      </c>
      <c r="J1122" s="2" t="s">
        <v>28</v>
      </c>
      <c r="K1122" s="2" t="s">
        <v>27</v>
      </c>
      <c r="L1122">
        <v>97.69</v>
      </c>
      <c r="M1122">
        <v>1</v>
      </c>
      <c r="N1122">
        <v>0.77100000000000002</v>
      </c>
      <c r="O1122">
        <v>6500948</v>
      </c>
      <c r="P1122" s="2" t="s">
        <v>29</v>
      </c>
      <c r="Q1122" s="2" t="s">
        <v>23</v>
      </c>
      <c r="R1122" s="2" t="s">
        <v>30</v>
      </c>
      <c r="S1122">
        <v>6</v>
      </c>
      <c r="T1122" s="1">
        <v>43439</v>
      </c>
      <c r="U1122" s="1">
        <v>43445</v>
      </c>
      <c r="V1122" s="2"/>
      <c r="W1122" s="1">
        <f>fNotasFiscais[[#This Row],[Data da Coleta]]+fNotasFiscais[[#This Row],[Prazo Contratado]]</f>
        <v>43445</v>
      </c>
      <c r="X1122" s="3">
        <f>IF(fNotasFiscais[[#This Row],[Data da Entrega]]&gt;fNotasFiscais[[#This Row],[Data Contratada]],0,1)</f>
        <v>1</v>
      </c>
      <c r="Y1122" s="3">
        <f>IF(fNotasFiscais[[#This Row],[Ocorrência]]="",1,0)</f>
        <v>1</v>
      </c>
      <c r="Z1122" s="2">
        <f>fNotasFiscais[[#This Row],[On Time]]*fNotasFiscais[[#This Row],[In Full]]</f>
        <v>1</v>
      </c>
      <c r="AA1122">
        <f>IF(fNotasFiscais[[#This Row],[Nota Fiscal]]&lt;&gt;"",1,0)</f>
        <v>1</v>
      </c>
    </row>
    <row r="1123" spans="1:27" x14ac:dyDescent="0.25">
      <c r="A1123" s="1">
        <v>43440</v>
      </c>
      <c r="B1123">
        <v>11532</v>
      </c>
      <c r="C1123" s="2" t="s">
        <v>34</v>
      </c>
      <c r="D1123" s="2" t="s">
        <v>35</v>
      </c>
      <c r="E1123" s="2" t="s">
        <v>36</v>
      </c>
      <c r="F1123">
        <v>4033</v>
      </c>
      <c r="G1123" s="2" t="s">
        <v>109</v>
      </c>
      <c r="H1123" s="2" t="s">
        <v>51</v>
      </c>
      <c r="I1123" s="2" t="s">
        <v>73</v>
      </c>
      <c r="J1123" s="2" t="s">
        <v>49</v>
      </c>
      <c r="K1123" s="2" t="s">
        <v>73</v>
      </c>
      <c r="L1123">
        <v>39.11</v>
      </c>
      <c r="M1123">
        <v>1</v>
      </c>
      <c r="N1123">
        <v>1.1200000000000001</v>
      </c>
      <c r="O1123">
        <v>6100231</v>
      </c>
      <c r="P1123" s="2" t="s">
        <v>50</v>
      </c>
      <c r="Q1123" s="2" t="s">
        <v>51</v>
      </c>
      <c r="R1123" s="2" t="s">
        <v>30</v>
      </c>
      <c r="S1123">
        <v>1</v>
      </c>
      <c r="T1123" s="1">
        <v>43440</v>
      </c>
      <c r="U1123" s="1">
        <v>43449</v>
      </c>
      <c r="V1123" s="2"/>
      <c r="W1123" s="1">
        <f>fNotasFiscais[[#This Row],[Data da Coleta]]+fNotasFiscais[[#This Row],[Prazo Contratado]]</f>
        <v>43441</v>
      </c>
      <c r="X1123" s="3">
        <f>IF(fNotasFiscais[[#This Row],[Data da Entrega]]&gt;fNotasFiscais[[#This Row],[Data Contratada]],0,1)</f>
        <v>0</v>
      </c>
      <c r="Y1123" s="3">
        <f>IF(fNotasFiscais[[#This Row],[Ocorrência]]="",1,0)</f>
        <v>1</v>
      </c>
      <c r="Z1123" s="2">
        <f>fNotasFiscais[[#This Row],[On Time]]*fNotasFiscais[[#This Row],[In Full]]</f>
        <v>0</v>
      </c>
      <c r="AA1123">
        <f>IF(fNotasFiscais[[#This Row],[Nota Fiscal]]&lt;&gt;"",1,0)</f>
        <v>1</v>
      </c>
    </row>
    <row r="1124" spans="1:27" x14ac:dyDescent="0.25">
      <c r="A1124" s="1">
        <v>43440</v>
      </c>
      <c r="B1124">
        <v>11533</v>
      </c>
      <c r="C1124" s="2" t="s">
        <v>52</v>
      </c>
      <c r="D1124" s="2" t="s">
        <v>53</v>
      </c>
      <c r="E1124" s="2" t="s">
        <v>33</v>
      </c>
      <c r="F1124">
        <v>4068</v>
      </c>
      <c r="G1124" s="2" t="s">
        <v>63</v>
      </c>
      <c r="H1124" s="2" t="s">
        <v>64</v>
      </c>
      <c r="I1124" s="2" t="s">
        <v>65</v>
      </c>
      <c r="J1124" s="2" t="s">
        <v>49</v>
      </c>
      <c r="K1124" s="2" t="s">
        <v>65</v>
      </c>
      <c r="L1124">
        <v>240.91</v>
      </c>
      <c r="M1124">
        <v>2</v>
      </c>
      <c r="N1124">
        <v>3.9820000000000002</v>
      </c>
      <c r="O1124">
        <v>6100231</v>
      </c>
      <c r="P1124" s="2" t="s">
        <v>50</v>
      </c>
      <c r="Q1124" s="2" t="s">
        <v>51</v>
      </c>
      <c r="R1124" s="2" t="s">
        <v>30</v>
      </c>
      <c r="S1124">
        <v>4</v>
      </c>
      <c r="T1124" s="1">
        <v>43440</v>
      </c>
      <c r="U1124" s="1">
        <v>43450</v>
      </c>
      <c r="V1124" s="2"/>
      <c r="W1124" s="1">
        <f>fNotasFiscais[[#This Row],[Data da Coleta]]+fNotasFiscais[[#This Row],[Prazo Contratado]]</f>
        <v>43444</v>
      </c>
      <c r="X1124" s="3">
        <f>IF(fNotasFiscais[[#This Row],[Data da Entrega]]&gt;fNotasFiscais[[#This Row],[Data Contratada]],0,1)</f>
        <v>0</v>
      </c>
      <c r="Y1124" s="3">
        <f>IF(fNotasFiscais[[#This Row],[Ocorrência]]="",1,0)</f>
        <v>1</v>
      </c>
      <c r="Z1124" s="2">
        <f>fNotasFiscais[[#This Row],[On Time]]*fNotasFiscais[[#This Row],[In Full]]</f>
        <v>0</v>
      </c>
      <c r="AA1124">
        <f>IF(fNotasFiscais[[#This Row],[Nota Fiscal]]&lt;&gt;"",1,0)</f>
        <v>1</v>
      </c>
    </row>
    <row r="1125" spans="1:27" x14ac:dyDescent="0.25">
      <c r="A1125" s="1">
        <v>43441</v>
      </c>
      <c r="B1125">
        <v>11534</v>
      </c>
      <c r="C1125" s="2" t="s">
        <v>54</v>
      </c>
      <c r="D1125" s="2" t="s">
        <v>55</v>
      </c>
      <c r="E1125" s="2" t="s">
        <v>56</v>
      </c>
      <c r="F1125">
        <v>4127</v>
      </c>
      <c r="G1125" s="2" t="s">
        <v>210</v>
      </c>
      <c r="H1125" s="2" t="s">
        <v>44</v>
      </c>
      <c r="I1125" s="2" t="s">
        <v>45</v>
      </c>
      <c r="J1125" s="2" t="s">
        <v>60</v>
      </c>
      <c r="K1125" s="2" t="s">
        <v>45</v>
      </c>
      <c r="L1125">
        <v>719.89</v>
      </c>
      <c r="M1125">
        <v>1</v>
      </c>
      <c r="N1125">
        <v>1.1200000000000001</v>
      </c>
      <c r="O1125">
        <v>6140092</v>
      </c>
      <c r="P1125" s="2" t="s">
        <v>137</v>
      </c>
      <c r="Q1125" s="2" t="s">
        <v>138</v>
      </c>
      <c r="R1125" s="2" t="s">
        <v>30</v>
      </c>
      <c r="S1125">
        <v>2</v>
      </c>
      <c r="T1125" s="1">
        <v>43441</v>
      </c>
      <c r="U1125" s="1">
        <v>43446</v>
      </c>
      <c r="V1125" s="2"/>
      <c r="W1125" s="1">
        <f>fNotasFiscais[[#This Row],[Data da Coleta]]+fNotasFiscais[[#This Row],[Prazo Contratado]]</f>
        <v>43443</v>
      </c>
      <c r="X1125" s="3">
        <f>IF(fNotasFiscais[[#This Row],[Data da Entrega]]&gt;fNotasFiscais[[#This Row],[Data Contratada]],0,1)</f>
        <v>0</v>
      </c>
      <c r="Y1125" s="3">
        <f>IF(fNotasFiscais[[#This Row],[Ocorrência]]="",1,0)</f>
        <v>1</v>
      </c>
      <c r="Z1125" s="2">
        <f>fNotasFiscais[[#This Row],[On Time]]*fNotasFiscais[[#This Row],[In Full]]</f>
        <v>0</v>
      </c>
      <c r="AA1125">
        <f>IF(fNotasFiscais[[#This Row],[Nota Fiscal]]&lt;&gt;"",1,0)</f>
        <v>1</v>
      </c>
    </row>
    <row r="1126" spans="1:27" x14ac:dyDescent="0.25">
      <c r="A1126" s="1">
        <v>43441</v>
      </c>
      <c r="B1126">
        <v>11535</v>
      </c>
      <c r="C1126" s="2" t="s">
        <v>40</v>
      </c>
      <c r="D1126" s="2" t="s">
        <v>41</v>
      </c>
      <c r="E1126" s="2" t="s">
        <v>33</v>
      </c>
      <c r="F1126">
        <v>4127</v>
      </c>
      <c r="G1126" s="2" t="s">
        <v>210</v>
      </c>
      <c r="H1126" s="2" t="s">
        <v>44</v>
      </c>
      <c r="I1126" s="2" t="s">
        <v>45</v>
      </c>
      <c r="J1126" s="2" t="s">
        <v>60</v>
      </c>
      <c r="K1126" s="2" t="s">
        <v>45</v>
      </c>
      <c r="L1126">
        <v>717.3</v>
      </c>
      <c r="M1126">
        <v>1</v>
      </c>
      <c r="N1126">
        <v>1.2470000000000001</v>
      </c>
      <c r="O1126">
        <v>6140092</v>
      </c>
      <c r="P1126" s="2" t="s">
        <v>137</v>
      </c>
      <c r="Q1126" s="2" t="s">
        <v>138</v>
      </c>
      <c r="R1126" s="2" t="s">
        <v>30</v>
      </c>
      <c r="S1126">
        <v>9</v>
      </c>
      <c r="T1126" s="1">
        <v>43441</v>
      </c>
      <c r="U1126" s="1">
        <v>43445</v>
      </c>
      <c r="V1126" s="2"/>
      <c r="W1126" s="1">
        <f>fNotasFiscais[[#This Row],[Data da Coleta]]+fNotasFiscais[[#This Row],[Prazo Contratado]]</f>
        <v>43450</v>
      </c>
      <c r="X1126" s="3">
        <f>IF(fNotasFiscais[[#This Row],[Data da Entrega]]&gt;fNotasFiscais[[#This Row],[Data Contratada]],0,1)</f>
        <v>1</v>
      </c>
      <c r="Y1126" s="3">
        <f>IF(fNotasFiscais[[#This Row],[Ocorrência]]="",1,0)</f>
        <v>1</v>
      </c>
      <c r="Z1126" s="2">
        <f>fNotasFiscais[[#This Row],[On Time]]*fNotasFiscais[[#This Row],[In Full]]</f>
        <v>1</v>
      </c>
      <c r="AA1126">
        <f>IF(fNotasFiscais[[#This Row],[Nota Fiscal]]&lt;&gt;"",1,0)</f>
        <v>1</v>
      </c>
    </row>
    <row r="1127" spans="1:27" x14ac:dyDescent="0.25">
      <c r="A1127" s="1">
        <v>43441</v>
      </c>
      <c r="B1127">
        <v>11536</v>
      </c>
      <c r="C1127" s="2" t="s">
        <v>31</v>
      </c>
      <c r="D1127" s="2" t="s">
        <v>32</v>
      </c>
      <c r="E1127" s="2" t="s">
        <v>33</v>
      </c>
      <c r="F1127">
        <v>4127</v>
      </c>
      <c r="G1127" s="2" t="s">
        <v>210</v>
      </c>
      <c r="H1127" s="2" t="s">
        <v>44</v>
      </c>
      <c r="I1127" s="2" t="s">
        <v>45</v>
      </c>
      <c r="J1127" s="2" t="s">
        <v>60</v>
      </c>
      <c r="K1127" s="2" t="s">
        <v>45</v>
      </c>
      <c r="L1127">
        <v>260.05</v>
      </c>
      <c r="M1127">
        <v>1</v>
      </c>
      <c r="N1127">
        <v>0.501</v>
      </c>
      <c r="O1127">
        <v>6140092</v>
      </c>
      <c r="P1127" s="2" t="s">
        <v>137</v>
      </c>
      <c r="Q1127" s="2" t="s">
        <v>138</v>
      </c>
      <c r="R1127" s="2" t="s">
        <v>30</v>
      </c>
      <c r="S1127">
        <v>10</v>
      </c>
      <c r="T1127" s="1">
        <v>43441</v>
      </c>
      <c r="U1127" s="1">
        <v>43446</v>
      </c>
      <c r="V1127" s="2" t="s">
        <v>57</v>
      </c>
      <c r="W1127" s="1">
        <f>fNotasFiscais[[#This Row],[Data da Coleta]]+fNotasFiscais[[#This Row],[Prazo Contratado]]</f>
        <v>43451</v>
      </c>
      <c r="X1127" s="3">
        <f>IF(fNotasFiscais[[#This Row],[Data da Entrega]]&gt;fNotasFiscais[[#This Row],[Data Contratada]],0,1)</f>
        <v>1</v>
      </c>
      <c r="Y1127" s="3">
        <f>IF(fNotasFiscais[[#This Row],[Ocorrência]]="",1,0)</f>
        <v>0</v>
      </c>
      <c r="Z1127" s="2">
        <f>fNotasFiscais[[#This Row],[On Time]]*fNotasFiscais[[#This Row],[In Full]]</f>
        <v>0</v>
      </c>
      <c r="AA1127">
        <f>IF(fNotasFiscais[[#This Row],[Nota Fiscal]]&lt;&gt;"",1,0)</f>
        <v>1</v>
      </c>
    </row>
    <row r="1128" spans="1:27" x14ac:dyDescent="0.25">
      <c r="A1128" s="1">
        <v>43442</v>
      </c>
      <c r="B1128">
        <v>11537</v>
      </c>
      <c r="C1128" s="2" t="s">
        <v>40</v>
      </c>
      <c r="D1128" s="2" t="s">
        <v>41</v>
      </c>
      <c r="E1128" s="2" t="s">
        <v>33</v>
      </c>
      <c r="F1128">
        <v>4013</v>
      </c>
      <c r="G1128" s="2" t="s">
        <v>37</v>
      </c>
      <c r="H1128" s="2" t="s">
        <v>38</v>
      </c>
      <c r="I1128" s="2" t="s">
        <v>39</v>
      </c>
      <c r="J1128" s="2" t="s">
        <v>28</v>
      </c>
      <c r="K1128" s="2" t="s">
        <v>39</v>
      </c>
      <c r="L1128">
        <v>3105.08</v>
      </c>
      <c r="M1128">
        <v>2</v>
      </c>
      <c r="N1128">
        <v>11.824999999999999</v>
      </c>
      <c r="O1128">
        <v>6500948</v>
      </c>
      <c r="P1128" s="2" t="s">
        <v>29</v>
      </c>
      <c r="Q1128" s="2" t="s">
        <v>23</v>
      </c>
      <c r="R1128" s="2" t="s">
        <v>30</v>
      </c>
      <c r="S1128">
        <v>2</v>
      </c>
      <c r="T1128" s="1">
        <v>43442</v>
      </c>
      <c r="U1128" s="1">
        <v>43447</v>
      </c>
      <c r="V1128" s="2"/>
      <c r="W1128" s="1">
        <f>fNotasFiscais[[#This Row],[Data da Coleta]]+fNotasFiscais[[#This Row],[Prazo Contratado]]</f>
        <v>43444</v>
      </c>
      <c r="X1128" s="3">
        <f>IF(fNotasFiscais[[#This Row],[Data da Entrega]]&gt;fNotasFiscais[[#This Row],[Data Contratada]],0,1)</f>
        <v>0</v>
      </c>
      <c r="Y1128" s="3">
        <f>IF(fNotasFiscais[[#This Row],[Ocorrência]]="",1,0)</f>
        <v>1</v>
      </c>
      <c r="Z1128" s="2">
        <f>fNotasFiscais[[#This Row],[On Time]]*fNotasFiscais[[#This Row],[In Full]]</f>
        <v>0</v>
      </c>
      <c r="AA1128">
        <f>IF(fNotasFiscais[[#This Row],[Nota Fiscal]]&lt;&gt;"",1,0)</f>
        <v>1</v>
      </c>
    </row>
    <row r="1129" spans="1:27" x14ac:dyDescent="0.25">
      <c r="A1129" s="1">
        <v>43443</v>
      </c>
      <c r="B1129">
        <v>11538</v>
      </c>
      <c r="C1129" s="2" t="s">
        <v>31</v>
      </c>
      <c r="D1129" s="2" t="s">
        <v>32</v>
      </c>
      <c r="E1129" s="2" t="s">
        <v>33</v>
      </c>
      <c r="F1129">
        <v>4022</v>
      </c>
      <c r="G1129" s="2" t="s">
        <v>86</v>
      </c>
      <c r="H1129" s="2" t="s">
        <v>87</v>
      </c>
      <c r="I1129" s="2" t="s">
        <v>27</v>
      </c>
      <c r="J1129" s="2" t="s">
        <v>28</v>
      </c>
      <c r="K1129" s="2" t="s">
        <v>27</v>
      </c>
      <c r="L1129">
        <v>300.37</v>
      </c>
      <c r="M1129">
        <v>1</v>
      </c>
      <c r="N1129">
        <v>0.70399999999999996</v>
      </c>
      <c r="O1129">
        <v>6500948</v>
      </c>
      <c r="P1129" s="2" t="s">
        <v>29</v>
      </c>
      <c r="Q1129" s="2" t="s">
        <v>23</v>
      </c>
      <c r="R1129" s="2" t="s">
        <v>30</v>
      </c>
      <c r="S1129">
        <v>7</v>
      </c>
      <c r="T1129" s="1">
        <v>43443</v>
      </c>
      <c r="U1129" s="1">
        <v>43449</v>
      </c>
      <c r="V1129" s="2"/>
      <c r="W1129" s="1">
        <f>fNotasFiscais[[#This Row],[Data da Coleta]]+fNotasFiscais[[#This Row],[Prazo Contratado]]</f>
        <v>43450</v>
      </c>
      <c r="X1129" s="3">
        <f>IF(fNotasFiscais[[#This Row],[Data da Entrega]]&gt;fNotasFiscais[[#This Row],[Data Contratada]],0,1)</f>
        <v>1</v>
      </c>
      <c r="Y1129" s="3">
        <f>IF(fNotasFiscais[[#This Row],[Ocorrência]]="",1,0)</f>
        <v>1</v>
      </c>
      <c r="Z1129" s="2">
        <f>fNotasFiscais[[#This Row],[On Time]]*fNotasFiscais[[#This Row],[In Full]]</f>
        <v>1</v>
      </c>
      <c r="AA1129">
        <f>IF(fNotasFiscais[[#This Row],[Nota Fiscal]]&lt;&gt;"",1,0)</f>
        <v>1</v>
      </c>
    </row>
    <row r="1130" spans="1:27" x14ac:dyDescent="0.25">
      <c r="A1130" s="1">
        <v>43445</v>
      </c>
      <c r="B1130">
        <v>11539</v>
      </c>
      <c r="C1130" s="2" t="s">
        <v>40</v>
      </c>
      <c r="D1130" s="2" t="s">
        <v>41</v>
      </c>
      <c r="E1130" s="2" t="s">
        <v>33</v>
      </c>
      <c r="F1130">
        <v>4068</v>
      </c>
      <c r="G1130" s="2" t="s">
        <v>63</v>
      </c>
      <c r="H1130" s="2" t="s">
        <v>64</v>
      </c>
      <c r="I1130" s="2" t="s">
        <v>65</v>
      </c>
      <c r="J1130" s="2" t="s">
        <v>49</v>
      </c>
      <c r="K1130" s="2" t="s">
        <v>65</v>
      </c>
      <c r="L1130">
        <v>1711.93</v>
      </c>
      <c r="M1130">
        <v>5</v>
      </c>
      <c r="N1130">
        <v>67.099999999999994</v>
      </c>
      <c r="O1130">
        <v>6100231</v>
      </c>
      <c r="P1130" s="2" t="s">
        <v>50</v>
      </c>
      <c r="Q1130" s="2" t="s">
        <v>51</v>
      </c>
      <c r="R1130" s="2" t="s">
        <v>30</v>
      </c>
      <c r="S1130">
        <v>1</v>
      </c>
      <c r="T1130" s="1">
        <v>43445</v>
      </c>
      <c r="U1130" s="1">
        <v>43454</v>
      </c>
      <c r="V1130" s="2"/>
      <c r="W1130" s="1">
        <f>fNotasFiscais[[#This Row],[Data da Coleta]]+fNotasFiscais[[#This Row],[Prazo Contratado]]</f>
        <v>43446</v>
      </c>
      <c r="X1130" s="3">
        <f>IF(fNotasFiscais[[#This Row],[Data da Entrega]]&gt;fNotasFiscais[[#This Row],[Data Contratada]],0,1)</f>
        <v>0</v>
      </c>
      <c r="Y1130" s="3">
        <f>IF(fNotasFiscais[[#This Row],[Ocorrência]]="",1,0)</f>
        <v>1</v>
      </c>
      <c r="Z1130" s="2">
        <f>fNotasFiscais[[#This Row],[On Time]]*fNotasFiscais[[#This Row],[In Full]]</f>
        <v>0</v>
      </c>
      <c r="AA1130">
        <f>IF(fNotasFiscais[[#This Row],[Nota Fiscal]]&lt;&gt;"",1,0)</f>
        <v>1</v>
      </c>
    </row>
    <row r="1131" spans="1:27" x14ac:dyDescent="0.25">
      <c r="A1131" s="1">
        <v>43445</v>
      </c>
      <c r="B1131">
        <v>11540</v>
      </c>
      <c r="C1131" s="2" t="s">
        <v>22</v>
      </c>
      <c r="D1131" s="2" t="s">
        <v>23</v>
      </c>
      <c r="E1131" s="2" t="s">
        <v>24</v>
      </c>
      <c r="F1131">
        <v>4068</v>
      </c>
      <c r="G1131" s="2" t="s">
        <v>63</v>
      </c>
      <c r="H1131" s="2" t="s">
        <v>64</v>
      </c>
      <c r="I1131" s="2" t="s">
        <v>65</v>
      </c>
      <c r="J1131" s="2" t="s">
        <v>49</v>
      </c>
      <c r="K1131" s="2" t="s">
        <v>65</v>
      </c>
      <c r="L1131">
        <v>949.43</v>
      </c>
      <c r="M1131">
        <v>1</v>
      </c>
      <c r="N1131">
        <v>7.92</v>
      </c>
      <c r="O1131">
        <v>6100231</v>
      </c>
      <c r="P1131" s="2" t="s">
        <v>50</v>
      </c>
      <c r="Q1131" s="2" t="s">
        <v>51</v>
      </c>
      <c r="R1131" s="2" t="s">
        <v>30</v>
      </c>
      <c r="S1131">
        <v>11</v>
      </c>
      <c r="T1131" s="1">
        <v>43445</v>
      </c>
      <c r="U1131" s="1">
        <v>43446</v>
      </c>
      <c r="V1131" s="2"/>
      <c r="W1131" s="1">
        <f>fNotasFiscais[[#This Row],[Data da Coleta]]+fNotasFiscais[[#This Row],[Prazo Contratado]]</f>
        <v>43456</v>
      </c>
      <c r="X1131" s="3">
        <f>IF(fNotasFiscais[[#This Row],[Data da Entrega]]&gt;fNotasFiscais[[#This Row],[Data Contratada]],0,1)</f>
        <v>1</v>
      </c>
      <c r="Y1131" s="3">
        <f>IF(fNotasFiscais[[#This Row],[Ocorrência]]="",1,0)</f>
        <v>1</v>
      </c>
      <c r="Z1131" s="2">
        <f>fNotasFiscais[[#This Row],[On Time]]*fNotasFiscais[[#This Row],[In Full]]</f>
        <v>1</v>
      </c>
      <c r="AA1131">
        <f>IF(fNotasFiscais[[#This Row],[Nota Fiscal]]&lt;&gt;"",1,0)</f>
        <v>1</v>
      </c>
    </row>
    <row r="1132" spans="1:27" x14ac:dyDescent="0.25">
      <c r="A1132" s="1">
        <v>43445</v>
      </c>
      <c r="B1132">
        <v>11541</v>
      </c>
      <c r="C1132" s="2" t="s">
        <v>22</v>
      </c>
      <c r="D1132" s="2" t="s">
        <v>23</v>
      </c>
      <c r="E1132" s="2" t="s">
        <v>24</v>
      </c>
      <c r="F1132">
        <v>4032</v>
      </c>
      <c r="G1132" s="2" t="s">
        <v>108</v>
      </c>
      <c r="H1132" s="2" t="s">
        <v>51</v>
      </c>
      <c r="I1132" s="2" t="s">
        <v>73</v>
      </c>
      <c r="J1132" s="2" t="s">
        <v>49</v>
      </c>
      <c r="K1132" s="2" t="s">
        <v>73</v>
      </c>
      <c r="L1132">
        <v>606.46</v>
      </c>
      <c r="M1132">
        <v>2</v>
      </c>
      <c r="N1132">
        <v>6.2229999999999999</v>
      </c>
      <c r="O1132">
        <v>6100231</v>
      </c>
      <c r="P1132" s="2" t="s">
        <v>50</v>
      </c>
      <c r="Q1132" s="2" t="s">
        <v>51</v>
      </c>
      <c r="R1132" s="2" t="s">
        <v>30</v>
      </c>
      <c r="S1132">
        <v>12</v>
      </c>
      <c r="T1132" s="1">
        <v>43445</v>
      </c>
      <c r="U1132" s="1">
        <v>43450</v>
      </c>
      <c r="V1132" s="2" t="s">
        <v>42</v>
      </c>
      <c r="W1132" s="1">
        <f>fNotasFiscais[[#This Row],[Data da Coleta]]+fNotasFiscais[[#This Row],[Prazo Contratado]]</f>
        <v>43457</v>
      </c>
      <c r="X1132" s="3">
        <f>IF(fNotasFiscais[[#This Row],[Data da Entrega]]&gt;fNotasFiscais[[#This Row],[Data Contratada]],0,1)</f>
        <v>1</v>
      </c>
      <c r="Y1132" s="3">
        <f>IF(fNotasFiscais[[#This Row],[Ocorrência]]="",1,0)</f>
        <v>0</v>
      </c>
      <c r="Z1132" s="2">
        <f>fNotasFiscais[[#This Row],[On Time]]*fNotasFiscais[[#This Row],[In Full]]</f>
        <v>0</v>
      </c>
      <c r="AA1132">
        <f>IF(fNotasFiscais[[#This Row],[Nota Fiscal]]&lt;&gt;"",1,0)</f>
        <v>1</v>
      </c>
    </row>
    <row r="1133" spans="1:27" x14ac:dyDescent="0.25">
      <c r="A1133" s="1">
        <v>43446</v>
      </c>
      <c r="B1133">
        <v>11542</v>
      </c>
      <c r="C1133" s="2" t="s">
        <v>52</v>
      </c>
      <c r="D1133" s="2" t="s">
        <v>53</v>
      </c>
      <c r="E1133" s="2" t="s">
        <v>33</v>
      </c>
      <c r="F1133">
        <v>4084</v>
      </c>
      <c r="G1133" s="2" t="s">
        <v>155</v>
      </c>
      <c r="H1133" s="2" t="s">
        <v>149</v>
      </c>
      <c r="I1133" s="2" t="s">
        <v>33</v>
      </c>
      <c r="J1133" s="2" t="s">
        <v>60</v>
      </c>
      <c r="K1133" s="2" t="s">
        <v>33</v>
      </c>
      <c r="L1133">
        <v>304.99</v>
      </c>
      <c r="M1133">
        <v>1</v>
      </c>
      <c r="N1133">
        <v>1.1200000000000001</v>
      </c>
      <c r="O1133">
        <v>6400835</v>
      </c>
      <c r="P1133" s="2" t="s">
        <v>130</v>
      </c>
      <c r="Q1133" s="2" t="s">
        <v>131</v>
      </c>
      <c r="R1133" s="2" t="s">
        <v>30</v>
      </c>
      <c r="S1133">
        <v>12</v>
      </c>
      <c r="T1133" s="1">
        <v>43446</v>
      </c>
      <c r="U1133" s="1">
        <v>43447</v>
      </c>
      <c r="V1133" s="2"/>
      <c r="W1133" s="1">
        <f>fNotasFiscais[[#This Row],[Data da Coleta]]+fNotasFiscais[[#This Row],[Prazo Contratado]]</f>
        <v>43458</v>
      </c>
      <c r="X1133" s="3">
        <f>IF(fNotasFiscais[[#This Row],[Data da Entrega]]&gt;fNotasFiscais[[#This Row],[Data Contratada]],0,1)</f>
        <v>1</v>
      </c>
      <c r="Y1133" s="3">
        <f>IF(fNotasFiscais[[#This Row],[Ocorrência]]="",1,0)</f>
        <v>1</v>
      </c>
      <c r="Z1133" s="2">
        <f>fNotasFiscais[[#This Row],[On Time]]*fNotasFiscais[[#This Row],[In Full]]</f>
        <v>1</v>
      </c>
      <c r="AA1133">
        <f>IF(fNotasFiscais[[#This Row],[Nota Fiscal]]&lt;&gt;"",1,0)</f>
        <v>1</v>
      </c>
    </row>
    <row r="1134" spans="1:27" x14ac:dyDescent="0.25">
      <c r="A1134" s="1">
        <v>43446</v>
      </c>
      <c r="B1134">
        <v>11543</v>
      </c>
      <c r="C1134" s="2" t="s">
        <v>54</v>
      </c>
      <c r="D1134" s="2" t="s">
        <v>55</v>
      </c>
      <c r="E1134" s="2" t="s">
        <v>56</v>
      </c>
      <c r="F1134">
        <v>4024</v>
      </c>
      <c r="G1134" s="2" t="s">
        <v>89</v>
      </c>
      <c r="H1134" s="2" t="s">
        <v>23</v>
      </c>
      <c r="I1134" s="2" t="s">
        <v>24</v>
      </c>
      <c r="J1134" s="2" t="s">
        <v>28</v>
      </c>
      <c r="K1134" s="2" t="s">
        <v>24</v>
      </c>
      <c r="L1134">
        <v>4081.48</v>
      </c>
      <c r="M1134">
        <v>4</v>
      </c>
      <c r="N1134">
        <v>22.606999999999999</v>
      </c>
      <c r="O1134">
        <v>6500948</v>
      </c>
      <c r="P1134" s="2" t="s">
        <v>29</v>
      </c>
      <c r="Q1134" s="2" t="s">
        <v>23</v>
      </c>
      <c r="R1134" s="2" t="s">
        <v>30</v>
      </c>
      <c r="S1134">
        <v>9</v>
      </c>
      <c r="T1134" s="1">
        <v>43446</v>
      </c>
      <c r="U1134" s="1">
        <v>43448</v>
      </c>
      <c r="V1134" s="2"/>
      <c r="W1134" s="1">
        <f>fNotasFiscais[[#This Row],[Data da Coleta]]+fNotasFiscais[[#This Row],[Prazo Contratado]]</f>
        <v>43455</v>
      </c>
      <c r="X1134" s="3">
        <f>IF(fNotasFiscais[[#This Row],[Data da Entrega]]&gt;fNotasFiscais[[#This Row],[Data Contratada]],0,1)</f>
        <v>1</v>
      </c>
      <c r="Y1134" s="3">
        <f>IF(fNotasFiscais[[#This Row],[Ocorrência]]="",1,0)</f>
        <v>1</v>
      </c>
      <c r="Z1134" s="2">
        <f>fNotasFiscais[[#This Row],[On Time]]*fNotasFiscais[[#This Row],[In Full]]</f>
        <v>1</v>
      </c>
      <c r="AA1134">
        <f>IF(fNotasFiscais[[#This Row],[Nota Fiscal]]&lt;&gt;"",1,0)</f>
        <v>1</v>
      </c>
    </row>
    <row r="1135" spans="1:27" x14ac:dyDescent="0.25">
      <c r="A1135" s="1">
        <v>43446</v>
      </c>
      <c r="B1135">
        <v>11544</v>
      </c>
      <c r="C1135" s="2" t="s">
        <v>22</v>
      </c>
      <c r="D1135" s="2" t="s">
        <v>23</v>
      </c>
      <c r="E1135" s="2" t="s">
        <v>24</v>
      </c>
      <c r="F1135">
        <v>4017</v>
      </c>
      <c r="G1135" s="2" t="s">
        <v>74</v>
      </c>
      <c r="H1135" s="2" t="s">
        <v>75</v>
      </c>
      <c r="I1135" s="2" t="s">
        <v>39</v>
      </c>
      <c r="J1135" s="2" t="s">
        <v>28</v>
      </c>
      <c r="K1135" s="2" t="s">
        <v>39</v>
      </c>
      <c r="L1135">
        <v>10783.93</v>
      </c>
      <c r="M1135">
        <v>6</v>
      </c>
      <c r="N1135">
        <v>66.66</v>
      </c>
      <c r="O1135">
        <v>6500948</v>
      </c>
      <c r="P1135" s="2" t="s">
        <v>29</v>
      </c>
      <c r="Q1135" s="2" t="s">
        <v>23</v>
      </c>
      <c r="R1135" s="2" t="s">
        <v>30</v>
      </c>
      <c r="S1135">
        <v>2</v>
      </c>
      <c r="T1135" s="1">
        <v>43446</v>
      </c>
      <c r="U1135" s="1">
        <v>43456</v>
      </c>
      <c r="V1135" s="2" t="s">
        <v>42</v>
      </c>
      <c r="W1135" s="1">
        <f>fNotasFiscais[[#This Row],[Data da Coleta]]+fNotasFiscais[[#This Row],[Prazo Contratado]]</f>
        <v>43448</v>
      </c>
      <c r="X1135" s="3">
        <f>IF(fNotasFiscais[[#This Row],[Data da Entrega]]&gt;fNotasFiscais[[#This Row],[Data Contratada]],0,1)</f>
        <v>0</v>
      </c>
      <c r="Y1135" s="3">
        <f>IF(fNotasFiscais[[#This Row],[Ocorrência]]="",1,0)</f>
        <v>0</v>
      </c>
      <c r="Z1135" s="2">
        <f>fNotasFiscais[[#This Row],[On Time]]*fNotasFiscais[[#This Row],[In Full]]</f>
        <v>0</v>
      </c>
      <c r="AA1135">
        <f>IF(fNotasFiscais[[#This Row],[Nota Fiscal]]&lt;&gt;"",1,0)</f>
        <v>1</v>
      </c>
    </row>
    <row r="1136" spans="1:27" x14ac:dyDescent="0.25">
      <c r="A1136" s="1">
        <v>43448</v>
      </c>
      <c r="B1136">
        <v>11545</v>
      </c>
      <c r="C1136" s="2" t="s">
        <v>31</v>
      </c>
      <c r="D1136" s="2" t="s">
        <v>32</v>
      </c>
      <c r="E1136" s="2" t="s">
        <v>33</v>
      </c>
      <c r="F1136">
        <v>4013</v>
      </c>
      <c r="G1136" s="2" t="s">
        <v>37</v>
      </c>
      <c r="H1136" s="2" t="s">
        <v>38</v>
      </c>
      <c r="I1136" s="2" t="s">
        <v>39</v>
      </c>
      <c r="J1136" s="2" t="s">
        <v>28</v>
      </c>
      <c r="K1136" s="2" t="s">
        <v>39</v>
      </c>
      <c r="L1136">
        <v>397.69</v>
      </c>
      <c r="M1136">
        <v>1</v>
      </c>
      <c r="N1136">
        <v>13.42</v>
      </c>
      <c r="O1136">
        <v>6500948</v>
      </c>
      <c r="P1136" s="2" t="s">
        <v>29</v>
      </c>
      <c r="Q1136" s="2" t="s">
        <v>23</v>
      </c>
      <c r="R1136" s="2" t="s">
        <v>30</v>
      </c>
      <c r="S1136">
        <v>10</v>
      </c>
      <c r="T1136" s="1">
        <v>43448</v>
      </c>
      <c r="U1136" s="1">
        <v>43452</v>
      </c>
      <c r="V1136" s="2"/>
      <c r="W1136" s="1">
        <f>fNotasFiscais[[#This Row],[Data da Coleta]]+fNotasFiscais[[#This Row],[Prazo Contratado]]</f>
        <v>43458</v>
      </c>
      <c r="X1136" s="3">
        <f>IF(fNotasFiscais[[#This Row],[Data da Entrega]]&gt;fNotasFiscais[[#This Row],[Data Contratada]],0,1)</f>
        <v>1</v>
      </c>
      <c r="Y1136" s="3">
        <f>IF(fNotasFiscais[[#This Row],[Ocorrência]]="",1,0)</f>
        <v>1</v>
      </c>
      <c r="Z1136" s="2">
        <f>fNotasFiscais[[#This Row],[On Time]]*fNotasFiscais[[#This Row],[In Full]]</f>
        <v>1</v>
      </c>
      <c r="AA1136">
        <f>IF(fNotasFiscais[[#This Row],[Nota Fiscal]]&lt;&gt;"",1,0)</f>
        <v>1</v>
      </c>
    </row>
    <row r="1137" spans="1:27" x14ac:dyDescent="0.25">
      <c r="A1137" s="1">
        <v>43449</v>
      </c>
      <c r="B1137">
        <v>11546</v>
      </c>
      <c r="C1137" s="2" t="s">
        <v>54</v>
      </c>
      <c r="D1137" s="2" t="s">
        <v>55</v>
      </c>
      <c r="E1137" s="2" t="s">
        <v>56</v>
      </c>
      <c r="F1137">
        <v>4128</v>
      </c>
      <c r="G1137" s="2" t="s">
        <v>211</v>
      </c>
      <c r="H1137" s="2" t="s">
        <v>167</v>
      </c>
      <c r="I1137" s="2" t="s">
        <v>168</v>
      </c>
      <c r="J1137" s="2" t="s">
        <v>169</v>
      </c>
      <c r="K1137" s="2" t="s">
        <v>168</v>
      </c>
      <c r="L1137">
        <v>136.13999999999999</v>
      </c>
      <c r="M1137">
        <v>1</v>
      </c>
      <c r="N1137">
        <v>0.30399999999999999</v>
      </c>
      <c r="O1137">
        <v>6900304</v>
      </c>
      <c r="P1137" s="2" t="s">
        <v>170</v>
      </c>
      <c r="Q1137" s="2" t="s">
        <v>171</v>
      </c>
      <c r="R1137" s="2" t="s">
        <v>30</v>
      </c>
      <c r="S1137">
        <v>8</v>
      </c>
      <c r="T1137" s="1">
        <v>43449</v>
      </c>
      <c r="U1137" s="1">
        <v>43458</v>
      </c>
      <c r="V1137" s="2"/>
      <c r="W1137" s="1">
        <f>fNotasFiscais[[#This Row],[Data da Coleta]]+fNotasFiscais[[#This Row],[Prazo Contratado]]</f>
        <v>43457</v>
      </c>
      <c r="X1137" s="3">
        <f>IF(fNotasFiscais[[#This Row],[Data da Entrega]]&gt;fNotasFiscais[[#This Row],[Data Contratada]],0,1)</f>
        <v>0</v>
      </c>
      <c r="Y1137" s="3">
        <f>IF(fNotasFiscais[[#This Row],[Ocorrência]]="",1,0)</f>
        <v>1</v>
      </c>
      <c r="Z1137" s="2">
        <f>fNotasFiscais[[#This Row],[On Time]]*fNotasFiscais[[#This Row],[In Full]]</f>
        <v>0</v>
      </c>
      <c r="AA1137">
        <f>IF(fNotasFiscais[[#This Row],[Nota Fiscal]]&lt;&gt;"",1,0)</f>
        <v>1</v>
      </c>
    </row>
    <row r="1138" spans="1:27" x14ac:dyDescent="0.25">
      <c r="A1138" s="1">
        <v>43449</v>
      </c>
      <c r="B1138">
        <v>11547</v>
      </c>
      <c r="C1138" s="2" t="s">
        <v>34</v>
      </c>
      <c r="D1138" s="2" t="s">
        <v>35</v>
      </c>
      <c r="E1138" s="2" t="s">
        <v>36</v>
      </c>
      <c r="F1138">
        <v>4067</v>
      </c>
      <c r="G1138" s="2" t="s">
        <v>122</v>
      </c>
      <c r="H1138" s="2" t="s">
        <v>47</v>
      </c>
      <c r="I1138" s="2" t="s">
        <v>48</v>
      </c>
      <c r="J1138" s="2" t="s">
        <v>49</v>
      </c>
      <c r="K1138" s="2" t="s">
        <v>48</v>
      </c>
      <c r="L1138">
        <v>2068.65</v>
      </c>
      <c r="M1138">
        <v>3</v>
      </c>
      <c r="N1138">
        <v>4.9390000000000001</v>
      </c>
      <c r="O1138">
        <v>6100231</v>
      </c>
      <c r="P1138" s="2" t="s">
        <v>50</v>
      </c>
      <c r="Q1138" s="2" t="s">
        <v>51</v>
      </c>
      <c r="R1138" s="2" t="s">
        <v>30</v>
      </c>
      <c r="S1138">
        <v>7</v>
      </c>
      <c r="T1138" s="1">
        <v>43449</v>
      </c>
      <c r="U1138" s="1">
        <v>43456</v>
      </c>
      <c r="V1138" s="2"/>
      <c r="W1138" s="1">
        <f>fNotasFiscais[[#This Row],[Data da Coleta]]+fNotasFiscais[[#This Row],[Prazo Contratado]]</f>
        <v>43456</v>
      </c>
      <c r="X1138" s="3">
        <f>IF(fNotasFiscais[[#This Row],[Data da Entrega]]&gt;fNotasFiscais[[#This Row],[Data Contratada]],0,1)</f>
        <v>1</v>
      </c>
      <c r="Y1138" s="3">
        <f>IF(fNotasFiscais[[#This Row],[Ocorrência]]="",1,0)</f>
        <v>1</v>
      </c>
      <c r="Z1138" s="2">
        <f>fNotasFiscais[[#This Row],[On Time]]*fNotasFiscais[[#This Row],[In Full]]</f>
        <v>1</v>
      </c>
      <c r="AA1138">
        <f>IF(fNotasFiscais[[#This Row],[Nota Fiscal]]&lt;&gt;"",1,0)</f>
        <v>1</v>
      </c>
    </row>
    <row r="1139" spans="1:27" x14ac:dyDescent="0.25">
      <c r="A1139" s="1">
        <v>43449</v>
      </c>
      <c r="B1139">
        <v>11548</v>
      </c>
      <c r="C1139" s="2" t="s">
        <v>31</v>
      </c>
      <c r="D1139" s="2" t="s">
        <v>32</v>
      </c>
      <c r="E1139" s="2" t="s">
        <v>33</v>
      </c>
      <c r="F1139">
        <v>4013</v>
      </c>
      <c r="G1139" s="2" t="s">
        <v>37</v>
      </c>
      <c r="H1139" s="2" t="s">
        <v>38</v>
      </c>
      <c r="I1139" s="2" t="s">
        <v>39</v>
      </c>
      <c r="J1139" s="2" t="s">
        <v>28</v>
      </c>
      <c r="K1139" s="2" t="s">
        <v>39</v>
      </c>
      <c r="L1139">
        <v>22.56</v>
      </c>
      <c r="M1139">
        <v>1</v>
      </c>
      <c r="N1139">
        <v>0.59799999999999998</v>
      </c>
      <c r="O1139">
        <v>6500948</v>
      </c>
      <c r="P1139" s="2" t="s">
        <v>29</v>
      </c>
      <c r="Q1139" s="2" t="s">
        <v>23</v>
      </c>
      <c r="R1139" s="2" t="s">
        <v>30</v>
      </c>
      <c r="S1139">
        <v>4</v>
      </c>
      <c r="T1139" s="1">
        <v>43449</v>
      </c>
      <c r="U1139" s="1">
        <v>43452</v>
      </c>
      <c r="V1139" s="2"/>
      <c r="W1139" s="1">
        <f>fNotasFiscais[[#This Row],[Data da Coleta]]+fNotasFiscais[[#This Row],[Prazo Contratado]]</f>
        <v>43453</v>
      </c>
      <c r="X1139" s="3">
        <f>IF(fNotasFiscais[[#This Row],[Data da Entrega]]&gt;fNotasFiscais[[#This Row],[Data Contratada]],0,1)</f>
        <v>1</v>
      </c>
      <c r="Y1139" s="3">
        <f>IF(fNotasFiscais[[#This Row],[Ocorrência]]="",1,0)</f>
        <v>1</v>
      </c>
      <c r="Z1139" s="2">
        <f>fNotasFiscais[[#This Row],[On Time]]*fNotasFiscais[[#This Row],[In Full]]</f>
        <v>1</v>
      </c>
      <c r="AA1139">
        <f>IF(fNotasFiscais[[#This Row],[Nota Fiscal]]&lt;&gt;"",1,0)</f>
        <v>1</v>
      </c>
    </row>
    <row r="1140" spans="1:27" x14ac:dyDescent="0.25">
      <c r="A1140" s="1">
        <v>43449</v>
      </c>
      <c r="B1140">
        <v>11549</v>
      </c>
      <c r="C1140" s="2" t="s">
        <v>54</v>
      </c>
      <c r="D1140" s="2" t="s">
        <v>55</v>
      </c>
      <c r="E1140" s="2" t="s">
        <v>56</v>
      </c>
      <c r="F1140">
        <v>4013</v>
      </c>
      <c r="G1140" s="2" t="s">
        <v>37</v>
      </c>
      <c r="H1140" s="2" t="s">
        <v>38</v>
      </c>
      <c r="I1140" s="2" t="s">
        <v>39</v>
      </c>
      <c r="J1140" s="2" t="s">
        <v>28</v>
      </c>
      <c r="K1140" s="2" t="s">
        <v>39</v>
      </c>
      <c r="L1140">
        <v>75.48</v>
      </c>
      <c r="M1140">
        <v>1</v>
      </c>
      <c r="N1140">
        <v>1.1200000000000001</v>
      </c>
      <c r="O1140">
        <v>6500948</v>
      </c>
      <c r="P1140" s="2" t="s">
        <v>29</v>
      </c>
      <c r="Q1140" s="2" t="s">
        <v>23</v>
      </c>
      <c r="R1140" s="2" t="s">
        <v>30</v>
      </c>
      <c r="S1140">
        <v>2</v>
      </c>
      <c r="T1140" s="1">
        <v>43449</v>
      </c>
      <c r="U1140" s="1">
        <v>43451</v>
      </c>
      <c r="V1140" s="2"/>
      <c r="W1140" s="1">
        <f>fNotasFiscais[[#This Row],[Data da Coleta]]+fNotasFiscais[[#This Row],[Prazo Contratado]]</f>
        <v>43451</v>
      </c>
      <c r="X1140" s="3">
        <f>IF(fNotasFiscais[[#This Row],[Data da Entrega]]&gt;fNotasFiscais[[#This Row],[Data Contratada]],0,1)</f>
        <v>1</v>
      </c>
      <c r="Y1140" s="3">
        <f>IF(fNotasFiscais[[#This Row],[Ocorrência]]="",1,0)</f>
        <v>1</v>
      </c>
      <c r="Z1140" s="2">
        <f>fNotasFiscais[[#This Row],[On Time]]*fNotasFiscais[[#This Row],[In Full]]</f>
        <v>1</v>
      </c>
      <c r="AA1140">
        <f>IF(fNotasFiscais[[#This Row],[Nota Fiscal]]&lt;&gt;"",1,0)</f>
        <v>1</v>
      </c>
    </row>
    <row r="1141" spans="1:27" x14ac:dyDescent="0.25">
      <c r="A1141" s="1">
        <v>43449</v>
      </c>
      <c r="B1141">
        <v>11550</v>
      </c>
      <c r="C1141" s="2" t="s">
        <v>34</v>
      </c>
      <c r="D1141" s="2" t="s">
        <v>35</v>
      </c>
      <c r="E1141" s="2" t="s">
        <v>36</v>
      </c>
      <c r="F1141">
        <v>4013</v>
      </c>
      <c r="G1141" s="2" t="s">
        <v>37</v>
      </c>
      <c r="H1141" s="2" t="s">
        <v>38</v>
      </c>
      <c r="I1141" s="2" t="s">
        <v>39</v>
      </c>
      <c r="J1141" s="2" t="s">
        <v>28</v>
      </c>
      <c r="K1141" s="2" t="s">
        <v>39</v>
      </c>
      <c r="L1141">
        <v>320.07</v>
      </c>
      <c r="M1141">
        <v>1</v>
      </c>
      <c r="N1141">
        <v>2.5299999999999998</v>
      </c>
      <c r="O1141">
        <v>6500948</v>
      </c>
      <c r="P1141" s="2" t="s">
        <v>29</v>
      </c>
      <c r="Q1141" s="2" t="s">
        <v>23</v>
      </c>
      <c r="R1141" s="2" t="s">
        <v>30</v>
      </c>
      <c r="S1141">
        <v>8</v>
      </c>
      <c r="T1141" s="1">
        <v>43449</v>
      </c>
      <c r="U1141" s="1">
        <v>43457</v>
      </c>
      <c r="V1141" s="2"/>
      <c r="W1141" s="1">
        <f>fNotasFiscais[[#This Row],[Data da Coleta]]+fNotasFiscais[[#This Row],[Prazo Contratado]]</f>
        <v>43457</v>
      </c>
      <c r="X1141" s="3">
        <f>IF(fNotasFiscais[[#This Row],[Data da Entrega]]&gt;fNotasFiscais[[#This Row],[Data Contratada]],0,1)</f>
        <v>1</v>
      </c>
      <c r="Y1141" s="3">
        <f>IF(fNotasFiscais[[#This Row],[Ocorrência]]="",1,0)</f>
        <v>1</v>
      </c>
      <c r="Z1141" s="2">
        <f>fNotasFiscais[[#This Row],[On Time]]*fNotasFiscais[[#This Row],[In Full]]</f>
        <v>1</v>
      </c>
      <c r="AA1141">
        <f>IF(fNotasFiscais[[#This Row],[Nota Fiscal]]&lt;&gt;"",1,0)</f>
        <v>1</v>
      </c>
    </row>
    <row r="1142" spans="1:27" x14ac:dyDescent="0.25">
      <c r="A1142" s="1">
        <v>43449</v>
      </c>
      <c r="B1142">
        <v>11551</v>
      </c>
      <c r="C1142" s="2" t="s">
        <v>52</v>
      </c>
      <c r="D1142" s="2" t="s">
        <v>53</v>
      </c>
      <c r="E1142" s="2" t="s">
        <v>33</v>
      </c>
      <c r="F1142">
        <v>4018</v>
      </c>
      <c r="G1142" s="2" t="s">
        <v>77</v>
      </c>
      <c r="H1142" s="2" t="s">
        <v>78</v>
      </c>
      <c r="I1142" s="2" t="s">
        <v>39</v>
      </c>
      <c r="J1142" s="2" t="s">
        <v>28</v>
      </c>
      <c r="K1142" s="2" t="s">
        <v>39</v>
      </c>
      <c r="L1142">
        <v>284.64</v>
      </c>
      <c r="M1142">
        <v>1</v>
      </c>
      <c r="N1142">
        <v>13.42</v>
      </c>
      <c r="O1142">
        <v>6500948</v>
      </c>
      <c r="P1142" s="2" t="s">
        <v>29</v>
      </c>
      <c r="Q1142" s="2" t="s">
        <v>23</v>
      </c>
      <c r="R1142" s="2" t="s">
        <v>30</v>
      </c>
      <c r="S1142">
        <v>6</v>
      </c>
      <c r="T1142" s="1">
        <v>43449</v>
      </c>
      <c r="U1142" s="1">
        <v>43459</v>
      </c>
      <c r="V1142" s="2"/>
      <c r="W1142" s="1">
        <f>fNotasFiscais[[#This Row],[Data da Coleta]]+fNotasFiscais[[#This Row],[Prazo Contratado]]</f>
        <v>43455</v>
      </c>
      <c r="X1142" s="3">
        <f>IF(fNotasFiscais[[#This Row],[Data da Entrega]]&gt;fNotasFiscais[[#This Row],[Data Contratada]],0,1)</f>
        <v>0</v>
      </c>
      <c r="Y1142" s="3">
        <f>IF(fNotasFiscais[[#This Row],[Ocorrência]]="",1,0)</f>
        <v>1</v>
      </c>
      <c r="Z1142" s="2">
        <f>fNotasFiscais[[#This Row],[On Time]]*fNotasFiscais[[#This Row],[In Full]]</f>
        <v>0</v>
      </c>
      <c r="AA1142">
        <f>IF(fNotasFiscais[[#This Row],[Nota Fiscal]]&lt;&gt;"",1,0)</f>
        <v>1</v>
      </c>
    </row>
    <row r="1143" spans="1:27" x14ac:dyDescent="0.25">
      <c r="A1143" s="1">
        <v>43449</v>
      </c>
      <c r="B1143">
        <v>11552</v>
      </c>
      <c r="C1143" s="2" t="s">
        <v>43</v>
      </c>
      <c r="D1143" s="2" t="s">
        <v>44</v>
      </c>
      <c r="E1143" s="2" t="s">
        <v>45</v>
      </c>
      <c r="F1143">
        <v>4022</v>
      </c>
      <c r="G1143" s="2" t="s">
        <v>86</v>
      </c>
      <c r="H1143" s="2" t="s">
        <v>87</v>
      </c>
      <c r="I1143" s="2" t="s">
        <v>27</v>
      </c>
      <c r="J1143" s="2" t="s">
        <v>28</v>
      </c>
      <c r="K1143" s="2" t="s">
        <v>27</v>
      </c>
      <c r="L1143">
        <v>7405.81</v>
      </c>
      <c r="M1143">
        <v>3</v>
      </c>
      <c r="N1143">
        <v>12.535</v>
      </c>
      <c r="O1143">
        <v>6500948</v>
      </c>
      <c r="P1143" s="2" t="s">
        <v>29</v>
      </c>
      <c r="Q1143" s="2" t="s">
        <v>23</v>
      </c>
      <c r="R1143" s="2" t="s">
        <v>30</v>
      </c>
      <c r="S1143">
        <v>6</v>
      </c>
      <c r="T1143" s="1">
        <v>43449</v>
      </c>
      <c r="U1143" s="1">
        <v>43452</v>
      </c>
      <c r="V1143" s="2"/>
      <c r="W1143" s="1">
        <f>fNotasFiscais[[#This Row],[Data da Coleta]]+fNotasFiscais[[#This Row],[Prazo Contratado]]</f>
        <v>43455</v>
      </c>
      <c r="X1143" s="3">
        <f>IF(fNotasFiscais[[#This Row],[Data da Entrega]]&gt;fNotasFiscais[[#This Row],[Data Contratada]],0,1)</f>
        <v>1</v>
      </c>
      <c r="Y1143" s="3">
        <f>IF(fNotasFiscais[[#This Row],[Ocorrência]]="",1,0)</f>
        <v>1</v>
      </c>
      <c r="Z1143" s="2">
        <f>fNotasFiscais[[#This Row],[On Time]]*fNotasFiscais[[#This Row],[In Full]]</f>
        <v>1</v>
      </c>
      <c r="AA1143">
        <f>IF(fNotasFiscais[[#This Row],[Nota Fiscal]]&lt;&gt;"",1,0)</f>
        <v>1</v>
      </c>
    </row>
    <row r="1144" spans="1:27" x14ac:dyDescent="0.25">
      <c r="A1144" s="1">
        <v>43450</v>
      </c>
      <c r="B1144">
        <v>11553</v>
      </c>
      <c r="C1144" s="2" t="s">
        <v>52</v>
      </c>
      <c r="D1144" s="2" t="s">
        <v>53</v>
      </c>
      <c r="E1144" s="2" t="s">
        <v>33</v>
      </c>
      <c r="F1144">
        <v>4022</v>
      </c>
      <c r="G1144" s="2" t="s">
        <v>86</v>
      </c>
      <c r="H1144" s="2" t="s">
        <v>87</v>
      </c>
      <c r="I1144" s="2" t="s">
        <v>27</v>
      </c>
      <c r="J1144" s="2" t="s">
        <v>28</v>
      </c>
      <c r="K1144" s="2" t="s">
        <v>27</v>
      </c>
      <c r="L1144">
        <v>597.25</v>
      </c>
      <c r="M1144">
        <v>1</v>
      </c>
      <c r="N1144">
        <v>1.069</v>
      </c>
      <c r="O1144">
        <v>6500948</v>
      </c>
      <c r="P1144" s="2" t="s">
        <v>29</v>
      </c>
      <c r="Q1144" s="2" t="s">
        <v>23</v>
      </c>
      <c r="R1144" s="2" t="s">
        <v>30</v>
      </c>
      <c r="S1144">
        <v>7</v>
      </c>
      <c r="T1144" s="1">
        <v>43450</v>
      </c>
      <c r="U1144" s="1">
        <v>43452</v>
      </c>
      <c r="V1144" s="2"/>
      <c r="W1144" s="1">
        <f>fNotasFiscais[[#This Row],[Data da Coleta]]+fNotasFiscais[[#This Row],[Prazo Contratado]]</f>
        <v>43457</v>
      </c>
      <c r="X1144" s="3">
        <f>IF(fNotasFiscais[[#This Row],[Data da Entrega]]&gt;fNotasFiscais[[#This Row],[Data Contratada]],0,1)</f>
        <v>1</v>
      </c>
      <c r="Y1144" s="3">
        <f>IF(fNotasFiscais[[#This Row],[Ocorrência]]="",1,0)</f>
        <v>1</v>
      </c>
      <c r="Z1144" s="2">
        <f>fNotasFiscais[[#This Row],[On Time]]*fNotasFiscais[[#This Row],[In Full]]</f>
        <v>1</v>
      </c>
      <c r="AA1144">
        <f>IF(fNotasFiscais[[#This Row],[Nota Fiscal]]&lt;&gt;"",1,0)</f>
        <v>1</v>
      </c>
    </row>
    <row r="1145" spans="1:27" x14ac:dyDescent="0.25">
      <c r="A1145" s="1">
        <v>43451</v>
      </c>
      <c r="B1145">
        <v>11554</v>
      </c>
      <c r="C1145" s="2" t="s">
        <v>54</v>
      </c>
      <c r="D1145" s="2" t="s">
        <v>55</v>
      </c>
      <c r="E1145" s="2" t="s">
        <v>56</v>
      </c>
      <c r="F1145">
        <v>4040</v>
      </c>
      <c r="G1145" s="2" t="s">
        <v>117</v>
      </c>
      <c r="H1145" s="2" t="s">
        <v>47</v>
      </c>
      <c r="I1145" s="2" t="s">
        <v>48</v>
      </c>
      <c r="J1145" s="2" t="s">
        <v>49</v>
      </c>
      <c r="K1145" s="2" t="s">
        <v>48</v>
      </c>
      <c r="L1145">
        <v>824.27</v>
      </c>
      <c r="M1145">
        <v>1</v>
      </c>
      <c r="N1145">
        <v>9.5079999999999991</v>
      </c>
      <c r="O1145">
        <v>6100231</v>
      </c>
      <c r="P1145" s="2" t="s">
        <v>50</v>
      </c>
      <c r="Q1145" s="2" t="s">
        <v>51</v>
      </c>
      <c r="R1145" s="2" t="s">
        <v>30</v>
      </c>
      <c r="S1145">
        <v>4</v>
      </c>
      <c r="T1145" s="1">
        <v>43451</v>
      </c>
      <c r="U1145" s="1">
        <v>43460</v>
      </c>
      <c r="V1145" s="2"/>
      <c r="W1145" s="1">
        <f>fNotasFiscais[[#This Row],[Data da Coleta]]+fNotasFiscais[[#This Row],[Prazo Contratado]]</f>
        <v>43455</v>
      </c>
      <c r="X1145" s="3">
        <f>IF(fNotasFiscais[[#This Row],[Data da Entrega]]&gt;fNotasFiscais[[#This Row],[Data Contratada]],0,1)</f>
        <v>0</v>
      </c>
      <c r="Y1145" s="3">
        <f>IF(fNotasFiscais[[#This Row],[Ocorrência]]="",1,0)</f>
        <v>1</v>
      </c>
      <c r="Z1145" s="2">
        <f>fNotasFiscais[[#This Row],[On Time]]*fNotasFiscais[[#This Row],[In Full]]</f>
        <v>0</v>
      </c>
      <c r="AA1145">
        <f>IF(fNotasFiscais[[#This Row],[Nota Fiscal]]&lt;&gt;"",1,0)</f>
        <v>1</v>
      </c>
    </row>
    <row r="1146" spans="1:27" x14ac:dyDescent="0.25">
      <c r="A1146" s="1">
        <v>43451</v>
      </c>
      <c r="B1146">
        <v>11555</v>
      </c>
      <c r="C1146" s="2" t="s">
        <v>31</v>
      </c>
      <c r="D1146" s="2" t="s">
        <v>32</v>
      </c>
      <c r="E1146" s="2" t="s">
        <v>33</v>
      </c>
      <c r="F1146">
        <v>4055</v>
      </c>
      <c r="G1146" s="2" t="s">
        <v>120</v>
      </c>
      <c r="H1146" s="2" t="s">
        <v>47</v>
      </c>
      <c r="I1146" s="2" t="s">
        <v>48</v>
      </c>
      <c r="J1146" s="2" t="s">
        <v>49</v>
      </c>
      <c r="K1146" s="2" t="s">
        <v>48</v>
      </c>
      <c r="L1146">
        <v>1473.75</v>
      </c>
      <c r="M1146">
        <v>1</v>
      </c>
      <c r="N1146">
        <v>10.56</v>
      </c>
      <c r="O1146">
        <v>6100231</v>
      </c>
      <c r="P1146" s="2" t="s">
        <v>50</v>
      </c>
      <c r="Q1146" s="2" t="s">
        <v>51</v>
      </c>
      <c r="R1146" s="2" t="s">
        <v>30</v>
      </c>
      <c r="S1146">
        <v>5</v>
      </c>
      <c r="T1146" s="1">
        <v>43451</v>
      </c>
      <c r="U1146" s="1">
        <v>43461</v>
      </c>
      <c r="V1146" s="2"/>
      <c r="W1146" s="1">
        <f>fNotasFiscais[[#This Row],[Data da Coleta]]+fNotasFiscais[[#This Row],[Prazo Contratado]]</f>
        <v>43456</v>
      </c>
      <c r="X1146" s="3">
        <f>IF(fNotasFiscais[[#This Row],[Data da Entrega]]&gt;fNotasFiscais[[#This Row],[Data Contratada]],0,1)</f>
        <v>0</v>
      </c>
      <c r="Y1146" s="3">
        <f>IF(fNotasFiscais[[#This Row],[Ocorrência]]="",1,0)</f>
        <v>1</v>
      </c>
      <c r="Z1146" s="2">
        <f>fNotasFiscais[[#This Row],[On Time]]*fNotasFiscais[[#This Row],[In Full]]</f>
        <v>0</v>
      </c>
      <c r="AA1146">
        <f>IF(fNotasFiscais[[#This Row],[Nota Fiscal]]&lt;&gt;"",1,0)</f>
        <v>1</v>
      </c>
    </row>
    <row r="1147" spans="1:27" x14ac:dyDescent="0.25">
      <c r="A1147" s="1">
        <v>43451</v>
      </c>
      <c r="B1147">
        <v>11556</v>
      </c>
      <c r="C1147" s="2" t="s">
        <v>54</v>
      </c>
      <c r="D1147" s="2" t="s">
        <v>55</v>
      </c>
      <c r="E1147" s="2" t="s">
        <v>56</v>
      </c>
      <c r="F1147">
        <v>4028</v>
      </c>
      <c r="G1147" s="2" t="s">
        <v>95</v>
      </c>
      <c r="H1147" s="2" t="s">
        <v>26</v>
      </c>
      <c r="I1147" s="2" t="s">
        <v>27</v>
      </c>
      <c r="J1147" s="2" t="s">
        <v>28</v>
      </c>
      <c r="K1147" s="2" t="s">
        <v>27</v>
      </c>
      <c r="L1147">
        <v>951.97</v>
      </c>
      <c r="M1147">
        <v>1</v>
      </c>
      <c r="N1147">
        <v>1.1539999999999999</v>
      </c>
      <c r="O1147">
        <v>6500948</v>
      </c>
      <c r="P1147" s="2" t="s">
        <v>29</v>
      </c>
      <c r="Q1147" s="2" t="s">
        <v>23</v>
      </c>
      <c r="R1147" s="2" t="s">
        <v>30</v>
      </c>
      <c r="S1147">
        <v>7</v>
      </c>
      <c r="T1147" s="1">
        <v>43451</v>
      </c>
      <c r="U1147" s="1">
        <v>43456</v>
      </c>
      <c r="V1147" s="2"/>
      <c r="W1147" s="1">
        <f>fNotasFiscais[[#This Row],[Data da Coleta]]+fNotasFiscais[[#This Row],[Prazo Contratado]]</f>
        <v>43458</v>
      </c>
      <c r="X1147" s="3">
        <f>IF(fNotasFiscais[[#This Row],[Data da Entrega]]&gt;fNotasFiscais[[#This Row],[Data Contratada]],0,1)</f>
        <v>1</v>
      </c>
      <c r="Y1147" s="3">
        <f>IF(fNotasFiscais[[#This Row],[Ocorrência]]="",1,0)</f>
        <v>1</v>
      </c>
      <c r="Z1147" s="2">
        <f>fNotasFiscais[[#This Row],[On Time]]*fNotasFiscais[[#This Row],[In Full]]</f>
        <v>1</v>
      </c>
      <c r="AA1147">
        <f>IF(fNotasFiscais[[#This Row],[Nota Fiscal]]&lt;&gt;"",1,0)</f>
        <v>1</v>
      </c>
    </row>
    <row r="1148" spans="1:27" x14ac:dyDescent="0.25">
      <c r="A1148" s="1">
        <v>43451</v>
      </c>
      <c r="B1148">
        <v>11557</v>
      </c>
      <c r="C1148" s="2" t="s">
        <v>40</v>
      </c>
      <c r="D1148" s="2" t="s">
        <v>41</v>
      </c>
      <c r="E1148" s="2" t="s">
        <v>33</v>
      </c>
      <c r="F1148">
        <v>4030</v>
      </c>
      <c r="G1148" s="2" t="s">
        <v>102</v>
      </c>
      <c r="H1148" s="2" t="s">
        <v>35</v>
      </c>
      <c r="I1148" s="2" t="s">
        <v>36</v>
      </c>
      <c r="J1148" s="2" t="s">
        <v>60</v>
      </c>
      <c r="K1148" s="2" t="s">
        <v>36</v>
      </c>
      <c r="L1148">
        <v>390.73</v>
      </c>
      <c r="M1148">
        <v>2</v>
      </c>
      <c r="N1148">
        <v>0.161</v>
      </c>
      <c r="O1148">
        <v>6600879</v>
      </c>
      <c r="P1148" s="2" t="s">
        <v>61</v>
      </c>
      <c r="Q1148" s="2" t="s">
        <v>35</v>
      </c>
      <c r="R1148" s="2" t="s">
        <v>30</v>
      </c>
      <c r="S1148">
        <v>2</v>
      </c>
      <c r="T1148" s="1">
        <v>43451</v>
      </c>
      <c r="U1148" s="1">
        <v>43460</v>
      </c>
      <c r="V1148" s="2"/>
      <c r="W1148" s="1">
        <f>fNotasFiscais[[#This Row],[Data da Coleta]]+fNotasFiscais[[#This Row],[Prazo Contratado]]</f>
        <v>43453</v>
      </c>
      <c r="X1148" s="3">
        <f>IF(fNotasFiscais[[#This Row],[Data da Entrega]]&gt;fNotasFiscais[[#This Row],[Data Contratada]],0,1)</f>
        <v>0</v>
      </c>
      <c r="Y1148" s="3">
        <f>IF(fNotasFiscais[[#This Row],[Ocorrência]]="",1,0)</f>
        <v>1</v>
      </c>
      <c r="Z1148" s="2">
        <f>fNotasFiscais[[#This Row],[On Time]]*fNotasFiscais[[#This Row],[In Full]]</f>
        <v>0</v>
      </c>
      <c r="AA1148">
        <f>IF(fNotasFiscais[[#This Row],[Nota Fiscal]]&lt;&gt;"",1,0)</f>
        <v>1</v>
      </c>
    </row>
    <row r="1149" spans="1:27" x14ac:dyDescent="0.25">
      <c r="A1149" s="1">
        <v>43451</v>
      </c>
      <c r="B1149">
        <v>11558</v>
      </c>
      <c r="C1149" s="2" t="s">
        <v>43</v>
      </c>
      <c r="D1149" s="2" t="s">
        <v>44</v>
      </c>
      <c r="E1149" s="2" t="s">
        <v>45</v>
      </c>
      <c r="F1149">
        <v>4055</v>
      </c>
      <c r="G1149" s="2" t="s">
        <v>120</v>
      </c>
      <c r="H1149" s="2" t="s">
        <v>47</v>
      </c>
      <c r="I1149" s="2" t="s">
        <v>48</v>
      </c>
      <c r="J1149" s="2" t="s">
        <v>49</v>
      </c>
      <c r="K1149" s="2" t="s">
        <v>48</v>
      </c>
      <c r="L1149">
        <v>87.01</v>
      </c>
      <c r="M1149">
        <v>1</v>
      </c>
      <c r="N1149">
        <v>0.121</v>
      </c>
      <c r="O1149">
        <v>6100231</v>
      </c>
      <c r="P1149" s="2" t="s">
        <v>50</v>
      </c>
      <c r="Q1149" s="2" t="s">
        <v>51</v>
      </c>
      <c r="R1149" s="2" t="s">
        <v>30</v>
      </c>
      <c r="S1149">
        <v>4</v>
      </c>
      <c r="T1149" s="1">
        <v>43451</v>
      </c>
      <c r="U1149" s="1">
        <v>43458</v>
      </c>
      <c r="V1149" s="2"/>
      <c r="W1149" s="1">
        <f>fNotasFiscais[[#This Row],[Data da Coleta]]+fNotasFiscais[[#This Row],[Prazo Contratado]]</f>
        <v>43455</v>
      </c>
      <c r="X1149" s="3">
        <f>IF(fNotasFiscais[[#This Row],[Data da Entrega]]&gt;fNotasFiscais[[#This Row],[Data Contratada]],0,1)</f>
        <v>0</v>
      </c>
      <c r="Y1149" s="3">
        <f>IF(fNotasFiscais[[#This Row],[Ocorrência]]="",1,0)</f>
        <v>1</v>
      </c>
      <c r="Z1149" s="2">
        <f>fNotasFiscais[[#This Row],[On Time]]*fNotasFiscais[[#This Row],[In Full]]</f>
        <v>0</v>
      </c>
      <c r="AA1149">
        <f>IF(fNotasFiscais[[#This Row],[Nota Fiscal]]&lt;&gt;"",1,0)</f>
        <v>1</v>
      </c>
    </row>
    <row r="1150" spans="1:27" x14ac:dyDescent="0.25">
      <c r="A1150" s="1">
        <v>43451</v>
      </c>
      <c r="B1150">
        <v>11559</v>
      </c>
      <c r="C1150" s="2" t="s">
        <v>40</v>
      </c>
      <c r="D1150" s="2" t="s">
        <v>41</v>
      </c>
      <c r="E1150" s="2" t="s">
        <v>33</v>
      </c>
      <c r="F1150">
        <v>4028</v>
      </c>
      <c r="G1150" s="2" t="s">
        <v>95</v>
      </c>
      <c r="H1150" s="2" t="s">
        <v>26</v>
      </c>
      <c r="I1150" s="2" t="s">
        <v>27</v>
      </c>
      <c r="J1150" s="2" t="s">
        <v>28</v>
      </c>
      <c r="K1150" s="2" t="s">
        <v>27</v>
      </c>
      <c r="L1150">
        <v>68.099999999999994</v>
      </c>
      <c r="M1150">
        <v>1</v>
      </c>
      <c r="N1150">
        <v>0.55700000000000005</v>
      </c>
      <c r="O1150">
        <v>6500948</v>
      </c>
      <c r="P1150" s="2" t="s">
        <v>29</v>
      </c>
      <c r="Q1150" s="2" t="s">
        <v>23</v>
      </c>
      <c r="R1150" s="2" t="s">
        <v>30</v>
      </c>
      <c r="S1150">
        <v>12</v>
      </c>
      <c r="T1150" s="1">
        <v>43451</v>
      </c>
      <c r="U1150" s="1">
        <v>43459</v>
      </c>
      <c r="V1150" s="2"/>
      <c r="W1150" s="1">
        <f>fNotasFiscais[[#This Row],[Data da Coleta]]+fNotasFiscais[[#This Row],[Prazo Contratado]]</f>
        <v>43463</v>
      </c>
      <c r="X1150" s="3">
        <f>IF(fNotasFiscais[[#This Row],[Data da Entrega]]&gt;fNotasFiscais[[#This Row],[Data Contratada]],0,1)</f>
        <v>1</v>
      </c>
      <c r="Y1150" s="3">
        <f>IF(fNotasFiscais[[#This Row],[Ocorrência]]="",1,0)</f>
        <v>1</v>
      </c>
      <c r="Z1150" s="2">
        <f>fNotasFiscais[[#This Row],[On Time]]*fNotasFiscais[[#This Row],[In Full]]</f>
        <v>1</v>
      </c>
      <c r="AA1150">
        <f>IF(fNotasFiscais[[#This Row],[Nota Fiscal]]&lt;&gt;"",1,0)</f>
        <v>1</v>
      </c>
    </row>
    <row r="1151" spans="1:27" x14ac:dyDescent="0.25">
      <c r="A1151" s="1">
        <v>43451</v>
      </c>
      <c r="B1151">
        <v>11560</v>
      </c>
      <c r="C1151" s="2" t="s">
        <v>22</v>
      </c>
      <c r="D1151" s="2" t="s">
        <v>23</v>
      </c>
      <c r="E1151" s="2" t="s">
        <v>24</v>
      </c>
      <c r="F1151">
        <v>4040</v>
      </c>
      <c r="G1151" s="2" t="s">
        <v>117</v>
      </c>
      <c r="H1151" s="2" t="s">
        <v>47</v>
      </c>
      <c r="I1151" s="2" t="s">
        <v>48</v>
      </c>
      <c r="J1151" s="2" t="s">
        <v>49</v>
      </c>
      <c r="K1151" s="2" t="s">
        <v>48</v>
      </c>
      <c r="L1151">
        <v>491.63</v>
      </c>
      <c r="M1151">
        <v>1</v>
      </c>
      <c r="N1151">
        <v>0.46200000000000002</v>
      </c>
      <c r="O1151">
        <v>6100231</v>
      </c>
      <c r="P1151" s="2" t="s">
        <v>50</v>
      </c>
      <c r="Q1151" s="2" t="s">
        <v>51</v>
      </c>
      <c r="R1151" s="2" t="s">
        <v>30</v>
      </c>
      <c r="S1151">
        <v>6</v>
      </c>
      <c r="T1151" s="1">
        <v>43451</v>
      </c>
      <c r="U1151" s="1">
        <v>43459</v>
      </c>
      <c r="V1151" s="2"/>
      <c r="W1151" s="1">
        <f>fNotasFiscais[[#This Row],[Data da Coleta]]+fNotasFiscais[[#This Row],[Prazo Contratado]]</f>
        <v>43457</v>
      </c>
      <c r="X1151" s="3">
        <f>IF(fNotasFiscais[[#This Row],[Data da Entrega]]&gt;fNotasFiscais[[#This Row],[Data Contratada]],0,1)</f>
        <v>0</v>
      </c>
      <c r="Y1151" s="3">
        <f>IF(fNotasFiscais[[#This Row],[Ocorrência]]="",1,0)</f>
        <v>1</v>
      </c>
      <c r="Z1151" s="2">
        <f>fNotasFiscais[[#This Row],[On Time]]*fNotasFiscais[[#This Row],[In Full]]</f>
        <v>0</v>
      </c>
      <c r="AA1151">
        <f>IF(fNotasFiscais[[#This Row],[Nota Fiscal]]&lt;&gt;"",1,0)</f>
        <v>1</v>
      </c>
    </row>
    <row r="1152" spans="1:27" x14ac:dyDescent="0.25">
      <c r="A1152" s="1">
        <v>43451</v>
      </c>
      <c r="B1152">
        <v>11561</v>
      </c>
      <c r="C1152" s="2" t="s">
        <v>43</v>
      </c>
      <c r="D1152" s="2" t="s">
        <v>44</v>
      </c>
      <c r="E1152" s="2" t="s">
        <v>45</v>
      </c>
      <c r="F1152">
        <v>4030</v>
      </c>
      <c r="G1152" s="2" t="s">
        <v>102</v>
      </c>
      <c r="H1152" s="2" t="s">
        <v>35</v>
      </c>
      <c r="I1152" s="2" t="s">
        <v>36</v>
      </c>
      <c r="J1152" s="2" t="s">
        <v>60</v>
      </c>
      <c r="K1152" s="2" t="s">
        <v>36</v>
      </c>
      <c r="L1152">
        <v>1261.32</v>
      </c>
      <c r="M1152">
        <v>1</v>
      </c>
      <c r="N1152">
        <v>5.94</v>
      </c>
      <c r="O1152">
        <v>6600879</v>
      </c>
      <c r="P1152" s="2" t="s">
        <v>61</v>
      </c>
      <c r="Q1152" s="2" t="s">
        <v>35</v>
      </c>
      <c r="R1152" s="2" t="s">
        <v>30</v>
      </c>
      <c r="S1152">
        <v>4</v>
      </c>
      <c r="T1152" s="1">
        <v>43451</v>
      </c>
      <c r="U1152" s="1">
        <v>43456</v>
      </c>
      <c r="V1152" s="2"/>
      <c r="W1152" s="1">
        <f>fNotasFiscais[[#This Row],[Data da Coleta]]+fNotasFiscais[[#This Row],[Prazo Contratado]]</f>
        <v>43455</v>
      </c>
      <c r="X1152" s="3">
        <f>IF(fNotasFiscais[[#This Row],[Data da Entrega]]&gt;fNotasFiscais[[#This Row],[Data Contratada]],0,1)</f>
        <v>0</v>
      </c>
      <c r="Y1152" s="3">
        <f>IF(fNotasFiscais[[#This Row],[Ocorrência]]="",1,0)</f>
        <v>1</v>
      </c>
      <c r="Z1152" s="2">
        <f>fNotasFiscais[[#This Row],[On Time]]*fNotasFiscais[[#This Row],[In Full]]</f>
        <v>0</v>
      </c>
      <c r="AA1152">
        <f>IF(fNotasFiscais[[#This Row],[Nota Fiscal]]&lt;&gt;"",1,0)</f>
        <v>1</v>
      </c>
    </row>
    <row r="1153" spans="1:27" x14ac:dyDescent="0.25">
      <c r="A1153" s="1">
        <v>43452</v>
      </c>
      <c r="B1153">
        <v>11562</v>
      </c>
      <c r="C1153" s="2" t="s">
        <v>31</v>
      </c>
      <c r="D1153" s="2" t="s">
        <v>32</v>
      </c>
      <c r="E1153" s="2" t="s">
        <v>33</v>
      </c>
      <c r="F1153">
        <v>4128</v>
      </c>
      <c r="G1153" s="2" t="s">
        <v>211</v>
      </c>
      <c r="H1153" s="2" t="s">
        <v>167</v>
      </c>
      <c r="I1153" s="2" t="s">
        <v>168</v>
      </c>
      <c r="J1153" s="2" t="s">
        <v>169</v>
      </c>
      <c r="K1153" s="2" t="s">
        <v>168</v>
      </c>
      <c r="L1153">
        <v>8934.9699999999993</v>
      </c>
      <c r="M1153">
        <v>2</v>
      </c>
      <c r="N1153">
        <v>31.367999999999999</v>
      </c>
      <c r="O1153">
        <v>6900304</v>
      </c>
      <c r="P1153" s="2" t="s">
        <v>170</v>
      </c>
      <c r="Q1153" s="2" t="s">
        <v>171</v>
      </c>
      <c r="R1153" s="2" t="s">
        <v>30</v>
      </c>
      <c r="S1153">
        <v>12</v>
      </c>
      <c r="T1153" s="1">
        <v>43452</v>
      </c>
      <c r="U1153" s="1">
        <v>43459</v>
      </c>
      <c r="V1153" s="2"/>
      <c r="W1153" s="1">
        <f>fNotasFiscais[[#This Row],[Data da Coleta]]+fNotasFiscais[[#This Row],[Prazo Contratado]]</f>
        <v>43464</v>
      </c>
      <c r="X1153" s="3">
        <f>IF(fNotasFiscais[[#This Row],[Data da Entrega]]&gt;fNotasFiscais[[#This Row],[Data Contratada]],0,1)</f>
        <v>1</v>
      </c>
      <c r="Y1153" s="3">
        <f>IF(fNotasFiscais[[#This Row],[Ocorrência]]="",1,0)</f>
        <v>1</v>
      </c>
      <c r="Z1153" s="2">
        <f>fNotasFiscais[[#This Row],[On Time]]*fNotasFiscais[[#This Row],[In Full]]</f>
        <v>1</v>
      </c>
      <c r="AA1153">
        <f>IF(fNotasFiscais[[#This Row],[Nota Fiscal]]&lt;&gt;"",1,0)</f>
        <v>1</v>
      </c>
    </row>
    <row r="1154" spans="1:27" x14ac:dyDescent="0.25">
      <c r="A1154" s="1">
        <v>43452</v>
      </c>
      <c r="B1154">
        <v>11563</v>
      </c>
      <c r="C1154" s="2" t="s">
        <v>31</v>
      </c>
      <c r="D1154" s="2" t="s">
        <v>32</v>
      </c>
      <c r="E1154" s="2" t="s">
        <v>33</v>
      </c>
      <c r="F1154">
        <v>4105</v>
      </c>
      <c r="G1154" s="2" t="s">
        <v>188</v>
      </c>
      <c r="H1154" s="2" t="s">
        <v>44</v>
      </c>
      <c r="I1154" s="2" t="s">
        <v>45</v>
      </c>
      <c r="J1154" s="2" t="s">
        <v>60</v>
      </c>
      <c r="K1154" s="2" t="s">
        <v>45</v>
      </c>
      <c r="L1154">
        <v>11482.04</v>
      </c>
      <c r="M1154">
        <v>6</v>
      </c>
      <c r="N1154">
        <v>109.667</v>
      </c>
      <c r="O1154">
        <v>6140092</v>
      </c>
      <c r="P1154" s="2" t="s">
        <v>137</v>
      </c>
      <c r="Q1154" s="2" t="s">
        <v>138</v>
      </c>
      <c r="R1154" s="2" t="s">
        <v>30</v>
      </c>
      <c r="S1154">
        <v>7</v>
      </c>
      <c r="T1154" s="1">
        <v>43452</v>
      </c>
      <c r="U1154" s="1">
        <v>43458</v>
      </c>
      <c r="V1154" s="2"/>
      <c r="W1154" s="1">
        <f>fNotasFiscais[[#This Row],[Data da Coleta]]+fNotasFiscais[[#This Row],[Prazo Contratado]]</f>
        <v>43459</v>
      </c>
      <c r="X1154" s="3">
        <f>IF(fNotasFiscais[[#This Row],[Data da Entrega]]&gt;fNotasFiscais[[#This Row],[Data Contratada]],0,1)</f>
        <v>1</v>
      </c>
      <c r="Y1154" s="3">
        <f>IF(fNotasFiscais[[#This Row],[Ocorrência]]="",1,0)</f>
        <v>1</v>
      </c>
      <c r="Z1154" s="2">
        <f>fNotasFiscais[[#This Row],[On Time]]*fNotasFiscais[[#This Row],[In Full]]</f>
        <v>1</v>
      </c>
      <c r="AA1154">
        <f>IF(fNotasFiscais[[#This Row],[Nota Fiscal]]&lt;&gt;"",1,0)</f>
        <v>1</v>
      </c>
    </row>
    <row r="1155" spans="1:27" x14ac:dyDescent="0.25">
      <c r="A1155" s="1">
        <v>43453</v>
      </c>
      <c r="B1155">
        <v>11564</v>
      </c>
      <c r="C1155" s="2" t="s">
        <v>40</v>
      </c>
      <c r="D1155" s="2" t="s">
        <v>41</v>
      </c>
      <c r="E1155" s="2" t="s">
        <v>33</v>
      </c>
      <c r="F1155">
        <v>4060</v>
      </c>
      <c r="G1155" s="2" t="s">
        <v>134</v>
      </c>
      <c r="H1155" s="2" t="s">
        <v>115</v>
      </c>
      <c r="I1155" s="2" t="s">
        <v>107</v>
      </c>
      <c r="J1155" s="2" t="s">
        <v>49</v>
      </c>
      <c r="K1155" s="2" t="s">
        <v>107</v>
      </c>
      <c r="L1155">
        <v>1249.96</v>
      </c>
      <c r="M1155">
        <v>2</v>
      </c>
      <c r="N1155">
        <v>14.843</v>
      </c>
      <c r="O1155">
        <v>6100231</v>
      </c>
      <c r="P1155" s="2" t="s">
        <v>50</v>
      </c>
      <c r="Q1155" s="2" t="s">
        <v>51</v>
      </c>
      <c r="R1155" s="2" t="s">
        <v>30</v>
      </c>
      <c r="S1155">
        <v>11</v>
      </c>
      <c r="T1155" s="1">
        <v>43453</v>
      </c>
      <c r="U1155" s="1">
        <v>43455</v>
      </c>
      <c r="V1155" s="2"/>
      <c r="W1155" s="1">
        <f>fNotasFiscais[[#This Row],[Data da Coleta]]+fNotasFiscais[[#This Row],[Prazo Contratado]]</f>
        <v>43464</v>
      </c>
      <c r="X1155" s="3">
        <f>IF(fNotasFiscais[[#This Row],[Data da Entrega]]&gt;fNotasFiscais[[#This Row],[Data Contratada]],0,1)</f>
        <v>1</v>
      </c>
      <c r="Y1155" s="3">
        <f>IF(fNotasFiscais[[#This Row],[Ocorrência]]="",1,0)</f>
        <v>1</v>
      </c>
      <c r="Z1155" s="2">
        <f>fNotasFiscais[[#This Row],[On Time]]*fNotasFiscais[[#This Row],[In Full]]</f>
        <v>1</v>
      </c>
      <c r="AA1155">
        <f>IF(fNotasFiscais[[#This Row],[Nota Fiscal]]&lt;&gt;"",1,0)</f>
        <v>1</v>
      </c>
    </row>
    <row r="1156" spans="1:27" x14ac:dyDescent="0.25">
      <c r="A1156" s="1">
        <v>43454</v>
      </c>
      <c r="B1156">
        <v>11565</v>
      </c>
      <c r="C1156" s="2" t="s">
        <v>34</v>
      </c>
      <c r="D1156" s="2" t="s">
        <v>35</v>
      </c>
      <c r="E1156" s="2" t="s">
        <v>36</v>
      </c>
      <c r="F1156">
        <v>4132</v>
      </c>
      <c r="G1156" s="2" t="s">
        <v>215</v>
      </c>
      <c r="H1156" s="2" t="s">
        <v>183</v>
      </c>
      <c r="I1156" s="2" t="s">
        <v>33</v>
      </c>
      <c r="J1156" s="2" t="s">
        <v>60</v>
      </c>
      <c r="K1156" s="2" t="s">
        <v>33</v>
      </c>
      <c r="L1156">
        <v>202.88</v>
      </c>
      <c r="M1156">
        <v>1</v>
      </c>
      <c r="N1156">
        <v>0.40899999999999997</v>
      </c>
      <c r="O1156">
        <v>6400835</v>
      </c>
      <c r="P1156" s="2" t="s">
        <v>130</v>
      </c>
      <c r="Q1156" s="2" t="s">
        <v>131</v>
      </c>
      <c r="R1156" s="2" t="s">
        <v>30</v>
      </c>
      <c r="S1156">
        <v>5</v>
      </c>
      <c r="T1156" s="1">
        <v>43454</v>
      </c>
      <c r="U1156" s="1">
        <v>43461</v>
      </c>
      <c r="V1156" s="2"/>
      <c r="W1156" s="1">
        <f>fNotasFiscais[[#This Row],[Data da Coleta]]+fNotasFiscais[[#This Row],[Prazo Contratado]]</f>
        <v>43459</v>
      </c>
      <c r="X1156" s="3">
        <f>IF(fNotasFiscais[[#This Row],[Data da Entrega]]&gt;fNotasFiscais[[#This Row],[Data Contratada]],0,1)</f>
        <v>0</v>
      </c>
      <c r="Y1156" s="3">
        <f>IF(fNotasFiscais[[#This Row],[Ocorrência]]="",1,0)</f>
        <v>1</v>
      </c>
      <c r="Z1156" s="2">
        <f>fNotasFiscais[[#This Row],[On Time]]*fNotasFiscais[[#This Row],[In Full]]</f>
        <v>0</v>
      </c>
      <c r="AA1156">
        <f>IF(fNotasFiscais[[#This Row],[Nota Fiscal]]&lt;&gt;"",1,0)</f>
        <v>1</v>
      </c>
    </row>
    <row r="1157" spans="1:27" x14ac:dyDescent="0.25">
      <c r="A1157" s="1">
        <v>43454</v>
      </c>
      <c r="B1157">
        <v>11566</v>
      </c>
      <c r="C1157" s="2" t="s">
        <v>31</v>
      </c>
      <c r="D1157" s="2" t="s">
        <v>32</v>
      </c>
      <c r="E1157" s="2" t="s">
        <v>33</v>
      </c>
      <c r="F1157">
        <v>4033</v>
      </c>
      <c r="G1157" s="2" t="s">
        <v>109</v>
      </c>
      <c r="H1157" s="2" t="s">
        <v>51</v>
      </c>
      <c r="I1157" s="2" t="s">
        <v>73</v>
      </c>
      <c r="J1157" s="2" t="s">
        <v>49</v>
      </c>
      <c r="K1157" s="2" t="s">
        <v>73</v>
      </c>
      <c r="L1157">
        <v>8.35</v>
      </c>
      <c r="M1157">
        <v>1</v>
      </c>
      <c r="N1157">
        <v>6.0000000000000001E-3</v>
      </c>
      <c r="O1157">
        <v>6100231</v>
      </c>
      <c r="P1157" s="2" t="s">
        <v>50</v>
      </c>
      <c r="Q1157" s="2" t="s">
        <v>51</v>
      </c>
      <c r="R1157" s="2" t="s">
        <v>30</v>
      </c>
      <c r="S1157">
        <v>6</v>
      </c>
      <c r="T1157" s="1">
        <v>43454</v>
      </c>
      <c r="U1157" s="1">
        <v>43461</v>
      </c>
      <c r="V1157" s="2"/>
      <c r="W1157" s="1">
        <f>fNotasFiscais[[#This Row],[Data da Coleta]]+fNotasFiscais[[#This Row],[Prazo Contratado]]</f>
        <v>43460</v>
      </c>
      <c r="X1157" s="3">
        <f>IF(fNotasFiscais[[#This Row],[Data da Entrega]]&gt;fNotasFiscais[[#This Row],[Data Contratada]],0,1)</f>
        <v>0</v>
      </c>
      <c r="Y1157" s="3">
        <f>IF(fNotasFiscais[[#This Row],[Ocorrência]]="",1,0)</f>
        <v>1</v>
      </c>
      <c r="Z1157" s="2">
        <f>fNotasFiscais[[#This Row],[On Time]]*fNotasFiscais[[#This Row],[In Full]]</f>
        <v>0</v>
      </c>
      <c r="AA1157">
        <f>IF(fNotasFiscais[[#This Row],[Nota Fiscal]]&lt;&gt;"",1,0)</f>
        <v>1</v>
      </c>
    </row>
    <row r="1158" spans="1:27" x14ac:dyDescent="0.25">
      <c r="A1158" s="1">
        <v>43454</v>
      </c>
      <c r="B1158">
        <v>11567</v>
      </c>
      <c r="C1158" s="2" t="s">
        <v>34</v>
      </c>
      <c r="D1158" s="2" t="s">
        <v>35</v>
      </c>
      <c r="E1158" s="2" t="s">
        <v>36</v>
      </c>
      <c r="F1158">
        <v>4128</v>
      </c>
      <c r="G1158" s="2" t="s">
        <v>211</v>
      </c>
      <c r="H1158" s="2" t="s">
        <v>167</v>
      </c>
      <c r="I1158" s="2" t="s">
        <v>168</v>
      </c>
      <c r="J1158" s="2" t="s">
        <v>169</v>
      </c>
      <c r="K1158" s="2" t="s">
        <v>168</v>
      </c>
      <c r="L1158">
        <v>4006.72</v>
      </c>
      <c r="M1158">
        <v>2</v>
      </c>
      <c r="N1158">
        <v>14.497999999999999</v>
      </c>
      <c r="O1158">
        <v>6900304</v>
      </c>
      <c r="P1158" s="2" t="s">
        <v>170</v>
      </c>
      <c r="Q1158" s="2" t="s">
        <v>171</v>
      </c>
      <c r="R1158" s="2" t="s">
        <v>30</v>
      </c>
      <c r="S1158">
        <v>2</v>
      </c>
      <c r="T1158" s="1">
        <v>43454</v>
      </c>
      <c r="U1158" s="1">
        <v>43463</v>
      </c>
      <c r="V1158" s="2"/>
      <c r="W1158" s="1">
        <f>fNotasFiscais[[#This Row],[Data da Coleta]]+fNotasFiscais[[#This Row],[Prazo Contratado]]</f>
        <v>43456</v>
      </c>
      <c r="X1158" s="3">
        <f>IF(fNotasFiscais[[#This Row],[Data da Entrega]]&gt;fNotasFiscais[[#This Row],[Data Contratada]],0,1)</f>
        <v>0</v>
      </c>
      <c r="Y1158" s="3">
        <f>IF(fNotasFiscais[[#This Row],[Ocorrência]]="",1,0)</f>
        <v>1</v>
      </c>
      <c r="Z1158" s="2">
        <f>fNotasFiscais[[#This Row],[On Time]]*fNotasFiscais[[#This Row],[In Full]]</f>
        <v>0</v>
      </c>
      <c r="AA1158">
        <f>IF(fNotasFiscais[[#This Row],[Nota Fiscal]]&lt;&gt;"",1,0)</f>
        <v>1</v>
      </c>
    </row>
    <row r="1159" spans="1:27" x14ac:dyDescent="0.25">
      <c r="A1159" s="1">
        <v>43454</v>
      </c>
      <c r="B1159">
        <v>11568</v>
      </c>
      <c r="C1159" s="2" t="s">
        <v>40</v>
      </c>
      <c r="D1159" s="2" t="s">
        <v>41</v>
      </c>
      <c r="E1159" s="2" t="s">
        <v>33</v>
      </c>
      <c r="F1159">
        <v>4068</v>
      </c>
      <c r="G1159" s="2" t="s">
        <v>63</v>
      </c>
      <c r="H1159" s="2" t="s">
        <v>64</v>
      </c>
      <c r="I1159" s="2" t="s">
        <v>65</v>
      </c>
      <c r="J1159" s="2" t="s">
        <v>49</v>
      </c>
      <c r="K1159" s="2" t="s">
        <v>65</v>
      </c>
      <c r="L1159">
        <v>168.8</v>
      </c>
      <c r="M1159">
        <v>1</v>
      </c>
      <c r="N1159">
        <v>1.1200000000000001</v>
      </c>
      <c r="O1159">
        <v>6100231</v>
      </c>
      <c r="P1159" s="2" t="s">
        <v>50</v>
      </c>
      <c r="Q1159" s="2" t="s">
        <v>51</v>
      </c>
      <c r="R1159" s="2" t="s">
        <v>30</v>
      </c>
      <c r="S1159">
        <v>5</v>
      </c>
      <c r="T1159" s="1">
        <v>43454</v>
      </c>
      <c r="U1159" s="1">
        <v>43459</v>
      </c>
      <c r="V1159" s="2"/>
      <c r="W1159" s="1">
        <f>fNotasFiscais[[#This Row],[Data da Coleta]]+fNotasFiscais[[#This Row],[Prazo Contratado]]</f>
        <v>43459</v>
      </c>
      <c r="X1159" s="3">
        <f>IF(fNotasFiscais[[#This Row],[Data da Entrega]]&gt;fNotasFiscais[[#This Row],[Data Contratada]],0,1)</f>
        <v>1</v>
      </c>
      <c r="Y1159" s="3">
        <f>IF(fNotasFiscais[[#This Row],[Ocorrência]]="",1,0)</f>
        <v>1</v>
      </c>
      <c r="Z1159" s="2">
        <f>fNotasFiscais[[#This Row],[On Time]]*fNotasFiscais[[#This Row],[In Full]]</f>
        <v>1</v>
      </c>
      <c r="AA1159">
        <f>IF(fNotasFiscais[[#This Row],[Nota Fiscal]]&lt;&gt;"",1,0)</f>
        <v>1</v>
      </c>
    </row>
    <row r="1160" spans="1:27" x14ac:dyDescent="0.25">
      <c r="A1160" s="1">
        <v>43454</v>
      </c>
      <c r="B1160">
        <v>11569</v>
      </c>
      <c r="C1160" s="2" t="s">
        <v>22</v>
      </c>
      <c r="D1160" s="2" t="s">
        <v>23</v>
      </c>
      <c r="E1160" s="2" t="s">
        <v>24</v>
      </c>
      <c r="F1160">
        <v>4064</v>
      </c>
      <c r="G1160" s="2" t="s">
        <v>128</v>
      </c>
      <c r="H1160" s="2" t="s">
        <v>129</v>
      </c>
      <c r="I1160" s="2" t="s">
        <v>33</v>
      </c>
      <c r="J1160" s="2" t="s">
        <v>60</v>
      </c>
      <c r="K1160" s="2" t="s">
        <v>33</v>
      </c>
      <c r="L1160">
        <v>810.64</v>
      </c>
      <c r="M1160">
        <v>1</v>
      </c>
      <c r="N1160">
        <v>0.86899999999999999</v>
      </c>
      <c r="O1160">
        <v>6400835</v>
      </c>
      <c r="P1160" s="2" t="s">
        <v>130</v>
      </c>
      <c r="Q1160" s="2" t="s">
        <v>131</v>
      </c>
      <c r="R1160" s="2" t="s">
        <v>30</v>
      </c>
      <c r="S1160">
        <v>9</v>
      </c>
      <c r="T1160" s="1">
        <v>43454</v>
      </c>
      <c r="U1160" s="1">
        <v>43457</v>
      </c>
      <c r="V1160" s="2"/>
      <c r="W1160" s="1">
        <f>fNotasFiscais[[#This Row],[Data da Coleta]]+fNotasFiscais[[#This Row],[Prazo Contratado]]</f>
        <v>43463</v>
      </c>
      <c r="X1160" s="3">
        <f>IF(fNotasFiscais[[#This Row],[Data da Entrega]]&gt;fNotasFiscais[[#This Row],[Data Contratada]],0,1)</f>
        <v>1</v>
      </c>
      <c r="Y1160" s="3">
        <f>IF(fNotasFiscais[[#This Row],[Ocorrência]]="",1,0)</f>
        <v>1</v>
      </c>
      <c r="Z1160" s="2">
        <f>fNotasFiscais[[#This Row],[On Time]]*fNotasFiscais[[#This Row],[In Full]]</f>
        <v>1</v>
      </c>
      <c r="AA1160">
        <f>IF(fNotasFiscais[[#This Row],[Nota Fiscal]]&lt;&gt;"",1,0)</f>
        <v>1</v>
      </c>
    </row>
    <row r="1161" spans="1:27" x14ac:dyDescent="0.25">
      <c r="A1161" s="1">
        <v>43454</v>
      </c>
      <c r="B1161">
        <v>11570</v>
      </c>
      <c r="C1161" s="2" t="s">
        <v>22</v>
      </c>
      <c r="D1161" s="2" t="s">
        <v>23</v>
      </c>
      <c r="E1161" s="2" t="s">
        <v>24</v>
      </c>
      <c r="F1161">
        <v>4064</v>
      </c>
      <c r="G1161" s="2" t="s">
        <v>128</v>
      </c>
      <c r="H1161" s="2" t="s">
        <v>129</v>
      </c>
      <c r="I1161" s="2" t="s">
        <v>33</v>
      </c>
      <c r="J1161" s="2" t="s">
        <v>60</v>
      </c>
      <c r="K1161" s="2" t="s">
        <v>33</v>
      </c>
      <c r="L1161">
        <v>41.23</v>
      </c>
      <c r="M1161">
        <v>1</v>
      </c>
      <c r="N1161">
        <v>0.193</v>
      </c>
      <c r="O1161">
        <v>6400835</v>
      </c>
      <c r="P1161" s="2" t="s">
        <v>130</v>
      </c>
      <c r="Q1161" s="2" t="s">
        <v>131</v>
      </c>
      <c r="R1161" s="2" t="s">
        <v>30</v>
      </c>
      <c r="S1161">
        <v>5</v>
      </c>
      <c r="T1161" s="1">
        <v>43454</v>
      </c>
      <c r="U1161" s="1">
        <v>43463</v>
      </c>
      <c r="V1161" s="2"/>
      <c r="W1161" s="1">
        <f>fNotasFiscais[[#This Row],[Data da Coleta]]+fNotasFiscais[[#This Row],[Prazo Contratado]]</f>
        <v>43459</v>
      </c>
      <c r="X1161" s="3">
        <f>IF(fNotasFiscais[[#This Row],[Data da Entrega]]&gt;fNotasFiscais[[#This Row],[Data Contratada]],0,1)</f>
        <v>0</v>
      </c>
      <c r="Y1161" s="3">
        <f>IF(fNotasFiscais[[#This Row],[Ocorrência]]="",1,0)</f>
        <v>1</v>
      </c>
      <c r="Z1161" s="2">
        <f>fNotasFiscais[[#This Row],[On Time]]*fNotasFiscais[[#This Row],[In Full]]</f>
        <v>0</v>
      </c>
      <c r="AA1161">
        <f>IF(fNotasFiscais[[#This Row],[Nota Fiscal]]&lt;&gt;"",1,0)</f>
        <v>1</v>
      </c>
    </row>
    <row r="1162" spans="1:27" x14ac:dyDescent="0.25">
      <c r="A1162" s="1">
        <v>43454</v>
      </c>
      <c r="B1162">
        <v>11571</v>
      </c>
      <c r="C1162" s="2" t="s">
        <v>34</v>
      </c>
      <c r="D1162" s="2" t="s">
        <v>35</v>
      </c>
      <c r="E1162" s="2" t="s">
        <v>36</v>
      </c>
      <c r="F1162">
        <v>4064</v>
      </c>
      <c r="G1162" s="2" t="s">
        <v>128</v>
      </c>
      <c r="H1162" s="2" t="s">
        <v>129</v>
      </c>
      <c r="I1162" s="2" t="s">
        <v>33</v>
      </c>
      <c r="J1162" s="2" t="s">
        <v>60</v>
      </c>
      <c r="K1162" s="2" t="s">
        <v>33</v>
      </c>
      <c r="L1162">
        <v>859.22</v>
      </c>
      <c r="M1162">
        <v>2</v>
      </c>
      <c r="N1162">
        <v>3.1589999999999998</v>
      </c>
      <c r="O1162">
        <v>6400835</v>
      </c>
      <c r="P1162" s="2" t="s">
        <v>130</v>
      </c>
      <c r="Q1162" s="2" t="s">
        <v>131</v>
      </c>
      <c r="R1162" s="2" t="s">
        <v>30</v>
      </c>
      <c r="S1162">
        <v>3</v>
      </c>
      <c r="T1162" s="1">
        <v>43454</v>
      </c>
      <c r="U1162" s="1">
        <v>43462</v>
      </c>
      <c r="V1162" s="2"/>
      <c r="W1162" s="1">
        <f>fNotasFiscais[[#This Row],[Data da Coleta]]+fNotasFiscais[[#This Row],[Prazo Contratado]]</f>
        <v>43457</v>
      </c>
      <c r="X1162" s="3">
        <f>IF(fNotasFiscais[[#This Row],[Data da Entrega]]&gt;fNotasFiscais[[#This Row],[Data Contratada]],0,1)</f>
        <v>0</v>
      </c>
      <c r="Y1162" s="3">
        <f>IF(fNotasFiscais[[#This Row],[Ocorrência]]="",1,0)</f>
        <v>1</v>
      </c>
      <c r="Z1162" s="2">
        <f>fNotasFiscais[[#This Row],[On Time]]*fNotasFiscais[[#This Row],[In Full]]</f>
        <v>0</v>
      </c>
      <c r="AA1162">
        <f>IF(fNotasFiscais[[#This Row],[Nota Fiscal]]&lt;&gt;"",1,0)</f>
        <v>1</v>
      </c>
    </row>
    <row r="1163" spans="1:27" x14ac:dyDescent="0.25">
      <c r="A1163" s="1">
        <v>43454</v>
      </c>
      <c r="B1163">
        <v>11572</v>
      </c>
      <c r="C1163" s="2" t="s">
        <v>43</v>
      </c>
      <c r="D1163" s="2" t="s">
        <v>44</v>
      </c>
      <c r="E1163" s="2" t="s">
        <v>45</v>
      </c>
      <c r="F1163">
        <v>4064</v>
      </c>
      <c r="G1163" s="2" t="s">
        <v>128</v>
      </c>
      <c r="H1163" s="2" t="s">
        <v>129</v>
      </c>
      <c r="I1163" s="2" t="s">
        <v>33</v>
      </c>
      <c r="J1163" s="2" t="s">
        <v>60</v>
      </c>
      <c r="K1163" s="2" t="s">
        <v>33</v>
      </c>
      <c r="L1163">
        <v>7045.67</v>
      </c>
      <c r="M1163">
        <v>5</v>
      </c>
      <c r="N1163">
        <v>25.247</v>
      </c>
      <c r="O1163">
        <v>6400835</v>
      </c>
      <c r="P1163" s="2" t="s">
        <v>130</v>
      </c>
      <c r="Q1163" s="2" t="s">
        <v>131</v>
      </c>
      <c r="R1163" s="2" t="s">
        <v>30</v>
      </c>
      <c r="S1163">
        <v>1</v>
      </c>
      <c r="T1163" s="1">
        <v>43454</v>
      </c>
      <c r="U1163" s="1">
        <v>43460</v>
      </c>
      <c r="V1163" s="2"/>
      <c r="W1163" s="1">
        <f>fNotasFiscais[[#This Row],[Data da Coleta]]+fNotasFiscais[[#This Row],[Prazo Contratado]]</f>
        <v>43455</v>
      </c>
      <c r="X1163" s="3">
        <f>IF(fNotasFiscais[[#This Row],[Data da Entrega]]&gt;fNotasFiscais[[#This Row],[Data Contratada]],0,1)</f>
        <v>0</v>
      </c>
      <c r="Y1163" s="3">
        <f>IF(fNotasFiscais[[#This Row],[Ocorrência]]="",1,0)</f>
        <v>1</v>
      </c>
      <c r="Z1163" s="2">
        <f>fNotasFiscais[[#This Row],[On Time]]*fNotasFiscais[[#This Row],[In Full]]</f>
        <v>0</v>
      </c>
      <c r="AA1163">
        <f>IF(fNotasFiscais[[#This Row],[Nota Fiscal]]&lt;&gt;"",1,0)</f>
        <v>1</v>
      </c>
    </row>
    <row r="1164" spans="1:27" x14ac:dyDescent="0.25">
      <c r="A1164" s="1">
        <v>43454</v>
      </c>
      <c r="B1164">
        <v>11573</v>
      </c>
      <c r="C1164" s="2" t="s">
        <v>43</v>
      </c>
      <c r="D1164" s="2" t="s">
        <v>44</v>
      </c>
      <c r="E1164" s="2" t="s">
        <v>45</v>
      </c>
      <c r="F1164">
        <v>4064</v>
      </c>
      <c r="G1164" s="2" t="s">
        <v>128</v>
      </c>
      <c r="H1164" s="2" t="s">
        <v>129</v>
      </c>
      <c r="I1164" s="2" t="s">
        <v>33</v>
      </c>
      <c r="J1164" s="2" t="s">
        <v>60</v>
      </c>
      <c r="K1164" s="2" t="s">
        <v>33</v>
      </c>
      <c r="L1164">
        <v>3649.35</v>
      </c>
      <c r="M1164">
        <v>3</v>
      </c>
      <c r="N1164">
        <v>2.0110000000000001</v>
      </c>
      <c r="O1164">
        <v>6400835</v>
      </c>
      <c r="P1164" s="2" t="s">
        <v>130</v>
      </c>
      <c r="Q1164" s="2" t="s">
        <v>131</v>
      </c>
      <c r="R1164" s="2" t="s">
        <v>30</v>
      </c>
      <c r="S1164">
        <v>10</v>
      </c>
      <c r="T1164" s="1">
        <v>43454</v>
      </c>
      <c r="U1164" s="1">
        <v>43461</v>
      </c>
      <c r="V1164" s="2"/>
      <c r="W1164" s="1">
        <f>fNotasFiscais[[#This Row],[Data da Coleta]]+fNotasFiscais[[#This Row],[Prazo Contratado]]</f>
        <v>43464</v>
      </c>
      <c r="X1164" s="3">
        <f>IF(fNotasFiscais[[#This Row],[Data da Entrega]]&gt;fNotasFiscais[[#This Row],[Data Contratada]],0,1)</f>
        <v>1</v>
      </c>
      <c r="Y1164" s="3">
        <f>IF(fNotasFiscais[[#This Row],[Ocorrência]]="",1,0)</f>
        <v>1</v>
      </c>
      <c r="Z1164" s="2">
        <f>fNotasFiscais[[#This Row],[On Time]]*fNotasFiscais[[#This Row],[In Full]]</f>
        <v>1</v>
      </c>
      <c r="AA1164">
        <f>IF(fNotasFiscais[[#This Row],[Nota Fiscal]]&lt;&gt;"",1,0)</f>
        <v>1</v>
      </c>
    </row>
    <row r="1165" spans="1:27" x14ac:dyDescent="0.25">
      <c r="A1165" s="1">
        <v>43454</v>
      </c>
      <c r="B1165">
        <v>11574</v>
      </c>
      <c r="C1165" s="2" t="s">
        <v>40</v>
      </c>
      <c r="D1165" s="2" t="s">
        <v>41</v>
      </c>
      <c r="E1165" s="2" t="s">
        <v>33</v>
      </c>
      <c r="F1165">
        <v>4064</v>
      </c>
      <c r="G1165" s="2" t="s">
        <v>128</v>
      </c>
      <c r="H1165" s="2" t="s">
        <v>129</v>
      </c>
      <c r="I1165" s="2" t="s">
        <v>33</v>
      </c>
      <c r="J1165" s="2" t="s">
        <v>60</v>
      </c>
      <c r="K1165" s="2" t="s">
        <v>33</v>
      </c>
      <c r="L1165">
        <v>187.3</v>
      </c>
      <c r="M1165">
        <v>2</v>
      </c>
      <c r="N1165">
        <v>0.82899999999999996</v>
      </c>
      <c r="O1165">
        <v>6400835</v>
      </c>
      <c r="P1165" s="2" t="s">
        <v>130</v>
      </c>
      <c r="Q1165" s="2" t="s">
        <v>131</v>
      </c>
      <c r="R1165" s="2" t="s">
        <v>30</v>
      </c>
      <c r="S1165">
        <v>12</v>
      </c>
      <c r="T1165" s="1">
        <v>43454</v>
      </c>
      <c r="U1165" s="1">
        <v>43460</v>
      </c>
      <c r="V1165" s="2"/>
      <c r="W1165" s="1">
        <f>fNotasFiscais[[#This Row],[Data da Coleta]]+fNotasFiscais[[#This Row],[Prazo Contratado]]</f>
        <v>43466</v>
      </c>
      <c r="X1165" s="3">
        <f>IF(fNotasFiscais[[#This Row],[Data da Entrega]]&gt;fNotasFiscais[[#This Row],[Data Contratada]],0,1)</f>
        <v>1</v>
      </c>
      <c r="Y1165" s="3">
        <f>IF(fNotasFiscais[[#This Row],[Ocorrência]]="",1,0)</f>
        <v>1</v>
      </c>
      <c r="Z1165" s="2">
        <f>fNotasFiscais[[#This Row],[On Time]]*fNotasFiscais[[#This Row],[In Full]]</f>
        <v>1</v>
      </c>
      <c r="AA1165">
        <f>IF(fNotasFiscais[[#This Row],[Nota Fiscal]]&lt;&gt;"",1,0)</f>
        <v>1</v>
      </c>
    </row>
    <row r="1166" spans="1:27" x14ac:dyDescent="0.25">
      <c r="A1166" s="1">
        <v>43454</v>
      </c>
      <c r="B1166">
        <v>11575</v>
      </c>
      <c r="C1166" s="2" t="s">
        <v>52</v>
      </c>
      <c r="D1166" s="2" t="s">
        <v>53</v>
      </c>
      <c r="E1166" s="2" t="s">
        <v>33</v>
      </c>
      <c r="F1166">
        <v>4035</v>
      </c>
      <c r="G1166" s="2" t="s">
        <v>111</v>
      </c>
      <c r="H1166" s="2" t="s">
        <v>47</v>
      </c>
      <c r="I1166" s="2" t="s">
        <v>48</v>
      </c>
      <c r="J1166" s="2" t="s">
        <v>49</v>
      </c>
      <c r="K1166" s="2" t="s">
        <v>48</v>
      </c>
      <c r="L1166">
        <v>84.09</v>
      </c>
      <c r="M1166">
        <v>1</v>
      </c>
      <c r="N1166">
        <v>1.1200000000000001</v>
      </c>
      <c r="O1166">
        <v>6100231</v>
      </c>
      <c r="P1166" s="2" t="s">
        <v>50</v>
      </c>
      <c r="Q1166" s="2" t="s">
        <v>51</v>
      </c>
      <c r="R1166" s="2" t="s">
        <v>30</v>
      </c>
      <c r="S1166">
        <v>9</v>
      </c>
      <c r="T1166" s="1">
        <v>43454</v>
      </c>
      <c r="U1166" s="1">
        <v>43464</v>
      </c>
      <c r="V1166" s="2" t="s">
        <v>57</v>
      </c>
      <c r="W1166" s="1">
        <f>fNotasFiscais[[#This Row],[Data da Coleta]]+fNotasFiscais[[#This Row],[Prazo Contratado]]</f>
        <v>43463</v>
      </c>
      <c r="X1166" s="3">
        <f>IF(fNotasFiscais[[#This Row],[Data da Entrega]]&gt;fNotasFiscais[[#This Row],[Data Contratada]],0,1)</f>
        <v>0</v>
      </c>
      <c r="Y1166" s="3">
        <f>IF(fNotasFiscais[[#This Row],[Ocorrência]]="",1,0)</f>
        <v>0</v>
      </c>
      <c r="Z1166" s="2">
        <f>fNotasFiscais[[#This Row],[On Time]]*fNotasFiscais[[#This Row],[In Full]]</f>
        <v>0</v>
      </c>
      <c r="AA1166">
        <f>IF(fNotasFiscais[[#This Row],[Nota Fiscal]]&lt;&gt;"",1,0)</f>
        <v>1</v>
      </c>
    </row>
    <row r="1167" spans="1:27" x14ac:dyDescent="0.25">
      <c r="A1167" s="1">
        <v>43454</v>
      </c>
      <c r="B1167">
        <v>11576</v>
      </c>
      <c r="C1167" s="2" t="s">
        <v>31</v>
      </c>
      <c r="D1167" s="2" t="s">
        <v>32</v>
      </c>
      <c r="E1167" s="2" t="s">
        <v>33</v>
      </c>
      <c r="F1167">
        <v>4064</v>
      </c>
      <c r="G1167" s="2" t="s">
        <v>128</v>
      </c>
      <c r="H1167" s="2" t="s">
        <v>129</v>
      </c>
      <c r="I1167" s="2" t="s">
        <v>33</v>
      </c>
      <c r="J1167" s="2" t="s">
        <v>60</v>
      </c>
      <c r="K1167" s="2" t="s">
        <v>33</v>
      </c>
      <c r="L1167">
        <v>23246.33</v>
      </c>
      <c r="M1167">
        <v>9</v>
      </c>
      <c r="N1167">
        <v>179.51900000000001</v>
      </c>
      <c r="O1167">
        <v>6400835</v>
      </c>
      <c r="P1167" s="2" t="s">
        <v>130</v>
      </c>
      <c r="Q1167" s="2" t="s">
        <v>131</v>
      </c>
      <c r="R1167" s="2" t="s">
        <v>30</v>
      </c>
      <c r="S1167">
        <v>7</v>
      </c>
      <c r="T1167" s="1">
        <v>43454</v>
      </c>
      <c r="U1167" s="1">
        <v>43461</v>
      </c>
      <c r="V1167" s="2"/>
      <c r="W1167" s="1">
        <f>fNotasFiscais[[#This Row],[Data da Coleta]]+fNotasFiscais[[#This Row],[Prazo Contratado]]</f>
        <v>43461</v>
      </c>
      <c r="X1167" s="3">
        <f>IF(fNotasFiscais[[#This Row],[Data da Entrega]]&gt;fNotasFiscais[[#This Row],[Data Contratada]],0,1)</f>
        <v>1</v>
      </c>
      <c r="Y1167" s="3">
        <f>IF(fNotasFiscais[[#This Row],[Ocorrência]]="",1,0)</f>
        <v>1</v>
      </c>
      <c r="Z1167" s="2">
        <f>fNotasFiscais[[#This Row],[On Time]]*fNotasFiscais[[#This Row],[In Full]]</f>
        <v>1</v>
      </c>
      <c r="AA1167">
        <f>IF(fNotasFiscais[[#This Row],[Nota Fiscal]]&lt;&gt;"",1,0)</f>
        <v>1</v>
      </c>
    </row>
    <row r="1168" spans="1:27" x14ac:dyDescent="0.25">
      <c r="A1168" s="1">
        <v>43454</v>
      </c>
      <c r="B1168">
        <v>11577</v>
      </c>
      <c r="C1168" s="2" t="s">
        <v>34</v>
      </c>
      <c r="D1168" s="2" t="s">
        <v>35</v>
      </c>
      <c r="E1168" s="2" t="s">
        <v>36</v>
      </c>
      <c r="F1168">
        <v>4064</v>
      </c>
      <c r="G1168" s="2" t="s">
        <v>128</v>
      </c>
      <c r="H1168" s="2" t="s">
        <v>129</v>
      </c>
      <c r="I1168" s="2" t="s">
        <v>33</v>
      </c>
      <c r="J1168" s="2" t="s">
        <v>60</v>
      </c>
      <c r="K1168" s="2" t="s">
        <v>33</v>
      </c>
      <c r="L1168">
        <v>266.8</v>
      </c>
      <c r="M1168">
        <v>1</v>
      </c>
      <c r="N1168">
        <v>5.5E-2</v>
      </c>
      <c r="O1168">
        <v>6400835</v>
      </c>
      <c r="P1168" s="2" t="s">
        <v>130</v>
      </c>
      <c r="Q1168" s="2" t="s">
        <v>131</v>
      </c>
      <c r="R1168" s="2" t="s">
        <v>30</v>
      </c>
      <c r="S1168">
        <v>6</v>
      </c>
      <c r="T1168" s="1">
        <v>43454</v>
      </c>
      <c r="U1168" s="1">
        <v>43462</v>
      </c>
      <c r="V1168" s="2"/>
      <c r="W1168" s="1">
        <f>fNotasFiscais[[#This Row],[Data da Coleta]]+fNotasFiscais[[#This Row],[Prazo Contratado]]</f>
        <v>43460</v>
      </c>
      <c r="X1168" s="3">
        <f>IF(fNotasFiscais[[#This Row],[Data da Entrega]]&gt;fNotasFiscais[[#This Row],[Data Contratada]],0,1)</f>
        <v>0</v>
      </c>
      <c r="Y1168" s="3">
        <f>IF(fNotasFiscais[[#This Row],[Ocorrência]]="",1,0)</f>
        <v>1</v>
      </c>
      <c r="Z1168" s="2">
        <f>fNotasFiscais[[#This Row],[On Time]]*fNotasFiscais[[#This Row],[In Full]]</f>
        <v>0</v>
      </c>
      <c r="AA1168">
        <f>IF(fNotasFiscais[[#This Row],[Nota Fiscal]]&lt;&gt;"",1,0)</f>
        <v>1</v>
      </c>
    </row>
    <row r="1169" spans="1:27" x14ac:dyDescent="0.25">
      <c r="A1169" s="1">
        <v>43454</v>
      </c>
      <c r="B1169">
        <v>11578</v>
      </c>
      <c r="C1169" s="2" t="s">
        <v>52</v>
      </c>
      <c r="D1169" s="2" t="s">
        <v>53</v>
      </c>
      <c r="E1169" s="2" t="s">
        <v>33</v>
      </c>
      <c r="F1169">
        <v>4064</v>
      </c>
      <c r="G1169" s="2" t="s">
        <v>128</v>
      </c>
      <c r="H1169" s="2" t="s">
        <v>129</v>
      </c>
      <c r="I1169" s="2" t="s">
        <v>33</v>
      </c>
      <c r="J1169" s="2" t="s">
        <v>60</v>
      </c>
      <c r="K1169" s="2" t="s">
        <v>33</v>
      </c>
      <c r="L1169">
        <v>662.04</v>
      </c>
      <c r="M1169">
        <v>1</v>
      </c>
      <c r="N1169">
        <v>2.202</v>
      </c>
      <c r="O1169">
        <v>6400835</v>
      </c>
      <c r="P1169" s="2" t="s">
        <v>130</v>
      </c>
      <c r="Q1169" s="2" t="s">
        <v>131</v>
      </c>
      <c r="R1169" s="2" t="s">
        <v>30</v>
      </c>
      <c r="S1169">
        <v>11</v>
      </c>
      <c r="T1169" s="1">
        <v>43454</v>
      </c>
      <c r="U1169" s="1">
        <v>43456</v>
      </c>
      <c r="V1169" s="2"/>
      <c r="W1169" s="1">
        <f>fNotasFiscais[[#This Row],[Data da Coleta]]+fNotasFiscais[[#This Row],[Prazo Contratado]]</f>
        <v>43465</v>
      </c>
      <c r="X1169" s="3">
        <f>IF(fNotasFiscais[[#This Row],[Data da Entrega]]&gt;fNotasFiscais[[#This Row],[Data Contratada]],0,1)</f>
        <v>1</v>
      </c>
      <c r="Y1169" s="3">
        <f>IF(fNotasFiscais[[#This Row],[Ocorrência]]="",1,0)</f>
        <v>1</v>
      </c>
      <c r="Z1169" s="2">
        <f>fNotasFiscais[[#This Row],[On Time]]*fNotasFiscais[[#This Row],[In Full]]</f>
        <v>1</v>
      </c>
      <c r="AA1169">
        <f>IF(fNotasFiscais[[#This Row],[Nota Fiscal]]&lt;&gt;"",1,0)</f>
        <v>1</v>
      </c>
    </row>
    <row r="1170" spans="1:27" x14ac:dyDescent="0.25">
      <c r="A1170" s="1">
        <v>43454</v>
      </c>
      <c r="B1170">
        <v>11579</v>
      </c>
      <c r="C1170" s="2" t="s">
        <v>43</v>
      </c>
      <c r="D1170" s="2" t="s">
        <v>44</v>
      </c>
      <c r="E1170" s="2" t="s">
        <v>45</v>
      </c>
      <c r="F1170">
        <v>4022</v>
      </c>
      <c r="G1170" s="2" t="s">
        <v>86</v>
      </c>
      <c r="H1170" s="2" t="s">
        <v>87</v>
      </c>
      <c r="I1170" s="2" t="s">
        <v>27</v>
      </c>
      <c r="J1170" s="2" t="s">
        <v>28</v>
      </c>
      <c r="K1170" s="2" t="s">
        <v>27</v>
      </c>
      <c r="L1170">
        <v>1355.78</v>
      </c>
      <c r="M1170">
        <v>2</v>
      </c>
      <c r="N1170">
        <v>14.757999999999999</v>
      </c>
      <c r="O1170">
        <v>6500948</v>
      </c>
      <c r="P1170" s="2" t="s">
        <v>29</v>
      </c>
      <c r="Q1170" s="2" t="s">
        <v>23</v>
      </c>
      <c r="R1170" s="2" t="s">
        <v>30</v>
      </c>
      <c r="S1170">
        <v>2</v>
      </c>
      <c r="T1170" s="1">
        <v>43454</v>
      </c>
      <c r="U1170" s="1">
        <v>43463</v>
      </c>
      <c r="V1170" s="2"/>
      <c r="W1170" s="1">
        <f>fNotasFiscais[[#This Row],[Data da Coleta]]+fNotasFiscais[[#This Row],[Prazo Contratado]]</f>
        <v>43456</v>
      </c>
      <c r="X1170" s="3">
        <f>IF(fNotasFiscais[[#This Row],[Data da Entrega]]&gt;fNotasFiscais[[#This Row],[Data Contratada]],0,1)</f>
        <v>0</v>
      </c>
      <c r="Y1170" s="3">
        <f>IF(fNotasFiscais[[#This Row],[Ocorrência]]="",1,0)</f>
        <v>1</v>
      </c>
      <c r="Z1170" s="2">
        <f>fNotasFiscais[[#This Row],[On Time]]*fNotasFiscais[[#This Row],[In Full]]</f>
        <v>0</v>
      </c>
      <c r="AA1170">
        <f>IF(fNotasFiscais[[#This Row],[Nota Fiscal]]&lt;&gt;"",1,0)</f>
        <v>1</v>
      </c>
    </row>
    <row r="1171" spans="1:27" x14ac:dyDescent="0.25">
      <c r="A1171" s="1">
        <v>43454</v>
      </c>
      <c r="B1171">
        <v>11580</v>
      </c>
      <c r="C1171" s="2" t="s">
        <v>22</v>
      </c>
      <c r="D1171" s="2" t="s">
        <v>23</v>
      </c>
      <c r="E1171" s="2" t="s">
        <v>24</v>
      </c>
      <c r="F1171">
        <v>4035</v>
      </c>
      <c r="G1171" s="2" t="s">
        <v>111</v>
      </c>
      <c r="H1171" s="2" t="s">
        <v>47</v>
      </c>
      <c r="I1171" s="2" t="s">
        <v>48</v>
      </c>
      <c r="J1171" s="2" t="s">
        <v>49</v>
      </c>
      <c r="K1171" s="2" t="s">
        <v>48</v>
      </c>
      <c r="L1171">
        <v>454.58</v>
      </c>
      <c r="M1171">
        <v>1</v>
      </c>
      <c r="N1171">
        <v>1.1200000000000001</v>
      </c>
      <c r="O1171">
        <v>6100231</v>
      </c>
      <c r="P1171" s="2" t="s">
        <v>50</v>
      </c>
      <c r="Q1171" s="2" t="s">
        <v>51</v>
      </c>
      <c r="R1171" s="2" t="s">
        <v>30</v>
      </c>
      <c r="S1171">
        <v>3</v>
      </c>
      <c r="T1171" s="1">
        <v>43454</v>
      </c>
      <c r="U1171" s="1">
        <v>43464</v>
      </c>
      <c r="V1171" s="2"/>
      <c r="W1171" s="1">
        <f>fNotasFiscais[[#This Row],[Data da Coleta]]+fNotasFiscais[[#This Row],[Prazo Contratado]]</f>
        <v>43457</v>
      </c>
      <c r="X1171" s="3">
        <f>IF(fNotasFiscais[[#This Row],[Data da Entrega]]&gt;fNotasFiscais[[#This Row],[Data Contratada]],0,1)</f>
        <v>0</v>
      </c>
      <c r="Y1171" s="3">
        <f>IF(fNotasFiscais[[#This Row],[Ocorrência]]="",1,0)</f>
        <v>1</v>
      </c>
      <c r="Z1171" s="2">
        <f>fNotasFiscais[[#This Row],[On Time]]*fNotasFiscais[[#This Row],[In Full]]</f>
        <v>0</v>
      </c>
      <c r="AA1171">
        <f>IF(fNotasFiscais[[#This Row],[Nota Fiscal]]&lt;&gt;"",1,0)</f>
        <v>1</v>
      </c>
    </row>
    <row r="1172" spans="1:27" x14ac:dyDescent="0.25">
      <c r="A1172" s="1">
        <v>43454</v>
      </c>
      <c r="B1172">
        <v>11581</v>
      </c>
      <c r="C1172" s="2" t="s">
        <v>31</v>
      </c>
      <c r="D1172" s="2" t="s">
        <v>32</v>
      </c>
      <c r="E1172" s="2" t="s">
        <v>33</v>
      </c>
      <c r="F1172">
        <v>4064</v>
      </c>
      <c r="G1172" s="2" t="s">
        <v>128</v>
      </c>
      <c r="H1172" s="2" t="s">
        <v>129</v>
      </c>
      <c r="I1172" s="2" t="s">
        <v>33</v>
      </c>
      <c r="J1172" s="2" t="s">
        <v>60</v>
      </c>
      <c r="K1172" s="2" t="s">
        <v>33</v>
      </c>
      <c r="L1172">
        <v>27.62</v>
      </c>
      <c r="M1172">
        <v>1</v>
      </c>
      <c r="N1172">
        <v>1.0999999999999999E-2</v>
      </c>
      <c r="O1172">
        <v>6400835</v>
      </c>
      <c r="P1172" s="2" t="s">
        <v>130</v>
      </c>
      <c r="Q1172" s="2" t="s">
        <v>131</v>
      </c>
      <c r="R1172" s="2" t="s">
        <v>30</v>
      </c>
      <c r="S1172">
        <v>1</v>
      </c>
      <c r="T1172" s="1">
        <v>43454</v>
      </c>
      <c r="U1172" s="1">
        <v>43455</v>
      </c>
      <c r="V1172" s="2"/>
      <c r="W1172" s="1">
        <f>fNotasFiscais[[#This Row],[Data da Coleta]]+fNotasFiscais[[#This Row],[Prazo Contratado]]</f>
        <v>43455</v>
      </c>
      <c r="X1172" s="3">
        <f>IF(fNotasFiscais[[#This Row],[Data da Entrega]]&gt;fNotasFiscais[[#This Row],[Data Contratada]],0,1)</f>
        <v>1</v>
      </c>
      <c r="Y1172" s="3">
        <f>IF(fNotasFiscais[[#This Row],[Ocorrência]]="",1,0)</f>
        <v>1</v>
      </c>
      <c r="Z1172" s="2">
        <f>fNotasFiscais[[#This Row],[On Time]]*fNotasFiscais[[#This Row],[In Full]]</f>
        <v>1</v>
      </c>
      <c r="AA1172">
        <f>IF(fNotasFiscais[[#This Row],[Nota Fiscal]]&lt;&gt;"",1,0)</f>
        <v>1</v>
      </c>
    </row>
    <row r="1173" spans="1:27" x14ac:dyDescent="0.25">
      <c r="A1173" s="1">
        <v>43454</v>
      </c>
      <c r="B1173">
        <v>11582</v>
      </c>
      <c r="C1173" s="2" t="s">
        <v>40</v>
      </c>
      <c r="D1173" s="2" t="s">
        <v>41</v>
      </c>
      <c r="E1173" s="2" t="s">
        <v>33</v>
      </c>
      <c r="F1173">
        <v>4064</v>
      </c>
      <c r="G1173" s="2" t="s">
        <v>128</v>
      </c>
      <c r="H1173" s="2" t="s">
        <v>129</v>
      </c>
      <c r="I1173" s="2" t="s">
        <v>33</v>
      </c>
      <c r="J1173" s="2" t="s">
        <v>60</v>
      </c>
      <c r="K1173" s="2" t="s">
        <v>33</v>
      </c>
      <c r="L1173">
        <v>5.32</v>
      </c>
      <c r="M1173">
        <v>1</v>
      </c>
      <c r="N1173">
        <v>0.41599999999999998</v>
      </c>
      <c r="O1173">
        <v>6400835</v>
      </c>
      <c r="P1173" s="2" t="s">
        <v>130</v>
      </c>
      <c r="Q1173" s="2" t="s">
        <v>131</v>
      </c>
      <c r="R1173" s="2" t="s">
        <v>30</v>
      </c>
      <c r="S1173">
        <v>6</v>
      </c>
      <c r="T1173" s="1">
        <v>43454</v>
      </c>
      <c r="U1173" s="1">
        <v>43455</v>
      </c>
      <c r="V1173" s="2" t="s">
        <v>57</v>
      </c>
      <c r="W1173" s="1">
        <f>fNotasFiscais[[#This Row],[Data da Coleta]]+fNotasFiscais[[#This Row],[Prazo Contratado]]</f>
        <v>43460</v>
      </c>
      <c r="X1173" s="3">
        <f>IF(fNotasFiscais[[#This Row],[Data da Entrega]]&gt;fNotasFiscais[[#This Row],[Data Contratada]],0,1)</f>
        <v>1</v>
      </c>
      <c r="Y1173" s="3">
        <f>IF(fNotasFiscais[[#This Row],[Ocorrência]]="",1,0)</f>
        <v>0</v>
      </c>
      <c r="Z1173" s="2">
        <f>fNotasFiscais[[#This Row],[On Time]]*fNotasFiscais[[#This Row],[In Full]]</f>
        <v>0</v>
      </c>
      <c r="AA1173">
        <f>IF(fNotasFiscais[[#This Row],[Nota Fiscal]]&lt;&gt;"",1,0)</f>
        <v>1</v>
      </c>
    </row>
    <row r="1174" spans="1:27" x14ac:dyDescent="0.25">
      <c r="A1174" s="1">
        <v>43454</v>
      </c>
      <c r="B1174">
        <v>11583</v>
      </c>
      <c r="C1174" s="2" t="s">
        <v>52</v>
      </c>
      <c r="D1174" s="2" t="s">
        <v>53</v>
      </c>
      <c r="E1174" s="2" t="s">
        <v>33</v>
      </c>
      <c r="F1174">
        <v>4064</v>
      </c>
      <c r="G1174" s="2" t="s">
        <v>128</v>
      </c>
      <c r="H1174" s="2" t="s">
        <v>129</v>
      </c>
      <c r="I1174" s="2" t="s">
        <v>33</v>
      </c>
      <c r="J1174" s="2" t="s">
        <v>60</v>
      </c>
      <c r="K1174" s="2" t="s">
        <v>33</v>
      </c>
      <c r="L1174">
        <v>18687.28</v>
      </c>
      <c r="M1174">
        <v>9</v>
      </c>
      <c r="N1174">
        <v>118.68899999999999</v>
      </c>
      <c r="O1174">
        <v>6400835</v>
      </c>
      <c r="P1174" s="2" t="s">
        <v>130</v>
      </c>
      <c r="Q1174" s="2" t="s">
        <v>131</v>
      </c>
      <c r="R1174" s="2" t="s">
        <v>30</v>
      </c>
      <c r="S1174">
        <v>3</v>
      </c>
      <c r="T1174" s="1">
        <v>43454</v>
      </c>
      <c r="U1174" s="1">
        <v>43456</v>
      </c>
      <c r="V1174" s="2"/>
      <c r="W1174" s="1">
        <f>fNotasFiscais[[#This Row],[Data da Coleta]]+fNotasFiscais[[#This Row],[Prazo Contratado]]</f>
        <v>43457</v>
      </c>
      <c r="X1174" s="3">
        <f>IF(fNotasFiscais[[#This Row],[Data da Entrega]]&gt;fNotasFiscais[[#This Row],[Data Contratada]],0,1)</f>
        <v>1</v>
      </c>
      <c r="Y1174" s="3">
        <f>IF(fNotasFiscais[[#This Row],[Ocorrência]]="",1,0)</f>
        <v>1</v>
      </c>
      <c r="Z1174" s="2">
        <f>fNotasFiscais[[#This Row],[On Time]]*fNotasFiscais[[#This Row],[In Full]]</f>
        <v>1</v>
      </c>
      <c r="AA1174">
        <f>IF(fNotasFiscais[[#This Row],[Nota Fiscal]]&lt;&gt;"",1,0)</f>
        <v>1</v>
      </c>
    </row>
    <row r="1175" spans="1:27" x14ac:dyDescent="0.25">
      <c r="A1175" s="1">
        <v>43454</v>
      </c>
      <c r="B1175">
        <v>11584</v>
      </c>
      <c r="C1175" s="2" t="s">
        <v>52</v>
      </c>
      <c r="D1175" s="2" t="s">
        <v>53</v>
      </c>
      <c r="E1175" s="2" t="s">
        <v>33</v>
      </c>
      <c r="F1175">
        <v>4035</v>
      </c>
      <c r="G1175" s="2" t="s">
        <v>111</v>
      </c>
      <c r="H1175" s="2" t="s">
        <v>47</v>
      </c>
      <c r="I1175" s="2" t="s">
        <v>48</v>
      </c>
      <c r="J1175" s="2" t="s">
        <v>49</v>
      </c>
      <c r="K1175" s="2" t="s">
        <v>48</v>
      </c>
      <c r="L1175">
        <v>474</v>
      </c>
      <c r="M1175">
        <v>2</v>
      </c>
      <c r="N1175">
        <v>1.087</v>
      </c>
      <c r="O1175">
        <v>6100231</v>
      </c>
      <c r="P1175" s="2" t="s">
        <v>50</v>
      </c>
      <c r="Q1175" s="2" t="s">
        <v>51</v>
      </c>
      <c r="R1175" s="2" t="s">
        <v>30</v>
      </c>
      <c r="S1175">
        <v>3</v>
      </c>
      <c r="T1175" s="1">
        <v>43454</v>
      </c>
      <c r="U1175" s="1">
        <v>43464</v>
      </c>
      <c r="V1175" s="2"/>
      <c r="W1175" s="1">
        <f>fNotasFiscais[[#This Row],[Data da Coleta]]+fNotasFiscais[[#This Row],[Prazo Contratado]]</f>
        <v>43457</v>
      </c>
      <c r="X1175" s="3">
        <f>IF(fNotasFiscais[[#This Row],[Data da Entrega]]&gt;fNotasFiscais[[#This Row],[Data Contratada]],0,1)</f>
        <v>0</v>
      </c>
      <c r="Y1175" s="3">
        <f>IF(fNotasFiscais[[#This Row],[Ocorrência]]="",1,0)</f>
        <v>1</v>
      </c>
      <c r="Z1175" s="2">
        <f>fNotasFiscais[[#This Row],[On Time]]*fNotasFiscais[[#This Row],[In Full]]</f>
        <v>0</v>
      </c>
      <c r="AA1175">
        <f>IF(fNotasFiscais[[#This Row],[Nota Fiscal]]&lt;&gt;"",1,0)</f>
        <v>1</v>
      </c>
    </row>
    <row r="1176" spans="1:27" x14ac:dyDescent="0.25">
      <c r="A1176" s="1">
        <v>43454</v>
      </c>
      <c r="B1176">
        <v>11585</v>
      </c>
      <c r="C1176" s="2" t="s">
        <v>34</v>
      </c>
      <c r="D1176" s="2" t="s">
        <v>35</v>
      </c>
      <c r="E1176" s="2" t="s">
        <v>36</v>
      </c>
      <c r="F1176">
        <v>4064</v>
      </c>
      <c r="G1176" s="2" t="s">
        <v>128</v>
      </c>
      <c r="H1176" s="2" t="s">
        <v>129</v>
      </c>
      <c r="I1176" s="2" t="s">
        <v>33</v>
      </c>
      <c r="J1176" s="2" t="s">
        <v>60</v>
      </c>
      <c r="K1176" s="2" t="s">
        <v>33</v>
      </c>
      <c r="L1176">
        <v>239.96</v>
      </c>
      <c r="M1176">
        <v>2</v>
      </c>
      <c r="N1176">
        <v>0.20899999999999999</v>
      </c>
      <c r="O1176">
        <v>6400835</v>
      </c>
      <c r="P1176" s="2" t="s">
        <v>130</v>
      </c>
      <c r="Q1176" s="2" t="s">
        <v>131</v>
      </c>
      <c r="R1176" s="2" t="s">
        <v>30</v>
      </c>
      <c r="S1176">
        <v>9</v>
      </c>
      <c r="T1176" s="1">
        <v>43454</v>
      </c>
      <c r="U1176" s="1">
        <v>43460</v>
      </c>
      <c r="V1176" s="2" t="s">
        <v>57</v>
      </c>
      <c r="W1176" s="1">
        <f>fNotasFiscais[[#This Row],[Data da Coleta]]+fNotasFiscais[[#This Row],[Prazo Contratado]]</f>
        <v>43463</v>
      </c>
      <c r="X1176" s="3">
        <f>IF(fNotasFiscais[[#This Row],[Data da Entrega]]&gt;fNotasFiscais[[#This Row],[Data Contratada]],0,1)</f>
        <v>1</v>
      </c>
      <c r="Y1176" s="3">
        <f>IF(fNotasFiscais[[#This Row],[Ocorrência]]="",1,0)</f>
        <v>0</v>
      </c>
      <c r="Z1176" s="2">
        <f>fNotasFiscais[[#This Row],[On Time]]*fNotasFiscais[[#This Row],[In Full]]</f>
        <v>0</v>
      </c>
      <c r="AA1176">
        <f>IF(fNotasFiscais[[#This Row],[Nota Fiscal]]&lt;&gt;"",1,0)</f>
        <v>1</v>
      </c>
    </row>
    <row r="1177" spans="1:27" x14ac:dyDescent="0.25">
      <c r="A1177" s="1">
        <v>43454</v>
      </c>
      <c r="B1177">
        <v>11586</v>
      </c>
      <c r="C1177" s="2" t="s">
        <v>31</v>
      </c>
      <c r="D1177" s="2" t="s">
        <v>32</v>
      </c>
      <c r="E1177" s="2" t="s">
        <v>33</v>
      </c>
      <c r="F1177">
        <v>4064</v>
      </c>
      <c r="G1177" s="2" t="s">
        <v>128</v>
      </c>
      <c r="H1177" s="2" t="s">
        <v>129</v>
      </c>
      <c r="I1177" s="2" t="s">
        <v>33</v>
      </c>
      <c r="J1177" s="2" t="s">
        <v>60</v>
      </c>
      <c r="K1177" s="2" t="s">
        <v>33</v>
      </c>
      <c r="L1177">
        <v>238.27</v>
      </c>
      <c r="M1177">
        <v>1</v>
      </c>
      <c r="N1177">
        <v>0.54300000000000004</v>
      </c>
      <c r="O1177">
        <v>6400835</v>
      </c>
      <c r="P1177" s="2" t="s">
        <v>130</v>
      </c>
      <c r="Q1177" s="2" t="s">
        <v>131</v>
      </c>
      <c r="R1177" s="2" t="s">
        <v>30</v>
      </c>
      <c r="S1177">
        <v>4</v>
      </c>
      <c r="T1177" s="1">
        <v>43454</v>
      </c>
      <c r="U1177" s="1">
        <v>43456</v>
      </c>
      <c r="V1177" s="2"/>
      <c r="W1177" s="1">
        <f>fNotasFiscais[[#This Row],[Data da Coleta]]+fNotasFiscais[[#This Row],[Prazo Contratado]]</f>
        <v>43458</v>
      </c>
      <c r="X1177" s="3">
        <f>IF(fNotasFiscais[[#This Row],[Data da Entrega]]&gt;fNotasFiscais[[#This Row],[Data Contratada]],0,1)</f>
        <v>1</v>
      </c>
      <c r="Y1177" s="3">
        <f>IF(fNotasFiscais[[#This Row],[Ocorrência]]="",1,0)</f>
        <v>1</v>
      </c>
      <c r="Z1177" s="2">
        <f>fNotasFiscais[[#This Row],[On Time]]*fNotasFiscais[[#This Row],[In Full]]</f>
        <v>1</v>
      </c>
      <c r="AA1177">
        <f>IF(fNotasFiscais[[#This Row],[Nota Fiscal]]&lt;&gt;"",1,0)</f>
        <v>1</v>
      </c>
    </row>
    <row r="1178" spans="1:27" x14ac:dyDescent="0.25">
      <c r="A1178" s="1">
        <v>43454</v>
      </c>
      <c r="B1178">
        <v>11587</v>
      </c>
      <c r="C1178" s="2" t="s">
        <v>34</v>
      </c>
      <c r="D1178" s="2" t="s">
        <v>35</v>
      </c>
      <c r="E1178" s="2" t="s">
        <v>36</v>
      </c>
      <c r="F1178">
        <v>4064</v>
      </c>
      <c r="G1178" s="2" t="s">
        <v>128</v>
      </c>
      <c r="H1178" s="2" t="s">
        <v>129</v>
      </c>
      <c r="I1178" s="2" t="s">
        <v>33</v>
      </c>
      <c r="J1178" s="2" t="s">
        <v>60</v>
      </c>
      <c r="K1178" s="2" t="s">
        <v>33</v>
      </c>
      <c r="L1178">
        <v>208.69</v>
      </c>
      <c r="M1178">
        <v>1</v>
      </c>
      <c r="N1178">
        <v>0.22</v>
      </c>
      <c r="O1178">
        <v>6400835</v>
      </c>
      <c r="P1178" s="2" t="s">
        <v>130</v>
      </c>
      <c r="Q1178" s="2" t="s">
        <v>131</v>
      </c>
      <c r="R1178" s="2" t="s">
        <v>30</v>
      </c>
      <c r="S1178">
        <v>4</v>
      </c>
      <c r="T1178" s="1">
        <v>43454</v>
      </c>
      <c r="U1178" s="1">
        <v>43460</v>
      </c>
      <c r="V1178" s="2"/>
      <c r="W1178" s="1">
        <f>fNotasFiscais[[#This Row],[Data da Coleta]]+fNotasFiscais[[#This Row],[Prazo Contratado]]</f>
        <v>43458</v>
      </c>
      <c r="X1178" s="3">
        <f>IF(fNotasFiscais[[#This Row],[Data da Entrega]]&gt;fNotasFiscais[[#This Row],[Data Contratada]],0,1)</f>
        <v>0</v>
      </c>
      <c r="Y1178" s="3">
        <f>IF(fNotasFiscais[[#This Row],[Ocorrência]]="",1,0)</f>
        <v>1</v>
      </c>
      <c r="Z1178" s="2">
        <f>fNotasFiscais[[#This Row],[On Time]]*fNotasFiscais[[#This Row],[In Full]]</f>
        <v>0</v>
      </c>
      <c r="AA1178">
        <f>IF(fNotasFiscais[[#This Row],[Nota Fiscal]]&lt;&gt;"",1,0)</f>
        <v>1</v>
      </c>
    </row>
    <row r="1179" spans="1:27" x14ac:dyDescent="0.25">
      <c r="A1179" s="1">
        <v>43455</v>
      </c>
      <c r="B1179">
        <v>11588</v>
      </c>
      <c r="C1179" s="2" t="s">
        <v>40</v>
      </c>
      <c r="D1179" s="2" t="s">
        <v>41</v>
      </c>
      <c r="E1179" s="2" t="s">
        <v>33</v>
      </c>
      <c r="F1179">
        <v>4084</v>
      </c>
      <c r="G1179" s="2" t="s">
        <v>155</v>
      </c>
      <c r="H1179" s="2" t="s">
        <v>149</v>
      </c>
      <c r="I1179" s="2" t="s">
        <v>33</v>
      </c>
      <c r="J1179" s="2" t="s">
        <v>60</v>
      </c>
      <c r="K1179" s="2" t="s">
        <v>33</v>
      </c>
      <c r="L1179">
        <v>9159.06</v>
      </c>
      <c r="M1179">
        <v>5</v>
      </c>
      <c r="N1179">
        <v>70.518000000000001</v>
      </c>
      <c r="O1179">
        <v>6400835</v>
      </c>
      <c r="P1179" s="2" t="s">
        <v>130</v>
      </c>
      <c r="Q1179" s="2" t="s">
        <v>131</v>
      </c>
      <c r="R1179" s="2" t="s">
        <v>30</v>
      </c>
      <c r="S1179">
        <v>5</v>
      </c>
      <c r="T1179" s="1">
        <v>43455</v>
      </c>
      <c r="U1179" s="1">
        <v>43458</v>
      </c>
      <c r="V1179" s="2"/>
      <c r="W1179" s="1">
        <f>fNotasFiscais[[#This Row],[Data da Coleta]]+fNotasFiscais[[#This Row],[Prazo Contratado]]</f>
        <v>43460</v>
      </c>
      <c r="X1179" s="3">
        <f>IF(fNotasFiscais[[#This Row],[Data da Entrega]]&gt;fNotasFiscais[[#This Row],[Data Contratada]],0,1)</f>
        <v>1</v>
      </c>
      <c r="Y1179" s="3">
        <f>IF(fNotasFiscais[[#This Row],[Ocorrência]]="",1,0)</f>
        <v>1</v>
      </c>
      <c r="Z1179" s="2">
        <f>fNotasFiscais[[#This Row],[On Time]]*fNotasFiscais[[#This Row],[In Full]]</f>
        <v>1</v>
      </c>
      <c r="AA1179">
        <f>IF(fNotasFiscais[[#This Row],[Nota Fiscal]]&lt;&gt;"",1,0)</f>
        <v>1</v>
      </c>
    </row>
    <row r="1180" spans="1:27" x14ac:dyDescent="0.25">
      <c r="A1180" s="1">
        <v>43455</v>
      </c>
      <c r="B1180">
        <v>11589</v>
      </c>
      <c r="C1180" s="2" t="s">
        <v>40</v>
      </c>
      <c r="D1180" s="2" t="s">
        <v>41</v>
      </c>
      <c r="E1180" s="2" t="s">
        <v>33</v>
      </c>
      <c r="F1180">
        <v>4133</v>
      </c>
      <c r="G1180" s="2" t="s">
        <v>216</v>
      </c>
      <c r="H1180" s="2" t="s">
        <v>35</v>
      </c>
      <c r="I1180" s="2" t="s">
        <v>36</v>
      </c>
      <c r="J1180" s="2" t="s">
        <v>60</v>
      </c>
      <c r="K1180" s="2" t="s">
        <v>36</v>
      </c>
      <c r="L1180">
        <v>792.67</v>
      </c>
      <c r="M1180">
        <v>1</v>
      </c>
      <c r="N1180">
        <v>1.1200000000000001</v>
      </c>
      <c r="O1180">
        <v>6600879</v>
      </c>
      <c r="P1180" s="2" t="s">
        <v>61</v>
      </c>
      <c r="Q1180" s="2" t="s">
        <v>35</v>
      </c>
      <c r="R1180" s="2" t="s">
        <v>30</v>
      </c>
      <c r="S1180">
        <v>10</v>
      </c>
      <c r="T1180" s="1">
        <v>43455</v>
      </c>
      <c r="U1180" s="1">
        <v>43465</v>
      </c>
      <c r="V1180" s="2" t="s">
        <v>42</v>
      </c>
      <c r="W1180" s="1">
        <f>fNotasFiscais[[#This Row],[Data da Coleta]]+fNotasFiscais[[#This Row],[Prazo Contratado]]</f>
        <v>43465</v>
      </c>
      <c r="X1180" s="3">
        <f>IF(fNotasFiscais[[#This Row],[Data da Entrega]]&gt;fNotasFiscais[[#This Row],[Data Contratada]],0,1)</f>
        <v>1</v>
      </c>
      <c r="Y1180" s="3">
        <f>IF(fNotasFiscais[[#This Row],[Ocorrência]]="",1,0)</f>
        <v>0</v>
      </c>
      <c r="Z1180" s="2">
        <f>fNotasFiscais[[#This Row],[On Time]]*fNotasFiscais[[#This Row],[In Full]]</f>
        <v>0</v>
      </c>
      <c r="AA1180">
        <f>IF(fNotasFiscais[[#This Row],[Nota Fiscal]]&lt;&gt;"",1,0)</f>
        <v>1</v>
      </c>
    </row>
    <row r="1181" spans="1:27" x14ac:dyDescent="0.25">
      <c r="A1181" s="1">
        <v>43455</v>
      </c>
      <c r="B1181">
        <v>11590</v>
      </c>
      <c r="C1181" s="2" t="s">
        <v>34</v>
      </c>
      <c r="D1181" s="2" t="s">
        <v>35</v>
      </c>
      <c r="E1181" s="2" t="s">
        <v>36</v>
      </c>
      <c r="F1181">
        <v>4013</v>
      </c>
      <c r="G1181" s="2" t="s">
        <v>37</v>
      </c>
      <c r="H1181" s="2" t="s">
        <v>38</v>
      </c>
      <c r="I1181" s="2" t="s">
        <v>39</v>
      </c>
      <c r="J1181" s="2" t="s">
        <v>28</v>
      </c>
      <c r="K1181" s="2" t="s">
        <v>39</v>
      </c>
      <c r="L1181">
        <v>244.68</v>
      </c>
      <c r="M1181">
        <v>1</v>
      </c>
      <c r="N1181">
        <v>5.5E-2</v>
      </c>
      <c r="O1181">
        <v>6500948</v>
      </c>
      <c r="P1181" s="2" t="s">
        <v>29</v>
      </c>
      <c r="Q1181" s="2" t="s">
        <v>23</v>
      </c>
      <c r="R1181" s="2" t="s">
        <v>30</v>
      </c>
      <c r="S1181">
        <v>7</v>
      </c>
      <c r="T1181" s="1">
        <v>43455</v>
      </c>
      <c r="U1181" s="1">
        <v>43456</v>
      </c>
      <c r="V1181" s="2"/>
      <c r="W1181" s="1">
        <f>fNotasFiscais[[#This Row],[Data da Coleta]]+fNotasFiscais[[#This Row],[Prazo Contratado]]</f>
        <v>43462</v>
      </c>
      <c r="X1181" s="3">
        <f>IF(fNotasFiscais[[#This Row],[Data da Entrega]]&gt;fNotasFiscais[[#This Row],[Data Contratada]],0,1)</f>
        <v>1</v>
      </c>
      <c r="Y1181" s="3">
        <f>IF(fNotasFiscais[[#This Row],[Ocorrência]]="",1,0)</f>
        <v>1</v>
      </c>
      <c r="Z1181" s="2">
        <f>fNotasFiscais[[#This Row],[On Time]]*fNotasFiscais[[#This Row],[In Full]]</f>
        <v>1</v>
      </c>
      <c r="AA1181">
        <f>IF(fNotasFiscais[[#This Row],[Nota Fiscal]]&lt;&gt;"",1,0)</f>
        <v>1</v>
      </c>
    </row>
    <row r="1182" spans="1:27" x14ac:dyDescent="0.25">
      <c r="A1182" s="1">
        <v>43455</v>
      </c>
      <c r="B1182">
        <v>11591</v>
      </c>
      <c r="C1182" s="2" t="s">
        <v>22</v>
      </c>
      <c r="D1182" s="2" t="s">
        <v>23</v>
      </c>
      <c r="E1182" s="2" t="s">
        <v>24</v>
      </c>
      <c r="F1182">
        <v>4013</v>
      </c>
      <c r="G1182" s="2" t="s">
        <v>37</v>
      </c>
      <c r="H1182" s="2" t="s">
        <v>38</v>
      </c>
      <c r="I1182" s="2" t="s">
        <v>39</v>
      </c>
      <c r="J1182" s="2" t="s">
        <v>28</v>
      </c>
      <c r="K1182" s="2" t="s">
        <v>39</v>
      </c>
      <c r="L1182">
        <v>538.57000000000005</v>
      </c>
      <c r="M1182">
        <v>1</v>
      </c>
      <c r="N1182">
        <v>2.202</v>
      </c>
      <c r="O1182">
        <v>6500948</v>
      </c>
      <c r="P1182" s="2" t="s">
        <v>29</v>
      </c>
      <c r="Q1182" s="2" t="s">
        <v>23</v>
      </c>
      <c r="R1182" s="2" t="s">
        <v>30</v>
      </c>
      <c r="S1182">
        <v>12</v>
      </c>
      <c r="T1182" s="1">
        <v>43455</v>
      </c>
      <c r="U1182" s="1">
        <v>43464</v>
      </c>
      <c r="V1182" s="2"/>
      <c r="W1182" s="1">
        <f>fNotasFiscais[[#This Row],[Data da Coleta]]+fNotasFiscais[[#This Row],[Prazo Contratado]]</f>
        <v>43467</v>
      </c>
      <c r="X1182" s="3">
        <f>IF(fNotasFiscais[[#This Row],[Data da Entrega]]&gt;fNotasFiscais[[#This Row],[Data Contratada]],0,1)</f>
        <v>1</v>
      </c>
      <c r="Y1182" s="3">
        <f>IF(fNotasFiscais[[#This Row],[Ocorrência]]="",1,0)</f>
        <v>1</v>
      </c>
      <c r="Z1182" s="2">
        <f>fNotasFiscais[[#This Row],[On Time]]*fNotasFiscais[[#This Row],[In Full]]</f>
        <v>1</v>
      </c>
      <c r="AA1182">
        <f>IF(fNotasFiscais[[#This Row],[Nota Fiscal]]&lt;&gt;"",1,0)</f>
        <v>1</v>
      </c>
    </row>
    <row r="1183" spans="1:27" x14ac:dyDescent="0.25">
      <c r="A1183" s="1">
        <v>43455</v>
      </c>
      <c r="B1183">
        <v>11592</v>
      </c>
      <c r="C1183" s="2" t="s">
        <v>54</v>
      </c>
      <c r="D1183" s="2" t="s">
        <v>55</v>
      </c>
      <c r="E1183" s="2" t="s">
        <v>56</v>
      </c>
      <c r="F1183">
        <v>4083</v>
      </c>
      <c r="G1183" s="2" t="s">
        <v>154</v>
      </c>
      <c r="H1183" s="2" t="s">
        <v>141</v>
      </c>
      <c r="I1183" s="2" t="s">
        <v>33</v>
      </c>
      <c r="J1183" s="2" t="s">
        <v>60</v>
      </c>
      <c r="K1183" s="2" t="s">
        <v>33</v>
      </c>
      <c r="L1183">
        <v>24.27</v>
      </c>
      <c r="M1183">
        <v>1</v>
      </c>
      <c r="N1183">
        <v>6.0999999999999999E-2</v>
      </c>
      <c r="O1183">
        <v>6400835</v>
      </c>
      <c r="P1183" s="2" t="s">
        <v>130</v>
      </c>
      <c r="Q1183" s="2" t="s">
        <v>131</v>
      </c>
      <c r="R1183" s="2" t="s">
        <v>62</v>
      </c>
      <c r="S1183">
        <v>5</v>
      </c>
      <c r="T1183" s="1">
        <v>43455</v>
      </c>
      <c r="U1183" s="1">
        <v>43456</v>
      </c>
      <c r="V1183" s="2"/>
      <c r="W1183" s="1">
        <f>fNotasFiscais[[#This Row],[Data da Coleta]]+fNotasFiscais[[#This Row],[Prazo Contratado]]</f>
        <v>43460</v>
      </c>
      <c r="X1183" s="3">
        <f>IF(fNotasFiscais[[#This Row],[Data da Entrega]]&gt;fNotasFiscais[[#This Row],[Data Contratada]],0,1)</f>
        <v>1</v>
      </c>
      <c r="Y1183" s="3">
        <f>IF(fNotasFiscais[[#This Row],[Ocorrência]]="",1,0)</f>
        <v>1</v>
      </c>
      <c r="Z1183" s="2">
        <f>fNotasFiscais[[#This Row],[On Time]]*fNotasFiscais[[#This Row],[In Full]]</f>
        <v>1</v>
      </c>
      <c r="AA1183">
        <f>IF(fNotasFiscais[[#This Row],[Nota Fiscal]]&lt;&gt;"",1,0)</f>
        <v>1</v>
      </c>
    </row>
    <row r="1184" spans="1:27" x14ac:dyDescent="0.25">
      <c r="A1184" s="1">
        <v>43455</v>
      </c>
      <c r="B1184">
        <v>11593</v>
      </c>
      <c r="C1184" s="2" t="s">
        <v>34</v>
      </c>
      <c r="D1184" s="2" t="s">
        <v>35</v>
      </c>
      <c r="E1184" s="2" t="s">
        <v>36</v>
      </c>
      <c r="F1184">
        <v>4083</v>
      </c>
      <c r="G1184" s="2" t="s">
        <v>154</v>
      </c>
      <c r="H1184" s="2" t="s">
        <v>141</v>
      </c>
      <c r="I1184" s="2" t="s">
        <v>33</v>
      </c>
      <c r="J1184" s="2" t="s">
        <v>60</v>
      </c>
      <c r="K1184" s="2" t="s">
        <v>33</v>
      </c>
      <c r="L1184">
        <v>468.58</v>
      </c>
      <c r="M1184">
        <v>2</v>
      </c>
      <c r="N1184">
        <v>0.63800000000000001</v>
      </c>
      <c r="O1184">
        <v>6400835</v>
      </c>
      <c r="P1184" s="2" t="s">
        <v>130</v>
      </c>
      <c r="Q1184" s="2" t="s">
        <v>131</v>
      </c>
      <c r="R1184" s="2" t="s">
        <v>30</v>
      </c>
      <c r="S1184">
        <v>2</v>
      </c>
      <c r="T1184" s="1">
        <v>43455</v>
      </c>
      <c r="U1184" s="1">
        <v>43462</v>
      </c>
      <c r="V1184" s="2"/>
      <c r="W1184" s="1">
        <f>fNotasFiscais[[#This Row],[Data da Coleta]]+fNotasFiscais[[#This Row],[Prazo Contratado]]</f>
        <v>43457</v>
      </c>
      <c r="X1184" s="3">
        <f>IF(fNotasFiscais[[#This Row],[Data da Entrega]]&gt;fNotasFiscais[[#This Row],[Data Contratada]],0,1)</f>
        <v>0</v>
      </c>
      <c r="Y1184" s="3">
        <f>IF(fNotasFiscais[[#This Row],[Ocorrência]]="",1,0)</f>
        <v>1</v>
      </c>
      <c r="Z1184" s="2">
        <f>fNotasFiscais[[#This Row],[On Time]]*fNotasFiscais[[#This Row],[In Full]]</f>
        <v>0</v>
      </c>
      <c r="AA1184">
        <f>IF(fNotasFiscais[[#This Row],[Nota Fiscal]]&lt;&gt;"",1,0)</f>
        <v>1</v>
      </c>
    </row>
    <row r="1185" spans="1:27" x14ac:dyDescent="0.25">
      <c r="A1185" s="1">
        <v>43455</v>
      </c>
      <c r="B1185">
        <v>11594</v>
      </c>
      <c r="C1185" s="2" t="s">
        <v>52</v>
      </c>
      <c r="D1185" s="2" t="s">
        <v>53</v>
      </c>
      <c r="E1185" s="2" t="s">
        <v>33</v>
      </c>
      <c r="F1185">
        <v>4083</v>
      </c>
      <c r="G1185" s="2" t="s">
        <v>154</v>
      </c>
      <c r="H1185" s="2" t="s">
        <v>141</v>
      </c>
      <c r="I1185" s="2" t="s">
        <v>33</v>
      </c>
      <c r="J1185" s="2" t="s">
        <v>60</v>
      </c>
      <c r="K1185" s="2" t="s">
        <v>33</v>
      </c>
      <c r="L1185">
        <v>10460.49</v>
      </c>
      <c r="M1185">
        <v>4</v>
      </c>
      <c r="N1185">
        <v>71.381</v>
      </c>
      <c r="O1185">
        <v>6400835</v>
      </c>
      <c r="P1185" s="2" t="s">
        <v>130</v>
      </c>
      <c r="Q1185" s="2" t="s">
        <v>131</v>
      </c>
      <c r="R1185" s="2" t="s">
        <v>30</v>
      </c>
      <c r="S1185">
        <v>4</v>
      </c>
      <c r="T1185" s="1">
        <v>43455</v>
      </c>
      <c r="U1185" s="1">
        <v>43456</v>
      </c>
      <c r="V1185" s="2"/>
      <c r="W1185" s="1">
        <f>fNotasFiscais[[#This Row],[Data da Coleta]]+fNotasFiscais[[#This Row],[Prazo Contratado]]</f>
        <v>43459</v>
      </c>
      <c r="X1185" s="3">
        <f>IF(fNotasFiscais[[#This Row],[Data da Entrega]]&gt;fNotasFiscais[[#This Row],[Data Contratada]],0,1)</f>
        <v>1</v>
      </c>
      <c r="Y1185" s="3">
        <f>IF(fNotasFiscais[[#This Row],[Ocorrência]]="",1,0)</f>
        <v>1</v>
      </c>
      <c r="Z1185" s="2">
        <f>fNotasFiscais[[#This Row],[On Time]]*fNotasFiscais[[#This Row],[In Full]]</f>
        <v>1</v>
      </c>
      <c r="AA1185">
        <f>IF(fNotasFiscais[[#This Row],[Nota Fiscal]]&lt;&gt;"",1,0)</f>
        <v>1</v>
      </c>
    </row>
    <row r="1186" spans="1:27" x14ac:dyDescent="0.25">
      <c r="A1186" s="1">
        <v>43455</v>
      </c>
      <c r="B1186">
        <v>11595</v>
      </c>
      <c r="C1186" s="2" t="s">
        <v>40</v>
      </c>
      <c r="D1186" s="2" t="s">
        <v>41</v>
      </c>
      <c r="E1186" s="2" t="s">
        <v>33</v>
      </c>
      <c r="F1186">
        <v>4083</v>
      </c>
      <c r="G1186" s="2" t="s">
        <v>154</v>
      </c>
      <c r="H1186" s="2" t="s">
        <v>141</v>
      </c>
      <c r="I1186" s="2" t="s">
        <v>33</v>
      </c>
      <c r="J1186" s="2" t="s">
        <v>60</v>
      </c>
      <c r="K1186" s="2" t="s">
        <v>33</v>
      </c>
      <c r="L1186">
        <v>73.430000000000007</v>
      </c>
      <c r="M1186">
        <v>1</v>
      </c>
      <c r="N1186">
        <v>9.6000000000000002E-2</v>
      </c>
      <c r="O1186">
        <v>6400835</v>
      </c>
      <c r="P1186" s="2" t="s">
        <v>130</v>
      </c>
      <c r="Q1186" s="2" t="s">
        <v>131</v>
      </c>
      <c r="R1186" s="2" t="s">
        <v>30</v>
      </c>
      <c r="S1186">
        <v>4</v>
      </c>
      <c r="T1186" s="1">
        <v>43455</v>
      </c>
      <c r="U1186" s="1">
        <v>43457</v>
      </c>
      <c r="V1186" s="2"/>
      <c r="W1186" s="1">
        <f>fNotasFiscais[[#This Row],[Data da Coleta]]+fNotasFiscais[[#This Row],[Prazo Contratado]]</f>
        <v>43459</v>
      </c>
      <c r="X1186" s="3">
        <f>IF(fNotasFiscais[[#This Row],[Data da Entrega]]&gt;fNotasFiscais[[#This Row],[Data Contratada]],0,1)</f>
        <v>1</v>
      </c>
      <c r="Y1186" s="3">
        <f>IF(fNotasFiscais[[#This Row],[Ocorrência]]="",1,0)</f>
        <v>1</v>
      </c>
      <c r="Z1186" s="2">
        <f>fNotasFiscais[[#This Row],[On Time]]*fNotasFiscais[[#This Row],[In Full]]</f>
        <v>1</v>
      </c>
      <c r="AA1186">
        <f>IF(fNotasFiscais[[#This Row],[Nota Fiscal]]&lt;&gt;"",1,0)</f>
        <v>1</v>
      </c>
    </row>
    <row r="1187" spans="1:27" x14ac:dyDescent="0.25">
      <c r="A1187" s="1">
        <v>43455</v>
      </c>
      <c r="B1187">
        <v>11596</v>
      </c>
      <c r="C1187" s="2" t="s">
        <v>22</v>
      </c>
      <c r="D1187" s="2" t="s">
        <v>23</v>
      </c>
      <c r="E1187" s="2" t="s">
        <v>24</v>
      </c>
      <c r="F1187">
        <v>4083</v>
      </c>
      <c r="G1187" s="2" t="s">
        <v>154</v>
      </c>
      <c r="H1187" s="2" t="s">
        <v>141</v>
      </c>
      <c r="I1187" s="2" t="s">
        <v>33</v>
      </c>
      <c r="J1187" s="2" t="s">
        <v>60</v>
      </c>
      <c r="K1187" s="2" t="s">
        <v>33</v>
      </c>
      <c r="L1187">
        <v>1226.3</v>
      </c>
      <c r="M1187">
        <v>1</v>
      </c>
      <c r="N1187">
        <v>3.85</v>
      </c>
      <c r="O1187">
        <v>6400835</v>
      </c>
      <c r="P1187" s="2" t="s">
        <v>130</v>
      </c>
      <c r="Q1187" s="2" t="s">
        <v>131</v>
      </c>
      <c r="R1187" s="2" t="s">
        <v>30</v>
      </c>
      <c r="S1187">
        <v>2</v>
      </c>
      <c r="T1187" s="1">
        <v>43455</v>
      </c>
      <c r="U1187" s="1">
        <v>43462</v>
      </c>
      <c r="V1187" s="2"/>
      <c r="W1187" s="1">
        <f>fNotasFiscais[[#This Row],[Data da Coleta]]+fNotasFiscais[[#This Row],[Prazo Contratado]]</f>
        <v>43457</v>
      </c>
      <c r="X1187" s="3">
        <f>IF(fNotasFiscais[[#This Row],[Data da Entrega]]&gt;fNotasFiscais[[#This Row],[Data Contratada]],0,1)</f>
        <v>0</v>
      </c>
      <c r="Y1187" s="3">
        <f>IF(fNotasFiscais[[#This Row],[Ocorrência]]="",1,0)</f>
        <v>1</v>
      </c>
      <c r="Z1187" s="2">
        <f>fNotasFiscais[[#This Row],[On Time]]*fNotasFiscais[[#This Row],[In Full]]</f>
        <v>0</v>
      </c>
      <c r="AA1187">
        <f>IF(fNotasFiscais[[#This Row],[Nota Fiscal]]&lt;&gt;"",1,0)</f>
        <v>1</v>
      </c>
    </row>
    <row r="1188" spans="1:27" x14ac:dyDescent="0.25">
      <c r="A1188" s="1">
        <v>43455</v>
      </c>
      <c r="B1188">
        <v>11597</v>
      </c>
      <c r="C1188" s="2" t="s">
        <v>43</v>
      </c>
      <c r="D1188" s="2" t="s">
        <v>44</v>
      </c>
      <c r="E1188" s="2" t="s">
        <v>45</v>
      </c>
      <c r="F1188">
        <v>4083</v>
      </c>
      <c r="G1188" s="2" t="s">
        <v>154</v>
      </c>
      <c r="H1188" s="2" t="s">
        <v>141</v>
      </c>
      <c r="I1188" s="2" t="s">
        <v>33</v>
      </c>
      <c r="J1188" s="2" t="s">
        <v>60</v>
      </c>
      <c r="K1188" s="2" t="s">
        <v>33</v>
      </c>
      <c r="L1188">
        <v>8873.16</v>
      </c>
      <c r="M1188">
        <v>4</v>
      </c>
      <c r="N1188">
        <v>42.262</v>
      </c>
      <c r="O1188">
        <v>6400835</v>
      </c>
      <c r="P1188" s="2" t="s">
        <v>130</v>
      </c>
      <c r="Q1188" s="2" t="s">
        <v>131</v>
      </c>
      <c r="R1188" s="2" t="s">
        <v>30</v>
      </c>
      <c r="S1188">
        <v>8</v>
      </c>
      <c r="T1188" s="1">
        <v>43455</v>
      </c>
      <c r="U1188" s="1">
        <v>43457</v>
      </c>
      <c r="V1188" s="2"/>
      <c r="W1188" s="1">
        <f>fNotasFiscais[[#This Row],[Data da Coleta]]+fNotasFiscais[[#This Row],[Prazo Contratado]]</f>
        <v>43463</v>
      </c>
      <c r="X1188" s="3">
        <f>IF(fNotasFiscais[[#This Row],[Data da Entrega]]&gt;fNotasFiscais[[#This Row],[Data Contratada]],0,1)</f>
        <v>1</v>
      </c>
      <c r="Y1188" s="3">
        <f>IF(fNotasFiscais[[#This Row],[Ocorrência]]="",1,0)</f>
        <v>1</v>
      </c>
      <c r="Z1188" s="2">
        <f>fNotasFiscais[[#This Row],[On Time]]*fNotasFiscais[[#This Row],[In Full]]</f>
        <v>1</v>
      </c>
      <c r="AA1188">
        <f>IF(fNotasFiscais[[#This Row],[Nota Fiscal]]&lt;&gt;"",1,0)</f>
        <v>1</v>
      </c>
    </row>
    <row r="1189" spans="1:27" x14ac:dyDescent="0.25">
      <c r="A1189" s="1">
        <v>43456</v>
      </c>
      <c r="B1189">
        <v>11598</v>
      </c>
      <c r="C1189" s="2" t="s">
        <v>54</v>
      </c>
      <c r="D1189" s="2" t="s">
        <v>55</v>
      </c>
      <c r="E1189" s="2" t="s">
        <v>56</v>
      </c>
      <c r="F1189">
        <v>4130</v>
      </c>
      <c r="G1189" s="2" t="s">
        <v>213</v>
      </c>
      <c r="H1189" s="2" t="s">
        <v>165</v>
      </c>
      <c r="I1189" s="2" t="s">
        <v>24</v>
      </c>
      <c r="J1189" s="2" t="s">
        <v>28</v>
      </c>
      <c r="K1189" s="2" t="s">
        <v>24</v>
      </c>
      <c r="L1189">
        <v>1031.8399999999999</v>
      </c>
      <c r="M1189">
        <v>2</v>
      </c>
      <c r="N1189">
        <v>4.048</v>
      </c>
      <c r="O1189">
        <v>6500948</v>
      </c>
      <c r="P1189" s="2" t="s">
        <v>29</v>
      </c>
      <c r="Q1189" s="2" t="s">
        <v>23</v>
      </c>
      <c r="R1189" s="2" t="s">
        <v>30</v>
      </c>
      <c r="S1189">
        <v>1</v>
      </c>
      <c r="T1189" s="1">
        <v>43456</v>
      </c>
      <c r="U1189" s="1">
        <v>43459</v>
      </c>
      <c r="V1189" s="2"/>
      <c r="W1189" s="1">
        <f>fNotasFiscais[[#This Row],[Data da Coleta]]+fNotasFiscais[[#This Row],[Prazo Contratado]]</f>
        <v>43457</v>
      </c>
      <c r="X1189" s="3">
        <f>IF(fNotasFiscais[[#This Row],[Data da Entrega]]&gt;fNotasFiscais[[#This Row],[Data Contratada]],0,1)</f>
        <v>0</v>
      </c>
      <c r="Y1189" s="3">
        <f>IF(fNotasFiscais[[#This Row],[Ocorrência]]="",1,0)</f>
        <v>1</v>
      </c>
      <c r="Z1189" s="2">
        <f>fNotasFiscais[[#This Row],[On Time]]*fNotasFiscais[[#This Row],[In Full]]</f>
        <v>0</v>
      </c>
      <c r="AA1189">
        <f>IF(fNotasFiscais[[#This Row],[Nota Fiscal]]&lt;&gt;"",1,0)</f>
        <v>1</v>
      </c>
    </row>
    <row r="1190" spans="1:27" x14ac:dyDescent="0.25">
      <c r="A1190" s="1">
        <v>43456</v>
      </c>
      <c r="B1190">
        <v>11599</v>
      </c>
      <c r="C1190" s="2" t="s">
        <v>52</v>
      </c>
      <c r="D1190" s="2" t="s">
        <v>53</v>
      </c>
      <c r="E1190" s="2" t="s">
        <v>33</v>
      </c>
      <c r="F1190">
        <v>4128</v>
      </c>
      <c r="G1190" s="2" t="s">
        <v>211</v>
      </c>
      <c r="H1190" s="2" t="s">
        <v>167</v>
      </c>
      <c r="I1190" s="2" t="s">
        <v>168</v>
      </c>
      <c r="J1190" s="2" t="s">
        <v>169</v>
      </c>
      <c r="K1190" s="2" t="s">
        <v>168</v>
      </c>
      <c r="L1190">
        <v>238.27</v>
      </c>
      <c r="M1190">
        <v>1</v>
      </c>
      <c r="N1190">
        <v>0.54300000000000004</v>
      </c>
      <c r="O1190">
        <v>6900304</v>
      </c>
      <c r="P1190" s="2" t="s">
        <v>170</v>
      </c>
      <c r="Q1190" s="2" t="s">
        <v>171</v>
      </c>
      <c r="R1190" s="2" t="s">
        <v>30</v>
      </c>
      <c r="S1190">
        <v>3</v>
      </c>
      <c r="T1190" s="1">
        <v>43456</v>
      </c>
      <c r="U1190" s="1">
        <v>43458</v>
      </c>
      <c r="V1190" s="2"/>
      <c r="W1190" s="1">
        <f>fNotasFiscais[[#This Row],[Data da Coleta]]+fNotasFiscais[[#This Row],[Prazo Contratado]]</f>
        <v>43459</v>
      </c>
      <c r="X1190" s="3">
        <f>IF(fNotasFiscais[[#This Row],[Data da Entrega]]&gt;fNotasFiscais[[#This Row],[Data Contratada]],0,1)</f>
        <v>1</v>
      </c>
      <c r="Y1190" s="3">
        <f>IF(fNotasFiscais[[#This Row],[Ocorrência]]="",1,0)</f>
        <v>1</v>
      </c>
      <c r="Z1190" s="2">
        <f>fNotasFiscais[[#This Row],[On Time]]*fNotasFiscais[[#This Row],[In Full]]</f>
        <v>1</v>
      </c>
      <c r="AA1190">
        <f>IF(fNotasFiscais[[#This Row],[Nota Fiscal]]&lt;&gt;"",1,0)</f>
        <v>1</v>
      </c>
    </row>
    <row r="1191" spans="1:27" x14ac:dyDescent="0.25">
      <c r="A1191" s="1">
        <v>43456</v>
      </c>
      <c r="B1191">
        <v>11600</v>
      </c>
      <c r="C1191" s="2" t="s">
        <v>40</v>
      </c>
      <c r="D1191" s="2" t="s">
        <v>41</v>
      </c>
      <c r="E1191" s="2" t="s">
        <v>33</v>
      </c>
      <c r="F1191">
        <v>4023</v>
      </c>
      <c r="G1191" s="2" t="s">
        <v>88</v>
      </c>
      <c r="H1191" s="2" t="s">
        <v>78</v>
      </c>
      <c r="I1191" s="2" t="s">
        <v>39</v>
      </c>
      <c r="J1191" s="2" t="s">
        <v>28</v>
      </c>
      <c r="K1191" s="2" t="s">
        <v>39</v>
      </c>
      <c r="L1191">
        <v>22.42</v>
      </c>
      <c r="M1191">
        <v>1</v>
      </c>
      <c r="N1191">
        <v>0.32300000000000001</v>
      </c>
      <c r="O1191">
        <v>6500948</v>
      </c>
      <c r="P1191" s="2" t="s">
        <v>29</v>
      </c>
      <c r="Q1191" s="2" t="s">
        <v>23</v>
      </c>
      <c r="R1191" s="2" t="s">
        <v>30</v>
      </c>
      <c r="S1191">
        <v>4</v>
      </c>
      <c r="T1191" s="1">
        <v>43456</v>
      </c>
      <c r="U1191" s="1">
        <v>43463</v>
      </c>
      <c r="V1191" s="2"/>
      <c r="W1191" s="1">
        <f>fNotasFiscais[[#This Row],[Data da Coleta]]+fNotasFiscais[[#This Row],[Prazo Contratado]]</f>
        <v>43460</v>
      </c>
      <c r="X1191" s="3">
        <f>IF(fNotasFiscais[[#This Row],[Data da Entrega]]&gt;fNotasFiscais[[#This Row],[Data Contratada]],0,1)</f>
        <v>0</v>
      </c>
      <c r="Y1191" s="3">
        <f>IF(fNotasFiscais[[#This Row],[Ocorrência]]="",1,0)</f>
        <v>1</v>
      </c>
      <c r="Z1191" s="2">
        <f>fNotasFiscais[[#This Row],[On Time]]*fNotasFiscais[[#This Row],[In Full]]</f>
        <v>0</v>
      </c>
      <c r="AA1191">
        <f>IF(fNotasFiscais[[#This Row],[Nota Fiscal]]&lt;&gt;"",1,0)</f>
        <v>1</v>
      </c>
    </row>
    <row r="1192" spans="1:27" x14ac:dyDescent="0.25">
      <c r="A1192" s="1">
        <v>43460</v>
      </c>
      <c r="B1192">
        <v>11601</v>
      </c>
      <c r="C1192" s="2" t="s">
        <v>34</v>
      </c>
      <c r="D1192" s="2" t="s">
        <v>35</v>
      </c>
      <c r="E1192" s="2" t="s">
        <v>36</v>
      </c>
      <c r="F1192">
        <v>4134</v>
      </c>
      <c r="G1192" s="2" t="s">
        <v>217</v>
      </c>
      <c r="H1192" s="2" t="s">
        <v>165</v>
      </c>
      <c r="I1192" s="2" t="s">
        <v>24</v>
      </c>
      <c r="J1192" s="2" t="s">
        <v>28</v>
      </c>
      <c r="K1192" s="2" t="s">
        <v>24</v>
      </c>
      <c r="L1192">
        <v>4029.07</v>
      </c>
      <c r="M1192">
        <v>4</v>
      </c>
      <c r="N1192">
        <v>35.536000000000001</v>
      </c>
      <c r="O1192">
        <v>6500948</v>
      </c>
      <c r="P1192" s="2" t="s">
        <v>29</v>
      </c>
      <c r="Q1192" s="2" t="s">
        <v>23</v>
      </c>
      <c r="R1192" s="2" t="s">
        <v>30</v>
      </c>
      <c r="S1192">
        <v>1</v>
      </c>
      <c r="T1192" s="1">
        <v>43460</v>
      </c>
      <c r="U1192" s="1">
        <v>43469</v>
      </c>
      <c r="V1192" s="2"/>
      <c r="W1192" s="1">
        <f>fNotasFiscais[[#This Row],[Data da Coleta]]+fNotasFiscais[[#This Row],[Prazo Contratado]]</f>
        <v>43461</v>
      </c>
      <c r="X1192" s="3">
        <f>IF(fNotasFiscais[[#This Row],[Data da Entrega]]&gt;fNotasFiscais[[#This Row],[Data Contratada]],0,1)</f>
        <v>0</v>
      </c>
      <c r="Y1192" s="3">
        <f>IF(fNotasFiscais[[#This Row],[Ocorrência]]="",1,0)</f>
        <v>1</v>
      </c>
      <c r="Z1192" s="2">
        <f>fNotasFiscais[[#This Row],[On Time]]*fNotasFiscais[[#This Row],[In Full]]</f>
        <v>0</v>
      </c>
      <c r="AA1192">
        <f>IF(fNotasFiscais[[#This Row],[Nota Fiscal]]&lt;&gt;"",1,0)</f>
        <v>1</v>
      </c>
    </row>
    <row r="1193" spans="1:27" x14ac:dyDescent="0.25">
      <c r="A1193" s="1">
        <v>43461</v>
      </c>
      <c r="B1193">
        <v>11602</v>
      </c>
      <c r="C1193" s="2" t="s">
        <v>31</v>
      </c>
      <c r="D1193" s="2" t="s">
        <v>32</v>
      </c>
      <c r="E1193" s="2" t="s">
        <v>33</v>
      </c>
      <c r="F1193">
        <v>4023</v>
      </c>
      <c r="G1193" s="2" t="s">
        <v>88</v>
      </c>
      <c r="H1193" s="2" t="s">
        <v>78</v>
      </c>
      <c r="I1193" s="2" t="s">
        <v>39</v>
      </c>
      <c r="J1193" s="2" t="s">
        <v>28</v>
      </c>
      <c r="K1193" s="2" t="s">
        <v>39</v>
      </c>
      <c r="L1193">
        <v>13.86</v>
      </c>
      <c r="M1193">
        <v>1</v>
      </c>
      <c r="N1193">
        <v>0.224</v>
      </c>
      <c r="O1193">
        <v>6500948</v>
      </c>
      <c r="P1193" s="2" t="s">
        <v>29</v>
      </c>
      <c r="Q1193" s="2" t="s">
        <v>23</v>
      </c>
      <c r="R1193" s="2" t="s">
        <v>30</v>
      </c>
      <c r="S1193">
        <v>8</v>
      </c>
      <c r="T1193" s="1">
        <v>43461</v>
      </c>
      <c r="U1193" s="1">
        <v>43468</v>
      </c>
      <c r="V1193" s="2"/>
      <c r="W1193" s="1">
        <f>fNotasFiscais[[#This Row],[Data da Coleta]]+fNotasFiscais[[#This Row],[Prazo Contratado]]</f>
        <v>43469</v>
      </c>
      <c r="X1193" s="3">
        <f>IF(fNotasFiscais[[#This Row],[Data da Entrega]]&gt;fNotasFiscais[[#This Row],[Data Contratada]],0,1)</f>
        <v>1</v>
      </c>
      <c r="Y1193" s="3">
        <f>IF(fNotasFiscais[[#This Row],[Ocorrência]]="",1,0)</f>
        <v>1</v>
      </c>
      <c r="Z1193" s="2">
        <f>fNotasFiscais[[#This Row],[On Time]]*fNotasFiscais[[#This Row],[In Full]]</f>
        <v>1</v>
      </c>
      <c r="AA1193">
        <f>IF(fNotasFiscais[[#This Row],[Nota Fiscal]]&lt;&gt;"",1,0)</f>
        <v>1</v>
      </c>
    </row>
    <row r="1194" spans="1:27" x14ac:dyDescent="0.25">
      <c r="A1194" s="1">
        <v>43461</v>
      </c>
      <c r="B1194">
        <v>11603</v>
      </c>
      <c r="C1194" s="2" t="s">
        <v>22</v>
      </c>
      <c r="D1194" s="2" t="s">
        <v>23</v>
      </c>
      <c r="E1194" s="2" t="s">
        <v>24</v>
      </c>
      <c r="F1194">
        <v>4013</v>
      </c>
      <c r="G1194" s="2" t="s">
        <v>37</v>
      </c>
      <c r="H1194" s="2" t="s">
        <v>38</v>
      </c>
      <c r="I1194" s="2" t="s">
        <v>39</v>
      </c>
      <c r="J1194" s="2" t="s">
        <v>28</v>
      </c>
      <c r="K1194" s="2" t="s">
        <v>39</v>
      </c>
      <c r="L1194">
        <v>252.4</v>
      </c>
      <c r="M1194">
        <v>1</v>
      </c>
      <c r="N1194">
        <v>0.54600000000000004</v>
      </c>
      <c r="O1194">
        <v>6500948</v>
      </c>
      <c r="P1194" s="2" t="s">
        <v>29</v>
      </c>
      <c r="Q1194" s="2" t="s">
        <v>23</v>
      </c>
      <c r="R1194" s="2" t="s">
        <v>30</v>
      </c>
      <c r="S1194">
        <v>5</v>
      </c>
      <c r="T1194" s="1">
        <v>43461</v>
      </c>
      <c r="U1194" s="1">
        <v>43471</v>
      </c>
      <c r="V1194" s="2"/>
      <c r="W1194" s="1">
        <f>fNotasFiscais[[#This Row],[Data da Coleta]]+fNotasFiscais[[#This Row],[Prazo Contratado]]</f>
        <v>43466</v>
      </c>
      <c r="X1194" s="3">
        <f>IF(fNotasFiscais[[#This Row],[Data da Entrega]]&gt;fNotasFiscais[[#This Row],[Data Contratada]],0,1)</f>
        <v>0</v>
      </c>
      <c r="Y1194" s="3">
        <f>IF(fNotasFiscais[[#This Row],[Ocorrência]]="",1,0)</f>
        <v>1</v>
      </c>
      <c r="Z1194" s="2">
        <f>fNotasFiscais[[#This Row],[On Time]]*fNotasFiscais[[#This Row],[In Full]]</f>
        <v>0</v>
      </c>
      <c r="AA1194">
        <f>IF(fNotasFiscais[[#This Row],[Nota Fiscal]]&lt;&gt;"",1,0)</f>
        <v>1</v>
      </c>
    </row>
    <row r="1195" spans="1:27" x14ac:dyDescent="0.25">
      <c r="A1195" s="1">
        <v>43461</v>
      </c>
      <c r="B1195">
        <v>11604</v>
      </c>
      <c r="C1195" s="2" t="s">
        <v>52</v>
      </c>
      <c r="D1195" s="2" t="s">
        <v>53</v>
      </c>
      <c r="E1195" s="2" t="s">
        <v>33</v>
      </c>
      <c r="F1195">
        <v>4013</v>
      </c>
      <c r="G1195" s="2" t="s">
        <v>37</v>
      </c>
      <c r="H1195" s="2" t="s">
        <v>38</v>
      </c>
      <c r="I1195" s="2" t="s">
        <v>39</v>
      </c>
      <c r="J1195" s="2" t="s">
        <v>28</v>
      </c>
      <c r="K1195" s="2" t="s">
        <v>39</v>
      </c>
      <c r="L1195">
        <v>2457.98</v>
      </c>
      <c r="M1195">
        <v>6</v>
      </c>
      <c r="N1195">
        <v>8.4670000000000005</v>
      </c>
      <c r="O1195">
        <v>6500948</v>
      </c>
      <c r="P1195" s="2" t="s">
        <v>29</v>
      </c>
      <c r="Q1195" s="2" t="s">
        <v>23</v>
      </c>
      <c r="R1195" s="2" t="s">
        <v>30</v>
      </c>
      <c r="S1195">
        <v>7</v>
      </c>
      <c r="T1195" s="1">
        <v>43461</v>
      </c>
      <c r="U1195" s="1">
        <v>43470</v>
      </c>
      <c r="V1195" s="2"/>
      <c r="W1195" s="1">
        <f>fNotasFiscais[[#This Row],[Data da Coleta]]+fNotasFiscais[[#This Row],[Prazo Contratado]]</f>
        <v>43468</v>
      </c>
      <c r="X1195" s="3">
        <f>IF(fNotasFiscais[[#This Row],[Data da Entrega]]&gt;fNotasFiscais[[#This Row],[Data Contratada]],0,1)</f>
        <v>0</v>
      </c>
      <c r="Y1195" s="3">
        <f>IF(fNotasFiscais[[#This Row],[Ocorrência]]="",1,0)</f>
        <v>1</v>
      </c>
      <c r="Z1195" s="2">
        <f>fNotasFiscais[[#This Row],[On Time]]*fNotasFiscais[[#This Row],[In Full]]</f>
        <v>0</v>
      </c>
      <c r="AA1195">
        <f>IF(fNotasFiscais[[#This Row],[Nota Fiscal]]&lt;&gt;"",1,0)</f>
        <v>1</v>
      </c>
    </row>
    <row r="1196" spans="1:27" x14ac:dyDescent="0.25">
      <c r="A1196" s="1">
        <v>43461</v>
      </c>
      <c r="B1196">
        <v>11605</v>
      </c>
      <c r="C1196" s="2" t="s">
        <v>22</v>
      </c>
      <c r="D1196" s="2" t="s">
        <v>23</v>
      </c>
      <c r="E1196" s="2" t="s">
        <v>24</v>
      </c>
      <c r="F1196">
        <v>4032</v>
      </c>
      <c r="G1196" s="2" t="s">
        <v>108</v>
      </c>
      <c r="H1196" s="2" t="s">
        <v>51</v>
      </c>
      <c r="I1196" s="2" t="s">
        <v>73</v>
      </c>
      <c r="J1196" s="2" t="s">
        <v>49</v>
      </c>
      <c r="K1196" s="2" t="s">
        <v>73</v>
      </c>
      <c r="L1196">
        <v>354.4</v>
      </c>
      <c r="M1196">
        <v>3</v>
      </c>
      <c r="N1196">
        <v>0.85499999999999998</v>
      </c>
      <c r="O1196">
        <v>6100231</v>
      </c>
      <c r="P1196" s="2" t="s">
        <v>50</v>
      </c>
      <c r="Q1196" s="2" t="s">
        <v>51</v>
      </c>
      <c r="R1196" s="2" t="s">
        <v>30</v>
      </c>
      <c r="S1196">
        <v>7</v>
      </c>
      <c r="T1196" s="1">
        <v>43461</v>
      </c>
      <c r="U1196" s="1">
        <v>43463</v>
      </c>
      <c r="V1196" s="2"/>
      <c r="W1196" s="1">
        <f>fNotasFiscais[[#This Row],[Data da Coleta]]+fNotasFiscais[[#This Row],[Prazo Contratado]]</f>
        <v>43468</v>
      </c>
      <c r="X1196" s="3">
        <f>IF(fNotasFiscais[[#This Row],[Data da Entrega]]&gt;fNotasFiscais[[#This Row],[Data Contratada]],0,1)</f>
        <v>1</v>
      </c>
      <c r="Y1196" s="3">
        <f>IF(fNotasFiscais[[#This Row],[Ocorrência]]="",1,0)</f>
        <v>1</v>
      </c>
      <c r="Z1196" s="2">
        <f>fNotasFiscais[[#This Row],[On Time]]*fNotasFiscais[[#This Row],[In Full]]</f>
        <v>1</v>
      </c>
      <c r="AA1196">
        <f>IF(fNotasFiscais[[#This Row],[Nota Fiscal]]&lt;&gt;"",1,0)</f>
        <v>1</v>
      </c>
    </row>
    <row r="1197" spans="1:27" x14ac:dyDescent="0.25">
      <c r="A1197" s="1">
        <v>43461</v>
      </c>
      <c r="B1197">
        <v>11606</v>
      </c>
      <c r="C1197" s="2" t="s">
        <v>40</v>
      </c>
      <c r="D1197" s="2" t="s">
        <v>41</v>
      </c>
      <c r="E1197" s="2" t="s">
        <v>33</v>
      </c>
      <c r="F1197">
        <v>4135</v>
      </c>
      <c r="G1197" s="2" t="s">
        <v>218</v>
      </c>
      <c r="H1197" s="2" t="s">
        <v>167</v>
      </c>
      <c r="I1197" s="2" t="s">
        <v>168</v>
      </c>
      <c r="J1197" s="2" t="s">
        <v>169</v>
      </c>
      <c r="K1197" s="2" t="s">
        <v>168</v>
      </c>
      <c r="L1197">
        <v>1268.51</v>
      </c>
      <c r="M1197">
        <v>1</v>
      </c>
      <c r="N1197">
        <v>11.837999999999999</v>
      </c>
      <c r="O1197">
        <v>6900304</v>
      </c>
      <c r="P1197" s="2" t="s">
        <v>170</v>
      </c>
      <c r="Q1197" s="2" t="s">
        <v>171</v>
      </c>
      <c r="R1197" s="2" t="s">
        <v>30</v>
      </c>
      <c r="S1197">
        <v>8</v>
      </c>
      <c r="T1197" s="1">
        <v>43461</v>
      </c>
      <c r="U1197" s="1">
        <v>43470</v>
      </c>
      <c r="V1197" s="2"/>
      <c r="W1197" s="1">
        <f>fNotasFiscais[[#This Row],[Data da Coleta]]+fNotasFiscais[[#This Row],[Prazo Contratado]]</f>
        <v>43469</v>
      </c>
      <c r="X1197" s="3">
        <f>IF(fNotasFiscais[[#This Row],[Data da Entrega]]&gt;fNotasFiscais[[#This Row],[Data Contratada]],0,1)</f>
        <v>0</v>
      </c>
      <c r="Y1197" s="3">
        <f>IF(fNotasFiscais[[#This Row],[Ocorrência]]="",1,0)</f>
        <v>1</v>
      </c>
      <c r="Z1197" s="2">
        <f>fNotasFiscais[[#This Row],[On Time]]*fNotasFiscais[[#This Row],[In Full]]</f>
        <v>0</v>
      </c>
      <c r="AA1197">
        <f>IF(fNotasFiscais[[#This Row],[Nota Fiscal]]&lt;&gt;"",1,0)</f>
        <v>1</v>
      </c>
    </row>
    <row r="1198" spans="1:27" x14ac:dyDescent="0.25">
      <c r="A1198" s="1">
        <v>43461</v>
      </c>
      <c r="B1198">
        <v>11607</v>
      </c>
      <c r="C1198" s="2" t="s">
        <v>31</v>
      </c>
      <c r="D1198" s="2" t="s">
        <v>32</v>
      </c>
      <c r="E1198" s="2" t="s">
        <v>33</v>
      </c>
      <c r="F1198">
        <v>4135</v>
      </c>
      <c r="G1198" s="2" t="s">
        <v>218</v>
      </c>
      <c r="H1198" s="2" t="s">
        <v>167</v>
      </c>
      <c r="I1198" s="2" t="s">
        <v>168</v>
      </c>
      <c r="J1198" s="2" t="s">
        <v>169</v>
      </c>
      <c r="K1198" s="2" t="s">
        <v>168</v>
      </c>
      <c r="L1198">
        <v>4909.88</v>
      </c>
      <c r="M1198">
        <v>3</v>
      </c>
      <c r="N1198">
        <v>31.396000000000001</v>
      </c>
      <c r="O1198">
        <v>6900304</v>
      </c>
      <c r="P1198" s="2" t="s">
        <v>170</v>
      </c>
      <c r="Q1198" s="2" t="s">
        <v>171</v>
      </c>
      <c r="R1198" s="2" t="s">
        <v>30</v>
      </c>
      <c r="S1198">
        <v>2</v>
      </c>
      <c r="T1198" s="1">
        <v>43461</v>
      </c>
      <c r="U1198" s="1">
        <v>43467</v>
      </c>
      <c r="V1198" s="2"/>
      <c r="W1198" s="1">
        <f>fNotasFiscais[[#This Row],[Data da Coleta]]+fNotasFiscais[[#This Row],[Prazo Contratado]]</f>
        <v>43463</v>
      </c>
      <c r="X1198" s="3">
        <f>IF(fNotasFiscais[[#This Row],[Data da Entrega]]&gt;fNotasFiscais[[#This Row],[Data Contratada]],0,1)</f>
        <v>0</v>
      </c>
      <c r="Y1198" s="3">
        <f>IF(fNotasFiscais[[#This Row],[Ocorrência]]="",1,0)</f>
        <v>1</v>
      </c>
      <c r="Z1198" s="2">
        <f>fNotasFiscais[[#This Row],[On Time]]*fNotasFiscais[[#This Row],[In Full]]</f>
        <v>0</v>
      </c>
      <c r="AA1198">
        <f>IF(fNotasFiscais[[#This Row],[Nota Fiscal]]&lt;&gt;"",1,0)</f>
        <v>1</v>
      </c>
    </row>
    <row r="1199" spans="1:27" x14ac:dyDescent="0.25">
      <c r="A1199" s="1">
        <v>43461</v>
      </c>
      <c r="B1199">
        <v>11608</v>
      </c>
      <c r="C1199" s="2" t="s">
        <v>52</v>
      </c>
      <c r="D1199" s="2" t="s">
        <v>53</v>
      </c>
      <c r="E1199" s="2" t="s">
        <v>33</v>
      </c>
      <c r="F1199">
        <v>4135</v>
      </c>
      <c r="G1199" s="2" t="s">
        <v>218</v>
      </c>
      <c r="H1199" s="2" t="s">
        <v>167</v>
      </c>
      <c r="I1199" s="2" t="s">
        <v>168</v>
      </c>
      <c r="J1199" s="2" t="s">
        <v>169</v>
      </c>
      <c r="K1199" s="2" t="s">
        <v>168</v>
      </c>
      <c r="L1199">
        <v>206.63</v>
      </c>
      <c r="M1199">
        <v>1</v>
      </c>
      <c r="N1199">
        <v>0.44700000000000001</v>
      </c>
      <c r="O1199">
        <v>6900304</v>
      </c>
      <c r="P1199" s="2" t="s">
        <v>170</v>
      </c>
      <c r="Q1199" s="2" t="s">
        <v>171</v>
      </c>
      <c r="R1199" s="2" t="s">
        <v>30</v>
      </c>
      <c r="S1199">
        <v>9</v>
      </c>
      <c r="T1199" s="1">
        <v>43461</v>
      </c>
      <c r="U1199" s="1">
        <v>43464</v>
      </c>
      <c r="V1199" s="2"/>
      <c r="W1199" s="1">
        <f>fNotasFiscais[[#This Row],[Data da Coleta]]+fNotasFiscais[[#This Row],[Prazo Contratado]]</f>
        <v>43470</v>
      </c>
      <c r="X1199" s="3">
        <f>IF(fNotasFiscais[[#This Row],[Data da Entrega]]&gt;fNotasFiscais[[#This Row],[Data Contratada]],0,1)</f>
        <v>1</v>
      </c>
      <c r="Y1199" s="3">
        <f>IF(fNotasFiscais[[#This Row],[Ocorrência]]="",1,0)</f>
        <v>1</v>
      </c>
      <c r="Z1199" s="2">
        <f>fNotasFiscais[[#This Row],[On Time]]*fNotasFiscais[[#This Row],[In Full]]</f>
        <v>1</v>
      </c>
      <c r="AA1199">
        <f>IF(fNotasFiscais[[#This Row],[Nota Fiscal]]&lt;&gt;"",1,0)</f>
        <v>1</v>
      </c>
    </row>
    <row r="1200" spans="1:27" x14ac:dyDescent="0.25">
      <c r="A1200" s="1">
        <v>43461</v>
      </c>
      <c r="B1200">
        <v>11609</v>
      </c>
      <c r="C1200" s="2" t="s">
        <v>34</v>
      </c>
      <c r="D1200" s="2" t="s">
        <v>35</v>
      </c>
      <c r="E1200" s="2" t="s">
        <v>36</v>
      </c>
      <c r="F1200">
        <v>4135</v>
      </c>
      <c r="G1200" s="2" t="s">
        <v>218</v>
      </c>
      <c r="H1200" s="2" t="s">
        <v>167</v>
      </c>
      <c r="I1200" s="2" t="s">
        <v>168</v>
      </c>
      <c r="J1200" s="2" t="s">
        <v>169</v>
      </c>
      <c r="K1200" s="2" t="s">
        <v>168</v>
      </c>
      <c r="L1200">
        <v>664.75</v>
      </c>
      <c r="M1200">
        <v>1</v>
      </c>
      <c r="N1200">
        <v>0.52800000000000002</v>
      </c>
      <c r="O1200">
        <v>6900304</v>
      </c>
      <c r="P1200" s="2" t="s">
        <v>170</v>
      </c>
      <c r="Q1200" s="2" t="s">
        <v>171</v>
      </c>
      <c r="R1200" s="2" t="s">
        <v>30</v>
      </c>
      <c r="S1200">
        <v>12</v>
      </c>
      <c r="T1200" s="1">
        <v>43461</v>
      </c>
      <c r="U1200" s="1">
        <v>43467</v>
      </c>
      <c r="V1200" s="2"/>
      <c r="W1200" s="1">
        <f>fNotasFiscais[[#This Row],[Data da Coleta]]+fNotasFiscais[[#This Row],[Prazo Contratado]]</f>
        <v>43473</v>
      </c>
      <c r="X1200" s="3">
        <f>IF(fNotasFiscais[[#This Row],[Data da Entrega]]&gt;fNotasFiscais[[#This Row],[Data Contratada]],0,1)</f>
        <v>1</v>
      </c>
      <c r="Y1200" s="3">
        <f>IF(fNotasFiscais[[#This Row],[Ocorrência]]="",1,0)</f>
        <v>1</v>
      </c>
      <c r="Z1200" s="2">
        <f>fNotasFiscais[[#This Row],[On Time]]*fNotasFiscais[[#This Row],[In Full]]</f>
        <v>1</v>
      </c>
      <c r="AA1200">
        <f>IF(fNotasFiscais[[#This Row],[Nota Fiscal]]&lt;&gt;"",1,0)</f>
        <v>1</v>
      </c>
    </row>
    <row r="1201" spans="1:27" x14ac:dyDescent="0.25">
      <c r="A1201" s="1">
        <v>43462</v>
      </c>
      <c r="B1201">
        <v>11610</v>
      </c>
      <c r="C1201" s="2" t="s">
        <v>34</v>
      </c>
      <c r="D1201" s="2" t="s">
        <v>35</v>
      </c>
      <c r="E1201" s="2" t="s">
        <v>36</v>
      </c>
      <c r="F1201">
        <v>4014</v>
      </c>
      <c r="G1201" s="2" t="s">
        <v>58</v>
      </c>
      <c r="H1201" s="2" t="s">
        <v>59</v>
      </c>
      <c r="I1201" s="2" t="s">
        <v>36</v>
      </c>
      <c r="J1201" s="2" t="s">
        <v>60</v>
      </c>
      <c r="K1201" s="2" t="s">
        <v>36</v>
      </c>
      <c r="L1201">
        <v>72.540000000000006</v>
      </c>
      <c r="M1201">
        <v>2</v>
      </c>
      <c r="N1201">
        <v>1.7000000000000001E-2</v>
      </c>
      <c r="O1201">
        <v>6600879</v>
      </c>
      <c r="P1201" s="2" t="s">
        <v>61</v>
      </c>
      <c r="Q1201" s="2" t="s">
        <v>35</v>
      </c>
      <c r="R1201" s="2" t="s">
        <v>30</v>
      </c>
      <c r="S1201">
        <v>8</v>
      </c>
      <c r="T1201" s="1">
        <v>43462</v>
      </c>
      <c r="U1201" s="1">
        <v>43471</v>
      </c>
      <c r="V1201" s="2"/>
      <c r="W1201" s="1">
        <f>fNotasFiscais[[#This Row],[Data da Coleta]]+fNotasFiscais[[#This Row],[Prazo Contratado]]</f>
        <v>43470</v>
      </c>
      <c r="X1201" s="3">
        <f>IF(fNotasFiscais[[#This Row],[Data da Entrega]]&gt;fNotasFiscais[[#This Row],[Data Contratada]],0,1)</f>
        <v>0</v>
      </c>
      <c r="Y1201" s="3">
        <f>IF(fNotasFiscais[[#This Row],[Ocorrência]]="",1,0)</f>
        <v>1</v>
      </c>
      <c r="Z1201" s="2">
        <f>fNotasFiscais[[#This Row],[On Time]]*fNotasFiscais[[#This Row],[In Full]]</f>
        <v>0</v>
      </c>
      <c r="AA1201">
        <f>IF(fNotasFiscais[[#This Row],[Nota Fiscal]]&lt;&gt;"",1,0)</f>
        <v>1</v>
      </c>
    </row>
    <row r="1202" spans="1:27" x14ac:dyDescent="0.25">
      <c r="A1202" s="1">
        <v>43462</v>
      </c>
      <c r="B1202">
        <v>11611</v>
      </c>
      <c r="C1202" s="2" t="s">
        <v>34</v>
      </c>
      <c r="D1202" s="2" t="s">
        <v>35</v>
      </c>
      <c r="E1202" s="2" t="s">
        <v>36</v>
      </c>
      <c r="F1202">
        <v>4014</v>
      </c>
      <c r="G1202" s="2" t="s">
        <v>58</v>
      </c>
      <c r="H1202" s="2" t="s">
        <v>59</v>
      </c>
      <c r="I1202" s="2" t="s">
        <v>36</v>
      </c>
      <c r="J1202" s="2" t="s">
        <v>60</v>
      </c>
      <c r="K1202" s="2" t="s">
        <v>36</v>
      </c>
      <c r="L1202">
        <v>487.86</v>
      </c>
      <c r="M1202">
        <v>1</v>
      </c>
      <c r="N1202">
        <v>3.4929999999999999</v>
      </c>
      <c r="O1202">
        <v>6600879</v>
      </c>
      <c r="P1202" s="2" t="s">
        <v>61</v>
      </c>
      <c r="Q1202" s="2" t="s">
        <v>35</v>
      </c>
      <c r="R1202" s="2" t="s">
        <v>30</v>
      </c>
      <c r="S1202">
        <v>9</v>
      </c>
      <c r="T1202" s="1">
        <v>43462</v>
      </c>
      <c r="U1202" s="1">
        <v>43471</v>
      </c>
      <c r="V1202" s="2"/>
      <c r="W1202" s="1">
        <f>fNotasFiscais[[#This Row],[Data da Coleta]]+fNotasFiscais[[#This Row],[Prazo Contratado]]</f>
        <v>43471</v>
      </c>
      <c r="X1202" s="3">
        <f>IF(fNotasFiscais[[#This Row],[Data da Entrega]]&gt;fNotasFiscais[[#This Row],[Data Contratada]],0,1)</f>
        <v>1</v>
      </c>
      <c r="Y1202" s="3">
        <f>IF(fNotasFiscais[[#This Row],[Ocorrência]]="",1,0)</f>
        <v>1</v>
      </c>
      <c r="Z1202" s="2">
        <f>fNotasFiscais[[#This Row],[On Time]]*fNotasFiscais[[#This Row],[In Full]]</f>
        <v>1</v>
      </c>
      <c r="AA1202">
        <f>IF(fNotasFiscais[[#This Row],[Nota Fiscal]]&lt;&gt;"",1,0)</f>
        <v>1</v>
      </c>
    </row>
    <row r="1203" spans="1:27" x14ac:dyDescent="0.25">
      <c r="A1203" s="1">
        <v>43462</v>
      </c>
      <c r="B1203">
        <v>11612</v>
      </c>
      <c r="C1203" s="2" t="s">
        <v>54</v>
      </c>
      <c r="D1203" s="2" t="s">
        <v>55</v>
      </c>
      <c r="E1203" s="2" t="s">
        <v>56</v>
      </c>
      <c r="F1203">
        <v>4014</v>
      </c>
      <c r="G1203" s="2" t="s">
        <v>58</v>
      </c>
      <c r="H1203" s="2" t="s">
        <v>59</v>
      </c>
      <c r="I1203" s="2" t="s">
        <v>36</v>
      </c>
      <c r="J1203" s="2" t="s">
        <v>60</v>
      </c>
      <c r="K1203" s="2" t="s">
        <v>36</v>
      </c>
      <c r="L1203">
        <v>59.55</v>
      </c>
      <c r="M1203">
        <v>2</v>
      </c>
      <c r="N1203">
        <v>0.13300000000000001</v>
      </c>
      <c r="O1203">
        <v>6600879</v>
      </c>
      <c r="P1203" s="2" t="s">
        <v>61</v>
      </c>
      <c r="Q1203" s="2" t="s">
        <v>35</v>
      </c>
      <c r="R1203" s="2" t="s">
        <v>30</v>
      </c>
      <c r="S1203">
        <v>3</v>
      </c>
      <c r="T1203" s="1">
        <v>43462</v>
      </c>
      <c r="U1203" s="1">
        <v>43469</v>
      </c>
      <c r="V1203" s="2"/>
      <c r="W1203" s="1">
        <f>fNotasFiscais[[#This Row],[Data da Coleta]]+fNotasFiscais[[#This Row],[Prazo Contratado]]</f>
        <v>43465</v>
      </c>
      <c r="X1203" s="3">
        <f>IF(fNotasFiscais[[#This Row],[Data da Entrega]]&gt;fNotasFiscais[[#This Row],[Data Contratada]],0,1)</f>
        <v>0</v>
      </c>
      <c r="Y1203" s="3">
        <f>IF(fNotasFiscais[[#This Row],[Ocorrência]]="",1,0)</f>
        <v>1</v>
      </c>
      <c r="Z1203" s="2">
        <f>fNotasFiscais[[#This Row],[On Time]]*fNotasFiscais[[#This Row],[In Full]]</f>
        <v>0</v>
      </c>
      <c r="AA1203">
        <f>IF(fNotasFiscais[[#This Row],[Nota Fiscal]]&lt;&gt;"",1,0)</f>
        <v>1</v>
      </c>
    </row>
    <row r="1204" spans="1:27" x14ac:dyDescent="0.25">
      <c r="A1204" s="1">
        <v>43462</v>
      </c>
      <c r="B1204">
        <v>11613</v>
      </c>
      <c r="C1204" s="2" t="s">
        <v>54</v>
      </c>
      <c r="D1204" s="2" t="s">
        <v>55</v>
      </c>
      <c r="E1204" s="2" t="s">
        <v>56</v>
      </c>
      <c r="F1204">
        <v>4022</v>
      </c>
      <c r="G1204" s="2" t="s">
        <v>86</v>
      </c>
      <c r="H1204" s="2" t="s">
        <v>87</v>
      </c>
      <c r="I1204" s="2" t="s">
        <v>27</v>
      </c>
      <c r="J1204" s="2" t="s">
        <v>28</v>
      </c>
      <c r="K1204" s="2" t="s">
        <v>27</v>
      </c>
      <c r="L1204">
        <v>53.53</v>
      </c>
      <c r="M1204">
        <v>2</v>
      </c>
      <c r="N1204">
        <v>0.16300000000000001</v>
      </c>
      <c r="O1204">
        <v>6500948</v>
      </c>
      <c r="P1204" s="2" t="s">
        <v>29</v>
      </c>
      <c r="Q1204" s="2" t="s">
        <v>23</v>
      </c>
      <c r="R1204" s="2" t="s">
        <v>30</v>
      </c>
      <c r="S1204">
        <v>7</v>
      </c>
      <c r="T1204" s="1">
        <v>43462</v>
      </c>
      <c r="U1204" s="1">
        <v>43469</v>
      </c>
      <c r="V1204" s="2"/>
      <c r="W1204" s="1">
        <f>fNotasFiscais[[#This Row],[Data da Coleta]]+fNotasFiscais[[#This Row],[Prazo Contratado]]</f>
        <v>43469</v>
      </c>
      <c r="X1204" s="3">
        <f>IF(fNotasFiscais[[#This Row],[Data da Entrega]]&gt;fNotasFiscais[[#This Row],[Data Contratada]],0,1)</f>
        <v>1</v>
      </c>
      <c r="Y1204" s="3">
        <f>IF(fNotasFiscais[[#This Row],[Ocorrência]]="",1,0)</f>
        <v>1</v>
      </c>
      <c r="Z1204" s="2">
        <f>fNotasFiscais[[#This Row],[On Time]]*fNotasFiscais[[#This Row],[In Full]]</f>
        <v>1</v>
      </c>
      <c r="AA1204">
        <f>IF(fNotasFiscais[[#This Row],[Nota Fiscal]]&lt;&gt;"",1,0)</f>
        <v>1</v>
      </c>
    </row>
    <row r="1205" spans="1:27" x14ac:dyDescent="0.25">
      <c r="A1205" s="1">
        <v>43463</v>
      </c>
      <c r="B1205">
        <v>11614</v>
      </c>
      <c r="C1205" s="2" t="s">
        <v>31</v>
      </c>
      <c r="D1205" s="2" t="s">
        <v>32</v>
      </c>
      <c r="E1205" s="2" t="s">
        <v>33</v>
      </c>
      <c r="F1205">
        <v>4037</v>
      </c>
      <c r="G1205" s="2" t="s">
        <v>113</v>
      </c>
      <c r="H1205" s="2" t="s">
        <v>47</v>
      </c>
      <c r="I1205" s="2" t="s">
        <v>48</v>
      </c>
      <c r="J1205" s="2" t="s">
        <v>49</v>
      </c>
      <c r="K1205" s="2" t="s">
        <v>48</v>
      </c>
      <c r="L1205">
        <v>246.35</v>
      </c>
      <c r="M1205">
        <v>1</v>
      </c>
      <c r="N1205">
        <v>0.17100000000000001</v>
      </c>
      <c r="O1205">
        <v>6100231</v>
      </c>
      <c r="P1205" s="2" t="s">
        <v>50</v>
      </c>
      <c r="Q1205" s="2" t="s">
        <v>51</v>
      </c>
      <c r="R1205" s="2" t="s">
        <v>30</v>
      </c>
      <c r="S1205">
        <v>2</v>
      </c>
      <c r="T1205" s="1">
        <v>43463</v>
      </c>
      <c r="U1205" s="1">
        <v>43473</v>
      </c>
      <c r="V1205" s="2"/>
      <c r="W1205" s="1">
        <f>fNotasFiscais[[#This Row],[Data da Coleta]]+fNotasFiscais[[#This Row],[Prazo Contratado]]</f>
        <v>43465</v>
      </c>
      <c r="X1205" s="3">
        <f>IF(fNotasFiscais[[#This Row],[Data da Entrega]]&gt;fNotasFiscais[[#This Row],[Data Contratada]],0,1)</f>
        <v>0</v>
      </c>
      <c r="Y1205" s="3">
        <f>IF(fNotasFiscais[[#This Row],[Ocorrência]]="",1,0)</f>
        <v>1</v>
      </c>
      <c r="Z1205" s="2">
        <f>fNotasFiscais[[#This Row],[On Time]]*fNotasFiscais[[#This Row],[In Full]]</f>
        <v>0</v>
      </c>
      <c r="AA1205">
        <f>IF(fNotasFiscais[[#This Row],[Nota Fiscal]]&lt;&gt;"",1,0)</f>
        <v>1</v>
      </c>
    </row>
    <row r="1206" spans="1:27" x14ac:dyDescent="0.25">
      <c r="A1206" s="1">
        <v>43463</v>
      </c>
      <c r="B1206">
        <v>11615</v>
      </c>
      <c r="C1206" s="2" t="s">
        <v>22</v>
      </c>
      <c r="D1206" s="2" t="s">
        <v>23</v>
      </c>
      <c r="E1206" s="2" t="s">
        <v>24</v>
      </c>
      <c r="F1206">
        <v>4037</v>
      </c>
      <c r="G1206" s="2" t="s">
        <v>113</v>
      </c>
      <c r="H1206" s="2" t="s">
        <v>47</v>
      </c>
      <c r="I1206" s="2" t="s">
        <v>48</v>
      </c>
      <c r="J1206" s="2" t="s">
        <v>49</v>
      </c>
      <c r="K1206" s="2" t="s">
        <v>48</v>
      </c>
      <c r="L1206">
        <v>65.38</v>
      </c>
      <c r="M1206">
        <v>1</v>
      </c>
      <c r="N1206">
        <v>0.308</v>
      </c>
      <c r="O1206">
        <v>6100231</v>
      </c>
      <c r="P1206" s="2" t="s">
        <v>50</v>
      </c>
      <c r="Q1206" s="2" t="s">
        <v>51</v>
      </c>
      <c r="R1206" s="2" t="s">
        <v>30</v>
      </c>
      <c r="S1206">
        <v>9</v>
      </c>
      <c r="T1206" s="1">
        <v>43463</v>
      </c>
      <c r="U1206" s="1">
        <v>43467</v>
      </c>
      <c r="V1206" s="2"/>
      <c r="W1206" s="1">
        <f>fNotasFiscais[[#This Row],[Data da Coleta]]+fNotasFiscais[[#This Row],[Prazo Contratado]]</f>
        <v>43472</v>
      </c>
      <c r="X1206" s="3">
        <f>IF(fNotasFiscais[[#This Row],[Data da Entrega]]&gt;fNotasFiscais[[#This Row],[Data Contratada]],0,1)</f>
        <v>1</v>
      </c>
      <c r="Y1206" s="3">
        <f>IF(fNotasFiscais[[#This Row],[Ocorrência]]="",1,0)</f>
        <v>1</v>
      </c>
      <c r="Z1206" s="2">
        <f>fNotasFiscais[[#This Row],[On Time]]*fNotasFiscais[[#This Row],[In Full]]</f>
        <v>1</v>
      </c>
      <c r="AA1206">
        <f>IF(fNotasFiscais[[#This Row],[Nota Fiscal]]&lt;&gt;"",1,0)</f>
        <v>1</v>
      </c>
    </row>
    <row r="1207" spans="1:27" x14ac:dyDescent="0.25">
      <c r="A1207" s="1">
        <v>43464</v>
      </c>
      <c r="B1207">
        <v>11616</v>
      </c>
      <c r="C1207" s="2" t="s">
        <v>31</v>
      </c>
      <c r="D1207" s="2" t="s">
        <v>32</v>
      </c>
      <c r="E1207" s="2" t="s">
        <v>33</v>
      </c>
      <c r="F1207">
        <v>4018</v>
      </c>
      <c r="G1207" s="2" t="s">
        <v>77</v>
      </c>
      <c r="H1207" s="2" t="s">
        <v>78</v>
      </c>
      <c r="I1207" s="2" t="s">
        <v>39</v>
      </c>
      <c r="J1207" s="2" t="s">
        <v>28</v>
      </c>
      <c r="K1207" s="2" t="s">
        <v>39</v>
      </c>
      <c r="L1207">
        <v>671.02</v>
      </c>
      <c r="M1207">
        <v>2</v>
      </c>
      <c r="N1207">
        <v>1.9370000000000001</v>
      </c>
      <c r="O1207">
        <v>6500948</v>
      </c>
      <c r="P1207" s="2" t="s">
        <v>29</v>
      </c>
      <c r="Q1207" s="2" t="s">
        <v>23</v>
      </c>
      <c r="R1207" s="2" t="s">
        <v>30</v>
      </c>
      <c r="S1207">
        <v>10</v>
      </c>
      <c r="T1207" s="1">
        <v>43464</v>
      </c>
      <c r="U1207" s="1">
        <v>43467</v>
      </c>
      <c r="V1207" s="2"/>
      <c r="W1207" s="1">
        <f>fNotasFiscais[[#This Row],[Data da Coleta]]+fNotasFiscais[[#This Row],[Prazo Contratado]]</f>
        <v>43474</v>
      </c>
      <c r="X1207" s="3">
        <f>IF(fNotasFiscais[[#This Row],[Data da Entrega]]&gt;fNotasFiscais[[#This Row],[Data Contratada]],0,1)</f>
        <v>1</v>
      </c>
      <c r="Y1207" s="3">
        <f>IF(fNotasFiscais[[#This Row],[Ocorrência]]="",1,0)</f>
        <v>1</v>
      </c>
      <c r="Z1207" s="2">
        <f>fNotasFiscais[[#This Row],[On Time]]*fNotasFiscais[[#This Row],[In Full]]</f>
        <v>1</v>
      </c>
      <c r="AA1207">
        <f>IF(fNotasFiscais[[#This Row],[Nota Fiscal]]&lt;&gt;"",1,0)</f>
        <v>1</v>
      </c>
    </row>
    <row r="1208" spans="1:27" x14ac:dyDescent="0.25">
      <c r="A1208" s="1">
        <v>43464</v>
      </c>
      <c r="B1208">
        <v>11617</v>
      </c>
      <c r="C1208" s="2" t="s">
        <v>54</v>
      </c>
      <c r="D1208" s="2" t="s">
        <v>55</v>
      </c>
      <c r="E1208" s="2" t="s">
        <v>56</v>
      </c>
      <c r="F1208">
        <v>4044</v>
      </c>
      <c r="G1208" s="2" t="s">
        <v>123</v>
      </c>
      <c r="H1208" s="2" t="s">
        <v>35</v>
      </c>
      <c r="I1208" s="2" t="s">
        <v>36</v>
      </c>
      <c r="J1208" s="2" t="s">
        <v>60</v>
      </c>
      <c r="K1208" s="2" t="s">
        <v>36</v>
      </c>
      <c r="L1208">
        <v>1515.76</v>
      </c>
      <c r="M1208">
        <v>1</v>
      </c>
      <c r="N1208">
        <v>5.6130000000000004</v>
      </c>
      <c r="O1208">
        <v>6600879</v>
      </c>
      <c r="P1208" s="2" t="s">
        <v>61</v>
      </c>
      <c r="Q1208" s="2" t="s">
        <v>35</v>
      </c>
      <c r="R1208" s="2" t="s">
        <v>30</v>
      </c>
      <c r="S1208">
        <v>5</v>
      </c>
      <c r="T1208" s="1">
        <v>43464</v>
      </c>
      <c r="U1208" s="1">
        <v>43473</v>
      </c>
      <c r="V1208" s="2"/>
      <c r="W1208" s="1">
        <f>fNotasFiscais[[#This Row],[Data da Coleta]]+fNotasFiscais[[#This Row],[Prazo Contratado]]</f>
        <v>43469</v>
      </c>
      <c r="X1208" s="3">
        <f>IF(fNotasFiscais[[#This Row],[Data da Entrega]]&gt;fNotasFiscais[[#This Row],[Data Contratada]],0,1)</f>
        <v>0</v>
      </c>
      <c r="Y1208" s="3">
        <f>IF(fNotasFiscais[[#This Row],[Ocorrência]]="",1,0)</f>
        <v>1</v>
      </c>
      <c r="Z1208" s="2">
        <f>fNotasFiscais[[#This Row],[On Time]]*fNotasFiscais[[#This Row],[In Full]]</f>
        <v>0</v>
      </c>
      <c r="AA1208">
        <f>IF(fNotasFiscais[[#This Row],[Nota Fiscal]]&lt;&gt;"",1,0)</f>
        <v>1</v>
      </c>
    </row>
    <row r="1209" spans="1:27" x14ac:dyDescent="0.25">
      <c r="A1209" s="1">
        <v>43464</v>
      </c>
      <c r="B1209">
        <v>11618</v>
      </c>
      <c r="C1209" s="2" t="s">
        <v>54</v>
      </c>
      <c r="D1209" s="2" t="s">
        <v>55</v>
      </c>
      <c r="E1209" s="2" t="s">
        <v>56</v>
      </c>
      <c r="F1209">
        <v>4045</v>
      </c>
      <c r="G1209" s="2" t="s">
        <v>124</v>
      </c>
      <c r="H1209" s="2" t="s">
        <v>35</v>
      </c>
      <c r="I1209" s="2" t="s">
        <v>36</v>
      </c>
      <c r="J1209" s="2" t="s">
        <v>60</v>
      </c>
      <c r="K1209" s="2" t="s">
        <v>36</v>
      </c>
      <c r="L1209">
        <v>7525.54</v>
      </c>
      <c r="M1209">
        <v>1</v>
      </c>
      <c r="N1209">
        <v>14.308</v>
      </c>
      <c r="O1209">
        <v>6600879</v>
      </c>
      <c r="P1209" s="2" t="s">
        <v>61</v>
      </c>
      <c r="Q1209" s="2" t="s">
        <v>35</v>
      </c>
      <c r="R1209" s="2" t="s">
        <v>30</v>
      </c>
      <c r="S1209">
        <v>8</v>
      </c>
      <c r="T1209" s="1">
        <v>43464</v>
      </c>
      <c r="U1209" s="1">
        <v>43474</v>
      </c>
      <c r="V1209" s="2"/>
      <c r="W1209" s="1">
        <f>fNotasFiscais[[#This Row],[Data da Coleta]]+fNotasFiscais[[#This Row],[Prazo Contratado]]</f>
        <v>43472</v>
      </c>
      <c r="X1209" s="3">
        <f>IF(fNotasFiscais[[#This Row],[Data da Entrega]]&gt;fNotasFiscais[[#This Row],[Data Contratada]],0,1)</f>
        <v>0</v>
      </c>
      <c r="Y1209" s="3">
        <f>IF(fNotasFiscais[[#This Row],[Ocorrência]]="",1,0)</f>
        <v>1</v>
      </c>
      <c r="Z1209" s="2">
        <f>fNotasFiscais[[#This Row],[On Time]]*fNotasFiscais[[#This Row],[In Full]]</f>
        <v>0</v>
      </c>
      <c r="AA1209">
        <f>IF(fNotasFiscais[[#This Row],[Nota Fiscal]]&lt;&gt;"",1,0)</f>
        <v>1</v>
      </c>
    </row>
    <row r="1210" spans="1:27" x14ac:dyDescent="0.25">
      <c r="A1210" s="1">
        <v>43464</v>
      </c>
      <c r="B1210">
        <v>11619</v>
      </c>
      <c r="C1210" s="2" t="s">
        <v>40</v>
      </c>
      <c r="D1210" s="2" t="s">
        <v>41</v>
      </c>
      <c r="E1210" s="2" t="s">
        <v>33</v>
      </c>
      <c r="F1210">
        <v>4044</v>
      </c>
      <c r="G1210" s="2" t="s">
        <v>123</v>
      </c>
      <c r="H1210" s="2" t="s">
        <v>35</v>
      </c>
      <c r="I1210" s="2" t="s">
        <v>36</v>
      </c>
      <c r="J1210" s="2" t="s">
        <v>60</v>
      </c>
      <c r="K1210" s="2" t="s">
        <v>36</v>
      </c>
      <c r="L1210">
        <v>13978.3</v>
      </c>
      <c r="M1210">
        <v>2</v>
      </c>
      <c r="N1210">
        <v>25.753</v>
      </c>
      <c r="O1210">
        <v>6600879</v>
      </c>
      <c r="P1210" s="2" t="s">
        <v>61</v>
      </c>
      <c r="Q1210" s="2" t="s">
        <v>35</v>
      </c>
      <c r="R1210" s="2" t="s">
        <v>30</v>
      </c>
      <c r="S1210">
        <v>7</v>
      </c>
      <c r="T1210" s="1">
        <v>43464</v>
      </c>
      <c r="U1210" s="1">
        <v>43470</v>
      </c>
      <c r="V1210" s="2"/>
      <c r="W1210" s="1">
        <f>fNotasFiscais[[#This Row],[Data da Coleta]]+fNotasFiscais[[#This Row],[Prazo Contratado]]</f>
        <v>43471</v>
      </c>
      <c r="X1210" s="3">
        <f>IF(fNotasFiscais[[#This Row],[Data da Entrega]]&gt;fNotasFiscais[[#This Row],[Data Contratada]],0,1)</f>
        <v>1</v>
      </c>
      <c r="Y1210" s="3">
        <f>IF(fNotasFiscais[[#This Row],[Ocorrência]]="",1,0)</f>
        <v>1</v>
      </c>
      <c r="Z1210" s="2">
        <f>fNotasFiscais[[#This Row],[On Time]]*fNotasFiscais[[#This Row],[In Full]]</f>
        <v>1</v>
      </c>
      <c r="AA1210">
        <f>IF(fNotasFiscais[[#This Row],[Nota Fiscal]]&lt;&gt;"",1,0)</f>
        <v>1</v>
      </c>
    </row>
    <row r="1211" spans="1:27" x14ac:dyDescent="0.25">
      <c r="A1211" s="1">
        <v>43464</v>
      </c>
      <c r="B1211">
        <v>11620</v>
      </c>
      <c r="C1211" s="2" t="s">
        <v>31</v>
      </c>
      <c r="D1211" s="2" t="s">
        <v>32</v>
      </c>
      <c r="E1211" s="2" t="s">
        <v>33</v>
      </c>
      <c r="F1211">
        <v>4045</v>
      </c>
      <c r="G1211" s="2" t="s">
        <v>124</v>
      </c>
      <c r="H1211" s="2" t="s">
        <v>35</v>
      </c>
      <c r="I1211" s="2" t="s">
        <v>36</v>
      </c>
      <c r="J1211" s="2" t="s">
        <v>60</v>
      </c>
      <c r="K1211" s="2" t="s">
        <v>36</v>
      </c>
      <c r="L1211">
        <v>8244.2000000000007</v>
      </c>
      <c r="M1211">
        <v>2</v>
      </c>
      <c r="N1211">
        <v>48.567</v>
      </c>
      <c r="O1211">
        <v>6600879</v>
      </c>
      <c r="P1211" s="2" t="s">
        <v>61</v>
      </c>
      <c r="Q1211" s="2" t="s">
        <v>35</v>
      </c>
      <c r="R1211" s="2" t="s">
        <v>30</v>
      </c>
      <c r="S1211">
        <v>12</v>
      </c>
      <c r="T1211" s="1">
        <v>43464</v>
      </c>
      <c r="U1211" s="1">
        <v>43472</v>
      </c>
      <c r="V1211" s="2"/>
      <c r="W1211" s="1">
        <f>fNotasFiscais[[#This Row],[Data da Coleta]]+fNotasFiscais[[#This Row],[Prazo Contratado]]</f>
        <v>43476</v>
      </c>
      <c r="X1211" s="3">
        <f>IF(fNotasFiscais[[#This Row],[Data da Entrega]]&gt;fNotasFiscais[[#This Row],[Data Contratada]],0,1)</f>
        <v>1</v>
      </c>
      <c r="Y1211" s="3">
        <f>IF(fNotasFiscais[[#This Row],[Ocorrência]]="",1,0)</f>
        <v>1</v>
      </c>
      <c r="Z1211" s="2">
        <f>fNotasFiscais[[#This Row],[On Time]]*fNotasFiscais[[#This Row],[In Full]]</f>
        <v>1</v>
      </c>
      <c r="AA1211">
        <f>IF(fNotasFiscais[[#This Row],[Nota Fiscal]]&lt;&gt;"",1,0)</f>
        <v>1</v>
      </c>
    </row>
    <row r="1212" spans="1:27" x14ac:dyDescent="0.25">
      <c r="A1212" s="1">
        <v>43464</v>
      </c>
      <c r="B1212">
        <v>11621</v>
      </c>
      <c r="C1212" s="2" t="s">
        <v>34</v>
      </c>
      <c r="D1212" s="2" t="s">
        <v>35</v>
      </c>
      <c r="E1212" s="2" t="s">
        <v>36</v>
      </c>
      <c r="F1212">
        <v>4045</v>
      </c>
      <c r="G1212" s="2" t="s">
        <v>124</v>
      </c>
      <c r="H1212" s="2" t="s">
        <v>35</v>
      </c>
      <c r="I1212" s="2" t="s">
        <v>36</v>
      </c>
      <c r="J1212" s="2" t="s">
        <v>60</v>
      </c>
      <c r="K1212" s="2" t="s">
        <v>36</v>
      </c>
      <c r="L1212">
        <v>1308.19</v>
      </c>
      <c r="M1212">
        <v>1</v>
      </c>
      <c r="N1212">
        <v>1.1200000000000001</v>
      </c>
      <c r="O1212">
        <v>6600879</v>
      </c>
      <c r="P1212" s="2" t="s">
        <v>61</v>
      </c>
      <c r="Q1212" s="2" t="s">
        <v>35</v>
      </c>
      <c r="R1212" s="2" t="s">
        <v>30</v>
      </c>
      <c r="S1212">
        <v>7</v>
      </c>
      <c r="T1212" s="1">
        <v>43464</v>
      </c>
      <c r="U1212" s="1">
        <v>43466</v>
      </c>
      <c r="V1212" s="2"/>
      <c r="W1212" s="1">
        <f>fNotasFiscais[[#This Row],[Data da Coleta]]+fNotasFiscais[[#This Row],[Prazo Contratado]]</f>
        <v>43471</v>
      </c>
      <c r="X1212" s="3">
        <f>IF(fNotasFiscais[[#This Row],[Data da Entrega]]&gt;fNotasFiscais[[#This Row],[Data Contratada]],0,1)</f>
        <v>1</v>
      </c>
      <c r="Y1212" s="3">
        <f>IF(fNotasFiscais[[#This Row],[Ocorrência]]="",1,0)</f>
        <v>1</v>
      </c>
      <c r="Z1212" s="2">
        <f>fNotasFiscais[[#This Row],[On Time]]*fNotasFiscais[[#This Row],[In Full]]</f>
        <v>1</v>
      </c>
      <c r="AA1212">
        <f>IF(fNotasFiscais[[#This Row],[Nota Fiscal]]&lt;&gt;"",1,0)</f>
        <v>1</v>
      </c>
    </row>
    <row r="1213" spans="1:27" x14ac:dyDescent="0.25">
      <c r="A1213" s="1">
        <v>43464</v>
      </c>
      <c r="B1213">
        <v>11622</v>
      </c>
      <c r="C1213" s="2" t="s">
        <v>40</v>
      </c>
      <c r="D1213" s="2" t="s">
        <v>41</v>
      </c>
      <c r="E1213" s="2" t="s">
        <v>33</v>
      </c>
      <c r="F1213">
        <v>4044</v>
      </c>
      <c r="G1213" s="2" t="s">
        <v>123</v>
      </c>
      <c r="H1213" s="2" t="s">
        <v>35</v>
      </c>
      <c r="I1213" s="2" t="s">
        <v>36</v>
      </c>
      <c r="J1213" s="2" t="s">
        <v>60</v>
      </c>
      <c r="K1213" s="2" t="s">
        <v>36</v>
      </c>
      <c r="L1213">
        <v>5287.17</v>
      </c>
      <c r="M1213">
        <v>3</v>
      </c>
      <c r="N1213">
        <v>12.169</v>
      </c>
      <c r="O1213">
        <v>6600879</v>
      </c>
      <c r="P1213" s="2" t="s">
        <v>61</v>
      </c>
      <c r="Q1213" s="2" t="s">
        <v>35</v>
      </c>
      <c r="R1213" s="2" t="s">
        <v>30</v>
      </c>
      <c r="S1213">
        <v>7</v>
      </c>
      <c r="T1213" s="1">
        <v>43464</v>
      </c>
      <c r="U1213" s="1">
        <v>43473</v>
      </c>
      <c r="V1213" s="2"/>
      <c r="W1213" s="1">
        <f>fNotasFiscais[[#This Row],[Data da Coleta]]+fNotasFiscais[[#This Row],[Prazo Contratado]]</f>
        <v>43471</v>
      </c>
      <c r="X1213" s="3">
        <f>IF(fNotasFiscais[[#This Row],[Data da Entrega]]&gt;fNotasFiscais[[#This Row],[Data Contratada]],0,1)</f>
        <v>0</v>
      </c>
      <c r="Y1213" s="3">
        <f>IF(fNotasFiscais[[#This Row],[Ocorrência]]="",1,0)</f>
        <v>1</v>
      </c>
      <c r="Z1213" s="2">
        <f>fNotasFiscais[[#This Row],[On Time]]*fNotasFiscais[[#This Row],[In Full]]</f>
        <v>0</v>
      </c>
      <c r="AA1213">
        <f>IF(fNotasFiscais[[#This Row],[Nota Fiscal]]&lt;&gt;"",1,0)</f>
        <v>1</v>
      </c>
    </row>
    <row r="1214" spans="1:27" x14ac:dyDescent="0.25">
      <c r="A1214" s="1">
        <v>43465</v>
      </c>
      <c r="B1214">
        <v>11623</v>
      </c>
      <c r="C1214" s="2" t="s">
        <v>54</v>
      </c>
      <c r="D1214" s="2" t="s">
        <v>55</v>
      </c>
      <c r="E1214" s="2" t="s">
        <v>56</v>
      </c>
      <c r="F1214">
        <v>4045</v>
      </c>
      <c r="G1214" s="2" t="s">
        <v>124</v>
      </c>
      <c r="H1214" s="2" t="s">
        <v>35</v>
      </c>
      <c r="I1214" s="2" t="s">
        <v>36</v>
      </c>
      <c r="J1214" s="2" t="s">
        <v>60</v>
      </c>
      <c r="K1214" s="2" t="s">
        <v>36</v>
      </c>
      <c r="L1214">
        <v>275.86</v>
      </c>
      <c r="M1214">
        <v>1</v>
      </c>
      <c r="N1214">
        <v>0.19400000000000001</v>
      </c>
      <c r="O1214">
        <v>6600879</v>
      </c>
      <c r="P1214" s="2" t="s">
        <v>61</v>
      </c>
      <c r="Q1214" s="2" t="s">
        <v>35</v>
      </c>
      <c r="R1214" s="2" t="s">
        <v>30</v>
      </c>
      <c r="S1214">
        <v>4</v>
      </c>
      <c r="T1214" s="1">
        <v>43465</v>
      </c>
      <c r="U1214" s="1">
        <v>43474</v>
      </c>
      <c r="V1214" s="2"/>
      <c r="W1214" s="1">
        <f>fNotasFiscais[[#This Row],[Data da Coleta]]+fNotasFiscais[[#This Row],[Prazo Contratado]]</f>
        <v>43469</v>
      </c>
      <c r="X1214" s="3">
        <f>IF(fNotasFiscais[[#This Row],[Data da Entrega]]&gt;fNotasFiscais[[#This Row],[Data Contratada]],0,1)</f>
        <v>0</v>
      </c>
      <c r="Y1214" s="3">
        <f>IF(fNotasFiscais[[#This Row],[Ocorrência]]="",1,0)</f>
        <v>1</v>
      </c>
      <c r="Z1214" s="2">
        <f>fNotasFiscais[[#This Row],[On Time]]*fNotasFiscais[[#This Row],[In Full]]</f>
        <v>0</v>
      </c>
      <c r="AA1214">
        <f>IF(fNotasFiscais[[#This Row],[Nota Fiscal]]&lt;&gt;"",1,0)</f>
        <v>1</v>
      </c>
    </row>
    <row r="1215" spans="1:27" x14ac:dyDescent="0.25">
      <c r="A1215" s="1">
        <v>43465</v>
      </c>
      <c r="B1215">
        <v>11624</v>
      </c>
      <c r="C1215" s="2" t="s">
        <v>43</v>
      </c>
      <c r="D1215" s="2" t="s">
        <v>44</v>
      </c>
      <c r="E1215" s="2" t="s">
        <v>45</v>
      </c>
      <c r="F1215">
        <v>4045</v>
      </c>
      <c r="G1215" s="2" t="s">
        <v>124</v>
      </c>
      <c r="H1215" s="2" t="s">
        <v>35</v>
      </c>
      <c r="I1215" s="2" t="s">
        <v>36</v>
      </c>
      <c r="J1215" s="2" t="s">
        <v>60</v>
      </c>
      <c r="K1215" s="2" t="s">
        <v>36</v>
      </c>
      <c r="L1215">
        <v>1474.92</v>
      </c>
      <c r="M1215">
        <v>1</v>
      </c>
      <c r="N1215">
        <v>4.968</v>
      </c>
      <c r="O1215">
        <v>6600879</v>
      </c>
      <c r="P1215" s="2" t="s">
        <v>61</v>
      </c>
      <c r="Q1215" s="2" t="s">
        <v>35</v>
      </c>
      <c r="R1215" s="2" t="s">
        <v>30</v>
      </c>
      <c r="S1215">
        <v>11</v>
      </c>
      <c r="T1215" s="1">
        <v>43465</v>
      </c>
      <c r="U1215" s="1">
        <v>43470</v>
      </c>
      <c r="V1215" s="2"/>
      <c r="W1215" s="1">
        <f>fNotasFiscais[[#This Row],[Data da Coleta]]+fNotasFiscais[[#This Row],[Prazo Contratado]]</f>
        <v>43476</v>
      </c>
      <c r="X1215" s="3">
        <f>IF(fNotasFiscais[[#This Row],[Data da Entrega]]&gt;fNotasFiscais[[#This Row],[Data Contratada]],0,1)</f>
        <v>1</v>
      </c>
      <c r="Y1215" s="3">
        <f>IF(fNotasFiscais[[#This Row],[Ocorrência]]="",1,0)</f>
        <v>1</v>
      </c>
      <c r="Z1215" s="2">
        <f>fNotasFiscais[[#This Row],[On Time]]*fNotasFiscais[[#This Row],[In Full]]</f>
        <v>1</v>
      </c>
      <c r="AA1215">
        <f>IF(fNotasFiscais[[#This Row],[Nota Fiscal]]&lt;&gt;"",1,0)</f>
        <v>1</v>
      </c>
    </row>
    <row r="1216" spans="1:27" x14ac:dyDescent="0.25">
      <c r="A1216" s="1">
        <v>43465</v>
      </c>
      <c r="B1216">
        <v>11625</v>
      </c>
      <c r="C1216" s="2" t="s">
        <v>52</v>
      </c>
      <c r="D1216" s="2" t="s">
        <v>53</v>
      </c>
      <c r="E1216" s="2" t="s">
        <v>33</v>
      </c>
      <c r="F1216">
        <v>4045</v>
      </c>
      <c r="G1216" s="2" t="s">
        <v>124</v>
      </c>
      <c r="H1216" s="2" t="s">
        <v>35</v>
      </c>
      <c r="I1216" s="2" t="s">
        <v>36</v>
      </c>
      <c r="J1216" s="2" t="s">
        <v>60</v>
      </c>
      <c r="K1216" s="2" t="s">
        <v>36</v>
      </c>
      <c r="L1216">
        <v>10319.92</v>
      </c>
      <c r="M1216">
        <v>2</v>
      </c>
      <c r="N1216">
        <v>35.707999999999998</v>
      </c>
      <c r="O1216">
        <v>6600879</v>
      </c>
      <c r="P1216" s="2" t="s">
        <v>61</v>
      </c>
      <c r="Q1216" s="2" t="s">
        <v>35</v>
      </c>
      <c r="R1216" s="2" t="s">
        <v>30</v>
      </c>
      <c r="S1216">
        <v>6</v>
      </c>
      <c r="T1216" s="1">
        <v>43465</v>
      </c>
      <c r="U1216" s="1">
        <v>43470</v>
      </c>
      <c r="V1216" s="2"/>
      <c r="W1216" s="1">
        <f>fNotasFiscais[[#This Row],[Data da Coleta]]+fNotasFiscais[[#This Row],[Prazo Contratado]]</f>
        <v>43471</v>
      </c>
      <c r="X1216" s="3">
        <f>IF(fNotasFiscais[[#This Row],[Data da Entrega]]&gt;fNotasFiscais[[#This Row],[Data Contratada]],0,1)</f>
        <v>1</v>
      </c>
      <c r="Y1216" s="3">
        <f>IF(fNotasFiscais[[#This Row],[Ocorrência]]="",1,0)</f>
        <v>1</v>
      </c>
      <c r="Z1216" s="2">
        <f>fNotasFiscais[[#This Row],[On Time]]*fNotasFiscais[[#This Row],[In Full]]</f>
        <v>1</v>
      </c>
      <c r="AA1216">
        <f>IF(fNotasFiscais[[#This Row],[Nota Fiscal]]&lt;&gt;"",1,0)</f>
        <v>1</v>
      </c>
    </row>
    <row r="1217" spans="1:27" x14ac:dyDescent="0.25">
      <c r="A1217" s="1">
        <v>43467</v>
      </c>
      <c r="B1217">
        <v>11626</v>
      </c>
      <c r="C1217" s="2" t="s">
        <v>54</v>
      </c>
      <c r="D1217" s="2" t="s">
        <v>55</v>
      </c>
      <c r="E1217" s="2" t="s">
        <v>56</v>
      </c>
      <c r="F1217">
        <v>4022</v>
      </c>
      <c r="G1217" s="2" t="s">
        <v>86</v>
      </c>
      <c r="H1217" s="2" t="s">
        <v>87</v>
      </c>
      <c r="I1217" s="2" t="s">
        <v>27</v>
      </c>
      <c r="J1217" s="2" t="s">
        <v>28</v>
      </c>
      <c r="K1217" s="2" t="s">
        <v>27</v>
      </c>
      <c r="L1217">
        <v>348.89</v>
      </c>
      <c r="M1217">
        <v>1</v>
      </c>
      <c r="N1217">
        <v>1.1200000000000001</v>
      </c>
      <c r="O1217">
        <v>6500948</v>
      </c>
      <c r="P1217" s="2" t="s">
        <v>29</v>
      </c>
      <c r="Q1217" s="2" t="s">
        <v>23</v>
      </c>
      <c r="R1217" s="2" t="s">
        <v>30</v>
      </c>
      <c r="S1217">
        <v>2</v>
      </c>
      <c r="T1217" s="1">
        <v>43467</v>
      </c>
      <c r="U1217" s="1">
        <v>43470</v>
      </c>
      <c r="V1217" s="2"/>
      <c r="W1217" s="1">
        <f>fNotasFiscais[[#This Row],[Data da Coleta]]+fNotasFiscais[[#This Row],[Prazo Contratado]]</f>
        <v>43469</v>
      </c>
      <c r="X1217" s="3">
        <f>IF(fNotasFiscais[[#This Row],[Data da Entrega]]&gt;fNotasFiscais[[#This Row],[Data Contratada]],0,1)</f>
        <v>0</v>
      </c>
      <c r="Y1217" s="3">
        <f>IF(fNotasFiscais[[#This Row],[Ocorrência]]="",1,0)</f>
        <v>1</v>
      </c>
      <c r="Z1217" s="2">
        <f>fNotasFiscais[[#This Row],[On Time]]*fNotasFiscais[[#This Row],[In Full]]</f>
        <v>0</v>
      </c>
      <c r="AA1217">
        <f>IF(fNotasFiscais[[#This Row],[Nota Fiscal]]&lt;&gt;"",1,0)</f>
        <v>1</v>
      </c>
    </row>
    <row r="1218" spans="1:27" x14ac:dyDescent="0.25">
      <c r="A1218" s="1">
        <v>43468</v>
      </c>
      <c r="B1218">
        <v>11627</v>
      </c>
      <c r="C1218" s="2" t="s">
        <v>52</v>
      </c>
      <c r="D1218" s="2" t="s">
        <v>53</v>
      </c>
      <c r="E1218" s="2" t="s">
        <v>33</v>
      </c>
      <c r="F1218">
        <v>4049</v>
      </c>
      <c r="G1218" s="2" t="s">
        <v>118</v>
      </c>
      <c r="H1218" s="2" t="s">
        <v>97</v>
      </c>
      <c r="I1218" s="2" t="s">
        <v>48</v>
      </c>
      <c r="J1218" s="2" t="s">
        <v>49</v>
      </c>
      <c r="K1218" s="2" t="s">
        <v>48</v>
      </c>
      <c r="L1218">
        <v>418.59</v>
      </c>
      <c r="M1218">
        <v>1</v>
      </c>
      <c r="N1218">
        <v>3.222</v>
      </c>
      <c r="O1218">
        <v>6100231</v>
      </c>
      <c r="P1218" s="2" t="s">
        <v>50</v>
      </c>
      <c r="Q1218" s="2" t="s">
        <v>51</v>
      </c>
      <c r="R1218" s="2" t="s">
        <v>30</v>
      </c>
      <c r="S1218">
        <v>10</v>
      </c>
      <c r="T1218" s="1">
        <v>43468</v>
      </c>
      <c r="U1218" s="1">
        <v>43471</v>
      </c>
      <c r="V1218" s="2"/>
      <c r="W1218" s="1">
        <f>fNotasFiscais[[#This Row],[Data da Coleta]]+fNotasFiscais[[#This Row],[Prazo Contratado]]</f>
        <v>43478</v>
      </c>
      <c r="X1218" s="3">
        <f>IF(fNotasFiscais[[#This Row],[Data da Entrega]]&gt;fNotasFiscais[[#This Row],[Data Contratada]],0,1)</f>
        <v>1</v>
      </c>
      <c r="Y1218" s="3">
        <f>IF(fNotasFiscais[[#This Row],[Ocorrência]]="",1,0)</f>
        <v>1</v>
      </c>
      <c r="Z1218" s="2">
        <f>fNotasFiscais[[#This Row],[On Time]]*fNotasFiscais[[#This Row],[In Full]]</f>
        <v>1</v>
      </c>
      <c r="AA1218">
        <f>IF(fNotasFiscais[[#This Row],[Nota Fiscal]]&lt;&gt;"",1,0)</f>
        <v>1</v>
      </c>
    </row>
    <row r="1219" spans="1:27" x14ac:dyDescent="0.25">
      <c r="A1219" s="1">
        <v>43468</v>
      </c>
      <c r="B1219">
        <v>11628</v>
      </c>
      <c r="C1219" s="2" t="s">
        <v>34</v>
      </c>
      <c r="D1219" s="2" t="s">
        <v>35</v>
      </c>
      <c r="E1219" s="2" t="s">
        <v>36</v>
      </c>
      <c r="F1219">
        <v>4049</v>
      </c>
      <c r="G1219" s="2" t="s">
        <v>118</v>
      </c>
      <c r="H1219" s="2" t="s">
        <v>97</v>
      </c>
      <c r="I1219" s="2" t="s">
        <v>48</v>
      </c>
      <c r="J1219" s="2" t="s">
        <v>49</v>
      </c>
      <c r="K1219" s="2" t="s">
        <v>48</v>
      </c>
      <c r="L1219">
        <v>1613.18</v>
      </c>
      <c r="M1219">
        <v>1</v>
      </c>
      <c r="N1219">
        <v>2.7519999999999998</v>
      </c>
      <c r="O1219">
        <v>6100231</v>
      </c>
      <c r="P1219" s="2" t="s">
        <v>50</v>
      </c>
      <c r="Q1219" s="2" t="s">
        <v>51</v>
      </c>
      <c r="R1219" s="2" t="s">
        <v>30</v>
      </c>
      <c r="S1219">
        <v>9</v>
      </c>
      <c r="T1219" s="1">
        <v>43468</v>
      </c>
      <c r="U1219" s="1">
        <v>43478</v>
      </c>
      <c r="V1219" s="2"/>
      <c r="W1219" s="1">
        <f>fNotasFiscais[[#This Row],[Data da Coleta]]+fNotasFiscais[[#This Row],[Prazo Contratado]]</f>
        <v>43477</v>
      </c>
      <c r="X1219" s="3">
        <f>IF(fNotasFiscais[[#This Row],[Data da Entrega]]&gt;fNotasFiscais[[#This Row],[Data Contratada]],0,1)</f>
        <v>0</v>
      </c>
      <c r="Y1219" s="3">
        <f>IF(fNotasFiscais[[#This Row],[Ocorrência]]="",1,0)</f>
        <v>1</v>
      </c>
      <c r="Z1219" s="2">
        <f>fNotasFiscais[[#This Row],[On Time]]*fNotasFiscais[[#This Row],[In Full]]</f>
        <v>0</v>
      </c>
      <c r="AA1219">
        <f>IF(fNotasFiscais[[#This Row],[Nota Fiscal]]&lt;&gt;"",1,0)</f>
        <v>1</v>
      </c>
    </row>
    <row r="1220" spans="1:27" x14ac:dyDescent="0.25">
      <c r="A1220" s="1">
        <v>43468</v>
      </c>
      <c r="B1220">
        <v>11629</v>
      </c>
      <c r="C1220" s="2" t="s">
        <v>54</v>
      </c>
      <c r="D1220" s="2" t="s">
        <v>55</v>
      </c>
      <c r="E1220" s="2" t="s">
        <v>56</v>
      </c>
      <c r="F1220">
        <v>4049</v>
      </c>
      <c r="G1220" s="2" t="s">
        <v>118</v>
      </c>
      <c r="H1220" s="2" t="s">
        <v>97</v>
      </c>
      <c r="I1220" s="2" t="s">
        <v>48</v>
      </c>
      <c r="J1220" s="2" t="s">
        <v>49</v>
      </c>
      <c r="K1220" s="2" t="s">
        <v>48</v>
      </c>
      <c r="L1220">
        <v>3360.9</v>
      </c>
      <c r="M1220">
        <v>1</v>
      </c>
      <c r="N1220">
        <v>1.1060000000000001</v>
      </c>
      <c r="O1220">
        <v>6100231</v>
      </c>
      <c r="P1220" s="2" t="s">
        <v>50</v>
      </c>
      <c r="Q1220" s="2" t="s">
        <v>51</v>
      </c>
      <c r="R1220" s="2" t="s">
        <v>30</v>
      </c>
      <c r="S1220">
        <v>9</v>
      </c>
      <c r="T1220" s="1">
        <v>43468</v>
      </c>
      <c r="U1220" s="1">
        <v>43472</v>
      </c>
      <c r="V1220" s="2"/>
      <c r="W1220" s="1">
        <f>fNotasFiscais[[#This Row],[Data da Coleta]]+fNotasFiscais[[#This Row],[Prazo Contratado]]</f>
        <v>43477</v>
      </c>
      <c r="X1220" s="3">
        <f>IF(fNotasFiscais[[#This Row],[Data da Entrega]]&gt;fNotasFiscais[[#This Row],[Data Contratada]],0,1)</f>
        <v>1</v>
      </c>
      <c r="Y1220" s="3">
        <f>IF(fNotasFiscais[[#This Row],[Ocorrência]]="",1,0)</f>
        <v>1</v>
      </c>
      <c r="Z1220" s="2">
        <f>fNotasFiscais[[#This Row],[On Time]]*fNotasFiscais[[#This Row],[In Full]]</f>
        <v>1</v>
      </c>
      <c r="AA1220">
        <f>IF(fNotasFiscais[[#This Row],[Nota Fiscal]]&lt;&gt;"",1,0)</f>
        <v>1</v>
      </c>
    </row>
    <row r="1221" spans="1:27" x14ac:dyDescent="0.25">
      <c r="A1221" s="1">
        <v>43468</v>
      </c>
      <c r="B1221">
        <v>11630</v>
      </c>
      <c r="C1221" s="2" t="s">
        <v>52</v>
      </c>
      <c r="D1221" s="2" t="s">
        <v>53</v>
      </c>
      <c r="E1221" s="2" t="s">
        <v>33</v>
      </c>
      <c r="F1221">
        <v>4049</v>
      </c>
      <c r="G1221" s="2" t="s">
        <v>118</v>
      </c>
      <c r="H1221" s="2" t="s">
        <v>97</v>
      </c>
      <c r="I1221" s="2" t="s">
        <v>48</v>
      </c>
      <c r="J1221" s="2" t="s">
        <v>49</v>
      </c>
      <c r="K1221" s="2" t="s">
        <v>48</v>
      </c>
      <c r="L1221">
        <v>612.49</v>
      </c>
      <c r="M1221">
        <v>1</v>
      </c>
      <c r="N1221">
        <v>1.1200000000000001</v>
      </c>
      <c r="O1221">
        <v>6100231</v>
      </c>
      <c r="P1221" s="2" t="s">
        <v>50</v>
      </c>
      <c r="Q1221" s="2" t="s">
        <v>51</v>
      </c>
      <c r="R1221" s="2" t="s">
        <v>30</v>
      </c>
      <c r="S1221">
        <v>11</v>
      </c>
      <c r="T1221" s="1">
        <v>43468</v>
      </c>
      <c r="U1221" s="1">
        <v>43475</v>
      </c>
      <c r="V1221" s="2"/>
      <c r="W1221" s="1">
        <f>fNotasFiscais[[#This Row],[Data da Coleta]]+fNotasFiscais[[#This Row],[Prazo Contratado]]</f>
        <v>43479</v>
      </c>
      <c r="X1221" s="3">
        <f>IF(fNotasFiscais[[#This Row],[Data da Entrega]]&gt;fNotasFiscais[[#This Row],[Data Contratada]],0,1)</f>
        <v>1</v>
      </c>
      <c r="Y1221" s="3">
        <f>IF(fNotasFiscais[[#This Row],[Ocorrência]]="",1,0)</f>
        <v>1</v>
      </c>
      <c r="Z1221" s="2">
        <f>fNotasFiscais[[#This Row],[On Time]]*fNotasFiscais[[#This Row],[In Full]]</f>
        <v>1</v>
      </c>
      <c r="AA1221">
        <f>IF(fNotasFiscais[[#This Row],[Nota Fiscal]]&lt;&gt;"",1,0)</f>
        <v>1</v>
      </c>
    </row>
    <row r="1222" spans="1:27" x14ac:dyDescent="0.25">
      <c r="A1222" s="1">
        <v>43468</v>
      </c>
      <c r="B1222">
        <v>11631</v>
      </c>
      <c r="C1222" s="2" t="s">
        <v>43</v>
      </c>
      <c r="D1222" s="2" t="s">
        <v>44</v>
      </c>
      <c r="E1222" s="2" t="s">
        <v>45</v>
      </c>
      <c r="F1222">
        <v>4049</v>
      </c>
      <c r="G1222" s="2" t="s">
        <v>118</v>
      </c>
      <c r="H1222" s="2" t="s">
        <v>97</v>
      </c>
      <c r="I1222" s="2" t="s">
        <v>48</v>
      </c>
      <c r="J1222" s="2" t="s">
        <v>49</v>
      </c>
      <c r="K1222" s="2" t="s">
        <v>48</v>
      </c>
      <c r="L1222">
        <v>2874.04</v>
      </c>
      <c r="M1222">
        <v>1</v>
      </c>
      <c r="N1222">
        <v>6.2110000000000003</v>
      </c>
      <c r="O1222">
        <v>6100231</v>
      </c>
      <c r="P1222" s="2" t="s">
        <v>50</v>
      </c>
      <c r="Q1222" s="2" t="s">
        <v>51</v>
      </c>
      <c r="R1222" s="2" t="s">
        <v>30</v>
      </c>
      <c r="S1222">
        <v>11</v>
      </c>
      <c r="T1222" s="1">
        <v>43468</v>
      </c>
      <c r="U1222" s="1">
        <v>43469</v>
      </c>
      <c r="V1222" s="2"/>
      <c r="W1222" s="1">
        <f>fNotasFiscais[[#This Row],[Data da Coleta]]+fNotasFiscais[[#This Row],[Prazo Contratado]]</f>
        <v>43479</v>
      </c>
      <c r="X1222" s="3">
        <f>IF(fNotasFiscais[[#This Row],[Data da Entrega]]&gt;fNotasFiscais[[#This Row],[Data Contratada]],0,1)</f>
        <v>1</v>
      </c>
      <c r="Y1222" s="3">
        <f>IF(fNotasFiscais[[#This Row],[Ocorrência]]="",1,0)</f>
        <v>1</v>
      </c>
      <c r="Z1222" s="2">
        <f>fNotasFiscais[[#This Row],[On Time]]*fNotasFiscais[[#This Row],[In Full]]</f>
        <v>1</v>
      </c>
      <c r="AA1222">
        <f>IF(fNotasFiscais[[#This Row],[Nota Fiscal]]&lt;&gt;"",1,0)</f>
        <v>1</v>
      </c>
    </row>
    <row r="1223" spans="1:27" x14ac:dyDescent="0.25">
      <c r="A1223" s="1">
        <v>43468</v>
      </c>
      <c r="B1223">
        <v>11632</v>
      </c>
      <c r="C1223" s="2" t="s">
        <v>22</v>
      </c>
      <c r="D1223" s="2" t="s">
        <v>23</v>
      </c>
      <c r="E1223" s="2" t="s">
        <v>24</v>
      </c>
      <c r="F1223">
        <v>4049</v>
      </c>
      <c r="G1223" s="2" t="s">
        <v>118</v>
      </c>
      <c r="H1223" s="2" t="s">
        <v>97</v>
      </c>
      <c r="I1223" s="2" t="s">
        <v>48</v>
      </c>
      <c r="J1223" s="2" t="s">
        <v>49</v>
      </c>
      <c r="K1223" s="2" t="s">
        <v>48</v>
      </c>
      <c r="L1223">
        <v>2434.41</v>
      </c>
      <c r="M1223">
        <v>3</v>
      </c>
      <c r="N1223">
        <v>16.024999999999999</v>
      </c>
      <c r="O1223">
        <v>6100231</v>
      </c>
      <c r="P1223" s="2" t="s">
        <v>50</v>
      </c>
      <c r="Q1223" s="2" t="s">
        <v>51</v>
      </c>
      <c r="R1223" s="2" t="s">
        <v>30</v>
      </c>
      <c r="S1223">
        <v>7</v>
      </c>
      <c r="T1223" s="1">
        <v>43468</v>
      </c>
      <c r="U1223" s="1">
        <v>43471</v>
      </c>
      <c r="V1223" s="2"/>
      <c r="W1223" s="1">
        <f>fNotasFiscais[[#This Row],[Data da Coleta]]+fNotasFiscais[[#This Row],[Prazo Contratado]]</f>
        <v>43475</v>
      </c>
      <c r="X1223" s="3">
        <f>IF(fNotasFiscais[[#This Row],[Data da Entrega]]&gt;fNotasFiscais[[#This Row],[Data Contratada]],0,1)</f>
        <v>1</v>
      </c>
      <c r="Y1223" s="3">
        <f>IF(fNotasFiscais[[#This Row],[Ocorrência]]="",1,0)</f>
        <v>1</v>
      </c>
      <c r="Z1223" s="2">
        <f>fNotasFiscais[[#This Row],[On Time]]*fNotasFiscais[[#This Row],[In Full]]</f>
        <v>1</v>
      </c>
      <c r="AA1223">
        <f>IF(fNotasFiscais[[#This Row],[Nota Fiscal]]&lt;&gt;"",1,0)</f>
        <v>1</v>
      </c>
    </row>
    <row r="1224" spans="1:27" x14ac:dyDescent="0.25">
      <c r="A1224" s="1">
        <v>43468</v>
      </c>
      <c r="B1224">
        <v>11633</v>
      </c>
      <c r="C1224" s="2" t="s">
        <v>54</v>
      </c>
      <c r="D1224" s="2" t="s">
        <v>55</v>
      </c>
      <c r="E1224" s="2" t="s">
        <v>56</v>
      </c>
      <c r="F1224">
        <v>4049</v>
      </c>
      <c r="G1224" s="2" t="s">
        <v>118</v>
      </c>
      <c r="H1224" s="2" t="s">
        <v>97</v>
      </c>
      <c r="I1224" s="2" t="s">
        <v>48</v>
      </c>
      <c r="J1224" s="2" t="s">
        <v>49</v>
      </c>
      <c r="K1224" s="2" t="s">
        <v>48</v>
      </c>
      <c r="L1224">
        <v>542.33000000000004</v>
      </c>
      <c r="M1224">
        <v>1</v>
      </c>
      <c r="N1224">
        <v>1.1200000000000001</v>
      </c>
      <c r="O1224">
        <v>6100231</v>
      </c>
      <c r="P1224" s="2" t="s">
        <v>50</v>
      </c>
      <c r="Q1224" s="2" t="s">
        <v>51</v>
      </c>
      <c r="R1224" s="2" t="s">
        <v>30</v>
      </c>
      <c r="S1224">
        <v>3</v>
      </c>
      <c r="T1224" s="1">
        <v>43468</v>
      </c>
      <c r="U1224" s="1">
        <v>43477</v>
      </c>
      <c r="V1224" s="2"/>
      <c r="W1224" s="1">
        <f>fNotasFiscais[[#This Row],[Data da Coleta]]+fNotasFiscais[[#This Row],[Prazo Contratado]]</f>
        <v>43471</v>
      </c>
      <c r="X1224" s="3">
        <f>IF(fNotasFiscais[[#This Row],[Data da Entrega]]&gt;fNotasFiscais[[#This Row],[Data Contratada]],0,1)</f>
        <v>0</v>
      </c>
      <c r="Y1224" s="3">
        <f>IF(fNotasFiscais[[#This Row],[Ocorrência]]="",1,0)</f>
        <v>1</v>
      </c>
      <c r="Z1224" s="2">
        <f>fNotasFiscais[[#This Row],[On Time]]*fNotasFiscais[[#This Row],[In Full]]</f>
        <v>0</v>
      </c>
      <c r="AA1224">
        <f>IF(fNotasFiscais[[#This Row],[Nota Fiscal]]&lt;&gt;"",1,0)</f>
        <v>1</v>
      </c>
    </row>
    <row r="1225" spans="1:27" x14ac:dyDescent="0.25">
      <c r="A1225" s="1">
        <v>43468</v>
      </c>
      <c r="B1225">
        <v>11634</v>
      </c>
      <c r="C1225" s="2" t="s">
        <v>34</v>
      </c>
      <c r="D1225" s="2" t="s">
        <v>35</v>
      </c>
      <c r="E1225" s="2" t="s">
        <v>36</v>
      </c>
      <c r="F1225">
        <v>4049</v>
      </c>
      <c r="G1225" s="2" t="s">
        <v>118</v>
      </c>
      <c r="H1225" s="2" t="s">
        <v>97</v>
      </c>
      <c r="I1225" s="2" t="s">
        <v>48</v>
      </c>
      <c r="J1225" s="2" t="s">
        <v>49</v>
      </c>
      <c r="K1225" s="2" t="s">
        <v>48</v>
      </c>
      <c r="L1225">
        <v>1797.98</v>
      </c>
      <c r="M1225">
        <v>2</v>
      </c>
      <c r="N1225">
        <v>3.645</v>
      </c>
      <c r="O1225">
        <v>6100231</v>
      </c>
      <c r="P1225" s="2" t="s">
        <v>50</v>
      </c>
      <c r="Q1225" s="2" t="s">
        <v>51</v>
      </c>
      <c r="R1225" s="2" t="s">
        <v>30</v>
      </c>
      <c r="S1225">
        <v>8</v>
      </c>
      <c r="T1225" s="1">
        <v>43468</v>
      </c>
      <c r="U1225" s="1">
        <v>43477</v>
      </c>
      <c r="V1225" s="2"/>
      <c r="W1225" s="1">
        <f>fNotasFiscais[[#This Row],[Data da Coleta]]+fNotasFiscais[[#This Row],[Prazo Contratado]]</f>
        <v>43476</v>
      </c>
      <c r="X1225" s="3">
        <f>IF(fNotasFiscais[[#This Row],[Data da Entrega]]&gt;fNotasFiscais[[#This Row],[Data Contratada]],0,1)</f>
        <v>0</v>
      </c>
      <c r="Y1225" s="3">
        <f>IF(fNotasFiscais[[#This Row],[Ocorrência]]="",1,0)</f>
        <v>1</v>
      </c>
      <c r="Z1225" s="2">
        <f>fNotasFiscais[[#This Row],[On Time]]*fNotasFiscais[[#This Row],[In Full]]</f>
        <v>0</v>
      </c>
      <c r="AA1225">
        <f>IF(fNotasFiscais[[#This Row],[Nota Fiscal]]&lt;&gt;"",1,0)</f>
        <v>1</v>
      </c>
    </row>
    <row r="1226" spans="1:27" x14ac:dyDescent="0.25">
      <c r="A1226" s="1">
        <v>43468</v>
      </c>
      <c r="B1226">
        <v>11635</v>
      </c>
      <c r="C1226" s="2" t="s">
        <v>34</v>
      </c>
      <c r="D1226" s="2" t="s">
        <v>35</v>
      </c>
      <c r="E1226" s="2" t="s">
        <v>36</v>
      </c>
      <c r="F1226">
        <v>4049</v>
      </c>
      <c r="G1226" s="2" t="s">
        <v>118</v>
      </c>
      <c r="H1226" s="2" t="s">
        <v>97</v>
      </c>
      <c r="I1226" s="2" t="s">
        <v>48</v>
      </c>
      <c r="J1226" s="2" t="s">
        <v>49</v>
      </c>
      <c r="K1226" s="2" t="s">
        <v>48</v>
      </c>
      <c r="L1226">
        <v>96.57</v>
      </c>
      <c r="M1226">
        <v>2</v>
      </c>
      <c r="N1226">
        <v>1.129</v>
      </c>
      <c r="O1226">
        <v>6100231</v>
      </c>
      <c r="P1226" s="2" t="s">
        <v>50</v>
      </c>
      <c r="Q1226" s="2" t="s">
        <v>51</v>
      </c>
      <c r="R1226" s="2" t="s">
        <v>30</v>
      </c>
      <c r="S1226">
        <v>5</v>
      </c>
      <c r="T1226" s="1">
        <v>43468</v>
      </c>
      <c r="U1226" s="1">
        <v>43475</v>
      </c>
      <c r="V1226" s="2"/>
      <c r="W1226" s="1">
        <f>fNotasFiscais[[#This Row],[Data da Coleta]]+fNotasFiscais[[#This Row],[Prazo Contratado]]</f>
        <v>43473</v>
      </c>
      <c r="X1226" s="3">
        <f>IF(fNotasFiscais[[#This Row],[Data da Entrega]]&gt;fNotasFiscais[[#This Row],[Data Contratada]],0,1)</f>
        <v>0</v>
      </c>
      <c r="Y1226" s="3">
        <f>IF(fNotasFiscais[[#This Row],[Ocorrência]]="",1,0)</f>
        <v>1</v>
      </c>
      <c r="Z1226" s="2">
        <f>fNotasFiscais[[#This Row],[On Time]]*fNotasFiscais[[#This Row],[In Full]]</f>
        <v>0</v>
      </c>
      <c r="AA1226">
        <f>IF(fNotasFiscais[[#This Row],[Nota Fiscal]]&lt;&gt;"",1,0)</f>
        <v>1</v>
      </c>
    </row>
    <row r="1227" spans="1:27" x14ac:dyDescent="0.25">
      <c r="A1227" s="1">
        <v>43468</v>
      </c>
      <c r="B1227">
        <v>11636</v>
      </c>
      <c r="C1227" s="2" t="s">
        <v>54</v>
      </c>
      <c r="D1227" s="2" t="s">
        <v>55</v>
      </c>
      <c r="E1227" s="2" t="s">
        <v>56</v>
      </c>
      <c r="F1227">
        <v>4049</v>
      </c>
      <c r="G1227" s="2" t="s">
        <v>118</v>
      </c>
      <c r="H1227" s="2" t="s">
        <v>97</v>
      </c>
      <c r="I1227" s="2" t="s">
        <v>48</v>
      </c>
      <c r="J1227" s="2" t="s">
        <v>49</v>
      </c>
      <c r="K1227" s="2" t="s">
        <v>48</v>
      </c>
      <c r="L1227">
        <v>11007.96</v>
      </c>
      <c r="M1227">
        <v>3</v>
      </c>
      <c r="N1227">
        <v>24.98</v>
      </c>
      <c r="O1227">
        <v>6100231</v>
      </c>
      <c r="P1227" s="2" t="s">
        <v>50</v>
      </c>
      <c r="Q1227" s="2" t="s">
        <v>51</v>
      </c>
      <c r="R1227" s="2" t="s">
        <v>30</v>
      </c>
      <c r="S1227">
        <v>6</v>
      </c>
      <c r="T1227" s="1">
        <v>43468</v>
      </c>
      <c r="U1227" s="1">
        <v>43472</v>
      </c>
      <c r="V1227" s="2"/>
      <c r="W1227" s="1">
        <f>fNotasFiscais[[#This Row],[Data da Coleta]]+fNotasFiscais[[#This Row],[Prazo Contratado]]</f>
        <v>43474</v>
      </c>
      <c r="X1227" s="3">
        <f>IF(fNotasFiscais[[#This Row],[Data da Entrega]]&gt;fNotasFiscais[[#This Row],[Data Contratada]],0,1)</f>
        <v>1</v>
      </c>
      <c r="Y1227" s="3">
        <f>IF(fNotasFiscais[[#This Row],[Ocorrência]]="",1,0)</f>
        <v>1</v>
      </c>
      <c r="Z1227" s="2">
        <f>fNotasFiscais[[#This Row],[On Time]]*fNotasFiscais[[#This Row],[In Full]]</f>
        <v>1</v>
      </c>
      <c r="AA1227">
        <f>IF(fNotasFiscais[[#This Row],[Nota Fiscal]]&lt;&gt;"",1,0)</f>
        <v>1</v>
      </c>
    </row>
    <row r="1228" spans="1:27" x14ac:dyDescent="0.25">
      <c r="A1228" s="1">
        <v>43469</v>
      </c>
      <c r="B1228">
        <v>11637</v>
      </c>
      <c r="C1228" s="2" t="s">
        <v>43</v>
      </c>
      <c r="D1228" s="2" t="s">
        <v>44</v>
      </c>
      <c r="E1228" s="2" t="s">
        <v>45</v>
      </c>
      <c r="F1228">
        <v>4013</v>
      </c>
      <c r="G1228" s="2" t="s">
        <v>37</v>
      </c>
      <c r="H1228" s="2" t="s">
        <v>38</v>
      </c>
      <c r="I1228" s="2" t="s">
        <v>39</v>
      </c>
      <c r="J1228" s="2" t="s">
        <v>28</v>
      </c>
      <c r="K1228" s="2" t="s">
        <v>39</v>
      </c>
      <c r="L1228">
        <v>2252.67</v>
      </c>
      <c r="M1228">
        <v>1</v>
      </c>
      <c r="N1228">
        <v>9.7119999999999997</v>
      </c>
      <c r="O1228">
        <v>6500948</v>
      </c>
      <c r="P1228" s="2" t="s">
        <v>29</v>
      </c>
      <c r="Q1228" s="2" t="s">
        <v>23</v>
      </c>
      <c r="R1228" s="2" t="s">
        <v>30</v>
      </c>
      <c r="S1228">
        <v>8</v>
      </c>
      <c r="T1228" s="1">
        <v>43469</v>
      </c>
      <c r="U1228" s="1">
        <v>43470</v>
      </c>
      <c r="V1228" s="2"/>
      <c r="W1228" s="1">
        <f>fNotasFiscais[[#This Row],[Data da Coleta]]+fNotasFiscais[[#This Row],[Prazo Contratado]]</f>
        <v>43477</v>
      </c>
      <c r="X1228" s="3">
        <f>IF(fNotasFiscais[[#This Row],[Data da Entrega]]&gt;fNotasFiscais[[#This Row],[Data Contratada]],0,1)</f>
        <v>1</v>
      </c>
      <c r="Y1228" s="3">
        <f>IF(fNotasFiscais[[#This Row],[Ocorrência]]="",1,0)</f>
        <v>1</v>
      </c>
      <c r="Z1228" s="2">
        <f>fNotasFiscais[[#This Row],[On Time]]*fNotasFiscais[[#This Row],[In Full]]</f>
        <v>1</v>
      </c>
      <c r="AA1228">
        <f>IF(fNotasFiscais[[#This Row],[Nota Fiscal]]&lt;&gt;"",1,0)</f>
        <v>1</v>
      </c>
    </row>
    <row r="1229" spans="1:27" x14ac:dyDescent="0.25">
      <c r="A1229" s="1">
        <v>43471</v>
      </c>
      <c r="B1229">
        <v>11638</v>
      </c>
      <c r="C1229" s="2" t="s">
        <v>22</v>
      </c>
      <c r="D1229" s="2" t="s">
        <v>23</v>
      </c>
      <c r="E1229" s="2" t="s">
        <v>24</v>
      </c>
      <c r="F1229">
        <v>4068</v>
      </c>
      <c r="G1229" s="2" t="s">
        <v>63</v>
      </c>
      <c r="H1229" s="2" t="s">
        <v>64</v>
      </c>
      <c r="I1229" s="2" t="s">
        <v>65</v>
      </c>
      <c r="J1229" s="2" t="s">
        <v>49</v>
      </c>
      <c r="K1229" s="2" t="s">
        <v>65</v>
      </c>
      <c r="L1229">
        <v>5514.83</v>
      </c>
      <c r="M1229">
        <v>2</v>
      </c>
      <c r="N1229">
        <v>14.96</v>
      </c>
      <c r="O1229">
        <v>6100231</v>
      </c>
      <c r="P1229" s="2" t="s">
        <v>50</v>
      </c>
      <c r="Q1229" s="2" t="s">
        <v>51</v>
      </c>
      <c r="R1229" s="2" t="s">
        <v>30</v>
      </c>
      <c r="S1229">
        <v>11</v>
      </c>
      <c r="T1229" s="1">
        <v>43471</v>
      </c>
      <c r="U1229" s="1">
        <v>43474</v>
      </c>
      <c r="V1229" s="2"/>
      <c r="W1229" s="1">
        <f>fNotasFiscais[[#This Row],[Data da Coleta]]+fNotasFiscais[[#This Row],[Prazo Contratado]]</f>
        <v>43482</v>
      </c>
      <c r="X1229" s="3">
        <f>IF(fNotasFiscais[[#This Row],[Data da Entrega]]&gt;fNotasFiscais[[#This Row],[Data Contratada]],0,1)</f>
        <v>1</v>
      </c>
      <c r="Y1229" s="3">
        <f>IF(fNotasFiscais[[#This Row],[Ocorrência]]="",1,0)</f>
        <v>1</v>
      </c>
      <c r="Z1229" s="2">
        <f>fNotasFiscais[[#This Row],[On Time]]*fNotasFiscais[[#This Row],[In Full]]</f>
        <v>1</v>
      </c>
      <c r="AA1229">
        <f>IF(fNotasFiscais[[#This Row],[Nota Fiscal]]&lt;&gt;"",1,0)</f>
        <v>1</v>
      </c>
    </row>
    <row r="1230" spans="1:27" x14ac:dyDescent="0.25">
      <c r="A1230" s="1">
        <v>43471</v>
      </c>
      <c r="B1230">
        <v>11639</v>
      </c>
      <c r="C1230" s="2" t="s">
        <v>43</v>
      </c>
      <c r="D1230" s="2" t="s">
        <v>44</v>
      </c>
      <c r="E1230" s="2" t="s">
        <v>45</v>
      </c>
      <c r="F1230">
        <v>4022</v>
      </c>
      <c r="G1230" s="2" t="s">
        <v>86</v>
      </c>
      <c r="H1230" s="2" t="s">
        <v>87</v>
      </c>
      <c r="I1230" s="2" t="s">
        <v>27</v>
      </c>
      <c r="J1230" s="2" t="s">
        <v>28</v>
      </c>
      <c r="K1230" s="2" t="s">
        <v>27</v>
      </c>
      <c r="L1230">
        <v>4095.47</v>
      </c>
      <c r="M1230">
        <v>1</v>
      </c>
      <c r="N1230">
        <v>8.2170000000000005</v>
      </c>
      <c r="O1230">
        <v>6500948</v>
      </c>
      <c r="P1230" s="2" t="s">
        <v>29</v>
      </c>
      <c r="Q1230" s="2" t="s">
        <v>23</v>
      </c>
      <c r="R1230" s="2" t="s">
        <v>30</v>
      </c>
      <c r="S1230">
        <v>6</v>
      </c>
      <c r="T1230" s="1">
        <v>43471</v>
      </c>
      <c r="U1230" s="1">
        <v>43480</v>
      </c>
      <c r="V1230" s="2"/>
      <c r="W1230" s="1">
        <f>fNotasFiscais[[#This Row],[Data da Coleta]]+fNotasFiscais[[#This Row],[Prazo Contratado]]</f>
        <v>43477</v>
      </c>
      <c r="X1230" s="3">
        <f>IF(fNotasFiscais[[#This Row],[Data da Entrega]]&gt;fNotasFiscais[[#This Row],[Data Contratada]],0,1)</f>
        <v>0</v>
      </c>
      <c r="Y1230" s="3">
        <f>IF(fNotasFiscais[[#This Row],[Ocorrência]]="",1,0)</f>
        <v>1</v>
      </c>
      <c r="Z1230" s="2">
        <f>fNotasFiscais[[#This Row],[On Time]]*fNotasFiscais[[#This Row],[In Full]]</f>
        <v>0</v>
      </c>
      <c r="AA1230">
        <f>IF(fNotasFiscais[[#This Row],[Nota Fiscal]]&lt;&gt;"",1,0)</f>
        <v>1</v>
      </c>
    </row>
    <row r="1231" spans="1:27" x14ac:dyDescent="0.25">
      <c r="A1231" s="1">
        <v>43471</v>
      </c>
      <c r="B1231">
        <v>11640</v>
      </c>
      <c r="C1231" s="2" t="s">
        <v>34</v>
      </c>
      <c r="D1231" s="2" t="s">
        <v>35</v>
      </c>
      <c r="E1231" s="2" t="s">
        <v>36</v>
      </c>
      <c r="F1231">
        <v>4022</v>
      </c>
      <c r="G1231" s="2" t="s">
        <v>86</v>
      </c>
      <c r="H1231" s="2" t="s">
        <v>87</v>
      </c>
      <c r="I1231" s="2" t="s">
        <v>27</v>
      </c>
      <c r="J1231" s="2" t="s">
        <v>28</v>
      </c>
      <c r="K1231" s="2" t="s">
        <v>27</v>
      </c>
      <c r="L1231">
        <v>382.01</v>
      </c>
      <c r="M1231">
        <v>1</v>
      </c>
      <c r="N1231">
        <v>2.105</v>
      </c>
      <c r="O1231">
        <v>6500948</v>
      </c>
      <c r="P1231" s="2" t="s">
        <v>29</v>
      </c>
      <c r="Q1231" s="2" t="s">
        <v>23</v>
      </c>
      <c r="R1231" s="2" t="s">
        <v>30</v>
      </c>
      <c r="S1231">
        <v>4</v>
      </c>
      <c r="T1231" s="1">
        <v>43471</v>
      </c>
      <c r="U1231" s="1">
        <v>43473</v>
      </c>
      <c r="V1231" s="2"/>
      <c r="W1231" s="1">
        <f>fNotasFiscais[[#This Row],[Data da Coleta]]+fNotasFiscais[[#This Row],[Prazo Contratado]]</f>
        <v>43475</v>
      </c>
      <c r="X1231" s="3">
        <f>IF(fNotasFiscais[[#This Row],[Data da Entrega]]&gt;fNotasFiscais[[#This Row],[Data Contratada]],0,1)</f>
        <v>1</v>
      </c>
      <c r="Y1231" s="3">
        <f>IF(fNotasFiscais[[#This Row],[Ocorrência]]="",1,0)</f>
        <v>1</v>
      </c>
      <c r="Z1231" s="2">
        <f>fNotasFiscais[[#This Row],[On Time]]*fNotasFiscais[[#This Row],[In Full]]</f>
        <v>1</v>
      </c>
      <c r="AA1231">
        <f>IF(fNotasFiscais[[#This Row],[Nota Fiscal]]&lt;&gt;"",1,0)</f>
        <v>1</v>
      </c>
    </row>
    <row r="1232" spans="1:27" x14ac:dyDescent="0.25">
      <c r="A1232" s="1">
        <v>43473</v>
      </c>
      <c r="B1232">
        <v>11641</v>
      </c>
      <c r="C1232" s="2" t="s">
        <v>52</v>
      </c>
      <c r="D1232" s="2" t="s">
        <v>53</v>
      </c>
      <c r="E1232" s="2" t="s">
        <v>33</v>
      </c>
      <c r="F1232">
        <v>4033</v>
      </c>
      <c r="G1232" s="2" t="s">
        <v>109</v>
      </c>
      <c r="H1232" s="2" t="s">
        <v>51</v>
      </c>
      <c r="I1232" s="2" t="s">
        <v>73</v>
      </c>
      <c r="J1232" s="2" t="s">
        <v>49</v>
      </c>
      <c r="K1232" s="2" t="s">
        <v>73</v>
      </c>
      <c r="L1232">
        <v>46.32</v>
      </c>
      <c r="M1232">
        <v>1</v>
      </c>
      <c r="N1232">
        <v>1.1200000000000001</v>
      </c>
      <c r="O1232">
        <v>6100231</v>
      </c>
      <c r="P1232" s="2" t="s">
        <v>50</v>
      </c>
      <c r="Q1232" s="2" t="s">
        <v>51</v>
      </c>
      <c r="R1232" s="2" t="s">
        <v>30</v>
      </c>
      <c r="S1232">
        <v>7</v>
      </c>
      <c r="T1232" s="1">
        <v>43473</v>
      </c>
      <c r="U1232" s="1">
        <v>43477</v>
      </c>
      <c r="V1232" s="2"/>
      <c r="W1232" s="1">
        <f>fNotasFiscais[[#This Row],[Data da Coleta]]+fNotasFiscais[[#This Row],[Prazo Contratado]]</f>
        <v>43480</v>
      </c>
      <c r="X1232" s="3">
        <f>IF(fNotasFiscais[[#This Row],[Data da Entrega]]&gt;fNotasFiscais[[#This Row],[Data Contratada]],0,1)</f>
        <v>1</v>
      </c>
      <c r="Y1232" s="3">
        <f>IF(fNotasFiscais[[#This Row],[Ocorrência]]="",1,0)</f>
        <v>1</v>
      </c>
      <c r="Z1232" s="2">
        <f>fNotasFiscais[[#This Row],[On Time]]*fNotasFiscais[[#This Row],[In Full]]</f>
        <v>1</v>
      </c>
      <c r="AA1232">
        <f>IF(fNotasFiscais[[#This Row],[Nota Fiscal]]&lt;&gt;"",1,0)</f>
        <v>1</v>
      </c>
    </row>
    <row r="1233" spans="1:27" x14ac:dyDescent="0.25">
      <c r="A1233" s="1">
        <v>43473</v>
      </c>
      <c r="B1233">
        <v>11642</v>
      </c>
      <c r="C1233" s="2" t="s">
        <v>52</v>
      </c>
      <c r="D1233" s="2" t="s">
        <v>53</v>
      </c>
      <c r="E1233" s="2" t="s">
        <v>33</v>
      </c>
      <c r="F1233">
        <v>4068</v>
      </c>
      <c r="G1233" s="2" t="s">
        <v>63</v>
      </c>
      <c r="H1233" s="2" t="s">
        <v>64</v>
      </c>
      <c r="I1233" s="2" t="s">
        <v>65</v>
      </c>
      <c r="J1233" s="2" t="s">
        <v>49</v>
      </c>
      <c r="K1233" s="2" t="s">
        <v>65</v>
      </c>
      <c r="L1233">
        <v>1009.18</v>
      </c>
      <c r="M1233">
        <v>1</v>
      </c>
      <c r="N1233">
        <v>1.1200000000000001</v>
      </c>
      <c r="O1233">
        <v>6100231</v>
      </c>
      <c r="P1233" s="2" t="s">
        <v>50</v>
      </c>
      <c r="Q1233" s="2" t="s">
        <v>51</v>
      </c>
      <c r="R1233" s="2" t="s">
        <v>30</v>
      </c>
      <c r="S1233">
        <v>8</v>
      </c>
      <c r="T1233" s="1">
        <v>43473</v>
      </c>
      <c r="U1233" s="1">
        <v>43477</v>
      </c>
      <c r="V1233" s="2"/>
      <c r="W1233" s="1">
        <f>fNotasFiscais[[#This Row],[Data da Coleta]]+fNotasFiscais[[#This Row],[Prazo Contratado]]</f>
        <v>43481</v>
      </c>
      <c r="X1233" s="3">
        <f>IF(fNotasFiscais[[#This Row],[Data da Entrega]]&gt;fNotasFiscais[[#This Row],[Data Contratada]],0,1)</f>
        <v>1</v>
      </c>
      <c r="Y1233" s="3">
        <f>IF(fNotasFiscais[[#This Row],[Ocorrência]]="",1,0)</f>
        <v>1</v>
      </c>
      <c r="Z1233" s="2">
        <f>fNotasFiscais[[#This Row],[On Time]]*fNotasFiscais[[#This Row],[In Full]]</f>
        <v>1</v>
      </c>
      <c r="AA1233">
        <f>IF(fNotasFiscais[[#This Row],[Nota Fiscal]]&lt;&gt;"",1,0)</f>
        <v>1</v>
      </c>
    </row>
    <row r="1234" spans="1:27" x14ac:dyDescent="0.25">
      <c r="A1234" s="1">
        <v>43473</v>
      </c>
      <c r="B1234">
        <v>11643</v>
      </c>
      <c r="C1234" s="2" t="s">
        <v>52</v>
      </c>
      <c r="D1234" s="2" t="s">
        <v>53</v>
      </c>
      <c r="E1234" s="2" t="s">
        <v>33</v>
      </c>
      <c r="F1234">
        <v>4068</v>
      </c>
      <c r="G1234" s="2" t="s">
        <v>63</v>
      </c>
      <c r="H1234" s="2" t="s">
        <v>64</v>
      </c>
      <c r="I1234" s="2" t="s">
        <v>65</v>
      </c>
      <c r="J1234" s="2" t="s">
        <v>49</v>
      </c>
      <c r="K1234" s="2" t="s">
        <v>65</v>
      </c>
      <c r="L1234">
        <v>246.09</v>
      </c>
      <c r="M1234">
        <v>1</v>
      </c>
      <c r="N1234">
        <v>3.6659999999999999</v>
      </c>
      <c r="O1234">
        <v>6100231</v>
      </c>
      <c r="P1234" s="2" t="s">
        <v>50</v>
      </c>
      <c r="Q1234" s="2" t="s">
        <v>51</v>
      </c>
      <c r="R1234" s="2" t="s">
        <v>30</v>
      </c>
      <c r="S1234">
        <v>1</v>
      </c>
      <c r="T1234" s="1">
        <v>43473</v>
      </c>
      <c r="U1234" s="1">
        <v>43480</v>
      </c>
      <c r="V1234" s="2"/>
      <c r="W1234" s="1">
        <f>fNotasFiscais[[#This Row],[Data da Coleta]]+fNotasFiscais[[#This Row],[Prazo Contratado]]</f>
        <v>43474</v>
      </c>
      <c r="X1234" s="3">
        <f>IF(fNotasFiscais[[#This Row],[Data da Entrega]]&gt;fNotasFiscais[[#This Row],[Data Contratada]],0,1)</f>
        <v>0</v>
      </c>
      <c r="Y1234" s="3">
        <f>IF(fNotasFiscais[[#This Row],[Ocorrência]]="",1,0)</f>
        <v>1</v>
      </c>
      <c r="Z1234" s="2">
        <f>fNotasFiscais[[#This Row],[On Time]]*fNotasFiscais[[#This Row],[In Full]]</f>
        <v>0</v>
      </c>
      <c r="AA1234">
        <f>IF(fNotasFiscais[[#This Row],[Nota Fiscal]]&lt;&gt;"",1,0)</f>
        <v>1</v>
      </c>
    </row>
    <row r="1235" spans="1:27" x14ac:dyDescent="0.25">
      <c r="A1235" s="1">
        <v>43474</v>
      </c>
      <c r="B1235">
        <v>11644</v>
      </c>
      <c r="C1235" s="2" t="s">
        <v>52</v>
      </c>
      <c r="D1235" s="2" t="s">
        <v>53</v>
      </c>
      <c r="E1235" s="2" t="s">
        <v>33</v>
      </c>
      <c r="F1235">
        <v>4069</v>
      </c>
      <c r="G1235" s="2" t="s">
        <v>135</v>
      </c>
      <c r="H1235" s="2" t="s">
        <v>47</v>
      </c>
      <c r="I1235" s="2" t="s">
        <v>48</v>
      </c>
      <c r="J1235" s="2" t="s">
        <v>49</v>
      </c>
      <c r="K1235" s="2" t="s">
        <v>48</v>
      </c>
      <c r="L1235">
        <v>755.25</v>
      </c>
      <c r="M1235">
        <v>1</v>
      </c>
      <c r="N1235">
        <v>1.1200000000000001</v>
      </c>
      <c r="O1235">
        <v>6100231</v>
      </c>
      <c r="P1235" s="2" t="s">
        <v>50</v>
      </c>
      <c r="Q1235" s="2" t="s">
        <v>51</v>
      </c>
      <c r="R1235" s="2" t="s">
        <v>30</v>
      </c>
      <c r="S1235">
        <v>9</v>
      </c>
      <c r="T1235" s="1">
        <v>43474</v>
      </c>
      <c r="U1235" s="1">
        <v>43477</v>
      </c>
      <c r="V1235" s="2"/>
      <c r="W1235" s="1">
        <f>fNotasFiscais[[#This Row],[Data da Coleta]]+fNotasFiscais[[#This Row],[Prazo Contratado]]</f>
        <v>43483</v>
      </c>
      <c r="X1235" s="3">
        <f>IF(fNotasFiscais[[#This Row],[Data da Entrega]]&gt;fNotasFiscais[[#This Row],[Data Contratada]],0,1)</f>
        <v>1</v>
      </c>
      <c r="Y1235" s="3">
        <f>IF(fNotasFiscais[[#This Row],[Ocorrência]]="",1,0)</f>
        <v>1</v>
      </c>
      <c r="Z1235" s="2">
        <f>fNotasFiscais[[#This Row],[On Time]]*fNotasFiscais[[#This Row],[In Full]]</f>
        <v>1</v>
      </c>
      <c r="AA1235">
        <f>IF(fNotasFiscais[[#This Row],[Nota Fiscal]]&lt;&gt;"",1,0)</f>
        <v>1</v>
      </c>
    </row>
    <row r="1236" spans="1:27" x14ac:dyDescent="0.25">
      <c r="A1236" s="1">
        <v>43474</v>
      </c>
      <c r="B1236">
        <v>11645</v>
      </c>
      <c r="C1236" s="2" t="s">
        <v>43</v>
      </c>
      <c r="D1236" s="2" t="s">
        <v>44</v>
      </c>
      <c r="E1236" s="2" t="s">
        <v>45</v>
      </c>
      <c r="F1236">
        <v>4055</v>
      </c>
      <c r="G1236" s="2" t="s">
        <v>120</v>
      </c>
      <c r="H1236" s="2" t="s">
        <v>47</v>
      </c>
      <c r="I1236" s="2" t="s">
        <v>48</v>
      </c>
      <c r="J1236" s="2" t="s">
        <v>49</v>
      </c>
      <c r="K1236" s="2" t="s">
        <v>48</v>
      </c>
      <c r="L1236">
        <v>2726.06</v>
      </c>
      <c r="M1236">
        <v>2</v>
      </c>
      <c r="N1236">
        <v>7.5190000000000001</v>
      </c>
      <c r="O1236">
        <v>6100231</v>
      </c>
      <c r="P1236" s="2" t="s">
        <v>50</v>
      </c>
      <c r="Q1236" s="2" t="s">
        <v>51</v>
      </c>
      <c r="R1236" s="2" t="s">
        <v>30</v>
      </c>
      <c r="S1236">
        <v>5</v>
      </c>
      <c r="T1236" s="1">
        <v>43474</v>
      </c>
      <c r="U1236" s="1">
        <v>43480</v>
      </c>
      <c r="V1236" s="2"/>
      <c r="W1236" s="1">
        <f>fNotasFiscais[[#This Row],[Data da Coleta]]+fNotasFiscais[[#This Row],[Prazo Contratado]]</f>
        <v>43479</v>
      </c>
      <c r="X1236" s="3">
        <f>IF(fNotasFiscais[[#This Row],[Data da Entrega]]&gt;fNotasFiscais[[#This Row],[Data Contratada]],0,1)</f>
        <v>0</v>
      </c>
      <c r="Y1236" s="3">
        <f>IF(fNotasFiscais[[#This Row],[Ocorrência]]="",1,0)</f>
        <v>1</v>
      </c>
      <c r="Z1236" s="2">
        <f>fNotasFiscais[[#This Row],[On Time]]*fNotasFiscais[[#This Row],[In Full]]</f>
        <v>0</v>
      </c>
      <c r="AA1236">
        <f>IF(fNotasFiscais[[#This Row],[Nota Fiscal]]&lt;&gt;"",1,0)</f>
        <v>1</v>
      </c>
    </row>
    <row r="1237" spans="1:27" x14ac:dyDescent="0.25">
      <c r="A1237" s="1">
        <v>43474</v>
      </c>
      <c r="B1237">
        <v>11646</v>
      </c>
      <c r="C1237" s="2" t="s">
        <v>43</v>
      </c>
      <c r="D1237" s="2" t="s">
        <v>44</v>
      </c>
      <c r="E1237" s="2" t="s">
        <v>45</v>
      </c>
      <c r="F1237">
        <v>4027</v>
      </c>
      <c r="G1237" s="2" t="s">
        <v>93</v>
      </c>
      <c r="H1237" s="2" t="s">
        <v>91</v>
      </c>
      <c r="I1237" s="2" t="s">
        <v>24</v>
      </c>
      <c r="J1237" s="2" t="s">
        <v>28</v>
      </c>
      <c r="K1237" s="2" t="s">
        <v>24</v>
      </c>
      <c r="L1237">
        <v>368.38</v>
      </c>
      <c r="M1237">
        <v>1</v>
      </c>
      <c r="N1237">
        <v>1.1200000000000001</v>
      </c>
      <c r="O1237">
        <v>6500948</v>
      </c>
      <c r="P1237" s="2" t="s">
        <v>29</v>
      </c>
      <c r="Q1237" s="2" t="s">
        <v>23</v>
      </c>
      <c r="R1237" s="2" t="s">
        <v>30</v>
      </c>
      <c r="S1237">
        <v>5</v>
      </c>
      <c r="T1237" s="1">
        <v>43474</v>
      </c>
      <c r="U1237" s="1">
        <v>43484</v>
      </c>
      <c r="V1237" s="2"/>
      <c r="W1237" s="1">
        <f>fNotasFiscais[[#This Row],[Data da Coleta]]+fNotasFiscais[[#This Row],[Prazo Contratado]]</f>
        <v>43479</v>
      </c>
      <c r="X1237" s="3">
        <f>IF(fNotasFiscais[[#This Row],[Data da Entrega]]&gt;fNotasFiscais[[#This Row],[Data Contratada]],0,1)</f>
        <v>0</v>
      </c>
      <c r="Y1237" s="3">
        <f>IF(fNotasFiscais[[#This Row],[Ocorrência]]="",1,0)</f>
        <v>1</v>
      </c>
      <c r="Z1237" s="2">
        <f>fNotasFiscais[[#This Row],[On Time]]*fNotasFiscais[[#This Row],[In Full]]</f>
        <v>0</v>
      </c>
      <c r="AA1237">
        <f>IF(fNotasFiscais[[#This Row],[Nota Fiscal]]&lt;&gt;"",1,0)</f>
        <v>1</v>
      </c>
    </row>
    <row r="1238" spans="1:27" x14ac:dyDescent="0.25">
      <c r="A1238" s="1">
        <v>43474</v>
      </c>
      <c r="B1238">
        <v>11647</v>
      </c>
      <c r="C1238" s="2" t="s">
        <v>31</v>
      </c>
      <c r="D1238" s="2" t="s">
        <v>32</v>
      </c>
      <c r="E1238" s="2" t="s">
        <v>33</v>
      </c>
      <c r="F1238">
        <v>4027</v>
      </c>
      <c r="G1238" s="2" t="s">
        <v>93</v>
      </c>
      <c r="H1238" s="2" t="s">
        <v>91</v>
      </c>
      <c r="I1238" s="2" t="s">
        <v>24</v>
      </c>
      <c r="J1238" s="2" t="s">
        <v>28</v>
      </c>
      <c r="K1238" s="2" t="s">
        <v>24</v>
      </c>
      <c r="L1238">
        <v>297.24</v>
      </c>
      <c r="M1238">
        <v>1</v>
      </c>
      <c r="N1238">
        <v>12.461</v>
      </c>
      <c r="O1238">
        <v>6500948</v>
      </c>
      <c r="P1238" s="2" t="s">
        <v>29</v>
      </c>
      <c r="Q1238" s="2" t="s">
        <v>23</v>
      </c>
      <c r="R1238" s="2" t="s">
        <v>30</v>
      </c>
      <c r="S1238">
        <v>7</v>
      </c>
      <c r="T1238" s="1">
        <v>43474</v>
      </c>
      <c r="U1238" s="1">
        <v>43479</v>
      </c>
      <c r="V1238" s="2"/>
      <c r="W1238" s="1">
        <f>fNotasFiscais[[#This Row],[Data da Coleta]]+fNotasFiscais[[#This Row],[Prazo Contratado]]</f>
        <v>43481</v>
      </c>
      <c r="X1238" s="3">
        <f>IF(fNotasFiscais[[#This Row],[Data da Entrega]]&gt;fNotasFiscais[[#This Row],[Data Contratada]],0,1)</f>
        <v>1</v>
      </c>
      <c r="Y1238" s="3">
        <f>IF(fNotasFiscais[[#This Row],[Ocorrência]]="",1,0)</f>
        <v>1</v>
      </c>
      <c r="Z1238" s="2">
        <f>fNotasFiscais[[#This Row],[On Time]]*fNotasFiscais[[#This Row],[In Full]]</f>
        <v>1</v>
      </c>
      <c r="AA1238">
        <f>IF(fNotasFiscais[[#This Row],[Nota Fiscal]]&lt;&gt;"",1,0)</f>
        <v>1</v>
      </c>
    </row>
    <row r="1239" spans="1:27" x14ac:dyDescent="0.25">
      <c r="A1239" s="1">
        <v>43474</v>
      </c>
      <c r="B1239">
        <v>11648</v>
      </c>
      <c r="C1239" s="2" t="s">
        <v>54</v>
      </c>
      <c r="D1239" s="2" t="s">
        <v>55</v>
      </c>
      <c r="E1239" s="2" t="s">
        <v>56</v>
      </c>
      <c r="F1239">
        <v>4055</v>
      </c>
      <c r="G1239" s="2" t="s">
        <v>120</v>
      </c>
      <c r="H1239" s="2" t="s">
        <v>47</v>
      </c>
      <c r="I1239" s="2" t="s">
        <v>48</v>
      </c>
      <c r="J1239" s="2" t="s">
        <v>49</v>
      </c>
      <c r="K1239" s="2" t="s">
        <v>48</v>
      </c>
      <c r="L1239">
        <v>1566.94</v>
      </c>
      <c r="M1239">
        <v>3</v>
      </c>
      <c r="N1239">
        <v>11.88</v>
      </c>
      <c r="O1239">
        <v>6100231</v>
      </c>
      <c r="P1239" s="2" t="s">
        <v>50</v>
      </c>
      <c r="Q1239" s="2" t="s">
        <v>51</v>
      </c>
      <c r="R1239" s="2" t="s">
        <v>30</v>
      </c>
      <c r="S1239">
        <v>5</v>
      </c>
      <c r="T1239" s="1">
        <v>43474</v>
      </c>
      <c r="U1239" s="1">
        <v>43482</v>
      </c>
      <c r="V1239" s="2"/>
      <c r="W1239" s="1">
        <f>fNotasFiscais[[#This Row],[Data da Coleta]]+fNotasFiscais[[#This Row],[Prazo Contratado]]</f>
        <v>43479</v>
      </c>
      <c r="X1239" s="3">
        <f>IF(fNotasFiscais[[#This Row],[Data da Entrega]]&gt;fNotasFiscais[[#This Row],[Data Contratada]],0,1)</f>
        <v>0</v>
      </c>
      <c r="Y1239" s="3">
        <f>IF(fNotasFiscais[[#This Row],[Ocorrência]]="",1,0)</f>
        <v>1</v>
      </c>
      <c r="Z1239" s="2">
        <f>fNotasFiscais[[#This Row],[On Time]]*fNotasFiscais[[#This Row],[In Full]]</f>
        <v>0</v>
      </c>
      <c r="AA1239">
        <f>IF(fNotasFiscais[[#This Row],[Nota Fiscal]]&lt;&gt;"",1,0)</f>
        <v>1</v>
      </c>
    </row>
    <row r="1240" spans="1:27" x14ac:dyDescent="0.25">
      <c r="A1240" s="1">
        <v>43474</v>
      </c>
      <c r="B1240">
        <v>11649</v>
      </c>
      <c r="C1240" s="2" t="s">
        <v>22</v>
      </c>
      <c r="D1240" s="2" t="s">
        <v>23</v>
      </c>
      <c r="E1240" s="2" t="s">
        <v>24</v>
      </c>
      <c r="F1240">
        <v>4030</v>
      </c>
      <c r="G1240" s="2" t="s">
        <v>102</v>
      </c>
      <c r="H1240" s="2" t="s">
        <v>35</v>
      </c>
      <c r="I1240" s="2" t="s">
        <v>36</v>
      </c>
      <c r="J1240" s="2" t="s">
        <v>60</v>
      </c>
      <c r="K1240" s="2" t="s">
        <v>36</v>
      </c>
      <c r="L1240">
        <v>1843.68</v>
      </c>
      <c r="M1240">
        <v>3</v>
      </c>
      <c r="N1240">
        <v>13.036</v>
      </c>
      <c r="O1240">
        <v>6600879</v>
      </c>
      <c r="P1240" s="2" t="s">
        <v>61</v>
      </c>
      <c r="Q1240" s="2" t="s">
        <v>35</v>
      </c>
      <c r="R1240" s="2" t="s">
        <v>30</v>
      </c>
      <c r="S1240">
        <v>11</v>
      </c>
      <c r="T1240" s="1">
        <v>43474</v>
      </c>
      <c r="U1240" s="1">
        <v>43479</v>
      </c>
      <c r="V1240" s="2"/>
      <c r="W1240" s="1">
        <f>fNotasFiscais[[#This Row],[Data da Coleta]]+fNotasFiscais[[#This Row],[Prazo Contratado]]</f>
        <v>43485</v>
      </c>
      <c r="X1240" s="3">
        <f>IF(fNotasFiscais[[#This Row],[Data da Entrega]]&gt;fNotasFiscais[[#This Row],[Data Contratada]],0,1)</f>
        <v>1</v>
      </c>
      <c r="Y1240" s="3">
        <f>IF(fNotasFiscais[[#This Row],[Ocorrência]]="",1,0)</f>
        <v>1</v>
      </c>
      <c r="Z1240" s="2">
        <f>fNotasFiscais[[#This Row],[On Time]]*fNotasFiscais[[#This Row],[In Full]]</f>
        <v>1</v>
      </c>
      <c r="AA1240">
        <f>IF(fNotasFiscais[[#This Row],[Nota Fiscal]]&lt;&gt;"",1,0)</f>
        <v>1</v>
      </c>
    </row>
    <row r="1241" spans="1:27" x14ac:dyDescent="0.25">
      <c r="A1241" s="1">
        <v>43474</v>
      </c>
      <c r="B1241">
        <v>11650</v>
      </c>
      <c r="C1241" s="2" t="s">
        <v>54</v>
      </c>
      <c r="D1241" s="2" t="s">
        <v>55</v>
      </c>
      <c r="E1241" s="2" t="s">
        <v>56</v>
      </c>
      <c r="F1241">
        <v>4030</v>
      </c>
      <c r="G1241" s="2" t="s">
        <v>102</v>
      </c>
      <c r="H1241" s="2" t="s">
        <v>35</v>
      </c>
      <c r="I1241" s="2" t="s">
        <v>36</v>
      </c>
      <c r="J1241" s="2" t="s">
        <v>60</v>
      </c>
      <c r="K1241" s="2" t="s">
        <v>36</v>
      </c>
      <c r="L1241">
        <v>11344.17</v>
      </c>
      <c r="M1241">
        <v>22</v>
      </c>
      <c r="N1241">
        <v>92.4</v>
      </c>
      <c r="O1241">
        <v>6600879</v>
      </c>
      <c r="P1241" s="2" t="s">
        <v>61</v>
      </c>
      <c r="Q1241" s="2" t="s">
        <v>35</v>
      </c>
      <c r="R1241" s="2" t="s">
        <v>30</v>
      </c>
      <c r="S1241">
        <v>7</v>
      </c>
      <c r="T1241" s="1">
        <v>43474</v>
      </c>
      <c r="U1241" s="1">
        <v>43479</v>
      </c>
      <c r="V1241" s="2"/>
      <c r="W1241" s="1">
        <f>fNotasFiscais[[#This Row],[Data da Coleta]]+fNotasFiscais[[#This Row],[Prazo Contratado]]</f>
        <v>43481</v>
      </c>
      <c r="X1241" s="3">
        <f>IF(fNotasFiscais[[#This Row],[Data da Entrega]]&gt;fNotasFiscais[[#This Row],[Data Contratada]],0,1)</f>
        <v>1</v>
      </c>
      <c r="Y1241" s="3">
        <f>IF(fNotasFiscais[[#This Row],[Ocorrência]]="",1,0)</f>
        <v>1</v>
      </c>
      <c r="Z1241" s="2">
        <f>fNotasFiscais[[#This Row],[On Time]]*fNotasFiscais[[#This Row],[In Full]]</f>
        <v>1</v>
      </c>
      <c r="AA1241">
        <f>IF(fNotasFiscais[[#This Row],[Nota Fiscal]]&lt;&gt;"",1,0)</f>
        <v>1</v>
      </c>
    </row>
    <row r="1242" spans="1:27" x14ac:dyDescent="0.25">
      <c r="A1242" s="1">
        <v>43475</v>
      </c>
      <c r="B1242">
        <v>11651</v>
      </c>
      <c r="C1242" s="2" t="s">
        <v>52</v>
      </c>
      <c r="D1242" s="2" t="s">
        <v>53</v>
      </c>
      <c r="E1242" s="2" t="s">
        <v>33</v>
      </c>
      <c r="F1242">
        <v>4128</v>
      </c>
      <c r="G1242" s="2" t="s">
        <v>211</v>
      </c>
      <c r="H1242" s="2" t="s">
        <v>167</v>
      </c>
      <c r="I1242" s="2" t="s">
        <v>168</v>
      </c>
      <c r="J1242" s="2" t="s">
        <v>169</v>
      </c>
      <c r="K1242" s="2" t="s">
        <v>168</v>
      </c>
      <c r="L1242">
        <v>2703.33</v>
      </c>
      <c r="M1242">
        <v>5</v>
      </c>
      <c r="N1242">
        <v>19.8</v>
      </c>
      <c r="O1242">
        <v>6900304</v>
      </c>
      <c r="P1242" s="2" t="s">
        <v>170</v>
      </c>
      <c r="Q1242" s="2" t="s">
        <v>171</v>
      </c>
      <c r="R1242" s="2" t="s">
        <v>30</v>
      </c>
      <c r="S1242">
        <v>3</v>
      </c>
      <c r="T1242" s="1">
        <v>43475</v>
      </c>
      <c r="U1242" s="1">
        <v>43482</v>
      </c>
      <c r="V1242" s="2"/>
      <c r="W1242" s="1">
        <f>fNotasFiscais[[#This Row],[Data da Coleta]]+fNotasFiscais[[#This Row],[Prazo Contratado]]</f>
        <v>43478</v>
      </c>
      <c r="X1242" s="3">
        <f>IF(fNotasFiscais[[#This Row],[Data da Entrega]]&gt;fNotasFiscais[[#This Row],[Data Contratada]],0,1)</f>
        <v>0</v>
      </c>
      <c r="Y1242" s="3">
        <f>IF(fNotasFiscais[[#This Row],[Ocorrência]]="",1,0)</f>
        <v>1</v>
      </c>
      <c r="Z1242" s="2">
        <f>fNotasFiscais[[#This Row],[On Time]]*fNotasFiscais[[#This Row],[In Full]]</f>
        <v>0</v>
      </c>
      <c r="AA1242">
        <f>IF(fNotasFiscais[[#This Row],[Nota Fiscal]]&lt;&gt;"",1,0)</f>
        <v>1</v>
      </c>
    </row>
    <row r="1243" spans="1:27" x14ac:dyDescent="0.25">
      <c r="A1243" s="1">
        <v>43475</v>
      </c>
      <c r="B1243">
        <v>11652</v>
      </c>
      <c r="C1243" s="2" t="s">
        <v>43</v>
      </c>
      <c r="D1243" s="2" t="s">
        <v>44</v>
      </c>
      <c r="E1243" s="2" t="s">
        <v>45</v>
      </c>
      <c r="F1243">
        <v>4062</v>
      </c>
      <c r="G1243" s="2" t="s">
        <v>96</v>
      </c>
      <c r="H1243" s="2" t="s">
        <v>97</v>
      </c>
      <c r="I1243" s="2" t="s">
        <v>48</v>
      </c>
      <c r="J1243" s="2" t="s">
        <v>49</v>
      </c>
      <c r="K1243" s="2" t="s">
        <v>48</v>
      </c>
      <c r="L1243">
        <v>2843.46</v>
      </c>
      <c r="M1243">
        <v>3</v>
      </c>
      <c r="N1243">
        <v>13.196</v>
      </c>
      <c r="O1243">
        <v>6100231</v>
      </c>
      <c r="P1243" s="2" t="s">
        <v>50</v>
      </c>
      <c r="Q1243" s="2" t="s">
        <v>51</v>
      </c>
      <c r="R1243" s="2" t="s">
        <v>30</v>
      </c>
      <c r="S1243">
        <v>8</v>
      </c>
      <c r="T1243" s="1">
        <v>43475</v>
      </c>
      <c r="U1243" s="1">
        <v>43482</v>
      </c>
      <c r="V1243" s="2"/>
      <c r="W1243" s="1">
        <f>fNotasFiscais[[#This Row],[Data da Coleta]]+fNotasFiscais[[#This Row],[Prazo Contratado]]</f>
        <v>43483</v>
      </c>
      <c r="X1243" s="3">
        <f>IF(fNotasFiscais[[#This Row],[Data da Entrega]]&gt;fNotasFiscais[[#This Row],[Data Contratada]],0,1)</f>
        <v>1</v>
      </c>
      <c r="Y1243" s="3">
        <f>IF(fNotasFiscais[[#This Row],[Ocorrência]]="",1,0)</f>
        <v>1</v>
      </c>
      <c r="Z1243" s="2">
        <f>fNotasFiscais[[#This Row],[On Time]]*fNotasFiscais[[#This Row],[In Full]]</f>
        <v>1</v>
      </c>
      <c r="AA1243">
        <f>IF(fNotasFiscais[[#This Row],[Nota Fiscal]]&lt;&gt;"",1,0)</f>
        <v>1</v>
      </c>
    </row>
    <row r="1244" spans="1:27" x14ac:dyDescent="0.25">
      <c r="A1244" s="1">
        <v>43475</v>
      </c>
      <c r="B1244">
        <v>11653</v>
      </c>
      <c r="C1244" s="2" t="s">
        <v>40</v>
      </c>
      <c r="D1244" s="2" t="s">
        <v>41</v>
      </c>
      <c r="E1244" s="2" t="s">
        <v>33</v>
      </c>
      <c r="F1244">
        <v>4040</v>
      </c>
      <c r="G1244" s="2" t="s">
        <v>117</v>
      </c>
      <c r="H1244" s="2" t="s">
        <v>47</v>
      </c>
      <c r="I1244" s="2" t="s">
        <v>48</v>
      </c>
      <c r="J1244" s="2" t="s">
        <v>49</v>
      </c>
      <c r="K1244" s="2" t="s">
        <v>48</v>
      </c>
      <c r="L1244">
        <v>2779</v>
      </c>
      <c r="M1244">
        <v>6</v>
      </c>
      <c r="N1244">
        <v>25.08</v>
      </c>
      <c r="O1244">
        <v>6100231</v>
      </c>
      <c r="P1244" s="2" t="s">
        <v>50</v>
      </c>
      <c r="Q1244" s="2" t="s">
        <v>51</v>
      </c>
      <c r="R1244" s="2" t="s">
        <v>30</v>
      </c>
      <c r="S1244">
        <v>5</v>
      </c>
      <c r="T1244" s="1">
        <v>43475</v>
      </c>
      <c r="U1244" s="1">
        <v>43477</v>
      </c>
      <c r="V1244" s="2"/>
      <c r="W1244" s="1">
        <f>fNotasFiscais[[#This Row],[Data da Coleta]]+fNotasFiscais[[#This Row],[Prazo Contratado]]</f>
        <v>43480</v>
      </c>
      <c r="X1244" s="3">
        <f>IF(fNotasFiscais[[#This Row],[Data da Entrega]]&gt;fNotasFiscais[[#This Row],[Data Contratada]],0,1)</f>
        <v>1</v>
      </c>
      <c r="Y1244" s="3">
        <f>IF(fNotasFiscais[[#This Row],[Ocorrência]]="",1,0)</f>
        <v>1</v>
      </c>
      <c r="Z1244" s="2">
        <f>fNotasFiscais[[#This Row],[On Time]]*fNotasFiscais[[#This Row],[In Full]]</f>
        <v>1</v>
      </c>
      <c r="AA1244">
        <f>IF(fNotasFiscais[[#This Row],[Nota Fiscal]]&lt;&gt;"",1,0)</f>
        <v>1</v>
      </c>
    </row>
    <row r="1245" spans="1:27" x14ac:dyDescent="0.25">
      <c r="A1245" s="1">
        <v>43474</v>
      </c>
      <c r="B1245">
        <v>11654</v>
      </c>
      <c r="C1245" s="2" t="s">
        <v>40</v>
      </c>
      <c r="D1245" s="2" t="s">
        <v>41</v>
      </c>
      <c r="E1245" s="2" t="s">
        <v>33</v>
      </c>
      <c r="F1245">
        <v>4028</v>
      </c>
      <c r="G1245" s="2" t="s">
        <v>95</v>
      </c>
      <c r="H1245" s="2" t="s">
        <v>26</v>
      </c>
      <c r="I1245" s="2" t="s">
        <v>27</v>
      </c>
      <c r="J1245" s="2" t="s">
        <v>28</v>
      </c>
      <c r="K1245" s="2" t="s">
        <v>27</v>
      </c>
      <c r="L1245">
        <v>674.4</v>
      </c>
      <c r="M1245">
        <v>1</v>
      </c>
      <c r="N1245">
        <v>5.7640000000000002</v>
      </c>
      <c r="O1245">
        <v>6500948</v>
      </c>
      <c r="P1245" s="2" t="s">
        <v>29</v>
      </c>
      <c r="Q1245" s="2" t="s">
        <v>23</v>
      </c>
      <c r="R1245" s="2" t="s">
        <v>30</v>
      </c>
      <c r="S1245">
        <v>4</v>
      </c>
      <c r="T1245" s="1">
        <v>43475</v>
      </c>
      <c r="U1245" s="1">
        <v>43478</v>
      </c>
      <c r="V1245" s="2"/>
      <c r="W1245" s="1">
        <f>fNotasFiscais[[#This Row],[Data da Coleta]]+fNotasFiscais[[#This Row],[Prazo Contratado]]</f>
        <v>43479</v>
      </c>
      <c r="X1245" s="3">
        <f>IF(fNotasFiscais[[#This Row],[Data da Entrega]]&gt;fNotasFiscais[[#This Row],[Data Contratada]],0,1)</f>
        <v>1</v>
      </c>
      <c r="Y1245" s="3">
        <f>IF(fNotasFiscais[[#This Row],[Ocorrência]]="",1,0)</f>
        <v>1</v>
      </c>
      <c r="Z1245" s="2">
        <f>fNotasFiscais[[#This Row],[On Time]]*fNotasFiscais[[#This Row],[In Full]]</f>
        <v>1</v>
      </c>
      <c r="AA1245">
        <f>IF(fNotasFiscais[[#This Row],[Nota Fiscal]]&lt;&gt;"",1,0)</f>
        <v>1</v>
      </c>
    </row>
    <row r="1246" spans="1:27" x14ac:dyDescent="0.25">
      <c r="A1246" s="1">
        <v>43474</v>
      </c>
      <c r="B1246">
        <v>11655</v>
      </c>
      <c r="C1246" s="2" t="s">
        <v>40</v>
      </c>
      <c r="D1246" s="2" t="s">
        <v>41</v>
      </c>
      <c r="E1246" s="2" t="s">
        <v>33</v>
      </c>
      <c r="F1246">
        <v>4040</v>
      </c>
      <c r="G1246" s="2" t="s">
        <v>117</v>
      </c>
      <c r="H1246" s="2" t="s">
        <v>47</v>
      </c>
      <c r="I1246" s="2" t="s">
        <v>48</v>
      </c>
      <c r="J1246" s="2" t="s">
        <v>49</v>
      </c>
      <c r="K1246" s="2" t="s">
        <v>48</v>
      </c>
      <c r="L1246">
        <v>1307.3399999999999</v>
      </c>
      <c r="M1246">
        <v>2</v>
      </c>
      <c r="N1246">
        <v>9.9440000000000008</v>
      </c>
      <c r="O1246">
        <v>6100231</v>
      </c>
      <c r="P1246" s="2" t="s">
        <v>50</v>
      </c>
      <c r="Q1246" s="2" t="s">
        <v>51</v>
      </c>
      <c r="R1246" s="2" t="s">
        <v>30</v>
      </c>
      <c r="S1246">
        <v>5</v>
      </c>
      <c r="T1246" s="1">
        <v>43475</v>
      </c>
      <c r="U1246" s="1">
        <v>43478</v>
      </c>
      <c r="V1246" s="2"/>
      <c r="W1246" s="1">
        <f>fNotasFiscais[[#This Row],[Data da Coleta]]+fNotasFiscais[[#This Row],[Prazo Contratado]]</f>
        <v>43480</v>
      </c>
      <c r="X1246" s="3">
        <f>IF(fNotasFiscais[[#This Row],[Data da Entrega]]&gt;fNotasFiscais[[#This Row],[Data Contratada]],0,1)</f>
        <v>1</v>
      </c>
      <c r="Y1246" s="3">
        <f>IF(fNotasFiscais[[#This Row],[Ocorrência]]="",1,0)</f>
        <v>1</v>
      </c>
      <c r="Z1246" s="2">
        <f>fNotasFiscais[[#This Row],[On Time]]*fNotasFiscais[[#This Row],[In Full]]</f>
        <v>1</v>
      </c>
      <c r="AA1246">
        <f>IF(fNotasFiscais[[#This Row],[Nota Fiscal]]&lt;&gt;"",1,0)</f>
        <v>1</v>
      </c>
    </row>
    <row r="1247" spans="1:27" x14ac:dyDescent="0.25">
      <c r="A1247" s="1">
        <v>43474</v>
      </c>
      <c r="B1247">
        <v>11656</v>
      </c>
      <c r="C1247" s="2" t="s">
        <v>22</v>
      </c>
      <c r="D1247" s="2" t="s">
        <v>23</v>
      </c>
      <c r="E1247" s="2" t="s">
        <v>24</v>
      </c>
      <c r="F1247">
        <v>4062</v>
      </c>
      <c r="G1247" s="2" t="s">
        <v>96</v>
      </c>
      <c r="H1247" s="2" t="s">
        <v>97</v>
      </c>
      <c r="I1247" s="2" t="s">
        <v>48</v>
      </c>
      <c r="J1247" s="2" t="s">
        <v>49</v>
      </c>
      <c r="K1247" s="2" t="s">
        <v>48</v>
      </c>
      <c r="L1247">
        <v>1053.3699999999999</v>
      </c>
      <c r="M1247">
        <v>2</v>
      </c>
      <c r="N1247">
        <v>7.92</v>
      </c>
      <c r="O1247">
        <v>6100231</v>
      </c>
      <c r="P1247" s="2" t="s">
        <v>50</v>
      </c>
      <c r="Q1247" s="2" t="s">
        <v>51</v>
      </c>
      <c r="R1247" s="2" t="s">
        <v>30</v>
      </c>
      <c r="S1247">
        <v>2</v>
      </c>
      <c r="T1247" s="1">
        <v>43475</v>
      </c>
      <c r="U1247" s="1">
        <v>43484</v>
      </c>
      <c r="V1247" s="2"/>
      <c r="W1247" s="1">
        <f>fNotasFiscais[[#This Row],[Data da Coleta]]+fNotasFiscais[[#This Row],[Prazo Contratado]]</f>
        <v>43477</v>
      </c>
      <c r="X1247" s="3">
        <f>IF(fNotasFiscais[[#This Row],[Data da Entrega]]&gt;fNotasFiscais[[#This Row],[Data Contratada]],0,1)</f>
        <v>0</v>
      </c>
      <c r="Y1247" s="3">
        <f>IF(fNotasFiscais[[#This Row],[Ocorrência]]="",1,0)</f>
        <v>1</v>
      </c>
      <c r="Z1247" s="2">
        <f>fNotasFiscais[[#This Row],[On Time]]*fNotasFiscais[[#This Row],[In Full]]</f>
        <v>0</v>
      </c>
      <c r="AA1247">
        <f>IF(fNotasFiscais[[#This Row],[Nota Fiscal]]&lt;&gt;"",1,0)</f>
        <v>1</v>
      </c>
    </row>
    <row r="1248" spans="1:27" x14ac:dyDescent="0.25">
      <c r="A1248" s="1">
        <v>43474</v>
      </c>
      <c r="B1248">
        <v>11657</v>
      </c>
      <c r="C1248" s="2" t="s">
        <v>31</v>
      </c>
      <c r="D1248" s="2" t="s">
        <v>32</v>
      </c>
      <c r="E1248" s="2" t="s">
        <v>33</v>
      </c>
      <c r="F1248">
        <v>4028</v>
      </c>
      <c r="G1248" s="2" t="s">
        <v>95</v>
      </c>
      <c r="H1248" s="2" t="s">
        <v>26</v>
      </c>
      <c r="I1248" s="2" t="s">
        <v>27</v>
      </c>
      <c r="J1248" s="2" t="s">
        <v>28</v>
      </c>
      <c r="K1248" s="2" t="s">
        <v>27</v>
      </c>
      <c r="L1248">
        <v>570.14</v>
      </c>
      <c r="M1248">
        <v>1</v>
      </c>
      <c r="N1248">
        <v>5.5</v>
      </c>
      <c r="O1248">
        <v>6500948</v>
      </c>
      <c r="P1248" s="2" t="s">
        <v>29</v>
      </c>
      <c r="Q1248" s="2" t="s">
        <v>23</v>
      </c>
      <c r="R1248" s="2" t="s">
        <v>30</v>
      </c>
      <c r="S1248">
        <v>3</v>
      </c>
      <c r="T1248" s="1">
        <v>43475</v>
      </c>
      <c r="U1248" s="1">
        <v>43485</v>
      </c>
      <c r="V1248" s="2"/>
      <c r="W1248" s="1">
        <f>fNotasFiscais[[#This Row],[Data da Coleta]]+fNotasFiscais[[#This Row],[Prazo Contratado]]</f>
        <v>43478</v>
      </c>
      <c r="X1248" s="3">
        <f>IF(fNotasFiscais[[#This Row],[Data da Entrega]]&gt;fNotasFiscais[[#This Row],[Data Contratada]],0,1)</f>
        <v>0</v>
      </c>
      <c r="Y1248" s="3">
        <f>IF(fNotasFiscais[[#This Row],[Ocorrência]]="",1,0)</f>
        <v>1</v>
      </c>
      <c r="Z1248" s="2">
        <f>fNotasFiscais[[#This Row],[On Time]]*fNotasFiscais[[#This Row],[In Full]]</f>
        <v>0</v>
      </c>
      <c r="AA1248">
        <f>IF(fNotasFiscais[[#This Row],[Nota Fiscal]]&lt;&gt;"",1,0)</f>
        <v>1</v>
      </c>
    </row>
    <row r="1249" spans="1:27" x14ac:dyDescent="0.25">
      <c r="A1249" s="1">
        <v>43475</v>
      </c>
      <c r="B1249">
        <v>11658</v>
      </c>
      <c r="C1249" s="2" t="s">
        <v>40</v>
      </c>
      <c r="D1249" s="2" t="s">
        <v>41</v>
      </c>
      <c r="E1249" s="2" t="s">
        <v>33</v>
      </c>
      <c r="F1249">
        <v>4013</v>
      </c>
      <c r="G1249" s="2" t="s">
        <v>37</v>
      </c>
      <c r="H1249" s="2" t="s">
        <v>38</v>
      </c>
      <c r="I1249" s="2" t="s">
        <v>39</v>
      </c>
      <c r="J1249" s="2" t="s">
        <v>28</v>
      </c>
      <c r="K1249" s="2" t="s">
        <v>39</v>
      </c>
      <c r="L1249">
        <v>8261.3700000000008</v>
      </c>
      <c r="M1249">
        <v>19</v>
      </c>
      <c r="N1249">
        <v>84.31</v>
      </c>
      <c r="O1249">
        <v>6500948</v>
      </c>
      <c r="P1249" s="2" t="s">
        <v>29</v>
      </c>
      <c r="Q1249" s="2" t="s">
        <v>23</v>
      </c>
      <c r="R1249" s="2" t="s">
        <v>30</v>
      </c>
      <c r="S1249">
        <v>12</v>
      </c>
      <c r="T1249" s="1">
        <v>43476</v>
      </c>
      <c r="U1249" s="1">
        <v>43486</v>
      </c>
      <c r="V1249" s="2"/>
      <c r="W1249" s="1">
        <f>fNotasFiscais[[#This Row],[Data da Coleta]]+fNotasFiscais[[#This Row],[Prazo Contratado]]</f>
        <v>43488</v>
      </c>
      <c r="X1249" s="3">
        <f>IF(fNotasFiscais[[#This Row],[Data da Entrega]]&gt;fNotasFiscais[[#This Row],[Data Contratada]],0,1)</f>
        <v>1</v>
      </c>
      <c r="Y1249" s="3">
        <f>IF(fNotasFiscais[[#This Row],[Ocorrência]]="",1,0)</f>
        <v>1</v>
      </c>
      <c r="Z1249" s="2">
        <f>fNotasFiscais[[#This Row],[On Time]]*fNotasFiscais[[#This Row],[In Full]]</f>
        <v>1</v>
      </c>
      <c r="AA1249">
        <f>IF(fNotasFiscais[[#This Row],[Nota Fiscal]]&lt;&gt;"",1,0)</f>
        <v>1</v>
      </c>
    </row>
    <row r="1250" spans="1:27" x14ac:dyDescent="0.25">
      <c r="A1250" s="1">
        <v>43476</v>
      </c>
      <c r="B1250">
        <v>11659</v>
      </c>
      <c r="C1250" s="2" t="s">
        <v>54</v>
      </c>
      <c r="D1250" s="2" t="s">
        <v>55</v>
      </c>
      <c r="E1250" s="2" t="s">
        <v>56</v>
      </c>
      <c r="F1250">
        <v>4019</v>
      </c>
      <c r="G1250" s="2" t="s">
        <v>79</v>
      </c>
      <c r="H1250" s="2" t="s">
        <v>80</v>
      </c>
      <c r="I1250" s="2" t="s">
        <v>39</v>
      </c>
      <c r="J1250" s="2" t="s">
        <v>28</v>
      </c>
      <c r="K1250" s="2" t="s">
        <v>39</v>
      </c>
      <c r="L1250">
        <v>621.24</v>
      </c>
      <c r="M1250">
        <v>1</v>
      </c>
      <c r="N1250">
        <v>4.6760000000000002</v>
      </c>
      <c r="O1250">
        <v>6500948</v>
      </c>
      <c r="P1250" s="2" t="s">
        <v>29</v>
      </c>
      <c r="Q1250" s="2" t="s">
        <v>23</v>
      </c>
      <c r="R1250" s="2" t="s">
        <v>30</v>
      </c>
      <c r="S1250">
        <v>11</v>
      </c>
      <c r="T1250" s="1">
        <v>43477</v>
      </c>
      <c r="U1250" s="1">
        <v>43482</v>
      </c>
      <c r="V1250" s="2"/>
      <c r="W1250" s="1">
        <f>fNotasFiscais[[#This Row],[Data da Coleta]]+fNotasFiscais[[#This Row],[Prazo Contratado]]</f>
        <v>43488</v>
      </c>
      <c r="X1250" s="3">
        <f>IF(fNotasFiscais[[#This Row],[Data da Entrega]]&gt;fNotasFiscais[[#This Row],[Data Contratada]],0,1)</f>
        <v>1</v>
      </c>
      <c r="Y1250" s="3">
        <f>IF(fNotasFiscais[[#This Row],[Ocorrência]]="",1,0)</f>
        <v>1</v>
      </c>
      <c r="Z1250" s="2">
        <f>fNotasFiscais[[#This Row],[On Time]]*fNotasFiscais[[#This Row],[In Full]]</f>
        <v>1</v>
      </c>
      <c r="AA1250">
        <f>IF(fNotasFiscais[[#This Row],[Nota Fiscal]]&lt;&gt;"",1,0)</f>
        <v>1</v>
      </c>
    </row>
    <row r="1251" spans="1:27" x14ac:dyDescent="0.25">
      <c r="A1251" s="1">
        <v>43476</v>
      </c>
      <c r="B1251">
        <v>11660</v>
      </c>
      <c r="C1251" s="2" t="s">
        <v>31</v>
      </c>
      <c r="D1251" s="2" t="s">
        <v>32</v>
      </c>
      <c r="E1251" s="2" t="s">
        <v>33</v>
      </c>
      <c r="F1251">
        <v>4019</v>
      </c>
      <c r="G1251" s="2" t="s">
        <v>79</v>
      </c>
      <c r="H1251" s="2" t="s">
        <v>80</v>
      </c>
      <c r="I1251" s="2" t="s">
        <v>39</v>
      </c>
      <c r="J1251" s="2" t="s">
        <v>28</v>
      </c>
      <c r="K1251" s="2" t="s">
        <v>39</v>
      </c>
      <c r="L1251">
        <v>678</v>
      </c>
      <c r="M1251">
        <v>1</v>
      </c>
      <c r="N1251">
        <v>5.7640000000000002</v>
      </c>
      <c r="O1251">
        <v>6500948</v>
      </c>
      <c r="P1251" s="2" t="s">
        <v>29</v>
      </c>
      <c r="Q1251" s="2" t="s">
        <v>23</v>
      </c>
      <c r="R1251" s="2" t="s">
        <v>30</v>
      </c>
      <c r="S1251">
        <v>8</v>
      </c>
      <c r="T1251" s="1">
        <v>43477</v>
      </c>
      <c r="U1251" s="1">
        <v>43487</v>
      </c>
      <c r="V1251" s="2"/>
      <c r="W1251" s="1">
        <f>fNotasFiscais[[#This Row],[Data da Coleta]]+fNotasFiscais[[#This Row],[Prazo Contratado]]</f>
        <v>43485</v>
      </c>
      <c r="X1251" s="3">
        <f>IF(fNotasFiscais[[#This Row],[Data da Entrega]]&gt;fNotasFiscais[[#This Row],[Data Contratada]],0,1)</f>
        <v>0</v>
      </c>
      <c r="Y1251" s="3">
        <f>IF(fNotasFiscais[[#This Row],[Ocorrência]]="",1,0)</f>
        <v>1</v>
      </c>
      <c r="Z1251" s="2">
        <f>fNotasFiscais[[#This Row],[On Time]]*fNotasFiscais[[#This Row],[In Full]]</f>
        <v>0</v>
      </c>
      <c r="AA1251">
        <f>IF(fNotasFiscais[[#This Row],[Nota Fiscal]]&lt;&gt;"",1,0)</f>
        <v>1</v>
      </c>
    </row>
    <row r="1252" spans="1:27" x14ac:dyDescent="0.25">
      <c r="A1252" s="1">
        <v>43476</v>
      </c>
      <c r="B1252">
        <v>11661</v>
      </c>
      <c r="C1252" s="2" t="s">
        <v>43</v>
      </c>
      <c r="D1252" s="2" t="s">
        <v>44</v>
      </c>
      <c r="E1252" s="2" t="s">
        <v>45</v>
      </c>
      <c r="F1252">
        <v>4019</v>
      </c>
      <c r="G1252" s="2" t="s">
        <v>79</v>
      </c>
      <c r="H1252" s="2" t="s">
        <v>80</v>
      </c>
      <c r="I1252" s="2" t="s">
        <v>39</v>
      </c>
      <c r="J1252" s="2" t="s">
        <v>28</v>
      </c>
      <c r="K1252" s="2" t="s">
        <v>39</v>
      </c>
      <c r="L1252">
        <v>82.08</v>
      </c>
      <c r="M1252">
        <v>1</v>
      </c>
      <c r="N1252">
        <v>1.87</v>
      </c>
      <c r="O1252">
        <v>6500948</v>
      </c>
      <c r="P1252" s="2" t="s">
        <v>29</v>
      </c>
      <c r="Q1252" s="2" t="s">
        <v>23</v>
      </c>
      <c r="R1252" s="2" t="s">
        <v>30</v>
      </c>
      <c r="S1252">
        <v>7</v>
      </c>
      <c r="T1252" s="1">
        <v>43477</v>
      </c>
      <c r="U1252" s="1">
        <v>43478</v>
      </c>
      <c r="V1252" s="2"/>
      <c r="W1252" s="1">
        <f>fNotasFiscais[[#This Row],[Data da Coleta]]+fNotasFiscais[[#This Row],[Prazo Contratado]]</f>
        <v>43484</v>
      </c>
      <c r="X1252" s="3">
        <f>IF(fNotasFiscais[[#This Row],[Data da Entrega]]&gt;fNotasFiscais[[#This Row],[Data Contratada]],0,1)</f>
        <v>1</v>
      </c>
      <c r="Y1252" s="3">
        <f>IF(fNotasFiscais[[#This Row],[Ocorrência]]="",1,0)</f>
        <v>1</v>
      </c>
      <c r="Z1252" s="2">
        <f>fNotasFiscais[[#This Row],[On Time]]*fNotasFiscais[[#This Row],[In Full]]</f>
        <v>1</v>
      </c>
      <c r="AA1252">
        <f>IF(fNotasFiscais[[#This Row],[Nota Fiscal]]&lt;&gt;"",1,0)</f>
        <v>1</v>
      </c>
    </row>
    <row r="1253" spans="1:27" x14ac:dyDescent="0.25">
      <c r="A1253" s="1">
        <v>43476</v>
      </c>
      <c r="B1253">
        <v>11662</v>
      </c>
      <c r="C1253" s="2" t="s">
        <v>34</v>
      </c>
      <c r="D1253" s="2" t="s">
        <v>35</v>
      </c>
      <c r="E1253" s="2" t="s">
        <v>36</v>
      </c>
      <c r="F1253">
        <v>4019</v>
      </c>
      <c r="G1253" s="2" t="s">
        <v>79</v>
      </c>
      <c r="H1253" s="2" t="s">
        <v>80</v>
      </c>
      <c r="I1253" s="2" t="s">
        <v>39</v>
      </c>
      <c r="J1253" s="2" t="s">
        <v>28</v>
      </c>
      <c r="K1253" s="2" t="s">
        <v>39</v>
      </c>
      <c r="L1253">
        <v>641.03</v>
      </c>
      <c r="M1253">
        <v>1</v>
      </c>
      <c r="N1253">
        <v>2.9369999999999998</v>
      </c>
      <c r="O1253">
        <v>6500948</v>
      </c>
      <c r="P1253" s="2" t="s">
        <v>29</v>
      </c>
      <c r="Q1253" s="2" t="s">
        <v>23</v>
      </c>
      <c r="R1253" s="2" t="s">
        <v>30</v>
      </c>
      <c r="S1253">
        <v>2</v>
      </c>
      <c r="T1253" s="1">
        <v>43477</v>
      </c>
      <c r="U1253" s="1">
        <v>43486</v>
      </c>
      <c r="V1253" s="2"/>
      <c r="W1253" s="1">
        <f>fNotasFiscais[[#This Row],[Data da Coleta]]+fNotasFiscais[[#This Row],[Prazo Contratado]]</f>
        <v>43479</v>
      </c>
      <c r="X1253" s="3">
        <f>IF(fNotasFiscais[[#This Row],[Data da Entrega]]&gt;fNotasFiscais[[#This Row],[Data Contratada]],0,1)</f>
        <v>0</v>
      </c>
      <c r="Y1253" s="3">
        <f>IF(fNotasFiscais[[#This Row],[Ocorrência]]="",1,0)</f>
        <v>1</v>
      </c>
      <c r="Z1253" s="2">
        <f>fNotasFiscais[[#This Row],[On Time]]*fNotasFiscais[[#This Row],[In Full]]</f>
        <v>0</v>
      </c>
      <c r="AA1253">
        <f>IF(fNotasFiscais[[#This Row],[Nota Fiscal]]&lt;&gt;"",1,0)</f>
        <v>1</v>
      </c>
    </row>
    <row r="1254" spans="1:27" x14ac:dyDescent="0.25">
      <c r="A1254" s="1">
        <v>43476</v>
      </c>
      <c r="B1254">
        <v>11663</v>
      </c>
      <c r="C1254" s="2" t="s">
        <v>34</v>
      </c>
      <c r="D1254" s="2" t="s">
        <v>35</v>
      </c>
      <c r="E1254" s="2" t="s">
        <v>36</v>
      </c>
      <c r="F1254">
        <v>4019</v>
      </c>
      <c r="G1254" s="2" t="s">
        <v>79</v>
      </c>
      <c r="H1254" s="2" t="s">
        <v>80</v>
      </c>
      <c r="I1254" s="2" t="s">
        <v>39</v>
      </c>
      <c r="J1254" s="2" t="s">
        <v>28</v>
      </c>
      <c r="K1254" s="2" t="s">
        <v>39</v>
      </c>
      <c r="L1254">
        <v>61.94</v>
      </c>
      <c r="M1254">
        <v>1</v>
      </c>
      <c r="N1254">
        <v>1.87</v>
      </c>
      <c r="O1254">
        <v>6500948</v>
      </c>
      <c r="P1254" s="2" t="s">
        <v>29</v>
      </c>
      <c r="Q1254" s="2" t="s">
        <v>23</v>
      </c>
      <c r="R1254" s="2" t="s">
        <v>30</v>
      </c>
      <c r="S1254">
        <v>6</v>
      </c>
      <c r="T1254" s="1">
        <v>43477</v>
      </c>
      <c r="U1254" s="1">
        <v>43482</v>
      </c>
      <c r="V1254" s="2"/>
      <c r="W1254" s="1">
        <f>fNotasFiscais[[#This Row],[Data da Coleta]]+fNotasFiscais[[#This Row],[Prazo Contratado]]</f>
        <v>43483</v>
      </c>
      <c r="X1254" s="3">
        <f>IF(fNotasFiscais[[#This Row],[Data da Entrega]]&gt;fNotasFiscais[[#This Row],[Data Contratada]],0,1)</f>
        <v>1</v>
      </c>
      <c r="Y1254" s="3">
        <f>IF(fNotasFiscais[[#This Row],[Ocorrência]]="",1,0)</f>
        <v>1</v>
      </c>
      <c r="Z1254" s="2">
        <f>fNotasFiscais[[#This Row],[On Time]]*fNotasFiscais[[#This Row],[In Full]]</f>
        <v>1</v>
      </c>
      <c r="AA1254">
        <f>IF(fNotasFiscais[[#This Row],[Nota Fiscal]]&lt;&gt;"",1,0)</f>
        <v>1</v>
      </c>
    </row>
    <row r="1255" spans="1:27" x14ac:dyDescent="0.25">
      <c r="A1255" s="1">
        <v>43477</v>
      </c>
      <c r="B1255">
        <v>11664</v>
      </c>
      <c r="C1255" s="2" t="s">
        <v>34</v>
      </c>
      <c r="D1255" s="2" t="s">
        <v>35</v>
      </c>
      <c r="E1255" s="2" t="s">
        <v>36</v>
      </c>
      <c r="F1255">
        <v>4022</v>
      </c>
      <c r="G1255" s="2" t="s">
        <v>86</v>
      </c>
      <c r="H1255" s="2" t="s">
        <v>87</v>
      </c>
      <c r="I1255" s="2" t="s">
        <v>27</v>
      </c>
      <c r="J1255" s="2" t="s">
        <v>28</v>
      </c>
      <c r="K1255" s="2" t="s">
        <v>27</v>
      </c>
      <c r="L1255">
        <v>1930.8</v>
      </c>
      <c r="M1255">
        <v>3</v>
      </c>
      <c r="N1255">
        <v>13.904</v>
      </c>
      <c r="O1255">
        <v>6500948</v>
      </c>
      <c r="P1255" s="2" t="s">
        <v>29</v>
      </c>
      <c r="Q1255" s="2" t="s">
        <v>23</v>
      </c>
      <c r="R1255" s="2" t="s">
        <v>30</v>
      </c>
      <c r="S1255">
        <v>2</v>
      </c>
      <c r="T1255" s="1">
        <v>43478</v>
      </c>
      <c r="U1255" s="1">
        <v>43486</v>
      </c>
      <c r="V1255" s="2"/>
      <c r="W1255" s="1">
        <f>fNotasFiscais[[#This Row],[Data da Coleta]]+fNotasFiscais[[#This Row],[Prazo Contratado]]</f>
        <v>43480</v>
      </c>
      <c r="X1255" s="3">
        <f>IF(fNotasFiscais[[#This Row],[Data da Entrega]]&gt;fNotasFiscais[[#This Row],[Data Contratada]],0,1)</f>
        <v>0</v>
      </c>
      <c r="Y1255" s="3">
        <f>IF(fNotasFiscais[[#This Row],[Ocorrência]]="",1,0)</f>
        <v>1</v>
      </c>
      <c r="Z1255" s="2">
        <f>fNotasFiscais[[#This Row],[On Time]]*fNotasFiscais[[#This Row],[In Full]]</f>
        <v>0</v>
      </c>
      <c r="AA1255">
        <f>IF(fNotasFiscais[[#This Row],[Nota Fiscal]]&lt;&gt;"",1,0)</f>
        <v>1</v>
      </c>
    </row>
    <row r="1256" spans="1:27" x14ac:dyDescent="0.25">
      <c r="A1256" s="1">
        <v>43479</v>
      </c>
      <c r="B1256">
        <v>11665</v>
      </c>
      <c r="C1256" s="2" t="s">
        <v>31</v>
      </c>
      <c r="D1256" s="2" t="s">
        <v>32</v>
      </c>
      <c r="E1256" s="2" t="s">
        <v>33</v>
      </c>
      <c r="F1256">
        <v>4041</v>
      </c>
      <c r="G1256" s="2" t="s">
        <v>83</v>
      </c>
      <c r="H1256" s="2" t="s">
        <v>51</v>
      </c>
      <c r="I1256" s="2" t="s">
        <v>73</v>
      </c>
      <c r="J1256" s="2" t="s">
        <v>49</v>
      </c>
      <c r="K1256" s="2" t="s">
        <v>73</v>
      </c>
      <c r="L1256">
        <v>1254.33</v>
      </c>
      <c r="M1256">
        <v>2</v>
      </c>
      <c r="N1256">
        <v>8.14</v>
      </c>
      <c r="O1256">
        <v>6100231</v>
      </c>
      <c r="P1256" s="2" t="s">
        <v>50</v>
      </c>
      <c r="Q1256" s="2" t="s">
        <v>51</v>
      </c>
      <c r="R1256" s="2" t="s">
        <v>30</v>
      </c>
      <c r="S1256">
        <v>12</v>
      </c>
      <c r="T1256" s="1">
        <v>43480</v>
      </c>
      <c r="U1256" s="1">
        <v>43486</v>
      </c>
      <c r="V1256" s="2"/>
      <c r="W1256" s="1">
        <f>fNotasFiscais[[#This Row],[Data da Coleta]]+fNotasFiscais[[#This Row],[Prazo Contratado]]</f>
        <v>43492</v>
      </c>
      <c r="X1256" s="3">
        <f>IF(fNotasFiscais[[#This Row],[Data da Entrega]]&gt;fNotasFiscais[[#This Row],[Data Contratada]],0,1)</f>
        <v>1</v>
      </c>
      <c r="Y1256" s="3">
        <f>IF(fNotasFiscais[[#This Row],[Ocorrência]]="",1,0)</f>
        <v>1</v>
      </c>
      <c r="Z1256" s="2">
        <f>fNotasFiscais[[#This Row],[On Time]]*fNotasFiscais[[#This Row],[In Full]]</f>
        <v>1</v>
      </c>
      <c r="AA1256">
        <f>IF(fNotasFiscais[[#This Row],[Nota Fiscal]]&lt;&gt;"",1,0)</f>
        <v>1</v>
      </c>
    </row>
    <row r="1257" spans="1:27" x14ac:dyDescent="0.25">
      <c r="A1257" s="1">
        <v>43479</v>
      </c>
      <c r="B1257">
        <v>11666</v>
      </c>
      <c r="C1257" s="2" t="s">
        <v>31</v>
      </c>
      <c r="D1257" s="2" t="s">
        <v>32</v>
      </c>
      <c r="E1257" s="2" t="s">
        <v>33</v>
      </c>
      <c r="F1257">
        <v>4041</v>
      </c>
      <c r="G1257" s="2" t="s">
        <v>83</v>
      </c>
      <c r="H1257" s="2" t="s">
        <v>51</v>
      </c>
      <c r="I1257" s="2" t="s">
        <v>73</v>
      </c>
      <c r="J1257" s="2" t="s">
        <v>49</v>
      </c>
      <c r="K1257" s="2" t="s">
        <v>73</v>
      </c>
      <c r="L1257">
        <v>5654.05</v>
      </c>
      <c r="M1257">
        <v>10</v>
      </c>
      <c r="N1257">
        <v>29.414000000000001</v>
      </c>
      <c r="O1257">
        <v>6100231</v>
      </c>
      <c r="P1257" s="2" t="s">
        <v>50</v>
      </c>
      <c r="Q1257" s="2" t="s">
        <v>51</v>
      </c>
      <c r="R1257" s="2" t="s">
        <v>30</v>
      </c>
      <c r="S1257">
        <v>2</v>
      </c>
      <c r="T1257" s="1">
        <v>43480</v>
      </c>
      <c r="U1257" s="1">
        <v>43482</v>
      </c>
      <c r="V1257" s="2"/>
      <c r="W1257" s="1">
        <f>fNotasFiscais[[#This Row],[Data da Coleta]]+fNotasFiscais[[#This Row],[Prazo Contratado]]</f>
        <v>43482</v>
      </c>
      <c r="X1257" s="3">
        <f>IF(fNotasFiscais[[#This Row],[Data da Entrega]]&gt;fNotasFiscais[[#This Row],[Data Contratada]],0,1)</f>
        <v>1</v>
      </c>
      <c r="Y1257" s="3">
        <f>IF(fNotasFiscais[[#This Row],[Ocorrência]]="",1,0)</f>
        <v>1</v>
      </c>
      <c r="Z1257" s="2">
        <f>fNotasFiscais[[#This Row],[On Time]]*fNotasFiscais[[#This Row],[In Full]]</f>
        <v>1</v>
      </c>
      <c r="AA1257">
        <f>IF(fNotasFiscais[[#This Row],[Nota Fiscal]]&lt;&gt;"",1,0)</f>
        <v>1</v>
      </c>
    </row>
    <row r="1258" spans="1:27" x14ac:dyDescent="0.25">
      <c r="A1258" s="1">
        <v>43479</v>
      </c>
      <c r="B1258">
        <v>11667</v>
      </c>
      <c r="C1258" s="2" t="s">
        <v>43</v>
      </c>
      <c r="D1258" s="2" t="s">
        <v>44</v>
      </c>
      <c r="E1258" s="2" t="s">
        <v>45</v>
      </c>
      <c r="F1258">
        <v>4041</v>
      </c>
      <c r="G1258" s="2" t="s">
        <v>83</v>
      </c>
      <c r="H1258" s="2" t="s">
        <v>51</v>
      </c>
      <c r="I1258" s="2" t="s">
        <v>73</v>
      </c>
      <c r="J1258" s="2" t="s">
        <v>49</v>
      </c>
      <c r="K1258" s="2" t="s">
        <v>73</v>
      </c>
      <c r="L1258">
        <v>1396.68</v>
      </c>
      <c r="M1258">
        <v>2</v>
      </c>
      <c r="N1258">
        <v>11.528</v>
      </c>
      <c r="O1258">
        <v>6100231</v>
      </c>
      <c r="P1258" s="2" t="s">
        <v>50</v>
      </c>
      <c r="Q1258" s="2" t="s">
        <v>51</v>
      </c>
      <c r="R1258" s="2" t="s">
        <v>30</v>
      </c>
      <c r="S1258">
        <v>1</v>
      </c>
      <c r="T1258" s="1">
        <v>43480</v>
      </c>
      <c r="U1258" s="1">
        <v>43487</v>
      </c>
      <c r="V1258" s="2"/>
      <c r="W1258" s="1">
        <f>fNotasFiscais[[#This Row],[Data da Coleta]]+fNotasFiscais[[#This Row],[Prazo Contratado]]</f>
        <v>43481</v>
      </c>
      <c r="X1258" s="3">
        <f>IF(fNotasFiscais[[#This Row],[Data da Entrega]]&gt;fNotasFiscais[[#This Row],[Data Contratada]],0,1)</f>
        <v>0</v>
      </c>
      <c r="Y1258" s="3">
        <f>IF(fNotasFiscais[[#This Row],[Ocorrência]]="",1,0)</f>
        <v>1</v>
      </c>
      <c r="Z1258" s="2">
        <f>fNotasFiscais[[#This Row],[On Time]]*fNotasFiscais[[#This Row],[In Full]]</f>
        <v>0</v>
      </c>
      <c r="AA1258">
        <f>IF(fNotasFiscais[[#This Row],[Nota Fiscal]]&lt;&gt;"",1,0)</f>
        <v>1</v>
      </c>
    </row>
    <row r="1259" spans="1:27" x14ac:dyDescent="0.25">
      <c r="A1259" s="1">
        <v>43479</v>
      </c>
      <c r="B1259">
        <v>11668</v>
      </c>
      <c r="C1259" s="2" t="s">
        <v>40</v>
      </c>
      <c r="D1259" s="2" t="s">
        <v>41</v>
      </c>
      <c r="E1259" s="2" t="s">
        <v>33</v>
      </c>
      <c r="F1259">
        <v>4041</v>
      </c>
      <c r="G1259" s="2" t="s">
        <v>83</v>
      </c>
      <c r="H1259" s="2" t="s">
        <v>51</v>
      </c>
      <c r="I1259" s="2" t="s">
        <v>73</v>
      </c>
      <c r="J1259" s="2" t="s">
        <v>49</v>
      </c>
      <c r="K1259" s="2" t="s">
        <v>73</v>
      </c>
      <c r="L1259">
        <v>545.24</v>
      </c>
      <c r="M1259">
        <v>1</v>
      </c>
      <c r="N1259">
        <v>5.5060000000000002</v>
      </c>
      <c r="O1259">
        <v>6100231</v>
      </c>
      <c r="P1259" s="2" t="s">
        <v>50</v>
      </c>
      <c r="Q1259" s="2" t="s">
        <v>51</v>
      </c>
      <c r="R1259" s="2" t="s">
        <v>30</v>
      </c>
      <c r="S1259">
        <v>9</v>
      </c>
      <c r="T1259" s="1">
        <v>43480</v>
      </c>
      <c r="U1259" s="1">
        <v>43488</v>
      </c>
      <c r="V1259" s="2"/>
      <c r="W1259" s="1">
        <f>fNotasFiscais[[#This Row],[Data da Coleta]]+fNotasFiscais[[#This Row],[Prazo Contratado]]</f>
        <v>43489</v>
      </c>
      <c r="X1259" s="3">
        <f>IF(fNotasFiscais[[#This Row],[Data da Entrega]]&gt;fNotasFiscais[[#This Row],[Data Contratada]],0,1)</f>
        <v>1</v>
      </c>
      <c r="Y1259" s="3">
        <f>IF(fNotasFiscais[[#This Row],[Ocorrência]]="",1,0)</f>
        <v>1</v>
      </c>
      <c r="Z1259" s="2">
        <f>fNotasFiscais[[#This Row],[On Time]]*fNotasFiscais[[#This Row],[In Full]]</f>
        <v>1</v>
      </c>
      <c r="AA1259">
        <f>IF(fNotasFiscais[[#This Row],[Nota Fiscal]]&lt;&gt;"",1,0)</f>
        <v>1</v>
      </c>
    </row>
    <row r="1260" spans="1:27" x14ac:dyDescent="0.25">
      <c r="A1260" s="1">
        <v>43479</v>
      </c>
      <c r="B1260">
        <v>11669</v>
      </c>
      <c r="C1260" s="2" t="s">
        <v>22</v>
      </c>
      <c r="D1260" s="2" t="s">
        <v>23</v>
      </c>
      <c r="E1260" s="2" t="s">
        <v>24</v>
      </c>
      <c r="F1260">
        <v>4022</v>
      </c>
      <c r="G1260" s="2" t="s">
        <v>86</v>
      </c>
      <c r="H1260" s="2" t="s">
        <v>87</v>
      </c>
      <c r="I1260" s="2" t="s">
        <v>27</v>
      </c>
      <c r="J1260" s="2" t="s">
        <v>28</v>
      </c>
      <c r="K1260" s="2" t="s">
        <v>27</v>
      </c>
      <c r="L1260">
        <v>10305.280000000001</v>
      </c>
      <c r="M1260">
        <v>1</v>
      </c>
      <c r="N1260">
        <v>49.5</v>
      </c>
      <c r="O1260">
        <v>6500948</v>
      </c>
      <c r="P1260" s="2" t="s">
        <v>29</v>
      </c>
      <c r="Q1260" s="2" t="s">
        <v>23</v>
      </c>
      <c r="R1260" s="2" t="s">
        <v>30</v>
      </c>
      <c r="S1260">
        <v>5</v>
      </c>
      <c r="T1260" s="1">
        <v>43480</v>
      </c>
      <c r="U1260" s="1">
        <v>43488</v>
      </c>
      <c r="V1260" s="2" t="s">
        <v>42</v>
      </c>
      <c r="W1260" s="1">
        <f>fNotasFiscais[[#This Row],[Data da Coleta]]+fNotasFiscais[[#This Row],[Prazo Contratado]]</f>
        <v>43485</v>
      </c>
      <c r="X1260" s="3">
        <f>IF(fNotasFiscais[[#This Row],[Data da Entrega]]&gt;fNotasFiscais[[#This Row],[Data Contratada]],0,1)</f>
        <v>0</v>
      </c>
      <c r="Y1260" s="3">
        <f>IF(fNotasFiscais[[#This Row],[Ocorrência]]="",1,0)</f>
        <v>0</v>
      </c>
      <c r="Z1260" s="2">
        <f>fNotasFiscais[[#This Row],[On Time]]*fNotasFiscais[[#This Row],[In Full]]</f>
        <v>0</v>
      </c>
      <c r="AA1260">
        <f>IF(fNotasFiscais[[#This Row],[Nota Fiscal]]&lt;&gt;"",1,0)</f>
        <v>1</v>
      </c>
    </row>
    <row r="1261" spans="1:27" x14ac:dyDescent="0.25">
      <c r="A1261" s="1">
        <v>43479</v>
      </c>
      <c r="B1261">
        <v>11670</v>
      </c>
      <c r="C1261" s="2" t="s">
        <v>31</v>
      </c>
      <c r="D1261" s="2" t="s">
        <v>32</v>
      </c>
      <c r="E1261" s="2" t="s">
        <v>33</v>
      </c>
      <c r="F1261">
        <v>4041</v>
      </c>
      <c r="G1261" s="2" t="s">
        <v>83</v>
      </c>
      <c r="H1261" s="2" t="s">
        <v>51</v>
      </c>
      <c r="I1261" s="2" t="s">
        <v>73</v>
      </c>
      <c r="J1261" s="2" t="s">
        <v>49</v>
      </c>
      <c r="K1261" s="2" t="s">
        <v>73</v>
      </c>
      <c r="L1261">
        <v>1780.62</v>
      </c>
      <c r="M1261">
        <v>1</v>
      </c>
      <c r="N1261">
        <v>1.54</v>
      </c>
      <c r="O1261">
        <v>6100231</v>
      </c>
      <c r="P1261" s="2" t="s">
        <v>50</v>
      </c>
      <c r="Q1261" s="2" t="s">
        <v>51</v>
      </c>
      <c r="R1261" s="2" t="s">
        <v>30</v>
      </c>
      <c r="S1261">
        <v>2</v>
      </c>
      <c r="T1261" s="1">
        <v>43480</v>
      </c>
      <c r="U1261" s="1">
        <v>43488</v>
      </c>
      <c r="V1261" s="2"/>
      <c r="W1261" s="1">
        <f>fNotasFiscais[[#This Row],[Data da Coleta]]+fNotasFiscais[[#This Row],[Prazo Contratado]]</f>
        <v>43482</v>
      </c>
      <c r="X1261" s="3">
        <f>IF(fNotasFiscais[[#This Row],[Data da Entrega]]&gt;fNotasFiscais[[#This Row],[Data Contratada]],0,1)</f>
        <v>0</v>
      </c>
      <c r="Y1261" s="3">
        <f>IF(fNotasFiscais[[#This Row],[Ocorrência]]="",1,0)</f>
        <v>1</v>
      </c>
      <c r="Z1261" s="2">
        <f>fNotasFiscais[[#This Row],[On Time]]*fNotasFiscais[[#This Row],[In Full]]</f>
        <v>0</v>
      </c>
      <c r="AA1261">
        <f>IF(fNotasFiscais[[#This Row],[Nota Fiscal]]&lt;&gt;"",1,0)</f>
        <v>1</v>
      </c>
    </row>
    <row r="1262" spans="1:27" x14ac:dyDescent="0.25">
      <c r="A1262" s="1">
        <v>43479</v>
      </c>
      <c r="B1262">
        <v>11671</v>
      </c>
      <c r="C1262" s="2" t="s">
        <v>40</v>
      </c>
      <c r="D1262" s="2" t="s">
        <v>41</v>
      </c>
      <c r="E1262" s="2" t="s">
        <v>33</v>
      </c>
      <c r="F1262">
        <v>4041</v>
      </c>
      <c r="G1262" s="2" t="s">
        <v>83</v>
      </c>
      <c r="H1262" s="2" t="s">
        <v>51</v>
      </c>
      <c r="I1262" s="2" t="s">
        <v>73</v>
      </c>
      <c r="J1262" s="2" t="s">
        <v>49</v>
      </c>
      <c r="K1262" s="2" t="s">
        <v>73</v>
      </c>
      <c r="L1262">
        <v>590.98</v>
      </c>
      <c r="M1262">
        <v>2</v>
      </c>
      <c r="N1262">
        <v>0.89800000000000002</v>
      </c>
      <c r="O1262">
        <v>6100231</v>
      </c>
      <c r="P1262" s="2" t="s">
        <v>50</v>
      </c>
      <c r="Q1262" s="2" t="s">
        <v>51</v>
      </c>
      <c r="R1262" s="2" t="s">
        <v>30</v>
      </c>
      <c r="S1262">
        <v>11</v>
      </c>
      <c r="T1262" s="1">
        <v>43480</v>
      </c>
      <c r="U1262" s="1">
        <v>43484</v>
      </c>
      <c r="V1262" s="2"/>
      <c r="W1262" s="1">
        <f>fNotasFiscais[[#This Row],[Data da Coleta]]+fNotasFiscais[[#This Row],[Prazo Contratado]]</f>
        <v>43491</v>
      </c>
      <c r="X1262" s="3">
        <f>IF(fNotasFiscais[[#This Row],[Data da Entrega]]&gt;fNotasFiscais[[#This Row],[Data Contratada]],0,1)</f>
        <v>1</v>
      </c>
      <c r="Y1262" s="3">
        <f>IF(fNotasFiscais[[#This Row],[Ocorrência]]="",1,0)</f>
        <v>1</v>
      </c>
      <c r="Z1262" s="2">
        <f>fNotasFiscais[[#This Row],[On Time]]*fNotasFiscais[[#This Row],[In Full]]</f>
        <v>1</v>
      </c>
      <c r="AA1262">
        <f>IF(fNotasFiscais[[#This Row],[Nota Fiscal]]&lt;&gt;"",1,0)</f>
        <v>1</v>
      </c>
    </row>
    <row r="1263" spans="1:27" x14ac:dyDescent="0.25">
      <c r="A1263" s="1">
        <v>43480</v>
      </c>
      <c r="B1263">
        <v>11672</v>
      </c>
      <c r="C1263" s="2" t="s">
        <v>54</v>
      </c>
      <c r="D1263" s="2" t="s">
        <v>55</v>
      </c>
      <c r="E1263" s="2" t="s">
        <v>56</v>
      </c>
      <c r="F1263">
        <v>4023</v>
      </c>
      <c r="G1263" s="2" t="s">
        <v>88</v>
      </c>
      <c r="H1263" s="2" t="s">
        <v>78</v>
      </c>
      <c r="I1263" s="2" t="s">
        <v>39</v>
      </c>
      <c r="J1263" s="2" t="s">
        <v>28</v>
      </c>
      <c r="K1263" s="2" t="s">
        <v>39</v>
      </c>
      <c r="L1263">
        <v>590.98</v>
      </c>
      <c r="M1263">
        <v>2</v>
      </c>
      <c r="N1263">
        <v>0.89800000000000002</v>
      </c>
      <c r="O1263">
        <v>6500948</v>
      </c>
      <c r="P1263" s="2" t="s">
        <v>29</v>
      </c>
      <c r="Q1263" s="2" t="s">
        <v>23</v>
      </c>
      <c r="R1263" s="2" t="s">
        <v>30</v>
      </c>
      <c r="S1263">
        <v>10</v>
      </c>
      <c r="T1263" s="1">
        <v>43481</v>
      </c>
      <c r="U1263" s="1">
        <v>43489</v>
      </c>
      <c r="V1263" s="2"/>
      <c r="W1263" s="1">
        <f>fNotasFiscais[[#This Row],[Data da Coleta]]+fNotasFiscais[[#This Row],[Prazo Contratado]]</f>
        <v>43491</v>
      </c>
      <c r="X1263" s="3">
        <f>IF(fNotasFiscais[[#This Row],[Data da Entrega]]&gt;fNotasFiscais[[#This Row],[Data Contratada]],0,1)</f>
        <v>1</v>
      </c>
      <c r="Y1263" s="3">
        <f>IF(fNotasFiscais[[#This Row],[Ocorrência]]="",1,0)</f>
        <v>1</v>
      </c>
      <c r="Z1263" s="2">
        <f>fNotasFiscais[[#This Row],[On Time]]*fNotasFiscais[[#This Row],[In Full]]</f>
        <v>1</v>
      </c>
      <c r="AA1263">
        <f>IF(fNotasFiscais[[#This Row],[Nota Fiscal]]&lt;&gt;"",1,0)</f>
        <v>1</v>
      </c>
    </row>
    <row r="1264" spans="1:27" x14ac:dyDescent="0.25">
      <c r="A1264" s="1">
        <v>43480</v>
      </c>
      <c r="B1264">
        <v>11673</v>
      </c>
      <c r="C1264" s="2" t="s">
        <v>31</v>
      </c>
      <c r="D1264" s="2" t="s">
        <v>32</v>
      </c>
      <c r="E1264" s="2" t="s">
        <v>33</v>
      </c>
      <c r="F1264">
        <v>4044</v>
      </c>
      <c r="G1264" s="2" t="s">
        <v>123</v>
      </c>
      <c r="H1264" s="2" t="s">
        <v>35</v>
      </c>
      <c r="I1264" s="2" t="s">
        <v>36</v>
      </c>
      <c r="J1264" s="2" t="s">
        <v>60</v>
      </c>
      <c r="K1264" s="2" t="s">
        <v>36</v>
      </c>
      <c r="L1264">
        <v>3273.41</v>
      </c>
      <c r="M1264">
        <v>2</v>
      </c>
      <c r="N1264">
        <v>16.347999999999999</v>
      </c>
      <c r="O1264">
        <v>6600879</v>
      </c>
      <c r="P1264" s="2" t="s">
        <v>61</v>
      </c>
      <c r="Q1264" s="2" t="s">
        <v>35</v>
      </c>
      <c r="R1264" s="2" t="s">
        <v>30</v>
      </c>
      <c r="S1264">
        <v>3</v>
      </c>
      <c r="T1264" s="1">
        <v>43481</v>
      </c>
      <c r="U1264" s="1">
        <v>43488</v>
      </c>
      <c r="V1264" s="2"/>
      <c r="W1264" s="1">
        <f>fNotasFiscais[[#This Row],[Data da Coleta]]+fNotasFiscais[[#This Row],[Prazo Contratado]]</f>
        <v>43484</v>
      </c>
      <c r="X1264" s="3">
        <f>IF(fNotasFiscais[[#This Row],[Data da Entrega]]&gt;fNotasFiscais[[#This Row],[Data Contratada]],0,1)</f>
        <v>0</v>
      </c>
      <c r="Y1264" s="3">
        <f>IF(fNotasFiscais[[#This Row],[Ocorrência]]="",1,0)</f>
        <v>1</v>
      </c>
      <c r="Z1264" s="2">
        <f>fNotasFiscais[[#This Row],[On Time]]*fNotasFiscais[[#This Row],[In Full]]</f>
        <v>0</v>
      </c>
      <c r="AA1264">
        <f>IF(fNotasFiscais[[#This Row],[Nota Fiscal]]&lt;&gt;"",1,0)</f>
        <v>1</v>
      </c>
    </row>
    <row r="1265" spans="1:27" x14ac:dyDescent="0.25">
      <c r="A1265" s="1">
        <v>43480</v>
      </c>
      <c r="B1265">
        <v>11674</v>
      </c>
      <c r="C1265" s="2" t="s">
        <v>52</v>
      </c>
      <c r="D1265" s="2" t="s">
        <v>53</v>
      </c>
      <c r="E1265" s="2" t="s">
        <v>33</v>
      </c>
      <c r="F1265">
        <v>4045</v>
      </c>
      <c r="G1265" s="2" t="s">
        <v>124</v>
      </c>
      <c r="H1265" s="2" t="s">
        <v>35</v>
      </c>
      <c r="I1265" s="2" t="s">
        <v>36</v>
      </c>
      <c r="J1265" s="2" t="s">
        <v>60</v>
      </c>
      <c r="K1265" s="2" t="s">
        <v>36</v>
      </c>
      <c r="L1265">
        <v>249.29</v>
      </c>
      <c r="M1265">
        <v>1</v>
      </c>
      <c r="N1265">
        <v>0.998</v>
      </c>
      <c r="O1265">
        <v>6600879</v>
      </c>
      <c r="P1265" s="2" t="s">
        <v>61</v>
      </c>
      <c r="Q1265" s="2" t="s">
        <v>35</v>
      </c>
      <c r="R1265" s="2" t="s">
        <v>30</v>
      </c>
      <c r="S1265">
        <v>5</v>
      </c>
      <c r="T1265" s="1">
        <v>43481</v>
      </c>
      <c r="U1265" s="1">
        <v>43486</v>
      </c>
      <c r="V1265" s="2"/>
      <c r="W1265" s="1">
        <f>fNotasFiscais[[#This Row],[Data da Coleta]]+fNotasFiscais[[#This Row],[Prazo Contratado]]</f>
        <v>43486</v>
      </c>
      <c r="X1265" s="3">
        <f>IF(fNotasFiscais[[#This Row],[Data da Entrega]]&gt;fNotasFiscais[[#This Row],[Data Contratada]],0,1)</f>
        <v>1</v>
      </c>
      <c r="Y1265" s="3">
        <f>IF(fNotasFiscais[[#This Row],[Ocorrência]]="",1,0)</f>
        <v>1</v>
      </c>
      <c r="Z1265" s="2">
        <f>fNotasFiscais[[#This Row],[On Time]]*fNotasFiscais[[#This Row],[In Full]]</f>
        <v>1</v>
      </c>
      <c r="AA1265">
        <f>IF(fNotasFiscais[[#This Row],[Nota Fiscal]]&lt;&gt;"",1,0)</f>
        <v>1</v>
      </c>
    </row>
    <row r="1266" spans="1:27" x14ac:dyDescent="0.25">
      <c r="A1266" s="1">
        <v>43480</v>
      </c>
      <c r="B1266">
        <v>11675</v>
      </c>
      <c r="C1266" s="2" t="s">
        <v>54</v>
      </c>
      <c r="D1266" s="2" t="s">
        <v>55</v>
      </c>
      <c r="E1266" s="2" t="s">
        <v>56</v>
      </c>
      <c r="F1266">
        <v>4044</v>
      </c>
      <c r="G1266" s="2" t="s">
        <v>123</v>
      </c>
      <c r="H1266" s="2" t="s">
        <v>35</v>
      </c>
      <c r="I1266" s="2" t="s">
        <v>36</v>
      </c>
      <c r="J1266" s="2" t="s">
        <v>60</v>
      </c>
      <c r="K1266" s="2" t="s">
        <v>36</v>
      </c>
      <c r="L1266">
        <v>2553.9299999999998</v>
      </c>
      <c r="M1266">
        <v>3</v>
      </c>
      <c r="N1266">
        <v>14.335000000000001</v>
      </c>
      <c r="O1266">
        <v>6600879</v>
      </c>
      <c r="P1266" s="2" t="s">
        <v>61</v>
      </c>
      <c r="Q1266" s="2" t="s">
        <v>35</v>
      </c>
      <c r="R1266" s="2" t="s">
        <v>30</v>
      </c>
      <c r="S1266">
        <v>8</v>
      </c>
      <c r="T1266" s="1">
        <v>43481</v>
      </c>
      <c r="U1266" s="1">
        <v>43485</v>
      </c>
      <c r="V1266" s="2" t="s">
        <v>42</v>
      </c>
      <c r="W1266" s="1">
        <f>fNotasFiscais[[#This Row],[Data da Coleta]]+fNotasFiscais[[#This Row],[Prazo Contratado]]</f>
        <v>43489</v>
      </c>
      <c r="X1266" s="3">
        <f>IF(fNotasFiscais[[#This Row],[Data da Entrega]]&gt;fNotasFiscais[[#This Row],[Data Contratada]],0,1)</f>
        <v>1</v>
      </c>
      <c r="Y1266" s="3">
        <f>IF(fNotasFiscais[[#This Row],[Ocorrência]]="",1,0)</f>
        <v>0</v>
      </c>
      <c r="Z1266" s="2">
        <f>fNotasFiscais[[#This Row],[On Time]]*fNotasFiscais[[#This Row],[In Full]]</f>
        <v>0</v>
      </c>
      <c r="AA1266">
        <f>IF(fNotasFiscais[[#This Row],[Nota Fiscal]]&lt;&gt;"",1,0)</f>
        <v>1</v>
      </c>
    </row>
    <row r="1267" spans="1:27" x14ac:dyDescent="0.25">
      <c r="A1267" s="1">
        <v>43480</v>
      </c>
      <c r="B1267">
        <v>11676</v>
      </c>
      <c r="C1267" s="2" t="s">
        <v>43</v>
      </c>
      <c r="D1267" s="2" t="s">
        <v>44</v>
      </c>
      <c r="E1267" s="2" t="s">
        <v>45</v>
      </c>
      <c r="F1267">
        <v>4045</v>
      </c>
      <c r="G1267" s="2" t="s">
        <v>124</v>
      </c>
      <c r="H1267" s="2" t="s">
        <v>35</v>
      </c>
      <c r="I1267" s="2" t="s">
        <v>36</v>
      </c>
      <c r="J1267" s="2" t="s">
        <v>60</v>
      </c>
      <c r="K1267" s="2" t="s">
        <v>36</v>
      </c>
      <c r="L1267">
        <v>506.5</v>
      </c>
      <c r="M1267">
        <v>2</v>
      </c>
      <c r="N1267">
        <v>4.4000000000000004</v>
      </c>
      <c r="O1267">
        <v>6600879</v>
      </c>
      <c r="P1267" s="2" t="s">
        <v>61</v>
      </c>
      <c r="Q1267" s="2" t="s">
        <v>35</v>
      </c>
      <c r="R1267" s="2" t="s">
        <v>30</v>
      </c>
      <c r="S1267">
        <v>5</v>
      </c>
      <c r="T1267" s="1">
        <v>43481</v>
      </c>
      <c r="U1267" s="1">
        <v>43490</v>
      </c>
      <c r="V1267" s="2"/>
      <c r="W1267" s="1">
        <f>fNotasFiscais[[#This Row],[Data da Coleta]]+fNotasFiscais[[#This Row],[Prazo Contratado]]</f>
        <v>43486</v>
      </c>
      <c r="X1267" s="3">
        <f>IF(fNotasFiscais[[#This Row],[Data da Entrega]]&gt;fNotasFiscais[[#This Row],[Data Contratada]],0,1)</f>
        <v>0</v>
      </c>
      <c r="Y1267" s="3">
        <f>IF(fNotasFiscais[[#This Row],[Ocorrência]]="",1,0)</f>
        <v>1</v>
      </c>
      <c r="Z1267" s="2">
        <f>fNotasFiscais[[#This Row],[On Time]]*fNotasFiscais[[#This Row],[In Full]]</f>
        <v>0</v>
      </c>
      <c r="AA1267">
        <f>IF(fNotasFiscais[[#This Row],[Nota Fiscal]]&lt;&gt;"",1,0)</f>
        <v>1</v>
      </c>
    </row>
    <row r="1268" spans="1:27" x14ac:dyDescent="0.25">
      <c r="A1268" s="1">
        <v>43480</v>
      </c>
      <c r="B1268">
        <v>11677</v>
      </c>
      <c r="C1268" s="2" t="s">
        <v>52</v>
      </c>
      <c r="D1268" s="2" t="s">
        <v>53</v>
      </c>
      <c r="E1268" s="2" t="s">
        <v>33</v>
      </c>
      <c r="F1268">
        <v>4032</v>
      </c>
      <c r="G1268" s="2" t="s">
        <v>108</v>
      </c>
      <c r="H1268" s="2" t="s">
        <v>51</v>
      </c>
      <c r="I1268" s="2" t="s">
        <v>73</v>
      </c>
      <c r="J1268" s="2" t="s">
        <v>49</v>
      </c>
      <c r="K1268" s="2" t="s">
        <v>73</v>
      </c>
      <c r="L1268">
        <v>1111.33</v>
      </c>
      <c r="M1268">
        <v>1</v>
      </c>
      <c r="N1268">
        <v>9.9</v>
      </c>
      <c r="O1268">
        <v>6100231</v>
      </c>
      <c r="P1268" s="2" t="s">
        <v>50</v>
      </c>
      <c r="Q1268" s="2" t="s">
        <v>51</v>
      </c>
      <c r="R1268" s="2" t="s">
        <v>30</v>
      </c>
      <c r="S1268">
        <v>12</v>
      </c>
      <c r="T1268" s="1">
        <v>43481</v>
      </c>
      <c r="U1268" s="1">
        <v>43482</v>
      </c>
      <c r="V1268" s="2"/>
      <c r="W1268" s="1">
        <f>fNotasFiscais[[#This Row],[Data da Coleta]]+fNotasFiscais[[#This Row],[Prazo Contratado]]</f>
        <v>43493</v>
      </c>
      <c r="X1268" s="3">
        <f>IF(fNotasFiscais[[#This Row],[Data da Entrega]]&gt;fNotasFiscais[[#This Row],[Data Contratada]],0,1)</f>
        <v>1</v>
      </c>
      <c r="Y1268" s="3">
        <f>IF(fNotasFiscais[[#This Row],[Ocorrência]]="",1,0)</f>
        <v>1</v>
      </c>
      <c r="Z1268" s="2">
        <f>fNotasFiscais[[#This Row],[On Time]]*fNotasFiscais[[#This Row],[In Full]]</f>
        <v>1</v>
      </c>
      <c r="AA1268">
        <f>IF(fNotasFiscais[[#This Row],[Nota Fiscal]]&lt;&gt;"",1,0)</f>
        <v>1</v>
      </c>
    </row>
    <row r="1269" spans="1:27" x14ac:dyDescent="0.25">
      <c r="A1269" s="1">
        <v>43480</v>
      </c>
      <c r="B1269">
        <v>11678</v>
      </c>
      <c r="C1269" s="2" t="s">
        <v>52</v>
      </c>
      <c r="D1269" s="2" t="s">
        <v>53</v>
      </c>
      <c r="E1269" s="2" t="s">
        <v>33</v>
      </c>
      <c r="F1269">
        <v>4044</v>
      </c>
      <c r="G1269" s="2" t="s">
        <v>123</v>
      </c>
      <c r="H1269" s="2" t="s">
        <v>35</v>
      </c>
      <c r="I1269" s="2" t="s">
        <v>36</v>
      </c>
      <c r="J1269" s="2" t="s">
        <v>60</v>
      </c>
      <c r="K1269" s="2" t="s">
        <v>36</v>
      </c>
      <c r="L1269">
        <v>1080.8599999999999</v>
      </c>
      <c r="M1269">
        <v>3</v>
      </c>
      <c r="N1269">
        <v>2.0459999999999998</v>
      </c>
      <c r="O1269">
        <v>6600879</v>
      </c>
      <c r="P1269" s="2" t="s">
        <v>61</v>
      </c>
      <c r="Q1269" s="2" t="s">
        <v>35</v>
      </c>
      <c r="R1269" s="2" t="s">
        <v>30</v>
      </c>
      <c r="S1269">
        <v>10</v>
      </c>
      <c r="T1269" s="1">
        <v>43481</v>
      </c>
      <c r="U1269" s="1">
        <v>43484</v>
      </c>
      <c r="V1269" s="2"/>
      <c r="W1269" s="1">
        <f>fNotasFiscais[[#This Row],[Data da Coleta]]+fNotasFiscais[[#This Row],[Prazo Contratado]]</f>
        <v>43491</v>
      </c>
      <c r="X1269" s="3">
        <f>IF(fNotasFiscais[[#This Row],[Data da Entrega]]&gt;fNotasFiscais[[#This Row],[Data Contratada]],0,1)</f>
        <v>1</v>
      </c>
      <c r="Y1269" s="3">
        <f>IF(fNotasFiscais[[#This Row],[Ocorrência]]="",1,0)</f>
        <v>1</v>
      </c>
      <c r="Z1269" s="2">
        <f>fNotasFiscais[[#This Row],[On Time]]*fNotasFiscais[[#This Row],[In Full]]</f>
        <v>1</v>
      </c>
      <c r="AA1269">
        <f>IF(fNotasFiscais[[#This Row],[Nota Fiscal]]&lt;&gt;"",1,0)</f>
        <v>1</v>
      </c>
    </row>
    <row r="1270" spans="1:27" x14ac:dyDescent="0.25">
      <c r="A1270" s="1">
        <v>43480</v>
      </c>
      <c r="B1270">
        <v>11679</v>
      </c>
      <c r="C1270" s="2" t="s">
        <v>52</v>
      </c>
      <c r="D1270" s="2" t="s">
        <v>53</v>
      </c>
      <c r="E1270" s="2" t="s">
        <v>33</v>
      </c>
      <c r="F1270">
        <v>4045</v>
      </c>
      <c r="G1270" s="2" t="s">
        <v>124</v>
      </c>
      <c r="H1270" s="2" t="s">
        <v>35</v>
      </c>
      <c r="I1270" s="2" t="s">
        <v>36</v>
      </c>
      <c r="J1270" s="2" t="s">
        <v>60</v>
      </c>
      <c r="K1270" s="2" t="s">
        <v>36</v>
      </c>
      <c r="L1270">
        <v>618.23</v>
      </c>
      <c r="M1270">
        <v>4</v>
      </c>
      <c r="N1270">
        <v>4.4660000000000002</v>
      </c>
      <c r="O1270">
        <v>6600879</v>
      </c>
      <c r="P1270" s="2" t="s">
        <v>61</v>
      </c>
      <c r="Q1270" s="2" t="s">
        <v>35</v>
      </c>
      <c r="R1270" s="2" t="s">
        <v>30</v>
      </c>
      <c r="S1270">
        <v>10</v>
      </c>
      <c r="T1270" s="1">
        <v>43481</v>
      </c>
      <c r="U1270" s="1">
        <v>43486</v>
      </c>
      <c r="V1270" s="2"/>
      <c r="W1270" s="1">
        <f>fNotasFiscais[[#This Row],[Data da Coleta]]+fNotasFiscais[[#This Row],[Prazo Contratado]]</f>
        <v>43491</v>
      </c>
      <c r="X1270" s="3">
        <f>IF(fNotasFiscais[[#This Row],[Data da Entrega]]&gt;fNotasFiscais[[#This Row],[Data Contratada]],0,1)</f>
        <v>1</v>
      </c>
      <c r="Y1270" s="3">
        <f>IF(fNotasFiscais[[#This Row],[Ocorrência]]="",1,0)</f>
        <v>1</v>
      </c>
      <c r="Z1270" s="2">
        <f>fNotasFiscais[[#This Row],[On Time]]*fNotasFiscais[[#This Row],[In Full]]</f>
        <v>1</v>
      </c>
      <c r="AA1270">
        <f>IF(fNotasFiscais[[#This Row],[Nota Fiscal]]&lt;&gt;"",1,0)</f>
        <v>1</v>
      </c>
    </row>
    <row r="1271" spans="1:27" x14ac:dyDescent="0.25">
      <c r="A1271" s="1">
        <v>43481</v>
      </c>
      <c r="B1271">
        <v>11680</v>
      </c>
      <c r="C1271" s="2" t="s">
        <v>22</v>
      </c>
      <c r="D1271" s="2" t="s">
        <v>23</v>
      </c>
      <c r="E1271" s="2" t="s">
        <v>24</v>
      </c>
      <c r="F1271">
        <v>4034</v>
      </c>
      <c r="G1271" s="2" t="s">
        <v>110</v>
      </c>
      <c r="H1271" s="2" t="s">
        <v>51</v>
      </c>
      <c r="I1271" s="2" t="s">
        <v>73</v>
      </c>
      <c r="J1271" s="2" t="s">
        <v>49</v>
      </c>
      <c r="K1271" s="2" t="s">
        <v>73</v>
      </c>
      <c r="L1271">
        <v>296.19</v>
      </c>
      <c r="M1271">
        <v>1</v>
      </c>
      <c r="N1271">
        <v>3.5419999999999998</v>
      </c>
      <c r="O1271">
        <v>6100231</v>
      </c>
      <c r="P1271" s="2" t="s">
        <v>50</v>
      </c>
      <c r="Q1271" s="2" t="s">
        <v>51</v>
      </c>
      <c r="R1271" s="2" t="s">
        <v>30</v>
      </c>
      <c r="S1271">
        <v>12</v>
      </c>
      <c r="T1271" s="1">
        <v>43482</v>
      </c>
      <c r="U1271" s="1">
        <v>43486</v>
      </c>
      <c r="V1271" s="2"/>
      <c r="W1271" s="1">
        <f>fNotasFiscais[[#This Row],[Data da Coleta]]+fNotasFiscais[[#This Row],[Prazo Contratado]]</f>
        <v>43494</v>
      </c>
      <c r="X1271" s="3">
        <f>IF(fNotasFiscais[[#This Row],[Data da Entrega]]&gt;fNotasFiscais[[#This Row],[Data Contratada]],0,1)</f>
        <v>1</v>
      </c>
      <c r="Y1271" s="3">
        <f>IF(fNotasFiscais[[#This Row],[Ocorrência]]="",1,0)</f>
        <v>1</v>
      </c>
      <c r="Z1271" s="2">
        <f>fNotasFiscais[[#This Row],[On Time]]*fNotasFiscais[[#This Row],[In Full]]</f>
        <v>1</v>
      </c>
      <c r="AA1271">
        <f>IF(fNotasFiscais[[#This Row],[Nota Fiscal]]&lt;&gt;"",1,0)</f>
        <v>1</v>
      </c>
    </row>
    <row r="1272" spans="1:27" x14ac:dyDescent="0.25">
      <c r="A1272" s="1">
        <v>43481</v>
      </c>
      <c r="B1272">
        <v>11681</v>
      </c>
      <c r="C1272" s="2" t="s">
        <v>34</v>
      </c>
      <c r="D1272" s="2" t="s">
        <v>35</v>
      </c>
      <c r="E1272" s="2" t="s">
        <v>36</v>
      </c>
      <c r="F1272">
        <v>4022</v>
      </c>
      <c r="G1272" s="2" t="s">
        <v>86</v>
      </c>
      <c r="H1272" s="2" t="s">
        <v>87</v>
      </c>
      <c r="I1272" s="2" t="s">
        <v>27</v>
      </c>
      <c r="J1272" s="2" t="s">
        <v>28</v>
      </c>
      <c r="K1272" s="2" t="s">
        <v>27</v>
      </c>
      <c r="L1272">
        <v>1644.58</v>
      </c>
      <c r="M1272">
        <v>1</v>
      </c>
      <c r="N1272">
        <v>6.6000000000000003E-2</v>
      </c>
      <c r="O1272">
        <v>6500948</v>
      </c>
      <c r="P1272" s="2" t="s">
        <v>29</v>
      </c>
      <c r="Q1272" s="2" t="s">
        <v>23</v>
      </c>
      <c r="R1272" s="2" t="s">
        <v>30</v>
      </c>
      <c r="S1272">
        <v>10</v>
      </c>
      <c r="T1272" s="1">
        <v>43482</v>
      </c>
      <c r="U1272" s="1">
        <v>43489</v>
      </c>
      <c r="V1272" s="2"/>
      <c r="W1272" s="1">
        <f>fNotasFiscais[[#This Row],[Data da Coleta]]+fNotasFiscais[[#This Row],[Prazo Contratado]]</f>
        <v>43492</v>
      </c>
      <c r="X1272" s="3">
        <f>IF(fNotasFiscais[[#This Row],[Data da Entrega]]&gt;fNotasFiscais[[#This Row],[Data Contratada]],0,1)</f>
        <v>1</v>
      </c>
      <c r="Y1272" s="3">
        <f>IF(fNotasFiscais[[#This Row],[Ocorrência]]="",1,0)</f>
        <v>1</v>
      </c>
      <c r="Z1272" s="2">
        <f>fNotasFiscais[[#This Row],[On Time]]*fNotasFiscais[[#This Row],[In Full]]</f>
        <v>1</v>
      </c>
      <c r="AA1272">
        <f>IF(fNotasFiscais[[#This Row],[Nota Fiscal]]&lt;&gt;"",1,0)</f>
        <v>1</v>
      </c>
    </row>
    <row r="1273" spans="1:27" x14ac:dyDescent="0.25">
      <c r="A1273" s="1">
        <v>43481</v>
      </c>
      <c r="B1273">
        <v>11682</v>
      </c>
      <c r="C1273" s="2" t="s">
        <v>52</v>
      </c>
      <c r="D1273" s="2" t="s">
        <v>53</v>
      </c>
      <c r="E1273" s="2" t="s">
        <v>33</v>
      </c>
      <c r="F1273">
        <v>4041</v>
      </c>
      <c r="G1273" s="2" t="s">
        <v>83</v>
      </c>
      <c r="H1273" s="2" t="s">
        <v>51</v>
      </c>
      <c r="I1273" s="2" t="s">
        <v>73</v>
      </c>
      <c r="J1273" s="2" t="s">
        <v>49</v>
      </c>
      <c r="K1273" s="2" t="s">
        <v>73</v>
      </c>
      <c r="L1273">
        <v>73.97</v>
      </c>
      <c r="M1273">
        <v>1</v>
      </c>
      <c r="N1273">
        <v>0.95699999999999996</v>
      </c>
      <c r="O1273">
        <v>6100231</v>
      </c>
      <c r="P1273" s="2" t="s">
        <v>50</v>
      </c>
      <c r="Q1273" s="2" t="s">
        <v>51</v>
      </c>
      <c r="R1273" s="2" t="s">
        <v>30</v>
      </c>
      <c r="S1273">
        <v>10</v>
      </c>
      <c r="T1273" s="1">
        <v>43482</v>
      </c>
      <c r="U1273" s="1">
        <v>43492</v>
      </c>
      <c r="V1273" s="2"/>
      <c r="W1273" s="1">
        <f>fNotasFiscais[[#This Row],[Data da Coleta]]+fNotasFiscais[[#This Row],[Prazo Contratado]]</f>
        <v>43492</v>
      </c>
      <c r="X1273" s="3">
        <f>IF(fNotasFiscais[[#This Row],[Data da Entrega]]&gt;fNotasFiscais[[#This Row],[Data Contratada]],0,1)</f>
        <v>1</v>
      </c>
      <c r="Y1273" s="3">
        <f>IF(fNotasFiscais[[#This Row],[Ocorrência]]="",1,0)</f>
        <v>1</v>
      </c>
      <c r="Z1273" s="2">
        <f>fNotasFiscais[[#This Row],[On Time]]*fNotasFiscais[[#This Row],[In Full]]</f>
        <v>1</v>
      </c>
      <c r="AA1273">
        <f>IF(fNotasFiscais[[#This Row],[Nota Fiscal]]&lt;&gt;"",1,0)</f>
        <v>1</v>
      </c>
    </row>
    <row r="1274" spans="1:27" x14ac:dyDescent="0.25">
      <c r="A1274" s="1">
        <v>43481</v>
      </c>
      <c r="B1274">
        <v>11683</v>
      </c>
      <c r="C1274" s="2" t="s">
        <v>43</v>
      </c>
      <c r="D1274" s="2" t="s">
        <v>44</v>
      </c>
      <c r="E1274" s="2" t="s">
        <v>45</v>
      </c>
      <c r="F1274">
        <v>4041</v>
      </c>
      <c r="G1274" s="2" t="s">
        <v>83</v>
      </c>
      <c r="H1274" s="2" t="s">
        <v>51</v>
      </c>
      <c r="I1274" s="2" t="s">
        <v>73</v>
      </c>
      <c r="J1274" s="2" t="s">
        <v>49</v>
      </c>
      <c r="K1274" s="2" t="s">
        <v>73</v>
      </c>
      <c r="L1274">
        <v>1681.98</v>
      </c>
      <c r="M1274">
        <v>2</v>
      </c>
      <c r="N1274">
        <v>4.0919999999999996</v>
      </c>
      <c r="O1274">
        <v>6100231</v>
      </c>
      <c r="P1274" s="2" t="s">
        <v>50</v>
      </c>
      <c r="Q1274" s="2" t="s">
        <v>51</v>
      </c>
      <c r="R1274" s="2" t="s">
        <v>30</v>
      </c>
      <c r="S1274">
        <v>4</v>
      </c>
      <c r="T1274" s="1">
        <v>43482</v>
      </c>
      <c r="U1274" s="1">
        <v>43491</v>
      </c>
      <c r="V1274" s="2"/>
      <c r="W1274" s="1">
        <f>fNotasFiscais[[#This Row],[Data da Coleta]]+fNotasFiscais[[#This Row],[Prazo Contratado]]</f>
        <v>43486</v>
      </c>
      <c r="X1274" s="3">
        <f>IF(fNotasFiscais[[#This Row],[Data da Entrega]]&gt;fNotasFiscais[[#This Row],[Data Contratada]],0,1)</f>
        <v>0</v>
      </c>
      <c r="Y1274" s="3">
        <f>IF(fNotasFiscais[[#This Row],[Ocorrência]]="",1,0)</f>
        <v>1</v>
      </c>
      <c r="Z1274" s="2">
        <f>fNotasFiscais[[#This Row],[On Time]]*fNotasFiscais[[#This Row],[In Full]]</f>
        <v>0</v>
      </c>
      <c r="AA1274">
        <f>IF(fNotasFiscais[[#This Row],[Nota Fiscal]]&lt;&gt;"",1,0)</f>
        <v>1</v>
      </c>
    </row>
    <row r="1275" spans="1:27" x14ac:dyDescent="0.25">
      <c r="A1275" s="1">
        <v>43481</v>
      </c>
      <c r="B1275">
        <v>11684</v>
      </c>
      <c r="C1275" s="2" t="s">
        <v>31</v>
      </c>
      <c r="D1275" s="2" t="s">
        <v>32</v>
      </c>
      <c r="E1275" s="2" t="s">
        <v>33</v>
      </c>
      <c r="F1275">
        <v>4041</v>
      </c>
      <c r="G1275" s="2" t="s">
        <v>83</v>
      </c>
      <c r="H1275" s="2" t="s">
        <v>51</v>
      </c>
      <c r="I1275" s="2" t="s">
        <v>73</v>
      </c>
      <c r="J1275" s="2" t="s">
        <v>49</v>
      </c>
      <c r="K1275" s="2" t="s">
        <v>73</v>
      </c>
      <c r="L1275">
        <v>7034.28</v>
      </c>
      <c r="M1275">
        <v>14</v>
      </c>
      <c r="N1275">
        <v>15.334</v>
      </c>
      <c r="O1275">
        <v>6100231</v>
      </c>
      <c r="P1275" s="2" t="s">
        <v>50</v>
      </c>
      <c r="Q1275" s="2" t="s">
        <v>51</v>
      </c>
      <c r="R1275" s="2" t="s">
        <v>30</v>
      </c>
      <c r="S1275">
        <v>2</v>
      </c>
      <c r="T1275" s="1">
        <v>43482</v>
      </c>
      <c r="U1275" s="1">
        <v>43487</v>
      </c>
      <c r="V1275" s="2"/>
      <c r="W1275" s="1">
        <f>fNotasFiscais[[#This Row],[Data da Coleta]]+fNotasFiscais[[#This Row],[Prazo Contratado]]</f>
        <v>43484</v>
      </c>
      <c r="X1275" s="3">
        <f>IF(fNotasFiscais[[#This Row],[Data da Entrega]]&gt;fNotasFiscais[[#This Row],[Data Contratada]],0,1)</f>
        <v>0</v>
      </c>
      <c r="Y1275" s="3">
        <f>IF(fNotasFiscais[[#This Row],[Ocorrência]]="",1,0)</f>
        <v>1</v>
      </c>
      <c r="Z1275" s="2">
        <f>fNotasFiscais[[#This Row],[On Time]]*fNotasFiscais[[#This Row],[In Full]]</f>
        <v>0</v>
      </c>
      <c r="AA1275">
        <f>IF(fNotasFiscais[[#This Row],[Nota Fiscal]]&lt;&gt;"",1,0)</f>
        <v>1</v>
      </c>
    </row>
    <row r="1276" spans="1:27" x14ac:dyDescent="0.25">
      <c r="A1276" s="1">
        <v>43481</v>
      </c>
      <c r="B1276">
        <v>11685</v>
      </c>
      <c r="C1276" s="2" t="s">
        <v>52</v>
      </c>
      <c r="D1276" s="2" t="s">
        <v>53</v>
      </c>
      <c r="E1276" s="2" t="s">
        <v>33</v>
      </c>
      <c r="F1276">
        <v>4041</v>
      </c>
      <c r="G1276" s="2" t="s">
        <v>83</v>
      </c>
      <c r="H1276" s="2" t="s">
        <v>51</v>
      </c>
      <c r="I1276" s="2" t="s">
        <v>73</v>
      </c>
      <c r="J1276" s="2" t="s">
        <v>49</v>
      </c>
      <c r="K1276" s="2" t="s">
        <v>73</v>
      </c>
      <c r="L1276">
        <v>911.57</v>
      </c>
      <c r="M1276">
        <v>1</v>
      </c>
      <c r="N1276">
        <v>1.1000000000000001</v>
      </c>
      <c r="O1276">
        <v>6100231</v>
      </c>
      <c r="P1276" s="2" t="s">
        <v>50</v>
      </c>
      <c r="Q1276" s="2" t="s">
        <v>51</v>
      </c>
      <c r="R1276" s="2" t="s">
        <v>30</v>
      </c>
      <c r="S1276">
        <v>11</v>
      </c>
      <c r="T1276" s="1">
        <v>43482</v>
      </c>
      <c r="U1276" s="1">
        <v>43488</v>
      </c>
      <c r="V1276" s="2" t="s">
        <v>57</v>
      </c>
      <c r="W1276" s="1">
        <f>fNotasFiscais[[#This Row],[Data da Coleta]]+fNotasFiscais[[#This Row],[Prazo Contratado]]</f>
        <v>43493</v>
      </c>
      <c r="X1276" s="3">
        <f>IF(fNotasFiscais[[#This Row],[Data da Entrega]]&gt;fNotasFiscais[[#This Row],[Data Contratada]],0,1)</f>
        <v>1</v>
      </c>
      <c r="Y1276" s="3">
        <f>IF(fNotasFiscais[[#This Row],[Ocorrência]]="",1,0)</f>
        <v>0</v>
      </c>
      <c r="Z1276" s="2">
        <f>fNotasFiscais[[#This Row],[On Time]]*fNotasFiscais[[#This Row],[In Full]]</f>
        <v>0</v>
      </c>
      <c r="AA1276">
        <f>IF(fNotasFiscais[[#This Row],[Nota Fiscal]]&lt;&gt;"",1,0)</f>
        <v>1</v>
      </c>
    </row>
    <row r="1277" spans="1:27" x14ac:dyDescent="0.25">
      <c r="A1277" s="1">
        <v>43481</v>
      </c>
      <c r="B1277">
        <v>11686</v>
      </c>
      <c r="C1277" s="2" t="s">
        <v>22</v>
      </c>
      <c r="D1277" s="2" t="s">
        <v>23</v>
      </c>
      <c r="E1277" s="2" t="s">
        <v>24</v>
      </c>
      <c r="F1277">
        <v>4041</v>
      </c>
      <c r="G1277" s="2" t="s">
        <v>83</v>
      </c>
      <c r="H1277" s="2" t="s">
        <v>51</v>
      </c>
      <c r="I1277" s="2" t="s">
        <v>73</v>
      </c>
      <c r="J1277" s="2" t="s">
        <v>49</v>
      </c>
      <c r="K1277" s="2" t="s">
        <v>73</v>
      </c>
      <c r="L1277">
        <v>197.36</v>
      </c>
      <c r="M1277">
        <v>1</v>
      </c>
      <c r="N1277">
        <v>0.51400000000000001</v>
      </c>
      <c r="O1277">
        <v>6100231</v>
      </c>
      <c r="P1277" s="2" t="s">
        <v>50</v>
      </c>
      <c r="Q1277" s="2" t="s">
        <v>51</v>
      </c>
      <c r="R1277" s="2" t="s">
        <v>30</v>
      </c>
      <c r="S1277">
        <v>9</v>
      </c>
      <c r="T1277" s="1">
        <v>43482</v>
      </c>
      <c r="U1277" s="1">
        <v>43487</v>
      </c>
      <c r="V1277" s="2"/>
      <c r="W1277" s="1">
        <f>fNotasFiscais[[#This Row],[Data da Coleta]]+fNotasFiscais[[#This Row],[Prazo Contratado]]</f>
        <v>43491</v>
      </c>
      <c r="X1277" s="3">
        <f>IF(fNotasFiscais[[#This Row],[Data da Entrega]]&gt;fNotasFiscais[[#This Row],[Data Contratada]],0,1)</f>
        <v>1</v>
      </c>
      <c r="Y1277" s="3">
        <f>IF(fNotasFiscais[[#This Row],[Ocorrência]]="",1,0)</f>
        <v>1</v>
      </c>
      <c r="Z1277" s="2">
        <f>fNotasFiscais[[#This Row],[On Time]]*fNotasFiscais[[#This Row],[In Full]]</f>
        <v>1</v>
      </c>
      <c r="AA1277">
        <f>IF(fNotasFiscais[[#This Row],[Nota Fiscal]]&lt;&gt;"",1,0)</f>
        <v>1</v>
      </c>
    </row>
    <row r="1278" spans="1:27" x14ac:dyDescent="0.25">
      <c r="A1278" s="1">
        <v>43483</v>
      </c>
      <c r="B1278">
        <v>11687</v>
      </c>
      <c r="C1278" s="2" t="s">
        <v>34</v>
      </c>
      <c r="D1278" s="2" t="s">
        <v>35</v>
      </c>
      <c r="E1278" s="2" t="s">
        <v>36</v>
      </c>
      <c r="F1278">
        <v>4017</v>
      </c>
      <c r="G1278" s="2" t="s">
        <v>74</v>
      </c>
      <c r="H1278" s="2" t="s">
        <v>75</v>
      </c>
      <c r="I1278" s="2" t="s">
        <v>39</v>
      </c>
      <c r="J1278" s="2" t="s">
        <v>28</v>
      </c>
      <c r="K1278" s="2" t="s">
        <v>39</v>
      </c>
      <c r="L1278">
        <v>174.12</v>
      </c>
      <c r="M1278">
        <v>1</v>
      </c>
      <c r="N1278">
        <v>1.87</v>
      </c>
      <c r="O1278">
        <v>6500948</v>
      </c>
      <c r="P1278" s="2" t="s">
        <v>29</v>
      </c>
      <c r="Q1278" s="2" t="s">
        <v>23</v>
      </c>
      <c r="R1278" s="2" t="s">
        <v>30</v>
      </c>
      <c r="S1278">
        <v>9</v>
      </c>
      <c r="T1278" s="1">
        <v>43484</v>
      </c>
      <c r="U1278" s="1">
        <v>43485</v>
      </c>
      <c r="V1278" s="2"/>
      <c r="W1278" s="1">
        <f>fNotasFiscais[[#This Row],[Data da Coleta]]+fNotasFiscais[[#This Row],[Prazo Contratado]]</f>
        <v>43493</v>
      </c>
      <c r="X1278" s="3">
        <f>IF(fNotasFiscais[[#This Row],[Data da Entrega]]&gt;fNotasFiscais[[#This Row],[Data Contratada]],0,1)</f>
        <v>1</v>
      </c>
      <c r="Y1278" s="3">
        <f>IF(fNotasFiscais[[#This Row],[Ocorrência]]="",1,0)</f>
        <v>1</v>
      </c>
      <c r="Z1278" s="2">
        <f>fNotasFiscais[[#This Row],[On Time]]*fNotasFiscais[[#This Row],[In Full]]</f>
        <v>1</v>
      </c>
      <c r="AA1278">
        <f>IF(fNotasFiscais[[#This Row],[Nota Fiscal]]&lt;&gt;"",1,0)</f>
        <v>1</v>
      </c>
    </row>
    <row r="1279" spans="1:27" x14ac:dyDescent="0.25">
      <c r="A1279" s="1">
        <v>43483</v>
      </c>
      <c r="B1279">
        <v>11688</v>
      </c>
      <c r="C1279" s="2" t="s">
        <v>31</v>
      </c>
      <c r="D1279" s="2" t="s">
        <v>32</v>
      </c>
      <c r="E1279" s="2" t="s">
        <v>33</v>
      </c>
      <c r="F1279">
        <v>4084</v>
      </c>
      <c r="G1279" s="2" t="s">
        <v>155</v>
      </c>
      <c r="H1279" s="2" t="s">
        <v>149</v>
      </c>
      <c r="I1279" s="2" t="s">
        <v>33</v>
      </c>
      <c r="J1279" s="2" t="s">
        <v>60</v>
      </c>
      <c r="K1279" s="2" t="s">
        <v>33</v>
      </c>
      <c r="L1279">
        <v>593.94000000000005</v>
      </c>
      <c r="M1279">
        <v>2</v>
      </c>
      <c r="N1279">
        <v>0.89800000000000002</v>
      </c>
      <c r="O1279">
        <v>6400835</v>
      </c>
      <c r="P1279" s="2" t="s">
        <v>130</v>
      </c>
      <c r="Q1279" s="2" t="s">
        <v>131</v>
      </c>
      <c r="R1279" s="2" t="s">
        <v>30</v>
      </c>
      <c r="S1279">
        <v>6</v>
      </c>
      <c r="T1279" s="1">
        <v>43484</v>
      </c>
      <c r="U1279" s="1">
        <v>43486</v>
      </c>
      <c r="V1279" s="2"/>
      <c r="W1279" s="1">
        <f>fNotasFiscais[[#This Row],[Data da Coleta]]+fNotasFiscais[[#This Row],[Prazo Contratado]]</f>
        <v>43490</v>
      </c>
      <c r="X1279" s="3">
        <f>IF(fNotasFiscais[[#This Row],[Data da Entrega]]&gt;fNotasFiscais[[#This Row],[Data Contratada]],0,1)</f>
        <v>1</v>
      </c>
      <c r="Y1279" s="3">
        <f>IF(fNotasFiscais[[#This Row],[Ocorrência]]="",1,0)</f>
        <v>1</v>
      </c>
      <c r="Z1279" s="2">
        <f>fNotasFiscais[[#This Row],[On Time]]*fNotasFiscais[[#This Row],[In Full]]</f>
        <v>1</v>
      </c>
      <c r="AA1279">
        <f>IF(fNotasFiscais[[#This Row],[Nota Fiscal]]&lt;&gt;"",1,0)</f>
        <v>1</v>
      </c>
    </row>
    <row r="1280" spans="1:27" x14ac:dyDescent="0.25">
      <c r="A1280" s="1">
        <v>43483</v>
      </c>
      <c r="B1280">
        <v>11689</v>
      </c>
      <c r="C1280" s="2" t="s">
        <v>31</v>
      </c>
      <c r="D1280" s="2" t="s">
        <v>32</v>
      </c>
      <c r="E1280" s="2" t="s">
        <v>33</v>
      </c>
      <c r="F1280">
        <v>4134</v>
      </c>
      <c r="G1280" s="2" t="s">
        <v>217</v>
      </c>
      <c r="H1280" s="2" t="s">
        <v>165</v>
      </c>
      <c r="I1280" s="2" t="s">
        <v>24</v>
      </c>
      <c r="J1280" s="2" t="s">
        <v>28</v>
      </c>
      <c r="K1280" s="2" t="s">
        <v>24</v>
      </c>
      <c r="L1280">
        <v>365.26</v>
      </c>
      <c r="M1280">
        <v>2</v>
      </c>
      <c r="N1280">
        <v>14.304</v>
      </c>
      <c r="O1280">
        <v>6500948</v>
      </c>
      <c r="P1280" s="2" t="s">
        <v>29</v>
      </c>
      <c r="Q1280" s="2" t="s">
        <v>23</v>
      </c>
      <c r="R1280" s="2" t="s">
        <v>30</v>
      </c>
      <c r="S1280">
        <v>3</v>
      </c>
      <c r="T1280" s="1">
        <v>43484</v>
      </c>
      <c r="U1280" s="1">
        <v>43489</v>
      </c>
      <c r="V1280" s="2"/>
      <c r="W1280" s="1">
        <f>fNotasFiscais[[#This Row],[Data da Coleta]]+fNotasFiscais[[#This Row],[Prazo Contratado]]</f>
        <v>43487</v>
      </c>
      <c r="X1280" s="3">
        <f>IF(fNotasFiscais[[#This Row],[Data da Entrega]]&gt;fNotasFiscais[[#This Row],[Data Contratada]],0,1)</f>
        <v>0</v>
      </c>
      <c r="Y1280" s="3">
        <f>IF(fNotasFiscais[[#This Row],[Ocorrência]]="",1,0)</f>
        <v>1</v>
      </c>
      <c r="Z1280" s="2">
        <f>fNotasFiscais[[#This Row],[On Time]]*fNotasFiscais[[#This Row],[In Full]]</f>
        <v>0</v>
      </c>
      <c r="AA1280">
        <f>IF(fNotasFiscais[[#This Row],[Nota Fiscal]]&lt;&gt;"",1,0)</f>
        <v>1</v>
      </c>
    </row>
    <row r="1281" spans="1:27" x14ac:dyDescent="0.25">
      <c r="A1281" s="1">
        <v>43483</v>
      </c>
      <c r="B1281">
        <v>11690</v>
      </c>
      <c r="C1281" s="2" t="s">
        <v>52</v>
      </c>
      <c r="D1281" s="2" t="s">
        <v>53</v>
      </c>
      <c r="E1281" s="2" t="s">
        <v>33</v>
      </c>
      <c r="F1281">
        <v>4013</v>
      </c>
      <c r="G1281" s="2" t="s">
        <v>37</v>
      </c>
      <c r="H1281" s="2" t="s">
        <v>38</v>
      </c>
      <c r="I1281" s="2" t="s">
        <v>39</v>
      </c>
      <c r="J1281" s="2" t="s">
        <v>28</v>
      </c>
      <c r="K1281" s="2" t="s">
        <v>39</v>
      </c>
      <c r="L1281">
        <v>1168.5999999999999</v>
      </c>
      <c r="M1281">
        <v>1</v>
      </c>
      <c r="N1281">
        <v>1.1200000000000001</v>
      </c>
      <c r="O1281">
        <v>6500948</v>
      </c>
      <c r="P1281" s="2" t="s">
        <v>29</v>
      </c>
      <c r="Q1281" s="2" t="s">
        <v>23</v>
      </c>
      <c r="R1281" s="2" t="s">
        <v>62</v>
      </c>
      <c r="S1281">
        <v>8</v>
      </c>
      <c r="T1281" s="1">
        <v>43484</v>
      </c>
      <c r="U1281" s="1">
        <v>43487</v>
      </c>
      <c r="V1281" s="2"/>
      <c r="W1281" s="1">
        <f>fNotasFiscais[[#This Row],[Data da Coleta]]+fNotasFiscais[[#This Row],[Prazo Contratado]]</f>
        <v>43492</v>
      </c>
      <c r="X1281" s="3">
        <f>IF(fNotasFiscais[[#This Row],[Data da Entrega]]&gt;fNotasFiscais[[#This Row],[Data Contratada]],0,1)</f>
        <v>1</v>
      </c>
      <c r="Y1281" s="3">
        <f>IF(fNotasFiscais[[#This Row],[Ocorrência]]="",1,0)</f>
        <v>1</v>
      </c>
      <c r="Z1281" s="2">
        <f>fNotasFiscais[[#This Row],[On Time]]*fNotasFiscais[[#This Row],[In Full]]</f>
        <v>1</v>
      </c>
      <c r="AA1281">
        <f>IF(fNotasFiscais[[#This Row],[Nota Fiscal]]&lt;&gt;"",1,0)</f>
        <v>1</v>
      </c>
    </row>
    <row r="1282" spans="1:27" x14ac:dyDescent="0.25">
      <c r="A1282" s="1">
        <v>43484</v>
      </c>
      <c r="B1282">
        <v>11691</v>
      </c>
      <c r="C1282" s="2" t="s">
        <v>43</v>
      </c>
      <c r="D1282" s="2" t="s">
        <v>44</v>
      </c>
      <c r="E1282" s="2" t="s">
        <v>45</v>
      </c>
      <c r="F1282">
        <v>4022</v>
      </c>
      <c r="G1282" s="2" t="s">
        <v>86</v>
      </c>
      <c r="H1282" s="2" t="s">
        <v>87</v>
      </c>
      <c r="I1282" s="2" t="s">
        <v>27</v>
      </c>
      <c r="J1282" s="2" t="s">
        <v>28</v>
      </c>
      <c r="K1282" s="2" t="s">
        <v>27</v>
      </c>
      <c r="L1282">
        <v>1564.99</v>
      </c>
      <c r="M1282">
        <v>5</v>
      </c>
      <c r="N1282">
        <v>2.8159999999999998</v>
      </c>
      <c r="O1282">
        <v>6500948</v>
      </c>
      <c r="P1282" s="2" t="s">
        <v>29</v>
      </c>
      <c r="Q1282" s="2" t="s">
        <v>23</v>
      </c>
      <c r="R1282" s="2" t="s">
        <v>30</v>
      </c>
      <c r="S1282">
        <v>3</v>
      </c>
      <c r="T1282" s="1">
        <v>43485</v>
      </c>
      <c r="U1282" s="1">
        <v>43490</v>
      </c>
      <c r="V1282" s="2"/>
      <c r="W1282" s="1">
        <f>fNotasFiscais[[#This Row],[Data da Coleta]]+fNotasFiscais[[#This Row],[Prazo Contratado]]</f>
        <v>43488</v>
      </c>
      <c r="X1282" s="3">
        <f>IF(fNotasFiscais[[#This Row],[Data da Entrega]]&gt;fNotasFiscais[[#This Row],[Data Contratada]],0,1)</f>
        <v>0</v>
      </c>
      <c r="Y1282" s="3">
        <f>IF(fNotasFiscais[[#This Row],[Ocorrência]]="",1,0)</f>
        <v>1</v>
      </c>
      <c r="Z1282" s="2">
        <f>fNotasFiscais[[#This Row],[On Time]]*fNotasFiscais[[#This Row],[In Full]]</f>
        <v>0</v>
      </c>
      <c r="AA1282">
        <f>IF(fNotasFiscais[[#This Row],[Nota Fiscal]]&lt;&gt;"",1,0)</f>
        <v>1</v>
      </c>
    </row>
    <row r="1283" spans="1:27" x14ac:dyDescent="0.25">
      <c r="A1283" s="1">
        <v>43487</v>
      </c>
      <c r="B1283">
        <v>11692</v>
      </c>
      <c r="C1283" s="2" t="s">
        <v>52</v>
      </c>
      <c r="D1283" s="2" t="s">
        <v>53</v>
      </c>
      <c r="E1283" s="2" t="s">
        <v>33</v>
      </c>
      <c r="F1283">
        <v>4128</v>
      </c>
      <c r="G1283" s="2" t="s">
        <v>211</v>
      </c>
      <c r="H1283" s="2" t="s">
        <v>167</v>
      </c>
      <c r="I1283" s="2" t="s">
        <v>168</v>
      </c>
      <c r="J1283" s="2" t="s">
        <v>169</v>
      </c>
      <c r="K1283" s="2" t="s">
        <v>168</v>
      </c>
      <c r="L1283">
        <v>946.82</v>
      </c>
      <c r="M1283">
        <v>1</v>
      </c>
      <c r="N1283">
        <v>11.837999999999999</v>
      </c>
      <c r="O1283">
        <v>6900304</v>
      </c>
      <c r="P1283" s="2" t="s">
        <v>170</v>
      </c>
      <c r="Q1283" s="2" t="s">
        <v>171</v>
      </c>
      <c r="R1283" s="2" t="s">
        <v>30</v>
      </c>
      <c r="S1283">
        <v>2</v>
      </c>
      <c r="T1283" s="1">
        <v>43487</v>
      </c>
      <c r="U1283" s="1">
        <v>43488</v>
      </c>
      <c r="V1283" s="2"/>
      <c r="W1283" s="1">
        <f>fNotasFiscais[[#This Row],[Data da Coleta]]+fNotasFiscais[[#This Row],[Prazo Contratado]]</f>
        <v>43489</v>
      </c>
      <c r="X1283" s="3">
        <f>IF(fNotasFiscais[[#This Row],[Data da Entrega]]&gt;fNotasFiscais[[#This Row],[Data Contratada]],0,1)</f>
        <v>1</v>
      </c>
      <c r="Y1283" s="3">
        <f>IF(fNotasFiscais[[#This Row],[Ocorrência]]="",1,0)</f>
        <v>1</v>
      </c>
      <c r="Z1283" s="2">
        <f>fNotasFiscais[[#This Row],[On Time]]*fNotasFiscais[[#This Row],[In Full]]</f>
        <v>1</v>
      </c>
      <c r="AA1283">
        <f>IF(fNotasFiscais[[#This Row],[Nota Fiscal]]&lt;&gt;"",1,0)</f>
        <v>1</v>
      </c>
    </row>
    <row r="1284" spans="1:27" x14ac:dyDescent="0.25">
      <c r="A1284" s="1">
        <v>43486</v>
      </c>
      <c r="B1284">
        <v>11693</v>
      </c>
      <c r="C1284" s="2" t="s">
        <v>22</v>
      </c>
      <c r="D1284" s="2" t="s">
        <v>23</v>
      </c>
      <c r="E1284" s="2" t="s">
        <v>24</v>
      </c>
      <c r="F1284">
        <v>4068</v>
      </c>
      <c r="G1284" s="2" t="s">
        <v>63</v>
      </c>
      <c r="H1284" s="2" t="s">
        <v>64</v>
      </c>
      <c r="I1284" s="2" t="s">
        <v>65</v>
      </c>
      <c r="J1284" s="2" t="s">
        <v>49</v>
      </c>
      <c r="K1284" s="2" t="s">
        <v>65</v>
      </c>
      <c r="L1284">
        <v>1403.63</v>
      </c>
      <c r="M1284">
        <v>2</v>
      </c>
      <c r="N1284">
        <v>1.272</v>
      </c>
      <c r="O1284">
        <v>6100231</v>
      </c>
      <c r="P1284" s="2" t="s">
        <v>50</v>
      </c>
      <c r="Q1284" s="2" t="s">
        <v>51</v>
      </c>
      <c r="R1284" s="2" t="s">
        <v>30</v>
      </c>
      <c r="S1284">
        <v>7</v>
      </c>
      <c r="T1284" s="1">
        <v>43487</v>
      </c>
      <c r="U1284" s="1">
        <v>43495</v>
      </c>
      <c r="V1284" s="2"/>
      <c r="W1284" s="1">
        <f>fNotasFiscais[[#This Row],[Data da Coleta]]+fNotasFiscais[[#This Row],[Prazo Contratado]]</f>
        <v>43494</v>
      </c>
      <c r="X1284" s="3">
        <f>IF(fNotasFiscais[[#This Row],[Data da Entrega]]&gt;fNotasFiscais[[#This Row],[Data Contratada]],0,1)</f>
        <v>0</v>
      </c>
      <c r="Y1284" s="3">
        <f>IF(fNotasFiscais[[#This Row],[Ocorrência]]="",1,0)</f>
        <v>1</v>
      </c>
      <c r="Z1284" s="2">
        <f>fNotasFiscais[[#This Row],[On Time]]*fNotasFiscais[[#This Row],[In Full]]</f>
        <v>0</v>
      </c>
      <c r="AA1284">
        <f>IF(fNotasFiscais[[#This Row],[Nota Fiscal]]&lt;&gt;"",1,0)</f>
        <v>1</v>
      </c>
    </row>
    <row r="1285" spans="1:27" x14ac:dyDescent="0.25">
      <c r="A1285" s="1">
        <v>43487</v>
      </c>
      <c r="B1285">
        <v>11694</v>
      </c>
      <c r="C1285" s="2" t="s">
        <v>22</v>
      </c>
      <c r="D1285" s="2" t="s">
        <v>23</v>
      </c>
      <c r="E1285" s="2" t="s">
        <v>24</v>
      </c>
      <c r="F1285">
        <v>4069</v>
      </c>
      <c r="G1285" s="2" t="s">
        <v>135</v>
      </c>
      <c r="H1285" s="2" t="s">
        <v>47</v>
      </c>
      <c r="I1285" s="2" t="s">
        <v>48</v>
      </c>
      <c r="J1285" s="2" t="s">
        <v>49</v>
      </c>
      <c r="K1285" s="2" t="s">
        <v>48</v>
      </c>
      <c r="L1285">
        <v>2141.65</v>
      </c>
      <c r="M1285">
        <v>4</v>
      </c>
      <c r="N1285">
        <v>18.721</v>
      </c>
      <c r="O1285">
        <v>6100231</v>
      </c>
      <c r="P1285" s="2" t="s">
        <v>50</v>
      </c>
      <c r="Q1285" s="2" t="s">
        <v>51</v>
      </c>
      <c r="R1285" s="2" t="s">
        <v>30</v>
      </c>
      <c r="S1285">
        <v>11</v>
      </c>
      <c r="T1285" s="1">
        <v>43488</v>
      </c>
      <c r="U1285" s="1">
        <v>43490</v>
      </c>
      <c r="V1285" s="2"/>
      <c r="W1285" s="1">
        <f>fNotasFiscais[[#This Row],[Data da Coleta]]+fNotasFiscais[[#This Row],[Prazo Contratado]]</f>
        <v>43499</v>
      </c>
      <c r="X1285" s="3">
        <f>IF(fNotasFiscais[[#This Row],[Data da Entrega]]&gt;fNotasFiscais[[#This Row],[Data Contratada]],0,1)</f>
        <v>1</v>
      </c>
      <c r="Y1285" s="3">
        <f>IF(fNotasFiscais[[#This Row],[Ocorrência]]="",1,0)</f>
        <v>1</v>
      </c>
      <c r="Z1285" s="2">
        <f>fNotasFiscais[[#This Row],[On Time]]*fNotasFiscais[[#This Row],[In Full]]</f>
        <v>1</v>
      </c>
      <c r="AA1285">
        <f>IF(fNotasFiscais[[#This Row],[Nota Fiscal]]&lt;&gt;"",1,0)</f>
        <v>1</v>
      </c>
    </row>
    <row r="1286" spans="1:27" x14ac:dyDescent="0.25">
      <c r="A1286" s="1">
        <v>43487</v>
      </c>
      <c r="B1286">
        <v>11695</v>
      </c>
      <c r="C1286" s="2" t="s">
        <v>52</v>
      </c>
      <c r="D1286" s="2" t="s">
        <v>53</v>
      </c>
      <c r="E1286" s="2" t="s">
        <v>33</v>
      </c>
      <c r="F1286">
        <v>4014</v>
      </c>
      <c r="G1286" s="2" t="s">
        <v>58</v>
      </c>
      <c r="H1286" s="2" t="s">
        <v>59</v>
      </c>
      <c r="I1286" s="2" t="s">
        <v>36</v>
      </c>
      <c r="J1286" s="2" t="s">
        <v>60</v>
      </c>
      <c r="K1286" s="2" t="s">
        <v>36</v>
      </c>
      <c r="L1286">
        <v>285.16000000000003</v>
      </c>
      <c r="M1286">
        <v>1</v>
      </c>
      <c r="N1286">
        <v>1.54</v>
      </c>
      <c r="O1286">
        <v>6600879</v>
      </c>
      <c r="P1286" s="2" t="s">
        <v>61</v>
      </c>
      <c r="Q1286" s="2" t="s">
        <v>35</v>
      </c>
      <c r="R1286" s="2" t="s">
        <v>30</v>
      </c>
      <c r="S1286">
        <v>8</v>
      </c>
      <c r="T1286" s="1">
        <v>43488</v>
      </c>
      <c r="U1286" s="1">
        <v>43491</v>
      </c>
      <c r="V1286" s="2"/>
      <c r="W1286" s="1">
        <f>fNotasFiscais[[#This Row],[Data da Coleta]]+fNotasFiscais[[#This Row],[Prazo Contratado]]</f>
        <v>43496</v>
      </c>
      <c r="X1286" s="3">
        <f>IF(fNotasFiscais[[#This Row],[Data da Entrega]]&gt;fNotasFiscais[[#This Row],[Data Contratada]],0,1)</f>
        <v>1</v>
      </c>
      <c r="Y1286" s="3">
        <f>IF(fNotasFiscais[[#This Row],[Ocorrência]]="",1,0)</f>
        <v>1</v>
      </c>
      <c r="Z1286" s="2">
        <f>fNotasFiscais[[#This Row],[On Time]]*fNotasFiscais[[#This Row],[In Full]]</f>
        <v>1</v>
      </c>
      <c r="AA1286">
        <f>IF(fNotasFiscais[[#This Row],[Nota Fiscal]]&lt;&gt;"",1,0)</f>
        <v>1</v>
      </c>
    </row>
    <row r="1287" spans="1:27" x14ac:dyDescent="0.25">
      <c r="A1287" s="1">
        <v>43487</v>
      </c>
      <c r="B1287">
        <v>11696</v>
      </c>
      <c r="C1287" s="2" t="s">
        <v>34</v>
      </c>
      <c r="D1287" s="2" t="s">
        <v>35</v>
      </c>
      <c r="E1287" s="2" t="s">
        <v>36</v>
      </c>
      <c r="F1287">
        <v>4014</v>
      </c>
      <c r="G1287" s="2" t="s">
        <v>58</v>
      </c>
      <c r="H1287" s="2" t="s">
        <v>59</v>
      </c>
      <c r="I1287" s="2" t="s">
        <v>36</v>
      </c>
      <c r="J1287" s="2" t="s">
        <v>60</v>
      </c>
      <c r="K1287" s="2" t="s">
        <v>36</v>
      </c>
      <c r="L1287">
        <v>1089.1600000000001</v>
      </c>
      <c r="M1287">
        <v>2</v>
      </c>
      <c r="N1287">
        <v>3.52</v>
      </c>
      <c r="O1287">
        <v>6600879</v>
      </c>
      <c r="P1287" s="2" t="s">
        <v>61</v>
      </c>
      <c r="Q1287" s="2" t="s">
        <v>35</v>
      </c>
      <c r="R1287" s="2" t="s">
        <v>30</v>
      </c>
      <c r="S1287">
        <v>6</v>
      </c>
      <c r="T1287" s="1">
        <v>43488</v>
      </c>
      <c r="U1287" s="1">
        <v>43497</v>
      </c>
      <c r="V1287" s="2"/>
      <c r="W1287" s="1">
        <f>fNotasFiscais[[#This Row],[Data da Coleta]]+fNotasFiscais[[#This Row],[Prazo Contratado]]</f>
        <v>43494</v>
      </c>
      <c r="X1287" s="3">
        <f>IF(fNotasFiscais[[#This Row],[Data da Entrega]]&gt;fNotasFiscais[[#This Row],[Data Contratada]],0,1)</f>
        <v>0</v>
      </c>
      <c r="Y1287" s="3">
        <f>IF(fNotasFiscais[[#This Row],[Ocorrência]]="",1,0)</f>
        <v>1</v>
      </c>
      <c r="Z1287" s="2">
        <f>fNotasFiscais[[#This Row],[On Time]]*fNotasFiscais[[#This Row],[In Full]]</f>
        <v>0</v>
      </c>
      <c r="AA1287">
        <f>IF(fNotasFiscais[[#This Row],[Nota Fiscal]]&lt;&gt;"",1,0)</f>
        <v>1</v>
      </c>
    </row>
    <row r="1288" spans="1:27" x14ac:dyDescent="0.25">
      <c r="A1288" s="1">
        <v>43487</v>
      </c>
      <c r="B1288">
        <v>11697</v>
      </c>
      <c r="C1288" s="2" t="s">
        <v>31</v>
      </c>
      <c r="D1288" s="2" t="s">
        <v>32</v>
      </c>
      <c r="E1288" s="2" t="s">
        <v>33</v>
      </c>
      <c r="F1288">
        <v>4014</v>
      </c>
      <c r="G1288" s="2" t="s">
        <v>58</v>
      </c>
      <c r="H1288" s="2" t="s">
        <v>59</v>
      </c>
      <c r="I1288" s="2" t="s">
        <v>36</v>
      </c>
      <c r="J1288" s="2" t="s">
        <v>60</v>
      </c>
      <c r="K1288" s="2" t="s">
        <v>36</v>
      </c>
      <c r="L1288">
        <v>18237.689999999999</v>
      </c>
      <c r="M1288">
        <v>16</v>
      </c>
      <c r="N1288">
        <v>266.58499999999998</v>
      </c>
      <c r="O1288">
        <v>6600879</v>
      </c>
      <c r="P1288" s="2" t="s">
        <v>61</v>
      </c>
      <c r="Q1288" s="2" t="s">
        <v>35</v>
      </c>
      <c r="R1288" s="2" t="s">
        <v>30</v>
      </c>
      <c r="S1288">
        <v>6</v>
      </c>
      <c r="T1288" s="1">
        <v>43488</v>
      </c>
      <c r="U1288" s="1">
        <v>43497</v>
      </c>
      <c r="V1288" s="2"/>
      <c r="W1288" s="1">
        <f>fNotasFiscais[[#This Row],[Data da Coleta]]+fNotasFiscais[[#This Row],[Prazo Contratado]]</f>
        <v>43494</v>
      </c>
      <c r="X1288" s="3">
        <f>IF(fNotasFiscais[[#This Row],[Data da Entrega]]&gt;fNotasFiscais[[#This Row],[Data Contratada]],0,1)</f>
        <v>0</v>
      </c>
      <c r="Y1288" s="3">
        <f>IF(fNotasFiscais[[#This Row],[Ocorrência]]="",1,0)</f>
        <v>1</v>
      </c>
      <c r="Z1288" s="2">
        <f>fNotasFiscais[[#This Row],[On Time]]*fNotasFiscais[[#This Row],[In Full]]</f>
        <v>0</v>
      </c>
      <c r="AA1288">
        <f>IF(fNotasFiscais[[#This Row],[Nota Fiscal]]&lt;&gt;"",1,0)</f>
        <v>1</v>
      </c>
    </row>
    <row r="1289" spans="1:27" x14ac:dyDescent="0.25">
      <c r="A1289" s="1">
        <v>43487</v>
      </c>
      <c r="B1289">
        <v>11698</v>
      </c>
      <c r="C1289" s="2" t="s">
        <v>31</v>
      </c>
      <c r="D1289" s="2" t="s">
        <v>32</v>
      </c>
      <c r="E1289" s="2" t="s">
        <v>33</v>
      </c>
      <c r="F1289">
        <v>4032</v>
      </c>
      <c r="G1289" s="2" t="s">
        <v>108</v>
      </c>
      <c r="H1289" s="2" t="s">
        <v>51</v>
      </c>
      <c r="I1289" s="2" t="s">
        <v>73</v>
      </c>
      <c r="J1289" s="2" t="s">
        <v>49</v>
      </c>
      <c r="K1289" s="2" t="s">
        <v>73</v>
      </c>
      <c r="L1289">
        <v>652</v>
      </c>
      <c r="M1289">
        <v>8</v>
      </c>
      <c r="N1289">
        <v>383.51499999999999</v>
      </c>
      <c r="O1289">
        <v>6100231</v>
      </c>
      <c r="P1289" s="2" t="s">
        <v>50</v>
      </c>
      <c r="Q1289" s="2" t="s">
        <v>51</v>
      </c>
      <c r="R1289" s="2" t="s">
        <v>30</v>
      </c>
      <c r="S1289">
        <v>7</v>
      </c>
      <c r="T1289" s="1">
        <v>43488</v>
      </c>
      <c r="U1289" s="1">
        <v>43495</v>
      </c>
      <c r="V1289" s="2"/>
      <c r="W1289" s="1">
        <f>fNotasFiscais[[#This Row],[Data da Coleta]]+fNotasFiscais[[#This Row],[Prazo Contratado]]</f>
        <v>43495</v>
      </c>
      <c r="X1289" s="3">
        <f>IF(fNotasFiscais[[#This Row],[Data da Entrega]]&gt;fNotasFiscais[[#This Row],[Data Contratada]],0,1)</f>
        <v>1</v>
      </c>
      <c r="Y1289" s="3">
        <f>IF(fNotasFiscais[[#This Row],[Ocorrência]]="",1,0)</f>
        <v>1</v>
      </c>
      <c r="Z1289" s="2">
        <f>fNotasFiscais[[#This Row],[On Time]]*fNotasFiscais[[#This Row],[In Full]]</f>
        <v>1</v>
      </c>
      <c r="AA1289">
        <f>IF(fNotasFiscais[[#This Row],[Nota Fiscal]]&lt;&gt;"",1,0)</f>
        <v>1</v>
      </c>
    </row>
    <row r="1290" spans="1:27" x14ac:dyDescent="0.25">
      <c r="A1290" s="1">
        <v>43488</v>
      </c>
      <c r="B1290">
        <v>11699</v>
      </c>
      <c r="C1290" s="2" t="s">
        <v>52</v>
      </c>
      <c r="D1290" s="2" t="s">
        <v>53</v>
      </c>
      <c r="E1290" s="2" t="s">
        <v>33</v>
      </c>
      <c r="F1290">
        <v>4023</v>
      </c>
      <c r="G1290" s="2" t="s">
        <v>88</v>
      </c>
      <c r="H1290" s="2" t="s">
        <v>78</v>
      </c>
      <c r="I1290" s="2" t="s">
        <v>39</v>
      </c>
      <c r="J1290" s="2" t="s">
        <v>28</v>
      </c>
      <c r="K1290" s="2" t="s">
        <v>39</v>
      </c>
      <c r="L1290">
        <v>1822.5</v>
      </c>
      <c r="M1290">
        <v>6</v>
      </c>
      <c r="N1290">
        <v>62.963999999999999</v>
      </c>
      <c r="O1290">
        <v>6500948</v>
      </c>
      <c r="P1290" s="2" t="s">
        <v>29</v>
      </c>
      <c r="Q1290" s="2" t="s">
        <v>23</v>
      </c>
      <c r="R1290" s="2" t="s">
        <v>30</v>
      </c>
      <c r="S1290">
        <v>1</v>
      </c>
      <c r="T1290" s="1">
        <v>43489</v>
      </c>
      <c r="U1290" s="1">
        <v>43497</v>
      </c>
      <c r="V1290" s="2"/>
      <c r="W1290" s="1">
        <f>fNotasFiscais[[#This Row],[Data da Coleta]]+fNotasFiscais[[#This Row],[Prazo Contratado]]</f>
        <v>43490</v>
      </c>
      <c r="X1290" s="3">
        <f>IF(fNotasFiscais[[#This Row],[Data da Entrega]]&gt;fNotasFiscais[[#This Row],[Data Contratada]],0,1)</f>
        <v>0</v>
      </c>
      <c r="Y1290" s="3">
        <f>IF(fNotasFiscais[[#This Row],[Ocorrência]]="",1,0)</f>
        <v>1</v>
      </c>
      <c r="Z1290" s="2">
        <f>fNotasFiscais[[#This Row],[On Time]]*fNotasFiscais[[#This Row],[In Full]]</f>
        <v>0</v>
      </c>
      <c r="AA1290">
        <f>IF(fNotasFiscais[[#This Row],[Nota Fiscal]]&lt;&gt;"",1,0)</f>
        <v>1</v>
      </c>
    </row>
    <row r="1291" spans="1:27" x14ac:dyDescent="0.25">
      <c r="A1291" s="1">
        <v>43488</v>
      </c>
      <c r="B1291">
        <v>11700</v>
      </c>
      <c r="C1291" s="2" t="s">
        <v>31</v>
      </c>
      <c r="D1291" s="2" t="s">
        <v>32</v>
      </c>
      <c r="E1291" s="2" t="s">
        <v>33</v>
      </c>
      <c r="F1291">
        <v>4013</v>
      </c>
      <c r="G1291" s="2" t="s">
        <v>37</v>
      </c>
      <c r="H1291" s="2" t="s">
        <v>38</v>
      </c>
      <c r="I1291" s="2" t="s">
        <v>39</v>
      </c>
      <c r="J1291" s="2" t="s">
        <v>28</v>
      </c>
      <c r="K1291" s="2" t="s">
        <v>39</v>
      </c>
      <c r="L1291">
        <v>14164.96</v>
      </c>
      <c r="M1291">
        <v>19</v>
      </c>
      <c r="N1291">
        <v>164.45</v>
      </c>
      <c r="O1291">
        <v>6500948</v>
      </c>
      <c r="P1291" s="2" t="s">
        <v>29</v>
      </c>
      <c r="Q1291" s="2" t="s">
        <v>23</v>
      </c>
      <c r="R1291" s="2" t="s">
        <v>30</v>
      </c>
      <c r="S1291">
        <v>5</v>
      </c>
      <c r="T1291" s="1">
        <v>43489</v>
      </c>
      <c r="U1291" s="1">
        <v>43496</v>
      </c>
      <c r="V1291" s="2"/>
      <c r="W1291" s="1">
        <f>fNotasFiscais[[#This Row],[Data da Coleta]]+fNotasFiscais[[#This Row],[Prazo Contratado]]</f>
        <v>43494</v>
      </c>
      <c r="X1291" s="3">
        <f>IF(fNotasFiscais[[#This Row],[Data da Entrega]]&gt;fNotasFiscais[[#This Row],[Data Contratada]],0,1)</f>
        <v>0</v>
      </c>
      <c r="Y1291" s="3">
        <f>IF(fNotasFiscais[[#This Row],[Ocorrência]]="",1,0)</f>
        <v>1</v>
      </c>
      <c r="Z1291" s="2">
        <f>fNotasFiscais[[#This Row],[On Time]]*fNotasFiscais[[#This Row],[In Full]]</f>
        <v>0</v>
      </c>
      <c r="AA1291">
        <f>IF(fNotasFiscais[[#This Row],[Nota Fiscal]]&lt;&gt;"",1,0)</f>
        <v>1</v>
      </c>
    </row>
    <row r="1292" spans="1:27" x14ac:dyDescent="0.25">
      <c r="A1292" s="1">
        <v>43488</v>
      </c>
      <c r="B1292">
        <v>11701</v>
      </c>
      <c r="C1292" s="2" t="s">
        <v>52</v>
      </c>
      <c r="D1292" s="2" t="s">
        <v>53</v>
      </c>
      <c r="E1292" s="2" t="s">
        <v>33</v>
      </c>
      <c r="F1292">
        <v>4062</v>
      </c>
      <c r="G1292" s="2" t="s">
        <v>96</v>
      </c>
      <c r="H1292" s="2" t="s">
        <v>97</v>
      </c>
      <c r="I1292" s="2" t="s">
        <v>48</v>
      </c>
      <c r="J1292" s="2" t="s">
        <v>49</v>
      </c>
      <c r="K1292" s="2" t="s">
        <v>48</v>
      </c>
      <c r="L1292">
        <v>437.87</v>
      </c>
      <c r="M1292">
        <v>1</v>
      </c>
      <c r="N1292">
        <v>1.76</v>
      </c>
      <c r="O1292">
        <v>6100231</v>
      </c>
      <c r="P1292" s="2" t="s">
        <v>50</v>
      </c>
      <c r="Q1292" s="2" t="s">
        <v>51</v>
      </c>
      <c r="R1292" s="2" t="s">
        <v>30</v>
      </c>
      <c r="S1292">
        <v>9</v>
      </c>
      <c r="T1292" s="1">
        <v>43489</v>
      </c>
      <c r="U1292" s="1">
        <v>43492</v>
      </c>
      <c r="V1292" s="2"/>
      <c r="W1292" s="1">
        <f>fNotasFiscais[[#This Row],[Data da Coleta]]+fNotasFiscais[[#This Row],[Prazo Contratado]]</f>
        <v>43498</v>
      </c>
      <c r="X1292" s="3">
        <f>IF(fNotasFiscais[[#This Row],[Data da Entrega]]&gt;fNotasFiscais[[#This Row],[Data Contratada]],0,1)</f>
        <v>1</v>
      </c>
      <c r="Y1292" s="3">
        <f>IF(fNotasFiscais[[#This Row],[Ocorrência]]="",1,0)</f>
        <v>1</v>
      </c>
      <c r="Z1292" s="2">
        <f>fNotasFiscais[[#This Row],[On Time]]*fNotasFiscais[[#This Row],[In Full]]</f>
        <v>1</v>
      </c>
      <c r="AA1292">
        <f>IF(fNotasFiscais[[#This Row],[Nota Fiscal]]&lt;&gt;"",1,0)</f>
        <v>1</v>
      </c>
    </row>
    <row r="1293" spans="1:27" x14ac:dyDescent="0.25">
      <c r="A1293" s="1">
        <v>43488</v>
      </c>
      <c r="B1293">
        <v>11702</v>
      </c>
      <c r="C1293" s="2" t="s">
        <v>43</v>
      </c>
      <c r="D1293" s="2" t="s">
        <v>44</v>
      </c>
      <c r="E1293" s="2" t="s">
        <v>45</v>
      </c>
      <c r="F1293">
        <v>4027</v>
      </c>
      <c r="G1293" s="2" t="s">
        <v>93</v>
      </c>
      <c r="H1293" s="2" t="s">
        <v>91</v>
      </c>
      <c r="I1293" s="2" t="s">
        <v>24</v>
      </c>
      <c r="J1293" s="2" t="s">
        <v>28</v>
      </c>
      <c r="K1293" s="2" t="s">
        <v>24</v>
      </c>
      <c r="L1293">
        <v>5257.44</v>
      </c>
      <c r="M1293">
        <v>11</v>
      </c>
      <c r="N1293">
        <v>225.005</v>
      </c>
      <c r="O1293">
        <v>6500948</v>
      </c>
      <c r="P1293" s="2" t="s">
        <v>29</v>
      </c>
      <c r="Q1293" s="2" t="s">
        <v>23</v>
      </c>
      <c r="R1293" s="2" t="s">
        <v>30</v>
      </c>
      <c r="S1293">
        <v>11</v>
      </c>
      <c r="T1293" s="1">
        <v>43489</v>
      </c>
      <c r="U1293" s="1">
        <v>43494</v>
      </c>
      <c r="V1293" s="2"/>
      <c r="W1293" s="1">
        <f>fNotasFiscais[[#This Row],[Data da Coleta]]+fNotasFiscais[[#This Row],[Prazo Contratado]]</f>
        <v>43500</v>
      </c>
      <c r="X1293" s="3">
        <f>IF(fNotasFiscais[[#This Row],[Data da Entrega]]&gt;fNotasFiscais[[#This Row],[Data Contratada]],0,1)</f>
        <v>1</v>
      </c>
      <c r="Y1293" s="3">
        <f>IF(fNotasFiscais[[#This Row],[Ocorrência]]="",1,0)</f>
        <v>1</v>
      </c>
      <c r="Z1293" s="2">
        <f>fNotasFiscais[[#This Row],[On Time]]*fNotasFiscais[[#This Row],[In Full]]</f>
        <v>1</v>
      </c>
      <c r="AA1293">
        <f>IF(fNotasFiscais[[#This Row],[Nota Fiscal]]&lt;&gt;"",1,0)</f>
        <v>1</v>
      </c>
    </row>
    <row r="1294" spans="1:27" x14ac:dyDescent="0.25">
      <c r="A1294" s="1">
        <v>43488</v>
      </c>
      <c r="B1294">
        <v>11703</v>
      </c>
      <c r="C1294" s="2" t="s">
        <v>22</v>
      </c>
      <c r="D1294" s="2" t="s">
        <v>23</v>
      </c>
      <c r="E1294" s="2" t="s">
        <v>24</v>
      </c>
      <c r="F1294">
        <v>4028</v>
      </c>
      <c r="G1294" s="2" t="s">
        <v>95</v>
      </c>
      <c r="H1294" s="2" t="s">
        <v>26</v>
      </c>
      <c r="I1294" s="2" t="s">
        <v>27</v>
      </c>
      <c r="J1294" s="2" t="s">
        <v>28</v>
      </c>
      <c r="K1294" s="2" t="s">
        <v>27</v>
      </c>
      <c r="L1294">
        <v>1614.16</v>
      </c>
      <c r="M1294">
        <v>5</v>
      </c>
      <c r="N1294">
        <v>56.000999999999998</v>
      </c>
      <c r="O1294">
        <v>6500948</v>
      </c>
      <c r="P1294" s="2" t="s">
        <v>29</v>
      </c>
      <c r="Q1294" s="2" t="s">
        <v>23</v>
      </c>
      <c r="R1294" s="2" t="s">
        <v>30</v>
      </c>
      <c r="S1294">
        <v>3</v>
      </c>
      <c r="T1294" s="1">
        <v>43489</v>
      </c>
      <c r="U1294" s="1">
        <v>43494</v>
      </c>
      <c r="V1294" s="2"/>
      <c r="W1294" s="1">
        <f>fNotasFiscais[[#This Row],[Data da Coleta]]+fNotasFiscais[[#This Row],[Prazo Contratado]]</f>
        <v>43492</v>
      </c>
      <c r="X1294" s="3">
        <f>IF(fNotasFiscais[[#This Row],[Data da Entrega]]&gt;fNotasFiscais[[#This Row],[Data Contratada]],0,1)</f>
        <v>0</v>
      </c>
      <c r="Y1294" s="3">
        <f>IF(fNotasFiscais[[#This Row],[Ocorrência]]="",1,0)</f>
        <v>1</v>
      </c>
      <c r="Z1294" s="2">
        <f>fNotasFiscais[[#This Row],[On Time]]*fNotasFiscais[[#This Row],[In Full]]</f>
        <v>0</v>
      </c>
      <c r="AA1294">
        <f>IF(fNotasFiscais[[#This Row],[Nota Fiscal]]&lt;&gt;"",1,0)</f>
        <v>1</v>
      </c>
    </row>
    <row r="1295" spans="1:27" x14ac:dyDescent="0.25">
      <c r="A1295" s="1">
        <v>43488</v>
      </c>
      <c r="B1295">
        <v>11704</v>
      </c>
      <c r="C1295" s="2" t="s">
        <v>22</v>
      </c>
      <c r="D1295" s="2" t="s">
        <v>23</v>
      </c>
      <c r="E1295" s="2" t="s">
        <v>24</v>
      </c>
      <c r="F1295">
        <v>4022</v>
      </c>
      <c r="G1295" s="2" t="s">
        <v>86</v>
      </c>
      <c r="H1295" s="2" t="s">
        <v>87</v>
      </c>
      <c r="I1295" s="2" t="s">
        <v>27</v>
      </c>
      <c r="J1295" s="2" t="s">
        <v>28</v>
      </c>
      <c r="K1295" s="2" t="s">
        <v>27</v>
      </c>
      <c r="L1295">
        <v>39.229999999999997</v>
      </c>
      <c r="M1295">
        <v>1</v>
      </c>
      <c r="N1295">
        <v>0.14399999999999999</v>
      </c>
      <c r="O1295">
        <v>6500948</v>
      </c>
      <c r="P1295" s="2" t="s">
        <v>29</v>
      </c>
      <c r="Q1295" s="2" t="s">
        <v>23</v>
      </c>
      <c r="R1295" s="2" t="s">
        <v>30</v>
      </c>
      <c r="S1295">
        <v>7</v>
      </c>
      <c r="T1295" s="1">
        <v>43489</v>
      </c>
      <c r="U1295" s="1">
        <v>43497</v>
      </c>
      <c r="V1295" s="2"/>
      <c r="W1295" s="1">
        <f>fNotasFiscais[[#This Row],[Data da Coleta]]+fNotasFiscais[[#This Row],[Prazo Contratado]]</f>
        <v>43496</v>
      </c>
      <c r="X1295" s="3">
        <f>IF(fNotasFiscais[[#This Row],[Data da Entrega]]&gt;fNotasFiscais[[#This Row],[Data Contratada]],0,1)</f>
        <v>0</v>
      </c>
      <c r="Y1295" s="3">
        <f>IF(fNotasFiscais[[#This Row],[Ocorrência]]="",1,0)</f>
        <v>1</v>
      </c>
      <c r="Z1295" s="2">
        <f>fNotasFiscais[[#This Row],[On Time]]*fNotasFiscais[[#This Row],[In Full]]</f>
        <v>0</v>
      </c>
      <c r="AA1295">
        <f>IF(fNotasFiscais[[#This Row],[Nota Fiscal]]&lt;&gt;"",1,0)</f>
        <v>1</v>
      </c>
    </row>
    <row r="1296" spans="1:27" x14ac:dyDescent="0.25">
      <c r="A1296" s="1">
        <v>43488</v>
      </c>
      <c r="B1296">
        <v>11705</v>
      </c>
      <c r="C1296" s="2" t="s">
        <v>43</v>
      </c>
      <c r="D1296" s="2" t="s">
        <v>44</v>
      </c>
      <c r="E1296" s="2" t="s">
        <v>45</v>
      </c>
      <c r="F1296">
        <v>4027</v>
      </c>
      <c r="G1296" s="2" t="s">
        <v>93</v>
      </c>
      <c r="H1296" s="2" t="s">
        <v>91</v>
      </c>
      <c r="I1296" s="2" t="s">
        <v>24</v>
      </c>
      <c r="J1296" s="2" t="s">
        <v>28</v>
      </c>
      <c r="K1296" s="2" t="s">
        <v>24</v>
      </c>
      <c r="L1296">
        <v>726.72</v>
      </c>
      <c r="M1296">
        <v>1</v>
      </c>
      <c r="N1296">
        <v>3.3</v>
      </c>
      <c r="O1296">
        <v>6500948</v>
      </c>
      <c r="P1296" s="2" t="s">
        <v>29</v>
      </c>
      <c r="Q1296" s="2" t="s">
        <v>23</v>
      </c>
      <c r="R1296" s="2" t="s">
        <v>30</v>
      </c>
      <c r="S1296">
        <v>2</v>
      </c>
      <c r="T1296" s="1">
        <v>43489</v>
      </c>
      <c r="U1296" s="1">
        <v>43494</v>
      </c>
      <c r="V1296" s="2"/>
      <c r="W1296" s="1">
        <f>fNotasFiscais[[#This Row],[Data da Coleta]]+fNotasFiscais[[#This Row],[Prazo Contratado]]</f>
        <v>43491</v>
      </c>
      <c r="X1296" s="3">
        <f>IF(fNotasFiscais[[#This Row],[Data da Entrega]]&gt;fNotasFiscais[[#This Row],[Data Contratada]],0,1)</f>
        <v>0</v>
      </c>
      <c r="Y1296" s="3">
        <f>IF(fNotasFiscais[[#This Row],[Ocorrência]]="",1,0)</f>
        <v>1</v>
      </c>
      <c r="Z1296" s="2">
        <f>fNotasFiscais[[#This Row],[On Time]]*fNotasFiscais[[#This Row],[In Full]]</f>
        <v>0</v>
      </c>
      <c r="AA1296">
        <f>IF(fNotasFiscais[[#This Row],[Nota Fiscal]]&lt;&gt;"",1,0)</f>
        <v>1</v>
      </c>
    </row>
    <row r="1297" spans="1:27" x14ac:dyDescent="0.25">
      <c r="A1297" s="1">
        <v>43488</v>
      </c>
      <c r="B1297">
        <v>11706</v>
      </c>
      <c r="C1297" s="2" t="s">
        <v>40</v>
      </c>
      <c r="D1297" s="2" t="s">
        <v>41</v>
      </c>
      <c r="E1297" s="2" t="s">
        <v>33</v>
      </c>
      <c r="F1297">
        <v>4028</v>
      </c>
      <c r="G1297" s="2" t="s">
        <v>95</v>
      </c>
      <c r="H1297" s="2" t="s">
        <v>26</v>
      </c>
      <c r="I1297" s="2" t="s">
        <v>27</v>
      </c>
      <c r="J1297" s="2" t="s">
        <v>28</v>
      </c>
      <c r="K1297" s="2" t="s">
        <v>27</v>
      </c>
      <c r="L1297">
        <v>69.650000000000006</v>
      </c>
      <c r="M1297">
        <v>1</v>
      </c>
      <c r="N1297">
        <v>0.66</v>
      </c>
      <c r="O1297">
        <v>6500948</v>
      </c>
      <c r="P1297" s="2" t="s">
        <v>29</v>
      </c>
      <c r="Q1297" s="2" t="s">
        <v>23</v>
      </c>
      <c r="R1297" s="2" t="s">
        <v>30</v>
      </c>
      <c r="S1297">
        <v>2</v>
      </c>
      <c r="T1297" s="1">
        <v>43489</v>
      </c>
      <c r="U1297" s="1">
        <v>43493</v>
      </c>
      <c r="V1297" s="2"/>
      <c r="W1297" s="1">
        <f>fNotasFiscais[[#This Row],[Data da Coleta]]+fNotasFiscais[[#This Row],[Prazo Contratado]]</f>
        <v>43491</v>
      </c>
      <c r="X1297" s="3">
        <f>IF(fNotasFiscais[[#This Row],[Data da Entrega]]&gt;fNotasFiscais[[#This Row],[Data Contratada]],0,1)</f>
        <v>0</v>
      </c>
      <c r="Y1297" s="3">
        <f>IF(fNotasFiscais[[#This Row],[Ocorrência]]="",1,0)</f>
        <v>1</v>
      </c>
      <c r="Z1297" s="2">
        <f>fNotasFiscais[[#This Row],[On Time]]*fNotasFiscais[[#This Row],[In Full]]</f>
        <v>0</v>
      </c>
      <c r="AA1297">
        <f>IF(fNotasFiscais[[#This Row],[Nota Fiscal]]&lt;&gt;"",1,0)</f>
        <v>1</v>
      </c>
    </row>
    <row r="1298" spans="1:27" x14ac:dyDescent="0.25">
      <c r="A1298" s="1">
        <v>43489</v>
      </c>
      <c r="B1298">
        <v>11707</v>
      </c>
      <c r="C1298" s="2" t="s">
        <v>43</v>
      </c>
      <c r="D1298" s="2" t="s">
        <v>44</v>
      </c>
      <c r="E1298" s="2" t="s">
        <v>45</v>
      </c>
      <c r="F1298">
        <v>4062</v>
      </c>
      <c r="G1298" s="2" t="s">
        <v>96</v>
      </c>
      <c r="H1298" s="2" t="s">
        <v>97</v>
      </c>
      <c r="I1298" s="2" t="s">
        <v>48</v>
      </c>
      <c r="J1298" s="2" t="s">
        <v>49</v>
      </c>
      <c r="K1298" s="2" t="s">
        <v>48</v>
      </c>
      <c r="L1298">
        <v>4600.9799999999996</v>
      </c>
      <c r="M1298">
        <v>2</v>
      </c>
      <c r="N1298">
        <v>9.3640000000000008</v>
      </c>
      <c r="O1298">
        <v>6100231</v>
      </c>
      <c r="P1298" s="2" t="s">
        <v>50</v>
      </c>
      <c r="Q1298" s="2" t="s">
        <v>51</v>
      </c>
      <c r="R1298" s="2" t="s">
        <v>30</v>
      </c>
      <c r="S1298">
        <v>3</v>
      </c>
      <c r="T1298" s="1">
        <v>43489</v>
      </c>
      <c r="U1298" s="1">
        <v>43496</v>
      </c>
      <c r="V1298" s="2"/>
      <c r="W1298" s="1">
        <f>fNotasFiscais[[#This Row],[Data da Coleta]]+fNotasFiscais[[#This Row],[Prazo Contratado]]</f>
        <v>43492</v>
      </c>
      <c r="X1298" s="3">
        <f>IF(fNotasFiscais[[#This Row],[Data da Entrega]]&gt;fNotasFiscais[[#This Row],[Data Contratada]],0,1)</f>
        <v>0</v>
      </c>
      <c r="Y1298" s="3">
        <f>IF(fNotasFiscais[[#This Row],[Ocorrência]]="",1,0)</f>
        <v>1</v>
      </c>
      <c r="Z1298" s="2">
        <f>fNotasFiscais[[#This Row],[On Time]]*fNotasFiscais[[#This Row],[In Full]]</f>
        <v>0</v>
      </c>
      <c r="AA1298">
        <f>IF(fNotasFiscais[[#This Row],[Nota Fiscal]]&lt;&gt;"",1,0)</f>
        <v>1</v>
      </c>
    </row>
    <row r="1299" spans="1:27" x14ac:dyDescent="0.25">
      <c r="A1299" s="1">
        <v>43489</v>
      </c>
      <c r="B1299">
        <v>11708</v>
      </c>
      <c r="C1299" s="2" t="s">
        <v>40</v>
      </c>
      <c r="D1299" s="2" t="s">
        <v>41</v>
      </c>
      <c r="E1299" s="2" t="s">
        <v>33</v>
      </c>
      <c r="F1299">
        <v>4128</v>
      </c>
      <c r="G1299" s="2" t="s">
        <v>211</v>
      </c>
      <c r="H1299" s="2" t="s">
        <v>167</v>
      </c>
      <c r="I1299" s="2" t="s">
        <v>168</v>
      </c>
      <c r="J1299" s="2" t="s">
        <v>169</v>
      </c>
      <c r="K1299" s="2" t="s">
        <v>168</v>
      </c>
      <c r="L1299">
        <v>1751.48</v>
      </c>
      <c r="M1299">
        <v>5</v>
      </c>
      <c r="N1299">
        <v>13.013</v>
      </c>
      <c r="O1299">
        <v>6900304</v>
      </c>
      <c r="P1299" s="2" t="s">
        <v>170</v>
      </c>
      <c r="Q1299" s="2" t="s">
        <v>171</v>
      </c>
      <c r="R1299" s="2" t="s">
        <v>30</v>
      </c>
      <c r="S1299">
        <v>6</v>
      </c>
      <c r="T1299" s="1">
        <v>43490</v>
      </c>
      <c r="U1299" s="1">
        <v>43494</v>
      </c>
      <c r="V1299" s="2"/>
      <c r="W1299" s="1">
        <f>fNotasFiscais[[#This Row],[Data da Coleta]]+fNotasFiscais[[#This Row],[Prazo Contratado]]</f>
        <v>43496</v>
      </c>
      <c r="X1299" s="3">
        <f>IF(fNotasFiscais[[#This Row],[Data da Entrega]]&gt;fNotasFiscais[[#This Row],[Data Contratada]],0,1)</f>
        <v>1</v>
      </c>
      <c r="Y1299" s="3">
        <f>IF(fNotasFiscais[[#This Row],[Ocorrência]]="",1,0)</f>
        <v>1</v>
      </c>
      <c r="Z1299" s="2">
        <f>fNotasFiscais[[#This Row],[On Time]]*fNotasFiscais[[#This Row],[In Full]]</f>
        <v>1</v>
      </c>
      <c r="AA1299">
        <f>IF(fNotasFiscais[[#This Row],[Nota Fiscal]]&lt;&gt;"",1,0)</f>
        <v>1</v>
      </c>
    </row>
    <row r="1300" spans="1:27" x14ac:dyDescent="0.25">
      <c r="A1300" s="1">
        <v>43490</v>
      </c>
      <c r="B1300">
        <v>11709</v>
      </c>
      <c r="C1300" s="2" t="s">
        <v>54</v>
      </c>
      <c r="D1300" s="2" t="s">
        <v>55</v>
      </c>
      <c r="E1300" s="2" t="s">
        <v>56</v>
      </c>
      <c r="F1300">
        <v>4033</v>
      </c>
      <c r="G1300" s="2" t="s">
        <v>109</v>
      </c>
      <c r="H1300" s="2" t="s">
        <v>51</v>
      </c>
      <c r="I1300" s="2" t="s">
        <v>73</v>
      </c>
      <c r="J1300" s="2" t="s">
        <v>49</v>
      </c>
      <c r="K1300" s="2" t="s">
        <v>73</v>
      </c>
      <c r="L1300">
        <v>893.27</v>
      </c>
      <c r="M1300">
        <v>2</v>
      </c>
      <c r="N1300">
        <v>4.8109999999999999</v>
      </c>
      <c r="O1300">
        <v>6100231</v>
      </c>
      <c r="P1300" s="2" t="s">
        <v>50</v>
      </c>
      <c r="Q1300" s="2" t="s">
        <v>51</v>
      </c>
      <c r="R1300" s="2" t="s">
        <v>62</v>
      </c>
      <c r="S1300">
        <v>1</v>
      </c>
      <c r="T1300" s="1">
        <v>43491</v>
      </c>
      <c r="U1300" s="1">
        <v>43494</v>
      </c>
      <c r="V1300" s="2"/>
      <c r="W1300" s="1">
        <f>fNotasFiscais[[#This Row],[Data da Coleta]]+fNotasFiscais[[#This Row],[Prazo Contratado]]</f>
        <v>43492</v>
      </c>
      <c r="X1300" s="3">
        <f>IF(fNotasFiscais[[#This Row],[Data da Entrega]]&gt;fNotasFiscais[[#This Row],[Data Contratada]],0,1)</f>
        <v>0</v>
      </c>
      <c r="Y1300" s="3">
        <f>IF(fNotasFiscais[[#This Row],[Ocorrência]]="",1,0)</f>
        <v>1</v>
      </c>
      <c r="Z1300" s="2">
        <f>fNotasFiscais[[#This Row],[On Time]]*fNotasFiscais[[#This Row],[In Full]]</f>
        <v>0</v>
      </c>
      <c r="AA1300">
        <f>IF(fNotasFiscais[[#This Row],[Nota Fiscal]]&lt;&gt;"",1,0)</f>
        <v>1</v>
      </c>
    </row>
    <row r="1301" spans="1:27" x14ac:dyDescent="0.25">
      <c r="A1301" s="1">
        <v>43490</v>
      </c>
      <c r="B1301">
        <v>11710</v>
      </c>
      <c r="C1301" s="2" t="s">
        <v>52</v>
      </c>
      <c r="D1301" s="2" t="s">
        <v>53</v>
      </c>
      <c r="E1301" s="2" t="s">
        <v>33</v>
      </c>
      <c r="F1301">
        <v>4023</v>
      </c>
      <c r="G1301" s="2" t="s">
        <v>88</v>
      </c>
      <c r="H1301" s="2" t="s">
        <v>78</v>
      </c>
      <c r="I1301" s="2" t="s">
        <v>39</v>
      </c>
      <c r="J1301" s="2" t="s">
        <v>28</v>
      </c>
      <c r="K1301" s="2" t="s">
        <v>39</v>
      </c>
      <c r="L1301">
        <v>1304.54</v>
      </c>
      <c r="M1301">
        <v>1</v>
      </c>
      <c r="N1301">
        <v>0.66</v>
      </c>
      <c r="O1301">
        <v>6500948</v>
      </c>
      <c r="P1301" s="2" t="s">
        <v>29</v>
      </c>
      <c r="Q1301" s="2" t="s">
        <v>23</v>
      </c>
      <c r="R1301" s="2" t="s">
        <v>30</v>
      </c>
      <c r="S1301">
        <v>10</v>
      </c>
      <c r="T1301" s="1">
        <v>43491</v>
      </c>
      <c r="U1301" s="1">
        <v>43499</v>
      </c>
      <c r="V1301" s="2"/>
      <c r="W1301" s="1">
        <f>fNotasFiscais[[#This Row],[Data da Coleta]]+fNotasFiscais[[#This Row],[Prazo Contratado]]</f>
        <v>43501</v>
      </c>
      <c r="X1301" s="3">
        <f>IF(fNotasFiscais[[#This Row],[Data da Entrega]]&gt;fNotasFiscais[[#This Row],[Data Contratada]],0,1)</f>
        <v>1</v>
      </c>
      <c r="Y1301" s="3">
        <f>IF(fNotasFiscais[[#This Row],[Ocorrência]]="",1,0)</f>
        <v>1</v>
      </c>
      <c r="Z1301" s="2">
        <f>fNotasFiscais[[#This Row],[On Time]]*fNotasFiscais[[#This Row],[In Full]]</f>
        <v>1</v>
      </c>
      <c r="AA1301">
        <f>IF(fNotasFiscais[[#This Row],[Nota Fiscal]]&lt;&gt;"",1,0)</f>
        <v>1</v>
      </c>
    </row>
    <row r="1302" spans="1:27" x14ac:dyDescent="0.25">
      <c r="A1302" s="1">
        <v>43490</v>
      </c>
      <c r="B1302">
        <v>11711</v>
      </c>
      <c r="C1302" s="2" t="s">
        <v>34</v>
      </c>
      <c r="D1302" s="2" t="s">
        <v>35</v>
      </c>
      <c r="E1302" s="2" t="s">
        <v>36</v>
      </c>
      <c r="F1302">
        <v>4018</v>
      </c>
      <c r="G1302" s="2" t="s">
        <v>77</v>
      </c>
      <c r="H1302" s="2" t="s">
        <v>78</v>
      </c>
      <c r="I1302" s="2" t="s">
        <v>39</v>
      </c>
      <c r="J1302" s="2" t="s">
        <v>28</v>
      </c>
      <c r="K1302" s="2" t="s">
        <v>39</v>
      </c>
      <c r="L1302">
        <v>519.67999999999995</v>
      </c>
      <c r="M1302">
        <v>1</v>
      </c>
      <c r="N1302">
        <v>1.1000000000000001</v>
      </c>
      <c r="O1302">
        <v>6500948</v>
      </c>
      <c r="P1302" s="2" t="s">
        <v>29</v>
      </c>
      <c r="Q1302" s="2" t="s">
        <v>23</v>
      </c>
      <c r="R1302" s="2" t="s">
        <v>30</v>
      </c>
      <c r="S1302">
        <v>10</v>
      </c>
      <c r="T1302" s="1">
        <v>43491</v>
      </c>
      <c r="U1302" s="1">
        <v>43498</v>
      </c>
      <c r="V1302" s="2"/>
      <c r="W1302" s="1">
        <f>fNotasFiscais[[#This Row],[Data da Coleta]]+fNotasFiscais[[#This Row],[Prazo Contratado]]</f>
        <v>43501</v>
      </c>
      <c r="X1302" s="3">
        <f>IF(fNotasFiscais[[#This Row],[Data da Entrega]]&gt;fNotasFiscais[[#This Row],[Data Contratada]],0,1)</f>
        <v>1</v>
      </c>
      <c r="Y1302" s="3">
        <f>IF(fNotasFiscais[[#This Row],[Ocorrência]]="",1,0)</f>
        <v>1</v>
      </c>
      <c r="Z1302" s="2">
        <f>fNotasFiscais[[#This Row],[On Time]]*fNotasFiscais[[#This Row],[In Full]]</f>
        <v>1</v>
      </c>
      <c r="AA1302">
        <f>IF(fNotasFiscais[[#This Row],[Nota Fiscal]]&lt;&gt;"",1,0)</f>
        <v>1</v>
      </c>
    </row>
    <row r="1303" spans="1:27" x14ac:dyDescent="0.25">
      <c r="A1303" s="1">
        <v>43490</v>
      </c>
      <c r="B1303">
        <v>11712</v>
      </c>
      <c r="C1303" s="2" t="s">
        <v>31</v>
      </c>
      <c r="D1303" s="2" t="s">
        <v>32</v>
      </c>
      <c r="E1303" s="2" t="s">
        <v>33</v>
      </c>
      <c r="F1303">
        <v>4022</v>
      </c>
      <c r="G1303" s="2" t="s">
        <v>86</v>
      </c>
      <c r="H1303" s="2" t="s">
        <v>87</v>
      </c>
      <c r="I1303" s="2" t="s">
        <v>27</v>
      </c>
      <c r="J1303" s="2" t="s">
        <v>28</v>
      </c>
      <c r="K1303" s="2" t="s">
        <v>27</v>
      </c>
      <c r="L1303">
        <v>465.35</v>
      </c>
      <c r="M1303">
        <v>2</v>
      </c>
      <c r="N1303">
        <v>2.9049999999999998</v>
      </c>
      <c r="O1303">
        <v>6500948</v>
      </c>
      <c r="P1303" s="2" t="s">
        <v>29</v>
      </c>
      <c r="Q1303" s="2" t="s">
        <v>23</v>
      </c>
      <c r="R1303" s="2" t="s">
        <v>30</v>
      </c>
      <c r="S1303">
        <v>6</v>
      </c>
      <c r="T1303" s="1">
        <v>43491</v>
      </c>
      <c r="U1303" s="1">
        <v>43496</v>
      </c>
      <c r="V1303" s="2"/>
      <c r="W1303" s="1">
        <f>fNotasFiscais[[#This Row],[Data da Coleta]]+fNotasFiscais[[#This Row],[Prazo Contratado]]</f>
        <v>43497</v>
      </c>
      <c r="X1303" s="3">
        <f>IF(fNotasFiscais[[#This Row],[Data da Entrega]]&gt;fNotasFiscais[[#This Row],[Data Contratada]],0,1)</f>
        <v>1</v>
      </c>
      <c r="Y1303" s="3">
        <f>IF(fNotasFiscais[[#This Row],[Ocorrência]]="",1,0)</f>
        <v>1</v>
      </c>
      <c r="Z1303" s="2">
        <f>fNotasFiscais[[#This Row],[On Time]]*fNotasFiscais[[#This Row],[In Full]]</f>
        <v>1</v>
      </c>
      <c r="AA1303">
        <f>IF(fNotasFiscais[[#This Row],[Nota Fiscal]]&lt;&gt;"",1,0)</f>
        <v>1</v>
      </c>
    </row>
    <row r="1304" spans="1:27" x14ac:dyDescent="0.25">
      <c r="A1304" s="1">
        <v>43493</v>
      </c>
      <c r="B1304">
        <v>11713</v>
      </c>
      <c r="C1304" s="2" t="s">
        <v>52</v>
      </c>
      <c r="D1304" s="2" t="s">
        <v>53</v>
      </c>
      <c r="E1304" s="2" t="s">
        <v>33</v>
      </c>
      <c r="F1304">
        <v>4127</v>
      </c>
      <c r="G1304" s="2" t="s">
        <v>210</v>
      </c>
      <c r="H1304" s="2" t="s">
        <v>44</v>
      </c>
      <c r="I1304" s="2" t="s">
        <v>45</v>
      </c>
      <c r="J1304" s="2" t="s">
        <v>60</v>
      </c>
      <c r="K1304" s="2" t="s">
        <v>45</v>
      </c>
      <c r="L1304">
        <v>1446.11</v>
      </c>
      <c r="M1304">
        <v>1</v>
      </c>
      <c r="N1304">
        <v>1.1200000000000001</v>
      </c>
      <c r="O1304">
        <v>6140092</v>
      </c>
      <c r="P1304" s="2" t="s">
        <v>137</v>
      </c>
      <c r="Q1304" s="2" t="s">
        <v>138</v>
      </c>
      <c r="R1304" s="2" t="s">
        <v>30</v>
      </c>
      <c r="S1304">
        <v>12</v>
      </c>
      <c r="T1304" s="1">
        <v>43494</v>
      </c>
      <c r="U1304" s="1">
        <v>43497</v>
      </c>
      <c r="V1304" s="2"/>
      <c r="W1304" s="1">
        <f>fNotasFiscais[[#This Row],[Data da Coleta]]+fNotasFiscais[[#This Row],[Prazo Contratado]]</f>
        <v>43506</v>
      </c>
      <c r="X1304" s="3">
        <f>IF(fNotasFiscais[[#This Row],[Data da Entrega]]&gt;fNotasFiscais[[#This Row],[Data Contratada]],0,1)</f>
        <v>1</v>
      </c>
      <c r="Y1304" s="3">
        <f>IF(fNotasFiscais[[#This Row],[Ocorrência]]="",1,0)</f>
        <v>1</v>
      </c>
      <c r="Z1304" s="2">
        <f>fNotasFiscais[[#This Row],[On Time]]*fNotasFiscais[[#This Row],[In Full]]</f>
        <v>1</v>
      </c>
      <c r="AA1304">
        <f>IF(fNotasFiscais[[#This Row],[Nota Fiscal]]&lt;&gt;"",1,0)</f>
        <v>1</v>
      </c>
    </row>
    <row r="1305" spans="1:27" x14ac:dyDescent="0.25">
      <c r="A1305" s="1">
        <v>43493</v>
      </c>
      <c r="B1305">
        <v>11714</v>
      </c>
      <c r="C1305" s="2" t="s">
        <v>52</v>
      </c>
      <c r="D1305" s="2" t="s">
        <v>53</v>
      </c>
      <c r="E1305" s="2" t="s">
        <v>33</v>
      </c>
      <c r="F1305">
        <v>4127</v>
      </c>
      <c r="G1305" s="2" t="s">
        <v>210</v>
      </c>
      <c r="H1305" s="2" t="s">
        <v>44</v>
      </c>
      <c r="I1305" s="2" t="s">
        <v>45</v>
      </c>
      <c r="J1305" s="2" t="s">
        <v>60</v>
      </c>
      <c r="K1305" s="2" t="s">
        <v>45</v>
      </c>
      <c r="L1305">
        <v>1429.77</v>
      </c>
      <c r="M1305">
        <v>2</v>
      </c>
      <c r="N1305">
        <v>3.331</v>
      </c>
      <c r="O1305">
        <v>6140092</v>
      </c>
      <c r="P1305" s="2" t="s">
        <v>137</v>
      </c>
      <c r="Q1305" s="2" t="s">
        <v>138</v>
      </c>
      <c r="R1305" s="2" t="s">
        <v>30</v>
      </c>
      <c r="S1305">
        <v>12</v>
      </c>
      <c r="T1305" s="1">
        <v>43494</v>
      </c>
      <c r="U1305" s="1">
        <v>43501</v>
      </c>
      <c r="V1305" s="2"/>
      <c r="W1305" s="1">
        <f>fNotasFiscais[[#This Row],[Data da Coleta]]+fNotasFiscais[[#This Row],[Prazo Contratado]]</f>
        <v>43506</v>
      </c>
      <c r="X1305" s="3">
        <f>IF(fNotasFiscais[[#This Row],[Data da Entrega]]&gt;fNotasFiscais[[#This Row],[Data Contratada]],0,1)</f>
        <v>1</v>
      </c>
      <c r="Y1305" s="3">
        <f>IF(fNotasFiscais[[#This Row],[Ocorrência]]="",1,0)</f>
        <v>1</v>
      </c>
      <c r="Z1305" s="2">
        <f>fNotasFiscais[[#This Row],[On Time]]*fNotasFiscais[[#This Row],[In Full]]</f>
        <v>1</v>
      </c>
      <c r="AA1305">
        <f>IF(fNotasFiscais[[#This Row],[Nota Fiscal]]&lt;&gt;"",1,0)</f>
        <v>1</v>
      </c>
    </row>
    <row r="1306" spans="1:27" x14ac:dyDescent="0.25">
      <c r="A1306" s="1">
        <v>43493</v>
      </c>
      <c r="B1306">
        <v>11715</v>
      </c>
      <c r="C1306" s="2" t="s">
        <v>34</v>
      </c>
      <c r="D1306" s="2" t="s">
        <v>35</v>
      </c>
      <c r="E1306" s="2" t="s">
        <v>36</v>
      </c>
      <c r="F1306">
        <v>4013</v>
      </c>
      <c r="G1306" s="2" t="s">
        <v>37</v>
      </c>
      <c r="H1306" s="2" t="s">
        <v>38</v>
      </c>
      <c r="I1306" s="2" t="s">
        <v>39</v>
      </c>
      <c r="J1306" s="2" t="s">
        <v>28</v>
      </c>
      <c r="K1306" s="2" t="s">
        <v>39</v>
      </c>
      <c r="L1306">
        <v>11174.57</v>
      </c>
      <c r="M1306">
        <v>10</v>
      </c>
      <c r="N1306">
        <v>59.82</v>
      </c>
      <c r="O1306">
        <v>6500948</v>
      </c>
      <c r="P1306" s="2" t="s">
        <v>29</v>
      </c>
      <c r="Q1306" s="2" t="s">
        <v>23</v>
      </c>
      <c r="R1306" s="2" t="s">
        <v>30</v>
      </c>
      <c r="S1306">
        <v>9</v>
      </c>
      <c r="T1306" s="1">
        <v>43494</v>
      </c>
      <c r="U1306" s="1">
        <v>43499</v>
      </c>
      <c r="V1306" s="2"/>
      <c r="W1306" s="1">
        <f>fNotasFiscais[[#This Row],[Data da Coleta]]+fNotasFiscais[[#This Row],[Prazo Contratado]]</f>
        <v>43503</v>
      </c>
      <c r="X1306" s="3">
        <f>IF(fNotasFiscais[[#This Row],[Data da Entrega]]&gt;fNotasFiscais[[#This Row],[Data Contratada]],0,1)</f>
        <v>1</v>
      </c>
      <c r="Y1306" s="3">
        <f>IF(fNotasFiscais[[#This Row],[Ocorrência]]="",1,0)</f>
        <v>1</v>
      </c>
      <c r="Z1306" s="2">
        <f>fNotasFiscais[[#This Row],[On Time]]*fNotasFiscais[[#This Row],[In Full]]</f>
        <v>1</v>
      </c>
      <c r="AA1306">
        <f>IF(fNotasFiscais[[#This Row],[Nota Fiscal]]&lt;&gt;"",1,0)</f>
        <v>1</v>
      </c>
    </row>
    <row r="1307" spans="1:27" x14ac:dyDescent="0.25">
      <c r="A1307" s="1">
        <v>43493</v>
      </c>
      <c r="B1307">
        <v>11716</v>
      </c>
      <c r="C1307" s="2" t="s">
        <v>43</v>
      </c>
      <c r="D1307" s="2" t="s">
        <v>44</v>
      </c>
      <c r="E1307" s="2" t="s">
        <v>45</v>
      </c>
      <c r="F1307">
        <v>4032</v>
      </c>
      <c r="G1307" s="2" t="s">
        <v>108</v>
      </c>
      <c r="H1307" s="2" t="s">
        <v>51</v>
      </c>
      <c r="I1307" s="2" t="s">
        <v>73</v>
      </c>
      <c r="J1307" s="2" t="s">
        <v>49</v>
      </c>
      <c r="K1307" s="2" t="s">
        <v>73</v>
      </c>
      <c r="L1307">
        <v>2687.37</v>
      </c>
      <c r="M1307">
        <v>1</v>
      </c>
      <c r="N1307">
        <v>1.1200000000000001</v>
      </c>
      <c r="O1307">
        <v>6100231</v>
      </c>
      <c r="P1307" s="2" t="s">
        <v>50</v>
      </c>
      <c r="Q1307" s="2" t="s">
        <v>51</v>
      </c>
      <c r="R1307" s="2" t="s">
        <v>30</v>
      </c>
      <c r="S1307">
        <v>4</v>
      </c>
      <c r="T1307" s="1">
        <v>43494</v>
      </c>
      <c r="U1307" s="1">
        <v>43498</v>
      </c>
      <c r="V1307" s="2"/>
      <c r="W1307" s="1">
        <f>fNotasFiscais[[#This Row],[Data da Coleta]]+fNotasFiscais[[#This Row],[Prazo Contratado]]</f>
        <v>43498</v>
      </c>
      <c r="X1307" s="3">
        <f>IF(fNotasFiscais[[#This Row],[Data da Entrega]]&gt;fNotasFiscais[[#This Row],[Data Contratada]],0,1)</f>
        <v>1</v>
      </c>
      <c r="Y1307" s="3">
        <f>IF(fNotasFiscais[[#This Row],[Ocorrência]]="",1,0)</f>
        <v>1</v>
      </c>
      <c r="Z1307" s="2">
        <f>fNotasFiscais[[#This Row],[On Time]]*fNotasFiscais[[#This Row],[In Full]]</f>
        <v>1</v>
      </c>
      <c r="AA1307">
        <f>IF(fNotasFiscais[[#This Row],[Nota Fiscal]]&lt;&gt;"",1,0)</f>
        <v>1</v>
      </c>
    </row>
    <row r="1308" spans="1:27" x14ac:dyDescent="0.25">
      <c r="A1308" s="1">
        <v>43494</v>
      </c>
      <c r="B1308">
        <v>11717</v>
      </c>
      <c r="C1308" s="2" t="s">
        <v>31</v>
      </c>
      <c r="D1308" s="2" t="s">
        <v>32</v>
      </c>
      <c r="E1308" s="2" t="s">
        <v>33</v>
      </c>
      <c r="F1308">
        <v>4128</v>
      </c>
      <c r="G1308" s="2" t="s">
        <v>211</v>
      </c>
      <c r="H1308" s="2" t="s">
        <v>167</v>
      </c>
      <c r="I1308" s="2" t="s">
        <v>168</v>
      </c>
      <c r="J1308" s="2" t="s">
        <v>169</v>
      </c>
      <c r="K1308" s="2" t="s">
        <v>168</v>
      </c>
      <c r="L1308">
        <v>96.88</v>
      </c>
      <c r="M1308">
        <v>2</v>
      </c>
      <c r="N1308">
        <v>0.36699999999999999</v>
      </c>
      <c r="O1308">
        <v>6900304</v>
      </c>
      <c r="P1308" s="2" t="s">
        <v>170</v>
      </c>
      <c r="Q1308" s="2" t="s">
        <v>171</v>
      </c>
      <c r="R1308" s="2" t="s">
        <v>30</v>
      </c>
      <c r="S1308">
        <v>12</v>
      </c>
      <c r="T1308" s="1">
        <v>43495</v>
      </c>
      <c r="U1308" s="1">
        <v>43500</v>
      </c>
      <c r="V1308" s="2"/>
      <c r="W1308" s="1">
        <f>fNotasFiscais[[#This Row],[Data da Coleta]]+fNotasFiscais[[#This Row],[Prazo Contratado]]</f>
        <v>43507</v>
      </c>
      <c r="X1308" s="3">
        <f>IF(fNotasFiscais[[#This Row],[Data da Entrega]]&gt;fNotasFiscais[[#This Row],[Data Contratada]],0,1)</f>
        <v>1</v>
      </c>
      <c r="Y1308" s="3">
        <f>IF(fNotasFiscais[[#This Row],[Ocorrência]]="",1,0)</f>
        <v>1</v>
      </c>
      <c r="Z1308" s="2">
        <f>fNotasFiscais[[#This Row],[On Time]]*fNotasFiscais[[#This Row],[In Full]]</f>
        <v>1</v>
      </c>
      <c r="AA1308">
        <f>IF(fNotasFiscais[[#This Row],[Nota Fiscal]]&lt;&gt;"",1,0)</f>
        <v>1</v>
      </c>
    </row>
    <row r="1309" spans="1:27" x14ac:dyDescent="0.25">
      <c r="A1309" s="1">
        <v>43495</v>
      </c>
      <c r="B1309">
        <v>11718</v>
      </c>
      <c r="C1309" s="2" t="s">
        <v>54</v>
      </c>
      <c r="D1309" s="2" t="s">
        <v>55</v>
      </c>
      <c r="E1309" s="2" t="s">
        <v>56</v>
      </c>
      <c r="F1309">
        <v>4084</v>
      </c>
      <c r="G1309" s="2" t="s">
        <v>155</v>
      </c>
      <c r="H1309" s="2" t="s">
        <v>149</v>
      </c>
      <c r="I1309" s="2" t="s">
        <v>33</v>
      </c>
      <c r="J1309" s="2" t="s">
        <v>60</v>
      </c>
      <c r="K1309" s="2" t="s">
        <v>33</v>
      </c>
      <c r="L1309">
        <v>723.92</v>
      </c>
      <c r="M1309">
        <v>5</v>
      </c>
      <c r="N1309">
        <v>8.9670000000000005</v>
      </c>
      <c r="O1309">
        <v>6400835</v>
      </c>
      <c r="P1309" s="2" t="s">
        <v>130</v>
      </c>
      <c r="Q1309" s="2" t="s">
        <v>131</v>
      </c>
      <c r="R1309" s="2" t="s">
        <v>30</v>
      </c>
      <c r="S1309">
        <v>1</v>
      </c>
      <c r="T1309" s="1">
        <v>43496</v>
      </c>
      <c r="U1309" s="1">
        <v>43506</v>
      </c>
      <c r="V1309" s="2"/>
      <c r="W1309" s="1">
        <f>fNotasFiscais[[#This Row],[Data da Coleta]]+fNotasFiscais[[#This Row],[Prazo Contratado]]</f>
        <v>43497</v>
      </c>
      <c r="X1309" s="3">
        <f>IF(fNotasFiscais[[#This Row],[Data da Entrega]]&gt;fNotasFiscais[[#This Row],[Data Contratada]],0,1)</f>
        <v>0</v>
      </c>
      <c r="Y1309" s="3">
        <f>IF(fNotasFiscais[[#This Row],[Ocorrência]]="",1,0)</f>
        <v>1</v>
      </c>
      <c r="Z1309" s="2">
        <f>fNotasFiscais[[#This Row],[On Time]]*fNotasFiscais[[#This Row],[In Full]]</f>
        <v>0</v>
      </c>
      <c r="AA1309">
        <f>IF(fNotasFiscais[[#This Row],[Nota Fiscal]]&lt;&gt;"",1,0)</f>
        <v>1</v>
      </c>
    </row>
    <row r="1310" spans="1:27" x14ac:dyDescent="0.25">
      <c r="A1310" s="1">
        <v>43495</v>
      </c>
      <c r="B1310">
        <v>11719</v>
      </c>
      <c r="C1310" s="2" t="s">
        <v>40</v>
      </c>
      <c r="D1310" s="2" t="s">
        <v>41</v>
      </c>
      <c r="E1310" s="2" t="s">
        <v>33</v>
      </c>
      <c r="F1310">
        <v>4131</v>
      </c>
      <c r="G1310" s="2" t="s">
        <v>214</v>
      </c>
      <c r="H1310" s="2" t="s">
        <v>167</v>
      </c>
      <c r="I1310" s="2" t="s">
        <v>168</v>
      </c>
      <c r="J1310" s="2" t="s">
        <v>169</v>
      </c>
      <c r="K1310" s="2" t="s">
        <v>168</v>
      </c>
      <c r="L1310">
        <v>1044.45</v>
      </c>
      <c r="M1310">
        <v>1</v>
      </c>
      <c r="N1310">
        <v>1.1200000000000001</v>
      </c>
      <c r="O1310">
        <v>6900304</v>
      </c>
      <c r="P1310" s="2" t="s">
        <v>170</v>
      </c>
      <c r="Q1310" s="2" t="s">
        <v>171</v>
      </c>
      <c r="R1310" s="2" t="s">
        <v>30</v>
      </c>
      <c r="S1310">
        <v>9</v>
      </c>
      <c r="T1310" s="1">
        <v>43496</v>
      </c>
      <c r="U1310" s="1">
        <v>43505</v>
      </c>
      <c r="V1310" s="2"/>
      <c r="W1310" s="1">
        <f>fNotasFiscais[[#This Row],[Data da Coleta]]+fNotasFiscais[[#This Row],[Prazo Contratado]]</f>
        <v>43505</v>
      </c>
      <c r="X1310" s="3">
        <f>IF(fNotasFiscais[[#This Row],[Data da Entrega]]&gt;fNotasFiscais[[#This Row],[Data Contratada]],0,1)</f>
        <v>1</v>
      </c>
      <c r="Y1310" s="3">
        <f>IF(fNotasFiscais[[#This Row],[Ocorrência]]="",1,0)</f>
        <v>1</v>
      </c>
      <c r="Z1310" s="2">
        <f>fNotasFiscais[[#This Row],[On Time]]*fNotasFiscais[[#This Row],[In Full]]</f>
        <v>1</v>
      </c>
      <c r="AA1310">
        <f>IF(fNotasFiscais[[#This Row],[Nota Fiscal]]&lt;&gt;"",1,0)</f>
        <v>1</v>
      </c>
    </row>
    <row r="1311" spans="1:27" x14ac:dyDescent="0.25">
      <c r="A1311" s="1">
        <v>43495</v>
      </c>
      <c r="B1311">
        <v>11720</v>
      </c>
      <c r="C1311" s="2" t="s">
        <v>34</v>
      </c>
      <c r="D1311" s="2" t="s">
        <v>35</v>
      </c>
      <c r="E1311" s="2" t="s">
        <v>36</v>
      </c>
      <c r="F1311">
        <v>4136</v>
      </c>
      <c r="G1311" s="2" t="s">
        <v>219</v>
      </c>
      <c r="H1311" s="2" t="s">
        <v>35</v>
      </c>
      <c r="I1311" s="2" t="s">
        <v>36</v>
      </c>
      <c r="J1311" s="2" t="s">
        <v>60</v>
      </c>
      <c r="K1311" s="2" t="s">
        <v>36</v>
      </c>
      <c r="L1311">
        <v>93.27</v>
      </c>
      <c r="M1311">
        <v>1</v>
      </c>
      <c r="N1311">
        <v>1.1200000000000001</v>
      </c>
      <c r="O1311">
        <v>6600879</v>
      </c>
      <c r="P1311" s="2" t="s">
        <v>61</v>
      </c>
      <c r="Q1311" s="2" t="s">
        <v>35</v>
      </c>
      <c r="R1311" s="2" t="s">
        <v>30</v>
      </c>
      <c r="S1311">
        <v>9</v>
      </c>
      <c r="T1311" s="1">
        <v>43496</v>
      </c>
      <c r="U1311" s="1">
        <v>43504</v>
      </c>
      <c r="V1311" s="2"/>
      <c r="W1311" s="1">
        <f>fNotasFiscais[[#This Row],[Data da Coleta]]+fNotasFiscais[[#This Row],[Prazo Contratado]]</f>
        <v>43505</v>
      </c>
      <c r="X1311" s="3">
        <f>IF(fNotasFiscais[[#This Row],[Data da Entrega]]&gt;fNotasFiscais[[#This Row],[Data Contratada]],0,1)</f>
        <v>1</v>
      </c>
      <c r="Y1311" s="3">
        <f>IF(fNotasFiscais[[#This Row],[Ocorrência]]="",1,0)</f>
        <v>1</v>
      </c>
      <c r="Z1311" s="2">
        <f>fNotasFiscais[[#This Row],[On Time]]*fNotasFiscais[[#This Row],[In Full]]</f>
        <v>1</v>
      </c>
      <c r="AA1311">
        <f>IF(fNotasFiscais[[#This Row],[Nota Fiscal]]&lt;&gt;"",1,0)</f>
        <v>1</v>
      </c>
    </row>
    <row r="1312" spans="1:27" x14ac:dyDescent="0.25">
      <c r="A1312" s="1">
        <v>43495</v>
      </c>
      <c r="B1312">
        <v>11721</v>
      </c>
      <c r="C1312" s="2" t="s">
        <v>43</v>
      </c>
      <c r="D1312" s="2" t="s">
        <v>44</v>
      </c>
      <c r="E1312" s="2" t="s">
        <v>45</v>
      </c>
      <c r="F1312">
        <v>4018</v>
      </c>
      <c r="G1312" s="2" t="s">
        <v>77</v>
      </c>
      <c r="H1312" s="2" t="s">
        <v>78</v>
      </c>
      <c r="I1312" s="2" t="s">
        <v>39</v>
      </c>
      <c r="J1312" s="2" t="s">
        <v>28</v>
      </c>
      <c r="K1312" s="2" t="s">
        <v>39</v>
      </c>
      <c r="L1312">
        <v>398.12</v>
      </c>
      <c r="M1312">
        <v>1</v>
      </c>
      <c r="N1312">
        <v>0.97099999999999997</v>
      </c>
      <c r="O1312">
        <v>6500948</v>
      </c>
      <c r="P1312" s="2" t="s">
        <v>29</v>
      </c>
      <c r="Q1312" s="2" t="s">
        <v>23</v>
      </c>
      <c r="R1312" s="2" t="s">
        <v>30</v>
      </c>
      <c r="S1312">
        <v>6</v>
      </c>
      <c r="T1312" s="1">
        <v>43496</v>
      </c>
      <c r="U1312" s="1">
        <v>43506</v>
      </c>
      <c r="V1312" s="2"/>
      <c r="W1312" s="1">
        <f>fNotasFiscais[[#This Row],[Data da Coleta]]+fNotasFiscais[[#This Row],[Prazo Contratado]]</f>
        <v>43502</v>
      </c>
      <c r="X1312" s="3">
        <f>IF(fNotasFiscais[[#This Row],[Data da Entrega]]&gt;fNotasFiscais[[#This Row],[Data Contratada]],0,1)</f>
        <v>0</v>
      </c>
      <c r="Y1312" s="3">
        <f>IF(fNotasFiscais[[#This Row],[Ocorrência]]="",1,0)</f>
        <v>1</v>
      </c>
      <c r="Z1312" s="2">
        <f>fNotasFiscais[[#This Row],[On Time]]*fNotasFiscais[[#This Row],[In Full]]</f>
        <v>0</v>
      </c>
      <c r="AA1312">
        <f>IF(fNotasFiscais[[#This Row],[Nota Fiscal]]&lt;&gt;"",1,0)</f>
        <v>1</v>
      </c>
    </row>
    <row r="1313" spans="1:27" x14ac:dyDescent="0.25">
      <c r="A1313" s="1">
        <v>43495</v>
      </c>
      <c r="B1313">
        <v>11722</v>
      </c>
      <c r="C1313" s="2" t="s">
        <v>22</v>
      </c>
      <c r="D1313" s="2" t="s">
        <v>23</v>
      </c>
      <c r="E1313" s="2" t="s">
        <v>24</v>
      </c>
      <c r="F1313">
        <v>4035</v>
      </c>
      <c r="G1313" s="2" t="s">
        <v>111</v>
      </c>
      <c r="H1313" s="2" t="s">
        <v>47</v>
      </c>
      <c r="I1313" s="2" t="s">
        <v>48</v>
      </c>
      <c r="J1313" s="2" t="s">
        <v>49</v>
      </c>
      <c r="K1313" s="2" t="s">
        <v>48</v>
      </c>
      <c r="L1313">
        <v>24.38</v>
      </c>
      <c r="M1313">
        <v>1</v>
      </c>
      <c r="N1313">
        <v>0.12</v>
      </c>
      <c r="O1313">
        <v>6100231</v>
      </c>
      <c r="P1313" s="2" t="s">
        <v>50</v>
      </c>
      <c r="Q1313" s="2" t="s">
        <v>51</v>
      </c>
      <c r="R1313" s="2" t="s">
        <v>30</v>
      </c>
      <c r="S1313">
        <v>2</v>
      </c>
      <c r="T1313" s="1">
        <v>43496</v>
      </c>
      <c r="U1313" s="1">
        <v>43500</v>
      </c>
      <c r="V1313" s="2"/>
      <c r="W1313" s="1">
        <f>fNotasFiscais[[#This Row],[Data da Coleta]]+fNotasFiscais[[#This Row],[Prazo Contratado]]</f>
        <v>43498</v>
      </c>
      <c r="X1313" s="3">
        <f>IF(fNotasFiscais[[#This Row],[Data da Entrega]]&gt;fNotasFiscais[[#This Row],[Data Contratada]],0,1)</f>
        <v>0</v>
      </c>
      <c r="Y1313" s="3">
        <f>IF(fNotasFiscais[[#This Row],[Ocorrência]]="",1,0)</f>
        <v>1</v>
      </c>
      <c r="Z1313" s="2">
        <f>fNotasFiscais[[#This Row],[On Time]]*fNotasFiscais[[#This Row],[In Full]]</f>
        <v>0</v>
      </c>
      <c r="AA1313">
        <f>IF(fNotasFiscais[[#This Row],[Nota Fiscal]]&lt;&gt;"",1,0)</f>
        <v>1</v>
      </c>
    </row>
    <row r="1314" spans="1:27" x14ac:dyDescent="0.25">
      <c r="A1314" s="1">
        <v>43495</v>
      </c>
      <c r="B1314">
        <v>11723</v>
      </c>
      <c r="C1314" s="2" t="s">
        <v>52</v>
      </c>
      <c r="D1314" s="2" t="s">
        <v>53</v>
      </c>
      <c r="E1314" s="2" t="s">
        <v>33</v>
      </c>
      <c r="F1314">
        <v>4035</v>
      </c>
      <c r="G1314" s="2" t="s">
        <v>111</v>
      </c>
      <c r="H1314" s="2" t="s">
        <v>47</v>
      </c>
      <c r="I1314" s="2" t="s">
        <v>48</v>
      </c>
      <c r="J1314" s="2" t="s">
        <v>49</v>
      </c>
      <c r="K1314" s="2" t="s">
        <v>48</v>
      </c>
      <c r="L1314">
        <v>353.84</v>
      </c>
      <c r="M1314">
        <v>1</v>
      </c>
      <c r="N1314">
        <v>9.657</v>
      </c>
      <c r="O1314">
        <v>6100231</v>
      </c>
      <c r="P1314" s="2" t="s">
        <v>50</v>
      </c>
      <c r="Q1314" s="2" t="s">
        <v>51</v>
      </c>
      <c r="R1314" s="2" t="s">
        <v>30</v>
      </c>
      <c r="S1314">
        <v>9</v>
      </c>
      <c r="T1314" s="1">
        <v>43496</v>
      </c>
      <c r="U1314" s="1">
        <v>43505</v>
      </c>
      <c r="V1314" s="2"/>
      <c r="W1314" s="1">
        <f>fNotasFiscais[[#This Row],[Data da Coleta]]+fNotasFiscais[[#This Row],[Prazo Contratado]]</f>
        <v>43505</v>
      </c>
      <c r="X1314" s="3">
        <f>IF(fNotasFiscais[[#This Row],[Data da Entrega]]&gt;fNotasFiscais[[#This Row],[Data Contratada]],0,1)</f>
        <v>1</v>
      </c>
      <c r="Y1314" s="3">
        <f>IF(fNotasFiscais[[#This Row],[Ocorrência]]="",1,0)</f>
        <v>1</v>
      </c>
      <c r="Z1314" s="2">
        <f>fNotasFiscais[[#This Row],[On Time]]*fNotasFiscais[[#This Row],[In Full]]</f>
        <v>1</v>
      </c>
      <c r="AA1314">
        <f>IF(fNotasFiscais[[#This Row],[Nota Fiscal]]&lt;&gt;"",1,0)</f>
        <v>1</v>
      </c>
    </row>
    <row r="1315" spans="1:27" x14ac:dyDescent="0.25">
      <c r="A1315" s="1">
        <v>43495</v>
      </c>
      <c r="B1315">
        <v>11724</v>
      </c>
      <c r="C1315" s="2" t="s">
        <v>31</v>
      </c>
      <c r="D1315" s="2" t="s">
        <v>32</v>
      </c>
      <c r="E1315" s="2" t="s">
        <v>33</v>
      </c>
      <c r="F1315">
        <v>4035</v>
      </c>
      <c r="G1315" s="2" t="s">
        <v>111</v>
      </c>
      <c r="H1315" s="2" t="s">
        <v>47</v>
      </c>
      <c r="I1315" s="2" t="s">
        <v>48</v>
      </c>
      <c r="J1315" s="2" t="s">
        <v>49</v>
      </c>
      <c r="K1315" s="2" t="s">
        <v>48</v>
      </c>
      <c r="L1315">
        <v>252.19</v>
      </c>
      <c r="M1315">
        <v>2</v>
      </c>
      <c r="N1315">
        <v>0.42499999999999999</v>
      </c>
      <c r="O1315">
        <v>6100231</v>
      </c>
      <c r="P1315" s="2" t="s">
        <v>50</v>
      </c>
      <c r="Q1315" s="2" t="s">
        <v>51</v>
      </c>
      <c r="R1315" s="2" t="s">
        <v>62</v>
      </c>
      <c r="S1315">
        <v>2</v>
      </c>
      <c r="T1315" s="1">
        <v>43496</v>
      </c>
      <c r="U1315" s="1">
        <v>43497</v>
      </c>
      <c r="V1315" s="2"/>
      <c r="W1315" s="1">
        <f>fNotasFiscais[[#This Row],[Data da Coleta]]+fNotasFiscais[[#This Row],[Prazo Contratado]]</f>
        <v>43498</v>
      </c>
      <c r="X1315" s="3">
        <f>IF(fNotasFiscais[[#This Row],[Data da Entrega]]&gt;fNotasFiscais[[#This Row],[Data Contratada]],0,1)</f>
        <v>1</v>
      </c>
      <c r="Y1315" s="3">
        <f>IF(fNotasFiscais[[#This Row],[Ocorrência]]="",1,0)</f>
        <v>1</v>
      </c>
      <c r="Z1315" s="2">
        <f>fNotasFiscais[[#This Row],[On Time]]*fNotasFiscais[[#This Row],[In Full]]</f>
        <v>1</v>
      </c>
      <c r="AA1315">
        <f>IF(fNotasFiscais[[#This Row],[Nota Fiscal]]&lt;&gt;"",1,0)</f>
        <v>1</v>
      </c>
    </row>
    <row r="1316" spans="1:27" x14ac:dyDescent="0.25">
      <c r="A1316" s="1">
        <v>43496</v>
      </c>
      <c r="B1316">
        <v>11725</v>
      </c>
      <c r="C1316" s="2" t="s">
        <v>22</v>
      </c>
      <c r="D1316" s="2" t="s">
        <v>23</v>
      </c>
      <c r="E1316" s="2" t="s">
        <v>24</v>
      </c>
      <c r="F1316">
        <v>4047</v>
      </c>
      <c r="G1316" s="2" t="s">
        <v>125</v>
      </c>
      <c r="H1316" s="2" t="s">
        <v>35</v>
      </c>
      <c r="I1316" s="2" t="s">
        <v>36</v>
      </c>
      <c r="J1316" s="2" t="s">
        <v>60</v>
      </c>
      <c r="K1316" s="2" t="s">
        <v>36</v>
      </c>
      <c r="L1316">
        <v>2315.9</v>
      </c>
      <c r="M1316">
        <v>3</v>
      </c>
      <c r="N1316">
        <v>63.607999999999997</v>
      </c>
      <c r="O1316">
        <v>6600879</v>
      </c>
      <c r="P1316" s="2" t="s">
        <v>61</v>
      </c>
      <c r="Q1316" s="2" t="s">
        <v>35</v>
      </c>
      <c r="R1316" s="2" t="s">
        <v>30</v>
      </c>
      <c r="S1316">
        <v>1</v>
      </c>
      <c r="T1316" s="1">
        <v>43497</v>
      </c>
      <c r="U1316" s="1">
        <v>43505</v>
      </c>
      <c r="V1316" s="2"/>
      <c r="W1316" s="1">
        <f>fNotasFiscais[[#This Row],[Data da Coleta]]+fNotasFiscais[[#This Row],[Prazo Contratado]]</f>
        <v>43498</v>
      </c>
      <c r="X1316" s="3">
        <f>IF(fNotasFiscais[[#This Row],[Data da Entrega]]&gt;fNotasFiscais[[#This Row],[Data Contratada]],0,1)</f>
        <v>0</v>
      </c>
      <c r="Y1316" s="3">
        <f>IF(fNotasFiscais[[#This Row],[Ocorrência]]="",1,0)</f>
        <v>1</v>
      </c>
      <c r="Z1316" s="2">
        <f>fNotasFiscais[[#This Row],[On Time]]*fNotasFiscais[[#This Row],[In Full]]</f>
        <v>0</v>
      </c>
      <c r="AA1316">
        <f>IF(fNotasFiscais[[#This Row],[Nota Fiscal]]&lt;&gt;"",1,0)</f>
        <v>1</v>
      </c>
    </row>
    <row r="1317" spans="1:27" x14ac:dyDescent="0.25">
      <c r="A1317" s="1">
        <v>43496</v>
      </c>
      <c r="B1317">
        <v>11726</v>
      </c>
      <c r="C1317" s="2" t="s">
        <v>40</v>
      </c>
      <c r="D1317" s="2" t="s">
        <v>41</v>
      </c>
      <c r="E1317" s="2" t="s">
        <v>33</v>
      </c>
      <c r="F1317">
        <v>4034</v>
      </c>
      <c r="G1317" s="2" t="s">
        <v>110</v>
      </c>
      <c r="H1317" s="2" t="s">
        <v>51</v>
      </c>
      <c r="I1317" s="2" t="s">
        <v>73</v>
      </c>
      <c r="J1317" s="2" t="s">
        <v>49</v>
      </c>
      <c r="K1317" s="2" t="s">
        <v>73</v>
      </c>
      <c r="L1317">
        <v>2327.06</v>
      </c>
      <c r="M1317">
        <v>3</v>
      </c>
      <c r="N1317">
        <v>51.59</v>
      </c>
      <c r="O1317">
        <v>6100231</v>
      </c>
      <c r="P1317" s="2" t="s">
        <v>50</v>
      </c>
      <c r="Q1317" s="2" t="s">
        <v>51</v>
      </c>
      <c r="R1317" s="2" t="s">
        <v>30</v>
      </c>
      <c r="S1317">
        <v>9</v>
      </c>
      <c r="T1317" s="1">
        <v>43497</v>
      </c>
      <c r="U1317" s="1">
        <v>43504</v>
      </c>
      <c r="V1317" s="2"/>
      <c r="W1317" s="1">
        <f>fNotasFiscais[[#This Row],[Data da Coleta]]+fNotasFiscais[[#This Row],[Prazo Contratado]]</f>
        <v>43506</v>
      </c>
      <c r="X1317" s="3">
        <f>IF(fNotasFiscais[[#This Row],[Data da Entrega]]&gt;fNotasFiscais[[#This Row],[Data Contratada]],0,1)</f>
        <v>1</v>
      </c>
      <c r="Y1317" s="3">
        <f>IF(fNotasFiscais[[#This Row],[Ocorrência]]="",1,0)</f>
        <v>1</v>
      </c>
      <c r="Z1317" s="2">
        <f>fNotasFiscais[[#This Row],[On Time]]*fNotasFiscais[[#This Row],[In Full]]</f>
        <v>1</v>
      </c>
      <c r="AA1317">
        <f>IF(fNotasFiscais[[#This Row],[Nota Fiscal]]&lt;&gt;"",1,0)</f>
        <v>1</v>
      </c>
    </row>
    <row r="1318" spans="1:27" x14ac:dyDescent="0.25">
      <c r="A1318" s="1">
        <v>43498</v>
      </c>
      <c r="B1318">
        <v>11727</v>
      </c>
      <c r="C1318" s="2" t="s">
        <v>40</v>
      </c>
      <c r="D1318" s="2" t="s">
        <v>41</v>
      </c>
      <c r="E1318" s="2" t="s">
        <v>33</v>
      </c>
      <c r="F1318">
        <v>4022</v>
      </c>
      <c r="G1318" s="2" t="s">
        <v>86</v>
      </c>
      <c r="H1318" s="2" t="s">
        <v>87</v>
      </c>
      <c r="I1318" s="2" t="s">
        <v>27</v>
      </c>
      <c r="J1318" s="2" t="s">
        <v>28</v>
      </c>
      <c r="K1318" s="2" t="s">
        <v>27</v>
      </c>
      <c r="L1318">
        <v>258.13</v>
      </c>
      <c r="M1318">
        <v>1</v>
      </c>
      <c r="N1318">
        <v>0.185</v>
      </c>
      <c r="O1318">
        <v>6500948</v>
      </c>
      <c r="P1318" s="2" t="s">
        <v>29</v>
      </c>
      <c r="Q1318" s="2" t="s">
        <v>23</v>
      </c>
      <c r="R1318" s="2" t="s">
        <v>30</v>
      </c>
      <c r="S1318">
        <v>10</v>
      </c>
      <c r="T1318" s="1">
        <v>43499</v>
      </c>
      <c r="U1318" s="1">
        <v>43504</v>
      </c>
      <c r="V1318" s="2"/>
      <c r="W1318" s="1">
        <f>fNotasFiscais[[#This Row],[Data da Coleta]]+fNotasFiscais[[#This Row],[Prazo Contratado]]</f>
        <v>43509</v>
      </c>
      <c r="X1318" s="3">
        <f>IF(fNotasFiscais[[#This Row],[Data da Entrega]]&gt;fNotasFiscais[[#This Row],[Data Contratada]],0,1)</f>
        <v>1</v>
      </c>
      <c r="Y1318" s="3">
        <f>IF(fNotasFiscais[[#This Row],[Ocorrência]]="",1,0)</f>
        <v>1</v>
      </c>
      <c r="Z1318" s="2">
        <f>fNotasFiscais[[#This Row],[On Time]]*fNotasFiscais[[#This Row],[In Full]]</f>
        <v>1</v>
      </c>
      <c r="AA1318">
        <f>IF(fNotasFiscais[[#This Row],[Nota Fiscal]]&lt;&gt;"",1,0)</f>
        <v>1</v>
      </c>
    </row>
    <row r="1319" spans="1:27" x14ac:dyDescent="0.25">
      <c r="A1319" s="1">
        <v>43501</v>
      </c>
      <c r="B1319">
        <v>11728</v>
      </c>
      <c r="C1319" s="2" t="s">
        <v>40</v>
      </c>
      <c r="D1319" s="2" t="s">
        <v>41</v>
      </c>
      <c r="E1319" s="2" t="s">
        <v>33</v>
      </c>
      <c r="F1319">
        <v>4127</v>
      </c>
      <c r="G1319" s="2" t="s">
        <v>210</v>
      </c>
      <c r="H1319" s="2" t="s">
        <v>44</v>
      </c>
      <c r="I1319" s="2" t="s">
        <v>45</v>
      </c>
      <c r="J1319" s="2" t="s">
        <v>60</v>
      </c>
      <c r="K1319" s="2" t="s">
        <v>45</v>
      </c>
      <c r="L1319">
        <v>147.36000000000001</v>
      </c>
      <c r="M1319">
        <v>1</v>
      </c>
      <c r="N1319">
        <v>3.871</v>
      </c>
      <c r="O1319">
        <v>6140092</v>
      </c>
      <c r="P1319" s="2" t="s">
        <v>137</v>
      </c>
      <c r="Q1319" s="2" t="s">
        <v>138</v>
      </c>
      <c r="R1319" s="2" t="s">
        <v>30</v>
      </c>
      <c r="S1319">
        <v>10</v>
      </c>
      <c r="T1319" s="1">
        <v>43502</v>
      </c>
      <c r="U1319" s="1">
        <v>43509</v>
      </c>
      <c r="V1319" s="2"/>
      <c r="W1319" s="1">
        <f>fNotasFiscais[[#This Row],[Data da Coleta]]+fNotasFiscais[[#This Row],[Prazo Contratado]]</f>
        <v>43512</v>
      </c>
      <c r="X1319" s="3">
        <f>IF(fNotasFiscais[[#This Row],[Data da Entrega]]&gt;fNotasFiscais[[#This Row],[Data Contratada]],0,1)</f>
        <v>1</v>
      </c>
      <c r="Y1319" s="3">
        <f>IF(fNotasFiscais[[#This Row],[Ocorrência]]="",1,0)</f>
        <v>1</v>
      </c>
      <c r="Z1319" s="2">
        <f>fNotasFiscais[[#This Row],[On Time]]*fNotasFiscais[[#This Row],[In Full]]</f>
        <v>1</v>
      </c>
      <c r="AA1319">
        <f>IF(fNotasFiscais[[#This Row],[Nota Fiscal]]&lt;&gt;"",1,0)</f>
        <v>1</v>
      </c>
    </row>
    <row r="1320" spans="1:27" x14ac:dyDescent="0.25">
      <c r="A1320" s="1">
        <v>43501</v>
      </c>
      <c r="B1320">
        <v>11729</v>
      </c>
      <c r="C1320" s="2" t="s">
        <v>54</v>
      </c>
      <c r="D1320" s="2" t="s">
        <v>55</v>
      </c>
      <c r="E1320" s="2" t="s">
        <v>56</v>
      </c>
      <c r="F1320">
        <v>4049</v>
      </c>
      <c r="G1320" s="2" t="s">
        <v>118</v>
      </c>
      <c r="H1320" s="2" t="s">
        <v>97</v>
      </c>
      <c r="I1320" s="2" t="s">
        <v>48</v>
      </c>
      <c r="J1320" s="2" t="s">
        <v>49</v>
      </c>
      <c r="K1320" s="2" t="s">
        <v>48</v>
      </c>
      <c r="L1320">
        <v>3009.12</v>
      </c>
      <c r="M1320">
        <v>3</v>
      </c>
      <c r="N1320">
        <v>11.382</v>
      </c>
      <c r="O1320">
        <v>6100231</v>
      </c>
      <c r="P1320" s="2" t="s">
        <v>50</v>
      </c>
      <c r="Q1320" s="2" t="s">
        <v>51</v>
      </c>
      <c r="R1320" s="2" t="s">
        <v>30</v>
      </c>
      <c r="S1320">
        <v>4</v>
      </c>
      <c r="T1320" s="1">
        <v>43502</v>
      </c>
      <c r="U1320" s="1">
        <v>43508</v>
      </c>
      <c r="V1320" s="2"/>
      <c r="W1320" s="1">
        <f>fNotasFiscais[[#This Row],[Data da Coleta]]+fNotasFiscais[[#This Row],[Prazo Contratado]]</f>
        <v>43506</v>
      </c>
      <c r="X1320" s="3">
        <f>IF(fNotasFiscais[[#This Row],[Data da Entrega]]&gt;fNotasFiscais[[#This Row],[Data Contratada]],0,1)</f>
        <v>0</v>
      </c>
      <c r="Y1320" s="3">
        <f>IF(fNotasFiscais[[#This Row],[Ocorrência]]="",1,0)</f>
        <v>1</v>
      </c>
      <c r="Z1320" s="2">
        <f>fNotasFiscais[[#This Row],[On Time]]*fNotasFiscais[[#This Row],[In Full]]</f>
        <v>0</v>
      </c>
      <c r="AA1320">
        <f>IF(fNotasFiscais[[#This Row],[Nota Fiscal]]&lt;&gt;"",1,0)</f>
        <v>1</v>
      </c>
    </row>
    <row r="1321" spans="1:27" x14ac:dyDescent="0.25">
      <c r="A1321" s="1">
        <v>43501</v>
      </c>
      <c r="B1321">
        <v>11730</v>
      </c>
      <c r="C1321" s="2" t="s">
        <v>40</v>
      </c>
      <c r="D1321" s="2" t="s">
        <v>41</v>
      </c>
      <c r="E1321" s="2" t="s">
        <v>33</v>
      </c>
      <c r="F1321">
        <v>4049</v>
      </c>
      <c r="G1321" s="2" t="s">
        <v>118</v>
      </c>
      <c r="H1321" s="2" t="s">
        <v>97</v>
      </c>
      <c r="I1321" s="2" t="s">
        <v>48</v>
      </c>
      <c r="J1321" s="2" t="s">
        <v>49</v>
      </c>
      <c r="K1321" s="2" t="s">
        <v>48</v>
      </c>
      <c r="L1321">
        <v>151.86000000000001</v>
      </c>
      <c r="M1321">
        <v>1</v>
      </c>
      <c r="N1321">
        <v>1.1200000000000001</v>
      </c>
      <c r="O1321">
        <v>6100231</v>
      </c>
      <c r="P1321" s="2" t="s">
        <v>50</v>
      </c>
      <c r="Q1321" s="2" t="s">
        <v>51</v>
      </c>
      <c r="R1321" s="2" t="s">
        <v>30</v>
      </c>
      <c r="S1321">
        <v>5</v>
      </c>
      <c r="T1321" s="1">
        <v>43502</v>
      </c>
      <c r="U1321" s="1">
        <v>43512</v>
      </c>
      <c r="V1321" s="2"/>
      <c r="W1321" s="1">
        <f>fNotasFiscais[[#This Row],[Data da Coleta]]+fNotasFiscais[[#This Row],[Prazo Contratado]]</f>
        <v>43507</v>
      </c>
      <c r="X1321" s="3">
        <f>IF(fNotasFiscais[[#This Row],[Data da Entrega]]&gt;fNotasFiscais[[#This Row],[Data Contratada]],0,1)</f>
        <v>0</v>
      </c>
      <c r="Y1321" s="3">
        <f>IF(fNotasFiscais[[#This Row],[Ocorrência]]="",1,0)</f>
        <v>1</v>
      </c>
      <c r="Z1321" s="2">
        <f>fNotasFiscais[[#This Row],[On Time]]*fNotasFiscais[[#This Row],[In Full]]</f>
        <v>0</v>
      </c>
      <c r="AA1321">
        <f>IF(fNotasFiscais[[#This Row],[Nota Fiscal]]&lt;&gt;"",1,0)</f>
        <v>1</v>
      </c>
    </row>
    <row r="1322" spans="1:27" x14ac:dyDescent="0.25">
      <c r="A1322" s="1">
        <v>43501</v>
      </c>
      <c r="B1322">
        <v>11731</v>
      </c>
      <c r="C1322" s="2" t="s">
        <v>34</v>
      </c>
      <c r="D1322" s="2" t="s">
        <v>35</v>
      </c>
      <c r="E1322" s="2" t="s">
        <v>36</v>
      </c>
      <c r="F1322">
        <v>4049</v>
      </c>
      <c r="G1322" s="2" t="s">
        <v>118</v>
      </c>
      <c r="H1322" s="2" t="s">
        <v>97</v>
      </c>
      <c r="I1322" s="2" t="s">
        <v>48</v>
      </c>
      <c r="J1322" s="2" t="s">
        <v>49</v>
      </c>
      <c r="K1322" s="2" t="s">
        <v>48</v>
      </c>
      <c r="L1322">
        <v>147.55000000000001</v>
      </c>
      <c r="M1322">
        <v>1</v>
      </c>
      <c r="N1322">
        <v>1.2969999999999999</v>
      </c>
      <c r="O1322">
        <v>6100231</v>
      </c>
      <c r="P1322" s="2" t="s">
        <v>50</v>
      </c>
      <c r="Q1322" s="2" t="s">
        <v>51</v>
      </c>
      <c r="R1322" s="2" t="s">
        <v>30</v>
      </c>
      <c r="S1322">
        <v>8</v>
      </c>
      <c r="T1322" s="1">
        <v>43502</v>
      </c>
      <c r="U1322" s="1">
        <v>43508</v>
      </c>
      <c r="V1322" s="2" t="s">
        <v>57</v>
      </c>
      <c r="W1322" s="1">
        <f>fNotasFiscais[[#This Row],[Data da Coleta]]+fNotasFiscais[[#This Row],[Prazo Contratado]]</f>
        <v>43510</v>
      </c>
      <c r="X1322" s="3">
        <f>IF(fNotasFiscais[[#This Row],[Data da Entrega]]&gt;fNotasFiscais[[#This Row],[Data Contratada]],0,1)</f>
        <v>1</v>
      </c>
      <c r="Y1322" s="3">
        <f>IF(fNotasFiscais[[#This Row],[Ocorrência]]="",1,0)</f>
        <v>0</v>
      </c>
      <c r="Z1322" s="2">
        <f>fNotasFiscais[[#This Row],[On Time]]*fNotasFiscais[[#This Row],[In Full]]</f>
        <v>0</v>
      </c>
      <c r="AA1322">
        <f>IF(fNotasFiscais[[#This Row],[Nota Fiscal]]&lt;&gt;"",1,0)</f>
        <v>1</v>
      </c>
    </row>
    <row r="1323" spans="1:27" x14ac:dyDescent="0.25">
      <c r="A1323" s="1">
        <v>43501</v>
      </c>
      <c r="B1323">
        <v>11732</v>
      </c>
      <c r="C1323" s="2" t="s">
        <v>54</v>
      </c>
      <c r="D1323" s="2" t="s">
        <v>55</v>
      </c>
      <c r="E1323" s="2" t="s">
        <v>56</v>
      </c>
      <c r="F1323">
        <v>4049</v>
      </c>
      <c r="G1323" s="2" t="s">
        <v>118</v>
      </c>
      <c r="H1323" s="2" t="s">
        <v>97</v>
      </c>
      <c r="I1323" s="2" t="s">
        <v>48</v>
      </c>
      <c r="J1323" s="2" t="s">
        <v>49</v>
      </c>
      <c r="K1323" s="2" t="s">
        <v>48</v>
      </c>
      <c r="L1323">
        <v>614.21</v>
      </c>
      <c r="M1323">
        <v>2</v>
      </c>
      <c r="N1323">
        <v>0.88</v>
      </c>
      <c r="O1323">
        <v>6100231</v>
      </c>
      <c r="P1323" s="2" t="s">
        <v>50</v>
      </c>
      <c r="Q1323" s="2" t="s">
        <v>51</v>
      </c>
      <c r="R1323" s="2" t="s">
        <v>30</v>
      </c>
      <c r="S1323">
        <v>5</v>
      </c>
      <c r="T1323" s="1">
        <v>43502</v>
      </c>
      <c r="U1323" s="1">
        <v>43510</v>
      </c>
      <c r="V1323" s="2"/>
      <c r="W1323" s="1">
        <f>fNotasFiscais[[#This Row],[Data da Coleta]]+fNotasFiscais[[#This Row],[Prazo Contratado]]</f>
        <v>43507</v>
      </c>
      <c r="X1323" s="3">
        <f>IF(fNotasFiscais[[#This Row],[Data da Entrega]]&gt;fNotasFiscais[[#This Row],[Data Contratada]],0,1)</f>
        <v>0</v>
      </c>
      <c r="Y1323" s="3">
        <f>IF(fNotasFiscais[[#This Row],[Ocorrência]]="",1,0)</f>
        <v>1</v>
      </c>
      <c r="Z1323" s="2">
        <f>fNotasFiscais[[#This Row],[On Time]]*fNotasFiscais[[#This Row],[In Full]]</f>
        <v>0</v>
      </c>
      <c r="AA1323">
        <f>IF(fNotasFiscais[[#This Row],[Nota Fiscal]]&lt;&gt;"",1,0)</f>
        <v>1</v>
      </c>
    </row>
    <row r="1324" spans="1:27" x14ac:dyDescent="0.25">
      <c r="A1324" s="1">
        <v>43501</v>
      </c>
      <c r="B1324">
        <v>11733</v>
      </c>
      <c r="C1324" s="2" t="s">
        <v>54</v>
      </c>
      <c r="D1324" s="2" t="s">
        <v>55</v>
      </c>
      <c r="E1324" s="2" t="s">
        <v>56</v>
      </c>
      <c r="F1324">
        <v>4049</v>
      </c>
      <c r="G1324" s="2" t="s">
        <v>118</v>
      </c>
      <c r="H1324" s="2" t="s">
        <v>97</v>
      </c>
      <c r="I1324" s="2" t="s">
        <v>48</v>
      </c>
      <c r="J1324" s="2" t="s">
        <v>49</v>
      </c>
      <c r="K1324" s="2" t="s">
        <v>48</v>
      </c>
      <c r="L1324">
        <v>150.47999999999999</v>
      </c>
      <c r="M1324">
        <v>2</v>
      </c>
      <c r="N1324">
        <v>0.56499999999999995</v>
      </c>
      <c r="O1324">
        <v>6100231</v>
      </c>
      <c r="P1324" s="2" t="s">
        <v>50</v>
      </c>
      <c r="Q1324" s="2" t="s">
        <v>51</v>
      </c>
      <c r="R1324" s="2" t="s">
        <v>30</v>
      </c>
      <c r="S1324">
        <v>11</v>
      </c>
      <c r="T1324" s="1">
        <v>43502</v>
      </c>
      <c r="U1324" s="1">
        <v>43508</v>
      </c>
      <c r="V1324" s="2"/>
      <c r="W1324" s="1">
        <f>fNotasFiscais[[#This Row],[Data da Coleta]]+fNotasFiscais[[#This Row],[Prazo Contratado]]</f>
        <v>43513</v>
      </c>
      <c r="X1324" s="3">
        <f>IF(fNotasFiscais[[#This Row],[Data da Entrega]]&gt;fNotasFiscais[[#This Row],[Data Contratada]],0,1)</f>
        <v>1</v>
      </c>
      <c r="Y1324" s="3">
        <f>IF(fNotasFiscais[[#This Row],[Ocorrência]]="",1,0)</f>
        <v>1</v>
      </c>
      <c r="Z1324" s="2">
        <f>fNotasFiscais[[#This Row],[On Time]]*fNotasFiscais[[#This Row],[In Full]]</f>
        <v>1</v>
      </c>
      <c r="AA1324">
        <f>IF(fNotasFiscais[[#This Row],[Nota Fiscal]]&lt;&gt;"",1,0)</f>
        <v>1</v>
      </c>
    </row>
    <row r="1325" spans="1:27" x14ac:dyDescent="0.25">
      <c r="A1325" s="1">
        <v>43501</v>
      </c>
      <c r="B1325">
        <v>11734</v>
      </c>
      <c r="C1325" s="2" t="s">
        <v>40</v>
      </c>
      <c r="D1325" s="2" t="s">
        <v>41</v>
      </c>
      <c r="E1325" s="2" t="s">
        <v>33</v>
      </c>
      <c r="F1325">
        <v>4049</v>
      </c>
      <c r="G1325" s="2" t="s">
        <v>118</v>
      </c>
      <c r="H1325" s="2" t="s">
        <v>97</v>
      </c>
      <c r="I1325" s="2" t="s">
        <v>48</v>
      </c>
      <c r="J1325" s="2" t="s">
        <v>49</v>
      </c>
      <c r="K1325" s="2" t="s">
        <v>48</v>
      </c>
      <c r="L1325">
        <v>31.6</v>
      </c>
      <c r="M1325">
        <v>1</v>
      </c>
      <c r="N1325">
        <v>6.0000000000000001E-3</v>
      </c>
      <c r="O1325">
        <v>6100231</v>
      </c>
      <c r="P1325" s="2" t="s">
        <v>50</v>
      </c>
      <c r="Q1325" s="2" t="s">
        <v>51</v>
      </c>
      <c r="R1325" s="2" t="s">
        <v>30</v>
      </c>
      <c r="S1325">
        <v>9</v>
      </c>
      <c r="T1325" s="1">
        <v>43502</v>
      </c>
      <c r="U1325" s="1">
        <v>43504</v>
      </c>
      <c r="V1325" s="2"/>
      <c r="W1325" s="1">
        <f>fNotasFiscais[[#This Row],[Data da Coleta]]+fNotasFiscais[[#This Row],[Prazo Contratado]]</f>
        <v>43511</v>
      </c>
      <c r="X1325" s="3">
        <f>IF(fNotasFiscais[[#This Row],[Data da Entrega]]&gt;fNotasFiscais[[#This Row],[Data Contratada]],0,1)</f>
        <v>1</v>
      </c>
      <c r="Y1325" s="3">
        <f>IF(fNotasFiscais[[#This Row],[Ocorrência]]="",1,0)</f>
        <v>1</v>
      </c>
      <c r="Z1325" s="2">
        <f>fNotasFiscais[[#This Row],[On Time]]*fNotasFiscais[[#This Row],[In Full]]</f>
        <v>1</v>
      </c>
      <c r="AA1325">
        <f>IF(fNotasFiscais[[#This Row],[Nota Fiscal]]&lt;&gt;"",1,0)</f>
        <v>1</v>
      </c>
    </row>
    <row r="1326" spans="1:27" x14ac:dyDescent="0.25">
      <c r="A1326" s="1">
        <v>43501</v>
      </c>
      <c r="B1326">
        <v>11735</v>
      </c>
      <c r="C1326" s="2" t="s">
        <v>40</v>
      </c>
      <c r="D1326" s="2" t="s">
        <v>41</v>
      </c>
      <c r="E1326" s="2" t="s">
        <v>33</v>
      </c>
      <c r="F1326">
        <v>4049</v>
      </c>
      <c r="G1326" s="2" t="s">
        <v>118</v>
      </c>
      <c r="H1326" s="2" t="s">
        <v>97</v>
      </c>
      <c r="I1326" s="2" t="s">
        <v>48</v>
      </c>
      <c r="J1326" s="2" t="s">
        <v>49</v>
      </c>
      <c r="K1326" s="2" t="s">
        <v>48</v>
      </c>
      <c r="L1326">
        <v>2575.19</v>
      </c>
      <c r="M1326">
        <v>2</v>
      </c>
      <c r="N1326">
        <v>14.831</v>
      </c>
      <c r="O1326">
        <v>6100231</v>
      </c>
      <c r="P1326" s="2" t="s">
        <v>50</v>
      </c>
      <c r="Q1326" s="2" t="s">
        <v>51</v>
      </c>
      <c r="R1326" s="2" t="s">
        <v>30</v>
      </c>
      <c r="S1326">
        <v>5</v>
      </c>
      <c r="T1326" s="1">
        <v>43502</v>
      </c>
      <c r="U1326" s="1">
        <v>43504</v>
      </c>
      <c r="V1326" s="2"/>
      <c r="W1326" s="1">
        <f>fNotasFiscais[[#This Row],[Data da Coleta]]+fNotasFiscais[[#This Row],[Prazo Contratado]]</f>
        <v>43507</v>
      </c>
      <c r="X1326" s="3">
        <f>IF(fNotasFiscais[[#This Row],[Data da Entrega]]&gt;fNotasFiscais[[#This Row],[Data Contratada]],0,1)</f>
        <v>1</v>
      </c>
      <c r="Y1326" s="3">
        <f>IF(fNotasFiscais[[#This Row],[Ocorrência]]="",1,0)</f>
        <v>1</v>
      </c>
      <c r="Z1326" s="2">
        <f>fNotasFiscais[[#This Row],[On Time]]*fNotasFiscais[[#This Row],[In Full]]</f>
        <v>1</v>
      </c>
      <c r="AA1326">
        <f>IF(fNotasFiscais[[#This Row],[Nota Fiscal]]&lt;&gt;"",1,0)</f>
        <v>1</v>
      </c>
    </row>
    <row r="1327" spans="1:27" x14ac:dyDescent="0.25">
      <c r="A1327" s="1">
        <v>43501</v>
      </c>
      <c r="B1327">
        <v>11736</v>
      </c>
      <c r="C1327" s="2" t="s">
        <v>40</v>
      </c>
      <c r="D1327" s="2" t="s">
        <v>41</v>
      </c>
      <c r="E1327" s="2" t="s">
        <v>33</v>
      </c>
      <c r="F1327">
        <v>4049</v>
      </c>
      <c r="G1327" s="2" t="s">
        <v>118</v>
      </c>
      <c r="H1327" s="2" t="s">
        <v>97</v>
      </c>
      <c r="I1327" s="2" t="s">
        <v>48</v>
      </c>
      <c r="J1327" s="2" t="s">
        <v>49</v>
      </c>
      <c r="K1327" s="2" t="s">
        <v>48</v>
      </c>
      <c r="L1327">
        <v>16.579999999999998</v>
      </c>
      <c r="M1327">
        <v>1</v>
      </c>
      <c r="N1327">
        <v>1.0999999999999999E-2</v>
      </c>
      <c r="O1327">
        <v>6100231</v>
      </c>
      <c r="P1327" s="2" t="s">
        <v>50</v>
      </c>
      <c r="Q1327" s="2" t="s">
        <v>51</v>
      </c>
      <c r="R1327" s="2" t="s">
        <v>30</v>
      </c>
      <c r="S1327">
        <v>8</v>
      </c>
      <c r="T1327" s="1">
        <v>43502</v>
      </c>
      <c r="U1327" s="1">
        <v>43510</v>
      </c>
      <c r="V1327" s="2"/>
      <c r="W1327" s="1">
        <f>fNotasFiscais[[#This Row],[Data da Coleta]]+fNotasFiscais[[#This Row],[Prazo Contratado]]</f>
        <v>43510</v>
      </c>
      <c r="X1327" s="3">
        <f>IF(fNotasFiscais[[#This Row],[Data da Entrega]]&gt;fNotasFiscais[[#This Row],[Data Contratada]],0,1)</f>
        <v>1</v>
      </c>
      <c r="Y1327" s="3">
        <f>IF(fNotasFiscais[[#This Row],[Ocorrência]]="",1,0)</f>
        <v>1</v>
      </c>
      <c r="Z1327" s="2">
        <f>fNotasFiscais[[#This Row],[On Time]]*fNotasFiscais[[#This Row],[In Full]]</f>
        <v>1</v>
      </c>
      <c r="AA1327">
        <f>IF(fNotasFiscais[[#This Row],[Nota Fiscal]]&lt;&gt;"",1,0)</f>
        <v>1</v>
      </c>
    </row>
    <row r="1328" spans="1:27" x14ac:dyDescent="0.25">
      <c r="A1328" s="1">
        <v>43501</v>
      </c>
      <c r="B1328">
        <v>11737</v>
      </c>
      <c r="C1328" s="2" t="s">
        <v>52</v>
      </c>
      <c r="D1328" s="2" t="s">
        <v>53</v>
      </c>
      <c r="E1328" s="2" t="s">
        <v>33</v>
      </c>
      <c r="F1328">
        <v>4049</v>
      </c>
      <c r="G1328" s="2" t="s">
        <v>118</v>
      </c>
      <c r="H1328" s="2" t="s">
        <v>97</v>
      </c>
      <c r="I1328" s="2" t="s">
        <v>48</v>
      </c>
      <c r="J1328" s="2" t="s">
        <v>49</v>
      </c>
      <c r="K1328" s="2" t="s">
        <v>48</v>
      </c>
      <c r="L1328">
        <v>673.24</v>
      </c>
      <c r="M1328">
        <v>1</v>
      </c>
      <c r="N1328">
        <v>2.64</v>
      </c>
      <c r="O1328">
        <v>6100231</v>
      </c>
      <c r="P1328" s="2" t="s">
        <v>50</v>
      </c>
      <c r="Q1328" s="2" t="s">
        <v>51</v>
      </c>
      <c r="R1328" s="2" t="s">
        <v>30</v>
      </c>
      <c r="S1328">
        <v>6</v>
      </c>
      <c r="T1328" s="1">
        <v>43502</v>
      </c>
      <c r="U1328" s="1">
        <v>43503</v>
      </c>
      <c r="V1328" s="2"/>
      <c r="W1328" s="1">
        <f>fNotasFiscais[[#This Row],[Data da Coleta]]+fNotasFiscais[[#This Row],[Prazo Contratado]]</f>
        <v>43508</v>
      </c>
      <c r="X1328" s="3">
        <f>IF(fNotasFiscais[[#This Row],[Data da Entrega]]&gt;fNotasFiscais[[#This Row],[Data Contratada]],0,1)</f>
        <v>1</v>
      </c>
      <c r="Y1328" s="3">
        <f>IF(fNotasFiscais[[#This Row],[Ocorrência]]="",1,0)</f>
        <v>1</v>
      </c>
      <c r="Z1328" s="2">
        <f>fNotasFiscais[[#This Row],[On Time]]*fNotasFiscais[[#This Row],[In Full]]</f>
        <v>1</v>
      </c>
      <c r="AA1328">
        <f>IF(fNotasFiscais[[#This Row],[Nota Fiscal]]&lt;&gt;"",1,0)</f>
        <v>1</v>
      </c>
    </row>
    <row r="1329" spans="1:27" x14ac:dyDescent="0.25">
      <c r="A1329" s="1">
        <v>43501</v>
      </c>
      <c r="B1329">
        <v>11738</v>
      </c>
      <c r="C1329" s="2" t="s">
        <v>43</v>
      </c>
      <c r="D1329" s="2" t="s">
        <v>44</v>
      </c>
      <c r="E1329" s="2" t="s">
        <v>45</v>
      </c>
      <c r="F1329">
        <v>4049</v>
      </c>
      <c r="G1329" s="2" t="s">
        <v>118</v>
      </c>
      <c r="H1329" s="2" t="s">
        <v>97</v>
      </c>
      <c r="I1329" s="2" t="s">
        <v>48</v>
      </c>
      <c r="J1329" s="2" t="s">
        <v>49</v>
      </c>
      <c r="K1329" s="2" t="s">
        <v>48</v>
      </c>
      <c r="L1329">
        <v>288.5</v>
      </c>
      <c r="M1329">
        <v>1</v>
      </c>
      <c r="N1329">
        <v>13.42</v>
      </c>
      <c r="O1329">
        <v>6100231</v>
      </c>
      <c r="P1329" s="2" t="s">
        <v>50</v>
      </c>
      <c r="Q1329" s="2" t="s">
        <v>51</v>
      </c>
      <c r="R1329" s="2" t="s">
        <v>30</v>
      </c>
      <c r="S1329">
        <v>6</v>
      </c>
      <c r="T1329" s="1">
        <v>43502</v>
      </c>
      <c r="U1329" s="1">
        <v>43506</v>
      </c>
      <c r="V1329" s="2"/>
      <c r="W1329" s="1">
        <f>fNotasFiscais[[#This Row],[Data da Coleta]]+fNotasFiscais[[#This Row],[Prazo Contratado]]</f>
        <v>43508</v>
      </c>
      <c r="X1329" s="3">
        <f>IF(fNotasFiscais[[#This Row],[Data da Entrega]]&gt;fNotasFiscais[[#This Row],[Data Contratada]],0,1)</f>
        <v>1</v>
      </c>
      <c r="Y1329" s="3">
        <f>IF(fNotasFiscais[[#This Row],[Ocorrência]]="",1,0)</f>
        <v>1</v>
      </c>
      <c r="Z1329" s="2">
        <f>fNotasFiscais[[#This Row],[On Time]]*fNotasFiscais[[#This Row],[In Full]]</f>
        <v>1</v>
      </c>
      <c r="AA1329">
        <f>IF(fNotasFiscais[[#This Row],[Nota Fiscal]]&lt;&gt;"",1,0)</f>
        <v>1</v>
      </c>
    </row>
    <row r="1330" spans="1:27" x14ac:dyDescent="0.25">
      <c r="A1330" s="1">
        <v>43502</v>
      </c>
      <c r="B1330">
        <v>11739</v>
      </c>
      <c r="C1330" s="2" t="s">
        <v>52</v>
      </c>
      <c r="D1330" s="2" t="s">
        <v>53</v>
      </c>
      <c r="E1330" s="2" t="s">
        <v>33</v>
      </c>
      <c r="F1330">
        <v>4137</v>
      </c>
      <c r="G1330" s="2" t="s">
        <v>220</v>
      </c>
      <c r="H1330" s="2" t="s">
        <v>32</v>
      </c>
      <c r="I1330" s="2" t="s">
        <v>33</v>
      </c>
      <c r="J1330" s="2" t="s">
        <v>60</v>
      </c>
      <c r="K1330" s="2" t="s">
        <v>33</v>
      </c>
      <c r="L1330">
        <v>1307.8499999999999</v>
      </c>
      <c r="M1330">
        <v>5</v>
      </c>
      <c r="N1330">
        <v>67.099999999999994</v>
      </c>
      <c r="O1330">
        <v>6400835</v>
      </c>
      <c r="P1330" s="2" t="s">
        <v>130</v>
      </c>
      <c r="Q1330" s="2" t="s">
        <v>131</v>
      </c>
      <c r="R1330" s="2" t="s">
        <v>30</v>
      </c>
      <c r="S1330">
        <v>8</v>
      </c>
      <c r="T1330" s="1">
        <v>43503</v>
      </c>
      <c r="U1330" s="1">
        <v>43507</v>
      </c>
      <c r="V1330" s="2" t="s">
        <v>57</v>
      </c>
      <c r="W1330" s="1">
        <f>fNotasFiscais[[#This Row],[Data da Coleta]]+fNotasFiscais[[#This Row],[Prazo Contratado]]</f>
        <v>43511</v>
      </c>
      <c r="X1330" s="3">
        <f>IF(fNotasFiscais[[#This Row],[Data da Entrega]]&gt;fNotasFiscais[[#This Row],[Data Contratada]],0,1)</f>
        <v>1</v>
      </c>
      <c r="Y1330" s="3">
        <f>IF(fNotasFiscais[[#This Row],[Ocorrência]]="",1,0)</f>
        <v>0</v>
      </c>
      <c r="Z1330" s="2">
        <f>fNotasFiscais[[#This Row],[On Time]]*fNotasFiscais[[#This Row],[In Full]]</f>
        <v>0</v>
      </c>
      <c r="AA1330">
        <f>IF(fNotasFiscais[[#This Row],[Nota Fiscal]]&lt;&gt;"",1,0)</f>
        <v>1</v>
      </c>
    </row>
    <row r="1331" spans="1:27" x14ac:dyDescent="0.25">
      <c r="A1331" s="1">
        <v>43502</v>
      </c>
      <c r="B1331">
        <v>11740</v>
      </c>
      <c r="C1331" s="2" t="s">
        <v>31</v>
      </c>
      <c r="D1331" s="2" t="s">
        <v>32</v>
      </c>
      <c r="E1331" s="2" t="s">
        <v>33</v>
      </c>
      <c r="F1331">
        <v>4132</v>
      </c>
      <c r="G1331" s="2" t="s">
        <v>215</v>
      </c>
      <c r="H1331" s="2" t="s">
        <v>183</v>
      </c>
      <c r="I1331" s="2" t="s">
        <v>33</v>
      </c>
      <c r="J1331" s="2" t="s">
        <v>60</v>
      </c>
      <c r="K1331" s="2" t="s">
        <v>33</v>
      </c>
      <c r="L1331">
        <v>249.36</v>
      </c>
      <c r="M1331">
        <v>1</v>
      </c>
      <c r="N1331">
        <v>0.83299999999999996</v>
      </c>
      <c r="O1331">
        <v>6400835</v>
      </c>
      <c r="P1331" s="2" t="s">
        <v>130</v>
      </c>
      <c r="Q1331" s="2" t="s">
        <v>131</v>
      </c>
      <c r="R1331" s="2" t="s">
        <v>30</v>
      </c>
      <c r="S1331">
        <v>2</v>
      </c>
      <c r="T1331" s="1">
        <v>43503</v>
      </c>
      <c r="U1331" s="1">
        <v>43513</v>
      </c>
      <c r="V1331" s="2"/>
      <c r="W1331" s="1">
        <f>fNotasFiscais[[#This Row],[Data da Coleta]]+fNotasFiscais[[#This Row],[Prazo Contratado]]</f>
        <v>43505</v>
      </c>
      <c r="X1331" s="3">
        <f>IF(fNotasFiscais[[#This Row],[Data da Entrega]]&gt;fNotasFiscais[[#This Row],[Data Contratada]],0,1)</f>
        <v>0</v>
      </c>
      <c r="Y1331" s="3">
        <f>IF(fNotasFiscais[[#This Row],[Ocorrência]]="",1,0)</f>
        <v>1</v>
      </c>
      <c r="Z1331" s="2">
        <f>fNotasFiscais[[#This Row],[On Time]]*fNotasFiscais[[#This Row],[In Full]]</f>
        <v>0</v>
      </c>
      <c r="AA1331">
        <f>IF(fNotasFiscais[[#This Row],[Nota Fiscal]]&lt;&gt;"",1,0)</f>
        <v>1</v>
      </c>
    </row>
    <row r="1332" spans="1:27" x14ac:dyDescent="0.25">
      <c r="A1332" s="1">
        <v>43502</v>
      </c>
      <c r="B1332">
        <v>11741</v>
      </c>
      <c r="C1332" s="2" t="s">
        <v>22</v>
      </c>
      <c r="D1332" s="2" t="s">
        <v>23</v>
      </c>
      <c r="E1332" s="2" t="s">
        <v>24</v>
      </c>
      <c r="F1332">
        <v>4068</v>
      </c>
      <c r="G1332" s="2" t="s">
        <v>63</v>
      </c>
      <c r="H1332" s="2" t="s">
        <v>64</v>
      </c>
      <c r="I1332" s="2" t="s">
        <v>65</v>
      </c>
      <c r="J1332" s="2" t="s">
        <v>49</v>
      </c>
      <c r="K1332" s="2" t="s">
        <v>65</v>
      </c>
      <c r="L1332">
        <v>2468.6999999999998</v>
      </c>
      <c r="M1332">
        <v>1</v>
      </c>
      <c r="N1332">
        <v>4.99</v>
      </c>
      <c r="O1332">
        <v>6100231</v>
      </c>
      <c r="P1332" s="2" t="s">
        <v>50</v>
      </c>
      <c r="Q1332" s="2" t="s">
        <v>51</v>
      </c>
      <c r="R1332" s="2" t="s">
        <v>30</v>
      </c>
      <c r="S1332">
        <v>4</v>
      </c>
      <c r="T1332" s="1">
        <v>43503</v>
      </c>
      <c r="U1332" s="1">
        <v>43510</v>
      </c>
      <c r="V1332" s="2"/>
      <c r="W1332" s="1">
        <f>fNotasFiscais[[#This Row],[Data da Coleta]]+fNotasFiscais[[#This Row],[Prazo Contratado]]</f>
        <v>43507</v>
      </c>
      <c r="X1332" s="3">
        <f>IF(fNotasFiscais[[#This Row],[Data da Entrega]]&gt;fNotasFiscais[[#This Row],[Data Contratada]],0,1)</f>
        <v>0</v>
      </c>
      <c r="Y1332" s="3">
        <f>IF(fNotasFiscais[[#This Row],[Ocorrência]]="",1,0)</f>
        <v>1</v>
      </c>
      <c r="Z1332" s="2">
        <f>fNotasFiscais[[#This Row],[On Time]]*fNotasFiscais[[#This Row],[In Full]]</f>
        <v>0</v>
      </c>
      <c r="AA1332">
        <f>IF(fNotasFiscais[[#This Row],[Nota Fiscal]]&lt;&gt;"",1,0)</f>
        <v>1</v>
      </c>
    </row>
    <row r="1333" spans="1:27" x14ac:dyDescent="0.25">
      <c r="A1333" s="1">
        <v>43502</v>
      </c>
      <c r="B1333">
        <v>11742</v>
      </c>
      <c r="C1333" s="2" t="s">
        <v>22</v>
      </c>
      <c r="D1333" s="2" t="s">
        <v>23</v>
      </c>
      <c r="E1333" s="2" t="s">
        <v>24</v>
      </c>
      <c r="F1333">
        <v>4047</v>
      </c>
      <c r="G1333" s="2" t="s">
        <v>125</v>
      </c>
      <c r="H1333" s="2" t="s">
        <v>35</v>
      </c>
      <c r="I1333" s="2" t="s">
        <v>36</v>
      </c>
      <c r="J1333" s="2" t="s">
        <v>60</v>
      </c>
      <c r="K1333" s="2" t="s">
        <v>36</v>
      </c>
      <c r="L1333">
        <v>3487.46</v>
      </c>
      <c r="M1333">
        <v>10</v>
      </c>
      <c r="N1333">
        <v>134.19999999999999</v>
      </c>
      <c r="O1333">
        <v>6600879</v>
      </c>
      <c r="P1333" s="2" t="s">
        <v>61</v>
      </c>
      <c r="Q1333" s="2" t="s">
        <v>35</v>
      </c>
      <c r="R1333" s="2" t="s">
        <v>30</v>
      </c>
      <c r="S1333">
        <v>11</v>
      </c>
      <c r="T1333" s="1">
        <v>43503</v>
      </c>
      <c r="U1333" s="1">
        <v>43506</v>
      </c>
      <c r="V1333" s="2"/>
      <c r="W1333" s="1">
        <f>fNotasFiscais[[#This Row],[Data da Coleta]]+fNotasFiscais[[#This Row],[Prazo Contratado]]</f>
        <v>43514</v>
      </c>
      <c r="X1333" s="3">
        <f>IF(fNotasFiscais[[#This Row],[Data da Entrega]]&gt;fNotasFiscais[[#This Row],[Data Contratada]],0,1)</f>
        <v>1</v>
      </c>
      <c r="Y1333" s="3">
        <f>IF(fNotasFiscais[[#This Row],[Ocorrência]]="",1,0)</f>
        <v>1</v>
      </c>
      <c r="Z1333" s="2">
        <f>fNotasFiscais[[#This Row],[On Time]]*fNotasFiscais[[#This Row],[In Full]]</f>
        <v>1</v>
      </c>
      <c r="AA1333">
        <f>IF(fNotasFiscais[[#This Row],[Nota Fiscal]]&lt;&gt;"",1,0)</f>
        <v>1</v>
      </c>
    </row>
    <row r="1334" spans="1:27" x14ac:dyDescent="0.25">
      <c r="A1334" s="1">
        <v>43502</v>
      </c>
      <c r="B1334">
        <v>11743</v>
      </c>
      <c r="C1334" s="2" t="s">
        <v>43</v>
      </c>
      <c r="D1334" s="2" t="s">
        <v>44</v>
      </c>
      <c r="E1334" s="2" t="s">
        <v>45</v>
      </c>
      <c r="F1334">
        <v>4013</v>
      </c>
      <c r="G1334" s="2" t="s">
        <v>37</v>
      </c>
      <c r="H1334" s="2" t="s">
        <v>38</v>
      </c>
      <c r="I1334" s="2" t="s">
        <v>39</v>
      </c>
      <c r="J1334" s="2" t="s">
        <v>28</v>
      </c>
      <c r="K1334" s="2" t="s">
        <v>39</v>
      </c>
      <c r="L1334">
        <v>249.72</v>
      </c>
      <c r="M1334">
        <v>1</v>
      </c>
      <c r="N1334">
        <v>0.499</v>
      </c>
      <c r="O1334">
        <v>6500948</v>
      </c>
      <c r="P1334" s="2" t="s">
        <v>29</v>
      </c>
      <c r="Q1334" s="2" t="s">
        <v>23</v>
      </c>
      <c r="R1334" s="2" t="s">
        <v>30</v>
      </c>
      <c r="S1334">
        <v>10</v>
      </c>
      <c r="T1334" s="1">
        <v>43503</v>
      </c>
      <c r="U1334" s="1">
        <v>43512</v>
      </c>
      <c r="V1334" s="2"/>
      <c r="W1334" s="1">
        <f>fNotasFiscais[[#This Row],[Data da Coleta]]+fNotasFiscais[[#This Row],[Prazo Contratado]]</f>
        <v>43513</v>
      </c>
      <c r="X1334" s="3">
        <f>IF(fNotasFiscais[[#This Row],[Data da Entrega]]&gt;fNotasFiscais[[#This Row],[Data Contratada]],0,1)</f>
        <v>1</v>
      </c>
      <c r="Y1334" s="3">
        <f>IF(fNotasFiscais[[#This Row],[Ocorrência]]="",1,0)</f>
        <v>1</v>
      </c>
      <c r="Z1334" s="2">
        <f>fNotasFiscais[[#This Row],[On Time]]*fNotasFiscais[[#This Row],[In Full]]</f>
        <v>1</v>
      </c>
      <c r="AA1334">
        <f>IF(fNotasFiscais[[#This Row],[Nota Fiscal]]&lt;&gt;"",1,0)</f>
        <v>1</v>
      </c>
    </row>
    <row r="1335" spans="1:27" x14ac:dyDescent="0.25">
      <c r="A1335" s="1">
        <v>43502</v>
      </c>
      <c r="B1335">
        <v>11744</v>
      </c>
      <c r="C1335" s="2" t="s">
        <v>43</v>
      </c>
      <c r="D1335" s="2" t="s">
        <v>44</v>
      </c>
      <c r="E1335" s="2" t="s">
        <v>45</v>
      </c>
      <c r="F1335">
        <v>4055</v>
      </c>
      <c r="G1335" s="2" t="s">
        <v>120</v>
      </c>
      <c r="H1335" s="2" t="s">
        <v>47</v>
      </c>
      <c r="I1335" s="2" t="s">
        <v>48</v>
      </c>
      <c r="J1335" s="2" t="s">
        <v>49</v>
      </c>
      <c r="K1335" s="2" t="s">
        <v>48</v>
      </c>
      <c r="L1335">
        <v>130.54</v>
      </c>
      <c r="M1335">
        <v>1</v>
      </c>
      <c r="N1335">
        <v>0.60899999999999999</v>
      </c>
      <c r="O1335">
        <v>6100231</v>
      </c>
      <c r="P1335" s="2" t="s">
        <v>50</v>
      </c>
      <c r="Q1335" s="2" t="s">
        <v>51</v>
      </c>
      <c r="R1335" s="2" t="s">
        <v>30</v>
      </c>
      <c r="S1335">
        <v>10</v>
      </c>
      <c r="T1335" s="1">
        <v>43503</v>
      </c>
      <c r="U1335" s="1">
        <v>43506</v>
      </c>
      <c r="V1335" s="2"/>
      <c r="W1335" s="1">
        <f>fNotasFiscais[[#This Row],[Data da Coleta]]+fNotasFiscais[[#This Row],[Prazo Contratado]]</f>
        <v>43513</v>
      </c>
      <c r="X1335" s="3">
        <f>IF(fNotasFiscais[[#This Row],[Data da Entrega]]&gt;fNotasFiscais[[#This Row],[Data Contratada]],0,1)</f>
        <v>1</v>
      </c>
      <c r="Y1335" s="3">
        <f>IF(fNotasFiscais[[#This Row],[Ocorrência]]="",1,0)</f>
        <v>1</v>
      </c>
      <c r="Z1335" s="2">
        <f>fNotasFiscais[[#This Row],[On Time]]*fNotasFiscais[[#This Row],[In Full]]</f>
        <v>1</v>
      </c>
      <c r="AA1335">
        <f>IF(fNotasFiscais[[#This Row],[Nota Fiscal]]&lt;&gt;"",1,0)</f>
        <v>1</v>
      </c>
    </row>
    <row r="1336" spans="1:27" x14ac:dyDescent="0.25">
      <c r="A1336" s="1">
        <v>43502</v>
      </c>
      <c r="B1336">
        <v>11745</v>
      </c>
      <c r="C1336" s="2" t="s">
        <v>31</v>
      </c>
      <c r="D1336" s="2" t="s">
        <v>32</v>
      </c>
      <c r="E1336" s="2" t="s">
        <v>33</v>
      </c>
      <c r="F1336">
        <v>4027</v>
      </c>
      <c r="G1336" s="2" t="s">
        <v>93</v>
      </c>
      <c r="H1336" s="2" t="s">
        <v>91</v>
      </c>
      <c r="I1336" s="2" t="s">
        <v>24</v>
      </c>
      <c r="J1336" s="2" t="s">
        <v>28</v>
      </c>
      <c r="K1336" s="2" t="s">
        <v>24</v>
      </c>
      <c r="L1336">
        <v>2622.56</v>
      </c>
      <c r="M1336">
        <v>8</v>
      </c>
      <c r="N1336">
        <v>107.36</v>
      </c>
      <c r="O1336">
        <v>6500948</v>
      </c>
      <c r="P1336" s="2" t="s">
        <v>29</v>
      </c>
      <c r="Q1336" s="2" t="s">
        <v>23</v>
      </c>
      <c r="R1336" s="2" t="s">
        <v>30</v>
      </c>
      <c r="S1336">
        <v>9</v>
      </c>
      <c r="T1336" s="1">
        <v>43503</v>
      </c>
      <c r="U1336" s="1">
        <v>43504</v>
      </c>
      <c r="V1336" s="2"/>
      <c r="W1336" s="1">
        <f>fNotasFiscais[[#This Row],[Data da Coleta]]+fNotasFiscais[[#This Row],[Prazo Contratado]]</f>
        <v>43512</v>
      </c>
      <c r="X1336" s="3">
        <f>IF(fNotasFiscais[[#This Row],[Data da Entrega]]&gt;fNotasFiscais[[#This Row],[Data Contratada]],0,1)</f>
        <v>1</v>
      </c>
      <c r="Y1336" s="3">
        <f>IF(fNotasFiscais[[#This Row],[Ocorrência]]="",1,0)</f>
        <v>1</v>
      </c>
      <c r="Z1336" s="2">
        <f>fNotasFiscais[[#This Row],[On Time]]*fNotasFiscais[[#This Row],[In Full]]</f>
        <v>1</v>
      </c>
      <c r="AA1336">
        <f>IF(fNotasFiscais[[#This Row],[Nota Fiscal]]&lt;&gt;"",1,0)</f>
        <v>1</v>
      </c>
    </row>
    <row r="1337" spans="1:27" x14ac:dyDescent="0.25">
      <c r="A1337" s="1">
        <v>43502</v>
      </c>
      <c r="B1337">
        <v>11746</v>
      </c>
      <c r="C1337" s="2" t="s">
        <v>22</v>
      </c>
      <c r="D1337" s="2" t="s">
        <v>23</v>
      </c>
      <c r="E1337" s="2" t="s">
        <v>24</v>
      </c>
      <c r="F1337">
        <v>4062</v>
      </c>
      <c r="G1337" s="2" t="s">
        <v>96</v>
      </c>
      <c r="H1337" s="2" t="s">
        <v>97</v>
      </c>
      <c r="I1337" s="2" t="s">
        <v>48</v>
      </c>
      <c r="J1337" s="2" t="s">
        <v>49</v>
      </c>
      <c r="K1337" s="2" t="s">
        <v>48</v>
      </c>
      <c r="L1337">
        <v>723.17</v>
      </c>
      <c r="M1337">
        <v>2</v>
      </c>
      <c r="N1337">
        <v>26.84</v>
      </c>
      <c r="O1337">
        <v>6100231</v>
      </c>
      <c r="P1337" s="2" t="s">
        <v>50</v>
      </c>
      <c r="Q1337" s="2" t="s">
        <v>51</v>
      </c>
      <c r="R1337" s="2" t="s">
        <v>30</v>
      </c>
      <c r="S1337">
        <v>8</v>
      </c>
      <c r="T1337" s="1">
        <v>43503</v>
      </c>
      <c r="U1337" s="1">
        <v>43512</v>
      </c>
      <c r="V1337" s="2"/>
      <c r="W1337" s="1">
        <f>fNotasFiscais[[#This Row],[Data da Coleta]]+fNotasFiscais[[#This Row],[Prazo Contratado]]</f>
        <v>43511</v>
      </c>
      <c r="X1337" s="3">
        <f>IF(fNotasFiscais[[#This Row],[Data da Entrega]]&gt;fNotasFiscais[[#This Row],[Data Contratada]],0,1)</f>
        <v>0</v>
      </c>
      <c r="Y1337" s="3">
        <f>IF(fNotasFiscais[[#This Row],[Ocorrência]]="",1,0)</f>
        <v>1</v>
      </c>
      <c r="Z1337" s="2">
        <f>fNotasFiscais[[#This Row],[On Time]]*fNotasFiscais[[#This Row],[In Full]]</f>
        <v>0</v>
      </c>
      <c r="AA1337">
        <f>IF(fNotasFiscais[[#This Row],[Nota Fiscal]]&lt;&gt;"",1,0)</f>
        <v>1</v>
      </c>
    </row>
    <row r="1338" spans="1:27" x14ac:dyDescent="0.25">
      <c r="A1338" s="1">
        <v>43502</v>
      </c>
      <c r="B1338">
        <v>11747</v>
      </c>
      <c r="C1338" s="2" t="s">
        <v>31</v>
      </c>
      <c r="D1338" s="2" t="s">
        <v>32</v>
      </c>
      <c r="E1338" s="2" t="s">
        <v>33</v>
      </c>
      <c r="F1338">
        <v>4055</v>
      </c>
      <c r="G1338" s="2" t="s">
        <v>120</v>
      </c>
      <c r="H1338" s="2" t="s">
        <v>47</v>
      </c>
      <c r="I1338" s="2" t="s">
        <v>48</v>
      </c>
      <c r="J1338" s="2" t="s">
        <v>49</v>
      </c>
      <c r="K1338" s="2" t="s">
        <v>48</v>
      </c>
      <c r="L1338">
        <v>432.13</v>
      </c>
      <c r="M1338">
        <v>1</v>
      </c>
      <c r="N1338">
        <v>1.1000000000000001</v>
      </c>
      <c r="O1338">
        <v>6100231</v>
      </c>
      <c r="P1338" s="2" t="s">
        <v>50</v>
      </c>
      <c r="Q1338" s="2" t="s">
        <v>51</v>
      </c>
      <c r="R1338" s="2" t="s">
        <v>30</v>
      </c>
      <c r="S1338">
        <v>3</v>
      </c>
      <c r="T1338" s="1">
        <v>43503</v>
      </c>
      <c r="U1338" s="1">
        <v>43504</v>
      </c>
      <c r="V1338" s="2"/>
      <c r="W1338" s="1">
        <f>fNotasFiscais[[#This Row],[Data da Coleta]]+fNotasFiscais[[#This Row],[Prazo Contratado]]</f>
        <v>43506</v>
      </c>
      <c r="X1338" s="3">
        <f>IF(fNotasFiscais[[#This Row],[Data da Entrega]]&gt;fNotasFiscais[[#This Row],[Data Contratada]],0,1)</f>
        <v>1</v>
      </c>
      <c r="Y1338" s="3">
        <f>IF(fNotasFiscais[[#This Row],[Ocorrência]]="",1,0)</f>
        <v>1</v>
      </c>
      <c r="Z1338" s="2">
        <f>fNotasFiscais[[#This Row],[On Time]]*fNotasFiscais[[#This Row],[In Full]]</f>
        <v>1</v>
      </c>
      <c r="AA1338">
        <f>IF(fNotasFiscais[[#This Row],[Nota Fiscal]]&lt;&gt;"",1,0)</f>
        <v>1</v>
      </c>
    </row>
    <row r="1339" spans="1:27" x14ac:dyDescent="0.25">
      <c r="A1339" s="1">
        <v>43502</v>
      </c>
      <c r="B1339">
        <v>11748</v>
      </c>
      <c r="C1339" s="2" t="s">
        <v>40</v>
      </c>
      <c r="D1339" s="2" t="s">
        <v>41</v>
      </c>
      <c r="E1339" s="2" t="s">
        <v>33</v>
      </c>
      <c r="F1339">
        <v>4027</v>
      </c>
      <c r="G1339" s="2" t="s">
        <v>93</v>
      </c>
      <c r="H1339" s="2" t="s">
        <v>91</v>
      </c>
      <c r="I1339" s="2" t="s">
        <v>24</v>
      </c>
      <c r="J1339" s="2" t="s">
        <v>28</v>
      </c>
      <c r="K1339" s="2" t="s">
        <v>24</v>
      </c>
      <c r="L1339">
        <v>299.67</v>
      </c>
      <c r="M1339">
        <v>1</v>
      </c>
      <c r="N1339">
        <v>13.2</v>
      </c>
      <c r="O1339">
        <v>6500948</v>
      </c>
      <c r="P1339" s="2" t="s">
        <v>29</v>
      </c>
      <c r="Q1339" s="2" t="s">
        <v>23</v>
      </c>
      <c r="R1339" s="2" t="s">
        <v>30</v>
      </c>
      <c r="S1339">
        <v>4</v>
      </c>
      <c r="T1339" s="1">
        <v>43503</v>
      </c>
      <c r="U1339" s="1">
        <v>43512</v>
      </c>
      <c r="V1339" s="2"/>
      <c r="W1339" s="1">
        <f>fNotasFiscais[[#This Row],[Data da Coleta]]+fNotasFiscais[[#This Row],[Prazo Contratado]]</f>
        <v>43507</v>
      </c>
      <c r="X1339" s="3">
        <f>IF(fNotasFiscais[[#This Row],[Data da Entrega]]&gt;fNotasFiscais[[#This Row],[Data Contratada]],0,1)</f>
        <v>0</v>
      </c>
      <c r="Y1339" s="3">
        <f>IF(fNotasFiscais[[#This Row],[Ocorrência]]="",1,0)</f>
        <v>1</v>
      </c>
      <c r="Z1339" s="2">
        <f>fNotasFiscais[[#This Row],[On Time]]*fNotasFiscais[[#This Row],[In Full]]</f>
        <v>0</v>
      </c>
      <c r="AA1339">
        <f>IF(fNotasFiscais[[#This Row],[Nota Fiscal]]&lt;&gt;"",1,0)</f>
        <v>1</v>
      </c>
    </row>
    <row r="1340" spans="1:27" x14ac:dyDescent="0.25">
      <c r="A1340" s="1">
        <v>43502</v>
      </c>
      <c r="B1340">
        <v>11749</v>
      </c>
      <c r="C1340" s="2" t="s">
        <v>54</v>
      </c>
      <c r="D1340" s="2" t="s">
        <v>55</v>
      </c>
      <c r="E1340" s="2" t="s">
        <v>56</v>
      </c>
      <c r="F1340">
        <v>4062</v>
      </c>
      <c r="G1340" s="2" t="s">
        <v>96</v>
      </c>
      <c r="H1340" s="2" t="s">
        <v>97</v>
      </c>
      <c r="I1340" s="2" t="s">
        <v>48</v>
      </c>
      <c r="J1340" s="2" t="s">
        <v>49</v>
      </c>
      <c r="K1340" s="2" t="s">
        <v>48</v>
      </c>
      <c r="L1340">
        <v>122.8</v>
      </c>
      <c r="M1340">
        <v>1</v>
      </c>
      <c r="N1340">
        <v>1.43</v>
      </c>
      <c r="O1340">
        <v>6100231</v>
      </c>
      <c r="P1340" s="2" t="s">
        <v>50</v>
      </c>
      <c r="Q1340" s="2" t="s">
        <v>51</v>
      </c>
      <c r="R1340" s="2" t="s">
        <v>30</v>
      </c>
      <c r="S1340">
        <v>2</v>
      </c>
      <c r="T1340" s="1">
        <v>43503</v>
      </c>
      <c r="U1340" s="1">
        <v>43506</v>
      </c>
      <c r="V1340" s="2"/>
      <c r="W1340" s="1">
        <f>fNotasFiscais[[#This Row],[Data da Coleta]]+fNotasFiscais[[#This Row],[Prazo Contratado]]</f>
        <v>43505</v>
      </c>
      <c r="X1340" s="3">
        <f>IF(fNotasFiscais[[#This Row],[Data da Entrega]]&gt;fNotasFiscais[[#This Row],[Data Contratada]],0,1)</f>
        <v>0</v>
      </c>
      <c r="Y1340" s="3">
        <f>IF(fNotasFiscais[[#This Row],[Ocorrência]]="",1,0)</f>
        <v>1</v>
      </c>
      <c r="Z1340" s="2">
        <f>fNotasFiscais[[#This Row],[On Time]]*fNotasFiscais[[#This Row],[In Full]]</f>
        <v>0</v>
      </c>
      <c r="AA1340">
        <f>IF(fNotasFiscais[[#This Row],[Nota Fiscal]]&lt;&gt;"",1,0)</f>
        <v>1</v>
      </c>
    </row>
    <row r="1341" spans="1:27" x14ac:dyDescent="0.25">
      <c r="A1341" s="1">
        <v>43502</v>
      </c>
      <c r="B1341">
        <v>11750</v>
      </c>
      <c r="C1341" s="2" t="s">
        <v>22</v>
      </c>
      <c r="D1341" s="2" t="s">
        <v>23</v>
      </c>
      <c r="E1341" s="2" t="s">
        <v>24</v>
      </c>
      <c r="F1341">
        <v>4030</v>
      </c>
      <c r="G1341" s="2" t="s">
        <v>102</v>
      </c>
      <c r="H1341" s="2" t="s">
        <v>35</v>
      </c>
      <c r="I1341" s="2" t="s">
        <v>36</v>
      </c>
      <c r="J1341" s="2" t="s">
        <v>60</v>
      </c>
      <c r="K1341" s="2" t="s">
        <v>36</v>
      </c>
      <c r="L1341">
        <v>2221.73</v>
      </c>
      <c r="M1341">
        <v>4</v>
      </c>
      <c r="N1341">
        <v>13.686</v>
      </c>
      <c r="O1341">
        <v>6600879</v>
      </c>
      <c r="P1341" s="2" t="s">
        <v>61</v>
      </c>
      <c r="Q1341" s="2" t="s">
        <v>35</v>
      </c>
      <c r="R1341" s="2" t="s">
        <v>30</v>
      </c>
      <c r="S1341">
        <v>7</v>
      </c>
      <c r="T1341" s="1">
        <v>43503</v>
      </c>
      <c r="U1341" s="1">
        <v>43509</v>
      </c>
      <c r="V1341" s="2"/>
      <c r="W1341" s="1">
        <f>fNotasFiscais[[#This Row],[Data da Coleta]]+fNotasFiscais[[#This Row],[Prazo Contratado]]</f>
        <v>43510</v>
      </c>
      <c r="X1341" s="3">
        <f>IF(fNotasFiscais[[#This Row],[Data da Entrega]]&gt;fNotasFiscais[[#This Row],[Data Contratada]],0,1)</f>
        <v>1</v>
      </c>
      <c r="Y1341" s="3">
        <f>IF(fNotasFiscais[[#This Row],[Ocorrência]]="",1,0)</f>
        <v>1</v>
      </c>
      <c r="Z1341" s="2">
        <f>fNotasFiscais[[#This Row],[On Time]]*fNotasFiscais[[#This Row],[In Full]]</f>
        <v>1</v>
      </c>
      <c r="AA1341">
        <f>IF(fNotasFiscais[[#This Row],[Nota Fiscal]]&lt;&gt;"",1,0)</f>
        <v>1</v>
      </c>
    </row>
    <row r="1342" spans="1:27" x14ac:dyDescent="0.25">
      <c r="A1342" s="1">
        <v>43502</v>
      </c>
      <c r="B1342">
        <v>11751</v>
      </c>
      <c r="C1342" s="2" t="s">
        <v>52</v>
      </c>
      <c r="D1342" s="2" t="s">
        <v>53</v>
      </c>
      <c r="E1342" s="2" t="s">
        <v>33</v>
      </c>
      <c r="F1342">
        <v>4030</v>
      </c>
      <c r="G1342" s="2" t="s">
        <v>102</v>
      </c>
      <c r="H1342" s="2" t="s">
        <v>35</v>
      </c>
      <c r="I1342" s="2" t="s">
        <v>36</v>
      </c>
      <c r="J1342" s="2" t="s">
        <v>60</v>
      </c>
      <c r="K1342" s="2" t="s">
        <v>36</v>
      </c>
      <c r="L1342">
        <v>23.36</v>
      </c>
      <c r="M1342">
        <v>1</v>
      </c>
      <c r="N1342">
        <v>6.0999999999999999E-2</v>
      </c>
      <c r="O1342">
        <v>6600879</v>
      </c>
      <c r="P1342" s="2" t="s">
        <v>61</v>
      </c>
      <c r="Q1342" s="2" t="s">
        <v>35</v>
      </c>
      <c r="R1342" s="2" t="s">
        <v>30</v>
      </c>
      <c r="S1342">
        <v>1</v>
      </c>
      <c r="T1342" s="1">
        <v>43503</v>
      </c>
      <c r="U1342" s="1">
        <v>43504</v>
      </c>
      <c r="V1342" s="2"/>
      <c r="W1342" s="1">
        <f>fNotasFiscais[[#This Row],[Data da Coleta]]+fNotasFiscais[[#This Row],[Prazo Contratado]]</f>
        <v>43504</v>
      </c>
      <c r="X1342" s="3">
        <f>IF(fNotasFiscais[[#This Row],[Data da Entrega]]&gt;fNotasFiscais[[#This Row],[Data Contratada]],0,1)</f>
        <v>1</v>
      </c>
      <c r="Y1342" s="3">
        <f>IF(fNotasFiscais[[#This Row],[Ocorrência]]="",1,0)</f>
        <v>1</v>
      </c>
      <c r="Z1342" s="2">
        <f>fNotasFiscais[[#This Row],[On Time]]*fNotasFiscais[[#This Row],[In Full]]</f>
        <v>1</v>
      </c>
      <c r="AA1342">
        <f>IF(fNotasFiscais[[#This Row],[Nota Fiscal]]&lt;&gt;"",1,0)</f>
        <v>1</v>
      </c>
    </row>
    <row r="1343" spans="1:27" x14ac:dyDescent="0.25">
      <c r="A1343" s="1">
        <v>43503</v>
      </c>
      <c r="B1343">
        <v>11752</v>
      </c>
      <c r="C1343" s="2" t="s">
        <v>40</v>
      </c>
      <c r="D1343" s="2" t="s">
        <v>41</v>
      </c>
      <c r="E1343" s="2" t="s">
        <v>33</v>
      </c>
      <c r="F1343">
        <v>4068</v>
      </c>
      <c r="G1343" s="2" t="s">
        <v>63</v>
      </c>
      <c r="H1343" s="2" t="s">
        <v>64</v>
      </c>
      <c r="I1343" s="2" t="s">
        <v>65</v>
      </c>
      <c r="J1343" s="2" t="s">
        <v>49</v>
      </c>
      <c r="K1343" s="2" t="s">
        <v>65</v>
      </c>
      <c r="L1343">
        <v>638.16999999999996</v>
      </c>
      <c r="M1343">
        <v>2</v>
      </c>
      <c r="N1343">
        <v>1.3640000000000001</v>
      </c>
      <c r="O1343">
        <v>6100231</v>
      </c>
      <c r="P1343" s="2" t="s">
        <v>50</v>
      </c>
      <c r="Q1343" s="2" t="s">
        <v>51</v>
      </c>
      <c r="R1343" s="2" t="s">
        <v>30</v>
      </c>
      <c r="S1343">
        <v>11</v>
      </c>
      <c r="T1343" s="1">
        <v>43504</v>
      </c>
      <c r="U1343" s="1">
        <v>43506</v>
      </c>
      <c r="V1343" s="2"/>
      <c r="W1343" s="1">
        <f>fNotasFiscais[[#This Row],[Data da Coleta]]+fNotasFiscais[[#This Row],[Prazo Contratado]]</f>
        <v>43515</v>
      </c>
      <c r="X1343" s="3">
        <f>IF(fNotasFiscais[[#This Row],[Data da Entrega]]&gt;fNotasFiscais[[#This Row],[Data Contratada]],0,1)</f>
        <v>1</v>
      </c>
      <c r="Y1343" s="3">
        <f>IF(fNotasFiscais[[#This Row],[Ocorrência]]="",1,0)</f>
        <v>1</v>
      </c>
      <c r="Z1343" s="2">
        <f>fNotasFiscais[[#This Row],[On Time]]*fNotasFiscais[[#This Row],[In Full]]</f>
        <v>1</v>
      </c>
      <c r="AA1343">
        <f>IF(fNotasFiscais[[#This Row],[Nota Fiscal]]&lt;&gt;"",1,0)</f>
        <v>1</v>
      </c>
    </row>
    <row r="1344" spans="1:27" x14ac:dyDescent="0.25">
      <c r="A1344" s="1">
        <v>43503</v>
      </c>
      <c r="B1344">
        <v>11753</v>
      </c>
      <c r="C1344" s="2" t="s">
        <v>54</v>
      </c>
      <c r="D1344" s="2" t="s">
        <v>55</v>
      </c>
      <c r="E1344" s="2" t="s">
        <v>56</v>
      </c>
      <c r="F1344">
        <v>4068</v>
      </c>
      <c r="G1344" s="2" t="s">
        <v>63</v>
      </c>
      <c r="H1344" s="2" t="s">
        <v>64</v>
      </c>
      <c r="I1344" s="2" t="s">
        <v>65</v>
      </c>
      <c r="J1344" s="2" t="s">
        <v>49</v>
      </c>
      <c r="K1344" s="2" t="s">
        <v>65</v>
      </c>
      <c r="L1344">
        <v>499.07</v>
      </c>
      <c r="M1344">
        <v>1</v>
      </c>
      <c r="N1344">
        <v>4.6760000000000002</v>
      </c>
      <c r="O1344">
        <v>6100231</v>
      </c>
      <c r="P1344" s="2" t="s">
        <v>50</v>
      </c>
      <c r="Q1344" s="2" t="s">
        <v>51</v>
      </c>
      <c r="R1344" s="2" t="s">
        <v>30</v>
      </c>
      <c r="S1344">
        <v>4</v>
      </c>
      <c r="T1344" s="1">
        <v>43504</v>
      </c>
      <c r="U1344" s="1">
        <v>43508</v>
      </c>
      <c r="V1344" s="2"/>
      <c r="W1344" s="1">
        <f>fNotasFiscais[[#This Row],[Data da Coleta]]+fNotasFiscais[[#This Row],[Prazo Contratado]]</f>
        <v>43508</v>
      </c>
      <c r="X1344" s="3">
        <f>IF(fNotasFiscais[[#This Row],[Data da Entrega]]&gt;fNotasFiscais[[#This Row],[Data Contratada]],0,1)</f>
        <v>1</v>
      </c>
      <c r="Y1344" s="3">
        <f>IF(fNotasFiscais[[#This Row],[Ocorrência]]="",1,0)</f>
        <v>1</v>
      </c>
      <c r="Z1344" s="2">
        <f>fNotasFiscais[[#This Row],[On Time]]*fNotasFiscais[[#This Row],[In Full]]</f>
        <v>1</v>
      </c>
      <c r="AA1344">
        <f>IF(fNotasFiscais[[#This Row],[Nota Fiscal]]&lt;&gt;"",1,0)</f>
        <v>1</v>
      </c>
    </row>
    <row r="1345" spans="1:27" x14ac:dyDescent="0.25">
      <c r="A1345" s="1">
        <v>43503</v>
      </c>
      <c r="B1345">
        <v>11754</v>
      </c>
      <c r="C1345" s="2" t="s">
        <v>40</v>
      </c>
      <c r="D1345" s="2" t="s">
        <v>41</v>
      </c>
      <c r="E1345" s="2" t="s">
        <v>33</v>
      </c>
      <c r="F1345">
        <v>4068</v>
      </c>
      <c r="G1345" s="2" t="s">
        <v>63</v>
      </c>
      <c r="H1345" s="2" t="s">
        <v>64</v>
      </c>
      <c r="I1345" s="2" t="s">
        <v>65</v>
      </c>
      <c r="J1345" s="2" t="s">
        <v>49</v>
      </c>
      <c r="K1345" s="2" t="s">
        <v>65</v>
      </c>
      <c r="L1345">
        <v>307.57</v>
      </c>
      <c r="M1345">
        <v>1</v>
      </c>
      <c r="N1345">
        <v>1.1100000000000001</v>
      </c>
      <c r="O1345">
        <v>6100231</v>
      </c>
      <c r="P1345" s="2" t="s">
        <v>50</v>
      </c>
      <c r="Q1345" s="2" t="s">
        <v>51</v>
      </c>
      <c r="R1345" s="2" t="s">
        <v>30</v>
      </c>
      <c r="S1345">
        <v>4</v>
      </c>
      <c r="T1345" s="1">
        <v>43504</v>
      </c>
      <c r="U1345" s="1">
        <v>43512</v>
      </c>
      <c r="V1345" s="2"/>
      <c r="W1345" s="1">
        <f>fNotasFiscais[[#This Row],[Data da Coleta]]+fNotasFiscais[[#This Row],[Prazo Contratado]]</f>
        <v>43508</v>
      </c>
      <c r="X1345" s="3">
        <f>IF(fNotasFiscais[[#This Row],[Data da Entrega]]&gt;fNotasFiscais[[#This Row],[Data Contratada]],0,1)</f>
        <v>0</v>
      </c>
      <c r="Y1345" s="3">
        <f>IF(fNotasFiscais[[#This Row],[Ocorrência]]="",1,0)</f>
        <v>1</v>
      </c>
      <c r="Z1345" s="2">
        <f>fNotasFiscais[[#This Row],[On Time]]*fNotasFiscais[[#This Row],[In Full]]</f>
        <v>0</v>
      </c>
      <c r="AA1345">
        <f>IF(fNotasFiscais[[#This Row],[Nota Fiscal]]&lt;&gt;"",1,0)</f>
        <v>1</v>
      </c>
    </row>
    <row r="1346" spans="1:27" x14ac:dyDescent="0.25">
      <c r="A1346" s="1">
        <v>43503</v>
      </c>
      <c r="B1346">
        <v>11755</v>
      </c>
      <c r="C1346" s="2" t="s">
        <v>22</v>
      </c>
      <c r="D1346" s="2" t="s">
        <v>23</v>
      </c>
      <c r="E1346" s="2" t="s">
        <v>24</v>
      </c>
      <c r="F1346">
        <v>4028</v>
      </c>
      <c r="G1346" s="2" t="s">
        <v>95</v>
      </c>
      <c r="H1346" s="2" t="s">
        <v>26</v>
      </c>
      <c r="I1346" s="2" t="s">
        <v>27</v>
      </c>
      <c r="J1346" s="2" t="s">
        <v>28</v>
      </c>
      <c r="K1346" s="2" t="s">
        <v>27</v>
      </c>
      <c r="L1346">
        <v>344.1</v>
      </c>
      <c r="M1346">
        <v>1</v>
      </c>
      <c r="N1346">
        <v>1.1200000000000001</v>
      </c>
      <c r="O1346">
        <v>6500948</v>
      </c>
      <c r="P1346" s="2" t="s">
        <v>29</v>
      </c>
      <c r="Q1346" s="2" t="s">
        <v>23</v>
      </c>
      <c r="R1346" s="2" t="s">
        <v>30</v>
      </c>
      <c r="S1346">
        <v>8</v>
      </c>
      <c r="T1346" s="1">
        <v>43504</v>
      </c>
      <c r="U1346" s="1">
        <v>43510</v>
      </c>
      <c r="V1346" s="2"/>
      <c r="W1346" s="1">
        <f>fNotasFiscais[[#This Row],[Data da Coleta]]+fNotasFiscais[[#This Row],[Prazo Contratado]]</f>
        <v>43512</v>
      </c>
      <c r="X1346" s="3">
        <f>IF(fNotasFiscais[[#This Row],[Data da Entrega]]&gt;fNotasFiscais[[#This Row],[Data Contratada]],0,1)</f>
        <v>1</v>
      </c>
      <c r="Y1346" s="3">
        <f>IF(fNotasFiscais[[#This Row],[Ocorrência]]="",1,0)</f>
        <v>1</v>
      </c>
      <c r="Z1346" s="2">
        <f>fNotasFiscais[[#This Row],[On Time]]*fNotasFiscais[[#This Row],[In Full]]</f>
        <v>1</v>
      </c>
      <c r="AA1346">
        <f>IF(fNotasFiscais[[#This Row],[Nota Fiscal]]&lt;&gt;"",1,0)</f>
        <v>1</v>
      </c>
    </row>
    <row r="1347" spans="1:27" x14ac:dyDescent="0.25">
      <c r="A1347" s="1">
        <v>43503</v>
      </c>
      <c r="B1347">
        <v>11756</v>
      </c>
      <c r="C1347" s="2" t="s">
        <v>54</v>
      </c>
      <c r="D1347" s="2" t="s">
        <v>55</v>
      </c>
      <c r="E1347" s="2" t="s">
        <v>56</v>
      </c>
      <c r="F1347">
        <v>4022</v>
      </c>
      <c r="G1347" s="2" t="s">
        <v>86</v>
      </c>
      <c r="H1347" s="2" t="s">
        <v>87</v>
      </c>
      <c r="I1347" s="2" t="s">
        <v>27</v>
      </c>
      <c r="J1347" s="2" t="s">
        <v>28</v>
      </c>
      <c r="K1347" s="2" t="s">
        <v>27</v>
      </c>
      <c r="L1347">
        <v>181.95</v>
      </c>
      <c r="M1347">
        <v>1</v>
      </c>
      <c r="N1347">
        <v>1.1200000000000001</v>
      </c>
      <c r="O1347">
        <v>6500948</v>
      </c>
      <c r="P1347" s="2" t="s">
        <v>29</v>
      </c>
      <c r="Q1347" s="2" t="s">
        <v>23</v>
      </c>
      <c r="R1347" s="2" t="s">
        <v>62</v>
      </c>
      <c r="S1347">
        <v>2</v>
      </c>
      <c r="T1347" s="1">
        <v>43504</v>
      </c>
      <c r="U1347" s="1">
        <v>43507</v>
      </c>
      <c r="V1347" s="2"/>
      <c r="W1347" s="1">
        <f>fNotasFiscais[[#This Row],[Data da Coleta]]+fNotasFiscais[[#This Row],[Prazo Contratado]]</f>
        <v>43506</v>
      </c>
      <c r="X1347" s="3">
        <f>IF(fNotasFiscais[[#This Row],[Data da Entrega]]&gt;fNotasFiscais[[#This Row],[Data Contratada]],0,1)</f>
        <v>0</v>
      </c>
      <c r="Y1347" s="3">
        <f>IF(fNotasFiscais[[#This Row],[Ocorrência]]="",1,0)</f>
        <v>1</v>
      </c>
      <c r="Z1347" s="2">
        <f>fNotasFiscais[[#This Row],[On Time]]*fNotasFiscais[[#This Row],[In Full]]</f>
        <v>0</v>
      </c>
      <c r="AA1347">
        <f>IF(fNotasFiscais[[#This Row],[Nota Fiscal]]&lt;&gt;"",1,0)</f>
        <v>1</v>
      </c>
    </row>
    <row r="1348" spans="1:27" x14ac:dyDescent="0.25">
      <c r="A1348" s="1">
        <v>43503</v>
      </c>
      <c r="B1348">
        <v>11757</v>
      </c>
      <c r="C1348" s="2" t="s">
        <v>54</v>
      </c>
      <c r="D1348" s="2" t="s">
        <v>55</v>
      </c>
      <c r="E1348" s="2" t="s">
        <v>56</v>
      </c>
      <c r="F1348">
        <v>4028</v>
      </c>
      <c r="G1348" s="2" t="s">
        <v>95</v>
      </c>
      <c r="H1348" s="2" t="s">
        <v>26</v>
      </c>
      <c r="I1348" s="2" t="s">
        <v>27</v>
      </c>
      <c r="J1348" s="2" t="s">
        <v>28</v>
      </c>
      <c r="K1348" s="2" t="s">
        <v>27</v>
      </c>
      <c r="L1348">
        <v>974.91</v>
      </c>
      <c r="M1348">
        <v>3</v>
      </c>
      <c r="N1348">
        <v>2.0459999999999998</v>
      </c>
      <c r="O1348">
        <v>6500948</v>
      </c>
      <c r="P1348" s="2" t="s">
        <v>29</v>
      </c>
      <c r="Q1348" s="2" t="s">
        <v>23</v>
      </c>
      <c r="R1348" s="2" t="s">
        <v>30</v>
      </c>
      <c r="S1348">
        <v>5</v>
      </c>
      <c r="T1348" s="1">
        <v>43504</v>
      </c>
      <c r="U1348" s="1">
        <v>43511</v>
      </c>
      <c r="V1348" s="2"/>
      <c r="W1348" s="1">
        <f>fNotasFiscais[[#This Row],[Data da Coleta]]+fNotasFiscais[[#This Row],[Prazo Contratado]]</f>
        <v>43509</v>
      </c>
      <c r="X1348" s="3">
        <f>IF(fNotasFiscais[[#This Row],[Data da Entrega]]&gt;fNotasFiscais[[#This Row],[Data Contratada]],0,1)</f>
        <v>0</v>
      </c>
      <c r="Y1348" s="3">
        <f>IF(fNotasFiscais[[#This Row],[Ocorrência]]="",1,0)</f>
        <v>1</v>
      </c>
      <c r="Z1348" s="2">
        <f>fNotasFiscais[[#This Row],[On Time]]*fNotasFiscais[[#This Row],[In Full]]</f>
        <v>0</v>
      </c>
      <c r="AA1348">
        <f>IF(fNotasFiscais[[#This Row],[Nota Fiscal]]&lt;&gt;"",1,0)</f>
        <v>1</v>
      </c>
    </row>
    <row r="1349" spans="1:27" x14ac:dyDescent="0.25">
      <c r="A1349" s="1">
        <v>43504</v>
      </c>
      <c r="B1349">
        <v>11758</v>
      </c>
      <c r="C1349" s="2" t="s">
        <v>54</v>
      </c>
      <c r="D1349" s="2" t="s">
        <v>55</v>
      </c>
      <c r="E1349" s="2" t="s">
        <v>56</v>
      </c>
      <c r="F1349">
        <v>4128</v>
      </c>
      <c r="G1349" s="2" t="s">
        <v>211</v>
      </c>
      <c r="H1349" s="2" t="s">
        <v>167</v>
      </c>
      <c r="I1349" s="2" t="s">
        <v>168</v>
      </c>
      <c r="J1349" s="2" t="s">
        <v>169</v>
      </c>
      <c r="K1349" s="2" t="s">
        <v>168</v>
      </c>
      <c r="L1349">
        <v>249.48</v>
      </c>
      <c r="M1349">
        <v>1</v>
      </c>
      <c r="N1349">
        <v>3.96</v>
      </c>
      <c r="O1349">
        <v>6900304</v>
      </c>
      <c r="P1349" s="2" t="s">
        <v>170</v>
      </c>
      <c r="Q1349" s="2" t="s">
        <v>171</v>
      </c>
      <c r="R1349" s="2" t="s">
        <v>30</v>
      </c>
      <c r="S1349">
        <v>4</v>
      </c>
      <c r="T1349" s="1">
        <v>43505</v>
      </c>
      <c r="U1349" s="1">
        <v>43513</v>
      </c>
      <c r="V1349" s="2"/>
      <c r="W1349" s="1">
        <f>fNotasFiscais[[#This Row],[Data da Coleta]]+fNotasFiscais[[#This Row],[Prazo Contratado]]</f>
        <v>43509</v>
      </c>
      <c r="X1349" s="3">
        <f>IF(fNotasFiscais[[#This Row],[Data da Entrega]]&gt;fNotasFiscais[[#This Row],[Data Contratada]],0,1)</f>
        <v>0</v>
      </c>
      <c r="Y1349" s="3">
        <f>IF(fNotasFiscais[[#This Row],[Ocorrência]]="",1,0)</f>
        <v>1</v>
      </c>
      <c r="Z1349" s="2">
        <f>fNotasFiscais[[#This Row],[On Time]]*fNotasFiscais[[#This Row],[In Full]]</f>
        <v>0</v>
      </c>
      <c r="AA1349">
        <f>IF(fNotasFiscais[[#This Row],[Nota Fiscal]]&lt;&gt;"",1,0)</f>
        <v>1</v>
      </c>
    </row>
    <row r="1350" spans="1:27" x14ac:dyDescent="0.25">
      <c r="A1350" s="1">
        <v>43509</v>
      </c>
      <c r="B1350">
        <v>11759</v>
      </c>
      <c r="C1350" s="2" t="s">
        <v>54</v>
      </c>
      <c r="D1350" s="2" t="s">
        <v>55</v>
      </c>
      <c r="E1350" s="2" t="s">
        <v>56</v>
      </c>
      <c r="F1350">
        <v>4130</v>
      </c>
      <c r="G1350" s="2" t="s">
        <v>213</v>
      </c>
      <c r="H1350" s="2" t="s">
        <v>165</v>
      </c>
      <c r="I1350" s="2" t="s">
        <v>24</v>
      </c>
      <c r="J1350" s="2" t="s">
        <v>28</v>
      </c>
      <c r="K1350" s="2" t="s">
        <v>24</v>
      </c>
      <c r="L1350">
        <v>9265.48</v>
      </c>
      <c r="M1350">
        <v>9</v>
      </c>
      <c r="N1350">
        <v>53.286000000000001</v>
      </c>
      <c r="O1350">
        <v>6500948</v>
      </c>
      <c r="P1350" s="2" t="s">
        <v>29</v>
      </c>
      <c r="Q1350" s="2" t="s">
        <v>23</v>
      </c>
      <c r="R1350" s="2" t="s">
        <v>30</v>
      </c>
      <c r="S1350">
        <v>4</v>
      </c>
      <c r="T1350" s="1">
        <v>43510</v>
      </c>
      <c r="U1350" s="1">
        <v>43514</v>
      </c>
      <c r="V1350" s="2"/>
      <c r="W1350" s="1">
        <f>fNotasFiscais[[#This Row],[Data da Coleta]]+fNotasFiscais[[#This Row],[Prazo Contratado]]</f>
        <v>43514</v>
      </c>
      <c r="X1350" s="3">
        <f>IF(fNotasFiscais[[#This Row],[Data da Entrega]]&gt;fNotasFiscais[[#This Row],[Data Contratada]],0,1)</f>
        <v>1</v>
      </c>
      <c r="Y1350" s="3">
        <f>IF(fNotasFiscais[[#This Row],[Ocorrência]]="",1,0)</f>
        <v>1</v>
      </c>
      <c r="Z1350" s="2">
        <f>fNotasFiscais[[#This Row],[On Time]]*fNotasFiscais[[#This Row],[In Full]]</f>
        <v>1</v>
      </c>
      <c r="AA1350">
        <f>IF(fNotasFiscais[[#This Row],[Nota Fiscal]]&lt;&gt;"",1,0)</f>
        <v>1</v>
      </c>
    </row>
    <row r="1351" spans="1:27" x14ac:dyDescent="0.25">
      <c r="A1351" s="1">
        <v>43510</v>
      </c>
      <c r="B1351">
        <v>11760</v>
      </c>
      <c r="C1351" s="2" t="s">
        <v>40</v>
      </c>
      <c r="D1351" s="2" t="s">
        <v>41</v>
      </c>
      <c r="E1351" s="2" t="s">
        <v>33</v>
      </c>
      <c r="F1351">
        <v>4068</v>
      </c>
      <c r="G1351" s="2" t="s">
        <v>63</v>
      </c>
      <c r="H1351" s="2" t="s">
        <v>64</v>
      </c>
      <c r="I1351" s="2" t="s">
        <v>65</v>
      </c>
      <c r="J1351" s="2" t="s">
        <v>49</v>
      </c>
      <c r="K1351" s="2" t="s">
        <v>65</v>
      </c>
      <c r="L1351">
        <v>390.91</v>
      </c>
      <c r="M1351">
        <v>1</v>
      </c>
      <c r="N1351">
        <v>1.1200000000000001</v>
      </c>
      <c r="O1351">
        <v>6100231</v>
      </c>
      <c r="P1351" s="2" t="s">
        <v>50</v>
      </c>
      <c r="Q1351" s="2" t="s">
        <v>51</v>
      </c>
      <c r="R1351" s="2" t="s">
        <v>30</v>
      </c>
      <c r="S1351">
        <v>11</v>
      </c>
      <c r="T1351" s="1">
        <v>43510</v>
      </c>
      <c r="U1351" s="1">
        <v>43516</v>
      </c>
      <c r="V1351" s="2"/>
      <c r="W1351" s="1">
        <f>fNotasFiscais[[#This Row],[Data da Coleta]]+fNotasFiscais[[#This Row],[Prazo Contratado]]</f>
        <v>43521</v>
      </c>
      <c r="X1351" s="3">
        <f>IF(fNotasFiscais[[#This Row],[Data da Entrega]]&gt;fNotasFiscais[[#This Row],[Data Contratada]],0,1)</f>
        <v>1</v>
      </c>
      <c r="Y1351" s="3">
        <f>IF(fNotasFiscais[[#This Row],[Ocorrência]]="",1,0)</f>
        <v>1</v>
      </c>
      <c r="Z1351" s="2">
        <f>fNotasFiscais[[#This Row],[On Time]]*fNotasFiscais[[#This Row],[In Full]]</f>
        <v>1</v>
      </c>
      <c r="AA1351">
        <f>IF(fNotasFiscais[[#This Row],[Nota Fiscal]]&lt;&gt;"",1,0)</f>
        <v>1</v>
      </c>
    </row>
    <row r="1352" spans="1:27" x14ac:dyDescent="0.25">
      <c r="A1352" s="1">
        <v>43510</v>
      </c>
      <c r="B1352">
        <v>11761</v>
      </c>
      <c r="C1352" s="2" t="s">
        <v>43</v>
      </c>
      <c r="D1352" s="2" t="s">
        <v>44</v>
      </c>
      <c r="E1352" s="2" t="s">
        <v>45</v>
      </c>
      <c r="F1352">
        <v>4013</v>
      </c>
      <c r="G1352" s="2" t="s">
        <v>37</v>
      </c>
      <c r="H1352" s="2" t="s">
        <v>38</v>
      </c>
      <c r="I1352" s="2" t="s">
        <v>39</v>
      </c>
      <c r="J1352" s="2" t="s">
        <v>28</v>
      </c>
      <c r="K1352" s="2" t="s">
        <v>39</v>
      </c>
      <c r="L1352">
        <v>846.48</v>
      </c>
      <c r="M1352">
        <v>1</v>
      </c>
      <c r="N1352">
        <v>1.1000000000000001</v>
      </c>
      <c r="O1352">
        <v>6500948</v>
      </c>
      <c r="P1352" s="2" t="s">
        <v>29</v>
      </c>
      <c r="Q1352" s="2" t="s">
        <v>23</v>
      </c>
      <c r="R1352" s="2" t="s">
        <v>30</v>
      </c>
      <c r="S1352">
        <v>10</v>
      </c>
      <c r="T1352" s="1">
        <v>43510</v>
      </c>
      <c r="U1352" s="1">
        <v>43514</v>
      </c>
      <c r="V1352" s="2"/>
      <c r="W1352" s="1">
        <f>fNotasFiscais[[#This Row],[Data da Coleta]]+fNotasFiscais[[#This Row],[Prazo Contratado]]</f>
        <v>43520</v>
      </c>
      <c r="X1352" s="3">
        <f>IF(fNotasFiscais[[#This Row],[Data da Entrega]]&gt;fNotasFiscais[[#This Row],[Data Contratada]],0,1)</f>
        <v>1</v>
      </c>
      <c r="Y1352" s="3">
        <f>IF(fNotasFiscais[[#This Row],[Ocorrência]]="",1,0)</f>
        <v>1</v>
      </c>
      <c r="Z1352" s="2">
        <f>fNotasFiscais[[#This Row],[On Time]]*fNotasFiscais[[#This Row],[In Full]]</f>
        <v>1</v>
      </c>
      <c r="AA1352">
        <f>IF(fNotasFiscais[[#This Row],[Nota Fiscal]]&lt;&gt;"",1,0)</f>
        <v>1</v>
      </c>
    </row>
    <row r="1353" spans="1:27" x14ac:dyDescent="0.25">
      <c r="A1353" s="1">
        <v>43511</v>
      </c>
      <c r="B1353">
        <v>11762</v>
      </c>
      <c r="C1353" s="2" t="s">
        <v>31</v>
      </c>
      <c r="D1353" s="2" t="s">
        <v>32</v>
      </c>
      <c r="E1353" s="2" t="s">
        <v>33</v>
      </c>
      <c r="F1353">
        <v>4045</v>
      </c>
      <c r="G1353" s="2" t="s">
        <v>124</v>
      </c>
      <c r="H1353" s="2" t="s">
        <v>35</v>
      </c>
      <c r="I1353" s="2" t="s">
        <v>36</v>
      </c>
      <c r="J1353" s="2" t="s">
        <v>60</v>
      </c>
      <c r="K1353" s="2" t="s">
        <v>36</v>
      </c>
      <c r="L1353">
        <v>4436.8</v>
      </c>
      <c r="M1353">
        <v>3</v>
      </c>
      <c r="N1353">
        <v>23.693999999999999</v>
      </c>
      <c r="O1353">
        <v>6600879</v>
      </c>
      <c r="P1353" s="2" t="s">
        <v>61</v>
      </c>
      <c r="Q1353" s="2" t="s">
        <v>35</v>
      </c>
      <c r="R1353" s="2" t="s">
        <v>30</v>
      </c>
      <c r="S1353">
        <v>3</v>
      </c>
      <c r="T1353" s="1">
        <v>43511</v>
      </c>
      <c r="U1353" s="1">
        <v>43513</v>
      </c>
      <c r="V1353" s="2" t="s">
        <v>42</v>
      </c>
      <c r="W1353" s="1">
        <f>fNotasFiscais[[#This Row],[Data da Coleta]]+fNotasFiscais[[#This Row],[Prazo Contratado]]</f>
        <v>43514</v>
      </c>
      <c r="X1353" s="3">
        <f>IF(fNotasFiscais[[#This Row],[Data da Entrega]]&gt;fNotasFiscais[[#This Row],[Data Contratada]],0,1)</f>
        <v>1</v>
      </c>
      <c r="Y1353" s="3">
        <f>IF(fNotasFiscais[[#This Row],[Ocorrência]]="",1,0)</f>
        <v>0</v>
      </c>
      <c r="Z1353" s="2">
        <f>fNotasFiscais[[#This Row],[On Time]]*fNotasFiscais[[#This Row],[In Full]]</f>
        <v>0</v>
      </c>
      <c r="AA1353">
        <f>IF(fNotasFiscais[[#This Row],[Nota Fiscal]]&lt;&gt;"",1,0)</f>
        <v>1</v>
      </c>
    </row>
    <row r="1354" spans="1:27" x14ac:dyDescent="0.25">
      <c r="A1354" s="1">
        <v>43511</v>
      </c>
      <c r="B1354">
        <v>11763</v>
      </c>
      <c r="C1354" s="2" t="s">
        <v>43</v>
      </c>
      <c r="D1354" s="2" t="s">
        <v>44</v>
      </c>
      <c r="E1354" s="2" t="s">
        <v>45</v>
      </c>
      <c r="F1354">
        <v>4044</v>
      </c>
      <c r="G1354" s="2" t="s">
        <v>123</v>
      </c>
      <c r="H1354" s="2" t="s">
        <v>35</v>
      </c>
      <c r="I1354" s="2" t="s">
        <v>36</v>
      </c>
      <c r="J1354" s="2" t="s">
        <v>60</v>
      </c>
      <c r="K1354" s="2" t="s">
        <v>36</v>
      </c>
      <c r="L1354">
        <v>423.7</v>
      </c>
      <c r="M1354">
        <v>1</v>
      </c>
      <c r="N1354">
        <v>5.5060000000000002</v>
      </c>
      <c r="O1354">
        <v>6600879</v>
      </c>
      <c r="P1354" s="2" t="s">
        <v>61</v>
      </c>
      <c r="Q1354" s="2" t="s">
        <v>35</v>
      </c>
      <c r="R1354" s="2" t="s">
        <v>30</v>
      </c>
      <c r="S1354">
        <v>9</v>
      </c>
      <c r="T1354" s="1">
        <v>43511</v>
      </c>
      <c r="U1354" s="1">
        <v>43520</v>
      </c>
      <c r="V1354" s="2"/>
      <c r="W1354" s="1">
        <f>fNotasFiscais[[#This Row],[Data da Coleta]]+fNotasFiscais[[#This Row],[Prazo Contratado]]</f>
        <v>43520</v>
      </c>
      <c r="X1354" s="3">
        <f>IF(fNotasFiscais[[#This Row],[Data da Entrega]]&gt;fNotasFiscais[[#This Row],[Data Contratada]],0,1)</f>
        <v>1</v>
      </c>
      <c r="Y1354" s="3">
        <f>IF(fNotasFiscais[[#This Row],[Ocorrência]]="",1,0)</f>
        <v>1</v>
      </c>
      <c r="Z1354" s="2">
        <f>fNotasFiscais[[#This Row],[On Time]]*fNotasFiscais[[#This Row],[In Full]]</f>
        <v>1</v>
      </c>
      <c r="AA1354">
        <f>IF(fNotasFiscais[[#This Row],[Nota Fiscal]]&lt;&gt;"",1,0)</f>
        <v>1</v>
      </c>
    </row>
    <row r="1355" spans="1:27" x14ac:dyDescent="0.25">
      <c r="A1355" s="1">
        <v>43511</v>
      </c>
      <c r="B1355">
        <v>11764</v>
      </c>
      <c r="C1355" s="2" t="s">
        <v>40</v>
      </c>
      <c r="D1355" s="2" t="s">
        <v>41</v>
      </c>
      <c r="E1355" s="2" t="s">
        <v>33</v>
      </c>
      <c r="F1355">
        <v>4044</v>
      </c>
      <c r="G1355" s="2" t="s">
        <v>123</v>
      </c>
      <c r="H1355" s="2" t="s">
        <v>35</v>
      </c>
      <c r="I1355" s="2" t="s">
        <v>36</v>
      </c>
      <c r="J1355" s="2" t="s">
        <v>60</v>
      </c>
      <c r="K1355" s="2" t="s">
        <v>36</v>
      </c>
      <c r="L1355">
        <v>1471.6</v>
      </c>
      <c r="M1355">
        <v>1</v>
      </c>
      <c r="N1355">
        <v>0.64900000000000002</v>
      </c>
      <c r="O1355">
        <v>6600879</v>
      </c>
      <c r="P1355" s="2" t="s">
        <v>61</v>
      </c>
      <c r="Q1355" s="2" t="s">
        <v>35</v>
      </c>
      <c r="R1355" s="2" t="s">
        <v>30</v>
      </c>
      <c r="S1355">
        <v>6</v>
      </c>
      <c r="T1355" s="1">
        <v>43511</v>
      </c>
      <c r="U1355" s="1">
        <v>43515</v>
      </c>
      <c r="V1355" s="2"/>
      <c r="W1355" s="1">
        <f>fNotasFiscais[[#This Row],[Data da Coleta]]+fNotasFiscais[[#This Row],[Prazo Contratado]]</f>
        <v>43517</v>
      </c>
      <c r="X1355" s="3">
        <f>IF(fNotasFiscais[[#This Row],[Data da Entrega]]&gt;fNotasFiscais[[#This Row],[Data Contratada]],0,1)</f>
        <v>1</v>
      </c>
      <c r="Y1355" s="3">
        <f>IF(fNotasFiscais[[#This Row],[Ocorrência]]="",1,0)</f>
        <v>1</v>
      </c>
      <c r="Z1355" s="2">
        <f>fNotasFiscais[[#This Row],[On Time]]*fNotasFiscais[[#This Row],[In Full]]</f>
        <v>1</v>
      </c>
      <c r="AA1355">
        <f>IF(fNotasFiscais[[#This Row],[Nota Fiscal]]&lt;&gt;"",1,0)</f>
        <v>1</v>
      </c>
    </row>
    <row r="1356" spans="1:27" x14ac:dyDescent="0.25">
      <c r="A1356" s="1">
        <v>43511</v>
      </c>
      <c r="B1356">
        <v>11765</v>
      </c>
      <c r="C1356" s="2" t="s">
        <v>54</v>
      </c>
      <c r="D1356" s="2" t="s">
        <v>55</v>
      </c>
      <c r="E1356" s="2" t="s">
        <v>56</v>
      </c>
      <c r="F1356">
        <v>4045</v>
      </c>
      <c r="G1356" s="2" t="s">
        <v>124</v>
      </c>
      <c r="H1356" s="2" t="s">
        <v>35</v>
      </c>
      <c r="I1356" s="2" t="s">
        <v>36</v>
      </c>
      <c r="J1356" s="2" t="s">
        <v>60</v>
      </c>
      <c r="K1356" s="2" t="s">
        <v>36</v>
      </c>
      <c r="L1356">
        <v>2186.1999999999998</v>
      </c>
      <c r="M1356">
        <v>2</v>
      </c>
      <c r="N1356">
        <v>21.65</v>
      </c>
      <c r="O1356">
        <v>6600879</v>
      </c>
      <c r="P1356" s="2" t="s">
        <v>61</v>
      </c>
      <c r="Q1356" s="2" t="s">
        <v>35</v>
      </c>
      <c r="R1356" s="2" t="s">
        <v>30</v>
      </c>
      <c r="S1356">
        <v>5</v>
      </c>
      <c r="T1356" s="1">
        <v>43511</v>
      </c>
      <c r="U1356" s="1">
        <v>43519</v>
      </c>
      <c r="V1356" s="2"/>
      <c r="W1356" s="1">
        <f>fNotasFiscais[[#This Row],[Data da Coleta]]+fNotasFiscais[[#This Row],[Prazo Contratado]]</f>
        <v>43516</v>
      </c>
      <c r="X1356" s="3">
        <f>IF(fNotasFiscais[[#This Row],[Data da Entrega]]&gt;fNotasFiscais[[#This Row],[Data Contratada]],0,1)</f>
        <v>0</v>
      </c>
      <c r="Y1356" s="3">
        <f>IF(fNotasFiscais[[#This Row],[Ocorrência]]="",1,0)</f>
        <v>1</v>
      </c>
      <c r="Z1356" s="2">
        <f>fNotasFiscais[[#This Row],[On Time]]*fNotasFiscais[[#This Row],[In Full]]</f>
        <v>0</v>
      </c>
      <c r="AA1356">
        <f>IF(fNotasFiscais[[#This Row],[Nota Fiscal]]&lt;&gt;"",1,0)</f>
        <v>1</v>
      </c>
    </row>
    <row r="1357" spans="1:27" x14ac:dyDescent="0.25">
      <c r="A1357" s="1">
        <v>43511</v>
      </c>
      <c r="B1357">
        <v>11766</v>
      </c>
      <c r="C1357" s="2" t="s">
        <v>43</v>
      </c>
      <c r="D1357" s="2" t="s">
        <v>44</v>
      </c>
      <c r="E1357" s="2" t="s">
        <v>45</v>
      </c>
      <c r="F1357">
        <v>4044</v>
      </c>
      <c r="G1357" s="2" t="s">
        <v>123</v>
      </c>
      <c r="H1357" s="2" t="s">
        <v>35</v>
      </c>
      <c r="I1357" s="2" t="s">
        <v>36</v>
      </c>
      <c r="J1357" s="2" t="s">
        <v>60</v>
      </c>
      <c r="K1357" s="2" t="s">
        <v>36</v>
      </c>
      <c r="L1357">
        <v>1051.74</v>
      </c>
      <c r="M1357">
        <v>1</v>
      </c>
      <c r="N1357">
        <v>9.35</v>
      </c>
      <c r="O1357">
        <v>6600879</v>
      </c>
      <c r="P1357" s="2" t="s">
        <v>61</v>
      </c>
      <c r="Q1357" s="2" t="s">
        <v>35</v>
      </c>
      <c r="R1357" s="2" t="s">
        <v>30</v>
      </c>
      <c r="S1357">
        <v>5</v>
      </c>
      <c r="T1357" s="1">
        <v>43511</v>
      </c>
      <c r="U1357" s="1">
        <v>43521</v>
      </c>
      <c r="V1357" s="2" t="s">
        <v>42</v>
      </c>
      <c r="W1357" s="1">
        <f>fNotasFiscais[[#This Row],[Data da Coleta]]+fNotasFiscais[[#This Row],[Prazo Contratado]]</f>
        <v>43516</v>
      </c>
      <c r="X1357" s="3">
        <f>IF(fNotasFiscais[[#This Row],[Data da Entrega]]&gt;fNotasFiscais[[#This Row],[Data Contratada]],0,1)</f>
        <v>0</v>
      </c>
      <c r="Y1357" s="3">
        <f>IF(fNotasFiscais[[#This Row],[Ocorrência]]="",1,0)</f>
        <v>0</v>
      </c>
      <c r="Z1357" s="2">
        <f>fNotasFiscais[[#This Row],[On Time]]*fNotasFiscais[[#This Row],[In Full]]</f>
        <v>0</v>
      </c>
      <c r="AA1357">
        <f>IF(fNotasFiscais[[#This Row],[Nota Fiscal]]&lt;&gt;"",1,0)</f>
        <v>1</v>
      </c>
    </row>
    <row r="1358" spans="1:27" x14ac:dyDescent="0.25">
      <c r="A1358" s="1">
        <v>43512</v>
      </c>
      <c r="B1358">
        <v>11767</v>
      </c>
      <c r="C1358" s="2" t="s">
        <v>52</v>
      </c>
      <c r="D1358" s="2" t="s">
        <v>53</v>
      </c>
      <c r="E1358" s="2" t="s">
        <v>33</v>
      </c>
      <c r="F1358">
        <v>4105</v>
      </c>
      <c r="G1358" s="2" t="s">
        <v>188</v>
      </c>
      <c r="H1358" s="2" t="s">
        <v>44</v>
      </c>
      <c r="I1358" s="2" t="s">
        <v>45</v>
      </c>
      <c r="J1358" s="2" t="s">
        <v>60</v>
      </c>
      <c r="K1358" s="2" t="s">
        <v>45</v>
      </c>
      <c r="L1358">
        <v>10845.8</v>
      </c>
      <c r="M1358">
        <v>16</v>
      </c>
      <c r="N1358">
        <v>76.384</v>
      </c>
      <c r="O1358">
        <v>6140092</v>
      </c>
      <c r="P1358" s="2" t="s">
        <v>137</v>
      </c>
      <c r="Q1358" s="2" t="s">
        <v>138</v>
      </c>
      <c r="R1358" s="2" t="s">
        <v>30</v>
      </c>
      <c r="S1358">
        <v>1</v>
      </c>
      <c r="T1358" s="1">
        <v>43512</v>
      </c>
      <c r="U1358" s="1">
        <v>43521</v>
      </c>
      <c r="V1358" s="2"/>
      <c r="W1358" s="1">
        <f>fNotasFiscais[[#This Row],[Data da Coleta]]+fNotasFiscais[[#This Row],[Prazo Contratado]]</f>
        <v>43513</v>
      </c>
      <c r="X1358" s="3">
        <f>IF(fNotasFiscais[[#This Row],[Data da Entrega]]&gt;fNotasFiscais[[#This Row],[Data Contratada]],0,1)</f>
        <v>0</v>
      </c>
      <c r="Y1358" s="3">
        <f>IF(fNotasFiscais[[#This Row],[Ocorrência]]="",1,0)</f>
        <v>1</v>
      </c>
      <c r="Z1358" s="2">
        <f>fNotasFiscais[[#This Row],[On Time]]*fNotasFiscais[[#This Row],[In Full]]</f>
        <v>0</v>
      </c>
      <c r="AA1358">
        <f>IF(fNotasFiscais[[#This Row],[Nota Fiscal]]&lt;&gt;"",1,0)</f>
        <v>1</v>
      </c>
    </row>
    <row r="1359" spans="1:27" x14ac:dyDescent="0.25">
      <c r="A1359" s="1">
        <v>43513</v>
      </c>
      <c r="B1359">
        <v>11768</v>
      </c>
      <c r="C1359" s="2" t="s">
        <v>31</v>
      </c>
      <c r="D1359" s="2" t="s">
        <v>32</v>
      </c>
      <c r="E1359" s="2" t="s">
        <v>33</v>
      </c>
      <c r="F1359">
        <v>4013</v>
      </c>
      <c r="G1359" s="2" t="s">
        <v>37</v>
      </c>
      <c r="H1359" s="2" t="s">
        <v>38</v>
      </c>
      <c r="I1359" s="2" t="s">
        <v>39</v>
      </c>
      <c r="J1359" s="2" t="s">
        <v>28</v>
      </c>
      <c r="K1359" s="2" t="s">
        <v>39</v>
      </c>
      <c r="L1359">
        <v>2554.15</v>
      </c>
      <c r="M1359">
        <v>2</v>
      </c>
      <c r="N1359">
        <v>19.07</v>
      </c>
      <c r="O1359">
        <v>6500948</v>
      </c>
      <c r="P1359" s="2" t="s">
        <v>29</v>
      </c>
      <c r="Q1359" s="2" t="s">
        <v>23</v>
      </c>
      <c r="R1359" s="2" t="s">
        <v>30</v>
      </c>
      <c r="S1359">
        <v>9</v>
      </c>
      <c r="T1359" s="1">
        <v>43513</v>
      </c>
      <c r="U1359" s="1">
        <v>43515</v>
      </c>
      <c r="V1359" s="2"/>
      <c r="W1359" s="1">
        <f>fNotasFiscais[[#This Row],[Data da Coleta]]+fNotasFiscais[[#This Row],[Prazo Contratado]]</f>
        <v>43522</v>
      </c>
      <c r="X1359" s="3">
        <f>IF(fNotasFiscais[[#This Row],[Data da Entrega]]&gt;fNotasFiscais[[#This Row],[Data Contratada]],0,1)</f>
        <v>1</v>
      </c>
      <c r="Y1359" s="3">
        <f>IF(fNotasFiscais[[#This Row],[Ocorrência]]="",1,0)</f>
        <v>1</v>
      </c>
      <c r="Z1359" s="2">
        <f>fNotasFiscais[[#This Row],[On Time]]*fNotasFiscais[[#This Row],[In Full]]</f>
        <v>1</v>
      </c>
      <c r="AA1359">
        <f>IF(fNotasFiscais[[#This Row],[Nota Fiscal]]&lt;&gt;"",1,0)</f>
        <v>1</v>
      </c>
    </row>
    <row r="1360" spans="1:27" x14ac:dyDescent="0.25">
      <c r="A1360" s="1">
        <v>43513</v>
      </c>
      <c r="B1360">
        <v>11769</v>
      </c>
      <c r="C1360" s="2" t="s">
        <v>52</v>
      </c>
      <c r="D1360" s="2" t="s">
        <v>53</v>
      </c>
      <c r="E1360" s="2" t="s">
        <v>33</v>
      </c>
      <c r="F1360">
        <v>4022</v>
      </c>
      <c r="G1360" s="2" t="s">
        <v>86</v>
      </c>
      <c r="H1360" s="2" t="s">
        <v>87</v>
      </c>
      <c r="I1360" s="2" t="s">
        <v>27</v>
      </c>
      <c r="J1360" s="2" t="s">
        <v>28</v>
      </c>
      <c r="K1360" s="2" t="s">
        <v>27</v>
      </c>
      <c r="L1360">
        <v>396.58</v>
      </c>
      <c r="M1360">
        <v>1</v>
      </c>
      <c r="N1360">
        <v>13.42</v>
      </c>
      <c r="O1360">
        <v>6500948</v>
      </c>
      <c r="P1360" s="2" t="s">
        <v>29</v>
      </c>
      <c r="Q1360" s="2" t="s">
        <v>23</v>
      </c>
      <c r="R1360" s="2" t="s">
        <v>30</v>
      </c>
      <c r="S1360">
        <v>3</v>
      </c>
      <c r="T1360" s="1">
        <v>43513</v>
      </c>
      <c r="U1360" s="1">
        <v>43523</v>
      </c>
      <c r="V1360" s="2"/>
      <c r="W1360" s="1">
        <f>fNotasFiscais[[#This Row],[Data da Coleta]]+fNotasFiscais[[#This Row],[Prazo Contratado]]</f>
        <v>43516</v>
      </c>
      <c r="X1360" s="3">
        <f>IF(fNotasFiscais[[#This Row],[Data da Entrega]]&gt;fNotasFiscais[[#This Row],[Data Contratada]],0,1)</f>
        <v>0</v>
      </c>
      <c r="Y1360" s="3">
        <f>IF(fNotasFiscais[[#This Row],[Ocorrência]]="",1,0)</f>
        <v>1</v>
      </c>
      <c r="Z1360" s="2">
        <f>fNotasFiscais[[#This Row],[On Time]]*fNotasFiscais[[#This Row],[In Full]]</f>
        <v>0</v>
      </c>
      <c r="AA1360">
        <f>IF(fNotasFiscais[[#This Row],[Nota Fiscal]]&lt;&gt;"",1,0)</f>
        <v>1</v>
      </c>
    </row>
    <row r="1361" spans="1:27" x14ac:dyDescent="0.25">
      <c r="A1361" s="1">
        <v>43513</v>
      </c>
      <c r="B1361">
        <v>11770</v>
      </c>
      <c r="C1361" s="2" t="s">
        <v>54</v>
      </c>
      <c r="D1361" s="2" t="s">
        <v>55</v>
      </c>
      <c r="E1361" s="2" t="s">
        <v>56</v>
      </c>
      <c r="F1361">
        <v>4022</v>
      </c>
      <c r="G1361" s="2" t="s">
        <v>86</v>
      </c>
      <c r="H1361" s="2" t="s">
        <v>87</v>
      </c>
      <c r="I1361" s="2" t="s">
        <v>27</v>
      </c>
      <c r="J1361" s="2" t="s">
        <v>28</v>
      </c>
      <c r="K1361" s="2" t="s">
        <v>27</v>
      </c>
      <c r="L1361">
        <v>2310.8200000000002</v>
      </c>
      <c r="M1361">
        <v>4</v>
      </c>
      <c r="N1361">
        <v>18.53</v>
      </c>
      <c r="O1361">
        <v>6500948</v>
      </c>
      <c r="P1361" s="2" t="s">
        <v>29</v>
      </c>
      <c r="Q1361" s="2" t="s">
        <v>23</v>
      </c>
      <c r="R1361" s="2" t="s">
        <v>30</v>
      </c>
      <c r="S1361">
        <v>9</v>
      </c>
      <c r="T1361" s="1">
        <v>43513</v>
      </c>
      <c r="U1361" s="1">
        <v>43523</v>
      </c>
      <c r="V1361" s="2"/>
      <c r="W1361" s="1">
        <f>fNotasFiscais[[#This Row],[Data da Coleta]]+fNotasFiscais[[#This Row],[Prazo Contratado]]</f>
        <v>43522</v>
      </c>
      <c r="X1361" s="3">
        <f>IF(fNotasFiscais[[#This Row],[Data da Entrega]]&gt;fNotasFiscais[[#This Row],[Data Contratada]],0,1)</f>
        <v>0</v>
      </c>
      <c r="Y1361" s="3">
        <f>IF(fNotasFiscais[[#This Row],[Ocorrência]]="",1,0)</f>
        <v>1</v>
      </c>
      <c r="Z1361" s="2">
        <f>fNotasFiscais[[#This Row],[On Time]]*fNotasFiscais[[#This Row],[In Full]]</f>
        <v>0</v>
      </c>
      <c r="AA1361">
        <f>IF(fNotasFiscais[[#This Row],[Nota Fiscal]]&lt;&gt;"",1,0)</f>
        <v>1</v>
      </c>
    </row>
    <row r="1362" spans="1:27" x14ac:dyDescent="0.25">
      <c r="A1362" s="1">
        <v>43513</v>
      </c>
      <c r="B1362">
        <v>11771</v>
      </c>
      <c r="C1362" s="2" t="s">
        <v>22</v>
      </c>
      <c r="D1362" s="2" t="s">
        <v>23</v>
      </c>
      <c r="E1362" s="2" t="s">
        <v>24</v>
      </c>
      <c r="F1362">
        <v>4022</v>
      </c>
      <c r="G1362" s="2" t="s">
        <v>86</v>
      </c>
      <c r="H1362" s="2" t="s">
        <v>87</v>
      </c>
      <c r="I1362" s="2" t="s">
        <v>27</v>
      </c>
      <c r="J1362" s="2" t="s">
        <v>28</v>
      </c>
      <c r="K1362" s="2" t="s">
        <v>27</v>
      </c>
      <c r="L1362">
        <v>1262.54</v>
      </c>
      <c r="M1362">
        <v>1</v>
      </c>
      <c r="N1362">
        <v>11.837999999999999</v>
      </c>
      <c r="O1362">
        <v>6500948</v>
      </c>
      <c r="P1362" s="2" t="s">
        <v>29</v>
      </c>
      <c r="Q1362" s="2" t="s">
        <v>23</v>
      </c>
      <c r="R1362" s="2" t="s">
        <v>30</v>
      </c>
      <c r="S1362">
        <v>11</v>
      </c>
      <c r="T1362" s="1">
        <v>43513</v>
      </c>
      <c r="U1362" s="1">
        <v>43520</v>
      </c>
      <c r="V1362" s="2"/>
      <c r="W1362" s="1">
        <f>fNotasFiscais[[#This Row],[Data da Coleta]]+fNotasFiscais[[#This Row],[Prazo Contratado]]</f>
        <v>43524</v>
      </c>
      <c r="X1362" s="3">
        <f>IF(fNotasFiscais[[#This Row],[Data da Entrega]]&gt;fNotasFiscais[[#This Row],[Data Contratada]],0,1)</f>
        <v>1</v>
      </c>
      <c r="Y1362" s="3">
        <f>IF(fNotasFiscais[[#This Row],[Ocorrência]]="",1,0)</f>
        <v>1</v>
      </c>
      <c r="Z1362" s="2">
        <f>fNotasFiscais[[#This Row],[On Time]]*fNotasFiscais[[#This Row],[In Full]]</f>
        <v>1</v>
      </c>
      <c r="AA1362">
        <f>IF(fNotasFiscais[[#This Row],[Nota Fiscal]]&lt;&gt;"",1,0)</f>
        <v>1</v>
      </c>
    </row>
    <row r="1363" spans="1:27" x14ac:dyDescent="0.25">
      <c r="A1363" s="1">
        <v>43515</v>
      </c>
      <c r="B1363">
        <v>11772</v>
      </c>
      <c r="C1363" s="2" t="s">
        <v>31</v>
      </c>
      <c r="D1363" s="2" t="s">
        <v>32</v>
      </c>
      <c r="E1363" s="2" t="s">
        <v>33</v>
      </c>
      <c r="F1363">
        <v>4023</v>
      </c>
      <c r="G1363" s="2" t="s">
        <v>88</v>
      </c>
      <c r="H1363" s="2" t="s">
        <v>78</v>
      </c>
      <c r="I1363" s="2" t="s">
        <v>39</v>
      </c>
      <c r="J1363" s="2" t="s">
        <v>28</v>
      </c>
      <c r="K1363" s="2" t="s">
        <v>39</v>
      </c>
      <c r="L1363">
        <v>4596.6899999999996</v>
      </c>
      <c r="M1363">
        <v>5</v>
      </c>
      <c r="N1363">
        <v>31.983000000000001</v>
      </c>
      <c r="O1363">
        <v>6500948</v>
      </c>
      <c r="P1363" s="2" t="s">
        <v>29</v>
      </c>
      <c r="Q1363" s="2" t="s">
        <v>23</v>
      </c>
      <c r="R1363" s="2" t="s">
        <v>30</v>
      </c>
      <c r="S1363">
        <v>9</v>
      </c>
      <c r="T1363" s="1">
        <v>43515</v>
      </c>
      <c r="U1363" s="1">
        <v>43523</v>
      </c>
      <c r="V1363" s="2"/>
      <c r="W1363" s="1">
        <f>fNotasFiscais[[#This Row],[Data da Coleta]]+fNotasFiscais[[#This Row],[Prazo Contratado]]</f>
        <v>43524</v>
      </c>
      <c r="X1363" s="3">
        <f>IF(fNotasFiscais[[#This Row],[Data da Entrega]]&gt;fNotasFiscais[[#This Row],[Data Contratada]],0,1)</f>
        <v>1</v>
      </c>
      <c r="Y1363" s="3">
        <f>IF(fNotasFiscais[[#This Row],[Ocorrência]]="",1,0)</f>
        <v>1</v>
      </c>
      <c r="Z1363" s="2">
        <f>fNotasFiscais[[#This Row],[On Time]]*fNotasFiscais[[#This Row],[In Full]]</f>
        <v>1</v>
      </c>
      <c r="AA1363">
        <f>IF(fNotasFiscais[[#This Row],[Nota Fiscal]]&lt;&gt;"",1,0)</f>
        <v>1</v>
      </c>
    </row>
    <row r="1364" spans="1:27" x14ac:dyDescent="0.25">
      <c r="A1364" s="1">
        <v>43515</v>
      </c>
      <c r="B1364">
        <v>11773</v>
      </c>
      <c r="C1364" s="2" t="s">
        <v>22</v>
      </c>
      <c r="D1364" s="2" t="s">
        <v>23</v>
      </c>
      <c r="E1364" s="2" t="s">
        <v>24</v>
      </c>
      <c r="F1364">
        <v>4034</v>
      </c>
      <c r="G1364" s="2" t="s">
        <v>110</v>
      </c>
      <c r="H1364" s="2" t="s">
        <v>51</v>
      </c>
      <c r="I1364" s="2" t="s">
        <v>73</v>
      </c>
      <c r="J1364" s="2" t="s">
        <v>49</v>
      </c>
      <c r="K1364" s="2" t="s">
        <v>73</v>
      </c>
      <c r="L1364">
        <v>679.69</v>
      </c>
      <c r="M1364">
        <v>1</v>
      </c>
      <c r="N1364">
        <v>4.18</v>
      </c>
      <c r="O1364">
        <v>6100231</v>
      </c>
      <c r="P1364" s="2" t="s">
        <v>50</v>
      </c>
      <c r="Q1364" s="2" t="s">
        <v>51</v>
      </c>
      <c r="R1364" s="2" t="s">
        <v>30</v>
      </c>
      <c r="S1364">
        <v>7</v>
      </c>
      <c r="T1364" s="1">
        <v>43515</v>
      </c>
      <c r="U1364" s="1">
        <v>43517</v>
      </c>
      <c r="V1364" s="2"/>
      <c r="W1364" s="1">
        <f>fNotasFiscais[[#This Row],[Data da Coleta]]+fNotasFiscais[[#This Row],[Prazo Contratado]]</f>
        <v>43522</v>
      </c>
      <c r="X1364" s="3">
        <f>IF(fNotasFiscais[[#This Row],[Data da Entrega]]&gt;fNotasFiscais[[#This Row],[Data Contratada]],0,1)</f>
        <v>1</v>
      </c>
      <c r="Y1364" s="3">
        <f>IF(fNotasFiscais[[#This Row],[Ocorrência]]="",1,0)</f>
        <v>1</v>
      </c>
      <c r="Z1364" s="2">
        <f>fNotasFiscais[[#This Row],[On Time]]*fNotasFiscais[[#This Row],[In Full]]</f>
        <v>1</v>
      </c>
      <c r="AA1364">
        <f>IF(fNotasFiscais[[#This Row],[Nota Fiscal]]&lt;&gt;"",1,0)</f>
        <v>1</v>
      </c>
    </row>
    <row r="1365" spans="1:27" x14ac:dyDescent="0.25">
      <c r="A1365" s="1">
        <v>43516</v>
      </c>
      <c r="B1365">
        <v>11774</v>
      </c>
      <c r="C1365" s="2" t="s">
        <v>31</v>
      </c>
      <c r="D1365" s="2" t="s">
        <v>32</v>
      </c>
      <c r="E1365" s="2" t="s">
        <v>33</v>
      </c>
      <c r="F1365">
        <v>4057</v>
      </c>
      <c r="G1365" s="2" t="s">
        <v>133</v>
      </c>
      <c r="H1365" s="2" t="s">
        <v>97</v>
      </c>
      <c r="I1365" s="2" t="s">
        <v>48</v>
      </c>
      <c r="J1365" s="2" t="s">
        <v>49</v>
      </c>
      <c r="K1365" s="2" t="s">
        <v>48</v>
      </c>
      <c r="L1365">
        <v>610.19000000000005</v>
      </c>
      <c r="M1365">
        <v>1</v>
      </c>
      <c r="N1365">
        <v>1.65</v>
      </c>
      <c r="O1365">
        <v>6100231</v>
      </c>
      <c r="P1365" s="2" t="s">
        <v>50</v>
      </c>
      <c r="Q1365" s="2" t="s">
        <v>51</v>
      </c>
      <c r="R1365" s="2" t="s">
        <v>30</v>
      </c>
      <c r="S1365">
        <v>12</v>
      </c>
      <c r="T1365" s="1">
        <v>43516</v>
      </c>
      <c r="U1365" s="1">
        <v>43520</v>
      </c>
      <c r="V1365" s="2"/>
      <c r="W1365" s="1">
        <f>fNotasFiscais[[#This Row],[Data da Coleta]]+fNotasFiscais[[#This Row],[Prazo Contratado]]</f>
        <v>43528</v>
      </c>
      <c r="X1365" s="3">
        <f>IF(fNotasFiscais[[#This Row],[Data da Entrega]]&gt;fNotasFiscais[[#This Row],[Data Contratada]],0,1)</f>
        <v>1</v>
      </c>
      <c r="Y1365" s="3">
        <f>IF(fNotasFiscais[[#This Row],[Ocorrência]]="",1,0)</f>
        <v>1</v>
      </c>
      <c r="Z1365" s="2">
        <f>fNotasFiscais[[#This Row],[On Time]]*fNotasFiscais[[#This Row],[In Full]]</f>
        <v>1</v>
      </c>
      <c r="AA1365">
        <f>IF(fNotasFiscais[[#This Row],[Nota Fiscal]]&lt;&gt;"",1,0)</f>
        <v>1</v>
      </c>
    </row>
    <row r="1366" spans="1:27" x14ac:dyDescent="0.25">
      <c r="A1366" s="1">
        <v>43516</v>
      </c>
      <c r="B1366">
        <v>11775</v>
      </c>
      <c r="C1366" s="2" t="s">
        <v>31</v>
      </c>
      <c r="D1366" s="2" t="s">
        <v>32</v>
      </c>
      <c r="E1366" s="2" t="s">
        <v>33</v>
      </c>
      <c r="F1366">
        <v>4014</v>
      </c>
      <c r="G1366" s="2" t="s">
        <v>58</v>
      </c>
      <c r="H1366" s="2" t="s">
        <v>59</v>
      </c>
      <c r="I1366" s="2" t="s">
        <v>36</v>
      </c>
      <c r="J1366" s="2" t="s">
        <v>60</v>
      </c>
      <c r="K1366" s="2" t="s">
        <v>36</v>
      </c>
      <c r="L1366">
        <v>1597.85</v>
      </c>
      <c r="M1366">
        <v>1</v>
      </c>
      <c r="N1366">
        <v>13.2</v>
      </c>
      <c r="O1366">
        <v>6600879</v>
      </c>
      <c r="P1366" s="2" t="s">
        <v>61</v>
      </c>
      <c r="Q1366" s="2" t="s">
        <v>35</v>
      </c>
      <c r="R1366" s="2" t="s">
        <v>30</v>
      </c>
      <c r="S1366">
        <v>5</v>
      </c>
      <c r="T1366" s="1">
        <v>43516</v>
      </c>
      <c r="U1366" s="1">
        <v>43521</v>
      </c>
      <c r="V1366" s="2"/>
      <c r="W1366" s="1">
        <f>fNotasFiscais[[#This Row],[Data da Coleta]]+fNotasFiscais[[#This Row],[Prazo Contratado]]</f>
        <v>43521</v>
      </c>
      <c r="X1366" s="3">
        <f>IF(fNotasFiscais[[#This Row],[Data da Entrega]]&gt;fNotasFiscais[[#This Row],[Data Contratada]],0,1)</f>
        <v>1</v>
      </c>
      <c r="Y1366" s="3">
        <f>IF(fNotasFiscais[[#This Row],[Ocorrência]]="",1,0)</f>
        <v>1</v>
      </c>
      <c r="Z1366" s="2">
        <f>fNotasFiscais[[#This Row],[On Time]]*fNotasFiscais[[#This Row],[In Full]]</f>
        <v>1</v>
      </c>
      <c r="AA1366">
        <f>IF(fNotasFiscais[[#This Row],[Nota Fiscal]]&lt;&gt;"",1,0)</f>
        <v>1</v>
      </c>
    </row>
    <row r="1367" spans="1:27" x14ac:dyDescent="0.25">
      <c r="A1367" s="1">
        <v>43516</v>
      </c>
      <c r="B1367">
        <v>11776</v>
      </c>
      <c r="C1367" s="2" t="s">
        <v>31</v>
      </c>
      <c r="D1367" s="2" t="s">
        <v>32</v>
      </c>
      <c r="E1367" s="2" t="s">
        <v>33</v>
      </c>
      <c r="F1367">
        <v>4014</v>
      </c>
      <c r="G1367" s="2" t="s">
        <v>58</v>
      </c>
      <c r="H1367" s="2" t="s">
        <v>59</v>
      </c>
      <c r="I1367" s="2" t="s">
        <v>36</v>
      </c>
      <c r="J1367" s="2" t="s">
        <v>60</v>
      </c>
      <c r="K1367" s="2" t="s">
        <v>36</v>
      </c>
      <c r="L1367">
        <v>6236.41</v>
      </c>
      <c r="M1367">
        <v>7</v>
      </c>
      <c r="N1367">
        <v>43.427999999999997</v>
      </c>
      <c r="O1367">
        <v>6600879</v>
      </c>
      <c r="P1367" s="2" t="s">
        <v>61</v>
      </c>
      <c r="Q1367" s="2" t="s">
        <v>35</v>
      </c>
      <c r="R1367" s="2" t="s">
        <v>30</v>
      </c>
      <c r="S1367">
        <v>2</v>
      </c>
      <c r="T1367" s="1">
        <v>43516</v>
      </c>
      <c r="U1367" s="1">
        <v>43522</v>
      </c>
      <c r="V1367" s="2"/>
      <c r="W1367" s="1">
        <f>fNotasFiscais[[#This Row],[Data da Coleta]]+fNotasFiscais[[#This Row],[Prazo Contratado]]</f>
        <v>43518</v>
      </c>
      <c r="X1367" s="3">
        <f>IF(fNotasFiscais[[#This Row],[Data da Entrega]]&gt;fNotasFiscais[[#This Row],[Data Contratada]],0,1)</f>
        <v>0</v>
      </c>
      <c r="Y1367" s="3">
        <f>IF(fNotasFiscais[[#This Row],[Ocorrência]]="",1,0)</f>
        <v>1</v>
      </c>
      <c r="Z1367" s="2">
        <f>fNotasFiscais[[#This Row],[On Time]]*fNotasFiscais[[#This Row],[In Full]]</f>
        <v>0</v>
      </c>
      <c r="AA1367">
        <f>IF(fNotasFiscais[[#This Row],[Nota Fiscal]]&lt;&gt;"",1,0)</f>
        <v>1</v>
      </c>
    </row>
    <row r="1368" spans="1:27" x14ac:dyDescent="0.25">
      <c r="A1368" s="1">
        <v>43516</v>
      </c>
      <c r="B1368">
        <v>11777</v>
      </c>
      <c r="C1368" s="2" t="s">
        <v>22</v>
      </c>
      <c r="D1368" s="2" t="s">
        <v>23</v>
      </c>
      <c r="E1368" s="2" t="s">
        <v>24</v>
      </c>
      <c r="F1368">
        <v>4014</v>
      </c>
      <c r="G1368" s="2" t="s">
        <v>58</v>
      </c>
      <c r="H1368" s="2" t="s">
        <v>59</v>
      </c>
      <c r="I1368" s="2" t="s">
        <v>36</v>
      </c>
      <c r="J1368" s="2" t="s">
        <v>60</v>
      </c>
      <c r="K1368" s="2" t="s">
        <v>36</v>
      </c>
      <c r="L1368">
        <v>1665.78</v>
      </c>
      <c r="M1368">
        <v>1</v>
      </c>
      <c r="N1368">
        <v>19.821999999999999</v>
      </c>
      <c r="O1368">
        <v>6600879</v>
      </c>
      <c r="P1368" s="2" t="s">
        <v>61</v>
      </c>
      <c r="Q1368" s="2" t="s">
        <v>35</v>
      </c>
      <c r="R1368" s="2" t="s">
        <v>30</v>
      </c>
      <c r="S1368">
        <v>7</v>
      </c>
      <c r="T1368" s="1">
        <v>43516</v>
      </c>
      <c r="U1368" s="1">
        <v>43523</v>
      </c>
      <c r="V1368" s="2"/>
      <c r="W1368" s="1">
        <f>fNotasFiscais[[#This Row],[Data da Coleta]]+fNotasFiscais[[#This Row],[Prazo Contratado]]</f>
        <v>43523</v>
      </c>
      <c r="X1368" s="3">
        <f>IF(fNotasFiscais[[#This Row],[Data da Entrega]]&gt;fNotasFiscais[[#This Row],[Data Contratada]],0,1)</f>
        <v>1</v>
      </c>
      <c r="Y1368" s="3">
        <f>IF(fNotasFiscais[[#This Row],[Ocorrência]]="",1,0)</f>
        <v>1</v>
      </c>
      <c r="Z1368" s="2">
        <f>fNotasFiscais[[#This Row],[On Time]]*fNotasFiscais[[#This Row],[In Full]]</f>
        <v>1</v>
      </c>
      <c r="AA1368">
        <f>IF(fNotasFiscais[[#This Row],[Nota Fiscal]]&lt;&gt;"",1,0)</f>
        <v>1</v>
      </c>
    </row>
    <row r="1369" spans="1:27" x14ac:dyDescent="0.25">
      <c r="A1369" s="1">
        <v>43516</v>
      </c>
      <c r="B1369">
        <v>11778</v>
      </c>
      <c r="C1369" s="2" t="s">
        <v>22</v>
      </c>
      <c r="D1369" s="2" t="s">
        <v>23</v>
      </c>
      <c r="E1369" s="2" t="s">
        <v>24</v>
      </c>
      <c r="F1369">
        <v>4041</v>
      </c>
      <c r="G1369" s="2" t="s">
        <v>83</v>
      </c>
      <c r="H1369" s="2" t="s">
        <v>51</v>
      </c>
      <c r="I1369" s="2" t="s">
        <v>73</v>
      </c>
      <c r="J1369" s="2" t="s">
        <v>49</v>
      </c>
      <c r="K1369" s="2" t="s">
        <v>73</v>
      </c>
      <c r="L1369">
        <v>1017.23</v>
      </c>
      <c r="M1369">
        <v>1</v>
      </c>
      <c r="N1369">
        <v>0.44</v>
      </c>
      <c r="O1369">
        <v>6100231</v>
      </c>
      <c r="P1369" s="2" t="s">
        <v>50</v>
      </c>
      <c r="Q1369" s="2" t="s">
        <v>51</v>
      </c>
      <c r="R1369" s="2" t="s">
        <v>30</v>
      </c>
      <c r="S1369">
        <v>4</v>
      </c>
      <c r="T1369" s="1">
        <v>43516</v>
      </c>
      <c r="U1369" s="1">
        <v>43526</v>
      </c>
      <c r="V1369" s="2"/>
      <c r="W1369" s="1">
        <f>fNotasFiscais[[#This Row],[Data da Coleta]]+fNotasFiscais[[#This Row],[Prazo Contratado]]</f>
        <v>43520</v>
      </c>
      <c r="X1369" s="3">
        <f>IF(fNotasFiscais[[#This Row],[Data da Entrega]]&gt;fNotasFiscais[[#This Row],[Data Contratada]],0,1)</f>
        <v>0</v>
      </c>
      <c r="Y1369" s="3">
        <f>IF(fNotasFiscais[[#This Row],[Ocorrência]]="",1,0)</f>
        <v>1</v>
      </c>
      <c r="Z1369" s="2">
        <f>fNotasFiscais[[#This Row],[On Time]]*fNotasFiscais[[#This Row],[In Full]]</f>
        <v>0</v>
      </c>
      <c r="AA1369">
        <f>IF(fNotasFiscais[[#This Row],[Nota Fiscal]]&lt;&gt;"",1,0)</f>
        <v>1</v>
      </c>
    </row>
    <row r="1370" spans="1:27" x14ac:dyDescent="0.25">
      <c r="A1370" s="1">
        <v>43516</v>
      </c>
      <c r="B1370">
        <v>11779</v>
      </c>
      <c r="C1370" s="2" t="s">
        <v>22</v>
      </c>
      <c r="D1370" s="2" t="s">
        <v>23</v>
      </c>
      <c r="E1370" s="2" t="s">
        <v>24</v>
      </c>
      <c r="F1370">
        <v>4041</v>
      </c>
      <c r="G1370" s="2" t="s">
        <v>83</v>
      </c>
      <c r="H1370" s="2" t="s">
        <v>51</v>
      </c>
      <c r="I1370" s="2" t="s">
        <v>73</v>
      </c>
      <c r="J1370" s="2" t="s">
        <v>49</v>
      </c>
      <c r="K1370" s="2" t="s">
        <v>73</v>
      </c>
      <c r="L1370">
        <v>1665.78</v>
      </c>
      <c r="M1370">
        <v>1</v>
      </c>
      <c r="N1370">
        <v>19.821999999999999</v>
      </c>
      <c r="O1370">
        <v>6100231</v>
      </c>
      <c r="P1370" s="2" t="s">
        <v>50</v>
      </c>
      <c r="Q1370" s="2" t="s">
        <v>51</v>
      </c>
      <c r="R1370" s="2" t="s">
        <v>30</v>
      </c>
      <c r="S1370">
        <v>8</v>
      </c>
      <c r="T1370" s="1">
        <v>43516</v>
      </c>
      <c r="U1370" s="1">
        <v>43525</v>
      </c>
      <c r="V1370" s="2"/>
      <c r="W1370" s="1">
        <f>fNotasFiscais[[#This Row],[Data da Coleta]]+fNotasFiscais[[#This Row],[Prazo Contratado]]</f>
        <v>43524</v>
      </c>
      <c r="X1370" s="3">
        <f>IF(fNotasFiscais[[#This Row],[Data da Entrega]]&gt;fNotasFiscais[[#This Row],[Data Contratada]],0,1)</f>
        <v>0</v>
      </c>
      <c r="Y1370" s="3">
        <f>IF(fNotasFiscais[[#This Row],[Ocorrência]]="",1,0)</f>
        <v>1</v>
      </c>
      <c r="Z1370" s="2">
        <f>fNotasFiscais[[#This Row],[On Time]]*fNotasFiscais[[#This Row],[In Full]]</f>
        <v>0</v>
      </c>
      <c r="AA1370">
        <f>IF(fNotasFiscais[[#This Row],[Nota Fiscal]]&lt;&gt;"",1,0)</f>
        <v>1</v>
      </c>
    </row>
    <row r="1371" spans="1:27" x14ac:dyDescent="0.25">
      <c r="A1371" s="1">
        <v>43516</v>
      </c>
      <c r="B1371">
        <v>11780</v>
      </c>
      <c r="C1371" s="2" t="s">
        <v>34</v>
      </c>
      <c r="D1371" s="2" t="s">
        <v>35</v>
      </c>
      <c r="E1371" s="2" t="s">
        <v>36</v>
      </c>
      <c r="F1371">
        <v>4041</v>
      </c>
      <c r="G1371" s="2" t="s">
        <v>83</v>
      </c>
      <c r="H1371" s="2" t="s">
        <v>51</v>
      </c>
      <c r="I1371" s="2" t="s">
        <v>73</v>
      </c>
      <c r="J1371" s="2" t="s">
        <v>49</v>
      </c>
      <c r="K1371" s="2" t="s">
        <v>73</v>
      </c>
      <c r="L1371">
        <v>784.18</v>
      </c>
      <c r="M1371">
        <v>2</v>
      </c>
      <c r="N1371">
        <v>4.8789999999999996</v>
      </c>
      <c r="O1371">
        <v>6100231</v>
      </c>
      <c r="P1371" s="2" t="s">
        <v>50</v>
      </c>
      <c r="Q1371" s="2" t="s">
        <v>51</v>
      </c>
      <c r="R1371" s="2" t="s">
        <v>30</v>
      </c>
      <c r="S1371">
        <v>8</v>
      </c>
      <c r="T1371" s="1">
        <v>43516</v>
      </c>
      <c r="U1371" s="1">
        <v>43524</v>
      </c>
      <c r="V1371" s="2"/>
      <c r="W1371" s="1">
        <f>fNotasFiscais[[#This Row],[Data da Coleta]]+fNotasFiscais[[#This Row],[Prazo Contratado]]</f>
        <v>43524</v>
      </c>
      <c r="X1371" s="3">
        <f>IF(fNotasFiscais[[#This Row],[Data da Entrega]]&gt;fNotasFiscais[[#This Row],[Data Contratada]],0,1)</f>
        <v>1</v>
      </c>
      <c r="Y1371" s="3">
        <f>IF(fNotasFiscais[[#This Row],[Ocorrência]]="",1,0)</f>
        <v>1</v>
      </c>
      <c r="Z1371" s="2">
        <f>fNotasFiscais[[#This Row],[On Time]]*fNotasFiscais[[#This Row],[In Full]]</f>
        <v>1</v>
      </c>
      <c r="AA1371">
        <f>IF(fNotasFiscais[[#This Row],[Nota Fiscal]]&lt;&gt;"",1,0)</f>
        <v>1</v>
      </c>
    </row>
    <row r="1372" spans="1:27" x14ac:dyDescent="0.25">
      <c r="A1372" s="1">
        <v>43516</v>
      </c>
      <c r="B1372">
        <v>11781</v>
      </c>
      <c r="C1372" s="2" t="s">
        <v>22</v>
      </c>
      <c r="D1372" s="2" t="s">
        <v>23</v>
      </c>
      <c r="E1372" s="2" t="s">
        <v>24</v>
      </c>
      <c r="F1372">
        <v>4041</v>
      </c>
      <c r="G1372" s="2" t="s">
        <v>83</v>
      </c>
      <c r="H1372" s="2" t="s">
        <v>51</v>
      </c>
      <c r="I1372" s="2" t="s">
        <v>73</v>
      </c>
      <c r="J1372" s="2" t="s">
        <v>49</v>
      </c>
      <c r="K1372" s="2" t="s">
        <v>73</v>
      </c>
      <c r="L1372">
        <v>276.18</v>
      </c>
      <c r="M1372">
        <v>1</v>
      </c>
      <c r="N1372">
        <v>1.1879999999999999</v>
      </c>
      <c r="O1372">
        <v>6100231</v>
      </c>
      <c r="P1372" s="2" t="s">
        <v>50</v>
      </c>
      <c r="Q1372" s="2" t="s">
        <v>51</v>
      </c>
      <c r="R1372" s="2" t="s">
        <v>30</v>
      </c>
      <c r="S1372">
        <v>10</v>
      </c>
      <c r="T1372" s="1">
        <v>43516</v>
      </c>
      <c r="U1372" s="1">
        <v>43521</v>
      </c>
      <c r="V1372" s="2"/>
      <c r="W1372" s="1">
        <f>fNotasFiscais[[#This Row],[Data da Coleta]]+fNotasFiscais[[#This Row],[Prazo Contratado]]</f>
        <v>43526</v>
      </c>
      <c r="X1372" s="3">
        <f>IF(fNotasFiscais[[#This Row],[Data da Entrega]]&gt;fNotasFiscais[[#This Row],[Data Contratada]],0,1)</f>
        <v>1</v>
      </c>
      <c r="Y1372" s="3">
        <f>IF(fNotasFiscais[[#This Row],[Ocorrência]]="",1,0)</f>
        <v>1</v>
      </c>
      <c r="Z1372" s="2">
        <f>fNotasFiscais[[#This Row],[On Time]]*fNotasFiscais[[#This Row],[In Full]]</f>
        <v>1</v>
      </c>
      <c r="AA1372">
        <f>IF(fNotasFiscais[[#This Row],[Nota Fiscal]]&lt;&gt;"",1,0)</f>
        <v>1</v>
      </c>
    </row>
    <row r="1373" spans="1:27" x14ac:dyDescent="0.25">
      <c r="A1373" s="1">
        <v>43517</v>
      </c>
      <c r="B1373">
        <v>11782</v>
      </c>
      <c r="C1373" s="2" t="s">
        <v>40</v>
      </c>
      <c r="D1373" s="2" t="s">
        <v>41</v>
      </c>
      <c r="E1373" s="2" t="s">
        <v>33</v>
      </c>
      <c r="F1373">
        <v>4128</v>
      </c>
      <c r="G1373" s="2" t="s">
        <v>211</v>
      </c>
      <c r="H1373" s="2" t="s">
        <v>167</v>
      </c>
      <c r="I1373" s="2" t="s">
        <v>168</v>
      </c>
      <c r="J1373" s="2" t="s">
        <v>169</v>
      </c>
      <c r="K1373" s="2" t="s">
        <v>168</v>
      </c>
      <c r="L1373">
        <v>699.88</v>
      </c>
      <c r="M1373">
        <v>2</v>
      </c>
      <c r="N1373">
        <v>6.694</v>
      </c>
      <c r="O1373">
        <v>6900304</v>
      </c>
      <c r="P1373" s="2" t="s">
        <v>170</v>
      </c>
      <c r="Q1373" s="2" t="s">
        <v>171</v>
      </c>
      <c r="R1373" s="2" t="s">
        <v>30</v>
      </c>
      <c r="S1373">
        <v>2</v>
      </c>
      <c r="T1373" s="1">
        <v>43517</v>
      </c>
      <c r="U1373" s="1">
        <v>43523</v>
      </c>
      <c r="V1373" s="2"/>
      <c r="W1373" s="1">
        <f>fNotasFiscais[[#This Row],[Data da Coleta]]+fNotasFiscais[[#This Row],[Prazo Contratado]]</f>
        <v>43519</v>
      </c>
      <c r="X1373" s="3">
        <f>IF(fNotasFiscais[[#This Row],[Data da Entrega]]&gt;fNotasFiscais[[#This Row],[Data Contratada]],0,1)</f>
        <v>0</v>
      </c>
      <c r="Y1373" s="3">
        <f>IF(fNotasFiscais[[#This Row],[Ocorrência]]="",1,0)</f>
        <v>1</v>
      </c>
      <c r="Z1373" s="2">
        <f>fNotasFiscais[[#This Row],[On Time]]*fNotasFiscais[[#This Row],[In Full]]</f>
        <v>0</v>
      </c>
      <c r="AA1373">
        <f>IF(fNotasFiscais[[#This Row],[Nota Fiscal]]&lt;&gt;"",1,0)</f>
        <v>1</v>
      </c>
    </row>
    <row r="1374" spans="1:27" x14ac:dyDescent="0.25">
      <c r="A1374" s="1">
        <v>43518</v>
      </c>
      <c r="B1374">
        <v>11783</v>
      </c>
      <c r="C1374" s="2" t="s">
        <v>43</v>
      </c>
      <c r="D1374" s="2" t="s">
        <v>44</v>
      </c>
      <c r="E1374" s="2" t="s">
        <v>45</v>
      </c>
      <c r="F1374">
        <v>4068</v>
      </c>
      <c r="G1374" s="2" t="s">
        <v>63</v>
      </c>
      <c r="H1374" s="2" t="s">
        <v>64</v>
      </c>
      <c r="I1374" s="2" t="s">
        <v>65</v>
      </c>
      <c r="J1374" s="2" t="s">
        <v>49</v>
      </c>
      <c r="K1374" s="2" t="s">
        <v>65</v>
      </c>
      <c r="L1374">
        <v>7857.18</v>
      </c>
      <c r="M1374">
        <v>7</v>
      </c>
      <c r="N1374">
        <v>58.08</v>
      </c>
      <c r="O1374">
        <v>6100231</v>
      </c>
      <c r="P1374" s="2" t="s">
        <v>50</v>
      </c>
      <c r="Q1374" s="2" t="s">
        <v>51</v>
      </c>
      <c r="R1374" s="2" t="s">
        <v>62</v>
      </c>
      <c r="S1374">
        <v>8</v>
      </c>
      <c r="T1374" s="1">
        <v>43518</v>
      </c>
      <c r="U1374" s="1">
        <v>43521</v>
      </c>
      <c r="V1374" s="2"/>
      <c r="W1374" s="1">
        <f>fNotasFiscais[[#This Row],[Data da Coleta]]+fNotasFiscais[[#This Row],[Prazo Contratado]]</f>
        <v>43526</v>
      </c>
      <c r="X1374" s="3">
        <f>IF(fNotasFiscais[[#This Row],[Data da Entrega]]&gt;fNotasFiscais[[#This Row],[Data Contratada]],0,1)</f>
        <v>1</v>
      </c>
      <c r="Y1374" s="3">
        <f>IF(fNotasFiscais[[#This Row],[Ocorrência]]="",1,0)</f>
        <v>1</v>
      </c>
      <c r="Z1374" s="2">
        <f>fNotasFiscais[[#This Row],[On Time]]*fNotasFiscais[[#This Row],[In Full]]</f>
        <v>1</v>
      </c>
      <c r="AA1374">
        <f>IF(fNotasFiscais[[#This Row],[Nota Fiscal]]&lt;&gt;"",1,0)</f>
        <v>1</v>
      </c>
    </row>
    <row r="1375" spans="1:27" x14ac:dyDescent="0.25">
      <c r="A1375" s="1">
        <v>43518</v>
      </c>
      <c r="B1375">
        <v>11784</v>
      </c>
      <c r="C1375" s="2" t="s">
        <v>43</v>
      </c>
      <c r="D1375" s="2" t="s">
        <v>44</v>
      </c>
      <c r="E1375" s="2" t="s">
        <v>45</v>
      </c>
      <c r="F1375">
        <v>4069</v>
      </c>
      <c r="G1375" s="2" t="s">
        <v>135</v>
      </c>
      <c r="H1375" s="2" t="s">
        <v>47</v>
      </c>
      <c r="I1375" s="2" t="s">
        <v>48</v>
      </c>
      <c r="J1375" s="2" t="s">
        <v>49</v>
      </c>
      <c r="K1375" s="2" t="s">
        <v>48</v>
      </c>
      <c r="L1375">
        <v>610.19000000000005</v>
      </c>
      <c r="M1375">
        <v>1</v>
      </c>
      <c r="N1375">
        <v>1.65</v>
      </c>
      <c r="O1375">
        <v>6100231</v>
      </c>
      <c r="P1375" s="2" t="s">
        <v>50</v>
      </c>
      <c r="Q1375" s="2" t="s">
        <v>51</v>
      </c>
      <c r="R1375" s="2" t="s">
        <v>30</v>
      </c>
      <c r="S1375">
        <v>5</v>
      </c>
      <c r="T1375" s="1">
        <v>43518</v>
      </c>
      <c r="U1375" s="1">
        <v>43524</v>
      </c>
      <c r="V1375" s="2"/>
      <c r="W1375" s="1">
        <f>fNotasFiscais[[#This Row],[Data da Coleta]]+fNotasFiscais[[#This Row],[Prazo Contratado]]</f>
        <v>43523</v>
      </c>
      <c r="X1375" s="3">
        <f>IF(fNotasFiscais[[#This Row],[Data da Entrega]]&gt;fNotasFiscais[[#This Row],[Data Contratada]],0,1)</f>
        <v>0</v>
      </c>
      <c r="Y1375" s="3">
        <f>IF(fNotasFiscais[[#This Row],[Ocorrência]]="",1,0)</f>
        <v>1</v>
      </c>
      <c r="Z1375" s="2">
        <f>fNotasFiscais[[#This Row],[On Time]]*fNotasFiscais[[#This Row],[In Full]]</f>
        <v>0</v>
      </c>
      <c r="AA1375">
        <f>IF(fNotasFiscais[[#This Row],[Nota Fiscal]]&lt;&gt;"",1,0)</f>
        <v>1</v>
      </c>
    </row>
    <row r="1376" spans="1:27" x14ac:dyDescent="0.25">
      <c r="A1376" s="1">
        <v>43518</v>
      </c>
      <c r="B1376">
        <v>11785</v>
      </c>
      <c r="C1376" s="2" t="s">
        <v>34</v>
      </c>
      <c r="D1376" s="2" t="s">
        <v>35</v>
      </c>
      <c r="E1376" s="2" t="s">
        <v>36</v>
      </c>
      <c r="F1376">
        <v>4023</v>
      </c>
      <c r="G1376" s="2" t="s">
        <v>88</v>
      </c>
      <c r="H1376" s="2" t="s">
        <v>78</v>
      </c>
      <c r="I1376" s="2" t="s">
        <v>39</v>
      </c>
      <c r="J1376" s="2" t="s">
        <v>28</v>
      </c>
      <c r="K1376" s="2" t="s">
        <v>39</v>
      </c>
      <c r="L1376">
        <v>718.26</v>
      </c>
      <c r="M1376">
        <v>1</v>
      </c>
      <c r="N1376">
        <v>5.5</v>
      </c>
      <c r="O1376">
        <v>6500948</v>
      </c>
      <c r="P1376" s="2" t="s">
        <v>29</v>
      </c>
      <c r="Q1376" s="2" t="s">
        <v>23</v>
      </c>
      <c r="R1376" s="2" t="s">
        <v>30</v>
      </c>
      <c r="S1376">
        <v>4</v>
      </c>
      <c r="T1376" s="1">
        <v>43518</v>
      </c>
      <c r="U1376" s="1">
        <v>43525</v>
      </c>
      <c r="V1376" s="2"/>
      <c r="W1376" s="1">
        <f>fNotasFiscais[[#This Row],[Data da Coleta]]+fNotasFiscais[[#This Row],[Prazo Contratado]]</f>
        <v>43522</v>
      </c>
      <c r="X1376" s="3">
        <f>IF(fNotasFiscais[[#This Row],[Data da Entrega]]&gt;fNotasFiscais[[#This Row],[Data Contratada]],0,1)</f>
        <v>0</v>
      </c>
      <c r="Y1376" s="3">
        <f>IF(fNotasFiscais[[#This Row],[Ocorrência]]="",1,0)</f>
        <v>1</v>
      </c>
      <c r="Z1376" s="2">
        <f>fNotasFiscais[[#This Row],[On Time]]*fNotasFiscais[[#This Row],[In Full]]</f>
        <v>0</v>
      </c>
      <c r="AA1376">
        <f>IF(fNotasFiscais[[#This Row],[Nota Fiscal]]&lt;&gt;"",1,0)</f>
        <v>1</v>
      </c>
    </row>
    <row r="1377" spans="1:27" x14ac:dyDescent="0.25">
      <c r="A1377" s="1">
        <v>43518</v>
      </c>
      <c r="B1377">
        <v>11786</v>
      </c>
      <c r="C1377" s="2" t="s">
        <v>31</v>
      </c>
      <c r="D1377" s="2" t="s">
        <v>32</v>
      </c>
      <c r="E1377" s="2" t="s">
        <v>33</v>
      </c>
      <c r="F1377">
        <v>4040</v>
      </c>
      <c r="G1377" s="2" t="s">
        <v>117</v>
      </c>
      <c r="H1377" s="2" t="s">
        <v>47</v>
      </c>
      <c r="I1377" s="2" t="s">
        <v>48</v>
      </c>
      <c r="J1377" s="2" t="s">
        <v>49</v>
      </c>
      <c r="K1377" s="2" t="s">
        <v>48</v>
      </c>
      <c r="L1377">
        <v>2582.13</v>
      </c>
      <c r="M1377">
        <v>4</v>
      </c>
      <c r="N1377">
        <v>18.420000000000002</v>
      </c>
      <c r="O1377">
        <v>6100231</v>
      </c>
      <c r="P1377" s="2" t="s">
        <v>50</v>
      </c>
      <c r="Q1377" s="2" t="s">
        <v>51</v>
      </c>
      <c r="R1377" s="2" t="s">
        <v>30</v>
      </c>
      <c r="S1377">
        <v>8</v>
      </c>
      <c r="T1377" s="1">
        <v>43518</v>
      </c>
      <c r="U1377" s="1">
        <v>43522</v>
      </c>
      <c r="V1377" s="2"/>
      <c r="W1377" s="1">
        <f>fNotasFiscais[[#This Row],[Data da Coleta]]+fNotasFiscais[[#This Row],[Prazo Contratado]]</f>
        <v>43526</v>
      </c>
      <c r="X1377" s="3">
        <f>IF(fNotasFiscais[[#This Row],[Data da Entrega]]&gt;fNotasFiscais[[#This Row],[Data Contratada]],0,1)</f>
        <v>1</v>
      </c>
      <c r="Y1377" s="3">
        <f>IF(fNotasFiscais[[#This Row],[Ocorrência]]="",1,0)</f>
        <v>1</v>
      </c>
      <c r="Z1377" s="2">
        <f>fNotasFiscais[[#This Row],[On Time]]*fNotasFiscais[[#This Row],[In Full]]</f>
        <v>1</v>
      </c>
      <c r="AA1377">
        <f>IF(fNotasFiscais[[#This Row],[Nota Fiscal]]&lt;&gt;"",1,0)</f>
        <v>1</v>
      </c>
    </row>
    <row r="1378" spans="1:27" x14ac:dyDescent="0.25">
      <c r="A1378" s="1">
        <v>43518</v>
      </c>
      <c r="B1378">
        <v>11787</v>
      </c>
      <c r="C1378" s="2" t="s">
        <v>40</v>
      </c>
      <c r="D1378" s="2" t="s">
        <v>41</v>
      </c>
      <c r="E1378" s="2" t="s">
        <v>33</v>
      </c>
      <c r="F1378">
        <v>4027</v>
      </c>
      <c r="G1378" s="2" t="s">
        <v>93</v>
      </c>
      <c r="H1378" s="2" t="s">
        <v>91</v>
      </c>
      <c r="I1378" s="2" t="s">
        <v>24</v>
      </c>
      <c r="J1378" s="2" t="s">
        <v>28</v>
      </c>
      <c r="K1378" s="2" t="s">
        <v>24</v>
      </c>
      <c r="L1378">
        <v>242.85</v>
      </c>
      <c r="M1378">
        <v>1</v>
      </c>
      <c r="N1378">
        <v>0.91900000000000004</v>
      </c>
      <c r="O1378">
        <v>6500948</v>
      </c>
      <c r="P1378" s="2" t="s">
        <v>29</v>
      </c>
      <c r="Q1378" s="2" t="s">
        <v>23</v>
      </c>
      <c r="R1378" s="2" t="s">
        <v>30</v>
      </c>
      <c r="S1378">
        <v>8</v>
      </c>
      <c r="T1378" s="1">
        <v>43518</v>
      </c>
      <c r="U1378" s="1">
        <v>43522</v>
      </c>
      <c r="V1378" s="2"/>
      <c r="W1378" s="1">
        <f>fNotasFiscais[[#This Row],[Data da Coleta]]+fNotasFiscais[[#This Row],[Prazo Contratado]]</f>
        <v>43526</v>
      </c>
      <c r="X1378" s="3">
        <f>IF(fNotasFiscais[[#This Row],[Data da Entrega]]&gt;fNotasFiscais[[#This Row],[Data Contratada]],0,1)</f>
        <v>1</v>
      </c>
      <c r="Y1378" s="3">
        <f>IF(fNotasFiscais[[#This Row],[Ocorrência]]="",1,0)</f>
        <v>1</v>
      </c>
      <c r="Z1378" s="2">
        <f>fNotasFiscais[[#This Row],[On Time]]*fNotasFiscais[[#This Row],[In Full]]</f>
        <v>1</v>
      </c>
      <c r="AA1378">
        <f>IF(fNotasFiscais[[#This Row],[Nota Fiscal]]&lt;&gt;"",1,0)</f>
        <v>1</v>
      </c>
    </row>
    <row r="1379" spans="1:27" x14ac:dyDescent="0.25">
      <c r="A1379" s="1">
        <v>43518</v>
      </c>
      <c r="B1379">
        <v>11788</v>
      </c>
      <c r="C1379" s="2" t="s">
        <v>22</v>
      </c>
      <c r="D1379" s="2" t="s">
        <v>23</v>
      </c>
      <c r="E1379" s="2" t="s">
        <v>24</v>
      </c>
      <c r="F1379">
        <v>4040</v>
      </c>
      <c r="G1379" s="2" t="s">
        <v>117</v>
      </c>
      <c r="H1379" s="2" t="s">
        <v>47</v>
      </c>
      <c r="I1379" s="2" t="s">
        <v>48</v>
      </c>
      <c r="J1379" s="2" t="s">
        <v>49</v>
      </c>
      <c r="K1379" s="2" t="s">
        <v>48</v>
      </c>
      <c r="L1379">
        <v>3825.48</v>
      </c>
      <c r="M1379">
        <v>5</v>
      </c>
      <c r="N1379">
        <v>37.369</v>
      </c>
      <c r="O1379">
        <v>6100231</v>
      </c>
      <c r="P1379" s="2" t="s">
        <v>50</v>
      </c>
      <c r="Q1379" s="2" t="s">
        <v>51</v>
      </c>
      <c r="R1379" s="2" t="s">
        <v>30</v>
      </c>
      <c r="S1379">
        <v>12</v>
      </c>
      <c r="T1379" s="1">
        <v>43518</v>
      </c>
      <c r="U1379" s="1">
        <v>43523</v>
      </c>
      <c r="V1379" s="2"/>
      <c r="W1379" s="1">
        <f>fNotasFiscais[[#This Row],[Data da Coleta]]+fNotasFiscais[[#This Row],[Prazo Contratado]]</f>
        <v>43530</v>
      </c>
      <c r="X1379" s="3">
        <f>IF(fNotasFiscais[[#This Row],[Data da Entrega]]&gt;fNotasFiscais[[#This Row],[Data Contratada]],0,1)</f>
        <v>1</v>
      </c>
      <c r="Y1379" s="3">
        <f>IF(fNotasFiscais[[#This Row],[Ocorrência]]="",1,0)</f>
        <v>1</v>
      </c>
      <c r="Z1379" s="2">
        <f>fNotasFiscais[[#This Row],[On Time]]*fNotasFiscais[[#This Row],[In Full]]</f>
        <v>1</v>
      </c>
      <c r="AA1379">
        <f>IF(fNotasFiscais[[#This Row],[Nota Fiscal]]&lt;&gt;"",1,0)</f>
        <v>1</v>
      </c>
    </row>
    <row r="1380" spans="1:27" x14ac:dyDescent="0.25">
      <c r="A1380" s="1">
        <v>43518</v>
      </c>
      <c r="B1380">
        <v>11789</v>
      </c>
      <c r="C1380" s="2" t="s">
        <v>54</v>
      </c>
      <c r="D1380" s="2" t="s">
        <v>55</v>
      </c>
      <c r="E1380" s="2" t="s">
        <v>56</v>
      </c>
      <c r="F1380">
        <v>4027</v>
      </c>
      <c r="G1380" s="2" t="s">
        <v>93</v>
      </c>
      <c r="H1380" s="2" t="s">
        <v>91</v>
      </c>
      <c r="I1380" s="2" t="s">
        <v>24</v>
      </c>
      <c r="J1380" s="2" t="s">
        <v>28</v>
      </c>
      <c r="K1380" s="2" t="s">
        <v>24</v>
      </c>
      <c r="L1380">
        <v>1762.56</v>
      </c>
      <c r="M1380">
        <v>3</v>
      </c>
      <c r="N1380">
        <v>23.326000000000001</v>
      </c>
      <c r="O1380">
        <v>6500948</v>
      </c>
      <c r="P1380" s="2" t="s">
        <v>29</v>
      </c>
      <c r="Q1380" s="2" t="s">
        <v>23</v>
      </c>
      <c r="R1380" s="2" t="s">
        <v>30</v>
      </c>
      <c r="S1380">
        <v>10</v>
      </c>
      <c r="T1380" s="1">
        <v>43518</v>
      </c>
      <c r="U1380" s="1">
        <v>43526</v>
      </c>
      <c r="V1380" s="2"/>
      <c r="W1380" s="1">
        <f>fNotasFiscais[[#This Row],[Data da Coleta]]+fNotasFiscais[[#This Row],[Prazo Contratado]]</f>
        <v>43528</v>
      </c>
      <c r="X1380" s="3">
        <f>IF(fNotasFiscais[[#This Row],[Data da Entrega]]&gt;fNotasFiscais[[#This Row],[Data Contratada]],0,1)</f>
        <v>1</v>
      </c>
      <c r="Y1380" s="3">
        <f>IF(fNotasFiscais[[#This Row],[Ocorrência]]="",1,0)</f>
        <v>1</v>
      </c>
      <c r="Z1380" s="2">
        <f>fNotasFiscais[[#This Row],[On Time]]*fNotasFiscais[[#This Row],[In Full]]</f>
        <v>1</v>
      </c>
      <c r="AA1380">
        <f>IF(fNotasFiscais[[#This Row],[Nota Fiscal]]&lt;&gt;"",1,0)</f>
        <v>1</v>
      </c>
    </row>
    <row r="1381" spans="1:27" x14ac:dyDescent="0.25">
      <c r="A1381" s="1">
        <v>43518</v>
      </c>
      <c r="B1381">
        <v>11790</v>
      </c>
      <c r="C1381" s="2" t="s">
        <v>31</v>
      </c>
      <c r="D1381" s="2" t="s">
        <v>32</v>
      </c>
      <c r="E1381" s="2" t="s">
        <v>33</v>
      </c>
      <c r="F1381">
        <v>4030</v>
      </c>
      <c r="G1381" s="2" t="s">
        <v>102</v>
      </c>
      <c r="H1381" s="2" t="s">
        <v>35</v>
      </c>
      <c r="I1381" s="2" t="s">
        <v>36</v>
      </c>
      <c r="J1381" s="2" t="s">
        <v>60</v>
      </c>
      <c r="K1381" s="2" t="s">
        <v>36</v>
      </c>
      <c r="L1381">
        <v>953.87</v>
      </c>
      <c r="M1381">
        <v>1</v>
      </c>
      <c r="N1381">
        <v>5.5060000000000002</v>
      </c>
      <c r="O1381">
        <v>6600879</v>
      </c>
      <c r="P1381" s="2" t="s">
        <v>61</v>
      </c>
      <c r="Q1381" s="2" t="s">
        <v>35</v>
      </c>
      <c r="R1381" s="2" t="s">
        <v>30</v>
      </c>
      <c r="S1381">
        <v>11</v>
      </c>
      <c r="T1381" s="1">
        <v>43518</v>
      </c>
      <c r="U1381" s="1">
        <v>43527</v>
      </c>
      <c r="V1381" s="2"/>
      <c r="W1381" s="1">
        <f>fNotasFiscais[[#This Row],[Data da Coleta]]+fNotasFiscais[[#This Row],[Prazo Contratado]]</f>
        <v>43529</v>
      </c>
      <c r="X1381" s="3">
        <f>IF(fNotasFiscais[[#This Row],[Data da Entrega]]&gt;fNotasFiscais[[#This Row],[Data Contratada]],0,1)</f>
        <v>1</v>
      </c>
      <c r="Y1381" s="3">
        <f>IF(fNotasFiscais[[#This Row],[Ocorrência]]="",1,0)</f>
        <v>1</v>
      </c>
      <c r="Z1381" s="2">
        <f>fNotasFiscais[[#This Row],[On Time]]*fNotasFiscais[[#This Row],[In Full]]</f>
        <v>1</v>
      </c>
      <c r="AA1381">
        <f>IF(fNotasFiscais[[#This Row],[Nota Fiscal]]&lt;&gt;"",1,0)</f>
        <v>1</v>
      </c>
    </row>
    <row r="1382" spans="1:27" x14ac:dyDescent="0.25">
      <c r="A1382" s="1">
        <v>43518</v>
      </c>
      <c r="B1382">
        <v>11791</v>
      </c>
      <c r="C1382" s="2" t="s">
        <v>34</v>
      </c>
      <c r="D1382" s="2" t="s">
        <v>35</v>
      </c>
      <c r="E1382" s="2" t="s">
        <v>36</v>
      </c>
      <c r="F1382">
        <v>4030</v>
      </c>
      <c r="G1382" s="2" t="s">
        <v>102</v>
      </c>
      <c r="H1382" s="2" t="s">
        <v>35</v>
      </c>
      <c r="I1382" s="2" t="s">
        <v>36</v>
      </c>
      <c r="J1382" s="2" t="s">
        <v>60</v>
      </c>
      <c r="K1382" s="2" t="s">
        <v>36</v>
      </c>
      <c r="L1382">
        <v>653.37</v>
      </c>
      <c r="M1382">
        <v>1</v>
      </c>
      <c r="N1382">
        <v>4.6760000000000002</v>
      </c>
      <c r="O1382">
        <v>6600879</v>
      </c>
      <c r="P1382" s="2" t="s">
        <v>61</v>
      </c>
      <c r="Q1382" s="2" t="s">
        <v>35</v>
      </c>
      <c r="R1382" s="2" t="s">
        <v>30</v>
      </c>
      <c r="S1382">
        <v>7</v>
      </c>
      <c r="T1382" s="1">
        <v>43518</v>
      </c>
      <c r="U1382" s="1">
        <v>43528</v>
      </c>
      <c r="V1382" s="2"/>
      <c r="W1382" s="1">
        <f>fNotasFiscais[[#This Row],[Data da Coleta]]+fNotasFiscais[[#This Row],[Prazo Contratado]]</f>
        <v>43525</v>
      </c>
      <c r="X1382" s="3">
        <f>IF(fNotasFiscais[[#This Row],[Data da Entrega]]&gt;fNotasFiscais[[#This Row],[Data Contratada]],0,1)</f>
        <v>0</v>
      </c>
      <c r="Y1382" s="3">
        <f>IF(fNotasFiscais[[#This Row],[Ocorrência]]="",1,0)</f>
        <v>1</v>
      </c>
      <c r="Z1382" s="2">
        <f>fNotasFiscais[[#This Row],[On Time]]*fNotasFiscais[[#This Row],[In Full]]</f>
        <v>0</v>
      </c>
      <c r="AA1382">
        <f>IF(fNotasFiscais[[#This Row],[Nota Fiscal]]&lt;&gt;"",1,0)</f>
        <v>1</v>
      </c>
    </row>
    <row r="1383" spans="1:27" x14ac:dyDescent="0.25">
      <c r="A1383" s="1">
        <v>43518</v>
      </c>
      <c r="B1383">
        <v>11792</v>
      </c>
      <c r="C1383" s="2" t="s">
        <v>54</v>
      </c>
      <c r="D1383" s="2" t="s">
        <v>55</v>
      </c>
      <c r="E1383" s="2" t="s">
        <v>56</v>
      </c>
      <c r="F1383">
        <v>4030</v>
      </c>
      <c r="G1383" s="2" t="s">
        <v>102</v>
      </c>
      <c r="H1383" s="2" t="s">
        <v>35</v>
      </c>
      <c r="I1383" s="2" t="s">
        <v>36</v>
      </c>
      <c r="J1383" s="2" t="s">
        <v>60</v>
      </c>
      <c r="K1383" s="2" t="s">
        <v>36</v>
      </c>
      <c r="L1383">
        <v>2435</v>
      </c>
      <c r="M1383">
        <v>3</v>
      </c>
      <c r="N1383">
        <v>12.694000000000001</v>
      </c>
      <c r="O1383">
        <v>6600879</v>
      </c>
      <c r="P1383" s="2" t="s">
        <v>61</v>
      </c>
      <c r="Q1383" s="2" t="s">
        <v>35</v>
      </c>
      <c r="R1383" s="2" t="s">
        <v>30</v>
      </c>
      <c r="S1383">
        <v>11</v>
      </c>
      <c r="T1383" s="1">
        <v>43518</v>
      </c>
      <c r="U1383" s="1">
        <v>43525</v>
      </c>
      <c r="V1383" s="2"/>
      <c r="W1383" s="1">
        <f>fNotasFiscais[[#This Row],[Data da Coleta]]+fNotasFiscais[[#This Row],[Prazo Contratado]]</f>
        <v>43529</v>
      </c>
      <c r="X1383" s="3">
        <f>IF(fNotasFiscais[[#This Row],[Data da Entrega]]&gt;fNotasFiscais[[#This Row],[Data Contratada]],0,1)</f>
        <v>1</v>
      </c>
      <c r="Y1383" s="3">
        <f>IF(fNotasFiscais[[#This Row],[Ocorrência]]="",1,0)</f>
        <v>1</v>
      </c>
      <c r="Z1383" s="2">
        <f>fNotasFiscais[[#This Row],[On Time]]*fNotasFiscais[[#This Row],[In Full]]</f>
        <v>1</v>
      </c>
      <c r="AA1383">
        <f>IF(fNotasFiscais[[#This Row],[Nota Fiscal]]&lt;&gt;"",1,0)</f>
        <v>1</v>
      </c>
    </row>
    <row r="1384" spans="1:27" x14ac:dyDescent="0.25">
      <c r="A1384" s="1">
        <v>43518</v>
      </c>
      <c r="B1384">
        <v>11793</v>
      </c>
      <c r="C1384" s="2" t="s">
        <v>22</v>
      </c>
      <c r="D1384" s="2" t="s">
        <v>23</v>
      </c>
      <c r="E1384" s="2" t="s">
        <v>24</v>
      </c>
      <c r="F1384">
        <v>4030</v>
      </c>
      <c r="G1384" s="2" t="s">
        <v>102</v>
      </c>
      <c r="H1384" s="2" t="s">
        <v>35</v>
      </c>
      <c r="I1384" s="2" t="s">
        <v>36</v>
      </c>
      <c r="J1384" s="2" t="s">
        <v>60</v>
      </c>
      <c r="K1384" s="2" t="s">
        <v>36</v>
      </c>
      <c r="L1384">
        <v>3050.67</v>
      </c>
      <c r="M1384">
        <v>5</v>
      </c>
      <c r="N1384">
        <v>25.033999999999999</v>
      </c>
      <c r="O1384">
        <v>6600879</v>
      </c>
      <c r="P1384" s="2" t="s">
        <v>61</v>
      </c>
      <c r="Q1384" s="2" t="s">
        <v>35</v>
      </c>
      <c r="R1384" s="2" t="s">
        <v>30</v>
      </c>
      <c r="S1384">
        <v>10</v>
      </c>
      <c r="T1384" s="1">
        <v>43518</v>
      </c>
      <c r="U1384" s="1">
        <v>43522</v>
      </c>
      <c r="V1384" s="2"/>
      <c r="W1384" s="1">
        <f>fNotasFiscais[[#This Row],[Data da Coleta]]+fNotasFiscais[[#This Row],[Prazo Contratado]]</f>
        <v>43528</v>
      </c>
      <c r="X1384" s="3">
        <f>IF(fNotasFiscais[[#This Row],[Data da Entrega]]&gt;fNotasFiscais[[#This Row],[Data Contratada]],0,1)</f>
        <v>1</v>
      </c>
      <c r="Y1384" s="3">
        <f>IF(fNotasFiscais[[#This Row],[Ocorrência]]="",1,0)</f>
        <v>1</v>
      </c>
      <c r="Z1384" s="2">
        <f>fNotasFiscais[[#This Row],[On Time]]*fNotasFiscais[[#This Row],[In Full]]</f>
        <v>1</v>
      </c>
      <c r="AA1384">
        <f>IF(fNotasFiscais[[#This Row],[Nota Fiscal]]&lt;&gt;"",1,0)</f>
        <v>1</v>
      </c>
    </row>
    <row r="1385" spans="1:27" x14ac:dyDescent="0.25">
      <c r="A1385" s="1">
        <v>43518</v>
      </c>
      <c r="B1385">
        <v>11794</v>
      </c>
      <c r="C1385" s="2" t="s">
        <v>31</v>
      </c>
      <c r="D1385" s="2" t="s">
        <v>32</v>
      </c>
      <c r="E1385" s="2" t="s">
        <v>33</v>
      </c>
      <c r="F1385">
        <v>4030</v>
      </c>
      <c r="G1385" s="2" t="s">
        <v>102</v>
      </c>
      <c r="H1385" s="2" t="s">
        <v>35</v>
      </c>
      <c r="I1385" s="2" t="s">
        <v>36</v>
      </c>
      <c r="J1385" s="2" t="s">
        <v>60</v>
      </c>
      <c r="K1385" s="2" t="s">
        <v>36</v>
      </c>
      <c r="L1385">
        <v>12384.26</v>
      </c>
      <c r="M1385">
        <v>9</v>
      </c>
      <c r="N1385">
        <v>55.408000000000001</v>
      </c>
      <c r="O1385">
        <v>6600879</v>
      </c>
      <c r="P1385" s="2" t="s">
        <v>61</v>
      </c>
      <c r="Q1385" s="2" t="s">
        <v>35</v>
      </c>
      <c r="R1385" s="2" t="s">
        <v>30</v>
      </c>
      <c r="S1385">
        <v>11</v>
      </c>
      <c r="T1385" s="1">
        <v>43518</v>
      </c>
      <c r="U1385" s="1">
        <v>43527</v>
      </c>
      <c r="V1385" s="2" t="s">
        <v>42</v>
      </c>
      <c r="W1385" s="1">
        <f>fNotasFiscais[[#This Row],[Data da Coleta]]+fNotasFiscais[[#This Row],[Prazo Contratado]]</f>
        <v>43529</v>
      </c>
      <c r="X1385" s="3">
        <f>IF(fNotasFiscais[[#This Row],[Data da Entrega]]&gt;fNotasFiscais[[#This Row],[Data Contratada]],0,1)</f>
        <v>1</v>
      </c>
      <c r="Y1385" s="3">
        <f>IF(fNotasFiscais[[#This Row],[Ocorrência]]="",1,0)</f>
        <v>0</v>
      </c>
      <c r="Z1385" s="2">
        <f>fNotasFiscais[[#This Row],[On Time]]*fNotasFiscais[[#This Row],[In Full]]</f>
        <v>0</v>
      </c>
      <c r="AA1385">
        <f>IF(fNotasFiscais[[#This Row],[Nota Fiscal]]&lt;&gt;"",1,0)</f>
        <v>1</v>
      </c>
    </row>
    <row r="1386" spans="1:27" x14ac:dyDescent="0.25">
      <c r="A1386" s="1">
        <v>43519</v>
      </c>
      <c r="B1386">
        <v>11795</v>
      </c>
      <c r="C1386" s="2" t="s">
        <v>43</v>
      </c>
      <c r="D1386" s="2" t="s">
        <v>44</v>
      </c>
      <c r="E1386" s="2" t="s">
        <v>45</v>
      </c>
      <c r="F1386">
        <v>4136</v>
      </c>
      <c r="G1386" s="2" t="s">
        <v>219</v>
      </c>
      <c r="H1386" s="2" t="s">
        <v>35</v>
      </c>
      <c r="I1386" s="2" t="s">
        <v>36</v>
      </c>
      <c r="J1386" s="2" t="s">
        <v>60</v>
      </c>
      <c r="K1386" s="2" t="s">
        <v>36</v>
      </c>
      <c r="L1386">
        <v>421.25</v>
      </c>
      <c r="M1386">
        <v>1</v>
      </c>
      <c r="N1386">
        <v>5.5060000000000002</v>
      </c>
      <c r="O1386">
        <v>6600879</v>
      </c>
      <c r="P1386" s="2" t="s">
        <v>61</v>
      </c>
      <c r="Q1386" s="2" t="s">
        <v>35</v>
      </c>
      <c r="R1386" s="2" t="s">
        <v>30</v>
      </c>
      <c r="S1386">
        <v>12</v>
      </c>
      <c r="T1386" s="1">
        <v>43519</v>
      </c>
      <c r="U1386" s="1">
        <v>43528</v>
      </c>
      <c r="V1386" s="2"/>
      <c r="W1386" s="1">
        <f>fNotasFiscais[[#This Row],[Data da Coleta]]+fNotasFiscais[[#This Row],[Prazo Contratado]]</f>
        <v>43531</v>
      </c>
      <c r="X1386" s="3">
        <f>IF(fNotasFiscais[[#This Row],[Data da Entrega]]&gt;fNotasFiscais[[#This Row],[Data Contratada]],0,1)</f>
        <v>1</v>
      </c>
      <c r="Y1386" s="3">
        <f>IF(fNotasFiscais[[#This Row],[Ocorrência]]="",1,0)</f>
        <v>1</v>
      </c>
      <c r="Z1386" s="2">
        <f>fNotasFiscais[[#This Row],[On Time]]*fNotasFiscais[[#This Row],[In Full]]</f>
        <v>1</v>
      </c>
      <c r="AA1386">
        <f>IF(fNotasFiscais[[#This Row],[Nota Fiscal]]&lt;&gt;"",1,0)</f>
        <v>1</v>
      </c>
    </row>
    <row r="1387" spans="1:27" x14ac:dyDescent="0.25">
      <c r="A1387" s="1">
        <v>43519</v>
      </c>
      <c r="B1387">
        <v>11796</v>
      </c>
      <c r="C1387" s="2" t="s">
        <v>40</v>
      </c>
      <c r="D1387" s="2" t="s">
        <v>41</v>
      </c>
      <c r="E1387" s="2" t="s">
        <v>33</v>
      </c>
      <c r="F1387">
        <v>4138</v>
      </c>
      <c r="G1387" s="2" t="s">
        <v>221</v>
      </c>
      <c r="H1387" s="2" t="s">
        <v>173</v>
      </c>
      <c r="I1387" s="2" t="s">
        <v>174</v>
      </c>
      <c r="J1387" s="2" t="s">
        <v>175</v>
      </c>
      <c r="K1387" s="2" t="s">
        <v>174</v>
      </c>
      <c r="L1387">
        <v>2295.87</v>
      </c>
      <c r="M1387">
        <v>1</v>
      </c>
      <c r="N1387">
        <v>4.5110000000000001</v>
      </c>
      <c r="O1387">
        <v>6700091</v>
      </c>
      <c r="P1387" s="2" t="s">
        <v>176</v>
      </c>
      <c r="Q1387" s="2" t="s">
        <v>173</v>
      </c>
      <c r="R1387" s="2" t="s">
        <v>30</v>
      </c>
      <c r="S1387">
        <v>8</v>
      </c>
      <c r="T1387" s="1">
        <v>43519</v>
      </c>
      <c r="U1387" s="1">
        <v>43524</v>
      </c>
      <c r="V1387" s="2" t="s">
        <v>42</v>
      </c>
      <c r="W1387" s="1">
        <f>fNotasFiscais[[#This Row],[Data da Coleta]]+fNotasFiscais[[#This Row],[Prazo Contratado]]</f>
        <v>43527</v>
      </c>
      <c r="X1387" s="3">
        <f>IF(fNotasFiscais[[#This Row],[Data da Entrega]]&gt;fNotasFiscais[[#This Row],[Data Contratada]],0,1)</f>
        <v>1</v>
      </c>
      <c r="Y1387" s="3">
        <f>IF(fNotasFiscais[[#This Row],[Ocorrência]]="",1,0)</f>
        <v>0</v>
      </c>
      <c r="Z1387" s="2">
        <f>fNotasFiscais[[#This Row],[On Time]]*fNotasFiscais[[#This Row],[In Full]]</f>
        <v>0</v>
      </c>
      <c r="AA1387">
        <f>IF(fNotasFiscais[[#This Row],[Nota Fiscal]]&lt;&gt;"",1,0)</f>
        <v>1</v>
      </c>
    </row>
    <row r="1388" spans="1:27" x14ac:dyDescent="0.25">
      <c r="A1388" s="1">
        <v>43519</v>
      </c>
      <c r="B1388">
        <v>11797</v>
      </c>
      <c r="C1388" s="2" t="s">
        <v>54</v>
      </c>
      <c r="D1388" s="2" t="s">
        <v>55</v>
      </c>
      <c r="E1388" s="2" t="s">
        <v>56</v>
      </c>
      <c r="F1388">
        <v>4037</v>
      </c>
      <c r="G1388" s="2" t="s">
        <v>113</v>
      </c>
      <c r="H1388" s="2" t="s">
        <v>47</v>
      </c>
      <c r="I1388" s="2" t="s">
        <v>48</v>
      </c>
      <c r="J1388" s="2" t="s">
        <v>49</v>
      </c>
      <c r="K1388" s="2" t="s">
        <v>48</v>
      </c>
      <c r="L1388">
        <v>244.26</v>
      </c>
      <c r="M1388">
        <v>1</v>
      </c>
      <c r="N1388">
        <v>0.91900000000000004</v>
      </c>
      <c r="O1388">
        <v>6100231</v>
      </c>
      <c r="P1388" s="2" t="s">
        <v>50</v>
      </c>
      <c r="Q1388" s="2" t="s">
        <v>51</v>
      </c>
      <c r="R1388" s="2" t="s">
        <v>30</v>
      </c>
      <c r="S1388">
        <v>7</v>
      </c>
      <c r="T1388" s="1">
        <v>43519</v>
      </c>
      <c r="U1388" s="1">
        <v>43528</v>
      </c>
      <c r="V1388" s="2"/>
      <c r="W1388" s="1">
        <f>fNotasFiscais[[#This Row],[Data da Coleta]]+fNotasFiscais[[#This Row],[Prazo Contratado]]</f>
        <v>43526</v>
      </c>
      <c r="X1388" s="3">
        <f>IF(fNotasFiscais[[#This Row],[Data da Entrega]]&gt;fNotasFiscais[[#This Row],[Data Contratada]],0,1)</f>
        <v>0</v>
      </c>
      <c r="Y1388" s="3">
        <f>IF(fNotasFiscais[[#This Row],[Ocorrência]]="",1,0)</f>
        <v>1</v>
      </c>
      <c r="Z1388" s="2">
        <f>fNotasFiscais[[#This Row],[On Time]]*fNotasFiscais[[#This Row],[In Full]]</f>
        <v>0</v>
      </c>
      <c r="AA1388">
        <f>IF(fNotasFiscais[[#This Row],[Nota Fiscal]]&lt;&gt;"",1,0)</f>
        <v>1</v>
      </c>
    </row>
    <row r="1389" spans="1:27" x14ac:dyDescent="0.25">
      <c r="A1389" s="1">
        <v>43519</v>
      </c>
      <c r="B1389">
        <v>11798</v>
      </c>
      <c r="C1389" s="2" t="s">
        <v>54</v>
      </c>
      <c r="D1389" s="2" t="s">
        <v>55</v>
      </c>
      <c r="E1389" s="2" t="s">
        <v>56</v>
      </c>
      <c r="F1389">
        <v>4056</v>
      </c>
      <c r="G1389" s="2" t="s">
        <v>119</v>
      </c>
      <c r="H1389" s="2" t="s">
        <v>51</v>
      </c>
      <c r="I1389" s="2" t="s">
        <v>73</v>
      </c>
      <c r="J1389" s="2" t="s">
        <v>49</v>
      </c>
      <c r="K1389" s="2" t="s">
        <v>73</v>
      </c>
      <c r="L1389">
        <v>982.16</v>
      </c>
      <c r="M1389">
        <v>2</v>
      </c>
      <c r="N1389">
        <v>5.5110000000000001</v>
      </c>
      <c r="O1389">
        <v>6100231</v>
      </c>
      <c r="P1389" s="2" t="s">
        <v>50</v>
      </c>
      <c r="Q1389" s="2" t="s">
        <v>51</v>
      </c>
      <c r="R1389" s="2" t="s">
        <v>30</v>
      </c>
      <c r="S1389">
        <v>5</v>
      </c>
      <c r="T1389" s="1">
        <v>43519</v>
      </c>
      <c r="U1389" s="1">
        <v>43520</v>
      </c>
      <c r="V1389" s="2"/>
      <c r="W1389" s="1">
        <f>fNotasFiscais[[#This Row],[Data da Coleta]]+fNotasFiscais[[#This Row],[Prazo Contratado]]</f>
        <v>43524</v>
      </c>
      <c r="X1389" s="3">
        <f>IF(fNotasFiscais[[#This Row],[Data da Entrega]]&gt;fNotasFiscais[[#This Row],[Data Contratada]],0,1)</f>
        <v>1</v>
      </c>
      <c r="Y1389" s="3">
        <f>IF(fNotasFiscais[[#This Row],[Ocorrência]]="",1,0)</f>
        <v>1</v>
      </c>
      <c r="Z1389" s="2">
        <f>fNotasFiscais[[#This Row],[On Time]]*fNotasFiscais[[#This Row],[In Full]]</f>
        <v>1</v>
      </c>
      <c r="AA1389">
        <f>IF(fNotasFiscais[[#This Row],[Nota Fiscal]]&lt;&gt;"",1,0)</f>
        <v>1</v>
      </c>
    </row>
    <row r="1390" spans="1:27" x14ac:dyDescent="0.25">
      <c r="A1390" s="1">
        <v>43519</v>
      </c>
      <c r="B1390">
        <v>11799</v>
      </c>
      <c r="C1390" s="2" t="s">
        <v>43</v>
      </c>
      <c r="D1390" s="2" t="s">
        <v>44</v>
      </c>
      <c r="E1390" s="2" t="s">
        <v>45</v>
      </c>
      <c r="F1390">
        <v>4028</v>
      </c>
      <c r="G1390" s="2" t="s">
        <v>95</v>
      </c>
      <c r="H1390" s="2" t="s">
        <v>26</v>
      </c>
      <c r="I1390" s="2" t="s">
        <v>27</v>
      </c>
      <c r="J1390" s="2" t="s">
        <v>28</v>
      </c>
      <c r="K1390" s="2" t="s">
        <v>27</v>
      </c>
      <c r="L1390">
        <v>1420.47</v>
      </c>
      <c r="M1390">
        <v>1</v>
      </c>
      <c r="N1390">
        <v>4.992</v>
      </c>
      <c r="O1390">
        <v>6500948</v>
      </c>
      <c r="P1390" s="2" t="s">
        <v>29</v>
      </c>
      <c r="Q1390" s="2" t="s">
        <v>23</v>
      </c>
      <c r="R1390" s="2" t="s">
        <v>30</v>
      </c>
      <c r="S1390">
        <v>4</v>
      </c>
      <c r="T1390" s="1">
        <v>43519</v>
      </c>
      <c r="U1390" s="1">
        <v>43529</v>
      </c>
      <c r="V1390" s="2" t="s">
        <v>42</v>
      </c>
      <c r="W1390" s="1">
        <f>fNotasFiscais[[#This Row],[Data da Coleta]]+fNotasFiscais[[#This Row],[Prazo Contratado]]</f>
        <v>43523</v>
      </c>
      <c r="X1390" s="3">
        <f>IF(fNotasFiscais[[#This Row],[Data da Entrega]]&gt;fNotasFiscais[[#This Row],[Data Contratada]],0,1)</f>
        <v>0</v>
      </c>
      <c r="Y1390" s="3">
        <f>IF(fNotasFiscais[[#This Row],[Ocorrência]]="",1,0)</f>
        <v>0</v>
      </c>
      <c r="Z1390" s="2">
        <f>fNotasFiscais[[#This Row],[On Time]]*fNotasFiscais[[#This Row],[In Full]]</f>
        <v>0</v>
      </c>
      <c r="AA1390">
        <f>IF(fNotasFiscais[[#This Row],[Nota Fiscal]]&lt;&gt;"",1,0)</f>
        <v>1</v>
      </c>
    </row>
    <row r="1391" spans="1:27" x14ac:dyDescent="0.25">
      <c r="A1391" s="1">
        <v>43519</v>
      </c>
      <c r="B1391">
        <v>11800</v>
      </c>
      <c r="C1391" s="2" t="s">
        <v>54</v>
      </c>
      <c r="D1391" s="2" t="s">
        <v>55</v>
      </c>
      <c r="E1391" s="2" t="s">
        <v>56</v>
      </c>
      <c r="F1391">
        <v>4028</v>
      </c>
      <c r="G1391" s="2" t="s">
        <v>95</v>
      </c>
      <c r="H1391" s="2" t="s">
        <v>26</v>
      </c>
      <c r="I1391" s="2" t="s">
        <v>27</v>
      </c>
      <c r="J1391" s="2" t="s">
        <v>28</v>
      </c>
      <c r="K1391" s="2" t="s">
        <v>27</v>
      </c>
      <c r="L1391">
        <v>631.87</v>
      </c>
      <c r="M1391">
        <v>1</v>
      </c>
      <c r="N1391">
        <v>4.6760000000000002</v>
      </c>
      <c r="O1391">
        <v>6500948</v>
      </c>
      <c r="P1391" s="2" t="s">
        <v>29</v>
      </c>
      <c r="Q1391" s="2" t="s">
        <v>23</v>
      </c>
      <c r="R1391" s="2" t="s">
        <v>30</v>
      </c>
      <c r="S1391">
        <v>8</v>
      </c>
      <c r="T1391" s="1">
        <v>43519</v>
      </c>
      <c r="U1391" s="1">
        <v>43527</v>
      </c>
      <c r="V1391" s="2"/>
      <c r="W1391" s="1">
        <f>fNotasFiscais[[#This Row],[Data da Coleta]]+fNotasFiscais[[#This Row],[Prazo Contratado]]</f>
        <v>43527</v>
      </c>
      <c r="X1391" s="3">
        <f>IF(fNotasFiscais[[#This Row],[Data da Entrega]]&gt;fNotasFiscais[[#This Row],[Data Contratada]],0,1)</f>
        <v>1</v>
      </c>
      <c r="Y1391" s="3">
        <f>IF(fNotasFiscais[[#This Row],[Ocorrência]]="",1,0)</f>
        <v>1</v>
      </c>
      <c r="Z1391" s="2">
        <f>fNotasFiscais[[#This Row],[On Time]]*fNotasFiscais[[#This Row],[In Full]]</f>
        <v>1</v>
      </c>
      <c r="AA1391">
        <f>IF(fNotasFiscais[[#This Row],[Nota Fiscal]]&lt;&gt;"",1,0)</f>
        <v>1</v>
      </c>
    </row>
    <row r="1392" spans="1:27" x14ac:dyDescent="0.25">
      <c r="A1392" s="1">
        <v>43519</v>
      </c>
      <c r="B1392">
        <v>11801</v>
      </c>
      <c r="C1392" s="2" t="s">
        <v>54</v>
      </c>
      <c r="D1392" s="2" t="s">
        <v>55</v>
      </c>
      <c r="E1392" s="2" t="s">
        <v>56</v>
      </c>
      <c r="F1392">
        <v>4056</v>
      </c>
      <c r="G1392" s="2" t="s">
        <v>119</v>
      </c>
      <c r="H1392" s="2" t="s">
        <v>51</v>
      </c>
      <c r="I1392" s="2" t="s">
        <v>73</v>
      </c>
      <c r="J1392" s="2" t="s">
        <v>49</v>
      </c>
      <c r="K1392" s="2" t="s">
        <v>73</v>
      </c>
      <c r="L1392">
        <v>1000.9</v>
      </c>
      <c r="M1392">
        <v>2</v>
      </c>
      <c r="N1392">
        <v>2.3650000000000002</v>
      </c>
      <c r="O1392">
        <v>6100231</v>
      </c>
      <c r="P1392" s="2" t="s">
        <v>50</v>
      </c>
      <c r="Q1392" s="2" t="s">
        <v>51</v>
      </c>
      <c r="R1392" s="2" t="s">
        <v>30</v>
      </c>
      <c r="S1392">
        <v>2</v>
      </c>
      <c r="T1392" s="1">
        <v>43519</v>
      </c>
      <c r="U1392" s="1">
        <v>43528</v>
      </c>
      <c r="V1392" s="2"/>
      <c r="W1392" s="1">
        <f>fNotasFiscais[[#This Row],[Data da Coleta]]+fNotasFiscais[[#This Row],[Prazo Contratado]]</f>
        <v>43521</v>
      </c>
      <c r="X1392" s="3">
        <f>IF(fNotasFiscais[[#This Row],[Data da Entrega]]&gt;fNotasFiscais[[#This Row],[Data Contratada]],0,1)</f>
        <v>0</v>
      </c>
      <c r="Y1392" s="3">
        <f>IF(fNotasFiscais[[#This Row],[Ocorrência]]="",1,0)</f>
        <v>1</v>
      </c>
      <c r="Z1392" s="2">
        <f>fNotasFiscais[[#This Row],[On Time]]*fNotasFiscais[[#This Row],[In Full]]</f>
        <v>0</v>
      </c>
      <c r="AA1392">
        <f>IF(fNotasFiscais[[#This Row],[Nota Fiscal]]&lt;&gt;"",1,0)</f>
        <v>1</v>
      </c>
    </row>
    <row r="1393" spans="1:27" x14ac:dyDescent="0.25">
      <c r="A1393" s="1">
        <v>43519</v>
      </c>
      <c r="B1393">
        <v>11802</v>
      </c>
      <c r="C1393" s="2" t="s">
        <v>31</v>
      </c>
      <c r="D1393" s="2" t="s">
        <v>32</v>
      </c>
      <c r="E1393" s="2" t="s">
        <v>33</v>
      </c>
      <c r="F1393">
        <v>4056</v>
      </c>
      <c r="G1393" s="2" t="s">
        <v>119</v>
      </c>
      <c r="H1393" s="2" t="s">
        <v>51</v>
      </c>
      <c r="I1393" s="2" t="s">
        <v>73</v>
      </c>
      <c r="J1393" s="2" t="s">
        <v>49</v>
      </c>
      <c r="K1393" s="2" t="s">
        <v>73</v>
      </c>
      <c r="L1393">
        <v>3126.47</v>
      </c>
      <c r="M1393">
        <v>3</v>
      </c>
      <c r="N1393">
        <v>28.248000000000001</v>
      </c>
      <c r="O1393">
        <v>6100231</v>
      </c>
      <c r="P1393" s="2" t="s">
        <v>50</v>
      </c>
      <c r="Q1393" s="2" t="s">
        <v>51</v>
      </c>
      <c r="R1393" s="2" t="s">
        <v>30</v>
      </c>
      <c r="S1393">
        <v>8</v>
      </c>
      <c r="T1393" s="1">
        <v>43519</v>
      </c>
      <c r="U1393" s="1">
        <v>43525</v>
      </c>
      <c r="V1393" s="2"/>
      <c r="W1393" s="1">
        <f>fNotasFiscais[[#This Row],[Data da Coleta]]+fNotasFiscais[[#This Row],[Prazo Contratado]]</f>
        <v>43527</v>
      </c>
      <c r="X1393" s="3">
        <f>IF(fNotasFiscais[[#This Row],[Data da Entrega]]&gt;fNotasFiscais[[#This Row],[Data Contratada]],0,1)</f>
        <v>1</v>
      </c>
      <c r="Y1393" s="3">
        <f>IF(fNotasFiscais[[#This Row],[Ocorrência]]="",1,0)</f>
        <v>1</v>
      </c>
      <c r="Z1393" s="2">
        <f>fNotasFiscais[[#This Row],[On Time]]*fNotasFiscais[[#This Row],[In Full]]</f>
        <v>1</v>
      </c>
      <c r="AA1393">
        <f>IF(fNotasFiscais[[#This Row],[Nota Fiscal]]&lt;&gt;"",1,0)</f>
        <v>1</v>
      </c>
    </row>
    <row r="1394" spans="1:27" x14ac:dyDescent="0.25">
      <c r="A1394" s="1">
        <v>43520</v>
      </c>
      <c r="B1394">
        <v>11803</v>
      </c>
      <c r="C1394" s="2" t="s">
        <v>22</v>
      </c>
      <c r="D1394" s="2" t="s">
        <v>23</v>
      </c>
      <c r="E1394" s="2" t="s">
        <v>24</v>
      </c>
      <c r="F1394">
        <v>4013</v>
      </c>
      <c r="G1394" s="2" t="s">
        <v>37</v>
      </c>
      <c r="H1394" s="2" t="s">
        <v>38</v>
      </c>
      <c r="I1394" s="2" t="s">
        <v>39</v>
      </c>
      <c r="J1394" s="2" t="s">
        <v>28</v>
      </c>
      <c r="K1394" s="2" t="s">
        <v>39</v>
      </c>
      <c r="L1394">
        <v>79.48</v>
      </c>
      <c r="M1394">
        <v>1</v>
      </c>
      <c r="N1394">
        <v>0.26600000000000001</v>
      </c>
      <c r="O1394">
        <v>6500948</v>
      </c>
      <c r="P1394" s="2" t="s">
        <v>29</v>
      </c>
      <c r="Q1394" s="2" t="s">
        <v>23</v>
      </c>
      <c r="R1394" s="2" t="s">
        <v>30</v>
      </c>
      <c r="S1394">
        <v>3</v>
      </c>
      <c r="T1394" s="1">
        <v>43520</v>
      </c>
      <c r="U1394" s="1">
        <v>43527</v>
      </c>
      <c r="V1394" s="2" t="s">
        <v>42</v>
      </c>
      <c r="W1394" s="1">
        <f>fNotasFiscais[[#This Row],[Data da Coleta]]+fNotasFiscais[[#This Row],[Prazo Contratado]]</f>
        <v>43523</v>
      </c>
      <c r="X1394" s="3">
        <f>IF(fNotasFiscais[[#This Row],[Data da Entrega]]&gt;fNotasFiscais[[#This Row],[Data Contratada]],0,1)</f>
        <v>0</v>
      </c>
      <c r="Y1394" s="3">
        <f>IF(fNotasFiscais[[#This Row],[Ocorrência]]="",1,0)</f>
        <v>0</v>
      </c>
      <c r="Z1394" s="2">
        <f>fNotasFiscais[[#This Row],[On Time]]*fNotasFiscais[[#This Row],[In Full]]</f>
        <v>0</v>
      </c>
      <c r="AA1394">
        <f>IF(fNotasFiscais[[#This Row],[Nota Fiscal]]&lt;&gt;"",1,0)</f>
        <v>1</v>
      </c>
    </row>
    <row r="1395" spans="1:27" x14ac:dyDescent="0.25">
      <c r="A1395" s="1">
        <v>43520</v>
      </c>
      <c r="B1395">
        <v>11804</v>
      </c>
      <c r="C1395" s="2" t="s">
        <v>34</v>
      </c>
      <c r="D1395" s="2" t="s">
        <v>35</v>
      </c>
      <c r="E1395" s="2" t="s">
        <v>36</v>
      </c>
      <c r="F1395">
        <v>4032</v>
      </c>
      <c r="G1395" s="2" t="s">
        <v>108</v>
      </c>
      <c r="H1395" s="2" t="s">
        <v>51</v>
      </c>
      <c r="I1395" s="2" t="s">
        <v>73</v>
      </c>
      <c r="J1395" s="2" t="s">
        <v>49</v>
      </c>
      <c r="K1395" s="2" t="s">
        <v>73</v>
      </c>
      <c r="L1395">
        <v>653.37</v>
      </c>
      <c r="M1395">
        <v>1</v>
      </c>
      <c r="N1395">
        <v>4.6760000000000002</v>
      </c>
      <c r="O1395">
        <v>6100231</v>
      </c>
      <c r="P1395" s="2" t="s">
        <v>50</v>
      </c>
      <c r="Q1395" s="2" t="s">
        <v>51</v>
      </c>
      <c r="R1395" s="2" t="s">
        <v>30</v>
      </c>
      <c r="S1395">
        <v>6</v>
      </c>
      <c r="T1395" s="1">
        <v>43520</v>
      </c>
      <c r="U1395" s="1">
        <v>43529</v>
      </c>
      <c r="V1395" s="2"/>
      <c r="W1395" s="1">
        <f>fNotasFiscais[[#This Row],[Data da Coleta]]+fNotasFiscais[[#This Row],[Prazo Contratado]]</f>
        <v>43526</v>
      </c>
      <c r="X1395" s="3">
        <f>IF(fNotasFiscais[[#This Row],[Data da Entrega]]&gt;fNotasFiscais[[#This Row],[Data Contratada]],0,1)</f>
        <v>0</v>
      </c>
      <c r="Y1395" s="3">
        <f>IF(fNotasFiscais[[#This Row],[Ocorrência]]="",1,0)</f>
        <v>1</v>
      </c>
      <c r="Z1395" s="2">
        <f>fNotasFiscais[[#This Row],[On Time]]*fNotasFiscais[[#This Row],[In Full]]</f>
        <v>0</v>
      </c>
      <c r="AA1395">
        <f>IF(fNotasFiscais[[#This Row],[Nota Fiscal]]&lt;&gt;"",1,0)</f>
        <v>1</v>
      </c>
    </row>
    <row r="1396" spans="1:27" x14ac:dyDescent="0.25">
      <c r="A1396" s="1">
        <v>43524</v>
      </c>
      <c r="B1396">
        <v>11805</v>
      </c>
      <c r="C1396" s="2" t="s">
        <v>22</v>
      </c>
      <c r="D1396" s="2" t="s">
        <v>23</v>
      </c>
      <c r="E1396" s="2" t="s">
        <v>24</v>
      </c>
      <c r="F1396">
        <v>4013</v>
      </c>
      <c r="G1396" s="2" t="s">
        <v>37</v>
      </c>
      <c r="H1396" s="2" t="s">
        <v>38</v>
      </c>
      <c r="I1396" s="2" t="s">
        <v>39</v>
      </c>
      <c r="J1396" s="2" t="s">
        <v>28</v>
      </c>
      <c r="K1396" s="2" t="s">
        <v>39</v>
      </c>
      <c r="L1396">
        <v>423.7</v>
      </c>
      <c r="M1396">
        <v>1</v>
      </c>
      <c r="N1396">
        <v>5.5060000000000002</v>
      </c>
      <c r="O1396">
        <v>6500948</v>
      </c>
      <c r="P1396" s="2" t="s">
        <v>29</v>
      </c>
      <c r="Q1396" s="2" t="s">
        <v>23</v>
      </c>
      <c r="R1396" s="2" t="s">
        <v>62</v>
      </c>
      <c r="S1396">
        <v>4</v>
      </c>
      <c r="T1396" s="1">
        <v>43524</v>
      </c>
      <c r="U1396" s="1">
        <v>43527</v>
      </c>
      <c r="V1396" s="2"/>
      <c r="W1396" s="1">
        <f>fNotasFiscais[[#This Row],[Data da Coleta]]+fNotasFiscais[[#This Row],[Prazo Contratado]]</f>
        <v>43528</v>
      </c>
      <c r="X1396" s="3">
        <f>IF(fNotasFiscais[[#This Row],[Data da Entrega]]&gt;fNotasFiscais[[#This Row],[Data Contratada]],0,1)</f>
        <v>1</v>
      </c>
      <c r="Y1396" s="3">
        <f>IF(fNotasFiscais[[#This Row],[Ocorrência]]="",1,0)</f>
        <v>1</v>
      </c>
      <c r="Z1396" s="2">
        <f>fNotasFiscais[[#This Row],[On Time]]*fNotasFiscais[[#This Row],[In Full]]</f>
        <v>1</v>
      </c>
      <c r="AA1396">
        <f>IF(fNotasFiscais[[#This Row],[Nota Fiscal]]&lt;&gt;"",1,0)</f>
        <v>1</v>
      </c>
    </row>
    <row r="1397" spans="1:27" x14ac:dyDescent="0.25">
      <c r="A1397" s="1">
        <v>43524</v>
      </c>
      <c r="B1397">
        <v>11806</v>
      </c>
      <c r="C1397" s="2" t="s">
        <v>22</v>
      </c>
      <c r="D1397" s="2" t="s">
        <v>23</v>
      </c>
      <c r="E1397" s="2" t="s">
        <v>24</v>
      </c>
      <c r="F1397">
        <v>4013</v>
      </c>
      <c r="G1397" s="2" t="s">
        <v>37</v>
      </c>
      <c r="H1397" s="2" t="s">
        <v>38</v>
      </c>
      <c r="I1397" s="2" t="s">
        <v>39</v>
      </c>
      <c r="J1397" s="2" t="s">
        <v>28</v>
      </c>
      <c r="K1397" s="2" t="s">
        <v>39</v>
      </c>
      <c r="L1397">
        <v>1134.23</v>
      </c>
      <c r="M1397">
        <v>1</v>
      </c>
      <c r="N1397">
        <v>13.86</v>
      </c>
      <c r="O1397">
        <v>6500948</v>
      </c>
      <c r="P1397" s="2" t="s">
        <v>29</v>
      </c>
      <c r="Q1397" s="2" t="s">
        <v>23</v>
      </c>
      <c r="R1397" s="2" t="s">
        <v>30</v>
      </c>
      <c r="S1397">
        <v>1</v>
      </c>
      <c r="T1397" s="1">
        <v>43524</v>
      </c>
      <c r="U1397" s="1">
        <v>43533</v>
      </c>
      <c r="V1397" s="2" t="s">
        <v>42</v>
      </c>
      <c r="W1397" s="1">
        <f>fNotasFiscais[[#This Row],[Data da Coleta]]+fNotasFiscais[[#This Row],[Prazo Contratado]]</f>
        <v>43525</v>
      </c>
      <c r="X1397" s="3">
        <f>IF(fNotasFiscais[[#This Row],[Data da Entrega]]&gt;fNotasFiscais[[#This Row],[Data Contratada]],0,1)</f>
        <v>0</v>
      </c>
      <c r="Y1397" s="3">
        <f>IF(fNotasFiscais[[#This Row],[Ocorrência]]="",1,0)</f>
        <v>0</v>
      </c>
      <c r="Z1397" s="2">
        <f>fNotasFiscais[[#This Row],[On Time]]*fNotasFiscais[[#This Row],[In Full]]</f>
        <v>0</v>
      </c>
      <c r="AA1397">
        <f>IF(fNotasFiscais[[#This Row],[Nota Fiscal]]&lt;&gt;"",1,0)</f>
        <v>1</v>
      </c>
    </row>
    <row r="1398" spans="1:27" x14ac:dyDescent="0.25">
      <c r="A1398" s="1">
        <v>43526</v>
      </c>
      <c r="B1398">
        <v>11807</v>
      </c>
      <c r="C1398" s="2" t="s">
        <v>34</v>
      </c>
      <c r="D1398" s="2" t="s">
        <v>35</v>
      </c>
      <c r="E1398" s="2" t="s">
        <v>36</v>
      </c>
      <c r="F1398">
        <v>4023</v>
      </c>
      <c r="G1398" s="2" t="s">
        <v>88</v>
      </c>
      <c r="H1398" s="2" t="s">
        <v>78</v>
      </c>
      <c r="I1398" s="2" t="s">
        <v>39</v>
      </c>
      <c r="J1398" s="2" t="s">
        <v>28</v>
      </c>
      <c r="K1398" s="2" t="s">
        <v>39</v>
      </c>
      <c r="L1398">
        <v>561.92999999999995</v>
      </c>
      <c r="M1398">
        <v>1</v>
      </c>
      <c r="N1398">
        <v>3.96</v>
      </c>
      <c r="O1398">
        <v>6500948</v>
      </c>
      <c r="P1398" s="2" t="s">
        <v>29</v>
      </c>
      <c r="Q1398" s="2" t="s">
        <v>23</v>
      </c>
      <c r="R1398" s="2" t="s">
        <v>30</v>
      </c>
      <c r="S1398">
        <v>8</v>
      </c>
      <c r="T1398" s="1">
        <v>43526</v>
      </c>
      <c r="U1398" s="1">
        <v>43527</v>
      </c>
      <c r="V1398" s="2" t="s">
        <v>57</v>
      </c>
      <c r="W1398" s="1">
        <f>fNotasFiscais[[#This Row],[Data da Coleta]]+fNotasFiscais[[#This Row],[Prazo Contratado]]</f>
        <v>43534</v>
      </c>
      <c r="X1398" s="3">
        <f>IF(fNotasFiscais[[#This Row],[Data da Entrega]]&gt;fNotasFiscais[[#This Row],[Data Contratada]],0,1)</f>
        <v>1</v>
      </c>
      <c r="Y1398" s="3">
        <f>IF(fNotasFiscais[[#This Row],[Ocorrência]]="",1,0)</f>
        <v>0</v>
      </c>
      <c r="Z1398" s="2">
        <f>fNotasFiscais[[#This Row],[On Time]]*fNotasFiscais[[#This Row],[In Full]]</f>
        <v>0</v>
      </c>
      <c r="AA1398">
        <f>IF(fNotasFiscais[[#This Row],[Nota Fiscal]]&lt;&gt;"",1,0)</f>
        <v>1</v>
      </c>
    </row>
    <row r="1399" spans="1:27" x14ac:dyDescent="0.25">
      <c r="A1399" s="1">
        <v>43526</v>
      </c>
      <c r="B1399">
        <v>11808</v>
      </c>
      <c r="C1399" s="2" t="s">
        <v>52</v>
      </c>
      <c r="D1399" s="2" t="s">
        <v>53</v>
      </c>
      <c r="E1399" s="2" t="s">
        <v>33</v>
      </c>
      <c r="F1399">
        <v>4022</v>
      </c>
      <c r="G1399" s="2" t="s">
        <v>86</v>
      </c>
      <c r="H1399" s="2" t="s">
        <v>87</v>
      </c>
      <c r="I1399" s="2" t="s">
        <v>27</v>
      </c>
      <c r="J1399" s="2" t="s">
        <v>28</v>
      </c>
      <c r="K1399" s="2" t="s">
        <v>27</v>
      </c>
      <c r="L1399">
        <v>46011.76</v>
      </c>
      <c r="M1399">
        <v>72</v>
      </c>
      <c r="N1399">
        <v>361.815</v>
      </c>
      <c r="O1399">
        <v>6500948</v>
      </c>
      <c r="P1399" s="2" t="s">
        <v>29</v>
      </c>
      <c r="Q1399" s="2" t="s">
        <v>23</v>
      </c>
      <c r="R1399" s="2" t="s">
        <v>30</v>
      </c>
      <c r="S1399">
        <v>7</v>
      </c>
      <c r="T1399" s="1">
        <v>43526</v>
      </c>
      <c r="U1399" s="1">
        <v>43532</v>
      </c>
      <c r="V1399" s="2"/>
      <c r="W1399" s="1">
        <f>fNotasFiscais[[#This Row],[Data da Coleta]]+fNotasFiscais[[#This Row],[Prazo Contratado]]</f>
        <v>43533</v>
      </c>
      <c r="X1399" s="3">
        <f>IF(fNotasFiscais[[#This Row],[Data da Entrega]]&gt;fNotasFiscais[[#This Row],[Data Contratada]],0,1)</f>
        <v>1</v>
      </c>
      <c r="Y1399" s="3">
        <f>IF(fNotasFiscais[[#This Row],[Ocorrência]]="",1,0)</f>
        <v>1</v>
      </c>
      <c r="Z1399" s="2">
        <f>fNotasFiscais[[#This Row],[On Time]]*fNotasFiscais[[#This Row],[In Full]]</f>
        <v>1</v>
      </c>
      <c r="AA1399">
        <f>IF(fNotasFiscais[[#This Row],[Nota Fiscal]]&lt;&gt;"",1,0)</f>
        <v>1</v>
      </c>
    </row>
    <row r="1400" spans="1:27" x14ac:dyDescent="0.25">
      <c r="A1400" s="1">
        <v>43529</v>
      </c>
      <c r="B1400">
        <v>11809</v>
      </c>
      <c r="C1400" s="2" t="s">
        <v>34</v>
      </c>
      <c r="D1400" s="2" t="s">
        <v>35</v>
      </c>
      <c r="E1400" s="2" t="s">
        <v>36</v>
      </c>
      <c r="F1400">
        <v>4060</v>
      </c>
      <c r="G1400" s="2" t="s">
        <v>134</v>
      </c>
      <c r="H1400" s="2" t="s">
        <v>115</v>
      </c>
      <c r="I1400" s="2" t="s">
        <v>107</v>
      </c>
      <c r="J1400" s="2" t="s">
        <v>49</v>
      </c>
      <c r="K1400" s="2" t="s">
        <v>107</v>
      </c>
      <c r="L1400">
        <v>5203.18</v>
      </c>
      <c r="M1400">
        <v>1</v>
      </c>
      <c r="N1400">
        <v>1.1200000000000001</v>
      </c>
      <c r="O1400">
        <v>6100231</v>
      </c>
      <c r="P1400" s="2" t="s">
        <v>50</v>
      </c>
      <c r="Q1400" s="2" t="s">
        <v>51</v>
      </c>
      <c r="R1400" s="2" t="s">
        <v>30</v>
      </c>
      <c r="S1400">
        <v>12</v>
      </c>
      <c r="T1400" s="1">
        <v>43529</v>
      </c>
      <c r="U1400" s="1">
        <v>43533</v>
      </c>
      <c r="V1400" s="2"/>
      <c r="W1400" s="1">
        <f>fNotasFiscais[[#This Row],[Data da Coleta]]+fNotasFiscais[[#This Row],[Prazo Contratado]]</f>
        <v>43541</v>
      </c>
      <c r="X1400" s="3">
        <f>IF(fNotasFiscais[[#This Row],[Data da Entrega]]&gt;fNotasFiscais[[#This Row],[Data Contratada]],0,1)</f>
        <v>1</v>
      </c>
      <c r="Y1400" s="3">
        <f>IF(fNotasFiscais[[#This Row],[Ocorrência]]="",1,0)</f>
        <v>1</v>
      </c>
      <c r="Z1400" s="2">
        <f>fNotasFiscais[[#This Row],[On Time]]*fNotasFiscais[[#This Row],[In Full]]</f>
        <v>1</v>
      </c>
      <c r="AA1400">
        <f>IF(fNotasFiscais[[#This Row],[Nota Fiscal]]&lt;&gt;"",1,0)</f>
        <v>1</v>
      </c>
    </row>
    <row r="1401" spans="1:27" x14ac:dyDescent="0.25">
      <c r="A1401" s="1">
        <v>43529</v>
      </c>
      <c r="B1401">
        <v>11810</v>
      </c>
      <c r="C1401" s="2" t="s">
        <v>40</v>
      </c>
      <c r="D1401" s="2" t="s">
        <v>41</v>
      </c>
      <c r="E1401" s="2" t="s">
        <v>33</v>
      </c>
      <c r="F1401">
        <v>4068</v>
      </c>
      <c r="G1401" s="2" t="s">
        <v>63</v>
      </c>
      <c r="H1401" s="2" t="s">
        <v>64</v>
      </c>
      <c r="I1401" s="2" t="s">
        <v>65</v>
      </c>
      <c r="J1401" s="2" t="s">
        <v>49</v>
      </c>
      <c r="K1401" s="2" t="s">
        <v>65</v>
      </c>
      <c r="L1401">
        <v>398.5</v>
      </c>
      <c r="M1401">
        <v>1</v>
      </c>
      <c r="N1401">
        <v>0.44</v>
      </c>
      <c r="O1401">
        <v>6100231</v>
      </c>
      <c r="P1401" s="2" t="s">
        <v>50</v>
      </c>
      <c r="Q1401" s="2" t="s">
        <v>51</v>
      </c>
      <c r="R1401" s="2" t="s">
        <v>30</v>
      </c>
      <c r="S1401">
        <v>5</v>
      </c>
      <c r="T1401" s="1">
        <v>43529</v>
      </c>
      <c r="U1401" s="1">
        <v>43530</v>
      </c>
      <c r="V1401" s="2"/>
      <c r="W1401" s="1">
        <f>fNotasFiscais[[#This Row],[Data da Coleta]]+fNotasFiscais[[#This Row],[Prazo Contratado]]</f>
        <v>43534</v>
      </c>
      <c r="X1401" s="3">
        <f>IF(fNotasFiscais[[#This Row],[Data da Entrega]]&gt;fNotasFiscais[[#This Row],[Data Contratada]],0,1)</f>
        <v>1</v>
      </c>
      <c r="Y1401" s="3">
        <f>IF(fNotasFiscais[[#This Row],[Ocorrência]]="",1,0)</f>
        <v>1</v>
      </c>
      <c r="Z1401" s="2">
        <f>fNotasFiscais[[#This Row],[On Time]]*fNotasFiscais[[#This Row],[In Full]]</f>
        <v>1</v>
      </c>
      <c r="AA1401">
        <f>IF(fNotasFiscais[[#This Row],[Nota Fiscal]]&lt;&gt;"",1,0)</f>
        <v>1</v>
      </c>
    </row>
    <row r="1402" spans="1:27" x14ac:dyDescent="0.25">
      <c r="A1402" s="1">
        <v>43530</v>
      </c>
      <c r="B1402">
        <v>11811</v>
      </c>
      <c r="C1402" s="2" t="s">
        <v>54</v>
      </c>
      <c r="D1402" s="2" t="s">
        <v>55</v>
      </c>
      <c r="E1402" s="2" t="s">
        <v>56</v>
      </c>
      <c r="F1402">
        <v>4139</v>
      </c>
      <c r="G1402" s="2" t="s">
        <v>222</v>
      </c>
      <c r="H1402" s="2" t="s">
        <v>35</v>
      </c>
      <c r="I1402" s="2" t="s">
        <v>36</v>
      </c>
      <c r="J1402" s="2" t="s">
        <v>60</v>
      </c>
      <c r="K1402" s="2" t="s">
        <v>36</v>
      </c>
      <c r="L1402">
        <v>1173.33</v>
      </c>
      <c r="M1402">
        <v>5</v>
      </c>
      <c r="N1402">
        <v>46.848999999999997</v>
      </c>
      <c r="O1402">
        <v>6600879</v>
      </c>
      <c r="P1402" s="2" t="s">
        <v>61</v>
      </c>
      <c r="Q1402" s="2" t="s">
        <v>35</v>
      </c>
      <c r="R1402" s="2" t="s">
        <v>30</v>
      </c>
      <c r="S1402">
        <v>5</v>
      </c>
      <c r="T1402" s="1">
        <v>43530</v>
      </c>
      <c r="U1402" s="1">
        <v>43539</v>
      </c>
      <c r="V1402" s="2"/>
      <c r="W1402" s="1">
        <f>fNotasFiscais[[#This Row],[Data da Coleta]]+fNotasFiscais[[#This Row],[Prazo Contratado]]</f>
        <v>43535</v>
      </c>
      <c r="X1402" s="3">
        <f>IF(fNotasFiscais[[#This Row],[Data da Entrega]]&gt;fNotasFiscais[[#This Row],[Data Contratada]],0,1)</f>
        <v>0</v>
      </c>
      <c r="Y1402" s="3">
        <f>IF(fNotasFiscais[[#This Row],[Ocorrência]]="",1,0)</f>
        <v>1</v>
      </c>
      <c r="Z1402" s="2">
        <f>fNotasFiscais[[#This Row],[On Time]]*fNotasFiscais[[#This Row],[In Full]]</f>
        <v>0</v>
      </c>
      <c r="AA1402">
        <f>IF(fNotasFiscais[[#This Row],[Nota Fiscal]]&lt;&gt;"",1,0)</f>
        <v>1</v>
      </c>
    </row>
    <row r="1403" spans="1:27" x14ac:dyDescent="0.25">
      <c r="A1403" s="1">
        <v>43530</v>
      </c>
      <c r="B1403">
        <v>11812</v>
      </c>
      <c r="C1403" s="2" t="s">
        <v>52</v>
      </c>
      <c r="D1403" s="2" t="s">
        <v>53</v>
      </c>
      <c r="E1403" s="2" t="s">
        <v>33</v>
      </c>
      <c r="F1403">
        <v>4023</v>
      </c>
      <c r="G1403" s="2" t="s">
        <v>88</v>
      </c>
      <c r="H1403" s="2" t="s">
        <v>78</v>
      </c>
      <c r="I1403" s="2" t="s">
        <v>39</v>
      </c>
      <c r="J1403" s="2" t="s">
        <v>28</v>
      </c>
      <c r="K1403" s="2" t="s">
        <v>39</v>
      </c>
      <c r="L1403">
        <v>1161.27</v>
      </c>
      <c r="M1403">
        <v>1</v>
      </c>
      <c r="N1403">
        <v>1.1200000000000001</v>
      </c>
      <c r="O1403">
        <v>6500948</v>
      </c>
      <c r="P1403" s="2" t="s">
        <v>29</v>
      </c>
      <c r="Q1403" s="2" t="s">
        <v>23</v>
      </c>
      <c r="R1403" s="2" t="s">
        <v>62</v>
      </c>
      <c r="S1403">
        <v>12</v>
      </c>
      <c r="T1403" s="1">
        <v>43530</v>
      </c>
      <c r="U1403" s="1">
        <v>43533</v>
      </c>
      <c r="V1403" s="2"/>
      <c r="W1403" s="1">
        <f>fNotasFiscais[[#This Row],[Data da Coleta]]+fNotasFiscais[[#This Row],[Prazo Contratado]]</f>
        <v>43542</v>
      </c>
      <c r="X1403" s="3">
        <f>IF(fNotasFiscais[[#This Row],[Data da Entrega]]&gt;fNotasFiscais[[#This Row],[Data Contratada]],0,1)</f>
        <v>1</v>
      </c>
      <c r="Y1403" s="3">
        <f>IF(fNotasFiscais[[#This Row],[Ocorrência]]="",1,0)</f>
        <v>1</v>
      </c>
      <c r="Z1403" s="2">
        <f>fNotasFiscais[[#This Row],[On Time]]*fNotasFiscais[[#This Row],[In Full]]</f>
        <v>1</v>
      </c>
      <c r="AA1403">
        <f>IF(fNotasFiscais[[#This Row],[Nota Fiscal]]&lt;&gt;"",1,0)</f>
        <v>1</v>
      </c>
    </row>
    <row r="1404" spans="1:27" x14ac:dyDescent="0.25">
      <c r="A1404" s="1">
        <v>43531</v>
      </c>
      <c r="B1404">
        <v>11813</v>
      </c>
      <c r="C1404" s="2" t="s">
        <v>54</v>
      </c>
      <c r="D1404" s="2" t="s">
        <v>55</v>
      </c>
      <c r="E1404" s="2" t="s">
        <v>56</v>
      </c>
      <c r="F1404">
        <v>4033</v>
      </c>
      <c r="G1404" s="2" t="s">
        <v>109</v>
      </c>
      <c r="H1404" s="2" t="s">
        <v>51</v>
      </c>
      <c r="I1404" s="2" t="s">
        <v>73</v>
      </c>
      <c r="J1404" s="2" t="s">
        <v>49</v>
      </c>
      <c r="K1404" s="2" t="s">
        <v>73</v>
      </c>
      <c r="L1404">
        <v>111.52</v>
      </c>
      <c r="M1404">
        <v>1</v>
      </c>
      <c r="N1404">
        <v>0.22</v>
      </c>
      <c r="O1404">
        <v>6100231</v>
      </c>
      <c r="P1404" s="2" t="s">
        <v>50</v>
      </c>
      <c r="Q1404" s="2" t="s">
        <v>51</v>
      </c>
      <c r="R1404" s="2" t="s">
        <v>30</v>
      </c>
      <c r="S1404">
        <v>2</v>
      </c>
      <c r="T1404" s="1">
        <v>43531</v>
      </c>
      <c r="U1404" s="1">
        <v>43536</v>
      </c>
      <c r="V1404" s="2"/>
      <c r="W1404" s="1">
        <f>fNotasFiscais[[#This Row],[Data da Coleta]]+fNotasFiscais[[#This Row],[Prazo Contratado]]</f>
        <v>43533</v>
      </c>
      <c r="X1404" s="3">
        <f>IF(fNotasFiscais[[#This Row],[Data da Entrega]]&gt;fNotasFiscais[[#This Row],[Data Contratada]],0,1)</f>
        <v>0</v>
      </c>
      <c r="Y1404" s="3">
        <f>IF(fNotasFiscais[[#This Row],[Ocorrência]]="",1,0)</f>
        <v>1</v>
      </c>
      <c r="Z1404" s="2">
        <f>fNotasFiscais[[#This Row],[On Time]]*fNotasFiscais[[#This Row],[In Full]]</f>
        <v>0</v>
      </c>
      <c r="AA1404">
        <f>IF(fNotasFiscais[[#This Row],[Nota Fiscal]]&lt;&gt;"",1,0)</f>
        <v>1</v>
      </c>
    </row>
    <row r="1405" spans="1:27" x14ac:dyDescent="0.25">
      <c r="A1405" s="1">
        <v>43531</v>
      </c>
      <c r="B1405">
        <v>11814</v>
      </c>
      <c r="C1405" s="2" t="s">
        <v>40</v>
      </c>
      <c r="D1405" s="2" t="s">
        <v>41</v>
      </c>
      <c r="E1405" s="2" t="s">
        <v>33</v>
      </c>
      <c r="F1405">
        <v>4068</v>
      </c>
      <c r="G1405" s="2" t="s">
        <v>63</v>
      </c>
      <c r="H1405" s="2" t="s">
        <v>64</v>
      </c>
      <c r="I1405" s="2" t="s">
        <v>65</v>
      </c>
      <c r="J1405" s="2" t="s">
        <v>49</v>
      </c>
      <c r="K1405" s="2" t="s">
        <v>65</v>
      </c>
      <c r="L1405">
        <v>755.31</v>
      </c>
      <c r="M1405">
        <v>1</v>
      </c>
      <c r="N1405">
        <v>0.82199999999999995</v>
      </c>
      <c r="O1405">
        <v>6100231</v>
      </c>
      <c r="P1405" s="2" t="s">
        <v>50</v>
      </c>
      <c r="Q1405" s="2" t="s">
        <v>51</v>
      </c>
      <c r="R1405" s="2" t="s">
        <v>30</v>
      </c>
      <c r="S1405">
        <v>3</v>
      </c>
      <c r="T1405" s="1">
        <v>43531</v>
      </c>
      <c r="U1405" s="1">
        <v>43533</v>
      </c>
      <c r="V1405" s="2"/>
      <c r="W1405" s="1">
        <f>fNotasFiscais[[#This Row],[Data da Coleta]]+fNotasFiscais[[#This Row],[Prazo Contratado]]</f>
        <v>43534</v>
      </c>
      <c r="X1405" s="3">
        <f>IF(fNotasFiscais[[#This Row],[Data da Entrega]]&gt;fNotasFiscais[[#This Row],[Data Contratada]],0,1)</f>
        <v>1</v>
      </c>
      <c r="Y1405" s="3">
        <f>IF(fNotasFiscais[[#This Row],[Ocorrência]]="",1,0)</f>
        <v>1</v>
      </c>
      <c r="Z1405" s="2">
        <f>fNotasFiscais[[#This Row],[On Time]]*fNotasFiscais[[#This Row],[In Full]]</f>
        <v>1</v>
      </c>
      <c r="AA1405">
        <f>IF(fNotasFiscais[[#This Row],[Nota Fiscal]]&lt;&gt;"",1,0)</f>
        <v>1</v>
      </c>
    </row>
    <row r="1406" spans="1:27" x14ac:dyDescent="0.25">
      <c r="A1406" s="1">
        <v>43532</v>
      </c>
      <c r="B1406">
        <v>11815</v>
      </c>
      <c r="C1406" s="2" t="s">
        <v>54</v>
      </c>
      <c r="D1406" s="2" t="s">
        <v>55</v>
      </c>
      <c r="E1406" s="2" t="s">
        <v>56</v>
      </c>
      <c r="F1406">
        <v>4047</v>
      </c>
      <c r="G1406" s="2" t="s">
        <v>125</v>
      </c>
      <c r="H1406" s="2" t="s">
        <v>35</v>
      </c>
      <c r="I1406" s="2" t="s">
        <v>36</v>
      </c>
      <c r="J1406" s="2" t="s">
        <v>60</v>
      </c>
      <c r="K1406" s="2" t="s">
        <v>36</v>
      </c>
      <c r="L1406">
        <v>8461.0400000000009</v>
      </c>
      <c r="M1406">
        <v>14</v>
      </c>
      <c r="N1406">
        <v>199.97900000000001</v>
      </c>
      <c r="O1406">
        <v>6600879</v>
      </c>
      <c r="P1406" s="2" t="s">
        <v>61</v>
      </c>
      <c r="Q1406" s="2" t="s">
        <v>35</v>
      </c>
      <c r="R1406" s="2" t="s">
        <v>30</v>
      </c>
      <c r="S1406">
        <v>10</v>
      </c>
      <c r="T1406" s="1">
        <v>43532</v>
      </c>
      <c r="U1406" s="1">
        <v>43534</v>
      </c>
      <c r="V1406" s="2"/>
      <c r="W1406" s="1">
        <f>fNotasFiscais[[#This Row],[Data da Coleta]]+fNotasFiscais[[#This Row],[Prazo Contratado]]</f>
        <v>43542</v>
      </c>
      <c r="X1406" s="3">
        <f>IF(fNotasFiscais[[#This Row],[Data da Entrega]]&gt;fNotasFiscais[[#This Row],[Data Contratada]],0,1)</f>
        <v>1</v>
      </c>
      <c r="Y1406" s="3">
        <f>IF(fNotasFiscais[[#This Row],[Ocorrência]]="",1,0)</f>
        <v>1</v>
      </c>
      <c r="Z1406" s="2">
        <f>fNotasFiscais[[#This Row],[On Time]]*fNotasFiscais[[#This Row],[In Full]]</f>
        <v>1</v>
      </c>
      <c r="AA1406">
        <f>IF(fNotasFiscais[[#This Row],[Nota Fiscal]]&lt;&gt;"",1,0)</f>
        <v>1</v>
      </c>
    </row>
    <row r="1407" spans="1:27" x14ac:dyDescent="0.25">
      <c r="A1407" s="1">
        <v>43532</v>
      </c>
      <c r="B1407">
        <v>11816</v>
      </c>
      <c r="C1407" s="2" t="s">
        <v>34</v>
      </c>
      <c r="D1407" s="2" t="s">
        <v>35</v>
      </c>
      <c r="E1407" s="2" t="s">
        <v>36</v>
      </c>
      <c r="F1407">
        <v>4055</v>
      </c>
      <c r="G1407" s="2" t="s">
        <v>120</v>
      </c>
      <c r="H1407" s="2" t="s">
        <v>47</v>
      </c>
      <c r="I1407" s="2" t="s">
        <v>48</v>
      </c>
      <c r="J1407" s="2" t="s">
        <v>49</v>
      </c>
      <c r="K1407" s="2" t="s">
        <v>48</v>
      </c>
      <c r="L1407">
        <v>68.069999999999993</v>
      </c>
      <c r="M1407">
        <v>1</v>
      </c>
      <c r="N1407">
        <v>6.6000000000000003E-2</v>
      </c>
      <c r="O1407">
        <v>6100231</v>
      </c>
      <c r="P1407" s="2" t="s">
        <v>50</v>
      </c>
      <c r="Q1407" s="2" t="s">
        <v>51</v>
      </c>
      <c r="R1407" s="2" t="s">
        <v>30</v>
      </c>
      <c r="S1407">
        <v>1</v>
      </c>
      <c r="T1407" s="1">
        <v>43532</v>
      </c>
      <c r="U1407" s="1">
        <v>43534</v>
      </c>
      <c r="V1407" s="2"/>
      <c r="W1407" s="1">
        <f>fNotasFiscais[[#This Row],[Data da Coleta]]+fNotasFiscais[[#This Row],[Prazo Contratado]]</f>
        <v>43533</v>
      </c>
      <c r="X1407" s="3">
        <f>IF(fNotasFiscais[[#This Row],[Data da Entrega]]&gt;fNotasFiscais[[#This Row],[Data Contratada]],0,1)</f>
        <v>0</v>
      </c>
      <c r="Y1407" s="3">
        <f>IF(fNotasFiscais[[#This Row],[Ocorrência]]="",1,0)</f>
        <v>1</v>
      </c>
      <c r="Z1407" s="2">
        <f>fNotasFiscais[[#This Row],[On Time]]*fNotasFiscais[[#This Row],[In Full]]</f>
        <v>0</v>
      </c>
      <c r="AA1407">
        <f>IF(fNotasFiscais[[#This Row],[Nota Fiscal]]&lt;&gt;"",1,0)</f>
        <v>1</v>
      </c>
    </row>
    <row r="1408" spans="1:27" x14ac:dyDescent="0.25">
      <c r="A1408" s="1">
        <v>43532</v>
      </c>
      <c r="B1408">
        <v>11817</v>
      </c>
      <c r="C1408" s="2" t="s">
        <v>54</v>
      </c>
      <c r="D1408" s="2" t="s">
        <v>55</v>
      </c>
      <c r="E1408" s="2" t="s">
        <v>56</v>
      </c>
      <c r="F1408">
        <v>4055</v>
      </c>
      <c r="G1408" s="2" t="s">
        <v>120</v>
      </c>
      <c r="H1408" s="2" t="s">
        <v>47</v>
      </c>
      <c r="I1408" s="2" t="s">
        <v>48</v>
      </c>
      <c r="J1408" s="2" t="s">
        <v>49</v>
      </c>
      <c r="K1408" s="2" t="s">
        <v>48</v>
      </c>
      <c r="L1408">
        <v>801.84</v>
      </c>
      <c r="M1408">
        <v>3</v>
      </c>
      <c r="N1408">
        <v>29.887</v>
      </c>
      <c r="O1408">
        <v>6100231</v>
      </c>
      <c r="P1408" s="2" t="s">
        <v>50</v>
      </c>
      <c r="Q1408" s="2" t="s">
        <v>51</v>
      </c>
      <c r="R1408" s="2" t="s">
        <v>30</v>
      </c>
      <c r="S1408">
        <v>12</v>
      </c>
      <c r="T1408" s="1">
        <v>43532</v>
      </c>
      <c r="U1408" s="1">
        <v>43541</v>
      </c>
      <c r="V1408" s="2"/>
      <c r="W1408" s="1">
        <f>fNotasFiscais[[#This Row],[Data da Coleta]]+fNotasFiscais[[#This Row],[Prazo Contratado]]</f>
        <v>43544</v>
      </c>
      <c r="X1408" s="3">
        <f>IF(fNotasFiscais[[#This Row],[Data da Entrega]]&gt;fNotasFiscais[[#This Row],[Data Contratada]],0,1)</f>
        <v>1</v>
      </c>
      <c r="Y1408" s="3">
        <f>IF(fNotasFiscais[[#This Row],[Ocorrência]]="",1,0)</f>
        <v>1</v>
      </c>
      <c r="Z1408" s="2">
        <f>fNotasFiscais[[#This Row],[On Time]]*fNotasFiscais[[#This Row],[In Full]]</f>
        <v>1</v>
      </c>
      <c r="AA1408">
        <f>IF(fNotasFiscais[[#This Row],[Nota Fiscal]]&lt;&gt;"",1,0)</f>
        <v>1</v>
      </c>
    </row>
    <row r="1409" spans="1:27" x14ac:dyDescent="0.25">
      <c r="A1409" s="1">
        <v>43533</v>
      </c>
      <c r="B1409">
        <v>11818</v>
      </c>
      <c r="C1409" s="2" t="s">
        <v>54</v>
      </c>
      <c r="D1409" s="2" t="s">
        <v>55</v>
      </c>
      <c r="E1409" s="2" t="s">
        <v>56</v>
      </c>
      <c r="F1409">
        <v>4128</v>
      </c>
      <c r="G1409" s="2" t="s">
        <v>211</v>
      </c>
      <c r="H1409" s="2" t="s">
        <v>167</v>
      </c>
      <c r="I1409" s="2" t="s">
        <v>168</v>
      </c>
      <c r="J1409" s="2" t="s">
        <v>169</v>
      </c>
      <c r="K1409" s="2" t="s">
        <v>168</v>
      </c>
      <c r="L1409">
        <v>848.61</v>
      </c>
      <c r="M1409">
        <v>2</v>
      </c>
      <c r="N1409">
        <v>33</v>
      </c>
      <c r="O1409">
        <v>6900304</v>
      </c>
      <c r="P1409" s="2" t="s">
        <v>170</v>
      </c>
      <c r="Q1409" s="2" t="s">
        <v>171</v>
      </c>
      <c r="R1409" s="2" t="s">
        <v>30</v>
      </c>
      <c r="S1409">
        <v>2</v>
      </c>
      <c r="T1409" s="1">
        <v>43533</v>
      </c>
      <c r="U1409" s="1">
        <v>43536</v>
      </c>
      <c r="V1409" s="2"/>
      <c r="W1409" s="1">
        <f>fNotasFiscais[[#This Row],[Data da Coleta]]+fNotasFiscais[[#This Row],[Prazo Contratado]]</f>
        <v>43535</v>
      </c>
      <c r="X1409" s="3">
        <f>IF(fNotasFiscais[[#This Row],[Data da Entrega]]&gt;fNotasFiscais[[#This Row],[Data Contratada]],0,1)</f>
        <v>0</v>
      </c>
      <c r="Y1409" s="3">
        <f>IF(fNotasFiscais[[#This Row],[Ocorrência]]="",1,0)</f>
        <v>1</v>
      </c>
      <c r="Z1409" s="2">
        <f>fNotasFiscais[[#This Row],[On Time]]*fNotasFiscais[[#This Row],[In Full]]</f>
        <v>0</v>
      </c>
      <c r="AA1409">
        <f>IF(fNotasFiscais[[#This Row],[Nota Fiscal]]&lt;&gt;"",1,0)</f>
        <v>1</v>
      </c>
    </row>
    <row r="1410" spans="1:27" x14ac:dyDescent="0.25">
      <c r="A1410" s="1">
        <v>43533</v>
      </c>
      <c r="B1410">
        <v>11819</v>
      </c>
      <c r="C1410" s="2" t="s">
        <v>40</v>
      </c>
      <c r="D1410" s="2" t="s">
        <v>41</v>
      </c>
      <c r="E1410" s="2" t="s">
        <v>33</v>
      </c>
      <c r="F1410">
        <v>4027</v>
      </c>
      <c r="G1410" s="2" t="s">
        <v>93</v>
      </c>
      <c r="H1410" s="2" t="s">
        <v>91</v>
      </c>
      <c r="I1410" s="2" t="s">
        <v>24</v>
      </c>
      <c r="J1410" s="2" t="s">
        <v>28</v>
      </c>
      <c r="K1410" s="2" t="s">
        <v>24</v>
      </c>
      <c r="L1410">
        <v>812.64</v>
      </c>
      <c r="M1410">
        <v>1</v>
      </c>
      <c r="N1410">
        <v>2.97</v>
      </c>
      <c r="O1410">
        <v>6500948</v>
      </c>
      <c r="P1410" s="2" t="s">
        <v>29</v>
      </c>
      <c r="Q1410" s="2" t="s">
        <v>23</v>
      </c>
      <c r="R1410" s="2" t="s">
        <v>30</v>
      </c>
      <c r="S1410">
        <v>6</v>
      </c>
      <c r="T1410" s="1">
        <v>43533</v>
      </c>
      <c r="U1410" s="1">
        <v>43542</v>
      </c>
      <c r="V1410" s="2"/>
      <c r="W1410" s="1">
        <f>fNotasFiscais[[#This Row],[Data da Coleta]]+fNotasFiscais[[#This Row],[Prazo Contratado]]</f>
        <v>43539</v>
      </c>
      <c r="X1410" s="3">
        <f>IF(fNotasFiscais[[#This Row],[Data da Entrega]]&gt;fNotasFiscais[[#This Row],[Data Contratada]],0,1)</f>
        <v>0</v>
      </c>
      <c r="Y1410" s="3">
        <f>IF(fNotasFiscais[[#This Row],[Ocorrência]]="",1,0)</f>
        <v>1</v>
      </c>
      <c r="Z1410" s="2">
        <f>fNotasFiscais[[#This Row],[On Time]]*fNotasFiscais[[#This Row],[In Full]]</f>
        <v>0</v>
      </c>
      <c r="AA1410">
        <f>IF(fNotasFiscais[[#This Row],[Nota Fiscal]]&lt;&gt;"",1,0)</f>
        <v>1</v>
      </c>
    </row>
    <row r="1411" spans="1:27" x14ac:dyDescent="0.25">
      <c r="A1411" s="1">
        <v>43533</v>
      </c>
      <c r="B1411">
        <v>11820</v>
      </c>
      <c r="C1411" s="2" t="s">
        <v>40</v>
      </c>
      <c r="D1411" s="2" t="s">
        <v>41</v>
      </c>
      <c r="E1411" s="2" t="s">
        <v>33</v>
      </c>
      <c r="F1411">
        <v>4027</v>
      </c>
      <c r="G1411" s="2" t="s">
        <v>93</v>
      </c>
      <c r="H1411" s="2" t="s">
        <v>91</v>
      </c>
      <c r="I1411" s="2" t="s">
        <v>24</v>
      </c>
      <c r="J1411" s="2" t="s">
        <v>28</v>
      </c>
      <c r="K1411" s="2" t="s">
        <v>24</v>
      </c>
      <c r="L1411">
        <v>277.33</v>
      </c>
      <c r="M1411">
        <v>1</v>
      </c>
      <c r="N1411">
        <v>0.83599999999999997</v>
      </c>
      <c r="O1411">
        <v>6500948</v>
      </c>
      <c r="P1411" s="2" t="s">
        <v>29</v>
      </c>
      <c r="Q1411" s="2" t="s">
        <v>23</v>
      </c>
      <c r="R1411" s="2" t="s">
        <v>30</v>
      </c>
      <c r="S1411">
        <v>2</v>
      </c>
      <c r="T1411" s="1">
        <v>43533</v>
      </c>
      <c r="U1411" s="1">
        <v>43539</v>
      </c>
      <c r="V1411" s="2"/>
      <c r="W1411" s="1">
        <f>fNotasFiscais[[#This Row],[Data da Coleta]]+fNotasFiscais[[#This Row],[Prazo Contratado]]</f>
        <v>43535</v>
      </c>
      <c r="X1411" s="3">
        <f>IF(fNotasFiscais[[#This Row],[Data da Entrega]]&gt;fNotasFiscais[[#This Row],[Data Contratada]],0,1)</f>
        <v>0</v>
      </c>
      <c r="Y1411" s="3">
        <f>IF(fNotasFiscais[[#This Row],[Ocorrência]]="",1,0)</f>
        <v>1</v>
      </c>
      <c r="Z1411" s="2">
        <f>fNotasFiscais[[#This Row],[On Time]]*fNotasFiscais[[#This Row],[In Full]]</f>
        <v>0</v>
      </c>
      <c r="AA1411">
        <f>IF(fNotasFiscais[[#This Row],[Nota Fiscal]]&lt;&gt;"",1,0)</f>
        <v>1</v>
      </c>
    </row>
    <row r="1412" spans="1:27" x14ac:dyDescent="0.25">
      <c r="A1412" s="1">
        <v>43533</v>
      </c>
      <c r="B1412">
        <v>11821</v>
      </c>
      <c r="C1412" s="2" t="s">
        <v>54</v>
      </c>
      <c r="D1412" s="2" t="s">
        <v>55</v>
      </c>
      <c r="E1412" s="2" t="s">
        <v>56</v>
      </c>
      <c r="F1412">
        <v>4022</v>
      </c>
      <c r="G1412" s="2" t="s">
        <v>86</v>
      </c>
      <c r="H1412" s="2" t="s">
        <v>87</v>
      </c>
      <c r="I1412" s="2" t="s">
        <v>27</v>
      </c>
      <c r="J1412" s="2" t="s">
        <v>28</v>
      </c>
      <c r="K1412" s="2" t="s">
        <v>27</v>
      </c>
      <c r="L1412">
        <v>1169.51</v>
      </c>
      <c r="M1412">
        <v>3</v>
      </c>
      <c r="N1412">
        <v>46.2</v>
      </c>
      <c r="O1412">
        <v>6500948</v>
      </c>
      <c r="P1412" s="2" t="s">
        <v>29</v>
      </c>
      <c r="Q1412" s="2" t="s">
        <v>23</v>
      </c>
      <c r="R1412" s="2" t="s">
        <v>30</v>
      </c>
      <c r="S1412">
        <v>8</v>
      </c>
      <c r="T1412" s="1">
        <v>43533</v>
      </c>
      <c r="U1412" s="1">
        <v>43538</v>
      </c>
      <c r="V1412" s="2"/>
      <c r="W1412" s="1">
        <f>fNotasFiscais[[#This Row],[Data da Coleta]]+fNotasFiscais[[#This Row],[Prazo Contratado]]</f>
        <v>43541</v>
      </c>
      <c r="X1412" s="3">
        <f>IF(fNotasFiscais[[#This Row],[Data da Entrega]]&gt;fNotasFiscais[[#This Row],[Data Contratada]],0,1)</f>
        <v>1</v>
      </c>
      <c r="Y1412" s="3">
        <f>IF(fNotasFiscais[[#This Row],[Ocorrência]]="",1,0)</f>
        <v>1</v>
      </c>
      <c r="Z1412" s="2">
        <f>fNotasFiscais[[#This Row],[On Time]]*fNotasFiscais[[#This Row],[In Full]]</f>
        <v>1</v>
      </c>
      <c r="AA1412">
        <f>IF(fNotasFiscais[[#This Row],[Nota Fiscal]]&lt;&gt;"",1,0)</f>
        <v>1</v>
      </c>
    </row>
    <row r="1413" spans="1:27" x14ac:dyDescent="0.25">
      <c r="A1413" s="1">
        <v>43533</v>
      </c>
      <c r="B1413">
        <v>11822</v>
      </c>
      <c r="C1413" s="2" t="s">
        <v>52</v>
      </c>
      <c r="D1413" s="2" t="s">
        <v>53</v>
      </c>
      <c r="E1413" s="2" t="s">
        <v>33</v>
      </c>
      <c r="F1413">
        <v>4030</v>
      </c>
      <c r="G1413" s="2" t="s">
        <v>102</v>
      </c>
      <c r="H1413" s="2" t="s">
        <v>35</v>
      </c>
      <c r="I1413" s="2" t="s">
        <v>36</v>
      </c>
      <c r="J1413" s="2" t="s">
        <v>60</v>
      </c>
      <c r="K1413" s="2" t="s">
        <v>36</v>
      </c>
      <c r="L1413">
        <v>678.58</v>
      </c>
      <c r="M1413">
        <v>1</v>
      </c>
      <c r="N1413">
        <v>1.5069999999999999</v>
      </c>
      <c r="O1413">
        <v>6600879</v>
      </c>
      <c r="P1413" s="2" t="s">
        <v>61</v>
      </c>
      <c r="Q1413" s="2" t="s">
        <v>35</v>
      </c>
      <c r="R1413" s="2" t="s">
        <v>30</v>
      </c>
      <c r="S1413">
        <v>1</v>
      </c>
      <c r="T1413" s="1">
        <v>43533</v>
      </c>
      <c r="U1413" s="1">
        <v>43534</v>
      </c>
      <c r="V1413" s="2"/>
      <c r="W1413" s="1">
        <f>fNotasFiscais[[#This Row],[Data da Coleta]]+fNotasFiscais[[#This Row],[Prazo Contratado]]</f>
        <v>43534</v>
      </c>
      <c r="X1413" s="3">
        <f>IF(fNotasFiscais[[#This Row],[Data da Entrega]]&gt;fNotasFiscais[[#This Row],[Data Contratada]],0,1)</f>
        <v>1</v>
      </c>
      <c r="Y1413" s="3">
        <f>IF(fNotasFiscais[[#This Row],[Ocorrência]]="",1,0)</f>
        <v>1</v>
      </c>
      <c r="Z1413" s="2">
        <f>fNotasFiscais[[#This Row],[On Time]]*fNotasFiscais[[#This Row],[In Full]]</f>
        <v>1</v>
      </c>
      <c r="AA1413">
        <f>IF(fNotasFiscais[[#This Row],[Nota Fiscal]]&lt;&gt;"",1,0)</f>
        <v>1</v>
      </c>
    </row>
    <row r="1414" spans="1:27" x14ac:dyDescent="0.25">
      <c r="A1414" s="1">
        <v>43533</v>
      </c>
      <c r="B1414">
        <v>11823</v>
      </c>
      <c r="C1414" s="2" t="s">
        <v>22</v>
      </c>
      <c r="D1414" s="2" t="s">
        <v>23</v>
      </c>
      <c r="E1414" s="2" t="s">
        <v>24</v>
      </c>
      <c r="F1414">
        <v>4030</v>
      </c>
      <c r="G1414" s="2" t="s">
        <v>102</v>
      </c>
      <c r="H1414" s="2" t="s">
        <v>35</v>
      </c>
      <c r="I1414" s="2" t="s">
        <v>36</v>
      </c>
      <c r="J1414" s="2" t="s">
        <v>60</v>
      </c>
      <c r="K1414" s="2" t="s">
        <v>36</v>
      </c>
      <c r="L1414">
        <v>114.74</v>
      </c>
      <c r="M1414">
        <v>1</v>
      </c>
      <c r="N1414">
        <v>1.1200000000000001</v>
      </c>
      <c r="O1414">
        <v>6600879</v>
      </c>
      <c r="P1414" s="2" t="s">
        <v>61</v>
      </c>
      <c r="Q1414" s="2" t="s">
        <v>35</v>
      </c>
      <c r="R1414" s="2" t="s">
        <v>62</v>
      </c>
      <c r="S1414">
        <v>8</v>
      </c>
      <c r="T1414" s="1">
        <v>43533</v>
      </c>
      <c r="U1414" s="1">
        <v>43534</v>
      </c>
      <c r="V1414" s="2"/>
      <c r="W1414" s="1">
        <f>fNotasFiscais[[#This Row],[Data da Coleta]]+fNotasFiscais[[#This Row],[Prazo Contratado]]</f>
        <v>43541</v>
      </c>
      <c r="X1414" s="3">
        <f>IF(fNotasFiscais[[#This Row],[Data da Entrega]]&gt;fNotasFiscais[[#This Row],[Data Contratada]],0,1)</f>
        <v>1</v>
      </c>
      <c r="Y1414" s="3">
        <f>IF(fNotasFiscais[[#This Row],[Ocorrência]]="",1,0)</f>
        <v>1</v>
      </c>
      <c r="Z1414" s="2">
        <f>fNotasFiscais[[#This Row],[On Time]]*fNotasFiscais[[#This Row],[In Full]]</f>
        <v>1</v>
      </c>
      <c r="AA1414">
        <f>IF(fNotasFiscais[[#This Row],[Nota Fiscal]]&lt;&gt;"",1,0)</f>
        <v>1</v>
      </c>
    </row>
    <row r="1415" spans="1:27" x14ac:dyDescent="0.25">
      <c r="A1415" s="1">
        <v>43533</v>
      </c>
      <c r="B1415">
        <v>11824</v>
      </c>
      <c r="C1415" s="2" t="s">
        <v>43</v>
      </c>
      <c r="D1415" s="2" t="s">
        <v>44</v>
      </c>
      <c r="E1415" s="2" t="s">
        <v>45</v>
      </c>
      <c r="F1415">
        <v>4030</v>
      </c>
      <c r="G1415" s="2" t="s">
        <v>102</v>
      </c>
      <c r="H1415" s="2" t="s">
        <v>35</v>
      </c>
      <c r="I1415" s="2" t="s">
        <v>36</v>
      </c>
      <c r="J1415" s="2" t="s">
        <v>60</v>
      </c>
      <c r="K1415" s="2" t="s">
        <v>36</v>
      </c>
      <c r="L1415">
        <v>817.1</v>
      </c>
      <c r="M1415">
        <v>1</v>
      </c>
      <c r="N1415">
        <v>2.97</v>
      </c>
      <c r="O1415">
        <v>6600879</v>
      </c>
      <c r="P1415" s="2" t="s">
        <v>61</v>
      </c>
      <c r="Q1415" s="2" t="s">
        <v>35</v>
      </c>
      <c r="R1415" s="2" t="s">
        <v>30</v>
      </c>
      <c r="S1415">
        <v>9</v>
      </c>
      <c r="T1415" s="1">
        <v>43533</v>
      </c>
      <c r="U1415" s="1">
        <v>43543</v>
      </c>
      <c r="V1415" s="2"/>
      <c r="W1415" s="1">
        <f>fNotasFiscais[[#This Row],[Data da Coleta]]+fNotasFiscais[[#This Row],[Prazo Contratado]]</f>
        <v>43542</v>
      </c>
      <c r="X1415" s="3">
        <f>IF(fNotasFiscais[[#This Row],[Data da Entrega]]&gt;fNotasFiscais[[#This Row],[Data Contratada]],0,1)</f>
        <v>0</v>
      </c>
      <c r="Y1415" s="3">
        <f>IF(fNotasFiscais[[#This Row],[Ocorrência]]="",1,0)</f>
        <v>1</v>
      </c>
      <c r="Z1415" s="2">
        <f>fNotasFiscais[[#This Row],[On Time]]*fNotasFiscais[[#This Row],[In Full]]</f>
        <v>0</v>
      </c>
      <c r="AA1415">
        <f>IF(fNotasFiscais[[#This Row],[Nota Fiscal]]&lt;&gt;"",1,0)</f>
        <v>1</v>
      </c>
    </row>
    <row r="1416" spans="1:27" x14ac:dyDescent="0.25">
      <c r="A1416" s="1">
        <v>43533</v>
      </c>
      <c r="B1416">
        <v>11825</v>
      </c>
      <c r="C1416" s="2" t="s">
        <v>40</v>
      </c>
      <c r="D1416" s="2" t="s">
        <v>41</v>
      </c>
      <c r="E1416" s="2" t="s">
        <v>33</v>
      </c>
      <c r="F1416">
        <v>4030</v>
      </c>
      <c r="G1416" s="2" t="s">
        <v>102</v>
      </c>
      <c r="H1416" s="2" t="s">
        <v>35</v>
      </c>
      <c r="I1416" s="2" t="s">
        <v>36</v>
      </c>
      <c r="J1416" s="2" t="s">
        <v>60</v>
      </c>
      <c r="K1416" s="2" t="s">
        <v>36</v>
      </c>
      <c r="L1416">
        <v>116.2</v>
      </c>
      <c r="M1416">
        <v>1</v>
      </c>
      <c r="N1416">
        <v>0.34100000000000003</v>
      </c>
      <c r="O1416">
        <v>6600879</v>
      </c>
      <c r="P1416" s="2" t="s">
        <v>61</v>
      </c>
      <c r="Q1416" s="2" t="s">
        <v>35</v>
      </c>
      <c r="R1416" s="2" t="s">
        <v>30</v>
      </c>
      <c r="S1416">
        <v>4</v>
      </c>
      <c r="T1416" s="1">
        <v>43533</v>
      </c>
      <c r="U1416" s="1">
        <v>43539</v>
      </c>
      <c r="V1416" s="2"/>
      <c r="W1416" s="1">
        <f>fNotasFiscais[[#This Row],[Data da Coleta]]+fNotasFiscais[[#This Row],[Prazo Contratado]]</f>
        <v>43537</v>
      </c>
      <c r="X1416" s="3">
        <f>IF(fNotasFiscais[[#This Row],[Data da Entrega]]&gt;fNotasFiscais[[#This Row],[Data Contratada]],0,1)</f>
        <v>0</v>
      </c>
      <c r="Y1416" s="3">
        <f>IF(fNotasFiscais[[#This Row],[Ocorrência]]="",1,0)</f>
        <v>1</v>
      </c>
      <c r="Z1416" s="2">
        <f>fNotasFiscais[[#This Row],[On Time]]*fNotasFiscais[[#This Row],[In Full]]</f>
        <v>0</v>
      </c>
      <c r="AA1416">
        <f>IF(fNotasFiscais[[#This Row],[Nota Fiscal]]&lt;&gt;"",1,0)</f>
        <v>1</v>
      </c>
    </row>
    <row r="1417" spans="1:27" x14ac:dyDescent="0.25">
      <c r="A1417" s="1">
        <v>43534</v>
      </c>
      <c r="B1417">
        <v>11826</v>
      </c>
      <c r="C1417" s="2" t="s">
        <v>34</v>
      </c>
      <c r="D1417" s="2" t="s">
        <v>35</v>
      </c>
      <c r="E1417" s="2" t="s">
        <v>36</v>
      </c>
      <c r="F1417">
        <v>4023</v>
      </c>
      <c r="G1417" s="2" t="s">
        <v>88</v>
      </c>
      <c r="H1417" s="2" t="s">
        <v>78</v>
      </c>
      <c r="I1417" s="2" t="s">
        <v>39</v>
      </c>
      <c r="J1417" s="2" t="s">
        <v>28</v>
      </c>
      <c r="K1417" s="2" t="s">
        <v>39</v>
      </c>
      <c r="L1417">
        <v>139.44</v>
      </c>
      <c r="M1417">
        <v>1</v>
      </c>
      <c r="N1417">
        <v>0.41799999999999998</v>
      </c>
      <c r="O1417">
        <v>6500948</v>
      </c>
      <c r="P1417" s="2" t="s">
        <v>29</v>
      </c>
      <c r="Q1417" s="2" t="s">
        <v>23</v>
      </c>
      <c r="R1417" s="2" t="s">
        <v>30</v>
      </c>
      <c r="S1417">
        <v>11</v>
      </c>
      <c r="T1417" s="1">
        <v>43534</v>
      </c>
      <c r="U1417" s="1">
        <v>43535</v>
      </c>
      <c r="V1417" s="2"/>
      <c r="W1417" s="1">
        <f>fNotasFiscais[[#This Row],[Data da Coleta]]+fNotasFiscais[[#This Row],[Prazo Contratado]]</f>
        <v>43545</v>
      </c>
      <c r="X1417" s="3">
        <f>IF(fNotasFiscais[[#This Row],[Data da Entrega]]&gt;fNotasFiscais[[#This Row],[Data Contratada]],0,1)</f>
        <v>1</v>
      </c>
      <c r="Y1417" s="3">
        <f>IF(fNotasFiscais[[#This Row],[Ocorrência]]="",1,0)</f>
        <v>1</v>
      </c>
      <c r="Z1417" s="2">
        <f>fNotasFiscais[[#This Row],[On Time]]*fNotasFiscais[[#This Row],[In Full]]</f>
        <v>1</v>
      </c>
      <c r="AA1417">
        <f>IF(fNotasFiscais[[#This Row],[Nota Fiscal]]&lt;&gt;"",1,0)</f>
        <v>1</v>
      </c>
    </row>
    <row r="1418" spans="1:27" x14ac:dyDescent="0.25">
      <c r="A1418" s="1">
        <v>43536</v>
      </c>
      <c r="B1418">
        <v>11827</v>
      </c>
      <c r="C1418" s="2" t="s">
        <v>40</v>
      </c>
      <c r="D1418" s="2" t="s">
        <v>41</v>
      </c>
      <c r="E1418" s="2" t="s">
        <v>33</v>
      </c>
      <c r="F1418">
        <v>4128</v>
      </c>
      <c r="G1418" s="2" t="s">
        <v>211</v>
      </c>
      <c r="H1418" s="2" t="s">
        <v>167</v>
      </c>
      <c r="I1418" s="2" t="s">
        <v>168</v>
      </c>
      <c r="J1418" s="2" t="s">
        <v>169</v>
      </c>
      <c r="K1418" s="2" t="s">
        <v>168</v>
      </c>
      <c r="L1418">
        <v>515.46</v>
      </c>
      <c r="M1418">
        <v>2</v>
      </c>
      <c r="N1418">
        <v>14.19</v>
      </c>
      <c r="O1418">
        <v>6900304</v>
      </c>
      <c r="P1418" s="2" t="s">
        <v>170</v>
      </c>
      <c r="Q1418" s="2" t="s">
        <v>171</v>
      </c>
      <c r="R1418" s="2" t="s">
        <v>62</v>
      </c>
      <c r="S1418">
        <v>11</v>
      </c>
      <c r="T1418" s="1">
        <v>43536</v>
      </c>
      <c r="U1418" s="1">
        <v>43539</v>
      </c>
      <c r="V1418" s="2"/>
      <c r="W1418" s="1">
        <f>fNotasFiscais[[#This Row],[Data da Coleta]]+fNotasFiscais[[#This Row],[Prazo Contratado]]</f>
        <v>43547</v>
      </c>
      <c r="X1418" s="3">
        <f>IF(fNotasFiscais[[#This Row],[Data da Entrega]]&gt;fNotasFiscais[[#This Row],[Data Contratada]],0,1)</f>
        <v>1</v>
      </c>
      <c r="Y1418" s="3">
        <f>IF(fNotasFiscais[[#This Row],[Ocorrência]]="",1,0)</f>
        <v>1</v>
      </c>
      <c r="Z1418" s="2">
        <f>fNotasFiscais[[#This Row],[On Time]]*fNotasFiscais[[#This Row],[In Full]]</f>
        <v>1</v>
      </c>
      <c r="AA1418">
        <f>IF(fNotasFiscais[[#This Row],[Nota Fiscal]]&lt;&gt;"",1,0)</f>
        <v>1</v>
      </c>
    </row>
    <row r="1419" spans="1:27" x14ac:dyDescent="0.25">
      <c r="A1419" s="1">
        <v>43536</v>
      </c>
      <c r="B1419">
        <v>11828</v>
      </c>
      <c r="C1419" s="2" t="s">
        <v>43</v>
      </c>
      <c r="D1419" s="2" t="s">
        <v>44</v>
      </c>
      <c r="E1419" s="2" t="s">
        <v>45</v>
      </c>
      <c r="F1419">
        <v>4013</v>
      </c>
      <c r="G1419" s="2" t="s">
        <v>37</v>
      </c>
      <c r="H1419" s="2" t="s">
        <v>38</v>
      </c>
      <c r="I1419" s="2" t="s">
        <v>39</v>
      </c>
      <c r="J1419" s="2" t="s">
        <v>28</v>
      </c>
      <c r="K1419" s="2" t="s">
        <v>39</v>
      </c>
      <c r="L1419">
        <v>198.17</v>
      </c>
      <c r="M1419">
        <v>1</v>
      </c>
      <c r="N1419">
        <v>0.99</v>
      </c>
      <c r="O1419">
        <v>6500948</v>
      </c>
      <c r="P1419" s="2" t="s">
        <v>29</v>
      </c>
      <c r="Q1419" s="2" t="s">
        <v>23</v>
      </c>
      <c r="R1419" s="2" t="s">
        <v>30</v>
      </c>
      <c r="S1419">
        <v>4</v>
      </c>
      <c r="T1419" s="1">
        <v>43536</v>
      </c>
      <c r="U1419" s="1">
        <v>43542</v>
      </c>
      <c r="V1419" s="2"/>
      <c r="W1419" s="1">
        <f>fNotasFiscais[[#This Row],[Data da Coleta]]+fNotasFiscais[[#This Row],[Prazo Contratado]]</f>
        <v>43540</v>
      </c>
      <c r="X1419" s="3">
        <f>IF(fNotasFiscais[[#This Row],[Data da Entrega]]&gt;fNotasFiscais[[#This Row],[Data Contratada]],0,1)</f>
        <v>0</v>
      </c>
      <c r="Y1419" s="3">
        <f>IF(fNotasFiscais[[#This Row],[Ocorrência]]="",1,0)</f>
        <v>1</v>
      </c>
      <c r="Z1419" s="2">
        <f>fNotasFiscais[[#This Row],[On Time]]*fNotasFiscais[[#This Row],[In Full]]</f>
        <v>0</v>
      </c>
      <c r="AA1419">
        <f>IF(fNotasFiscais[[#This Row],[Nota Fiscal]]&lt;&gt;"",1,0)</f>
        <v>1</v>
      </c>
    </row>
    <row r="1420" spans="1:27" x14ac:dyDescent="0.25">
      <c r="A1420" s="1">
        <v>43536</v>
      </c>
      <c r="B1420">
        <v>11829</v>
      </c>
      <c r="C1420" s="2" t="s">
        <v>54</v>
      </c>
      <c r="D1420" s="2" t="s">
        <v>55</v>
      </c>
      <c r="E1420" s="2" t="s">
        <v>56</v>
      </c>
      <c r="F1420">
        <v>4083</v>
      </c>
      <c r="G1420" s="2" t="s">
        <v>154</v>
      </c>
      <c r="H1420" s="2" t="s">
        <v>141</v>
      </c>
      <c r="I1420" s="2" t="s">
        <v>33</v>
      </c>
      <c r="J1420" s="2" t="s">
        <v>60</v>
      </c>
      <c r="K1420" s="2" t="s">
        <v>33</v>
      </c>
      <c r="L1420">
        <v>412.34</v>
      </c>
      <c r="M1420">
        <v>1</v>
      </c>
      <c r="N1420">
        <v>2.202</v>
      </c>
      <c r="O1420">
        <v>6400835</v>
      </c>
      <c r="P1420" s="2" t="s">
        <v>130</v>
      </c>
      <c r="Q1420" s="2" t="s">
        <v>131</v>
      </c>
      <c r="R1420" s="2" t="s">
        <v>30</v>
      </c>
      <c r="S1420">
        <v>6</v>
      </c>
      <c r="T1420" s="1">
        <v>43536</v>
      </c>
      <c r="U1420" s="1">
        <v>43545</v>
      </c>
      <c r="V1420" s="2"/>
      <c r="W1420" s="1">
        <f>fNotasFiscais[[#This Row],[Data da Coleta]]+fNotasFiscais[[#This Row],[Prazo Contratado]]</f>
        <v>43542</v>
      </c>
      <c r="X1420" s="3">
        <f>IF(fNotasFiscais[[#This Row],[Data da Entrega]]&gt;fNotasFiscais[[#This Row],[Data Contratada]],0,1)</f>
        <v>0</v>
      </c>
      <c r="Y1420" s="3">
        <f>IF(fNotasFiscais[[#This Row],[Ocorrência]]="",1,0)</f>
        <v>1</v>
      </c>
      <c r="Z1420" s="2">
        <f>fNotasFiscais[[#This Row],[On Time]]*fNotasFiscais[[#This Row],[In Full]]</f>
        <v>0</v>
      </c>
      <c r="AA1420">
        <f>IF(fNotasFiscais[[#This Row],[Nota Fiscal]]&lt;&gt;"",1,0)</f>
        <v>1</v>
      </c>
    </row>
    <row r="1421" spans="1:27" x14ac:dyDescent="0.25">
      <c r="A1421" s="1">
        <v>43536</v>
      </c>
      <c r="B1421">
        <v>11830</v>
      </c>
      <c r="C1421" s="2" t="s">
        <v>52</v>
      </c>
      <c r="D1421" s="2" t="s">
        <v>53</v>
      </c>
      <c r="E1421" s="2" t="s">
        <v>33</v>
      </c>
      <c r="F1421">
        <v>4083</v>
      </c>
      <c r="G1421" s="2" t="s">
        <v>154</v>
      </c>
      <c r="H1421" s="2" t="s">
        <v>141</v>
      </c>
      <c r="I1421" s="2" t="s">
        <v>33</v>
      </c>
      <c r="J1421" s="2" t="s">
        <v>60</v>
      </c>
      <c r="K1421" s="2" t="s">
        <v>33</v>
      </c>
      <c r="L1421">
        <v>1234.69</v>
      </c>
      <c r="M1421">
        <v>1</v>
      </c>
      <c r="N1421">
        <v>8.58</v>
      </c>
      <c r="O1421">
        <v>6400835</v>
      </c>
      <c r="P1421" s="2" t="s">
        <v>130</v>
      </c>
      <c r="Q1421" s="2" t="s">
        <v>131</v>
      </c>
      <c r="R1421" s="2" t="s">
        <v>30</v>
      </c>
      <c r="S1421">
        <v>3</v>
      </c>
      <c r="T1421" s="1">
        <v>43536</v>
      </c>
      <c r="U1421" s="1">
        <v>43539</v>
      </c>
      <c r="V1421" s="2"/>
      <c r="W1421" s="1">
        <f>fNotasFiscais[[#This Row],[Data da Coleta]]+fNotasFiscais[[#This Row],[Prazo Contratado]]</f>
        <v>43539</v>
      </c>
      <c r="X1421" s="3">
        <f>IF(fNotasFiscais[[#This Row],[Data da Entrega]]&gt;fNotasFiscais[[#This Row],[Data Contratada]],0,1)</f>
        <v>1</v>
      </c>
      <c r="Y1421" s="3">
        <f>IF(fNotasFiscais[[#This Row],[Ocorrência]]="",1,0)</f>
        <v>1</v>
      </c>
      <c r="Z1421" s="2">
        <f>fNotasFiscais[[#This Row],[On Time]]*fNotasFiscais[[#This Row],[In Full]]</f>
        <v>1</v>
      </c>
      <c r="AA1421">
        <f>IF(fNotasFiscais[[#This Row],[Nota Fiscal]]&lt;&gt;"",1,0)</f>
        <v>1</v>
      </c>
    </row>
    <row r="1422" spans="1:27" x14ac:dyDescent="0.25">
      <c r="A1422" s="1">
        <v>43536</v>
      </c>
      <c r="B1422">
        <v>11831</v>
      </c>
      <c r="C1422" s="2" t="s">
        <v>52</v>
      </c>
      <c r="D1422" s="2" t="s">
        <v>53</v>
      </c>
      <c r="E1422" s="2" t="s">
        <v>33</v>
      </c>
      <c r="F1422">
        <v>4083</v>
      </c>
      <c r="G1422" s="2" t="s">
        <v>154</v>
      </c>
      <c r="H1422" s="2" t="s">
        <v>141</v>
      </c>
      <c r="I1422" s="2" t="s">
        <v>33</v>
      </c>
      <c r="J1422" s="2" t="s">
        <v>60</v>
      </c>
      <c r="K1422" s="2" t="s">
        <v>33</v>
      </c>
      <c r="L1422">
        <v>1597.85</v>
      </c>
      <c r="M1422">
        <v>1</v>
      </c>
      <c r="N1422">
        <v>13.2</v>
      </c>
      <c r="O1422">
        <v>6400835</v>
      </c>
      <c r="P1422" s="2" t="s">
        <v>130</v>
      </c>
      <c r="Q1422" s="2" t="s">
        <v>131</v>
      </c>
      <c r="R1422" s="2" t="s">
        <v>30</v>
      </c>
      <c r="S1422">
        <v>1</v>
      </c>
      <c r="T1422" s="1">
        <v>43536</v>
      </c>
      <c r="U1422" s="1">
        <v>43546</v>
      </c>
      <c r="V1422" s="2"/>
      <c r="W1422" s="1">
        <f>fNotasFiscais[[#This Row],[Data da Coleta]]+fNotasFiscais[[#This Row],[Prazo Contratado]]</f>
        <v>43537</v>
      </c>
      <c r="X1422" s="3">
        <f>IF(fNotasFiscais[[#This Row],[Data da Entrega]]&gt;fNotasFiscais[[#This Row],[Data Contratada]],0,1)</f>
        <v>0</v>
      </c>
      <c r="Y1422" s="3">
        <f>IF(fNotasFiscais[[#This Row],[Ocorrência]]="",1,0)</f>
        <v>1</v>
      </c>
      <c r="Z1422" s="2">
        <f>fNotasFiscais[[#This Row],[On Time]]*fNotasFiscais[[#This Row],[In Full]]</f>
        <v>0</v>
      </c>
      <c r="AA1422">
        <f>IF(fNotasFiscais[[#This Row],[Nota Fiscal]]&lt;&gt;"",1,0)</f>
        <v>1</v>
      </c>
    </row>
    <row r="1423" spans="1:27" x14ac:dyDescent="0.25">
      <c r="A1423" s="1">
        <v>43536</v>
      </c>
      <c r="B1423">
        <v>11832</v>
      </c>
      <c r="C1423" s="2" t="s">
        <v>52</v>
      </c>
      <c r="D1423" s="2" t="s">
        <v>53</v>
      </c>
      <c r="E1423" s="2" t="s">
        <v>33</v>
      </c>
      <c r="F1423">
        <v>4083</v>
      </c>
      <c r="G1423" s="2" t="s">
        <v>154</v>
      </c>
      <c r="H1423" s="2" t="s">
        <v>141</v>
      </c>
      <c r="I1423" s="2" t="s">
        <v>33</v>
      </c>
      <c r="J1423" s="2" t="s">
        <v>60</v>
      </c>
      <c r="K1423" s="2" t="s">
        <v>33</v>
      </c>
      <c r="L1423">
        <v>1093.79</v>
      </c>
      <c r="M1423">
        <v>2</v>
      </c>
      <c r="N1423">
        <v>12.1</v>
      </c>
      <c r="O1423">
        <v>6400835</v>
      </c>
      <c r="P1423" s="2" t="s">
        <v>130</v>
      </c>
      <c r="Q1423" s="2" t="s">
        <v>131</v>
      </c>
      <c r="R1423" s="2" t="s">
        <v>30</v>
      </c>
      <c r="S1423">
        <v>4</v>
      </c>
      <c r="T1423" s="1">
        <v>43536</v>
      </c>
      <c r="U1423" s="1">
        <v>43541</v>
      </c>
      <c r="V1423" s="2"/>
      <c r="W1423" s="1">
        <f>fNotasFiscais[[#This Row],[Data da Coleta]]+fNotasFiscais[[#This Row],[Prazo Contratado]]</f>
        <v>43540</v>
      </c>
      <c r="X1423" s="3">
        <f>IF(fNotasFiscais[[#This Row],[Data da Entrega]]&gt;fNotasFiscais[[#This Row],[Data Contratada]],0,1)</f>
        <v>0</v>
      </c>
      <c r="Y1423" s="3">
        <f>IF(fNotasFiscais[[#This Row],[Ocorrência]]="",1,0)</f>
        <v>1</v>
      </c>
      <c r="Z1423" s="2">
        <f>fNotasFiscais[[#This Row],[On Time]]*fNotasFiscais[[#This Row],[In Full]]</f>
        <v>0</v>
      </c>
      <c r="AA1423">
        <f>IF(fNotasFiscais[[#This Row],[Nota Fiscal]]&lt;&gt;"",1,0)</f>
        <v>1</v>
      </c>
    </row>
    <row r="1424" spans="1:27" x14ac:dyDescent="0.25">
      <c r="A1424" s="1">
        <v>43536</v>
      </c>
      <c r="B1424">
        <v>11833</v>
      </c>
      <c r="C1424" s="2" t="s">
        <v>43</v>
      </c>
      <c r="D1424" s="2" t="s">
        <v>44</v>
      </c>
      <c r="E1424" s="2" t="s">
        <v>45</v>
      </c>
      <c r="F1424">
        <v>4083</v>
      </c>
      <c r="G1424" s="2" t="s">
        <v>154</v>
      </c>
      <c r="H1424" s="2" t="s">
        <v>141</v>
      </c>
      <c r="I1424" s="2" t="s">
        <v>33</v>
      </c>
      <c r="J1424" s="2" t="s">
        <v>60</v>
      </c>
      <c r="K1424" s="2" t="s">
        <v>33</v>
      </c>
      <c r="L1424">
        <v>747.86</v>
      </c>
      <c r="M1424">
        <v>2</v>
      </c>
      <c r="N1424">
        <v>4.4020000000000001</v>
      </c>
      <c r="O1424">
        <v>6400835</v>
      </c>
      <c r="P1424" s="2" t="s">
        <v>130</v>
      </c>
      <c r="Q1424" s="2" t="s">
        <v>131</v>
      </c>
      <c r="R1424" s="2" t="s">
        <v>30</v>
      </c>
      <c r="S1424">
        <v>3</v>
      </c>
      <c r="T1424" s="1">
        <v>43536</v>
      </c>
      <c r="U1424" s="1">
        <v>43542</v>
      </c>
      <c r="V1424" s="2"/>
      <c r="W1424" s="1">
        <f>fNotasFiscais[[#This Row],[Data da Coleta]]+fNotasFiscais[[#This Row],[Prazo Contratado]]</f>
        <v>43539</v>
      </c>
      <c r="X1424" s="3">
        <f>IF(fNotasFiscais[[#This Row],[Data da Entrega]]&gt;fNotasFiscais[[#This Row],[Data Contratada]],0,1)</f>
        <v>0</v>
      </c>
      <c r="Y1424" s="3">
        <f>IF(fNotasFiscais[[#This Row],[Ocorrência]]="",1,0)</f>
        <v>1</v>
      </c>
      <c r="Z1424" s="2">
        <f>fNotasFiscais[[#This Row],[On Time]]*fNotasFiscais[[#This Row],[In Full]]</f>
        <v>0</v>
      </c>
      <c r="AA1424">
        <f>IF(fNotasFiscais[[#This Row],[Nota Fiscal]]&lt;&gt;"",1,0)</f>
        <v>1</v>
      </c>
    </row>
    <row r="1425" spans="1:27" x14ac:dyDescent="0.25">
      <c r="A1425" s="1">
        <v>43536</v>
      </c>
      <c r="B1425">
        <v>11834</v>
      </c>
      <c r="C1425" s="2" t="s">
        <v>22</v>
      </c>
      <c r="D1425" s="2" t="s">
        <v>23</v>
      </c>
      <c r="E1425" s="2" t="s">
        <v>24</v>
      </c>
      <c r="F1425">
        <v>4083</v>
      </c>
      <c r="G1425" s="2" t="s">
        <v>154</v>
      </c>
      <c r="H1425" s="2" t="s">
        <v>141</v>
      </c>
      <c r="I1425" s="2" t="s">
        <v>33</v>
      </c>
      <c r="J1425" s="2" t="s">
        <v>60</v>
      </c>
      <c r="K1425" s="2" t="s">
        <v>33</v>
      </c>
      <c r="L1425">
        <v>2555.15</v>
      </c>
      <c r="M1425">
        <v>3</v>
      </c>
      <c r="N1425">
        <v>16.114000000000001</v>
      </c>
      <c r="O1425">
        <v>6400835</v>
      </c>
      <c r="P1425" s="2" t="s">
        <v>130</v>
      </c>
      <c r="Q1425" s="2" t="s">
        <v>131</v>
      </c>
      <c r="R1425" s="2" t="s">
        <v>30</v>
      </c>
      <c r="S1425">
        <v>1</v>
      </c>
      <c r="T1425" s="1">
        <v>43536</v>
      </c>
      <c r="U1425" s="1">
        <v>43545</v>
      </c>
      <c r="V1425" s="2"/>
      <c r="W1425" s="1">
        <f>fNotasFiscais[[#This Row],[Data da Coleta]]+fNotasFiscais[[#This Row],[Prazo Contratado]]</f>
        <v>43537</v>
      </c>
      <c r="X1425" s="3">
        <f>IF(fNotasFiscais[[#This Row],[Data da Entrega]]&gt;fNotasFiscais[[#This Row],[Data Contratada]],0,1)</f>
        <v>0</v>
      </c>
      <c r="Y1425" s="3">
        <f>IF(fNotasFiscais[[#This Row],[Ocorrência]]="",1,0)</f>
        <v>1</v>
      </c>
      <c r="Z1425" s="2">
        <f>fNotasFiscais[[#This Row],[On Time]]*fNotasFiscais[[#This Row],[In Full]]</f>
        <v>0</v>
      </c>
      <c r="AA1425">
        <f>IF(fNotasFiscais[[#This Row],[Nota Fiscal]]&lt;&gt;"",1,0)</f>
        <v>1</v>
      </c>
    </row>
    <row r="1426" spans="1:27" x14ac:dyDescent="0.25">
      <c r="A1426" s="1">
        <v>43537</v>
      </c>
      <c r="B1426">
        <v>11835</v>
      </c>
      <c r="C1426" s="2" t="s">
        <v>31</v>
      </c>
      <c r="D1426" s="2" t="s">
        <v>32</v>
      </c>
      <c r="E1426" s="2" t="s">
        <v>33</v>
      </c>
      <c r="F1426">
        <v>4032</v>
      </c>
      <c r="G1426" s="2" t="s">
        <v>108</v>
      </c>
      <c r="H1426" s="2" t="s">
        <v>51</v>
      </c>
      <c r="I1426" s="2" t="s">
        <v>73</v>
      </c>
      <c r="J1426" s="2" t="s">
        <v>49</v>
      </c>
      <c r="K1426" s="2" t="s">
        <v>73</v>
      </c>
      <c r="L1426">
        <v>857.78</v>
      </c>
      <c r="M1426">
        <v>1</v>
      </c>
      <c r="N1426">
        <v>9.9</v>
      </c>
      <c r="O1426">
        <v>6100231</v>
      </c>
      <c r="P1426" s="2" t="s">
        <v>50</v>
      </c>
      <c r="Q1426" s="2" t="s">
        <v>51</v>
      </c>
      <c r="R1426" s="2" t="s">
        <v>30</v>
      </c>
      <c r="S1426">
        <v>7</v>
      </c>
      <c r="T1426" s="1">
        <v>43537</v>
      </c>
      <c r="U1426" s="1">
        <v>43544</v>
      </c>
      <c r="V1426" s="2"/>
      <c r="W1426" s="1">
        <f>fNotasFiscais[[#This Row],[Data da Coleta]]+fNotasFiscais[[#This Row],[Prazo Contratado]]</f>
        <v>43544</v>
      </c>
      <c r="X1426" s="3">
        <f>IF(fNotasFiscais[[#This Row],[Data da Entrega]]&gt;fNotasFiscais[[#This Row],[Data Contratada]],0,1)</f>
        <v>1</v>
      </c>
      <c r="Y1426" s="3">
        <f>IF(fNotasFiscais[[#This Row],[Ocorrência]]="",1,0)</f>
        <v>1</v>
      </c>
      <c r="Z1426" s="2">
        <f>fNotasFiscais[[#This Row],[On Time]]*fNotasFiscais[[#This Row],[In Full]]</f>
        <v>1</v>
      </c>
      <c r="AA1426">
        <f>IF(fNotasFiscais[[#This Row],[Nota Fiscal]]&lt;&gt;"",1,0)</f>
        <v>1</v>
      </c>
    </row>
    <row r="1427" spans="1:27" x14ac:dyDescent="0.25">
      <c r="A1427" s="1">
        <v>43538</v>
      </c>
      <c r="B1427">
        <v>11836</v>
      </c>
      <c r="C1427" s="2" t="s">
        <v>40</v>
      </c>
      <c r="D1427" s="2" t="s">
        <v>41</v>
      </c>
      <c r="E1427" s="2" t="s">
        <v>33</v>
      </c>
      <c r="F1427">
        <v>4033</v>
      </c>
      <c r="G1427" s="2" t="s">
        <v>109</v>
      </c>
      <c r="H1427" s="2" t="s">
        <v>51</v>
      </c>
      <c r="I1427" s="2" t="s">
        <v>73</v>
      </c>
      <c r="J1427" s="2" t="s">
        <v>49</v>
      </c>
      <c r="K1427" s="2" t="s">
        <v>73</v>
      </c>
      <c r="L1427">
        <v>628.51</v>
      </c>
      <c r="M1427">
        <v>1</v>
      </c>
      <c r="N1427">
        <v>1.65</v>
      </c>
      <c r="O1427">
        <v>6100231</v>
      </c>
      <c r="P1427" s="2" t="s">
        <v>50</v>
      </c>
      <c r="Q1427" s="2" t="s">
        <v>51</v>
      </c>
      <c r="R1427" s="2" t="s">
        <v>30</v>
      </c>
      <c r="S1427">
        <v>9</v>
      </c>
      <c r="T1427" s="1">
        <v>43538</v>
      </c>
      <c r="U1427" s="1">
        <v>43544</v>
      </c>
      <c r="V1427" s="2"/>
      <c r="W1427" s="1">
        <f>fNotasFiscais[[#This Row],[Data da Coleta]]+fNotasFiscais[[#This Row],[Prazo Contratado]]</f>
        <v>43547</v>
      </c>
      <c r="X1427" s="3">
        <f>IF(fNotasFiscais[[#This Row],[Data da Entrega]]&gt;fNotasFiscais[[#This Row],[Data Contratada]],0,1)</f>
        <v>1</v>
      </c>
      <c r="Y1427" s="3">
        <f>IF(fNotasFiscais[[#This Row],[Ocorrência]]="",1,0)</f>
        <v>1</v>
      </c>
      <c r="Z1427" s="2">
        <f>fNotasFiscais[[#This Row],[On Time]]*fNotasFiscais[[#This Row],[In Full]]</f>
        <v>1</v>
      </c>
      <c r="AA1427">
        <f>IF(fNotasFiscais[[#This Row],[Nota Fiscal]]&lt;&gt;"",1,0)</f>
        <v>1</v>
      </c>
    </row>
    <row r="1428" spans="1:27" x14ac:dyDescent="0.25">
      <c r="A1428" s="1">
        <v>43538</v>
      </c>
      <c r="B1428">
        <v>11837</v>
      </c>
      <c r="C1428" s="2" t="s">
        <v>34</v>
      </c>
      <c r="D1428" s="2" t="s">
        <v>35</v>
      </c>
      <c r="E1428" s="2" t="s">
        <v>36</v>
      </c>
      <c r="F1428">
        <v>4033</v>
      </c>
      <c r="G1428" s="2" t="s">
        <v>109</v>
      </c>
      <c r="H1428" s="2" t="s">
        <v>51</v>
      </c>
      <c r="I1428" s="2" t="s">
        <v>73</v>
      </c>
      <c r="J1428" s="2" t="s">
        <v>49</v>
      </c>
      <c r="K1428" s="2" t="s">
        <v>73</v>
      </c>
      <c r="L1428">
        <v>974.67</v>
      </c>
      <c r="M1428">
        <v>1</v>
      </c>
      <c r="N1428">
        <v>3.52</v>
      </c>
      <c r="O1428">
        <v>6100231</v>
      </c>
      <c r="P1428" s="2" t="s">
        <v>50</v>
      </c>
      <c r="Q1428" s="2" t="s">
        <v>51</v>
      </c>
      <c r="R1428" s="2" t="s">
        <v>30</v>
      </c>
      <c r="S1428">
        <v>12</v>
      </c>
      <c r="T1428" s="1">
        <v>43538</v>
      </c>
      <c r="U1428" s="1">
        <v>43542</v>
      </c>
      <c r="V1428" s="2"/>
      <c r="W1428" s="1">
        <f>fNotasFiscais[[#This Row],[Data da Coleta]]+fNotasFiscais[[#This Row],[Prazo Contratado]]</f>
        <v>43550</v>
      </c>
      <c r="X1428" s="3">
        <f>IF(fNotasFiscais[[#This Row],[Data da Entrega]]&gt;fNotasFiscais[[#This Row],[Data Contratada]],0,1)</f>
        <v>1</v>
      </c>
      <c r="Y1428" s="3">
        <f>IF(fNotasFiscais[[#This Row],[Ocorrência]]="",1,0)</f>
        <v>1</v>
      </c>
      <c r="Z1428" s="2">
        <f>fNotasFiscais[[#This Row],[On Time]]*fNotasFiscais[[#This Row],[In Full]]</f>
        <v>1</v>
      </c>
      <c r="AA1428">
        <f>IF(fNotasFiscais[[#This Row],[Nota Fiscal]]&lt;&gt;"",1,0)</f>
        <v>1</v>
      </c>
    </row>
    <row r="1429" spans="1:27" x14ac:dyDescent="0.25">
      <c r="A1429" s="1">
        <v>43538</v>
      </c>
      <c r="B1429">
        <v>11838</v>
      </c>
      <c r="C1429" s="2" t="s">
        <v>22</v>
      </c>
      <c r="D1429" s="2" t="s">
        <v>23</v>
      </c>
      <c r="E1429" s="2" t="s">
        <v>24</v>
      </c>
      <c r="F1429">
        <v>4068</v>
      </c>
      <c r="G1429" s="2" t="s">
        <v>63</v>
      </c>
      <c r="H1429" s="2" t="s">
        <v>64</v>
      </c>
      <c r="I1429" s="2" t="s">
        <v>65</v>
      </c>
      <c r="J1429" s="2" t="s">
        <v>49</v>
      </c>
      <c r="K1429" s="2" t="s">
        <v>65</v>
      </c>
      <c r="L1429">
        <v>356.59</v>
      </c>
      <c r="M1429">
        <v>1</v>
      </c>
      <c r="N1429">
        <v>0.68200000000000005</v>
      </c>
      <c r="O1429">
        <v>6100231</v>
      </c>
      <c r="P1429" s="2" t="s">
        <v>50</v>
      </c>
      <c r="Q1429" s="2" t="s">
        <v>51</v>
      </c>
      <c r="R1429" s="2" t="s">
        <v>30</v>
      </c>
      <c r="S1429">
        <v>4</v>
      </c>
      <c r="T1429" s="1">
        <v>43538</v>
      </c>
      <c r="U1429" s="1">
        <v>43541</v>
      </c>
      <c r="V1429" s="2"/>
      <c r="W1429" s="1">
        <f>fNotasFiscais[[#This Row],[Data da Coleta]]+fNotasFiscais[[#This Row],[Prazo Contratado]]</f>
        <v>43542</v>
      </c>
      <c r="X1429" s="3">
        <f>IF(fNotasFiscais[[#This Row],[Data da Entrega]]&gt;fNotasFiscais[[#This Row],[Data Contratada]],0,1)</f>
        <v>1</v>
      </c>
      <c r="Y1429" s="3">
        <f>IF(fNotasFiscais[[#This Row],[Ocorrência]]="",1,0)</f>
        <v>1</v>
      </c>
      <c r="Z1429" s="2">
        <f>fNotasFiscais[[#This Row],[On Time]]*fNotasFiscais[[#This Row],[In Full]]</f>
        <v>1</v>
      </c>
      <c r="AA1429">
        <f>IF(fNotasFiscais[[#This Row],[Nota Fiscal]]&lt;&gt;"",1,0)</f>
        <v>1</v>
      </c>
    </row>
    <row r="1430" spans="1:27" x14ac:dyDescent="0.25">
      <c r="A1430" s="1">
        <v>43539</v>
      </c>
      <c r="B1430">
        <v>11839</v>
      </c>
      <c r="C1430" s="2" t="s">
        <v>43</v>
      </c>
      <c r="D1430" s="2" t="s">
        <v>44</v>
      </c>
      <c r="E1430" s="2" t="s">
        <v>45</v>
      </c>
      <c r="F1430">
        <v>4140</v>
      </c>
      <c r="G1430" s="2" t="s">
        <v>223</v>
      </c>
      <c r="H1430" s="2" t="s">
        <v>167</v>
      </c>
      <c r="I1430" s="2" t="s">
        <v>168</v>
      </c>
      <c r="J1430" s="2" t="s">
        <v>169</v>
      </c>
      <c r="K1430" s="2" t="s">
        <v>168</v>
      </c>
      <c r="L1430">
        <v>709.09</v>
      </c>
      <c r="M1430">
        <v>2</v>
      </c>
      <c r="N1430">
        <v>1.3640000000000001</v>
      </c>
      <c r="O1430">
        <v>6900304</v>
      </c>
      <c r="P1430" s="2" t="s">
        <v>170</v>
      </c>
      <c r="Q1430" s="2" t="s">
        <v>171</v>
      </c>
      <c r="R1430" s="2" t="s">
        <v>30</v>
      </c>
      <c r="S1430">
        <v>8</v>
      </c>
      <c r="T1430" s="1">
        <v>43539</v>
      </c>
      <c r="U1430" s="1">
        <v>43546</v>
      </c>
      <c r="V1430" s="2"/>
      <c r="W1430" s="1">
        <f>fNotasFiscais[[#This Row],[Data da Coleta]]+fNotasFiscais[[#This Row],[Prazo Contratado]]</f>
        <v>43547</v>
      </c>
      <c r="X1430" s="3">
        <f>IF(fNotasFiscais[[#This Row],[Data da Entrega]]&gt;fNotasFiscais[[#This Row],[Data Contratada]],0,1)</f>
        <v>1</v>
      </c>
      <c r="Y1430" s="3">
        <f>IF(fNotasFiscais[[#This Row],[Ocorrência]]="",1,0)</f>
        <v>1</v>
      </c>
      <c r="Z1430" s="2">
        <f>fNotasFiscais[[#This Row],[On Time]]*fNotasFiscais[[#This Row],[In Full]]</f>
        <v>1</v>
      </c>
      <c r="AA1430">
        <f>IF(fNotasFiscais[[#This Row],[Nota Fiscal]]&lt;&gt;"",1,0)</f>
        <v>1</v>
      </c>
    </row>
    <row r="1431" spans="1:27" x14ac:dyDescent="0.25">
      <c r="A1431" s="1">
        <v>43539</v>
      </c>
      <c r="B1431">
        <v>11840</v>
      </c>
      <c r="C1431" s="2" t="s">
        <v>31</v>
      </c>
      <c r="D1431" s="2" t="s">
        <v>32</v>
      </c>
      <c r="E1431" s="2" t="s">
        <v>33</v>
      </c>
      <c r="F1431">
        <v>4141</v>
      </c>
      <c r="G1431" s="2" t="s">
        <v>224</v>
      </c>
      <c r="H1431" s="2" t="s">
        <v>44</v>
      </c>
      <c r="I1431" s="2" t="s">
        <v>45</v>
      </c>
      <c r="J1431" s="2" t="s">
        <v>60</v>
      </c>
      <c r="K1431" s="2" t="s">
        <v>45</v>
      </c>
      <c r="L1431">
        <v>1.49</v>
      </c>
      <c r="M1431">
        <v>1</v>
      </c>
      <c r="N1431">
        <v>0.11799999999999999</v>
      </c>
      <c r="O1431">
        <v>6140092</v>
      </c>
      <c r="P1431" s="2" t="s">
        <v>137</v>
      </c>
      <c r="Q1431" s="2" t="s">
        <v>138</v>
      </c>
      <c r="R1431" s="2" t="s">
        <v>30</v>
      </c>
      <c r="S1431">
        <v>11</v>
      </c>
      <c r="T1431" s="1">
        <v>43539</v>
      </c>
      <c r="U1431" s="1">
        <v>43548</v>
      </c>
      <c r="V1431" s="2" t="s">
        <v>57</v>
      </c>
      <c r="W1431" s="1">
        <f>fNotasFiscais[[#This Row],[Data da Coleta]]+fNotasFiscais[[#This Row],[Prazo Contratado]]</f>
        <v>43550</v>
      </c>
      <c r="X1431" s="3">
        <f>IF(fNotasFiscais[[#This Row],[Data da Entrega]]&gt;fNotasFiscais[[#This Row],[Data Contratada]],0,1)</f>
        <v>1</v>
      </c>
      <c r="Y1431" s="3">
        <f>IF(fNotasFiscais[[#This Row],[Ocorrência]]="",1,0)</f>
        <v>0</v>
      </c>
      <c r="Z1431" s="2">
        <f>fNotasFiscais[[#This Row],[On Time]]*fNotasFiscais[[#This Row],[In Full]]</f>
        <v>0</v>
      </c>
      <c r="AA1431">
        <f>IF(fNotasFiscais[[#This Row],[Nota Fiscal]]&lt;&gt;"",1,0)</f>
        <v>1</v>
      </c>
    </row>
    <row r="1432" spans="1:27" x14ac:dyDescent="0.25">
      <c r="A1432" s="1">
        <v>43539</v>
      </c>
      <c r="B1432">
        <v>11841</v>
      </c>
      <c r="C1432" s="2" t="s">
        <v>31</v>
      </c>
      <c r="D1432" s="2" t="s">
        <v>32</v>
      </c>
      <c r="E1432" s="2" t="s">
        <v>33</v>
      </c>
      <c r="F1432">
        <v>4141</v>
      </c>
      <c r="G1432" s="2" t="s">
        <v>224</v>
      </c>
      <c r="H1432" s="2" t="s">
        <v>44</v>
      </c>
      <c r="I1432" s="2" t="s">
        <v>45</v>
      </c>
      <c r="J1432" s="2" t="s">
        <v>60</v>
      </c>
      <c r="K1432" s="2" t="s">
        <v>45</v>
      </c>
      <c r="L1432">
        <v>80</v>
      </c>
      <c r="M1432">
        <v>1</v>
      </c>
      <c r="N1432">
        <v>0.245</v>
      </c>
      <c r="O1432">
        <v>6140092</v>
      </c>
      <c r="P1432" s="2" t="s">
        <v>137</v>
      </c>
      <c r="Q1432" s="2" t="s">
        <v>138</v>
      </c>
      <c r="R1432" s="2" t="s">
        <v>30</v>
      </c>
      <c r="S1432">
        <v>6</v>
      </c>
      <c r="T1432" s="1">
        <v>43539</v>
      </c>
      <c r="U1432" s="1">
        <v>43545</v>
      </c>
      <c r="V1432" s="2"/>
      <c r="W1432" s="1">
        <f>fNotasFiscais[[#This Row],[Data da Coleta]]+fNotasFiscais[[#This Row],[Prazo Contratado]]</f>
        <v>43545</v>
      </c>
      <c r="X1432" s="3">
        <f>IF(fNotasFiscais[[#This Row],[Data da Entrega]]&gt;fNotasFiscais[[#This Row],[Data Contratada]],0,1)</f>
        <v>1</v>
      </c>
      <c r="Y1432" s="3">
        <f>IF(fNotasFiscais[[#This Row],[Ocorrência]]="",1,0)</f>
        <v>1</v>
      </c>
      <c r="Z1432" s="2">
        <f>fNotasFiscais[[#This Row],[On Time]]*fNotasFiscais[[#This Row],[In Full]]</f>
        <v>1</v>
      </c>
      <c r="AA1432">
        <f>IF(fNotasFiscais[[#This Row],[Nota Fiscal]]&lt;&gt;"",1,0)</f>
        <v>1</v>
      </c>
    </row>
    <row r="1433" spans="1:27" x14ac:dyDescent="0.25">
      <c r="A1433" s="1">
        <v>43539</v>
      </c>
      <c r="B1433">
        <v>11842</v>
      </c>
      <c r="C1433" s="2" t="s">
        <v>31</v>
      </c>
      <c r="D1433" s="2" t="s">
        <v>32</v>
      </c>
      <c r="E1433" s="2" t="s">
        <v>33</v>
      </c>
      <c r="F1433">
        <v>4013</v>
      </c>
      <c r="G1433" s="2" t="s">
        <v>37</v>
      </c>
      <c r="H1433" s="2" t="s">
        <v>38</v>
      </c>
      <c r="I1433" s="2" t="s">
        <v>39</v>
      </c>
      <c r="J1433" s="2" t="s">
        <v>28</v>
      </c>
      <c r="K1433" s="2" t="s">
        <v>39</v>
      </c>
      <c r="L1433">
        <v>237.6</v>
      </c>
      <c r="M1433">
        <v>1</v>
      </c>
      <c r="N1433">
        <v>19.36</v>
      </c>
      <c r="O1433">
        <v>6500948</v>
      </c>
      <c r="P1433" s="2" t="s">
        <v>29</v>
      </c>
      <c r="Q1433" s="2" t="s">
        <v>23</v>
      </c>
      <c r="R1433" s="2" t="s">
        <v>30</v>
      </c>
      <c r="S1433">
        <v>2</v>
      </c>
      <c r="T1433" s="1">
        <v>43539</v>
      </c>
      <c r="U1433" s="1">
        <v>43543</v>
      </c>
      <c r="V1433" s="2" t="s">
        <v>57</v>
      </c>
      <c r="W1433" s="1">
        <f>fNotasFiscais[[#This Row],[Data da Coleta]]+fNotasFiscais[[#This Row],[Prazo Contratado]]</f>
        <v>43541</v>
      </c>
      <c r="X1433" s="3">
        <f>IF(fNotasFiscais[[#This Row],[Data da Entrega]]&gt;fNotasFiscais[[#This Row],[Data Contratada]],0,1)</f>
        <v>0</v>
      </c>
      <c r="Y1433" s="3">
        <f>IF(fNotasFiscais[[#This Row],[Ocorrência]]="",1,0)</f>
        <v>0</v>
      </c>
      <c r="Z1433" s="2">
        <f>fNotasFiscais[[#This Row],[On Time]]*fNotasFiscais[[#This Row],[In Full]]</f>
        <v>0</v>
      </c>
      <c r="AA1433">
        <f>IF(fNotasFiscais[[#This Row],[Nota Fiscal]]&lt;&gt;"",1,0)</f>
        <v>1</v>
      </c>
    </row>
    <row r="1434" spans="1:27" x14ac:dyDescent="0.25">
      <c r="A1434" s="1">
        <v>43539</v>
      </c>
      <c r="B1434">
        <v>11843</v>
      </c>
      <c r="C1434" s="2" t="s">
        <v>34</v>
      </c>
      <c r="D1434" s="2" t="s">
        <v>35</v>
      </c>
      <c r="E1434" s="2" t="s">
        <v>36</v>
      </c>
      <c r="F1434">
        <v>4013</v>
      </c>
      <c r="G1434" s="2" t="s">
        <v>37</v>
      </c>
      <c r="H1434" s="2" t="s">
        <v>38</v>
      </c>
      <c r="I1434" s="2" t="s">
        <v>39</v>
      </c>
      <c r="J1434" s="2" t="s">
        <v>28</v>
      </c>
      <c r="K1434" s="2" t="s">
        <v>39</v>
      </c>
      <c r="L1434">
        <v>350.74</v>
      </c>
      <c r="M1434">
        <v>1</v>
      </c>
      <c r="N1434">
        <v>1.331</v>
      </c>
      <c r="O1434">
        <v>6500948</v>
      </c>
      <c r="P1434" s="2" t="s">
        <v>29</v>
      </c>
      <c r="Q1434" s="2" t="s">
        <v>23</v>
      </c>
      <c r="R1434" s="2" t="s">
        <v>30</v>
      </c>
      <c r="S1434">
        <v>11</v>
      </c>
      <c r="T1434" s="1">
        <v>43539</v>
      </c>
      <c r="U1434" s="1">
        <v>43547</v>
      </c>
      <c r="V1434" s="2"/>
      <c r="W1434" s="1">
        <f>fNotasFiscais[[#This Row],[Data da Coleta]]+fNotasFiscais[[#This Row],[Prazo Contratado]]</f>
        <v>43550</v>
      </c>
      <c r="X1434" s="3">
        <f>IF(fNotasFiscais[[#This Row],[Data da Entrega]]&gt;fNotasFiscais[[#This Row],[Data Contratada]],0,1)</f>
        <v>1</v>
      </c>
      <c r="Y1434" s="3">
        <f>IF(fNotasFiscais[[#This Row],[Ocorrência]]="",1,0)</f>
        <v>1</v>
      </c>
      <c r="Z1434" s="2">
        <f>fNotasFiscais[[#This Row],[On Time]]*fNotasFiscais[[#This Row],[In Full]]</f>
        <v>1</v>
      </c>
      <c r="AA1434">
        <f>IF(fNotasFiscais[[#This Row],[Nota Fiscal]]&lt;&gt;"",1,0)</f>
        <v>1</v>
      </c>
    </row>
    <row r="1435" spans="1:27" x14ac:dyDescent="0.25">
      <c r="A1435" s="1">
        <v>43539</v>
      </c>
      <c r="B1435">
        <v>11844</v>
      </c>
      <c r="C1435" s="2" t="s">
        <v>43</v>
      </c>
      <c r="D1435" s="2" t="s">
        <v>44</v>
      </c>
      <c r="E1435" s="2" t="s">
        <v>45</v>
      </c>
      <c r="F1435">
        <v>4049</v>
      </c>
      <c r="G1435" s="2" t="s">
        <v>118</v>
      </c>
      <c r="H1435" s="2" t="s">
        <v>97</v>
      </c>
      <c r="I1435" s="2" t="s">
        <v>48</v>
      </c>
      <c r="J1435" s="2" t="s">
        <v>49</v>
      </c>
      <c r="K1435" s="2" t="s">
        <v>48</v>
      </c>
      <c r="L1435">
        <v>1831.14</v>
      </c>
      <c r="M1435">
        <v>2</v>
      </c>
      <c r="N1435">
        <v>5.2539999999999996</v>
      </c>
      <c r="O1435">
        <v>6100231</v>
      </c>
      <c r="P1435" s="2" t="s">
        <v>50</v>
      </c>
      <c r="Q1435" s="2" t="s">
        <v>51</v>
      </c>
      <c r="R1435" s="2" t="s">
        <v>30</v>
      </c>
      <c r="S1435">
        <v>6</v>
      </c>
      <c r="T1435" s="1">
        <v>43539</v>
      </c>
      <c r="U1435" s="1">
        <v>43540</v>
      </c>
      <c r="V1435" s="2" t="s">
        <v>57</v>
      </c>
      <c r="W1435" s="1">
        <f>fNotasFiscais[[#This Row],[Data da Coleta]]+fNotasFiscais[[#This Row],[Prazo Contratado]]</f>
        <v>43545</v>
      </c>
      <c r="X1435" s="3">
        <f>IF(fNotasFiscais[[#This Row],[Data da Entrega]]&gt;fNotasFiscais[[#This Row],[Data Contratada]],0,1)</f>
        <v>1</v>
      </c>
      <c r="Y1435" s="3">
        <f>IF(fNotasFiscais[[#This Row],[Ocorrência]]="",1,0)</f>
        <v>0</v>
      </c>
      <c r="Z1435" s="2">
        <f>fNotasFiscais[[#This Row],[On Time]]*fNotasFiscais[[#This Row],[In Full]]</f>
        <v>0</v>
      </c>
      <c r="AA1435">
        <f>IF(fNotasFiscais[[#This Row],[Nota Fiscal]]&lt;&gt;"",1,0)</f>
        <v>1</v>
      </c>
    </row>
    <row r="1436" spans="1:27" x14ac:dyDescent="0.25">
      <c r="A1436" s="1">
        <v>43539</v>
      </c>
      <c r="B1436">
        <v>11845</v>
      </c>
      <c r="C1436" s="2" t="s">
        <v>40</v>
      </c>
      <c r="D1436" s="2" t="s">
        <v>41</v>
      </c>
      <c r="E1436" s="2" t="s">
        <v>33</v>
      </c>
      <c r="F1436">
        <v>4049</v>
      </c>
      <c r="G1436" s="2" t="s">
        <v>118</v>
      </c>
      <c r="H1436" s="2" t="s">
        <v>97</v>
      </c>
      <c r="I1436" s="2" t="s">
        <v>48</v>
      </c>
      <c r="J1436" s="2" t="s">
        <v>49</v>
      </c>
      <c r="K1436" s="2" t="s">
        <v>48</v>
      </c>
      <c r="L1436">
        <v>120.24</v>
      </c>
      <c r="M1436">
        <v>1</v>
      </c>
      <c r="N1436">
        <v>1.1200000000000001</v>
      </c>
      <c r="O1436">
        <v>6100231</v>
      </c>
      <c r="P1436" s="2" t="s">
        <v>50</v>
      </c>
      <c r="Q1436" s="2" t="s">
        <v>51</v>
      </c>
      <c r="R1436" s="2" t="s">
        <v>30</v>
      </c>
      <c r="S1436">
        <v>9</v>
      </c>
      <c r="T1436" s="1">
        <v>43539</v>
      </c>
      <c r="U1436" s="1">
        <v>43543</v>
      </c>
      <c r="V1436" s="2"/>
      <c r="W1436" s="1">
        <f>fNotasFiscais[[#This Row],[Data da Coleta]]+fNotasFiscais[[#This Row],[Prazo Contratado]]</f>
        <v>43548</v>
      </c>
      <c r="X1436" s="3">
        <f>IF(fNotasFiscais[[#This Row],[Data da Entrega]]&gt;fNotasFiscais[[#This Row],[Data Contratada]],0,1)</f>
        <v>1</v>
      </c>
      <c r="Y1436" s="3">
        <f>IF(fNotasFiscais[[#This Row],[Ocorrência]]="",1,0)</f>
        <v>1</v>
      </c>
      <c r="Z1436" s="2">
        <f>fNotasFiscais[[#This Row],[On Time]]*fNotasFiscais[[#This Row],[In Full]]</f>
        <v>1</v>
      </c>
      <c r="AA1436">
        <f>IF(fNotasFiscais[[#This Row],[Nota Fiscal]]&lt;&gt;"",1,0)</f>
        <v>1</v>
      </c>
    </row>
    <row r="1437" spans="1:27" x14ac:dyDescent="0.25">
      <c r="A1437" s="1">
        <v>43539</v>
      </c>
      <c r="B1437">
        <v>11846</v>
      </c>
      <c r="C1437" s="2" t="s">
        <v>52</v>
      </c>
      <c r="D1437" s="2" t="s">
        <v>53</v>
      </c>
      <c r="E1437" s="2" t="s">
        <v>33</v>
      </c>
      <c r="F1437">
        <v>4049</v>
      </c>
      <c r="G1437" s="2" t="s">
        <v>118</v>
      </c>
      <c r="H1437" s="2" t="s">
        <v>97</v>
      </c>
      <c r="I1437" s="2" t="s">
        <v>48</v>
      </c>
      <c r="J1437" s="2" t="s">
        <v>49</v>
      </c>
      <c r="K1437" s="2" t="s">
        <v>48</v>
      </c>
      <c r="L1437">
        <v>962.24</v>
      </c>
      <c r="M1437">
        <v>1</v>
      </c>
      <c r="N1437">
        <v>2.9249999999999998</v>
      </c>
      <c r="O1437">
        <v>6100231</v>
      </c>
      <c r="P1437" s="2" t="s">
        <v>50</v>
      </c>
      <c r="Q1437" s="2" t="s">
        <v>51</v>
      </c>
      <c r="R1437" s="2" t="s">
        <v>30</v>
      </c>
      <c r="S1437">
        <v>5</v>
      </c>
      <c r="T1437" s="1">
        <v>43539</v>
      </c>
      <c r="U1437" s="1">
        <v>43542</v>
      </c>
      <c r="V1437" s="2" t="s">
        <v>57</v>
      </c>
      <c r="W1437" s="1">
        <f>fNotasFiscais[[#This Row],[Data da Coleta]]+fNotasFiscais[[#This Row],[Prazo Contratado]]</f>
        <v>43544</v>
      </c>
      <c r="X1437" s="3">
        <f>IF(fNotasFiscais[[#This Row],[Data da Entrega]]&gt;fNotasFiscais[[#This Row],[Data Contratada]],0,1)</f>
        <v>1</v>
      </c>
      <c r="Y1437" s="3">
        <f>IF(fNotasFiscais[[#This Row],[Ocorrência]]="",1,0)</f>
        <v>0</v>
      </c>
      <c r="Z1437" s="2">
        <f>fNotasFiscais[[#This Row],[On Time]]*fNotasFiscais[[#This Row],[In Full]]</f>
        <v>0</v>
      </c>
      <c r="AA1437">
        <f>IF(fNotasFiscais[[#This Row],[Nota Fiscal]]&lt;&gt;"",1,0)</f>
        <v>1</v>
      </c>
    </row>
    <row r="1438" spans="1:27" x14ac:dyDescent="0.25">
      <c r="A1438" s="1">
        <v>43539</v>
      </c>
      <c r="B1438">
        <v>11847</v>
      </c>
      <c r="C1438" s="2" t="s">
        <v>34</v>
      </c>
      <c r="D1438" s="2" t="s">
        <v>35</v>
      </c>
      <c r="E1438" s="2" t="s">
        <v>36</v>
      </c>
      <c r="F1438">
        <v>4049</v>
      </c>
      <c r="G1438" s="2" t="s">
        <v>118</v>
      </c>
      <c r="H1438" s="2" t="s">
        <v>97</v>
      </c>
      <c r="I1438" s="2" t="s">
        <v>48</v>
      </c>
      <c r="J1438" s="2" t="s">
        <v>49</v>
      </c>
      <c r="K1438" s="2" t="s">
        <v>48</v>
      </c>
      <c r="L1438">
        <v>798.34</v>
      </c>
      <c r="M1438">
        <v>1</v>
      </c>
      <c r="N1438">
        <v>1.1200000000000001</v>
      </c>
      <c r="O1438">
        <v>6100231</v>
      </c>
      <c r="P1438" s="2" t="s">
        <v>50</v>
      </c>
      <c r="Q1438" s="2" t="s">
        <v>51</v>
      </c>
      <c r="R1438" s="2" t="s">
        <v>30</v>
      </c>
      <c r="S1438">
        <v>2</v>
      </c>
      <c r="T1438" s="1">
        <v>43539</v>
      </c>
      <c r="U1438" s="1">
        <v>43547</v>
      </c>
      <c r="V1438" s="2" t="s">
        <v>57</v>
      </c>
      <c r="W1438" s="1">
        <f>fNotasFiscais[[#This Row],[Data da Coleta]]+fNotasFiscais[[#This Row],[Prazo Contratado]]</f>
        <v>43541</v>
      </c>
      <c r="X1438" s="3">
        <f>IF(fNotasFiscais[[#This Row],[Data da Entrega]]&gt;fNotasFiscais[[#This Row],[Data Contratada]],0,1)</f>
        <v>0</v>
      </c>
      <c r="Y1438" s="3">
        <f>IF(fNotasFiscais[[#This Row],[Ocorrência]]="",1,0)</f>
        <v>0</v>
      </c>
      <c r="Z1438" s="2">
        <f>fNotasFiscais[[#This Row],[On Time]]*fNotasFiscais[[#This Row],[In Full]]</f>
        <v>0</v>
      </c>
      <c r="AA1438">
        <f>IF(fNotasFiscais[[#This Row],[Nota Fiscal]]&lt;&gt;"",1,0)</f>
        <v>1</v>
      </c>
    </row>
    <row r="1439" spans="1:27" x14ac:dyDescent="0.25">
      <c r="A1439" s="1">
        <v>43539</v>
      </c>
      <c r="B1439">
        <v>11848</v>
      </c>
      <c r="C1439" s="2" t="s">
        <v>52</v>
      </c>
      <c r="D1439" s="2" t="s">
        <v>53</v>
      </c>
      <c r="E1439" s="2" t="s">
        <v>33</v>
      </c>
      <c r="F1439">
        <v>4049</v>
      </c>
      <c r="G1439" s="2" t="s">
        <v>118</v>
      </c>
      <c r="H1439" s="2" t="s">
        <v>97</v>
      </c>
      <c r="I1439" s="2" t="s">
        <v>48</v>
      </c>
      <c r="J1439" s="2" t="s">
        <v>49</v>
      </c>
      <c r="K1439" s="2" t="s">
        <v>48</v>
      </c>
      <c r="L1439">
        <v>97.44</v>
      </c>
      <c r="M1439">
        <v>1</v>
      </c>
      <c r="N1439">
        <v>55</v>
      </c>
      <c r="O1439">
        <v>6100231</v>
      </c>
      <c r="P1439" s="2" t="s">
        <v>50</v>
      </c>
      <c r="Q1439" s="2" t="s">
        <v>51</v>
      </c>
      <c r="R1439" s="2" t="s">
        <v>30</v>
      </c>
      <c r="S1439">
        <v>6</v>
      </c>
      <c r="T1439" s="1">
        <v>43539</v>
      </c>
      <c r="U1439" s="1">
        <v>43549</v>
      </c>
      <c r="V1439" s="2"/>
      <c r="W1439" s="1">
        <f>fNotasFiscais[[#This Row],[Data da Coleta]]+fNotasFiscais[[#This Row],[Prazo Contratado]]</f>
        <v>43545</v>
      </c>
      <c r="X1439" s="3">
        <f>IF(fNotasFiscais[[#This Row],[Data da Entrega]]&gt;fNotasFiscais[[#This Row],[Data Contratada]],0,1)</f>
        <v>0</v>
      </c>
      <c r="Y1439" s="3">
        <f>IF(fNotasFiscais[[#This Row],[Ocorrência]]="",1,0)</f>
        <v>1</v>
      </c>
      <c r="Z1439" s="2">
        <f>fNotasFiscais[[#This Row],[On Time]]*fNotasFiscais[[#This Row],[In Full]]</f>
        <v>0</v>
      </c>
      <c r="AA1439">
        <f>IF(fNotasFiscais[[#This Row],[Nota Fiscal]]&lt;&gt;"",1,0)</f>
        <v>1</v>
      </c>
    </row>
    <row r="1440" spans="1:27" x14ac:dyDescent="0.25">
      <c r="A1440" s="1">
        <v>43539</v>
      </c>
      <c r="B1440">
        <v>11849</v>
      </c>
      <c r="C1440" s="2" t="s">
        <v>31</v>
      </c>
      <c r="D1440" s="2" t="s">
        <v>32</v>
      </c>
      <c r="E1440" s="2" t="s">
        <v>33</v>
      </c>
      <c r="F1440">
        <v>4049</v>
      </c>
      <c r="G1440" s="2" t="s">
        <v>118</v>
      </c>
      <c r="H1440" s="2" t="s">
        <v>97</v>
      </c>
      <c r="I1440" s="2" t="s">
        <v>48</v>
      </c>
      <c r="J1440" s="2" t="s">
        <v>49</v>
      </c>
      <c r="K1440" s="2" t="s">
        <v>48</v>
      </c>
      <c r="L1440">
        <v>66.95</v>
      </c>
      <c r="M1440">
        <v>1</v>
      </c>
      <c r="N1440">
        <v>0.182</v>
      </c>
      <c r="O1440">
        <v>6100231</v>
      </c>
      <c r="P1440" s="2" t="s">
        <v>50</v>
      </c>
      <c r="Q1440" s="2" t="s">
        <v>51</v>
      </c>
      <c r="R1440" s="2" t="s">
        <v>30</v>
      </c>
      <c r="S1440">
        <v>5</v>
      </c>
      <c r="T1440" s="1">
        <v>43539</v>
      </c>
      <c r="U1440" s="1">
        <v>43543</v>
      </c>
      <c r="V1440" s="2"/>
      <c r="W1440" s="1">
        <f>fNotasFiscais[[#This Row],[Data da Coleta]]+fNotasFiscais[[#This Row],[Prazo Contratado]]</f>
        <v>43544</v>
      </c>
      <c r="X1440" s="3">
        <f>IF(fNotasFiscais[[#This Row],[Data da Entrega]]&gt;fNotasFiscais[[#This Row],[Data Contratada]],0,1)</f>
        <v>1</v>
      </c>
      <c r="Y1440" s="3">
        <f>IF(fNotasFiscais[[#This Row],[Ocorrência]]="",1,0)</f>
        <v>1</v>
      </c>
      <c r="Z1440" s="2">
        <f>fNotasFiscais[[#This Row],[On Time]]*fNotasFiscais[[#This Row],[In Full]]</f>
        <v>1</v>
      </c>
      <c r="AA1440">
        <f>IF(fNotasFiscais[[#This Row],[Nota Fiscal]]&lt;&gt;"",1,0)</f>
        <v>1</v>
      </c>
    </row>
    <row r="1441" spans="1:27" x14ac:dyDescent="0.25">
      <c r="A1441" s="1">
        <v>43539</v>
      </c>
      <c r="B1441">
        <v>11850</v>
      </c>
      <c r="C1441" s="2" t="s">
        <v>34</v>
      </c>
      <c r="D1441" s="2" t="s">
        <v>35</v>
      </c>
      <c r="E1441" s="2" t="s">
        <v>36</v>
      </c>
      <c r="F1441">
        <v>4049</v>
      </c>
      <c r="G1441" s="2" t="s">
        <v>118</v>
      </c>
      <c r="H1441" s="2" t="s">
        <v>97</v>
      </c>
      <c r="I1441" s="2" t="s">
        <v>48</v>
      </c>
      <c r="J1441" s="2" t="s">
        <v>49</v>
      </c>
      <c r="K1441" s="2" t="s">
        <v>48</v>
      </c>
      <c r="L1441">
        <v>90.35</v>
      </c>
      <c r="M1441">
        <v>1</v>
      </c>
      <c r="N1441">
        <v>2.5000000000000001E-2</v>
      </c>
      <c r="O1441">
        <v>6100231</v>
      </c>
      <c r="P1441" s="2" t="s">
        <v>50</v>
      </c>
      <c r="Q1441" s="2" t="s">
        <v>51</v>
      </c>
      <c r="R1441" s="2" t="s">
        <v>30</v>
      </c>
      <c r="S1441">
        <v>8</v>
      </c>
      <c r="T1441" s="1">
        <v>43539</v>
      </c>
      <c r="U1441" s="1">
        <v>43541</v>
      </c>
      <c r="V1441" s="2"/>
      <c r="W1441" s="1">
        <f>fNotasFiscais[[#This Row],[Data da Coleta]]+fNotasFiscais[[#This Row],[Prazo Contratado]]</f>
        <v>43547</v>
      </c>
      <c r="X1441" s="3">
        <f>IF(fNotasFiscais[[#This Row],[Data da Entrega]]&gt;fNotasFiscais[[#This Row],[Data Contratada]],0,1)</f>
        <v>1</v>
      </c>
      <c r="Y1441" s="3">
        <f>IF(fNotasFiscais[[#This Row],[Ocorrência]]="",1,0)</f>
        <v>1</v>
      </c>
      <c r="Z1441" s="2">
        <f>fNotasFiscais[[#This Row],[On Time]]*fNotasFiscais[[#This Row],[In Full]]</f>
        <v>1</v>
      </c>
      <c r="AA1441">
        <f>IF(fNotasFiscais[[#This Row],[Nota Fiscal]]&lt;&gt;"",1,0)</f>
        <v>1</v>
      </c>
    </row>
    <row r="1442" spans="1:27" x14ac:dyDescent="0.25">
      <c r="A1442" s="1">
        <v>43539</v>
      </c>
      <c r="B1442">
        <v>11851</v>
      </c>
      <c r="C1442" s="2" t="s">
        <v>31</v>
      </c>
      <c r="D1442" s="2" t="s">
        <v>32</v>
      </c>
      <c r="E1442" s="2" t="s">
        <v>33</v>
      </c>
      <c r="F1442">
        <v>4049</v>
      </c>
      <c r="G1442" s="2" t="s">
        <v>118</v>
      </c>
      <c r="H1442" s="2" t="s">
        <v>97</v>
      </c>
      <c r="I1442" s="2" t="s">
        <v>48</v>
      </c>
      <c r="J1442" s="2" t="s">
        <v>49</v>
      </c>
      <c r="K1442" s="2" t="s">
        <v>48</v>
      </c>
      <c r="L1442">
        <v>8196.17</v>
      </c>
      <c r="M1442">
        <v>1</v>
      </c>
      <c r="N1442">
        <v>49.5</v>
      </c>
      <c r="O1442">
        <v>6100231</v>
      </c>
      <c r="P1442" s="2" t="s">
        <v>50</v>
      </c>
      <c r="Q1442" s="2" t="s">
        <v>51</v>
      </c>
      <c r="R1442" s="2" t="s">
        <v>30</v>
      </c>
      <c r="S1442">
        <v>5</v>
      </c>
      <c r="T1442" s="1">
        <v>43539</v>
      </c>
      <c r="U1442" s="1">
        <v>43545</v>
      </c>
      <c r="V1442" s="2"/>
      <c r="W1442" s="1">
        <f>fNotasFiscais[[#This Row],[Data da Coleta]]+fNotasFiscais[[#This Row],[Prazo Contratado]]</f>
        <v>43544</v>
      </c>
      <c r="X1442" s="3">
        <f>IF(fNotasFiscais[[#This Row],[Data da Entrega]]&gt;fNotasFiscais[[#This Row],[Data Contratada]],0,1)</f>
        <v>0</v>
      </c>
      <c r="Y1442" s="3">
        <f>IF(fNotasFiscais[[#This Row],[Ocorrência]]="",1,0)</f>
        <v>1</v>
      </c>
      <c r="Z1442" s="2">
        <f>fNotasFiscais[[#This Row],[On Time]]*fNotasFiscais[[#This Row],[In Full]]</f>
        <v>0</v>
      </c>
      <c r="AA1442">
        <f>IF(fNotasFiscais[[#This Row],[Nota Fiscal]]&lt;&gt;"",1,0)</f>
        <v>1</v>
      </c>
    </row>
    <row r="1443" spans="1:27" x14ac:dyDescent="0.25">
      <c r="A1443" s="1">
        <v>43539</v>
      </c>
      <c r="B1443">
        <v>11852</v>
      </c>
      <c r="C1443" s="2" t="s">
        <v>34</v>
      </c>
      <c r="D1443" s="2" t="s">
        <v>35</v>
      </c>
      <c r="E1443" s="2" t="s">
        <v>36</v>
      </c>
      <c r="F1443">
        <v>4049</v>
      </c>
      <c r="G1443" s="2" t="s">
        <v>118</v>
      </c>
      <c r="H1443" s="2" t="s">
        <v>97</v>
      </c>
      <c r="I1443" s="2" t="s">
        <v>48</v>
      </c>
      <c r="J1443" s="2" t="s">
        <v>49</v>
      </c>
      <c r="K1443" s="2" t="s">
        <v>48</v>
      </c>
      <c r="L1443">
        <v>11845.43</v>
      </c>
      <c r="M1443">
        <v>14</v>
      </c>
      <c r="N1443">
        <v>209.53800000000001</v>
      </c>
      <c r="O1443">
        <v>6100231</v>
      </c>
      <c r="P1443" s="2" t="s">
        <v>50</v>
      </c>
      <c r="Q1443" s="2" t="s">
        <v>51</v>
      </c>
      <c r="R1443" s="2" t="s">
        <v>30</v>
      </c>
      <c r="S1443">
        <v>10</v>
      </c>
      <c r="T1443" s="1">
        <v>43539</v>
      </c>
      <c r="U1443" s="1">
        <v>43545</v>
      </c>
      <c r="V1443" s="2"/>
      <c r="W1443" s="1">
        <f>fNotasFiscais[[#This Row],[Data da Coleta]]+fNotasFiscais[[#This Row],[Prazo Contratado]]</f>
        <v>43549</v>
      </c>
      <c r="X1443" s="3">
        <f>IF(fNotasFiscais[[#This Row],[Data da Entrega]]&gt;fNotasFiscais[[#This Row],[Data Contratada]],0,1)</f>
        <v>1</v>
      </c>
      <c r="Y1443" s="3">
        <f>IF(fNotasFiscais[[#This Row],[Ocorrência]]="",1,0)</f>
        <v>1</v>
      </c>
      <c r="Z1443" s="2">
        <f>fNotasFiscais[[#This Row],[On Time]]*fNotasFiscais[[#This Row],[In Full]]</f>
        <v>1</v>
      </c>
      <c r="AA1443">
        <f>IF(fNotasFiscais[[#This Row],[Nota Fiscal]]&lt;&gt;"",1,0)</f>
        <v>1</v>
      </c>
    </row>
    <row r="1444" spans="1:27" x14ac:dyDescent="0.25">
      <c r="A1444" s="1">
        <v>43539</v>
      </c>
      <c r="B1444">
        <v>11853</v>
      </c>
      <c r="C1444" s="2" t="s">
        <v>40</v>
      </c>
      <c r="D1444" s="2" t="s">
        <v>41</v>
      </c>
      <c r="E1444" s="2" t="s">
        <v>33</v>
      </c>
      <c r="F1444">
        <v>4049</v>
      </c>
      <c r="G1444" s="2" t="s">
        <v>118</v>
      </c>
      <c r="H1444" s="2" t="s">
        <v>97</v>
      </c>
      <c r="I1444" s="2" t="s">
        <v>48</v>
      </c>
      <c r="J1444" s="2" t="s">
        <v>49</v>
      </c>
      <c r="K1444" s="2" t="s">
        <v>48</v>
      </c>
      <c r="L1444">
        <v>3066.23</v>
      </c>
      <c r="M1444">
        <v>1</v>
      </c>
      <c r="N1444">
        <v>1.1200000000000001</v>
      </c>
      <c r="O1444">
        <v>6100231</v>
      </c>
      <c r="P1444" s="2" t="s">
        <v>50</v>
      </c>
      <c r="Q1444" s="2" t="s">
        <v>51</v>
      </c>
      <c r="R1444" s="2" t="s">
        <v>30</v>
      </c>
      <c r="S1444">
        <v>4</v>
      </c>
      <c r="T1444" s="1">
        <v>43539</v>
      </c>
      <c r="U1444" s="1">
        <v>43541</v>
      </c>
      <c r="V1444" s="2"/>
      <c r="W1444" s="1">
        <f>fNotasFiscais[[#This Row],[Data da Coleta]]+fNotasFiscais[[#This Row],[Prazo Contratado]]</f>
        <v>43543</v>
      </c>
      <c r="X1444" s="3">
        <f>IF(fNotasFiscais[[#This Row],[Data da Entrega]]&gt;fNotasFiscais[[#This Row],[Data Contratada]],0,1)</f>
        <v>1</v>
      </c>
      <c r="Y1444" s="3">
        <f>IF(fNotasFiscais[[#This Row],[Ocorrência]]="",1,0)</f>
        <v>1</v>
      </c>
      <c r="Z1444" s="2">
        <f>fNotasFiscais[[#This Row],[On Time]]*fNotasFiscais[[#This Row],[In Full]]</f>
        <v>1</v>
      </c>
      <c r="AA1444">
        <f>IF(fNotasFiscais[[#This Row],[Nota Fiscal]]&lt;&gt;"",1,0)</f>
        <v>1</v>
      </c>
    </row>
    <row r="1445" spans="1:27" x14ac:dyDescent="0.25">
      <c r="A1445" s="1">
        <v>43541</v>
      </c>
      <c r="B1445">
        <v>11854</v>
      </c>
      <c r="C1445" s="2" t="s">
        <v>52</v>
      </c>
      <c r="D1445" s="2" t="s">
        <v>53</v>
      </c>
      <c r="E1445" s="2" t="s">
        <v>33</v>
      </c>
      <c r="F1445">
        <v>4142</v>
      </c>
      <c r="G1445" s="2" t="s">
        <v>225</v>
      </c>
      <c r="H1445" s="2" t="s">
        <v>173</v>
      </c>
      <c r="I1445" s="2" t="s">
        <v>174</v>
      </c>
      <c r="J1445" s="2" t="s">
        <v>175</v>
      </c>
      <c r="K1445" s="2" t="s">
        <v>174</v>
      </c>
      <c r="L1445">
        <v>80.06</v>
      </c>
      <c r="M1445">
        <v>1</v>
      </c>
      <c r="N1445">
        <v>1.1200000000000001</v>
      </c>
      <c r="O1445">
        <v>6700091</v>
      </c>
      <c r="P1445" s="2" t="s">
        <v>176</v>
      </c>
      <c r="Q1445" s="2" t="s">
        <v>173</v>
      </c>
      <c r="R1445" s="2" t="s">
        <v>30</v>
      </c>
      <c r="S1445">
        <v>5</v>
      </c>
      <c r="T1445" s="1">
        <v>43541</v>
      </c>
      <c r="U1445" s="1">
        <v>43550</v>
      </c>
      <c r="V1445" s="2"/>
      <c r="W1445" s="1">
        <f>fNotasFiscais[[#This Row],[Data da Coleta]]+fNotasFiscais[[#This Row],[Prazo Contratado]]</f>
        <v>43546</v>
      </c>
      <c r="X1445" s="3">
        <f>IF(fNotasFiscais[[#This Row],[Data da Entrega]]&gt;fNotasFiscais[[#This Row],[Data Contratada]],0,1)</f>
        <v>0</v>
      </c>
      <c r="Y1445" s="3">
        <f>IF(fNotasFiscais[[#This Row],[Ocorrência]]="",1,0)</f>
        <v>1</v>
      </c>
      <c r="Z1445" s="2">
        <f>fNotasFiscais[[#This Row],[On Time]]*fNotasFiscais[[#This Row],[In Full]]</f>
        <v>0</v>
      </c>
      <c r="AA1445">
        <f>IF(fNotasFiscais[[#This Row],[Nota Fiscal]]&lt;&gt;"",1,0)</f>
        <v>1</v>
      </c>
    </row>
    <row r="1446" spans="1:27" x14ac:dyDescent="0.25">
      <c r="A1446" s="1">
        <v>43541</v>
      </c>
      <c r="B1446">
        <v>11855</v>
      </c>
      <c r="C1446" s="2" t="s">
        <v>52</v>
      </c>
      <c r="D1446" s="2" t="s">
        <v>53</v>
      </c>
      <c r="E1446" s="2" t="s">
        <v>33</v>
      </c>
      <c r="F1446">
        <v>4018</v>
      </c>
      <c r="G1446" s="2" t="s">
        <v>77</v>
      </c>
      <c r="H1446" s="2" t="s">
        <v>78</v>
      </c>
      <c r="I1446" s="2" t="s">
        <v>39</v>
      </c>
      <c r="J1446" s="2" t="s">
        <v>28</v>
      </c>
      <c r="K1446" s="2" t="s">
        <v>39</v>
      </c>
      <c r="L1446">
        <v>46.35</v>
      </c>
      <c r="M1446">
        <v>1</v>
      </c>
      <c r="N1446">
        <v>1.1200000000000001</v>
      </c>
      <c r="O1446">
        <v>6500948</v>
      </c>
      <c r="P1446" s="2" t="s">
        <v>29</v>
      </c>
      <c r="Q1446" s="2" t="s">
        <v>23</v>
      </c>
      <c r="R1446" s="2" t="s">
        <v>30</v>
      </c>
      <c r="S1446">
        <v>4</v>
      </c>
      <c r="T1446" s="1">
        <v>43541</v>
      </c>
      <c r="U1446" s="1">
        <v>43546</v>
      </c>
      <c r="V1446" s="2"/>
      <c r="W1446" s="1">
        <f>fNotasFiscais[[#This Row],[Data da Coleta]]+fNotasFiscais[[#This Row],[Prazo Contratado]]</f>
        <v>43545</v>
      </c>
      <c r="X1446" s="3">
        <f>IF(fNotasFiscais[[#This Row],[Data da Entrega]]&gt;fNotasFiscais[[#This Row],[Data Contratada]],0,1)</f>
        <v>0</v>
      </c>
      <c r="Y1446" s="3">
        <f>IF(fNotasFiscais[[#This Row],[Ocorrência]]="",1,0)</f>
        <v>1</v>
      </c>
      <c r="Z1446" s="2">
        <f>fNotasFiscais[[#This Row],[On Time]]*fNotasFiscais[[#This Row],[In Full]]</f>
        <v>0</v>
      </c>
      <c r="AA1446">
        <f>IF(fNotasFiscais[[#This Row],[Nota Fiscal]]&lt;&gt;"",1,0)</f>
        <v>1</v>
      </c>
    </row>
    <row r="1447" spans="1:27" x14ac:dyDescent="0.25">
      <c r="A1447" s="1">
        <v>43541</v>
      </c>
      <c r="B1447">
        <v>11856</v>
      </c>
      <c r="C1447" s="2" t="s">
        <v>43</v>
      </c>
      <c r="D1447" s="2" t="s">
        <v>44</v>
      </c>
      <c r="E1447" s="2" t="s">
        <v>45</v>
      </c>
      <c r="F1447">
        <v>4064</v>
      </c>
      <c r="G1447" s="2" t="s">
        <v>128</v>
      </c>
      <c r="H1447" s="2" t="s">
        <v>129</v>
      </c>
      <c r="I1447" s="2" t="s">
        <v>33</v>
      </c>
      <c r="J1447" s="2" t="s">
        <v>60</v>
      </c>
      <c r="K1447" s="2" t="s">
        <v>33</v>
      </c>
      <c r="L1447">
        <v>145.69</v>
      </c>
      <c r="M1447">
        <v>2</v>
      </c>
      <c r="N1447">
        <v>0.27300000000000002</v>
      </c>
      <c r="O1447">
        <v>6400835</v>
      </c>
      <c r="P1447" s="2" t="s">
        <v>130</v>
      </c>
      <c r="Q1447" s="2" t="s">
        <v>131</v>
      </c>
      <c r="R1447" s="2" t="s">
        <v>30</v>
      </c>
      <c r="S1447">
        <v>9</v>
      </c>
      <c r="T1447" s="1">
        <v>43541</v>
      </c>
      <c r="U1447" s="1">
        <v>43544</v>
      </c>
      <c r="V1447" s="2"/>
      <c r="W1447" s="1">
        <f>fNotasFiscais[[#This Row],[Data da Coleta]]+fNotasFiscais[[#This Row],[Prazo Contratado]]</f>
        <v>43550</v>
      </c>
      <c r="X1447" s="3">
        <f>IF(fNotasFiscais[[#This Row],[Data da Entrega]]&gt;fNotasFiscais[[#This Row],[Data Contratada]],0,1)</f>
        <v>1</v>
      </c>
      <c r="Y1447" s="3">
        <f>IF(fNotasFiscais[[#This Row],[Ocorrência]]="",1,0)</f>
        <v>1</v>
      </c>
      <c r="Z1447" s="2">
        <f>fNotasFiscais[[#This Row],[On Time]]*fNotasFiscais[[#This Row],[In Full]]</f>
        <v>1</v>
      </c>
      <c r="AA1447">
        <f>IF(fNotasFiscais[[#This Row],[Nota Fiscal]]&lt;&gt;"",1,0)</f>
        <v>1</v>
      </c>
    </row>
    <row r="1448" spans="1:27" x14ac:dyDescent="0.25">
      <c r="A1448" s="1">
        <v>43541</v>
      </c>
      <c r="B1448">
        <v>11857</v>
      </c>
      <c r="C1448" s="2" t="s">
        <v>40</v>
      </c>
      <c r="D1448" s="2" t="s">
        <v>41</v>
      </c>
      <c r="E1448" s="2" t="s">
        <v>33</v>
      </c>
      <c r="F1448">
        <v>4064</v>
      </c>
      <c r="G1448" s="2" t="s">
        <v>128</v>
      </c>
      <c r="H1448" s="2" t="s">
        <v>129</v>
      </c>
      <c r="I1448" s="2" t="s">
        <v>33</v>
      </c>
      <c r="J1448" s="2" t="s">
        <v>60</v>
      </c>
      <c r="K1448" s="2" t="s">
        <v>33</v>
      </c>
      <c r="L1448">
        <v>3568.33</v>
      </c>
      <c r="M1448">
        <v>5</v>
      </c>
      <c r="N1448">
        <v>56.543999999999997</v>
      </c>
      <c r="O1448">
        <v>6400835</v>
      </c>
      <c r="P1448" s="2" t="s">
        <v>130</v>
      </c>
      <c r="Q1448" s="2" t="s">
        <v>131</v>
      </c>
      <c r="R1448" s="2" t="s">
        <v>30</v>
      </c>
      <c r="S1448">
        <v>1</v>
      </c>
      <c r="T1448" s="1">
        <v>43541</v>
      </c>
      <c r="U1448" s="1">
        <v>43550</v>
      </c>
      <c r="V1448" s="2"/>
      <c r="W1448" s="1">
        <f>fNotasFiscais[[#This Row],[Data da Coleta]]+fNotasFiscais[[#This Row],[Prazo Contratado]]</f>
        <v>43542</v>
      </c>
      <c r="X1448" s="3">
        <f>IF(fNotasFiscais[[#This Row],[Data da Entrega]]&gt;fNotasFiscais[[#This Row],[Data Contratada]],0,1)</f>
        <v>0</v>
      </c>
      <c r="Y1448" s="3">
        <f>IF(fNotasFiscais[[#This Row],[Ocorrência]]="",1,0)</f>
        <v>1</v>
      </c>
      <c r="Z1448" s="2">
        <f>fNotasFiscais[[#This Row],[On Time]]*fNotasFiscais[[#This Row],[In Full]]</f>
        <v>0</v>
      </c>
      <c r="AA1448">
        <f>IF(fNotasFiscais[[#This Row],[Nota Fiscal]]&lt;&gt;"",1,0)</f>
        <v>1</v>
      </c>
    </row>
    <row r="1449" spans="1:27" x14ac:dyDescent="0.25">
      <c r="A1449" s="1">
        <v>43541</v>
      </c>
      <c r="B1449">
        <v>11858</v>
      </c>
      <c r="C1449" s="2" t="s">
        <v>52</v>
      </c>
      <c r="D1449" s="2" t="s">
        <v>53</v>
      </c>
      <c r="E1449" s="2" t="s">
        <v>33</v>
      </c>
      <c r="F1449">
        <v>4064</v>
      </c>
      <c r="G1449" s="2" t="s">
        <v>128</v>
      </c>
      <c r="H1449" s="2" t="s">
        <v>129</v>
      </c>
      <c r="I1449" s="2" t="s">
        <v>33</v>
      </c>
      <c r="J1449" s="2" t="s">
        <v>60</v>
      </c>
      <c r="K1449" s="2" t="s">
        <v>33</v>
      </c>
      <c r="L1449">
        <v>1176.81</v>
      </c>
      <c r="M1449">
        <v>1</v>
      </c>
      <c r="N1449">
        <v>1.1200000000000001</v>
      </c>
      <c r="O1449">
        <v>6400835</v>
      </c>
      <c r="P1449" s="2" t="s">
        <v>130</v>
      </c>
      <c r="Q1449" s="2" t="s">
        <v>131</v>
      </c>
      <c r="R1449" s="2" t="s">
        <v>30</v>
      </c>
      <c r="S1449">
        <v>2</v>
      </c>
      <c r="T1449" s="1">
        <v>43541</v>
      </c>
      <c r="U1449" s="1">
        <v>43543</v>
      </c>
      <c r="V1449" s="2"/>
      <c r="W1449" s="1">
        <f>fNotasFiscais[[#This Row],[Data da Coleta]]+fNotasFiscais[[#This Row],[Prazo Contratado]]</f>
        <v>43543</v>
      </c>
      <c r="X1449" s="3">
        <f>IF(fNotasFiscais[[#This Row],[Data da Entrega]]&gt;fNotasFiscais[[#This Row],[Data Contratada]],0,1)</f>
        <v>1</v>
      </c>
      <c r="Y1449" s="3">
        <f>IF(fNotasFiscais[[#This Row],[Ocorrência]]="",1,0)</f>
        <v>1</v>
      </c>
      <c r="Z1449" s="2">
        <f>fNotasFiscais[[#This Row],[On Time]]*fNotasFiscais[[#This Row],[In Full]]</f>
        <v>1</v>
      </c>
      <c r="AA1449">
        <f>IF(fNotasFiscais[[#This Row],[Nota Fiscal]]&lt;&gt;"",1,0)</f>
        <v>1</v>
      </c>
    </row>
    <row r="1450" spans="1:27" x14ac:dyDescent="0.25">
      <c r="A1450" s="1">
        <v>43541</v>
      </c>
      <c r="B1450">
        <v>11859</v>
      </c>
      <c r="C1450" s="2" t="s">
        <v>52</v>
      </c>
      <c r="D1450" s="2" t="s">
        <v>53</v>
      </c>
      <c r="E1450" s="2" t="s">
        <v>33</v>
      </c>
      <c r="F1450">
        <v>4022</v>
      </c>
      <c r="G1450" s="2" t="s">
        <v>86</v>
      </c>
      <c r="H1450" s="2" t="s">
        <v>87</v>
      </c>
      <c r="I1450" s="2" t="s">
        <v>27</v>
      </c>
      <c r="J1450" s="2" t="s">
        <v>28</v>
      </c>
      <c r="K1450" s="2" t="s">
        <v>27</v>
      </c>
      <c r="L1450">
        <v>867.87</v>
      </c>
      <c r="M1450">
        <v>1</v>
      </c>
      <c r="N1450">
        <v>1.1919999999999999</v>
      </c>
      <c r="O1450">
        <v>6500948</v>
      </c>
      <c r="P1450" s="2" t="s">
        <v>29</v>
      </c>
      <c r="Q1450" s="2" t="s">
        <v>23</v>
      </c>
      <c r="R1450" s="2" t="s">
        <v>30</v>
      </c>
      <c r="S1450">
        <v>9</v>
      </c>
      <c r="T1450" s="1">
        <v>43541</v>
      </c>
      <c r="U1450" s="1">
        <v>43549</v>
      </c>
      <c r="V1450" s="2"/>
      <c r="W1450" s="1">
        <f>fNotasFiscais[[#This Row],[Data da Coleta]]+fNotasFiscais[[#This Row],[Prazo Contratado]]</f>
        <v>43550</v>
      </c>
      <c r="X1450" s="3">
        <f>IF(fNotasFiscais[[#This Row],[Data da Entrega]]&gt;fNotasFiscais[[#This Row],[Data Contratada]],0,1)</f>
        <v>1</v>
      </c>
      <c r="Y1450" s="3">
        <f>IF(fNotasFiscais[[#This Row],[Ocorrência]]="",1,0)</f>
        <v>1</v>
      </c>
      <c r="Z1450" s="2">
        <f>fNotasFiscais[[#This Row],[On Time]]*fNotasFiscais[[#This Row],[In Full]]</f>
        <v>1</v>
      </c>
      <c r="AA1450">
        <f>IF(fNotasFiscais[[#This Row],[Nota Fiscal]]&lt;&gt;"",1,0)</f>
        <v>1</v>
      </c>
    </row>
    <row r="1451" spans="1:27" x14ac:dyDescent="0.25">
      <c r="A1451" s="1">
        <v>43541</v>
      </c>
      <c r="B1451">
        <v>11860</v>
      </c>
      <c r="C1451" s="2" t="s">
        <v>52</v>
      </c>
      <c r="D1451" s="2" t="s">
        <v>53</v>
      </c>
      <c r="E1451" s="2" t="s">
        <v>33</v>
      </c>
      <c r="F1451">
        <v>4064</v>
      </c>
      <c r="G1451" s="2" t="s">
        <v>128</v>
      </c>
      <c r="H1451" s="2" t="s">
        <v>129</v>
      </c>
      <c r="I1451" s="2" t="s">
        <v>33</v>
      </c>
      <c r="J1451" s="2" t="s">
        <v>60</v>
      </c>
      <c r="K1451" s="2" t="s">
        <v>33</v>
      </c>
      <c r="L1451">
        <v>1735.74</v>
      </c>
      <c r="M1451">
        <v>2</v>
      </c>
      <c r="N1451">
        <v>2.3849999999999998</v>
      </c>
      <c r="O1451">
        <v>6400835</v>
      </c>
      <c r="P1451" s="2" t="s">
        <v>130</v>
      </c>
      <c r="Q1451" s="2" t="s">
        <v>131</v>
      </c>
      <c r="R1451" s="2" t="s">
        <v>30</v>
      </c>
      <c r="S1451">
        <v>9</v>
      </c>
      <c r="T1451" s="1">
        <v>43541</v>
      </c>
      <c r="U1451" s="1">
        <v>43550</v>
      </c>
      <c r="V1451" s="2"/>
      <c r="W1451" s="1">
        <f>fNotasFiscais[[#This Row],[Data da Coleta]]+fNotasFiscais[[#This Row],[Prazo Contratado]]</f>
        <v>43550</v>
      </c>
      <c r="X1451" s="3">
        <f>IF(fNotasFiscais[[#This Row],[Data da Entrega]]&gt;fNotasFiscais[[#This Row],[Data Contratada]],0,1)</f>
        <v>1</v>
      </c>
      <c r="Y1451" s="3">
        <f>IF(fNotasFiscais[[#This Row],[Ocorrência]]="",1,0)</f>
        <v>1</v>
      </c>
      <c r="Z1451" s="2">
        <f>fNotasFiscais[[#This Row],[On Time]]*fNotasFiscais[[#This Row],[In Full]]</f>
        <v>1</v>
      </c>
      <c r="AA1451">
        <f>IF(fNotasFiscais[[#This Row],[Nota Fiscal]]&lt;&gt;"",1,0)</f>
        <v>1</v>
      </c>
    </row>
    <row r="1452" spans="1:27" x14ac:dyDescent="0.25">
      <c r="A1452" s="1">
        <v>43542</v>
      </c>
      <c r="B1452">
        <v>11861</v>
      </c>
      <c r="C1452" s="2" t="s">
        <v>34</v>
      </c>
      <c r="D1452" s="2" t="s">
        <v>35</v>
      </c>
      <c r="E1452" s="2" t="s">
        <v>36</v>
      </c>
      <c r="F1452">
        <v>4143</v>
      </c>
      <c r="G1452" s="2" t="s">
        <v>226</v>
      </c>
      <c r="H1452" s="2" t="s">
        <v>173</v>
      </c>
      <c r="I1452" s="2" t="s">
        <v>174</v>
      </c>
      <c r="J1452" s="2" t="s">
        <v>175</v>
      </c>
      <c r="K1452" s="2" t="s">
        <v>174</v>
      </c>
      <c r="L1452">
        <v>302.48</v>
      </c>
      <c r="M1452">
        <v>1</v>
      </c>
      <c r="N1452">
        <v>3.96</v>
      </c>
      <c r="O1452">
        <v>6700091</v>
      </c>
      <c r="P1452" s="2" t="s">
        <v>176</v>
      </c>
      <c r="Q1452" s="2" t="s">
        <v>173</v>
      </c>
      <c r="R1452" s="2" t="s">
        <v>30</v>
      </c>
      <c r="S1452">
        <v>8</v>
      </c>
      <c r="T1452" s="1">
        <v>43542</v>
      </c>
      <c r="U1452" s="1">
        <v>43549</v>
      </c>
      <c r="V1452" s="2"/>
      <c r="W1452" s="1">
        <f>fNotasFiscais[[#This Row],[Data da Coleta]]+fNotasFiscais[[#This Row],[Prazo Contratado]]</f>
        <v>43550</v>
      </c>
      <c r="X1452" s="3">
        <f>IF(fNotasFiscais[[#This Row],[Data da Entrega]]&gt;fNotasFiscais[[#This Row],[Data Contratada]],0,1)</f>
        <v>1</v>
      </c>
      <c r="Y1452" s="3">
        <f>IF(fNotasFiscais[[#This Row],[Ocorrência]]="",1,0)</f>
        <v>1</v>
      </c>
      <c r="Z1452" s="2">
        <f>fNotasFiscais[[#This Row],[On Time]]*fNotasFiscais[[#This Row],[In Full]]</f>
        <v>1</v>
      </c>
      <c r="AA1452">
        <f>IF(fNotasFiscais[[#This Row],[Nota Fiscal]]&lt;&gt;"",1,0)</f>
        <v>1</v>
      </c>
    </row>
    <row r="1453" spans="1:27" x14ac:dyDescent="0.25">
      <c r="A1453" s="1">
        <v>43542</v>
      </c>
      <c r="B1453">
        <v>11862</v>
      </c>
      <c r="C1453" s="2" t="s">
        <v>22</v>
      </c>
      <c r="D1453" s="2" t="s">
        <v>23</v>
      </c>
      <c r="E1453" s="2" t="s">
        <v>24</v>
      </c>
      <c r="F1453">
        <v>4144</v>
      </c>
      <c r="G1453" s="2" t="s">
        <v>227</v>
      </c>
      <c r="H1453" s="2" t="s">
        <v>183</v>
      </c>
      <c r="I1453" s="2" t="s">
        <v>33</v>
      </c>
      <c r="J1453" s="2" t="s">
        <v>60</v>
      </c>
      <c r="K1453" s="2" t="s">
        <v>33</v>
      </c>
      <c r="L1453">
        <v>872.9</v>
      </c>
      <c r="M1453">
        <v>1</v>
      </c>
      <c r="N1453">
        <v>1.1919999999999999</v>
      </c>
      <c r="O1453">
        <v>6400835</v>
      </c>
      <c r="P1453" s="2" t="s">
        <v>130</v>
      </c>
      <c r="Q1453" s="2" t="s">
        <v>131</v>
      </c>
      <c r="R1453" s="2" t="s">
        <v>30</v>
      </c>
      <c r="S1453">
        <v>2</v>
      </c>
      <c r="T1453" s="1">
        <v>43542</v>
      </c>
      <c r="U1453" s="1">
        <v>43543</v>
      </c>
      <c r="V1453" s="2"/>
      <c r="W1453" s="1">
        <f>fNotasFiscais[[#This Row],[Data da Coleta]]+fNotasFiscais[[#This Row],[Prazo Contratado]]</f>
        <v>43544</v>
      </c>
      <c r="X1453" s="3">
        <f>IF(fNotasFiscais[[#This Row],[Data da Entrega]]&gt;fNotasFiscais[[#This Row],[Data Contratada]],0,1)</f>
        <v>1</v>
      </c>
      <c r="Y1453" s="3">
        <f>IF(fNotasFiscais[[#This Row],[Ocorrência]]="",1,0)</f>
        <v>1</v>
      </c>
      <c r="Z1453" s="2">
        <f>fNotasFiscais[[#This Row],[On Time]]*fNotasFiscais[[#This Row],[In Full]]</f>
        <v>1</v>
      </c>
      <c r="AA1453">
        <f>IF(fNotasFiscais[[#This Row],[Nota Fiscal]]&lt;&gt;"",1,0)</f>
        <v>1</v>
      </c>
    </row>
    <row r="1454" spans="1:27" x14ac:dyDescent="0.25">
      <c r="A1454" s="1">
        <v>43542</v>
      </c>
      <c r="B1454">
        <v>11863</v>
      </c>
      <c r="C1454" s="2" t="s">
        <v>54</v>
      </c>
      <c r="D1454" s="2" t="s">
        <v>55</v>
      </c>
      <c r="E1454" s="2" t="s">
        <v>56</v>
      </c>
      <c r="F1454">
        <v>4145</v>
      </c>
      <c r="G1454" s="2" t="s">
        <v>228</v>
      </c>
      <c r="H1454" s="2" t="s">
        <v>165</v>
      </c>
      <c r="I1454" s="2" t="s">
        <v>24</v>
      </c>
      <c r="J1454" s="2" t="s">
        <v>28</v>
      </c>
      <c r="K1454" s="2" t="s">
        <v>24</v>
      </c>
      <c r="L1454">
        <v>1678.83</v>
      </c>
      <c r="M1454">
        <v>1</v>
      </c>
      <c r="N1454">
        <v>6.6349999999999998</v>
      </c>
      <c r="O1454">
        <v>6500948</v>
      </c>
      <c r="P1454" s="2" t="s">
        <v>29</v>
      </c>
      <c r="Q1454" s="2" t="s">
        <v>23</v>
      </c>
      <c r="R1454" s="2" t="s">
        <v>30</v>
      </c>
      <c r="S1454">
        <v>7</v>
      </c>
      <c r="T1454" s="1">
        <v>43542</v>
      </c>
      <c r="U1454" s="1">
        <v>43552</v>
      </c>
      <c r="V1454" s="2"/>
      <c r="W1454" s="1">
        <f>fNotasFiscais[[#This Row],[Data da Coleta]]+fNotasFiscais[[#This Row],[Prazo Contratado]]</f>
        <v>43549</v>
      </c>
      <c r="X1454" s="3">
        <f>IF(fNotasFiscais[[#This Row],[Data da Entrega]]&gt;fNotasFiscais[[#This Row],[Data Contratada]],0,1)</f>
        <v>0</v>
      </c>
      <c r="Y1454" s="3">
        <f>IF(fNotasFiscais[[#This Row],[Ocorrência]]="",1,0)</f>
        <v>1</v>
      </c>
      <c r="Z1454" s="2">
        <f>fNotasFiscais[[#This Row],[On Time]]*fNotasFiscais[[#This Row],[In Full]]</f>
        <v>0</v>
      </c>
      <c r="AA1454">
        <f>IF(fNotasFiscais[[#This Row],[Nota Fiscal]]&lt;&gt;"",1,0)</f>
        <v>1</v>
      </c>
    </row>
    <row r="1455" spans="1:27" x14ac:dyDescent="0.25">
      <c r="A1455" s="1">
        <v>43542</v>
      </c>
      <c r="B1455">
        <v>11864</v>
      </c>
      <c r="C1455" s="2" t="s">
        <v>31</v>
      </c>
      <c r="D1455" s="2" t="s">
        <v>32</v>
      </c>
      <c r="E1455" s="2" t="s">
        <v>33</v>
      </c>
      <c r="F1455">
        <v>4146</v>
      </c>
      <c r="G1455" s="2" t="s">
        <v>229</v>
      </c>
      <c r="H1455" s="2" t="s">
        <v>35</v>
      </c>
      <c r="I1455" s="2" t="s">
        <v>36</v>
      </c>
      <c r="J1455" s="2" t="s">
        <v>60</v>
      </c>
      <c r="K1455" s="2" t="s">
        <v>36</v>
      </c>
      <c r="L1455">
        <v>1411.63</v>
      </c>
      <c r="M1455">
        <v>3</v>
      </c>
      <c r="N1455">
        <v>3.9860000000000002</v>
      </c>
      <c r="O1455">
        <v>6600879</v>
      </c>
      <c r="P1455" s="2" t="s">
        <v>61</v>
      </c>
      <c r="Q1455" s="2" t="s">
        <v>35</v>
      </c>
      <c r="R1455" s="2" t="s">
        <v>30</v>
      </c>
      <c r="S1455">
        <v>7</v>
      </c>
      <c r="T1455" s="1">
        <v>43542</v>
      </c>
      <c r="U1455" s="1">
        <v>43545</v>
      </c>
      <c r="V1455" s="2"/>
      <c r="W1455" s="1">
        <f>fNotasFiscais[[#This Row],[Data da Coleta]]+fNotasFiscais[[#This Row],[Prazo Contratado]]</f>
        <v>43549</v>
      </c>
      <c r="X1455" s="3">
        <f>IF(fNotasFiscais[[#This Row],[Data da Entrega]]&gt;fNotasFiscais[[#This Row],[Data Contratada]],0,1)</f>
        <v>1</v>
      </c>
      <c r="Y1455" s="3">
        <f>IF(fNotasFiscais[[#This Row],[Ocorrência]]="",1,0)</f>
        <v>1</v>
      </c>
      <c r="Z1455" s="2">
        <f>fNotasFiscais[[#This Row],[On Time]]*fNotasFiscais[[#This Row],[In Full]]</f>
        <v>1</v>
      </c>
      <c r="AA1455">
        <f>IF(fNotasFiscais[[#This Row],[Nota Fiscal]]&lt;&gt;"",1,0)</f>
        <v>1</v>
      </c>
    </row>
    <row r="1456" spans="1:27" x14ac:dyDescent="0.25">
      <c r="A1456" s="1">
        <v>43542</v>
      </c>
      <c r="B1456">
        <v>11865</v>
      </c>
      <c r="C1456" s="2" t="s">
        <v>40</v>
      </c>
      <c r="D1456" s="2" t="s">
        <v>41</v>
      </c>
      <c r="E1456" s="2" t="s">
        <v>33</v>
      </c>
      <c r="F1456">
        <v>4147</v>
      </c>
      <c r="G1456" s="2" t="s">
        <v>230</v>
      </c>
      <c r="H1456" s="2" t="s">
        <v>35</v>
      </c>
      <c r="I1456" s="2" t="s">
        <v>36</v>
      </c>
      <c r="J1456" s="2" t="s">
        <v>60</v>
      </c>
      <c r="K1456" s="2" t="s">
        <v>36</v>
      </c>
      <c r="L1456">
        <v>143.96</v>
      </c>
      <c r="M1456">
        <v>1</v>
      </c>
      <c r="N1456">
        <v>1.1200000000000001</v>
      </c>
      <c r="O1456">
        <v>6600879</v>
      </c>
      <c r="P1456" s="2" t="s">
        <v>61</v>
      </c>
      <c r="Q1456" s="2" t="s">
        <v>35</v>
      </c>
      <c r="R1456" s="2" t="s">
        <v>30</v>
      </c>
      <c r="S1456">
        <v>4</v>
      </c>
      <c r="T1456" s="1">
        <v>43542</v>
      </c>
      <c r="U1456" s="1">
        <v>43552</v>
      </c>
      <c r="V1456" s="2"/>
      <c r="W1456" s="1">
        <f>fNotasFiscais[[#This Row],[Data da Coleta]]+fNotasFiscais[[#This Row],[Prazo Contratado]]</f>
        <v>43546</v>
      </c>
      <c r="X1456" s="3">
        <f>IF(fNotasFiscais[[#This Row],[Data da Entrega]]&gt;fNotasFiscais[[#This Row],[Data Contratada]],0,1)</f>
        <v>0</v>
      </c>
      <c r="Y1456" s="3">
        <f>IF(fNotasFiscais[[#This Row],[Ocorrência]]="",1,0)</f>
        <v>1</v>
      </c>
      <c r="Z1456" s="2">
        <f>fNotasFiscais[[#This Row],[On Time]]*fNotasFiscais[[#This Row],[In Full]]</f>
        <v>0</v>
      </c>
      <c r="AA1456">
        <f>IF(fNotasFiscais[[#This Row],[Nota Fiscal]]&lt;&gt;"",1,0)</f>
        <v>1</v>
      </c>
    </row>
    <row r="1457" spans="1:27" x14ac:dyDescent="0.25">
      <c r="A1457" s="1">
        <v>43543</v>
      </c>
      <c r="B1457">
        <v>11866</v>
      </c>
      <c r="C1457" s="2" t="s">
        <v>22</v>
      </c>
      <c r="D1457" s="2" t="s">
        <v>23</v>
      </c>
      <c r="E1457" s="2" t="s">
        <v>24</v>
      </c>
      <c r="F1457">
        <v>4022</v>
      </c>
      <c r="G1457" s="2" t="s">
        <v>86</v>
      </c>
      <c r="H1457" s="2" t="s">
        <v>87</v>
      </c>
      <c r="I1457" s="2" t="s">
        <v>27</v>
      </c>
      <c r="J1457" s="2" t="s">
        <v>28</v>
      </c>
      <c r="K1457" s="2" t="s">
        <v>27</v>
      </c>
      <c r="L1457">
        <v>161.88999999999999</v>
      </c>
      <c r="M1457">
        <v>2</v>
      </c>
      <c r="N1457">
        <v>0.80100000000000005</v>
      </c>
      <c r="O1457">
        <v>6500948</v>
      </c>
      <c r="P1457" s="2" t="s">
        <v>29</v>
      </c>
      <c r="Q1457" s="2" t="s">
        <v>23</v>
      </c>
      <c r="R1457" s="2" t="s">
        <v>30</v>
      </c>
      <c r="S1457">
        <v>5</v>
      </c>
      <c r="T1457" s="1">
        <v>43543</v>
      </c>
      <c r="U1457" s="1">
        <v>43549</v>
      </c>
      <c r="V1457" s="2"/>
      <c r="W1457" s="1">
        <f>fNotasFiscais[[#This Row],[Data da Coleta]]+fNotasFiscais[[#This Row],[Prazo Contratado]]</f>
        <v>43548</v>
      </c>
      <c r="X1457" s="3">
        <f>IF(fNotasFiscais[[#This Row],[Data da Entrega]]&gt;fNotasFiscais[[#This Row],[Data Contratada]],0,1)</f>
        <v>0</v>
      </c>
      <c r="Y1457" s="3">
        <f>IF(fNotasFiscais[[#This Row],[Ocorrência]]="",1,0)</f>
        <v>1</v>
      </c>
      <c r="Z1457" s="2">
        <f>fNotasFiscais[[#This Row],[On Time]]*fNotasFiscais[[#This Row],[In Full]]</f>
        <v>0</v>
      </c>
      <c r="AA1457">
        <f>IF(fNotasFiscais[[#This Row],[Nota Fiscal]]&lt;&gt;"",1,0)</f>
        <v>1</v>
      </c>
    </row>
    <row r="1458" spans="1:27" x14ac:dyDescent="0.25">
      <c r="A1458" s="1">
        <v>43544</v>
      </c>
      <c r="B1458">
        <v>11867</v>
      </c>
      <c r="C1458" s="2" t="s">
        <v>54</v>
      </c>
      <c r="D1458" s="2" t="s">
        <v>55</v>
      </c>
      <c r="E1458" s="2" t="s">
        <v>56</v>
      </c>
      <c r="F1458">
        <v>4024</v>
      </c>
      <c r="G1458" s="2" t="s">
        <v>89</v>
      </c>
      <c r="H1458" s="2" t="s">
        <v>23</v>
      </c>
      <c r="I1458" s="2" t="s">
        <v>24</v>
      </c>
      <c r="J1458" s="2" t="s">
        <v>28</v>
      </c>
      <c r="K1458" s="2" t="s">
        <v>24</v>
      </c>
      <c r="L1458">
        <v>115.03</v>
      </c>
      <c r="M1458">
        <v>1</v>
      </c>
      <c r="N1458">
        <v>3.0880000000000001</v>
      </c>
      <c r="O1458">
        <v>6500948</v>
      </c>
      <c r="P1458" s="2" t="s">
        <v>29</v>
      </c>
      <c r="Q1458" s="2" t="s">
        <v>23</v>
      </c>
      <c r="R1458" s="2" t="s">
        <v>30</v>
      </c>
      <c r="S1458">
        <v>1</v>
      </c>
      <c r="T1458" s="1">
        <v>43544</v>
      </c>
      <c r="U1458" s="1">
        <v>43546</v>
      </c>
      <c r="V1458" s="2"/>
      <c r="W1458" s="1">
        <f>fNotasFiscais[[#This Row],[Data da Coleta]]+fNotasFiscais[[#This Row],[Prazo Contratado]]</f>
        <v>43545</v>
      </c>
      <c r="X1458" s="3">
        <f>IF(fNotasFiscais[[#This Row],[Data da Entrega]]&gt;fNotasFiscais[[#This Row],[Data Contratada]],0,1)</f>
        <v>0</v>
      </c>
      <c r="Y1458" s="3">
        <f>IF(fNotasFiscais[[#This Row],[Ocorrência]]="",1,0)</f>
        <v>1</v>
      </c>
      <c r="Z1458" s="2">
        <f>fNotasFiscais[[#This Row],[On Time]]*fNotasFiscais[[#This Row],[In Full]]</f>
        <v>0</v>
      </c>
      <c r="AA1458">
        <f>IF(fNotasFiscais[[#This Row],[Nota Fiscal]]&lt;&gt;"",1,0)</f>
        <v>1</v>
      </c>
    </row>
    <row r="1459" spans="1:27" x14ac:dyDescent="0.25">
      <c r="A1459" s="1">
        <v>43545</v>
      </c>
      <c r="B1459">
        <v>11868</v>
      </c>
      <c r="C1459" s="2" t="s">
        <v>31</v>
      </c>
      <c r="D1459" s="2" t="s">
        <v>32</v>
      </c>
      <c r="E1459" s="2" t="s">
        <v>33</v>
      </c>
      <c r="F1459">
        <v>4069</v>
      </c>
      <c r="G1459" s="2" t="s">
        <v>135</v>
      </c>
      <c r="H1459" s="2" t="s">
        <v>47</v>
      </c>
      <c r="I1459" s="2" t="s">
        <v>48</v>
      </c>
      <c r="J1459" s="2" t="s">
        <v>49</v>
      </c>
      <c r="K1459" s="2" t="s">
        <v>48</v>
      </c>
      <c r="L1459">
        <v>2123.62</v>
      </c>
      <c r="M1459">
        <v>1</v>
      </c>
      <c r="N1459">
        <v>1.1200000000000001</v>
      </c>
      <c r="O1459">
        <v>6100231</v>
      </c>
      <c r="P1459" s="2" t="s">
        <v>50</v>
      </c>
      <c r="Q1459" s="2" t="s">
        <v>51</v>
      </c>
      <c r="R1459" s="2" t="s">
        <v>30</v>
      </c>
      <c r="S1459">
        <v>3</v>
      </c>
      <c r="T1459" s="1">
        <v>43545</v>
      </c>
      <c r="U1459" s="1">
        <v>43553</v>
      </c>
      <c r="V1459" s="2"/>
      <c r="W1459" s="1">
        <f>fNotasFiscais[[#This Row],[Data da Coleta]]+fNotasFiscais[[#This Row],[Prazo Contratado]]</f>
        <v>43548</v>
      </c>
      <c r="X1459" s="3">
        <f>IF(fNotasFiscais[[#This Row],[Data da Entrega]]&gt;fNotasFiscais[[#This Row],[Data Contratada]],0,1)</f>
        <v>0</v>
      </c>
      <c r="Y1459" s="3">
        <f>IF(fNotasFiscais[[#This Row],[Ocorrência]]="",1,0)</f>
        <v>1</v>
      </c>
      <c r="Z1459" s="2">
        <f>fNotasFiscais[[#This Row],[On Time]]*fNotasFiscais[[#This Row],[In Full]]</f>
        <v>0</v>
      </c>
      <c r="AA1459">
        <f>IF(fNotasFiscais[[#This Row],[Nota Fiscal]]&lt;&gt;"",1,0)</f>
        <v>1</v>
      </c>
    </row>
    <row r="1460" spans="1:27" x14ac:dyDescent="0.25">
      <c r="A1460" s="1">
        <v>43545</v>
      </c>
      <c r="B1460">
        <v>11869</v>
      </c>
      <c r="C1460" s="2" t="s">
        <v>31</v>
      </c>
      <c r="D1460" s="2" t="s">
        <v>32</v>
      </c>
      <c r="E1460" s="2" t="s">
        <v>33</v>
      </c>
      <c r="F1460">
        <v>4128</v>
      </c>
      <c r="G1460" s="2" t="s">
        <v>211</v>
      </c>
      <c r="H1460" s="2" t="s">
        <v>167</v>
      </c>
      <c r="I1460" s="2" t="s">
        <v>168</v>
      </c>
      <c r="J1460" s="2" t="s">
        <v>169</v>
      </c>
      <c r="K1460" s="2" t="s">
        <v>168</v>
      </c>
      <c r="L1460">
        <v>4313.33</v>
      </c>
      <c r="M1460">
        <v>7</v>
      </c>
      <c r="N1460">
        <v>57.456000000000003</v>
      </c>
      <c r="O1460">
        <v>6900304</v>
      </c>
      <c r="P1460" s="2" t="s">
        <v>170</v>
      </c>
      <c r="Q1460" s="2" t="s">
        <v>171</v>
      </c>
      <c r="R1460" s="2" t="s">
        <v>30</v>
      </c>
      <c r="S1460">
        <v>12</v>
      </c>
      <c r="T1460" s="1">
        <v>43545</v>
      </c>
      <c r="U1460" s="1">
        <v>43555</v>
      </c>
      <c r="V1460" s="2"/>
      <c r="W1460" s="1">
        <f>fNotasFiscais[[#This Row],[Data da Coleta]]+fNotasFiscais[[#This Row],[Prazo Contratado]]</f>
        <v>43557</v>
      </c>
      <c r="X1460" s="3">
        <f>IF(fNotasFiscais[[#This Row],[Data da Entrega]]&gt;fNotasFiscais[[#This Row],[Data Contratada]],0,1)</f>
        <v>1</v>
      </c>
      <c r="Y1460" s="3">
        <f>IF(fNotasFiscais[[#This Row],[Ocorrência]]="",1,0)</f>
        <v>1</v>
      </c>
      <c r="Z1460" s="2">
        <f>fNotasFiscais[[#This Row],[On Time]]*fNotasFiscais[[#This Row],[In Full]]</f>
        <v>1</v>
      </c>
      <c r="AA1460">
        <f>IF(fNotasFiscais[[#This Row],[Nota Fiscal]]&lt;&gt;"",1,0)</f>
        <v>1</v>
      </c>
    </row>
    <row r="1461" spans="1:27" x14ac:dyDescent="0.25">
      <c r="A1461" s="1">
        <v>43545</v>
      </c>
      <c r="B1461">
        <v>11870</v>
      </c>
      <c r="C1461" s="2" t="s">
        <v>54</v>
      </c>
      <c r="D1461" s="2" t="s">
        <v>55</v>
      </c>
      <c r="E1461" s="2" t="s">
        <v>56</v>
      </c>
      <c r="F1461">
        <v>4012</v>
      </c>
      <c r="G1461" s="2" t="s">
        <v>25</v>
      </c>
      <c r="H1461" s="2" t="s">
        <v>26</v>
      </c>
      <c r="I1461" s="2" t="s">
        <v>27</v>
      </c>
      <c r="J1461" s="2" t="s">
        <v>28</v>
      </c>
      <c r="K1461" s="2" t="s">
        <v>27</v>
      </c>
      <c r="L1461">
        <v>889.6</v>
      </c>
      <c r="M1461">
        <v>1</v>
      </c>
      <c r="N1461">
        <v>1.1200000000000001</v>
      </c>
      <c r="O1461">
        <v>6500948</v>
      </c>
      <c r="P1461" s="2" t="s">
        <v>29</v>
      </c>
      <c r="Q1461" s="2" t="s">
        <v>23</v>
      </c>
      <c r="R1461" s="2" t="s">
        <v>30</v>
      </c>
      <c r="S1461">
        <v>2</v>
      </c>
      <c r="T1461" s="1">
        <v>43545</v>
      </c>
      <c r="U1461" s="1">
        <v>43546</v>
      </c>
      <c r="V1461" s="2"/>
      <c r="W1461" s="1">
        <f>fNotasFiscais[[#This Row],[Data da Coleta]]+fNotasFiscais[[#This Row],[Prazo Contratado]]</f>
        <v>43547</v>
      </c>
      <c r="X1461" s="3">
        <f>IF(fNotasFiscais[[#This Row],[Data da Entrega]]&gt;fNotasFiscais[[#This Row],[Data Contratada]],0,1)</f>
        <v>1</v>
      </c>
      <c r="Y1461" s="3">
        <f>IF(fNotasFiscais[[#This Row],[Ocorrência]]="",1,0)</f>
        <v>1</v>
      </c>
      <c r="Z1461" s="2">
        <f>fNotasFiscais[[#This Row],[On Time]]*fNotasFiscais[[#This Row],[In Full]]</f>
        <v>1</v>
      </c>
      <c r="AA1461">
        <f>IF(fNotasFiscais[[#This Row],[Nota Fiscal]]&lt;&gt;"",1,0)</f>
        <v>1</v>
      </c>
    </row>
    <row r="1462" spans="1:27" x14ac:dyDescent="0.25">
      <c r="A1462" s="1">
        <v>43545</v>
      </c>
      <c r="B1462">
        <v>11871</v>
      </c>
      <c r="C1462" s="2" t="s">
        <v>34</v>
      </c>
      <c r="D1462" s="2" t="s">
        <v>35</v>
      </c>
      <c r="E1462" s="2" t="s">
        <v>36</v>
      </c>
      <c r="F1462">
        <v>4013</v>
      </c>
      <c r="G1462" s="2" t="s">
        <v>37</v>
      </c>
      <c r="H1462" s="2" t="s">
        <v>38</v>
      </c>
      <c r="I1462" s="2" t="s">
        <v>39</v>
      </c>
      <c r="J1462" s="2" t="s">
        <v>28</v>
      </c>
      <c r="K1462" s="2" t="s">
        <v>39</v>
      </c>
      <c r="L1462">
        <v>213.09</v>
      </c>
      <c r="M1462">
        <v>1</v>
      </c>
      <c r="N1462">
        <v>0.82699999999999996</v>
      </c>
      <c r="O1462">
        <v>6500948</v>
      </c>
      <c r="P1462" s="2" t="s">
        <v>29</v>
      </c>
      <c r="Q1462" s="2" t="s">
        <v>23</v>
      </c>
      <c r="R1462" s="2" t="s">
        <v>30</v>
      </c>
      <c r="S1462">
        <v>4</v>
      </c>
      <c r="T1462" s="1">
        <v>43545</v>
      </c>
      <c r="U1462" s="1">
        <v>43550</v>
      </c>
      <c r="V1462" s="2"/>
      <c r="W1462" s="1">
        <f>fNotasFiscais[[#This Row],[Data da Coleta]]+fNotasFiscais[[#This Row],[Prazo Contratado]]</f>
        <v>43549</v>
      </c>
      <c r="X1462" s="3">
        <f>IF(fNotasFiscais[[#This Row],[Data da Entrega]]&gt;fNotasFiscais[[#This Row],[Data Contratada]],0,1)</f>
        <v>0</v>
      </c>
      <c r="Y1462" s="3">
        <f>IF(fNotasFiscais[[#This Row],[Ocorrência]]="",1,0)</f>
        <v>1</v>
      </c>
      <c r="Z1462" s="2">
        <f>fNotasFiscais[[#This Row],[On Time]]*fNotasFiscais[[#This Row],[In Full]]</f>
        <v>0</v>
      </c>
      <c r="AA1462">
        <f>IF(fNotasFiscais[[#This Row],[Nota Fiscal]]&lt;&gt;"",1,0)</f>
        <v>1</v>
      </c>
    </row>
    <row r="1463" spans="1:27" x14ac:dyDescent="0.25">
      <c r="A1463" s="1">
        <v>43545</v>
      </c>
      <c r="B1463">
        <v>11872</v>
      </c>
      <c r="C1463" s="2" t="s">
        <v>54</v>
      </c>
      <c r="D1463" s="2" t="s">
        <v>55</v>
      </c>
      <c r="E1463" s="2" t="s">
        <v>56</v>
      </c>
      <c r="F1463">
        <v>4014</v>
      </c>
      <c r="G1463" s="2" t="s">
        <v>58</v>
      </c>
      <c r="H1463" s="2" t="s">
        <v>59</v>
      </c>
      <c r="I1463" s="2" t="s">
        <v>36</v>
      </c>
      <c r="J1463" s="2" t="s">
        <v>60</v>
      </c>
      <c r="K1463" s="2" t="s">
        <v>36</v>
      </c>
      <c r="L1463">
        <v>370.76</v>
      </c>
      <c r="M1463">
        <v>1</v>
      </c>
      <c r="N1463">
        <v>1.1200000000000001</v>
      </c>
      <c r="O1463">
        <v>6600879</v>
      </c>
      <c r="P1463" s="2" t="s">
        <v>61</v>
      </c>
      <c r="Q1463" s="2" t="s">
        <v>35</v>
      </c>
      <c r="R1463" s="2" t="s">
        <v>30</v>
      </c>
      <c r="S1463">
        <v>10</v>
      </c>
      <c r="T1463" s="1">
        <v>43545</v>
      </c>
      <c r="U1463" s="1">
        <v>43549</v>
      </c>
      <c r="V1463" s="2"/>
      <c r="W1463" s="1">
        <f>fNotasFiscais[[#This Row],[Data da Coleta]]+fNotasFiscais[[#This Row],[Prazo Contratado]]</f>
        <v>43555</v>
      </c>
      <c r="X1463" s="3">
        <f>IF(fNotasFiscais[[#This Row],[Data da Entrega]]&gt;fNotasFiscais[[#This Row],[Data Contratada]],0,1)</f>
        <v>1</v>
      </c>
      <c r="Y1463" s="3">
        <f>IF(fNotasFiscais[[#This Row],[Ocorrência]]="",1,0)</f>
        <v>1</v>
      </c>
      <c r="Z1463" s="2">
        <f>fNotasFiscais[[#This Row],[On Time]]*fNotasFiscais[[#This Row],[In Full]]</f>
        <v>1</v>
      </c>
      <c r="AA1463">
        <f>IF(fNotasFiscais[[#This Row],[Nota Fiscal]]&lt;&gt;"",1,0)</f>
        <v>1</v>
      </c>
    </row>
    <row r="1464" spans="1:27" x14ac:dyDescent="0.25">
      <c r="A1464" s="1">
        <v>43545</v>
      </c>
      <c r="B1464">
        <v>11873</v>
      </c>
      <c r="C1464" s="2" t="s">
        <v>40</v>
      </c>
      <c r="D1464" s="2" t="s">
        <v>41</v>
      </c>
      <c r="E1464" s="2" t="s">
        <v>33</v>
      </c>
      <c r="F1464">
        <v>4014</v>
      </c>
      <c r="G1464" s="2" t="s">
        <v>58</v>
      </c>
      <c r="H1464" s="2" t="s">
        <v>59</v>
      </c>
      <c r="I1464" s="2" t="s">
        <v>36</v>
      </c>
      <c r="J1464" s="2" t="s">
        <v>60</v>
      </c>
      <c r="K1464" s="2" t="s">
        <v>36</v>
      </c>
      <c r="L1464">
        <v>2510.52</v>
      </c>
      <c r="M1464">
        <v>2</v>
      </c>
      <c r="N1464">
        <v>23.675999999999998</v>
      </c>
      <c r="O1464">
        <v>6600879</v>
      </c>
      <c r="P1464" s="2" t="s">
        <v>61</v>
      </c>
      <c r="Q1464" s="2" t="s">
        <v>35</v>
      </c>
      <c r="R1464" s="2" t="s">
        <v>30</v>
      </c>
      <c r="S1464">
        <v>12</v>
      </c>
      <c r="T1464" s="1">
        <v>43545</v>
      </c>
      <c r="U1464" s="1">
        <v>43547</v>
      </c>
      <c r="V1464" s="2"/>
      <c r="W1464" s="1">
        <f>fNotasFiscais[[#This Row],[Data da Coleta]]+fNotasFiscais[[#This Row],[Prazo Contratado]]</f>
        <v>43557</v>
      </c>
      <c r="X1464" s="3">
        <f>IF(fNotasFiscais[[#This Row],[Data da Entrega]]&gt;fNotasFiscais[[#This Row],[Data Contratada]],0,1)</f>
        <v>1</v>
      </c>
      <c r="Y1464" s="3">
        <f>IF(fNotasFiscais[[#This Row],[Ocorrência]]="",1,0)</f>
        <v>1</v>
      </c>
      <c r="Z1464" s="2">
        <f>fNotasFiscais[[#This Row],[On Time]]*fNotasFiscais[[#This Row],[In Full]]</f>
        <v>1</v>
      </c>
      <c r="AA1464">
        <f>IF(fNotasFiscais[[#This Row],[Nota Fiscal]]&lt;&gt;"",1,0)</f>
        <v>1</v>
      </c>
    </row>
    <row r="1465" spans="1:27" x14ac:dyDescent="0.25">
      <c r="A1465" s="1">
        <v>43545</v>
      </c>
      <c r="B1465">
        <v>11874</v>
      </c>
      <c r="C1465" s="2" t="s">
        <v>31</v>
      </c>
      <c r="D1465" s="2" t="s">
        <v>32</v>
      </c>
      <c r="E1465" s="2" t="s">
        <v>33</v>
      </c>
      <c r="F1465">
        <v>4014</v>
      </c>
      <c r="G1465" s="2" t="s">
        <v>58</v>
      </c>
      <c r="H1465" s="2" t="s">
        <v>59</v>
      </c>
      <c r="I1465" s="2" t="s">
        <v>36</v>
      </c>
      <c r="J1465" s="2" t="s">
        <v>60</v>
      </c>
      <c r="K1465" s="2" t="s">
        <v>36</v>
      </c>
      <c r="L1465">
        <v>1143.79</v>
      </c>
      <c r="M1465">
        <v>1</v>
      </c>
      <c r="N1465">
        <v>6.2380000000000004</v>
      </c>
      <c r="O1465">
        <v>6600879</v>
      </c>
      <c r="P1465" s="2" t="s">
        <v>61</v>
      </c>
      <c r="Q1465" s="2" t="s">
        <v>35</v>
      </c>
      <c r="R1465" s="2" t="s">
        <v>30</v>
      </c>
      <c r="S1465">
        <v>1</v>
      </c>
      <c r="T1465" s="1">
        <v>43545</v>
      </c>
      <c r="U1465" s="1">
        <v>43551</v>
      </c>
      <c r="V1465" s="2"/>
      <c r="W1465" s="1">
        <f>fNotasFiscais[[#This Row],[Data da Coleta]]+fNotasFiscais[[#This Row],[Prazo Contratado]]</f>
        <v>43546</v>
      </c>
      <c r="X1465" s="3">
        <f>IF(fNotasFiscais[[#This Row],[Data da Entrega]]&gt;fNotasFiscais[[#This Row],[Data Contratada]],0,1)</f>
        <v>0</v>
      </c>
      <c r="Y1465" s="3">
        <f>IF(fNotasFiscais[[#This Row],[Ocorrência]]="",1,0)</f>
        <v>1</v>
      </c>
      <c r="Z1465" s="2">
        <f>fNotasFiscais[[#This Row],[On Time]]*fNotasFiscais[[#This Row],[In Full]]</f>
        <v>0</v>
      </c>
      <c r="AA1465">
        <f>IF(fNotasFiscais[[#This Row],[Nota Fiscal]]&lt;&gt;"",1,0)</f>
        <v>1</v>
      </c>
    </row>
    <row r="1466" spans="1:27" x14ac:dyDescent="0.25">
      <c r="A1466" s="1">
        <v>43546</v>
      </c>
      <c r="B1466">
        <v>11875</v>
      </c>
      <c r="C1466" s="2" t="s">
        <v>54</v>
      </c>
      <c r="D1466" s="2" t="s">
        <v>55</v>
      </c>
      <c r="E1466" s="2" t="s">
        <v>56</v>
      </c>
      <c r="F1466">
        <v>4033</v>
      </c>
      <c r="G1466" s="2" t="s">
        <v>109</v>
      </c>
      <c r="H1466" s="2" t="s">
        <v>51</v>
      </c>
      <c r="I1466" s="2" t="s">
        <v>73</v>
      </c>
      <c r="J1466" s="2" t="s">
        <v>49</v>
      </c>
      <c r="K1466" s="2" t="s">
        <v>73</v>
      </c>
      <c r="L1466">
        <v>437.13</v>
      </c>
      <c r="M1466">
        <v>1</v>
      </c>
      <c r="N1466">
        <v>0.44</v>
      </c>
      <c r="O1466">
        <v>6100231</v>
      </c>
      <c r="P1466" s="2" t="s">
        <v>50</v>
      </c>
      <c r="Q1466" s="2" t="s">
        <v>51</v>
      </c>
      <c r="R1466" s="2" t="s">
        <v>62</v>
      </c>
      <c r="S1466">
        <v>9</v>
      </c>
      <c r="T1466" s="1">
        <v>43546</v>
      </c>
      <c r="U1466" s="1">
        <v>43549</v>
      </c>
      <c r="V1466" s="2"/>
      <c r="W1466" s="1">
        <f>fNotasFiscais[[#This Row],[Data da Coleta]]+fNotasFiscais[[#This Row],[Prazo Contratado]]</f>
        <v>43555</v>
      </c>
      <c r="X1466" s="3">
        <f>IF(fNotasFiscais[[#This Row],[Data da Entrega]]&gt;fNotasFiscais[[#This Row],[Data Contratada]],0,1)</f>
        <v>1</v>
      </c>
      <c r="Y1466" s="3">
        <f>IF(fNotasFiscais[[#This Row],[Ocorrência]]="",1,0)</f>
        <v>1</v>
      </c>
      <c r="Z1466" s="2">
        <f>fNotasFiscais[[#This Row],[On Time]]*fNotasFiscais[[#This Row],[In Full]]</f>
        <v>1</v>
      </c>
      <c r="AA1466">
        <f>IF(fNotasFiscais[[#This Row],[Nota Fiscal]]&lt;&gt;"",1,0)</f>
        <v>1</v>
      </c>
    </row>
    <row r="1467" spans="1:27" x14ac:dyDescent="0.25">
      <c r="A1467" s="1">
        <v>43546</v>
      </c>
      <c r="B1467">
        <v>11876</v>
      </c>
      <c r="C1467" s="2" t="s">
        <v>34</v>
      </c>
      <c r="D1467" s="2" t="s">
        <v>35</v>
      </c>
      <c r="E1467" s="2" t="s">
        <v>36</v>
      </c>
      <c r="F1467">
        <v>4018</v>
      </c>
      <c r="G1467" s="2" t="s">
        <v>77</v>
      </c>
      <c r="H1467" s="2" t="s">
        <v>78</v>
      </c>
      <c r="I1467" s="2" t="s">
        <v>39</v>
      </c>
      <c r="J1467" s="2" t="s">
        <v>28</v>
      </c>
      <c r="K1467" s="2" t="s">
        <v>39</v>
      </c>
      <c r="L1467">
        <v>4584.5200000000004</v>
      </c>
      <c r="M1467">
        <v>9</v>
      </c>
      <c r="N1467">
        <v>123.256</v>
      </c>
      <c r="O1467">
        <v>6500948</v>
      </c>
      <c r="P1467" s="2" t="s">
        <v>29</v>
      </c>
      <c r="Q1467" s="2" t="s">
        <v>23</v>
      </c>
      <c r="R1467" s="2" t="s">
        <v>30</v>
      </c>
      <c r="S1467">
        <v>1</v>
      </c>
      <c r="T1467" s="1">
        <v>43546</v>
      </c>
      <c r="U1467" s="1">
        <v>43556</v>
      </c>
      <c r="V1467" s="2"/>
      <c r="W1467" s="1">
        <f>fNotasFiscais[[#This Row],[Data da Coleta]]+fNotasFiscais[[#This Row],[Prazo Contratado]]</f>
        <v>43547</v>
      </c>
      <c r="X1467" s="3">
        <f>IF(fNotasFiscais[[#This Row],[Data da Entrega]]&gt;fNotasFiscais[[#This Row],[Data Contratada]],0,1)</f>
        <v>0</v>
      </c>
      <c r="Y1467" s="3">
        <f>IF(fNotasFiscais[[#This Row],[Ocorrência]]="",1,0)</f>
        <v>1</v>
      </c>
      <c r="Z1467" s="2">
        <f>fNotasFiscais[[#This Row],[On Time]]*fNotasFiscais[[#This Row],[In Full]]</f>
        <v>0</v>
      </c>
      <c r="AA1467">
        <f>IF(fNotasFiscais[[#This Row],[Nota Fiscal]]&lt;&gt;"",1,0)</f>
        <v>1</v>
      </c>
    </row>
    <row r="1468" spans="1:27" x14ac:dyDescent="0.25">
      <c r="A1468" s="1">
        <v>43546</v>
      </c>
      <c r="B1468">
        <v>11877</v>
      </c>
      <c r="C1468" s="2" t="s">
        <v>43</v>
      </c>
      <c r="D1468" s="2" t="s">
        <v>44</v>
      </c>
      <c r="E1468" s="2" t="s">
        <v>45</v>
      </c>
      <c r="F1468">
        <v>4022</v>
      </c>
      <c r="G1468" s="2" t="s">
        <v>86</v>
      </c>
      <c r="H1468" s="2" t="s">
        <v>87</v>
      </c>
      <c r="I1468" s="2" t="s">
        <v>27</v>
      </c>
      <c r="J1468" s="2" t="s">
        <v>28</v>
      </c>
      <c r="K1468" s="2" t="s">
        <v>27</v>
      </c>
      <c r="L1468">
        <v>1024.42</v>
      </c>
      <c r="M1468">
        <v>1</v>
      </c>
      <c r="N1468">
        <v>1.1200000000000001</v>
      </c>
      <c r="O1468">
        <v>6500948</v>
      </c>
      <c r="P1468" s="2" t="s">
        <v>29</v>
      </c>
      <c r="Q1468" s="2" t="s">
        <v>23</v>
      </c>
      <c r="R1468" s="2" t="s">
        <v>30</v>
      </c>
      <c r="S1468">
        <v>7</v>
      </c>
      <c r="T1468" s="1">
        <v>43546</v>
      </c>
      <c r="U1468" s="1">
        <v>43549</v>
      </c>
      <c r="V1468" s="2" t="s">
        <v>57</v>
      </c>
      <c r="W1468" s="1">
        <f>fNotasFiscais[[#This Row],[Data da Coleta]]+fNotasFiscais[[#This Row],[Prazo Contratado]]</f>
        <v>43553</v>
      </c>
      <c r="X1468" s="3">
        <f>IF(fNotasFiscais[[#This Row],[Data da Entrega]]&gt;fNotasFiscais[[#This Row],[Data Contratada]],0,1)</f>
        <v>1</v>
      </c>
      <c r="Y1468" s="3">
        <f>IF(fNotasFiscais[[#This Row],[Ocorrência]]="",1,0)</f>
        <v>0</v>
      </c>
      <c r="Z1468" s="2">
        <f>fNotasFiscais[[#This Row],[On Time]]*fNotasFiscais[[#This Row],[In Full]]</f>
        <v>0</v>
      </c>
      <c r="AA1468">
        <f>IF(fNotasFiscais[[#This Row],[Nota Fiscal]]&lt;&gt;"",1,0)</f>
        <v>1</v>
      </c>
    </row>
    <row r="1469" spans="1:27" x14ac:dyDescent="0.25">
      <c r="A1469" s="1">
        <v>43547</v>
      </c>
      <c r="B1469">
        <v>11878</v>
      </c>
      <c r="C1469" s="2" t="s">
        <v>34</v>
      </c>
      <c r="D1469" s="2" t="s">
        <v>35</v>
      </c>
      <c r="E1469" s="2" t="s">
        <v>36</v>
      </c>
      <c r="F1469">
        <v>4084</v>
      </c>
      <c r="G1469" s="2" t="s">
        <v>155</v>
      </c>
      <c r="H1469" s="2" t="s">
        <v>149</v>
      </c>
      <c r="I1469" s="2" t="s">
        <v>33</v>
      </c>
      <c r="J1469" s="2" t="s">
        <v>60</v>
      </c>
      <c r="K1469" s="2" t="s">
        <v>33</v>
      </c>
      <c r="L1469">
        <v>319.56</v>
      </c>
      <c r="M1469">
        <v>1</v>
      </c>
      <c r="N1469">
        <v>0.14299999999999999</v>
      </c>
      <c r="O1469">
        <v>6400835</v>
      </c>
      <c r="P1469" s="2" t="s">
        <v>130</v>
      </c>
      <c r="Q1469" s="2" t="s">
        <v>131</v>
      </c>
      <c r="R1469" s="2" t="s">
        <v>30</v>
      </c>
      <c r="S1469">
        <v>3</v>
      </c>
      <c r="T1469" s="1">
        <v>43547</v>
      </c>
      <c r="U1469" s="1">
        <v>43551</v>
      </c>
      <c r="V1469" s="2"/>
      <c r="W1469" s="1">
        <f>fNotasFiscais[[#This Row],[Data da Coleta]]+fNotasFiscais[[#This Row],[Prazo Contratado]]</f>
        <v>43550</v>
      </c>
      <c r="X1469" s="3">
        <f>IF(fNotasFiscais[[#This Row],[Data da Entrega]]&gt;fNotasFiscais[[#This Row],[Data Contratada]],0,1)</f>
        <v>0</v>
      </c>
      <c r="Y1469" s="3">
        <f>IF(fNotasFiscais[[#This Row],[Ocorrência]]="",1,0)</f>
        <v>1</v>
      </c>
      <c r="Z1469" s="2">
        <f>fNotasFiscais[[#This Row],[On Time]]*fNotasFiscais[[#This Row],[In Full]]</f>
        <v>0</v>
      </c>
      <c r="AA1469">
        <f>IF(fNotasFiscais[[#This Row],[Nota Fiscal]]&lt;&gt;"",1,0)</f>
        <v>1</v>
      </c>
    </row>
    <row r="1470" spans="1:27" x14ac:dyDescent="0.25">
      <c r="A1470" s="1">
        <v>43547</v>
      </c>
      <c r="B1470">
        <v>11879</v>
      </c>
      <c r="C1470" s="2" t="s">
        <v>52</v>
      </c>
      <c r="D1470" s="2" t="s">
        <v>53</v>
      </c>
      <c r="E1470" s="2" t="s">
        <v>33</v>
      </c>
      <c r="F1470">
        <v>4142</v>
      </c>
      <c r="G1470" s="2" t="s">
        <v>225</v>
      </c>
      <c r="H1470" s="2" t="s">
        <v>173</v>
      </c>
      <c r="I1470" s="2" t="s">
        <v>174</v>
      </c>
      <c r="J1470" s="2" t="s">
        <v>175</v>
      </c>
      <c r="K1470" s="2" t="s">
        <v>174</v>
      </c>
      <c r="L1470">
        <v>4770.71</v>
      </c>
      <c r="M1470">
        <v>2</v>
      </c>
      <c r="N1470">
        <v>21.454000000000001</v>
      </c>
      <c r="O1470">
        <v>6700091</v>
      </c>
      <c r="P1470" s="2" t="s">
        <v>176</v>
      </c>
      <c r="Q1470" s="2" t="s">
        <v>173</v>
      </c>
      <c r="R1470" s="2" t="s">
        <v>30</v>
      </c>
      <c r="S1470">
        <v>4</v>
      </c>
      <c r="T1470" s="1">
        <v>43547</v>
      </c>
      <c r="U1470" s="1">
        <v>43557</v>
      </c>
      <c r="V1470" s="2"/>
      <c r="W1470" s="1">
        <f>fNotasFiscais[[#This Row],[Data da Coleta]]+fNotasFiscais[[#This Row],[Prazo Contratado]]</f>
        <v>43551</v>
      </c>
      <c r="X1470" s="3">
        <f>IF(fNotasFiscais[[#This Row],[Data da Entrega]]&gt;fNotasFiscais[[#This Row],[Data Contratada]],0,1)</f>
        <v>0</v>
      </c>
      <c r="Y1470" s="3">
        <f>IF(fNotasFiscais[[#This Row],[Ocorrência]]="",1,0)</f>
        <v>1</v>
      </c>
      <c r="Z1470" s="2">
        <f>fNotasFiscais[[#This Row],[On Time]]*fNotasFiscais[[#This Row],[In Full]]</f>
        <v>0</v>
      </c>
      <c r="AA1470">
        <f>IF(fNotasFiscais[[#This Row],[Nota Fiscal]]&lt;&gt;"",1,0)</f>
        <v>1</v>
      </c>
    </row>
    <row r="1471" spans="1:27" x14ac:dyDescent="0.25">
      <c r="A1471" s="1">
        <v>43547</v>
      </c>
      <c r="B1471">
        <v>11880</v>
      </c>
      <c r="C1471" s="2" t="s">
        <v>54</v>
      </c>
      <c r="D1471" s="2" t="s">
        <v>55</v>
      </c>
      <c r="E1471" s="2" t="s">
        <v>56</v>
      </c>
      <c r="F1471">
        <v>4137</v>
      </c>
      <c r="G1471" s="2" t="s">
        <v>220</v>
      </c>
      <c r="H1471" s="2" t="s">
        <v>32</v>
      </c>
      <c r="I1471" s="2" t="s">
        <v>33</v>
      </c>
      <c r="J1471" s="2" t="s">
        <v>60</v>
      </c>
      <c r="K1471" s="2" t="s">
        <v>33</v>
      </c>
      <c r="L1471">
        <v>317.02</v>
      </c>
      <c r="M1471">
        <v>1</v>
      </c>
      <c r="N1471">
        <v>1.1200000000000001</v>
      </c>
      <c r="O1471">
        <v>6400835</v>
      </c>
      <c r="P1471" s="2" t="s">
        <v>130</v>
      </c>
      <c r="Q1471" s="2" t="s">
        <v>131</v>
      </c>
      <c r="R1471" s="2" t="s">
        <v>30</v>
      </c>
      <c r="S1471">
        <v>12</v>
      </c>
      <c r="T1471" s="1">
        <v>43547</v>
      </c>
      <c r="U1471" s="1">
        <v>43549</v>
      </c>
      <c r="V1471" s="2"/>
      <c r="W1471" s="1">
        <f>fNotasFiscais[[#This Row],[Data da Coleta]]+fNotasFiscais[[#This Row],[Prazo Contratado]]</f>
        <v>43559</v>
      </c>
      <c r="X1471" s="3">
        <f>IF(fNotasFiscais[[#This Row],[Data da Entrega]]&gt;fNotasFiscais[[#This Row],[Data Contratada]],0,1)</f>
        <v>1</v>
      </c>
      <c r="Y1471" s="3">
        <f>IF(fNotasFiscais[[#This Row],[Ocorrência]]="",1,0)</f>
        <v>1</v>
      </c>
      <c r="Z1471" s="2">
        <f>fNotasFiscais[[#This Row],[On Time]]*fNotasFiscais[[#This Row],[In Full]]</f>
        <v>1</v>
      </c>
      <c r="AA1471">
        <f>IF(fNotasFiscais[[#This Row],[Nota Fiscal]]&lt;&gt;"",1,0)</f>
        <v>1</v>
      </c>
    </row>
    <row r="1472" spans="1:27" x14ac:dyDescent="0.25">
      <c r="A1472" s="1">
        <v>43547</v>
      </c>
      <c r="B1472">
        <v>11881</v>
      </c>
      <c r="C1472" s="2" t="s">
        <v>31</v>
      </c>
      <c r="D1472" s="2" t="s">
        <v>32</v>
      </c>
      <c r="E1472" s="2" t="s">
        <v>33</v>
      </c>
      <c r="F1472">
        <v>4044</v>
      </c>
      <c r="G1472" s="2" t="s">
        <v>123</v>
      </c>
      <c r="H1472" s="2" t="s">
        <v>35</v>
      </c>
      <c r="I1472" s="2" t="s">
        <v>36</v>
      </c>
      <c r="J1472" s="2" t="s">
        <v>60</v>
      </c>
      <c r="K1472" s="2" t="s">
        <v>36</v>
      </c>
      <c r="L1472">
        <v>550.39</v>
      </c>
      <c r="M1472">
        <v>1</v>
      </c>
      <c r="N1472">
        <v>5.99</v>
      </c>
      <c r="O1472">
        <v>6600879</v>
      </c>
      <c r="P1472" s="2" t="s">
        <v>61</v>
      </c>
      <c r="Q1472" s="2" t="s">
        <v>35</v>
      </c>
      <c r="R1472" s="2" t="s">
        <v>30</v>
      </c>
      <c r="S1472">
        <v>6</v>
      </c>
      <c r="T1472" s="1">
        <v>43547</v>
      </c>
      <c r="U1472" s="1">
        <v>43556</v>
      </c>
      <c r="V1472" s="2"/>
      <c r="W1472" s="1">
        <f>fNotasFiscais[[#This Row],[Data da Coleta]]+fNotasFiscais[[#This Row],[Prazo Contratado]]</f>
        <v>43553</v>
      </c>
      <c r="X1472" s="3">
        <f>IF(fNotasFiscais[[#This Row],[Data da Entrega]]&gt;fNotasFiscais[[#This Row],[Data Contratada]],0,1)</f>
        <v>0</v>
      </c>
      <c r="Y1472" s="3">
        <f>IF(fNotasFiscais[[#This Row],[Ocorrência]]="",1,0)</f>
        <v>1</v>
      </c>
      <c r="Z1472" s="2">
        <f>fNotasFiscais[[#This Row],[On Time]]*fNotasFiscais[[#This Row],[In Full]]</f>
        <v>0</v>
      </c>
      <c r="AA1472">
        <f>IF(fNotasFiscais[[#This Row],[Nota Fiscal]]&lt;&gt;"",1,0)</f>
        <v>1</v>
      </c>
    </row>
    <row r="1473" spans="1:27" x14ac:dyDescent="0.25">
      <c r="A1473" s="1">
        <v>43547</v>
      </c>
      <c r="B1473">
        <v>11882</v>
      </c>
      <c r="C1473" s="2" t="s">
        <v>43</v>
      </c>
      <c r="D1473" s="2" t="s">
        <v>44</v>
      </c>
      <c r="E1473" s="2" t="s">
        <v>45</v>
      </c>
      <c r="F1473">
        <v>4045</v>
      </c>
      <c r="G1473" s="2" t="s">
        <v>124</v>
      </c>
      <c r="H1473" s="2" t="s">
        <v>35</v>
      </c>
      <c r="I1473" s="2" t="s">
        <v>36</v>
      </c>
      <c r="J1473" s="2" t="s">
        <v>60</v>
      </c>
      <c r="K1473" s="2" t="s">
        <v>36</v>
      </c>
      <c r="L1473">
        <v>1354.59</v>
      </c>
      <c r="M1473">
        <v>1</v>
      </c>
      <c r="N1473">
        <v>1.1200000000000001</v>
      </c>
      <c r="O1473">
        <v>6600879</v>
      </c>
      <c r="P1473" s="2" t="s">
        <v>61</v>
      </c>
      <c r="Q1473" s="2" t="s">
        <v>35</v>
      </c>
      <c r="R1473" s="2" t="s">
        <v>30</v>
      </c>
      <c r="S1473">
        <v>2</v>
      </c>
      <c r="T1473" s="1">
        <v>43547</v>
      </c>
      <c r="U1473" s="1">
        <v>43554</v>
      </c>
      <c r="V1473" s="2"/>
      <c r="W1473" s="1">
        <f>fNotasFiscais[[#This Row],[Data da Coleta]]+fNotasFiscais[[#This Row],[Prazo Contratado]]</f>
        <v>43549</v>
      </c>
      <c r="X1473" s="3">
        <f>IF(fNotasFiscais[[#This Row],[Data da Entrega]]&gt;fNotasFiscais[[#This Row],[Data Contratada]],0,1)</f>
        <v>0</v>
      </c>
      <c r="Y1473" s="3">
        <f>IF(fNotasFiscais[[#This Row],[Ocorrência]]="",1,0)</f>
        <v>1</v>
      </c>
      <c r="Z1473" s="2">
        <f>fNotasFiscais[[#This Row],[On Time]]*fNotasFiscais[[#This Row],[In Full]]</f>
        <v>0</v>
      </c>
      <c r="AA1473">
        <f>IF(fNotasFiscais[[#This Row],[Nota Fiscal]]&lt;&gt;"",1,0)</f>
        <v>1</v>
      </c>
    </row>
    <row r="1474" spans="1:27" x14ac:dyDescent="0.25">
      <c r="A1474" s="1">
        <v>43547</v>
      </c>
      <c r="B1474">
        <v>11883</v>
      </c>
      <c r="C1474" s="2" t="s">
        <v>54</v>
      </c>
      <c r="D1474" s="2" t="s">
        <v>55</v>
      </c>
      <c r="E1474" s="2" t="s">
        <v>56</v>
      </c>
      <c r="F1474">
        <v>4044</v>
      </c>
      <c r="G1474" s="2" t="s">
        <v>123</v>
      </c>
      <c r="H1474" s="2" t="s">
        <v>35</v>
      </c>
      <c r="I1474" s="2" t="s">
        <v>36</v>
      </c>
      <c r="J1474" s="2" t="s">
        <v>60</v>
      </c>
      <c r="K1474" s="2" t="s">
        <v>36</v>
      </c>
      <c r="L1474">
        <v>379.55</v>
      </c>
      <c r="M1474">
        <v>1</v>
      </c>
      <c r="N1474">
        <v>0.82699999999999996</v>
      </c>
      <c r="O1474">
        <v>6600879</v>
      </c>
      <c r="P1474" s="2" t="s">
        <v>61</v>
      </c>
      <c r="Q1474" s="2" t="s">
        <v>35</v>
      </c>
      <c r="R1474" s="2" t="s">
        <v>30</v>
      </c>
      <c r="S1474">
        <v>3</v>
      </c>
      <c r="T1474" s="1">
        <v>43547</v>
      </c>
      <c r="U1474" s="1">
        <v>43549</v>
      </c>
      <c r="V1474" s="2"/>
      <c r="W1474" s="1">
        <f>fNotasFiscais[[#This Row],[Data da Coleta]]+fNotasFiscais[[#This Row],[Prazo Contratado]]</f>
        <v>43550</v>
      </c>
      <c r="X1474" s="3">
        <f>IF(fNotasFiscais[[#This Row],[Data da Entrega]]&gt;fNotasFiscais[[#This Row],[Data Contratada]],0,1)</f>
        <v>1</v>
      </c>
      <c r="Y1474" s="3">
        <f>IF(fNotasFiscais[[#This Row],[Ocorrência]]="",1,0)</f>
        <v>1</v>
      </c>
      <c r="Z1474" s="2">
        <f>fNotasFiscais[[#This Row],[On Time]]*fNotasFiscais[[#This Row],[In Full]]</f>
        <v>1</v>
      </c>
      <c r="AA1474">
        <f>IF(fNotasFiscais[[#This Row],[Nota Fiscal]]&lt;&gt;"",1,0)</f>
        <v>1</v>
      </c>
    </row>
    <row r="1475" spans="1:27" x14ac:dyDescent="0.25">
      <c r="A1475" s="1">
        <v>43547</v>
      </c>
      <c r="B1475">
        <v>11884</v>
      </c>
      <c r="C1475" s="2" t="s">
        <v>22</v>
      </c>
      <c r="D1475" s="2" t="s">
        <v>23</v>
      </c>
      <c r="E1475" s="2" t="s">
        <v>24</v>
      </c>
      <c r="F1475">
        <v>4045</v>
      </c>
      <c r="G1475" s="2" t="s">
        <v>124</v>
      </c>
      <c r="H1475" s="2" t="s">
        <v>35</v>
      </c>
      <c r="I1475" s="2" t="s">
        <v>36</v>
      </c>
      <c r="J1475" s="2" t="s">
        <v>60</v>
      </c>
      <c r="K1475" s="2" t="s">
        <v>36</v>
      </c>
      <c r="L1475">
        <v>3.43</v>
      </c>
      <c r="M1475">
        <v>1</v>
      </c>
      <c r="N1475">
        <v>0.112</v>
      </c>
      <c r="O1475">
        <v>6600879</v>
      </c>
      <c r="P1475" s="2" t="s">
        <v>61</v>
      </c>
      <c r="Q1475" s="2" t="s">
        <v>35</v>
      </c>
      <c r="R1475" s="2" t="s">
        <v>30</v>
      </c>
      <c r="S1475">
        <v>5</v>
      </c>
      <c r="T1475" s="1">
        <v>43547</v>
      </c>
      <c r="U1475" s="1">
        <v>43553</v>
      </c>
      <c r="V1475" s="2" t="s">
        <v>57</v>
      </c>
      <c r="W1475" s="1">
        <f>fNotasFiscais[[#This Row],[Data da Coleta]]+fNotasFiscais[[#This Row],[Prazo Contratado]]</f>
        <v>43552</v>
      </c>
      <c r="X1475" s="3">
        <f>IF(fNotasFiscais[[#This Row],[Data da Entrega]]&gt;fNotasFiscais[[#This Row],[Data Contratada]],0,1)</f>
        <v>0</v>
      </c>
      <c r="Y1475" s="3">
        <f>IF(fNotasFiscais[[#This Row],[Ocorrência]]="",1,0)</f>
        <v>0</v>
      </c>
      <c r="Z1475" s="2">
        <f>fNotasFiscais[[#This Row],[On Time]]*fNotasFiscais[[#This Row],[In Full]]</f>
        <v>0</v>
      </c>
      <c r="AA1475">
        <f>IF(fNotasFiscais[[#This Row],[Nota Fiscal]]&lt;&gt;"",1,0)</f>
        <v>1</v>
      </c>
    </row>
    <row r="1476" spans="1:27" x14ac:dyDescent="0.25">
      <c r="A1476" s="1">
        <v>43547</v>
      </c>
      <c r="B1476">
        <v>11885</v>
      </c>
      <c r="C1476" s="2" t="s">
        <v>40</v>
      </c>
      <c r="D1476" s="2" t="s">
        <v>41</v>
      </c>
      <c r="E1476" s="2" t="s">
        <v>33</v>
      </c>
      <c r="F1476">
        <v>4040</v>
      </c>
      <c r="G1476" s="2" t="s">
        <v>117</v>
      </c>
      <c r="H1476" s="2" t="s">
        <v>47</v>
      </c>
      <c r="I1476" s="2" t="s">
        <v>48</v>
      </c>
      <c r="J1476" s="2" t="s">
        <v>49</v>
      </c>
      <c r="K1476" s="2" t="s">
        <v>48</v>
      </c>
      <c r="L1476">
        <v>347.09</v>
      </c>
      <c r="M1476">
        <v>1</v>
      </c>
      <c r="N1476">
        <v>2.4E-2</v>
      </c>
      <c r="O1476">
        <v>6100231</v>
      </c>
      <c r="P1476" s="2" t="s">
        <v>50</v>
      </c>
      <c r="Q1476" s="2" t="s">
        <v>51</v>
      </c>
      <c r="R1476" s="2" t="s">
        <v>30</v>
      </c>
      <c r="S1476">
        <v>9</v>
      </c>
      <c r="T1476" s="1">
        <v>43547</v>
      </c>
      <c r="U1476" s="1">
        <v>43550</v>
      </c>
      <c r="V1476" s="2"/>
      <c r="W1476" s="1">
        <f>fNotasFiscais[[#This Row],[Data da Coleta]]+fNotasFiscais[[#This Row],[Prazo Contratado]]</f>
        <v>43556</v>
      </c>
      <c r="X1476" s="3">
        <f>IF(fNotasFiscais[[#This Row],[Data da Entrega]]&gt;fNotasFiscais[[#This Row],[Data Contratada]],0,1)</f>
        <v>1</v>
      </c>
      <c r="Y1476" s="3">
        <f>IF(fNotasFiscais[[#This Row],[Ocorrência]]="",1,0)</f>
        <v>1</v>
      </c>
      <c r="Z1476" s="2">
        <f>fNotasFiscais[[#This Row],[On Time]]*fNotasFiscais[[#This Row],[In Full]]</f>
        <v>1</v>
      </c>
      <c r="AA1476">
        <f>IF(fNotasFiscais[[#This Row],[Nota Fiscal]]&lt;&gt;"",1,0)</f>
        <v>1</v>
      </c>
    </row>
    <row r="1477" spans="1:27" x14ac:dyDescent="0.25">
      <c r="A1477" s="1">
        <v>43547</v>
      </c>
      <c r="B1477">
        <v>11886</v>
      </c>
      <c r="C1477" s="2" t="s">
        <v>40</v>
      </c>
      <c r="D1477" s="2" t="s">
        <v>41</v>
      </c>
      <c r="E1477" s="2" t="s">
        <v>33</v>
      </c>
      <c r="F1477">
        <v>4055</v>
      </c>
      <c r="G1477" s="2" t="s">
        <v>120</v>
      </c>
      <c r="H1477" s="2" t="s">
        <v>47</v>
      </c>
      <c r="I1477" s="2" t="s">
        <v>48</v>
      </c>
      <c r="J1477" s="2" t="s">
        <v>49</v>
      </c>
      <c r="K1477" s="2" t="s">
        <v>48</v>
      </c>
      <c r="L1477">
        <v>44.81</v>
      </c>
      <c r="M1477">
        <v>1</v>
      </c>
      <c r="N1477">
        <v>0.13800000000000001</v>
      </c>
      <c r="O1477">
        <v>6100231</v>
      </c>
      <c r="P1477" s="2" t="s">
        <v>50</v>
      </c>
      <c r="Q1477" s="2" t="s">
        <v>51</v>
      </c>
      <c r="R1477" s="2" t="s">
        <v>30</v>
      </c>
      <c r="S1477">
        <v>3</v>
      </c>
      <c r="T1477" s="1">
        <v>43547</v>
      </c>
      <c r="U1477" s="1">
        <v>43553</v>
      </c>
      <c r="V1477" s="2"/>
      <c r="W1477" s="1">
        <f>fNotasFiscais[[#This Row],[Data da Coleta]]+fNotasFiscais[[#This Row],[Prazo Contratado]]</f>
        <v>43550</v>
      </c>
      <c r="X1477" s="3">
        <f>IF(fNotasFiscais[[#This Row],[Data da Entrega]]&gt;fNotasFiscais[[#This Row],[Data Contratada]],0,1)</f>
        <v>0</v>
      </c>
      <c r="Y1477" s="3">
        <f>IF(fNotasFiscais[[#This Row],[Ocorrência]]="",1,0)</f>
        <v>1</v>
      </c>
      <c r="Z1477" s="2">
        <f>fNotasFiscais[[#This Row],[On Time]]*fNotasFiscais[[#This Row],[In Full]]</f>
        <v>0</v>
      </c>
      <c r="AA1477">
        <f>IF(fNotasFiscais[[#This Row],[Nota Fiscal]]&lt;&gt;"",1,0)</f>
        <v>1</v>
      </c>
    </row>
    <row r="1478" spans="1:27" x14ac:dyDescent="0.25">
      <c r="A1478" s="1">
        <v>43547</v>
      </c>
      <c r="B1478">
        <v>11887</v>
      </c>
      <c r="C1478" s="2" t="s">
        <v>43</v>
      </c>
      <c r="D1478" s="2" t="s">
        <v>44</v>
      </c>
      <c r="E1478" s="2" t="s">
        <v>45</v>
      </c>
      <c r="F1478">
        <v>4044</v>
      </c>
      <c r="G1478" s="2" t="s">
        <v>123</v>
      </c>
      <c r="H1478" s="2" t="s">
        <v>35</v>
      </c>
      <c r="I1478" s="2" t="s">
        <v>36</v>
      </c>
      <c r="J1478" s="2" t="s">
        <v>60</v>
      </c>
      <c r="K1478" s="2" t="s">
        <v>36</v>
      </c>
      <c r="L1478">
        <v>1356.82</v>
      </c>
      <c r="M1478">
        <v>1</v>
      </c>
      <c r="N1478">
        <v>3.3090000000000002</v>
      </c>
      <c r="O1478">
        <v>6600879</v>
      </c>
      <c r="P1478" s="2" t="s">
        <v>61</v>
      </c>
      <c r="Q1478" s="2" t="s">
        <v>35</v>
      </c>
      <c r="R1478" s="2" t="s">
        <v>30</v>
      </c>
      <c r="S1478">
        <v>12</v>
      </c>
      <c r="T1478" s="1">
        <v>43547</v>
      </c>
      <c r="U1478" s="1">
        <v>43554</v>
      </c>
      <c r="V1478" s="2"/>
      <c r="W1478" s="1">
        <f>fNotasFiscais[[#This Row],[Data da Coleta]]+fNotasFiscais[[#This Row],[Prazo Contratado]]</f>
        <v>43559</v>
      </c>
      <c r="X1478" s="3">
        <f>IF(fNotasFiscais[[#This Row],[Data da Entrega]]&gt;fNotasFiscais[[#This Row],[Data Contratada]],0,1)</f>
        <v>1</v>
      </c>
      <c r="Y1478" s="3">
        <f>IF(fNotasFiscais[[#This Row],[Ocorrência]]="",1,0)</f>
        <v>1</v>
      </c>
      <c r="Z1478" s="2">
        <f>fNotasFiscais[[#This Row],[On Time]]*fNotasFiscais[[#This Row],[In Full]]</f>
        <v>1</v>
      </c>
      <c r="AA1478">
        <f>IF(fNotasFiscais[[#This Row],[Nota Fiscal]]&lt;&gt;"",1,0)</f>
        <v>1</v>
      </c>
    </row>
    <row r="1479" spans="1:27" x14ac:dyDescent="0.25">
      <c r="A1479" s="1">
        <v>43547</v>
      </c>
      <c r="B1479">
        <v>11888</v>
      </c>
      <c r="C1479" s="2" t="s">
        <v>43</v>
      </c>
      <c r="D1479" s="2" t="s">
        <v>44</v>
      </c>
      <c r="E1479" s="2" t="s">
        <v>45</v>
      </c>
      <c r="F1479">
        <v>4045</v>
      </c>
      <c r="G1479" s="2" t="s">
        <v>124</v>
      </c>
      <c r="H1479" s="2" t="s">
        <v>35</v>
      </c>
      <c r="I1479" s="2" t="s">
        <v>36</v>
      </c>
      <c r="J1479" s="2" t="s">
        <v>60</v>
      </c>
      <c r="K1479" s="2" t="s">
        <v>36</v>
      </c>
      <c r="L1479">
        <v>6641.71</v>
      </c>
      <c r="M1479">
        <v>3</v>
      </c>
      <c r="N1479">
        <v>11.606999999999999</v>
      </c>
      <c r="O1479">
        <v>6600879</v>
      </c>
      <c r="P1479" s="2" t="s">
        <v>61</v>
      </c>
      <c r="Q1479" s="2" t="s">
        <v>35</v>
      </c>
      <c r="R1479" s="2" t="s">
        <v>30</v>
      </c>
      <c r="S1479">
        <v>10</v>
      </c>
      <c r="T1479" s="1">
        <v>43547</v>
      </c>
      <c r="U1479" s="1">
        <v>43554</v>
      </c>
      <c r="V1479" s="2"/>
      <c r="W1479" s="1">
        <f>fNotasFiscais[[#This Row],[Data da Coleta]]+fNotasFiscais[[#This Row],[Prazo Contratado]]</f>
        <v>43557</v>
      </c>
      <c r="X1479" s="3">
        <f>IF(fNotasFiscais[[#This Row],[Data da Entrega]]&gt;fNotasFiscais[[#This Row],[Data Contratada]],0,1)</f>
        <v>1</v>
      </c>
      <c r="Y1479" s="3">
        <f>IF(fNotasFiscais[[#This Row],[Ocorrência]]="",1,0)</f>
        <v>1</v>
      </c>
      <c r="Z1479" s="2">
        <f>fNotasFiscais[[#This Row],[On Time]]*fNotasFiscais[[#This Row],[In Full]]</f>
        <v>1</v>
      </c>
      <c r="AA1479">
        <f>IF(fNotasFiscais[[#This Row],[Nota Fiscal]]&lt;&gt;"",1,0)</f>
        <v>1</v>
      </c>
    </row>
    <row r="1480" spans="1:27" x14ac:dyDescent="0.25">
      <c r="A1480" s="1">
        <v>43547</v>
      </c>
      <c r="B1480">
        <v>11889</v>
      </c>
      <c r="C1480" s="2" t="s">
        <v>52</v>
      </c>
      <c r="D1480" s="2" t="s">
        <v>53</v>
      </c>
      <c r="E1480" s="2" t="s">
        <v>33</v>
      </c>
      <c r="F1480">
        <v>4040</v>
      </c>
      <c r="G1480" s="2" t="s">
        <v>117</v>
      </c>
      <c r="H1480" s="2" t="s">
        <v>47</v>
      </c>
      <c r="I1480" s="2" t="s">
        <v>48</v>
      </c>
      <c r="J1480" s="2" t="s">
        <v>49</v>
      </c>
      <c r="K1480" s="2" t="s">
        <v>48</v>
      </c>
      <c r="L1480">
        <v>422.23</v>
      </c>
      <c r="M1480">
        <v>1</v>
      </c>
      <c r="N1480">
        <v>1.1200000000000001</v>
      </c>
      <c r="O1480">
        <v>6100231</v>
      </c>
      <c r="P1480" s="2" t="s">
        <v>50</v>
      </c>
      <c r="Q1480" s="2" t="s">
        <v>51</v>
      </c>
      <c r="R1480" s="2" t="s">
        <v>30</v>
      </c>
      <c r="S1480">
        <v>12</v>
      </c>
      <c r="T1480" s="1">
        <v>43547</v>
      </c>
      <c r="U1480" s="1">
        <v>43556</v>
      </c>
      <c r="V1480" s="2"/>
      <c r="W1480" s="1">
        <f>fNotasFiscais[[#This Row],[Data da Coleta]]+fNotasFiscais[[#This Row],[Prazo Contratado]]</f>
        <v>43559</v>
      </c>
      <c r="X1480" s="3">
        <f>IF(fNotasFiscais[[#This Row],[Data da Entrega]]&gt;fNotasFiscais[[#This Row],[Data Contratada]],0,1)</f>
        <v>1</v>
      </c>
      <c r="Y1480" s="3">
        <f>IF(fNotasFiscais[[#This Row],[Ocorrência]]="",1,0)</f>
        <v>1</v>
      </c>
      <c r="Z1480" s="2">
        <f>fNotasFiscais[[#This Row],[On Time]]*fNotasFiscais[[#This Row],[In Full]]</f>
        <v>1</v>
      </c>
      <c r="AA1480">
        <f>IF(fNotasFiscais[[#This Row],[Nota Fiscal]]&lt;&gt;"",1,0)</f>
        <v>1</v>
      </c>
    </row>
    <row r="1481" spans="1:27" x14ac:dyDescent="0.25">
      <c r="A1481" s="1">
        <v>43547</v>
      </c>
      <c r="B1481">
        <v>11890</v>
      </c>
      <c r="C1481" s="2" t="s">
        <v>54</v>
      </c>
      <c r="D1481" s="2" t="s">
        <v>55</v>
      </c>
      <c r="E1481" s="2" t="s">
        <v>56</v>
      </c>
      <c r="F1481">
        <v>4055</v>
      </c>
      <c r="G1481" s="2" t="s">
        <v>120</v>
      </c>
      <c r="H1481" s="2" t="s">
        <v>47</v>
      </c>
      <c r="I1481" s="2" t="s">
        <v>48</v>
      </c>
      <c r="J1481" s="2" t="s">
        <v>49</v>
      </c>
      <c r="K1481" s="2" t="s">
        <v>48</v>
      </c>
      <c r="L1481">
        <v>148.19</v>
      </c>
      <c r="M1481">
        <v>1</v>
      </c>
      <c r="N1481">
        <v>0.215</v>
      </c>
      <c r="O1481">
        <v>6100231</v>
      </c>
      <c r="P1481" s="2" t="s">
        <v>50</v>
      </c>
      <c r="Q1481" s="2" t="s">
        <v>51</v>
      </c>
      <c r="R1481" s="2" t="s">
        <v>30</v>
      </c>
      <c r="S1481">
        <v>11</v>
      </c>
      <c r="T1481" s="1">
        <v>43547</v>
      </c>
      <c r="U1481" s="1">
        <v>43556</v>
      </c>
      <c r="V1481" s="2"/>
      <c r="W1481" s="1">
        <f>fNotasFiscais[[#This Row],[Data da Coleta]]+fNotasFiscais[[#This Row],[Prazo Contratado]]</f>
        <v>43558</v>
      </c>
      <c r="X1481" s="3">
        <f>IF(fNotasFiscais[[#This Row],[Data da Entrega]]&gt;fNotasFiscais[[#This Row],[Data Contratada]],0,1)</f>
        <v>1</v>
      </c>
      <c r="Y1481" s="3">
        <f>IF(fNotasFiscais[[#This Row],[Ocorrência]]="",1,0)</f>
        <v>1</v>
      </c>
      <c r="Z1481" s="2">
        <f>fNotasFiscais[[#This Row],[On Time]]*fNotasFiscais[[#This Row],[In Full]]</f>
        <v>1</v>
      </c>
      <c r="AA1481">
        <f>IF(fNotasFiscais[[#This Row],[Nota Fiscal]]&lt;&gt;"",1,0)</f>
        <v>1</v>
      </c>
    </row>
    <row r="1482" spans="1:27" x14ac:dyDescent="0.25">
      <c r="A1482" s="1">
        <v>43548</v>
      </c>
      <c r="B1482">
        <v>11891</v>
      </c>
      <c r="C1482" s="2" t="s">
        <v>34</v>
      </c>
      <c r="D1482" s="2" t="s">
        <v>35</v>
      </c>
      <c r="E1482" s="2" t="s">
        <v>36</v>
      </c>
      <c r="F1482">
        <v>4085</v>
      </c>
      <c r="G1482" s="2" t="s">
        <v>156</v>
      </c>
      <c r="H1482" s="2" t="s">
        <v>141</v>
      </c>
      <c r="I1482" s="2" t="s">
        <v>33</v>
      </c>
      <c r="J1482" s="2" t="s">
        <v>60</v>
      </c>
      <c r="K1482" s="2" t="s">
        <v>33</v>
      </c>
      <c r="L1482">
        <v>368.29</v>
      </c>
      <c r="M1482">
        <v>1</v>
      </c>
      <c r="N1482">
        <v>4.6790000000000003</v>
      </c>
      <c r="O1482">
        <v>6400835</v>
      </c>
      <c r="P1482" s="2" t="s">
        <v>130</v>
      </c>
      <c r="Q1482" s="2" t="s">
        <v>131</v>
      </c>
      <c r="R1482" s="2" t="s">
        <v>30</v>
      </c>
      <c r="S1482">
        <v>7</v>
      </c>
      <c r="T1482" s="1">
        <v>43548</v>
      </c>
      <c r="U1482" s="1">
        <v>43553</v>
      </c>
      <c r="V1482" s="2"/>
      <c r="W1482" s="1">
        <f>fNotasFiscais[[#This Row],[Data da Coleta]]+fNotasFiscais[[#This Row],[Prazo Contratado]]</f>
        <v>43555</v>
      </c>
      <c r="X1482" s="3">
        <f>IF(fNotasFiscais[[#This Row],[Data da Entrega]]&gt;fNotasFiscais[[#This Row],[Data Contratada]],0,1)</f>
        <v>1</v>
      </c>
      <c r="Y1482" s="3">
        <f>IF(fNotasFiscais[[#This Row],[Ocorrência]]="",1,0)</f>
        <v>1</v>
      </c>
      <c r="Z1482" s="2">
        <f>fNotasFiscais[[#This Row],[On Time]]*fNotasFiscais[[#This Row],[In Full]]</f>
        <v>1</v>
      </c>
      <c r="AA1482">
        <f>IF(fNotasFiscais[[#This Row],[Nota Fiscal]]&lt;&gt;"",1,0)</f>
        <v>1</v>
      </c>
    </row>
    <row r="1483" spans="1:27" x14ac:dyDescent="0.25">
      <c r="A1483" s="1">
        <v>43550</v>
      </c>
      <c r="B1483">
        <v>11892</v>
      </c>
      <c r="C1483" s="2" t="s">
        <v>40</v>
      </c>
      <c r="D1483" s="2" t="s">
        <v>41</v>
      </c>
      <c r="E1483" s="2" t="s">
        <v>33</v>
      </c>
      <c r="F1483">
        <v>4146</v>
      </c>
      <c r="G1483" s="2" t="s">
        <v>229</v>
      </c>
      <c r="H1483" s="2" t="s">
        <v>35</v>
      </c>
      <c r="I1483" s="2" t="s">
        <v>36</v>
      </c>
      <c r="J1483" s="2" t="s">
        <v>60</v>
      </c>
      <c r="K1483" s="2" t="s">
        <v>36</v>
      </c>
      <c r="L1483">
        <v>397.64</v>
      </c>
      <c r="M1483">
        <v>1</v>
      </c>
      <c r="N1483">
        <v>1.931</v>
      </c>
      <c r="O1483">
        <v>6600879</v>
      </c>
      <c r="P1483" s="2" t="s">
        <v>61</v>
      </c>
      <c r="Q1483" s="2" t="s">
        <v>35</v>
      </c>
      <c r="R1483" s="2" t="s">
        <v>30</v>
      </c>
      <c r="S1483">
        <v>4</v>
      </c>
      <c r="T1483" s="1">
        <v>43550</v>
      </c>
      <c r="U1483" s="1">
        <v>43553</v>
      </c>
      <c r="V1483" s="2"/>
      <c r="W1483" s="1">
        <f>fNotasFiscais[[#This Row],[Data da Coleta]]+fNotasFiscais[[#This Row],[Prazo Contratado]]</f>
        <v>43554</v>
      </c>
      <c r="X1483" s="3">
        <f>IF(fNotasFiscais[[#This Row],[Data da Entrega]]&gt;fNotasFiscais[[#This Row],[Data Contratada]],0,1)</f>
        <v>1</v>
      </c>
      <c r="Y1483" s="3">
        <f>IF(fNotasFiscais[[#This Row],[Ocorrência]]="",1,0)</f>
        <v>1</v>
      </c>
      <c r="Z1483" s="2">
        <f>fNotasFiscais[[#This Row],[On Time]]*fNotasFiscais[[#This Row],[In Full]]</f>
        <v>1</v>
      </c>
      <c r="AA1483">
        <f>IF(fNotasFiscais[[#This Row],[Nota Fiscal]]&lt;&gt;"",1,0)</f>
        <v>1</v>
      </c>
    </row>
    <row r="1484" spans="1:27" x14ac:dyDescent="0.25">
      <c r="A1484" s="1">
        <v>43550</v>
      </c>
      <c r="B1484">
        <v>11893</v>
      </c>
      <c r="C1484" s="2" t="s">
        <v>43</v>
      </c>
      <c r="D1484" s="2" t="s">
        <v>44</v>
      </c>
      <c r="E1484" s="2" t="s">
        <v>45</v>
      </c>
      <c r="F1484">
        <v>4148</v>
      </c>
      <c r="G1484" s="2" t="s">
        <v>231</v>
      </c>
      <c r="H1484" s="2" t="s">
        <v>32</v>
      </c>
      <c r="I1484" s="2" t="s">
        <v>33</v>
      </c>
      <c r="J1484" s="2" t="s">
        <v>60</v>
      </c>
      <c r="K1484" s="2" t="s">
        <v>33</v>
      </c>
      <c r="L1484">
        <v>12.91</v>
      </c>
      <c r="M1484">
        <v>1</v>
      </c>
      <c r="N1484">
        <v>1.1200000000000001</v>
      </c>
      <c r="O1484">
        <v>6400835</v>
      </c>
      <c r="P1484" s="2" t="s">
        <v>130</v>
      </c>
      <c r="Q1484" s="2" t="s">
        <v>131</v>
      </c>
      <c r="R1484" s="2" t="s">
        <v>30</v>
      </c>
      <c r="S1484">
        <v>2</v>
      </c>
      <c r="T1484" s="1">
        <v>43550</v>
      </c>
      <c r="U1484" s="1">
        <v>43554</v>
      </c>
      <c r="V1484" s="2"/>
      <c r="W1484" s="1">
        <f>fNotasFiscais[[#This Row],[Data da Coleta]]+fNotasFiscais[[#This Row],[Prazo Contratado]]</f>
        <v>43552</v>
      </c>
      <c r="X1484" s="3">
        <f>IF(fNotasFiscais[[#This Row],[Data da Entrega]]&gt;fNotasFiscais[[#This Row],[Data Contratada]],0,1)</f>
        <v>0</v>
      </c>
      <c r="Y1484" s="3">
        <f>IF(fNotasFiscais[[#This Row],[Ocorrência]]="",1,0)</f>
        <v>1</v>
      </c>
      <c r="Z1484" s="2">
        <f>fNotasFiscais[[#This Row],[On Time]]*fNotasFiscais[[#This Row],[In Full]]</f>
        <v>0</v>
      </c>
      <c r="AA1484">
        <f>IF(fNotasFiscais[[#This Row],[Nota Fiscal]]&lt;&gt;"",1,0)</f>
        <v>1</v>
      </c>
    </row>
    <row r="1485" spans="1:27" x14ac:dyDescent="0.25">
      <c r="A1485" s="1">
        <v>43550</v>
      </c>
      <c r="B1485">
        <v>11894</v>
      </c>
      <c r="C1485" s="2" t="s">
        <v>34</v>
      </c>
      <c r="D1485" s="2" t="s">
        <v>35</v>
      </c>
      <c r="E1485" s="2" t="s">
        <v>36</v>
      </c>
      <c r="F1485">
        <v>4013</v>
      </c>
      <c r="G1485" s="2" t="s">
        <v>37</v>
      </c>
      <c r="H1485" s="2" t="s">
        <v>38</v>
      </c>
      <c r="I1485" s="2" t="s">
        <v>39</v>
      </c>
      <c r="J1485" s="2" t="s">
        <v>28</v>
      </c>
      <c r="K1485" s="2" t="s">
        <v>39</v>
      </c>
      <c r="L1485">
        <v>439.66</v>
      </c>
      <c r="M1485">
        <v>1</v>
      </c>
      <c r="N1485">
        <v>0.44</v>
      </c>
      <c r="O1485">
        <v>6500948</v>
      </c>
      <c r="P1485" s="2" t="s">
        <v>29</v>
      </c>
      <c r="Q1485" s="2" t="s">
        <v>23</v>
      </c>
      <c r="R1485" s="2" t="s">
        <v>30</v>
      </c>
      <c r="S1485">
        <v>5</v>
      </c>
      <c r="T1485" s="1">
        <v>43550</v>
      </c>
      <c r="U1485" s="1">
        <v>43560</v>
      </c>
      <c r="V1485" s="2"/>
      <c r="W1485" s="1">
        <f>fNotasFiscais[[#This Row],[Data da Coleta]]+fNotasFiscais[[#This Row],[Prazo Contratado]]</f>
        <v>43555</v>
      </c>
      <c r="X1485" s="3">
        <f>IF(fNotasFiscais[[#This Row],[Data da Entrega]]&gt;fNotasFiscais[[#This Row],[Data Contratada]],0,1)</f>
        <v>0</v>
      </c>
      <c r="Y1485" s="3">
        <f>IF(fNotasFiscais[[#This Row],[Ocorrência]]="",1,0)</f>
        <v>1</v>
      </c>
      <c r="Z1485" s="2">
        <f>fNotasFiscais[[#This Row],[On Time]]*fNotasFiscais[[#This Row],[In Full]]</f>
        <v>0</v>
      </c>
      <c r="AA1485">
        <f>IF(fNotasFiscais[[#This Row],[Nota Fiscal]]&lt;&gt;"",1,0)</f>
        <v>1</v>
      </c>
    </row>
    <row r="1486" spans="1:27" x14ac:dyDescent="0.25">
      <c r="A1486" s="1">
        <v>43550</v>
      </c>
      <c r="B1486">
        <v>11895</v>
      </c>
      <c r="C1486" s="2" t="s">
        <v>22</v>
      </c>
      <c r="D1486" s="2" t="s">
        <v>23</v>
      </c>
      <c r="E1486" s="2" t="s">
        <v>24</v>
      </c>
      <c r="F1486">
        <v>4064</v>
      </c>
      <c r="G1486" s="2" t="s">
        <v>128</v>
      </c>
      <c r="H1486" s="2" t="s">
        <v>129</v>
      </c>
      <c r="I1486" s="2" t="s">
        <v>33</v>
      </c>
      <c r="J1486" s="2" t="s">
        <v>60</v>
      </c>
      <c r="K1486" s="2" t="s">
        <v>33</v>
      </c>
      <c r="L1486">
        <v>4776.87</v>
      </c>
      <c r="M1486">
        <v>2</v>
      </c>
      <c r="N1486">
        <v>12.698</v>
      </c>
      <c r="O1486">
        <v>6400835</v>
      </c>
      <c r="P1486" s="2" t="s">
        <v>130</v>
      </c>
      <c r="Q1486" s="2" t="s">
        <v>131</v>
      </c>
      <c r="R1486" s="2" t="s">
        <v>30</v>
      </c>
      <c r="S1486">
        <v>3</v>
      </c>
      <c r="T1486" s="1">
        <v>43550</v>
      </c>
      <c r="U1486" s="1">
        <v>43556</v>
      </c>
      <c r="V1486" s="2"/>
      <c r="W1486" s="1">
        <f>fNotasFiscais[[#This Row],[Data da Coleta]]+fNotasFiscais[[#This Row],[Prazo Contratado]]</f>
        <v>43553</v>
      </c>
      <c r="X1486" s="3">
        <f>IF(fNotasFiscais[[#This Row],[Data da Entrega]]&gt;fNotasFiscais[[#This Row],[Data Contratada]],0,1)</f>
        <v>0</v>
      </c>
      <c r="Y1486" s="3">
        <f>IF(fNotasFiscais[[#This Row],[Ocorrência]]="",1,0)</f>
        <v>1</v>
      </c>
      <c r="Z1486" s="2">
        <f>fNotasFiscais[[#This Row],[On Time]]*fNotasFiscais[[#This Row],[In Full]]</f>
        <v>0</v>
      </c>
      <c r="AA1486">
        <f>IF(fNotasFiscais[[#This Row],[Nota Fiscal]]&lt;&gt;"",1,0)</f>
        <v>1</v>
      </c>
    </row>
    <row r="1487" spans="1:27" x14ac:dyDescent="0.25">
      <c r="A1487" s="1">
        <v>43550</v>
      </c>
      <c r="B1487">
        <v>11896</v>
      </c>
      <c r="C1487" s="2" t="s">
        <v>31</v>
      </c>
      <c r="D1487" s="2" t="s">
        <v>32</v>
      </c>
      <c r="E1487" s="2" t="s">
        <v>33</v>
      </c>
      <c r="F1487">
        <v>4064</v>
      </c>
      <c r="G1487" s="2" t="s">
        <v>128</v>
      </c>
      <c r="H1487" s="2" t="s">
        <v>129</v>
      </c>
      <c r="I1487" s="2" t="s">
        <v>33</v>
      </c>
      <c r="J1487" s="2" t="s">
        <v>60</v>
      </c>
      <c r="K1487" s="2" t="s">
        <v>33</v>
      </c>
      <c r="L1487">
        <v>816.6</v>
      </c>
      <c r="M1487">
        <v>1</v>
      </c>
      <c r="N1487">
        <v>1.1200000000000001</v>
      </c>
      <c r="O1487">
        <v>6400835</v>
      </c>
      <c r="P1487" s="2" t="s">
        <v>130</v>
      </c>
      <c r="Q1487" s="2" t="s">
        <v>131</v>
      </c>
      <c r="R1487" s="2" t="s">
        <v>30</v>
      </c>
      <c r="S1487">
        <v>5</v>
      </c>
      <c r="T1487" s="1">
        <v>43550</v>
      </c>
      <c r="U1487" s="1">
        <v>43557</v>
      </c>
      <c r="V1487" s="2"/>
      <c r="W1487" s="1">
        <f>fNotasFiscais[[#This Row],[Data da Coleta]]+fNotasFiscais[[#This Row],[Prazo Contratado]]</f>
        <v>43555</v>
      </c>
      <c r="X1487" s="3">
        <f>IF(fNotasFiscais[[#This Row],[Data da Entrega]]&gt;fNotasFiscais[[#This Row],[Data Contratada]],0,1)</f>
        <v>0</v>
      </c>
      <c r="Y1487" s="3">
        <f>IF(fNotasFiscais[[#This Row],[Ocorrência]]="",1,0)</f>
        <v>1</v>
      </c>
      <c r="Z1487" s="2">
        <f>fNotasFiscais[[#This Row],[On Time]]*fNotasFiscais[[#This Row],[In Full]]</f>
        <v>0</v>
      </c>
      <c r="AA1487">
        <f>IF(fNotasFiscais[[#This Row],[Nota Fiscal]]&lt;&gt;"",1,0)</f>
        <v>1</v>
      </c>
    </row>
    <row r="1488" spans="1:27" x14ac:dyDescent="0.25">
      <c r="A1488" s="1">
        <v>43550</v>
      </c>
      <c r="B1488">
        <v>11897</v>
      </c>
      <c r="C1488" s="2" t="s">
        <v>52</v>
      </c>
      <c r="D1488" s="2" t="s">
        <v>53</v>
      </c>
      <c r="E1488" s="2" t="s">
        <v>33</v>
      </c>
      <c r="F1488">
        <v>4064</v>
      </c>
      <c r="G1488" s="2" t="s">
        <v>128</v>
      </c>
      <c r="H1488" s="2" t="s">
        <v>129</v>
      </c>
      <c r="I1488" s="2" t="s">
        <v>33</v>
      </c>
      <c r="J1488" s="2" t="s">
        <v>60</v>
      </c>
      <c r="K1488" s="2" t="s">
        <v>33</v>
      </c>
      <c r="L1488">
        <v>1165.8399999999999</v>
      </c>
      <c r="M1488">
        <v>3</v>
      </c>
      <c r="N1488">
        <v>6.95</v>
      </c>
      <c r="O1488">
        <v>6400835</v>
      </c>
      <c r="P1488" s="2" t="s">
        <v>130</v>
      </c>
      <c r="Q1488" s="2" t="s">
        <v>131</v>
      </c>
      <c r="R1488" s="2" t="s">
        <v>30</v>
      </c>
      <c r="S1488">
        <v>10</v>
      </c>
      <c r="T1488" s="1">
        <v>43550</v>
      </c>
      <c r="U1488" s="1">
        <v>43558</v>
      </c>
      <c r="V1488" s="2"/>
      <c r="W1488" s="1">
        <f>fNotasFiscais[[#This Row],[Data da Coleta]]+fNotasFiscais[[#This Row],[Prazo Contratado]]</f>
        <v>43560</v>
      </c>
      <c r="X1488" s="3">
        <f>IF(fNotasFiscais[[#This Row],[Data da Entrega]]&gt;fNotasFiscais[[#This Row],[Data Contratada]],0,1)</f>
        <v>1</v>
      </c>
      <c r="Y1488" s="3">
        <f>IF(fNotasFiscais[[#This Row],[Ocorrência]]="",1,0)</f>
        <v>1</v>
      </c>
      <c r="Z1488" s="2">
        <f>fNotasFiscais[[#This Row],[On Time]]*fNotasFiscais[[#This Row],[In Full]]</f>
        <v>1</v>
      </c>
      <c r="AA1488">
        <f>IF(fNotasFiscais[[#This Row],[Nota Fiscal]]&lt;&gt;"",1,0)</f>
        <v>1</v>
      </c>
    </row>
    <row r="1489" spans="1:27" x14ac:dyDescent="0.25">
      <c r="A1489" s="1">
        <v>43550</v>
      </c>
      <c r="B1489">
        <v>11898</v>
      </c>
      <c r="C1489" s="2" t="s">
        <v>22</v>
      </c>
      <c r="D1489" s="2" t="s">
        <v>23</v>
      </c>
      <c r="E1489" s="2" t="s">
        <v>24</v>
      </c>
      <c r="F1489">
        <v>4064</v>
      </c>
      <c r="G1489" s="2" t="s">
        <v>128</v>
      </c>
      <c r="H1489" s="2" t="s">
        <v>129</v>
      </c>
      <c r="I1489" s="2" t="s">
        <v>33</v>
      </c>
      <c r="J1489" s="2" t="s">
        <v>60</v>
      </c>
      <c r="K1489" s="2" t="s">
        <v>33</v>
      </c>
      <c r="L1489">
        <v>189.51</v>
      </c>
      <c r="M1489">
        <v>1</v>
      </c>
      <c r="N1489">
        <v>1.1200000000000001</v>
      </c>
      <c r="O1489">
        <v>6400835</v>
      </c>
      <c r="P1489" s="2" t="s">
        <v>130</v>
      </c>
      <c r="Q1489" s="2" t="s">
        <v>131</v>
      </c>
      <c r="R1489" s="2" t="s">
        <v>30</v>
      </c>
      <c r="S1489">
        <v>3</v>
      </c>
      <c r="T1489" s="1">
        <v>43550</v>
      </c>
      <c r="U1489" s="1">
        <v>43552</v>
      </c>
      <c r="V1489" s="2"/>
      <c r="W1489" s="1">
        <f>fNotasFiscais[[#This Row],[Data da Coleta]]+fNotasFiscais[[#This Row],[Prazo Contratado]]</f>
        <v>43553</v>
      </c>
      <c r="X1489" s="3">
        <f>IF(fNotasFiscais[[#This Row],[Data da Entrega]]&gt;fNotasFiscais[[#This Row],[Data Contratada]],0,1)</f>
        <v>1</v>
      </c>
      <c r="Y1489" s="3">
        <f>IF(fNotasFiscais[[#This Row],[Ocorrência]]="",1,0)</f>
        <v>1</v>
      </c>
      <c r="Z1489" s="2">
        <f>fNotasFiscais[[#This Row],[On Time]]*fNotasFiscais[[#This Row],[In Full]]</f>
        <v>1</v>
      </c>
      <c r="AA1489">
        <f>IF(fNotasFiscais[[#This Row],[Nota Fiscal]]&lt;&gt;"",1,0)</f>
        <v>1</v>
      </c>
    </row>
    <row r="1490" spans="1:27" x14ac:dyDescent="0.25">
      <c r="A1490" s="1">
        <v>43551</v>
      </c>
      <c r="B1490">
        <v>11899</v>
      </c>
      <c r="C1490" s="2" t="s">
        <v>40</v>
      </c>
      <c r="D1490" s="2" t="s">
        <v>41</v>
      </c>
      <c r="E1490" s="2" t="s">
        <v>33</v>
      </c>
      <c r="F1490">
        <v>4149</v>
      </c>
      <c r="G1490" s="2" t="s">
        <v>232</v>
      </c>
      <c r="H1490" s="2" t="s">
        <v>183</v>
      </c>
      <c r="I1490" s="2" t="s">
        <v>33</v>
      </c>
      <c r="J1490" s="2" t="s">
        <v>60</v>
      </c>
      <c r="K1490" s="2" t="s">
        <v>33</v>
      </c>
      <c r="L1490">
        <v>4327.7700000000004</v>
      </c>
      <c r="M1490">
        <v>3</v>
      </c>
      <c r="N1490">
        <v>21.632000000000001</v>
      </c>
      <c r="O1490">
        <v>6400835</v>
      </c>
      <c r="P1490" s="2" t="s">
        <v>130</v>
      </c>
      <c r="Q1490" s="2" t="s">
        <v>131</v>
      </c>
      <c r="R1490" s="2" t="s">
        <v>30</v>
      </c>
      <c r="S1490">
        <v>12</v>
      </c>
      <c r="T1490" s="1">
        <v>43551</v>
      </c>
      <c r="U1490" s="1">
        <v>43560</v>
      </c>
      <c r="V1490" s="2"/>
      <c r="W1490" s="1">
        <f>fNotasFiscais[[#This Row],[Data da Coleta]]+fNotasFiscais[[#This Row],[Prazo Contratado]]</f>
        <v>43563</v>
      </c>
      <c r="X1490" s="3">
        <f>IF(fNotasFiscais[[#This Row],[Data da Entrega]]&gt;fNotasFiscais[[#This Row],[Data Contratada]],0,1)</f>
        <v>1</v>
      </c>
      <c r="Y1490" s="3">
        <f>IF(fNotasFiscais[[#This Row],[Ocorrência]]="",1,0)</f>
        <v>1</v>
      </c>
      <c r="Z1490" s="2">
        <f>fNotasFiscais[[#This Row],[On Time]]*fNotasFiscais[[#This Row],[In Full]]</f>
        <v>1</v>
      </c>
      <c r="AA1490">
        <f>IF(fNotasFiscais[[#This Row],[Nota Fiscal]]&lt;&gt;"",1,0)</f>
        <v>1</v>
      </c>
    </row>
    <row r="1491" spans="1:27" x14ac:dyDescent="0.25">
      <c r="A1491" s="1">
        <v>43551</v>
      </c>
      <c r="B1491">
        <v>11900</v>
      </c>
      <c r="C1491" s="2" t="s">
        <v>40</v>
      </c>
      <c r="D1491" s="2" t="s">
        <v>41</v>
      </c>
      <c r="E1491" s="2" t="s">
        <v>33</v>
      </c>
      <c r="F1491">
        <v>4068</v>
      </c>
      <c r="G1491" s="2" t="s">
        <v>63</v>
      </c>
      <c r="H1491" s="2" t="s">
        <v>64</v>
      </c>
      <c r="I1491" s="2" t="s">
        <v>65</v>
      </c>
      <c r="J1491" s="2" t="s">
        <v>49</v>
      </c>
      <c r="K1491" s="2" t="s">
        <v>65</v>
      </c>
      <c r="L1491">
        <v>257.94</v>
      </c>
      <c r="M1491">
        <v>1</v>
      </c>
      <c r="N1491">
        <v>1.1200000000000001</v>
      </c>
      <c r="O1491">
        <v>6100231</v>
      </c>
      <c r="P1491" s="2" t="s">
        <v>50</v>
      </c>
      <c r="Q1491" s="2" t="s">
        <v>51</v>
      </c>
      <c r="R1491" s="2" t="s">
        <v>30</v>
      </c>
      <c r="S1491">
        <v>6</v>
      </c>
      <c r="T1491" s="1">
        <v>43551</v>
      </c>
      <c r="U1491" s="1">
        <v>43552</v>
      </c>
      <c r="V1491" s="2"/>
      <c r="W1491" s="1">
        <f>fNotasFiscais[[#This Row],[Data da Coleta]]+fNotasFiscais[[#This Row],[Prazo Contratado]]</f>
        <v>43557</v>
      </c>
      <c r="X1491" s="3">
        <f>IF(fNotasFiscais[[#This Row],[Data da Entrega]]&gt;fNotasFiscais[[#This Row],[Data Contratada]],0,1)</f>
        <v>1</v>
      </c>
      <c r="Y1491" s="3">
        <f>IF(fNotasFiscais[[#This Row],[Ocorrência]]="",1,0)</f>
        <v>1</v>
      </c>
      <c r="Z1491" s="2">
        <f>fNotasFiscais[[#This Row],[On Time]]*fNotasFiscais[[#This Row],[In Full]]</f>
        <v>1</v>
      </c>
      <c r="AA1491">
        <f>IF(fNotasFiscais[[#This Row],[Nota Fiscal]]&lt;&gt;"",1,0)</f>
        <v>1</v>
      </c>
    </row>
    <row r="1492" spans="1:27" x14ac:dyDescent="0.25">
      <c r="A1492" s="1">
        <v>43551</v>
      </c>
      <c r="B1492">
        <v>11901</v>
      </c>
      <c r="C1492" s="2" t="s">
        <v>40</v>
      </c>
      <c r="D1492" s="2" t="s">
        <v>41</v>
      </c>
      <c r="E1492" s="2" t="s">
        <v>33</v>
      </c>
      <c r="F1492">
        <v>4019</v>
      </c>
      <c r="G1492" s="2" t="s">
        <v>79</v>
      </c>
      <c r="H1492" s="2" t="s">
        <v>80</v>
      </c>
      <c r="I1492" s="2" t="s">
        <v>39</v>
      </c>
      <c r="J1492" s="2" t="s">
        <v>28</v>
      </c>
      <c r="K1492" s="2" t="s">
        <v>39</v>
      </c>
      <c r="L1492">
        <v>904.98</v>
      </c>
      <c r="M1492">
        <v>2</v>
      </c>
      <c r="N1492">
        <v>18.149000000000001</v>
      </c>
      <c r="O1492">
        <v>6500948</v>
      </c>
      <c r="P1492" s="2" t="s">
        <v>29</v>
      </c>
      <c r="Q1492" s="2" t="s">
        <v>23</v>
      </c>
      <c r="R1492" s="2" t="s">
        <v>30</v>
      </c>
      <c r="S1492">
        <v>9</v>
      </c>
      <c r="T1492" s="1">
        <v>43551</v>
      </c>
      <c r="U1492" s="1">
        <v>43552</v>
      </c>
      <c r="V1492" s="2" t="s">
        <v>42</v>
      </c>
      <c r="W1492" s="1">
        <f>fNotasFiscais[[#This Row],[Data da Coleta]]+fNotasFiscais[[#This Row],[Prazo Contratado]]</f>
        <v>43560</v>
      </c>
      <c r="X1492" s="3">
        <f>IF(fNotasFiscais[[#This Row],[Data da Entrega]]&gt;fNotasFiscais[[#This Row],[Data Contratada]],0,1)</f>
        <v>1</v>
      </c>
      <c r="Y1492" s="3">
        <f>IF(fNotasFiscais[[#This Row],[Ocorrência]]="",1,0)</f>
        <v>0</v>
      </c>
      <c r="Z1492" s="2">
        <f>fNotasFiscais[[#This Row],[On Time]]*fNotasFiscais[[#This Row],[In Full]]</f>
        <v>0</v>
      </c>
      <c r="AA1492">
        <f>IF(fNotasFiscais[[#This Row],[Nota Fiscal]]&lt;&gt;"",1,0)</f>
        <v>1</v>
      </c>
    </row>
    <row r="1493" spans="1:27" x14ac:dyDescent="0.25">
      <c r="A1493" s="1">
        <v>43551</v>
      </c>
      <c r="B1493">
        <v>11902</v>
      </c>
      <c r="C1493" s="2" t="s">
        <v>40</v>
      </c>
      <c r="D1493" s="2" t="s">
        <v>41</v>
      </c>
      <c r="E1493" s="2" t="s">
        <v>33</v>
      </c>
      <c r="F1493">
        <v>4019</v>
      </c>
      <c r="G1493" s="2" t="s">
        <v>79</v>
      </c>
      <c r="H1493" s="2" t="s">
        <v>80</v>
      </c>
      <c r="I1493" s="2" t="s">
        <v>39</v>
      </c>
      <c r="J1493" s="2" t="s">
        <v>28</v>
      </c>
      <c r="K1493" s="2" t="s">
        <v>39</v>
      </c>
      <c r="L1493">
        <v>1978.79</v>
      </c>
      <c r="M1493">
        <v>1</v>
      </c>
      <c r="N1493">
        <v>1.1200000000000001</v>
      </c>
      <c r="O1493">
        <v>6500948</v>
      </c>
      <c r="P1493" s="2" t="s">
        <v>29</v>
      </c>
      <c r="Q1493" s="2" t="s">
        <v>23</v>
      </c>
      <c r="R1493" s="2" t="s">
        <v>30</v>
      </c>
      <c r="S1493">
        <v>10</v>
      </c>
      <c r="T1493" s="1">
        <v>43551</v>
      </c>
      <c r="U1493" s="1">
        <v>43555</v>
      </c>
      <c r="V1493" s="2"/>
      <c r="W1493" s="1">
        <f>fNotasFiscais[[#This Row],[Data da Coleta]]+fNotasFiscais[[#This Row],[Prazo Contratado]]</f>
        <v>43561</v>
      </c>
      <c r="X1493" s="3">
        <f>IF(fNotasFiscais[[#This Row],[Data da Entrega]]&gt;fNotasFiscais[[#This Row],[Data Contratada]],0,1)</f>
        <v>1</v>
      </c>
      <c r="Y1493" s="3">
        <f>IF(fNotasFiscais[[#This Row],[Ocorrência]]="",1,0)</f>
        <v>1</v>
      </c>
      <c r="Z1493" s="2">
        <f>fNotasFiscais[[#This Row],[On Time]]*fNotasFiscais[[#This Row],[In Full]]</f>
        <v>1</v>
      </c>
      <c r="AA1493">
        <f>IF(fNotasFiscais[[#This Row],[Nota Fiscal]]&lt;&gt;"",1,0)</f>
        <v>1</v>
      </c>
    </row>
    <row r="1494" spans="1:27" x14ac:dyDescent="0.25">
      <c r="A1494" s="1">
        <v>43551</v>
      </c>
      <c r="B1494">
        <v>11903</v>
      </c>
      <c r="C1494" s="2" t="s">
        <v>22</v>
      </c>
      <c r="D1494" s="2" t="s">
        <v>23</v>
      </c>
      <c r="E1494" s="2" t="s">
        <v>24</v>
      </c>
      <c r="F1494">
        <v>4019</v>
      </c>
      <c r="G1494" s="2" t="s">
        <v>79</v>
      </c>
      <c r="H1494" s="2" t="s">
        <v>80</v>
      </c>
      <c r="I1494" s="2" t="s">
        <v>39</v>
      </c>
      <c r="J1494" s="2" t="s">
        <v>28</v>
      </c>
      <c r="K1494" s="2" t="s">
        <v>39</v>
      </c>
      <c r="L1494">
        <v>2433.96</v>
      </c>
      <c r="M1494">
        <v>1</v>
      </c>
      <c r="N1494">
        <v>1.1200000000000001</v>
      </c>
      <c r="O1494">
        <v>6500948</v>
      </c>
      <c r="P1494" s="2" t="s">
        <v>29</v>
      </c>
      <c r="Q1494" s="2" t="s">
        <v>23</v>
      </c>
      <c r="R1494" s="2" t="s">
        <v>30</v>
      </c>
      <c r="S1494">
        <v>1</v>
      </c>
      <c r="T1494" s="1">
        <v>43551</v>
      </c>
      <c r="U1494" s="1">
        <v>43554</v>
      </c>
      <c r="V1494" s="2"/>
      <c r="W1494" s="1">
        <f>fNotasFiscais[[#This Row],[Data da Coleta]]+fNotasFiscais[[#This Row],[Prazo Contratado]]</f>
        <v>43552</v>
      </c>
      <c r="X1494" s="3">
        <f>IF(fNotasFiscais[[#This Row],[Data da Entrega]]&gt;fNotasFiscais[[#This Row],[Data Contratada]],0,1)</f>
        <v>0</v>
      </c>
      <c r="Y1494" s="3">
        <f>IF(fNotasFiscais[[#This Row],[Ocorrência]]="",1,0)</f>
        <v>1</v>
      </c>
      <c r="Z1494" s="2">
        <f>fNotasFiscais[[#This Row],[On Time]]*fNotasFiscais[[#This Row],[In Full]]</f>
        <v>0</v>
      </c>
      <c r="AA1494">
        <f>IF(fNotasFiscais[[#This Row],[Nota Fiscal]]&lt;&gt;"",1,0)</f>
        <v>1</v>
      </c>
    </row>
    <row r="1495" spans="1:27" x14ac:dyDescent="0.25">
      <c r="A1495" s="1">
        <v>43551</v>
      </c>
      <c r="B1495">
        <v>11904</v>
      </c>
      <c r="C1495" s="2" t="s">
        <v>40</v>
      </c>
      <c r="D1495" s="2" t="s">
        <v>41</v>
      </c>
      <c r="E1495" s="2" t="s">
        <v>33</v>
      </c>
      <c r="F1495">
        <v>4019</v>
      </c>
      <c r="G1495" s="2" t="s">
        <v>79</v>
      </c>
      <c r="H1495" s="2" t="s">
        <v>80</v>
      </c>
      <c r="I1495" s="2" t="s">
        <v>39</v>
      </c>
      <c r="J1495" s="2" t="s">
        <v>28</v>
      </c>
      <c r="K1495" s="2" t="s">
        <v>39</v>
      </c>
      <c r="L1495">
        <v>447.73</v>
      </c>
      <c r="M1495">
        <v>2</v>
      </c>
      <c r="N1495">
        <v>6.0359999999999996</v>
      </c>
      <c r="O1495">
        <v>6500948</v>
      </c>
      <c r="P1495" s="2" t="s">
        <v>29</v>
      </c>
      <c r="Q1495" s="2" t="s">
        <v>23</v>
      </c>
      <c r="R1495" s="2" t="s">
        <v>30</v>
      </c>
      <c r="S1495">
        <v>4</v>
      </c>
      <c r="T1495" s="1">
        <v>43551</v>
      </c>
      <c r="U1495" s="1">
        <v>43559</v>
      </c>
      <c r="V1495" s="2"/>
      <c r="W1495" s="1">
        <f>fNotasFiscais[[#This Row],[Data da Coleta]]+fNotasFiscais[[#This Row],[Prazo Contratado]]</f>
        <v>43555</v>
      </c>
      <c r="X1495" s="3">
        <f>IF(fNotasFiscais[[#This Row],[Data da Entrega]]&gt;fNotasFiscais[[#This Row],[Data Contratada]],0,1)</f>
        <v>0</v>
      </c>
      <c r="Y1495" s="3">
        <f>IF(fNotasFiscais[[#This Row],[Ocorrência]]="",1,0)</f>
        <v>1</v>
      </c>
      <c r="Z1495" s="2">
        <f>fNotasFiscais[[#This Row],[On Time]]*fNotasFiscais[[#This Row],[In Full]]</f>
        <v>0</v>
      </c>
      <c r="AA1495">
        <f>IF(fNotasFiscais[[#This Row],[Nota Fiscal]]&lt;&gt;"",1,0)</f>
        <v>1</v>
      </c>
    </row>
    <row r="1496" spans="1:27" x14ac:dyDescent="0.25">
      <c r="A1496" s="1">
        <v>43552</v>
      </c>
      <c r="B1496">
        <v>11905</v>
      </c>
      <c r="C1496" s="2" t="s">
        <v>43</v>
      </c>
      <c r="D1496" s="2" t="s">
        <v>44</v>
      </c>
      <c r="E1496" s="2" t="s">
        <v>45</v>
      </c>
      <c r="F1496">
        <v>4150</v>
      </c>
      <c r="G1496" s="2" t="s">
        <v>233</v>
      </c>
      <c r="H1496" s="2" t="s">
        <v>35</v>
      </c>
      <c r="I1496" s="2" t="s">
        <v>36</v>
      </c>
      <c r="J1496" s="2" t="s">
        <v>60</v>
      </c>
      <c r="K1496" s="2" t="s">
        <v>36</v>
      </c>
      <c r="L1496">
        <v>2020.37</v>
      </c>
      <c r="M1496">
        <v>1</v>
      </c>
      <c r="N1496">
        <v>1.1200000000000001</v>
      </c>
      <c r="O1496">
        <v>6600879</v>
      </c>
      <c r="P1496" s="2" t="s">
        <v>61</v>
      </c>
      <c r="Q1496" s="2" t="s">
        <v>35</v>
      </c>
      <c r="R1496" s="2" t="s">
        <v>30</v>
      </c>
      <c r="S1496">
        <v>5</v>
      </c>
      <c r="T1496" s="1">
        <v>43552</v>
      </c>
      <c r="U1496" s="1">
        <v>43557</v>
      </c>
      <c r="V1496" s="2"/>
      <c r="W1496" s="1">
        <f>fNotasFiscais[[#This Row],[Data da Coleta]]+fNotasFiscais[[#This Row],[Prazo Contratado]]</f>
        <v>43557</v>
      </c>
      <c r="X1496" s="3">
        <f>IF(fNotasFiscais[[#This Row],[Data da Entrega]]&gt;fNotasFiscais[[#This Row],[Data Contratada]],0,1)</f>
        <v>1</v>
      </c>
      <c r="Y1496" s="3">
        <f>IF(fNotasFiscais[[#This Row],[Ocorrência]]="",1,0)</f>
        <v>1</v>
      </c>
      <c r="Z1496" s="2">
        <f>fNotasFiscais[[#This Row],[On Time]]*fNotasFiscais[[#This Row],[In Full]]</f>
        <v>1</v>
      </c>
      <c r="AA1496">
        <f>IF(fNotasFiscais[[#This Row],[Nota Fiscal]]&lt;&gt;"",1,0)</f>
        <v>1</v>
      </c>
    </row>
    <row r="1497" spans="1:27" x14ac:dyDescent="0.25">
      <c r="A1497" s="1">
        <v>43552</v>
      </c>
      <c r="B1497">
        <v>11906</v>
      </c>
      <c r="C1497" s="2" t="s">
        <v>54</v>
      </c>
      <c r="D1497" s="2" t="s">
        <v>55</v>
      </c>
      <c r="E1497" s="2" t="s">
        <v>56</v>
      </c>
      <c r="F1497">
        <v>4033</v>
      </c>
      <c r="G1497" s="2" t="s">
        <v>109</v>
      </c>
      <c r="H1497" s="2" t="s">
        <v>51</v>
      </c>
      <c r="I1497" s="2" t="s">
        <v>73</v>
      </c>
      <c r="J1497" s="2" t="s">
        <v>49</v>
      </c>
      <c r="K1497" s="2" t="s">
        <v>73</v>
      </c>
      <c r="L1497">
        <v>10266.4</v>
      </c>
      <c r="M1497">
        <v>10</v>
      </c>
      <c r="N1497">
        <v>143.57</v>
      </c>
      <c r="O1497">
        <v>6100231</v>
      </c>
      <c r="P1497" s="2" t="s">
        <v>50</v>
      </c>
      <c r="Q1497" s="2" t="s">
        <v>51</v>
      </c>
      <c r="R1497" s="2" t="s">
        <v>30</v>
      </c>
      <c r="S1497">
        <v>9</v>
      </c>
      <c r="T1497" s="1">
        <v>43552</v>
      </c>
      <c r="U1497" s="1">
        <v>43555</v>
      </c>
      <c r="V1497" s="2" t="s">
        <v>42</v>
      </c>
      <c r="W1497" s="1">
        <f>fNotasFiscais[[#This Row],[Data da Coleta]]+fNotasFiscais[[#This Row],[Prazo Contratado]]</f>
        <v>43561</v>
      </c>
      <c r="X1497" s="3">
        <f>IF(fNotasFiscais[[#This Row],[Data da Entrega]]&gt;fNotasFiscais[[#This Row],[Data Contratada]],0,1)</f>
        <v>1</v>
      </c>
      <c r="Y1497" s="3">
        <f>IF(fNotasFiscais[[#This Row],[Ocorrência]]="",1,0)</f>
        <v>0</v>
      </c>
      <c r="Z1497" s="2">
        <f>fNotasFiscais[[#This Row],[On Time]]*fNotasFiscais[[#This Row],[In Full]]</f>
        <v>0</v>
      </c>
      <c r="AA1497">
        <f>IF(fNotasFiscais[[#This Row],[Nota Fiscal]]&lt;&gt;"",1,0)</f>
        <v>1</v>
      </c>
    </row>
    <row r="1498" spans="1:27" x14ac:dyDescent="0.25">
      <c r="A1498" s="1">
        <v>43552</v>
      </c>
      <c r="B1498">
        <v>11907</v>
      </c>
      <c r="C1498" s="2" t="s">
        <v>31</v>
      </c>
      <c r="D1498" s="2" t="s">
        <v>32</v>
      </c>
      <c r="E1498" s="2" t="s">
        <v>33</v>
      </c>
      <c r="F1498">
        <v>4147</v>
      </c>
      <c r="G1498" s="2" t="s">
        <v>230</v>
      </c>
      <c r="H1498" s="2" t="s">
        <v>35</v>
      </c>
      <c r="I1498" s="2" t="s">
        <v>36</v>
      </c>
      <c r="J1498" s="2" t="s">
        <v>60</v>
      </c>
      <c r="K1498" s="2" t="s">
        <v>36</v>
      </c>
      <c r="L1498">
        <v>3457.8</v>
      </c>
      <c r="M1498">
        <v>1</v>
      </c>
      <c r="N1498">
        <v>1.1200000000000001</v>
      </c>
      <c r="O1498">
        <v>6600879</v>
      </c>
      <c r="P1498" s="2" t="s">
        <v>61</v>
      </c>
      <c r="Q1498" s="2" t="s">
        <v>35</v>
      </c>
      <c r="R1498" s="2" t="s">
        <v>30</v>
      </c>
      <c r="S1498">
        <v>8</v>
      </c>
      <c r="T1498" s="1">
        <v>43552</v>
      </c>
      <c r="U1498" s="1">
        <v>43562</v>
      </c>
      <c r="V1498" s="2"/>
      <c r="W1498" s="1">
        <f>fNotasFiscais[[#This Row],[Data da Coleta]]+fNotasFiscais[[#This Row],[Prazo Contratado]]</f>
        <v>43560</v>
      </c>
      <c r="X1498" s="3">
        <f>IF(fNotasFiscais[[#This Row],[Data da Entrega]]&gt;fNotasFiscais[[#This Row],[Data Contratada]],0,1)</f>
        <v>0</v>
      </c>
      <c r="Y1498" s="3">
        <f>IF(fNotasFiscais[[#This Row],[Ocorrência]]="",1,0)</f>
        <v>1</v>
      </c>
      <c r="Z1498" s="2">
        <f>fNotasFiscais[[#This Row],[On Time]]*fNotasFiscais[[#This Row],[In Full]]</f>
        <v>0</v>
      </c>
      <c r="AA1498">
        <f>IF(fNotasFiscais[[#This Row],[Nota Fiscal]]&lt;&gt;"",1,0)</f>
        <v>1</v>
      </c>
    </row>
    <row r="1499" spans="1:27" x14ac:dyDescent="0.25">
      <c r="A1499" s="1">
        <v>43552</v>
      </c>
      <c r="B1499">
        <v>11908</v>
      </c>
      <c r="C1499" s="2" t="s">
        <v>34</v>
      </c>
      <c r="D1499" s="2" t="s">
        <v>35</v>
      </c>
      <c r="E1499" s="2" t="s">
        <v>36</v>
      </c>
      <c r="F1499">
        <v>4132</v>
      </c>
      <c r="G1499" s="2" t="s">
        <v>215</v>
      </c>
      <c r="H1499" s="2" t="s">
        <v>183</v>
      </c>
      <c r="I1499" s="2" t="s">
        <v>33</v>
      </c>
      <c r="J1499" s="2" t="s">
        <v>60</v>
      </c>
      <c r="K1499" s="2" t="s">
        <v>33</v>
      </c>
      <c r="L1499">
        <v>22.69</v>
      </c>
      <c r="M1499">
        <v>3</v>
      </c>
      <c r="N1499">
        <v>15.231999999999999</v>
      </c>
      <c r="O1499">
        <v>6400835</v>
      </c>
      <c r="P1499" s="2" t="s">
        <v>130</v>
      </c>
      <c r="Q1499" s="2" t="s">
        <v>131</v>
      </c>
      <c r="R1499" s="2" t="s">
        <v>30</v>
      </c>
      <c r="S1499">
        <v>11</v>
      </c>
      <c r="T1499" s="1">
        <v>43552</v>
      </c>
      <c r="U1499" s="1">
        <v>43554</v>
      </c>
      <c r="V1499" s="2"/>
      <c r="W1499" s="1">
        <f>fNotasFiscais[[#This Row],[Data da Coleta]]+fNotasFiscais[[#This Row],[Prazo Contratado]]</f>
        <v>43563</v>
      </c>
      <c r="X1499" s="3">
        <f>IF(fNotasFiscais[[#This Row],[Data da Entrega]]&gt;fNotasFiscais[[#This Row],[Data Contratada]],0,1)</f>
        <v>1</v>
      </c>
      <c r="Y1499" s="3">
        <f>IF(fNotasFiscais[[#This Row],[Ocorrência]]="",1,0)</f>
        <v>1</v>
      </c>
      <c r="Z1499" s="2">
        <f>fNotasFiscais[[#This Row],[On Time]]*fNotasFiscais[[#This Row],[In Full]]</f>
        <v>1</v>
      </c>
      <c r="AA1499">
        <f>IF(fNotasFiscais[[#This Row],[Nota Fiscal]]&lt;&gt;"",1,0)</f>
        <v>1</v>
      </c>
    </row>
    <row r="1500" spans="1:27" x14ac:dyDescent="0.25">
      <c r="A1500" s="1">
        <v>43553</v>
      </c>
      <c r="B1500">
        <v>11909</v>
      </c>
      <c r="C1500" s="2" t="s">
        <v>54</v>
      </c>
      <c r="D1500" s="2" t="s">
        <v>55</v>
      </c>
      <c r="E1500" s="2" t="s">
        <v>56</v>
      </c>
      <c r="F1500">
        <v>4151</v>
      </c>
      <c r="G1500" s="2" t="s">
        <v>234</v>
      </c>
      <c r="H1500" s="2" t="s">
        <v>173</v>
      </c>
      <c r="I1500" s="2" t="s">
        <v>174</v>
      </c>
      <c r="J1500" s="2" t="s">
        <v>175</v>
      </c>
      <c r="K1500" s="2" t="s">
        <v>174</v>
      </c>
      <c r="L1500">
        <v>3725.53</v>
      </c>
      <c r="M1500">
        <v>1</v>
      </c>
      <c r="N1500">
        <v>1.1200000000000001</v>
      </c>
      <c r="O1500">
        <v>6700091</v>
      </c>
      <c r="P1500" s="2" t="s">
        <v>176</v>
      </c>
      <c r="Q1500" s="2" t="s">
        <v>173</v>
      </c>
      <c r="R1500" s="2" t="s">
        <v>30</v>
      </c>
      <c r="S1500">
        <v>12</v>
      </c>
      <c r="T1500" s="1">
        <v>43553</v>
      </c>
      <c r="U1500" s="1">
        <v>43556</v>
      </c>
      <c r="V1500" s="2" t="s">
        <v>42</v>
      </c>
      <c r="W1500" s="1">
        <f>fNotasFiscais[[#This Row],[Data da Coleta]]+fNotasFiscais[[#This Row],[Prazo Contratado]]</f>
        <v>43565</v>
      </c>
      <c r="X1500" s="3">
        <f>IF(fNotasFiscais[[#This Row],[Data da Entrega]]&gt;fNotasFiscais[[#This Row],[Data Contratada]],0,1)</f>
        <v>1</v>
      </c>
      <c r="Y1500" s="3">
        <f>IF(fNotasFiscais[[#This Row],[Ocorrência]]="",1,0)</f>
        <v>0</v>
      </c>
      <c r="Z1500" s="2">
        <f>fNotasFiscais[[#This Row],[On Time]]*fNotasFiscais[[#This Row],[In Full]]</f>
        <v>0</v>
      </c>
      <c r="AA1500">
        <f>IF(fNotasFiscais[[#This Row],[Nota Fiscal]]&lt;&gt;"",1,0)</f>
        <v>1</v>
      </c>
    </row>
    <row r="1501" spans="1:27" x14ac:dyDescent="0.25">
      <c r="A1501" s="1">
        <v>43553</v>
      </c>
      <c r="B1501">
        <v>11910</v>
      </c>
      <c r="C1501" s="2" t="s">
        <v>40</v>
      </c>
      <c r="D1501" s="2" t="s">
        <v>41</v>
      </c>
      <c r="E1501" s="2" t="s">
        <v>33</v>
      </c>
      <c r="F1501">
        <v>4013</v>
      </c>
      <c r="G1501" s="2" t="s">
        <v>37</v>
      </c>
      <c r="H1501" s="2" t="s">
        <v>38</v>
      </c>
      <c r="I1501" s="2" t="s">
        <v>39</v>
      </c>
      <c r="J1501" s="2" t="s">
        <v>28</v>
      </c>
      <c r="K1501" s="2" t="s">
        <v>39</v>
      </c>
      <c r="L1501">
        <v>7207.05</v>
      </c>
      <c r="M1501">
        <v>4</v>
      </c>
      <c r="N1501">
        <v>20.024000000000001</v>
      </c>
      <c r="O1501">
        <v>6500948</v>
      </c>
      <c r="P1501" s="2" t="s">
        <v>29</v>
      </c>
      <c r="Q1501" s="2" t="s">
        <v>23</v>
      </c>
      <c r="R1501" s="2" t="s">
        <v>30</v>
      </c>
      <c r="S1501">
        <v>6</v>
      </c>
      <c r="T1501" s="1">
        <v>43553</v>
      </c>
      <c r="U1501" s="1">
        <v>43562</v>
      </c>
      <c r="V1501" s="2" t="s">
        <v>57</v>
      </c>
      <c r="W1501" s="1">
        <f>fNotasFiscais[[#This Row],[Data da Coleta]]+fNotasFiscais[[#This Row],[Prazo Contratado]]</f>
        <v>43559</v>
      </c>
      <c r="X1501" s="3">
        <f>IF(fNotasFiscais[[#This Row],[Data da Entrega]]&gt;fNotasFiscais[[#This Row],[Data Contratada]],0,1)</f>
        <v>0</v>
      </c>
      <c r="Y1501" s="3">
        <f>IF(fNotasFiscais[[#This Row],[Ocorrência]]="",1,0)</f>
        <v>0</v>
      </c>
      <c r="Z1501" s="2">
        <f>fNotasFiscais[[#This Row],[On Time]]*fNotasFiscais[[#This Row],[In Full]]</f>
        <v>0</v>
      </c>
      <c r="AA1501">
        <f>IF(fNotasFiscais[[#This Row],[Nota Fiscal]]&lt;&gt;"",1,0)</f>
        <v>1</v>
      </c>
    </row>
    <row r="1502" spans="1:27" x14ac:dyDescent="0.25">
      <c r="A1502" s="1">
        <v>43553</v>
      </c>
      <c r="B1502">
        <v>11911</v>
      </c>
      <c r="C1502" s="2" t="s">
        <v>34</v>
      </c>
      <c r="D1502" s="2" t="s">
        <v>35</v>
      </c>
      <c r="E1502" s="2" t="s">
        <v>36</v>
      </c>
      <c r="F1502">
        <v>4034</v>
      </c>
      <c r="G1502" s="2" t="s">
        <v>110</v>
      </c>
      <c r="H1502" s="2" t="s">
        <v>51</v>
      </c>
      <c r="I1502" s="2" t="s">
        <v>73</v>
      </c>
      <c r="J1502" s="2" t="s">
        <v>49</v>
      </c>
      <c r="K1502" s="2" t="s">
        <v>73</v>
      </c>
      <c r="L1502">
        <v>225.25</v>
      </c>
      <c r="M1502">
        <v>1</v>
      </c>
      <c r="N1502">
        <v>1.1200000000000001</v>
      </c>
      <c r="O1502">
        <v>6100231</v>
      </c>
      <c r="P1502" s="2" t="s">
        <v>50</v>
      </c>
      <c r="Q1502" s="2" t="s">
        <v>51</v>
      </c>
      <c r="R1502" s="2" t="s">
        <v>30</v>
      </c>
      <c r="S1502">
        <v>7</v>
      </c>
      <c r="T1502" s="1">
        <v>43553</v>
      </c>
      <c r="U1502" s="1">
        <v>43560</v>
      </c>
      <c r="V1502" s="2"/>
      <c r="W1502" s="1">
        <f>fNotasFiscais[[#This Row],[Data da Coleta]]+fNotasFiscais[[#This Row],[Prazo Contratado]]</f>
        <v>43560</v>
      </c>
      <c r="X1502" s="3">
        <f>IF(fNotasFiscais[[#This Row],[Data da Entrega]]&gt;fNotasFiscais[[#This Row],[Data Contratada]],0,1)</f>
        <v>1</v>
      </c>
      <c r="Y1502" s="3">
        <f>IF(fNotasFiscais[[#This Row],[Ocorrência]]="",1,0)</f>
        <v>1</v>
      </c>
      <c r="Z1502" s="2">
        <f>fNotasFiscais[[#This Row],[On Time]]*fNotasFiscais[[#This Row],[In Full]]</f>
        <v>1</v>
      </c>
      <c r="AA1502">
        <f>IF(fNotasFiscais[[#This Row],[Nota Fiscal]]&lt;&gt;"",1,0)</f>
        <v>1</v>
      </c>
    </row>
    <row r="1503" spans="1:27" x14ac:dyDescent="0.25">
      <c r="A1503" s="1">
        <v>43553</v>
      </c>
      <c r="B1503">
        <v>11912</v>
      </c>
      <c r="C1503" s="2" t="s">
        <v>34</v>
      </c>
      <c r="D1503" s="2" t="s">
        <v>35</v>
      </c>
      <c r="E1503" s="2" t="s">
        <v>36</v>
      </c>
      <c r="F1503">
        <v>4018</v>
      </c>
      <c r="G1503" s="2" t="s">
        <v>77</v>
      </c>
      <c r="H1503" s="2" t="s">
        <v>78</v>
      </c>
      <c r="I1503" s="2" t="s">
        <v>39</v>
      </c>
      <c r="J1503" s="2" t="s">
        <v>28</v>
      </c>
      <c r="K1503" s="2" t="s">
        <v>39</v>
      </c>
      <c r="L1503">
        <v>1053.74</v>
      </c>
      <c r="M1503">
        <v>2</v>
      </c>
      <c r="N1503">
        <v>4.4180000000000001</v>
      </c>
      <c r="O1503">
        <v>6500948</v>
      </c>
      <c r="P1503" s="2" t="s">
        <v>29</v>
      </c>
      <c r="Q1503" s="2" t="s">
        <v>23</v>
      </c>
      <c r="R1503" s="2" t="s">
        <v>30</v>
      </c>
      <c r="S1503">
        <v>9</v>
      </c>
      <c r="T1503" s="1">
        <v>43553</v>
      </c>
      <c r="U1503" s="1">
        <v>43562</v>
      </c>
      <c r="V1503" s="2"/>
      <c r="W1503" s="1">
        <f>fNotasFiscais[[#This Row],[Data da Coleta]]+fNotasFiscais[[#This Row],[Prazo Contratado]]</f>
        <v>43562</v>
      </c>
      <c r="X1503" s="3">
        <f>IF(fNotasFiscais[[#This Row],[Data da Entrega]]&gt;fNotasFiscais[[#This Row],[Data Contratada]],0,1)</f>
        <v>1</v>
      </c>
      <c r="Y1503" s="3">
        <f>IF(fNotasFiscais[[#This Row],[Ocorrência]]="",1,0)</f>
        <v>1</v>
      </c>
      <c r="Z1503" s="2">
        <f>fNotasFiscais[[#This Row],[On Time]]*fNotasFiscais[[#This Row],[In Full]]</f>
        <v>1</v>
      </c>
      <c r="AA1503">
        <f>IF(fNotasFiscais[[#This Row],[Nota Fiscal]]&lt;&gt;"",1,0)</f>
        <v>1</v>
      </c>
    </row>
    <row r="1504" spans="1:27" x14ac:dyDescent="0.25">
      <c r="A1504" s="1">
        <v>43553</v>
      </c>
      <c r="B1504">
        <v>11913</v>
      </c>
      <c r="C1504" s="2" t="s">
        <v>31</v>
      </c>
      <c r="D1504" s="2" t="s">
        <v>32</v>
      </c>
      <c r="E1504" s="2" t="s">
        <v>33</v>
      </c>
      <c r="F1504">
        <v>4022</v>
      </c>
      <c r="G1504" s="2" t="s">
        <v>86</v>
      </c>
      <c r="H1504" s="2" t="s">
        <v>87</v>
      </c>
      <c r="I1504" s="2" t="s">
        <v>27</v>
      </c>
      <c r="J1504" s="2" t="s">
        <v>28</v>
      </c>
      <c r="K1504" s="2" t="s">
        <v>27</v>
      </c>
      <c r="L1504">
        <v>1733.86</v>
      </c>
      <c r="M1504">
        <v>2</v>
      </c>
      <c r="N1504">
        <v>10.321999999999999</v>
      </c>
      <c r="O1504">
        <v>6500948</v>
      </c>
      <c r="P1504" s="2" t="s">
        <v>29</v>
      </c>
      <c r="Q1504" s="2" t="s">
        <v>23</v>
      </c>
      <c r="R1504" s="2" t="s">
        <v>30</v>
      </c>
      <c r="S1504">
        <v>12</v>
      </c>
      <c r="T1504" s="1">
        <v>43553</v>
      </c>
      <c r="U1504" s="1">
        <v>43558</v>
      </c>
      <c r="V1504" s="2"/>
      <c r="W1504" s="1">
        <f>fNotasFiscais[[#This Row],[Data da Coleta]]+fNotasFiscais[[#This Row],[Prazo Contratado]]</f>
        <v>43565</v>
      </c>
      <c r="X1504" s="3">
        <f>IF(fNotasFiscais[[#This Row],[Data da Entrega]]&gt;fNotasFiscais[[#This Row],[Data Contratada]],0,1)</f>
        <v>1</v>
      </c>
      <c r="Y1504" s="3">
        <f>IF(fNotasFiscais[[#This Row],[Ocorrência]]="",1,0)</f>
        <v>1</v>
      </c>
      <c r="Z1504" s="2">
        <f>fNotasFiscais[[#This Row],[On Time]]*fNotasFiscais[[#This Row],[In Full]]</f>
        <v>1</v>
      </c>
      <c r="AA1504">
        <f>IF(fNotasFiscais[[#This Row],[Nota Fiscal]]&lt;&gt;"",1,0)</f>
        <v>1</v>
      </c>
    </row>
    <row r="1505" spans="1:27" x14ac:dyDescent="0.25">
      <c r="A1505" s="1">
        <v>43553</v>
      </c>
      <c r="B1505">
        <v>11914</v>
      </c>
      <c r="C1505" s="2" t="s">
        <v>43</v>
      </c>
      <c r="D1505" s="2" t="s">
        <v>44</v>
      </c>
      <c r="E1505" s="2" t="s">
        <v>45</v>
      </c>
      <c r="F1505">
        <v>4032</v>
      </c>
      <c r="G1505" s="2" t="s">
        <v>108</v>
      </c>
      <c r="H1505" s="2" t="s">
        <v>51</v>
      </c>
      <c r="I1505" s="2" t="s">
        <v>73</v>
      </c>
      <c r="J1505" s="2" t="s">
        <v>49</v>
      </c>
      <c r="K1505" s="2" t="s">
        <v>73</v>
      </c>
      <c r="L1505">
        <v>768.95</v>
      </c>
      <c r="M1505">
        <v>1</v>
      </c>
      <c r="N1505">
        <v>1.1200000000000001</v>
      </c>
      <c r="O1505">
        <v>6100231</v>
      </c>
      <c r="P1505" s="2" t="s">
        <v>50</v>
      </c>
      <c r="Q1505" s="2" t="s">
        <v>51</v>
      </c>
      <c r="R1505" s="2" t="s">
        <v>30</v>
      </c>
      <c r="S1505">
        <v>4</v>
      </c>
      <c r="T1505" s="1">
        <v>43553</v>
      </c>
      <c r="U1505" s="1">
        <v>43559</v>
      </c>
      <c r="V1505" s="2"/>
      <c r="W1505" s="1">
        <f>fNotasFiscais[[#This Row],[Data da Coleta]]+fNotasFiscais[[#This Row],[Prazo Contratado]]</f>
        <v>43557</v>
      </c>
      <c r="X1505" s="3">
        <f>IF(fNotasFiscais[[#This Row],[Data da Entrega]]&gt;fNotasFiscais[[#This Row],[Data Contratada]],0,1)</f>
        <v>0</v>
      </c>
      <c r="Y1505" s="3">
        <f>IF(fNotasFiscais[[#This Row],[Ocorrência]]="",1,0)</f>
        <v>1</v>
      </c>
      <c r="Z1505" s="2">
        <f>fNotasFiscais[[#This Row],[On Time]]*fNotasFiscais[[#This Row],[In Full]]</f>
        <v>0</v>
      </c>
      <c r="AA1505">
        <f>IF(fNotasFiscais[[#This Row],[Nota Fiscal]]&lt;&gt;"",1,0)</f>
        <v>1</v>
      </c>
    </row>
    <row r="1506" spans="1:27" x14ac:dyDescent="0.25">
      <c r="A1506" s="1">
        <v>43555</v>
      </c>
      <c r="B1506">
        <v>11915</v>
      </c>
      <c r="C1506" s="2" t="s">
        <v>54</v>
      </c>
      <c r="D1506" s="2" t="s">
        <v>55</v>
      </c>
      <c r="E1506" s="2" t="s">
        <v>56</v>
      </c>
      <c r="F1506">
        <v>4152</v>
      </c>
      <c r="G1506" s="2" t="s">
        <v>235</v>
      </c>
      <c r="H1506" s="2" t="s">
        <v>167</v>
      </c>
      <c r="I1506" s="2" t="s">
        <v>168</v>
      </c>
      <c r="J1506" s="2" t="s">
        <v>169</v>
      </c>
      <c r="K1506" s="2" t="s">
        <v>168</v>
      </c>
      <c r="L1506">
        <v>318.36</v>
      </c>
      <c r="M1506">
        <v>1</v>
      </c>
      <c r="N1506">
        <v>1.181</v>
      </c>
      <c r="O1506">
        <v>6900304</v>
      </c>
      <c r="P1506" s="2" t="s">
        <v>170</v>
      </c>
      <c r="Q1506" s="2" t="s">
        <v>171</v>
      </c>
      <c r="R1506" s="2" t="s">
        <v>30</v>
      </c>
      <c r="S1506">
        <v>6</v>
      </c>
      <c r="T1506" s="1">
        <v>43555</v>
      </c>
      <c r="U1506" s="1">
        <v>43556</v>
      </c>
      <c r="V1506" s="2"/>
      <c r="W1506" s="1">
        <f>fNotasFiscais[[#This Row],[Data da Coleta]]+fNotasFiscais[[#This Row],[Prazo Contratado]]</f>
        <v>43561</v>
      </c>
      <c r="X1506" s="3">
        <f>IF(fNotasFiscais[[#This Row],[Data da Entrega]]&gt;fNotasFiscais[[#This Row],[Data Contratada]],0,1)</f>
        <v>1</v>
      </c>
      <c r="Y1506" s="3">
        <f>IF(fNotasFiscais[[#This Row],[Ocorrência]]="",1,0)</f>
        <v>1</v>
      </c>
      <c r="Z1506" s="2">
        <f>fNotasFiscais[[#This Row],[On Time]]*fNotasFiscais[[#This Row],[In Full]]</f>
        <v>1</v>
      </c>
      <c r="AA1506">
        <f>IF(fNotasFiscais[[#This Row],[Nota Fiscal]]&lt;&gt;"",1,0)</f>
        <v>1</v>
      </c>
    </row>
    <row r="1507" spans="1:27" x14ac:dyDescent="0.25">
      <c r="A1507" s="1">
        <v>43555</v>
      </c>
      <c r="B1507">
        <v>11916</v>
      </c>
      <c r="C1507" s="2" t="s">
        <v>40</v>
      </c>
      <c r="D1507" s="2" t="s">
        <v>41</v>
      </c>
      <c r="E1507" s="2" t="s">
        <v>33</v>
      </c>
      <c r="F1507">
        <v>4153</v>
      </c>
      <c r="G1507" s="2" t="s">
        <v>236</v>
      </c>
      <c r="H1507" s="2" t="s">
        <v>44</v>
      </c>
      <c r="I1507" s="2" t="s">
        <v>45</v>
      </c>
      <c r="J1507" s="2" t="s">
        <v>60</v>
      </c>
      <c r="K1507" s="2" t="s">
        <v>45</v>
      </c>
      <c r="L1507">
        <v>370.7</v>
      </c>
      <c r="M1507">
        <v>1</v>
      </c>
      <c r="N1507">
        <v>1.1200000000000001</v>
      </c>
      <c r="O1507">
        <v>6140092</v>
      </c>
      <c r="P1507" s="2" t="s">
        <v>137</v>
      </c>
      <c r="Q1507" s="2" t="s">
        <v>138</v>
      </c>
      <c r="R1507" s="2" t="s">
        <v>30</v>
      </c>
      <c r="S1507">
        <v>10</v>
      </c>
      <c r="T1507" s="1">
        <v>43555</v>
      </c>
      <c r="U1507" s="1">
        <v>43559</v>
      </c>
      <c r="V1507" s="2"/>
      <c r="W1507" s="1">
        <f>fNotasFiscais[[#This Row],[Data da Coleta]]+fNotasFiscais[[#This Row],[Prazo Contratado]]</f>
        <v>43565</v>
      </c>
      <c r="X1507" s="3">
        <f>IF(fNotasFiscais[[#This Row],[Data da Entrega]]&gt;fNotasFiscais[[#This Row],[Data Contratada]],0,1)</f>
        <v>1</v>
      </c>
      <c r="Y1507" s="3">
        <f>IF(fNotasFiscais[[#This Row],[Ocorrência]]="",1,0)</f>
        <v>1</v>
      </c>
      <c r="Z1507" s="2">
        <f>fNotasFiscais[[#This Row],[On Time]]*fNotasFiscais[[#This Row],[In Full]]</f>
        <v>1</v>
      </c>
      <c r="AA1507">
        <f>IF(fNotasFiscais[[#This Row],[Nota Fiscal]]&lt;&gt;"",1,0)</f>
        <v>1</v>
      </c>
    </row>
    <row r="1508" spans="1:27" x14ac:dyDescent="0.25">
      <c r="A1508" s="1">
        <v>43555</v>
      </c>
      <c r="B1508">
        <v>11917</v>
      </c>
      <c r="C1508" s="2" t="s">
        <v>52</v>
      </c>
      <c r="D1508" s="2" t="s">
        <v>53</v>
      </c>
      <c r="E1508" s="2" t="s">
        <v>33</v>
      </c>
      <c r="F1508">
        <v>4035</v>
      </c>
      <c r="G1508" s="2" t="s">
        <v>111</v>
      </c>
      <c r="H1508" s="2" t="s">
        <v>47</v>
      </c>
      <c r="I1508" s="2" t="s">
        <v>48</v>
      </c>
      <c r="J1508" s="2" t="s">
        <v>49</v>
      </c>
      <c r="K1508" s="2" t="s">
        <v>48</v>
      </c>
      <c r="L1508">
        <v>686.87</v>
      </c>
      <c r="M1508">
        <v>2</v>
      </c>
      <c r="N1508">
        <v>14.081</v>
      </c>
      <c r="O1508">
        <v>6100231</v>
      </c>
      <c r="P1508" s="2" t="s">
        <v>50</v>
      </c>
      <c r="Q1508" s="2" t="s">
        <v>51</v>
      </c>
      <c r="R1508" s="2" t="s">
        <v>30</v>
      </c>
      <c r="S1508">
        <v>10</v>
      </c>
      <c r="T1508" s="1">
        <v>43555</v>
      </c>
      <c r="U1508" s="1">
        <v>43563</v>
      </c>
      <c r="V1508" s="2"/>
      <c r="W1508" s="1">
        <f>fNotasFiscais[[#This Row],[Data da Coleta]]+fNotasFiscais[[#This Row],[Prazo Contratado]]</f>
        <v>43565</v>
      </c>
      <c r="X1508" s="3">
        <f>IF(fNotasFiscais[[#This Row],[Data da Entrega]]&gt;fNotasFiscais[[#This Row],[Data Contratada]],0,1)</f>
        <v>1</v>
      </c>
      <c r="Y1508" s="3">
        <f>IF(fNotasFiscais[[#This Row],[Ocorrência]]="",1,0)</f>
        <v>1</v>
      </c>
      <c r="Z1508" s="2">
        <f>fNotasFiscais[[#This Row],[On Time]]*fNotasFiscais[[#This Row],[In Full]]</f>
        <v>1</v>
      </c>
      <c r="AA1508">
        <f>IF(fNotasFiscais[[#This Row],[Nota Fiscal]]&lt;&gt;"",1,0)</f>
        <v>1</v>
      </c>
    </row>
    <row r="1509" spans="1:27" x14ac:dyDescent="0.25">
      <c r="A1509" s="1">
        <v>43555</v>
      </c>
      <c r="B1509">
        <v>11918</v>
      </c>
      <c r="C1509" s="2" t="s">
        <v>40</v>
      </c>
      <c r="D1509" s="2" t="s">
        <v>41</v>
      </c>
      <c r="E1509" s="2" t="s">
        <v>33</v>
      </c>
      <c r="F1509">
        <v>4035</v>
      </c>
      <c r="G1509" s="2" t="s">
        <v>111</v>
      </c>
      <c r="H1509" s="2" t="s">
        <v>47</v>
      </c>
      <c r="I1509" s="2" t="s">
        <v>48</v>
      </c>
      <c r="J1509" s="2" t="s">
        <v>49</v>
      </c>
      <c r="K1509" s="2" t="s">
        <v>48</v>
      </c>
      <c r="L1509">
        <v>2547.7600000000002</v>
      </c>
      <c r="M1509">
        <v>1</v>
      </c>
      <c r="N1509">
        <v>1.1200000000000001</v>
      </c>
      <c r="O1509">
        <v>6100231</v>
      </c>
      <c r="P1509" s="2" t="s">
        <v>50</v>
      </c>
      <c r="Q1509" s="2" t="s">
        <v>51</v>
      </c>
      <c r="R1509" s="2" t="s">
        <v>30</v>
      </c>
      <c r="S1509">
        <v>3</v>
      </c>
      <c r="T1509" s="1">
        <v>43555</v>
      </c>
      <c r="U1509" s="1">
        <v>43559</v>
      </c>
      <c r="V1509" s="2"/>
      <c r="W1509" s="1">
        <f>fNotasFiscais[[#This Row],[Data da Coleta]]+fNotasFiscais[[#This Row],[Prazo Contratado]]</f>
        <v>43558</v>
      </c>
      <c r="X1509" s="3">
        <f>IF(fNotasFiscais[[#This Row],[Data da Entrega]]&gt;fNotasFiscais[[#This Row],[Data Contratada]],0,1)</f>
        <v>0</v>
      </c>
      <c r="Y1509" s="3">
        <f>IF(fNotasFiscais[[#This Row],[Ocorrência]]="",1,0)</f>
        <v>1</v>
      </c>
      <c r="Z1509" s="2">
        <f>fNotasFiscais[[#This Row],[On Time]]*fNotasFiscais[[#This Row],[In Full]]</f>
        <v>0</v>
      </c>
      <c r="AA1509">
        <f>IF(fNotasFiscais[[#This Row],[Nota Fiscal]]&lt;&gt;"",1,0)</f>
        <v>1</v>
      </c>
    </row>
    <row r="1510" spans="1:27" x14ac:dyDescent="0.25">
      <c r="A1510" s="1">
        <v>43555</v>
      </c>
      <c r="B1510">
        <v>11919</v>
      </c>
      <c r="C1510" s="2" t="s">
        <v>52</v>
      </c>
      <c r="D1510" s="2" t="s">
        <v>53</v>
      </c>
      <c r="E1510" s="2" t="s">
        <v>33</v>
      </c>
      <c r="F1510">
        <v>4100</v>
      </c>
      <c r="G1510" s="2" t="s">
        <v>182</v>
      </c>
      <c r="H1510" s="2" t="s">
        <v>183</v>
      </c>
      <c r="I1510" s="2" t="s">
        <v>33</v>
      </c>
      <c r="J1510" s="2" t="s">
        <v>60</v>
      </c>
      <c r="K1510" s="2" t="s">
        <v>33</v>
      </c>
      <c r="L1510">
        <v>115.52</v>
      </c>
      <c r="M1510">
        <v>1</v>
      </c>
      <c r="N1510">
        <v>0.45100000000000001</v>
      </c>
      <c r="O1510">
        <v>6400835</v>
      </c>
      <c r="P1510" s="2" t="s">
        <v>130</v>
      </c>
      <c r="Q1510" s="2" t="s">
        <v>131</v>
      </c>
      <c r="R1510" s="2" t="s">
        <v>30</v>
      </c>
      <c r="S1510">
        <v>1</v>
      </c>
      <c r="T1510" s="1">
        <v>43555</v>
      </c>
      <c r="U1510" s="1">
        <v>43556</v>
      </c>
      <c r="V1510" s="2"/>
      <c r="W1510" s="1">
        <f>fNotasFiscais[[#This Row],[Data da Coleta]]+fNotasFiscais[[#This Row],[Prazo Contratado]]</f>
        <v>43556</v>
      </c>
      <c r="X1510" s="3">
        <f>IF(fNotasFiscais[[#This Row],[Data da Entrega]]&gt;fNotasFiscais[[#This Row],[Data Contratada]],0,1)</f>
        <v>1</v>
      </c>
      <c r="Y1510" s="3">
        <f>IF(fNotasFiscais[[#This Row],[Ocorrência]]="",1,0)</f>
        <v>1</v>
      </c>
      <c r="Z1510" s="2">
        <f>fNotasFiscais[[#This Row],[On Time]]*fNotasFiscais[[#This Row],[In Full]]</f>
        <v>1</v>
      </c>
      <c r="AA1510">
        <f>IF(fNotasFiscais[[#This Row],[Nota Fiscal]]&lt;&gt;"",1,0)</f>
        <v>1</v>
      </c>
    </row>
    <row r="1511" spans="1:27" x14ac:dyDescent="0.25">
      <c r="A1511" s="1">
        <v>43555</v>
      </c>
      <c r="B1511">
        <v>11920</v>
      </c>
      <c r="C1511" s="2" t="s">
        <v>40</v>
      </c>
      <c r="D1511" s="2" t="s">
        <v>41</v>
      </c>
      <c r="E1511" s="2" t="s">
        <v>33</v>
      </c>
      <c r="F1511">
        <v>4035</v>
      </c>
      <c r="G1511" s="2" t="s">
        <v>111</v>
      </c>
      <c r="H1511" s="2" t="s">
        <v>47</v>
      </c>
      <c r="I1511" s="2" t="s">
        <v>48</v>
      </c>
      <c r="J1511" s="2" t="s">
        <v>49</v>
      </c>
      <c r="K1511" s="2" t="s">
        <v>48</v>
      </c>
      <c r="L1511">
        <v>340.76</v>
      </c>
      <c r="M1511">
        <v>1</v>
      </c>
      <c r="N1511">
        <v>1.1200000000000001</v>
      </c>
      <c r="O1511">
        <v>6100231</v>
      </c>
      <c r="P1511" s="2" t="s">
        <v>50</v>
      </c>
      <c r="Q1511" s="2" t="s">
        <v>51</v>
      </c>
      <c r="R1511" s="2" t="s">
        <v>30</v>
      </c>
      <c r="S1511">
        <v>10</v>
      </c>
      <c r="T1511" s="1">
        <v>43555</v>
      </c>
      <c r="U1511" s="1">
        <v>43559</v>
      </c>
      <c r="V1511" s="2"/>
      <c r="W1511" s="1">
        <f>fNotasFiscais[[#This Row],[Data da Coleta]]+fNotasFiscais[[#This Row],[Prazo Contratado]]</f>
        <v>43565</v>
      </c>
      <c r="X1511" s="3">
        <f>IF(fNotasFiscais[[#This Row],[Data da Entrega]]&gt;fNotasFiscais[[#This Row],[Data Contratada]],0,1)</f>
        <v>1</v>
      </c>
      <c r="Y1511" s="3">
        <f>IF(fNotasFiscais[[#This Row],[Ocorrência]]="",1,0)</f>
        <v>1</v>
      </c>
      <c r="Z1511" s="2">
        <f>fNotasFiscais[[#This Row],[On Time]]*fNotasFiscais[[#This Row],[In Full]]</f>
        <v>1</v>
      </c>
      <c r="AA1511">
        <f>IF(fNotasFiscais[[#This Row],[Nota Fiscal]]&lt;&gt;"",1,0)</f>
        <v>1</v>
      </c>
    </row>
    <row r="1512" spans="1:27" x14ac:dyDescent="0.25">
      <c r="A1512" s="1">
        <v>43557</v>
      </c>
      <c r="B1512">
        <v>11921</v>
      </c>
      <c r="C1512" s="2" t="s">
        <v>43</v>
      </c>
      <c r="D1512" s="2" t="s">
        <v>44</v>
      </c>
      <c r="E1512" s="2" t="s">
        <v>45</v>
      </c>
      <c r="F1512">
        <v>4143</v>
      </c>
      <c r="G1512" s="2" t="s">
        <v>226</v>
      </c>
      <c r="H1512" s="2" t="s">
        <v>173</v>
      </c>
      <c r="I1512" s="2" t="s">
        <v>174</v>
      </c>
      <c r="J1512" s="2" t="s">
        <v>175</v>
      </c>
      <c r="K1512" s="2" t="s">
        <v>174</v>
      </c>
      <c r="L1512">
        <v>18.03</v>
      </c>
      <c r="M1512">
        <v>1</v>
      </c>
      <c r="N1512">
        <v>4.3999999999999997E-2</v>
      </c>
      <c r="O1512">
        <v>6700091</v>
      </c>
      <c r="P1512" s="2" t="s">
        <v>176</v>
      </c>
      <c r="Q1512" s="2" t="s">
        <v>173</v>
      </c>
      <c r="R1512" s="2" t="s">
        <v>30</v>
      </c>
      <c r="S1512">
        <v>8</v>
      </c>
      <c r="T1512" s="1">
        <v>43557</v>
      </c>
      <c r="U1512" s="1">
        <v>43561</v>
      </c>
      <c r="V1512" s="2"/>
      <c r="W1512" s="1">
        <f>fNotasFiscais[[#This Row],[Data da Coleta]]+fNotasFiscais[[#This Row],[Prazo Contratado]]</f>
        <v>43565</v>
      </c>
      <c r="X1512" s="3">
        <f>IF(fNotasFiscais[[#This Row],[Data da Entrega]]&gt;fNotasFiscais[[#This Row],[Data Contratada]],0,1)</f>
        <v>1</v>
      </c>
      <c r="Y1512" s="3">
        <f>IF(fNotasFiscais[[#This Row],[Ocorrência]]="",1,0)</f>
        <v>1</v>
      </c>
      <c r="Z1512" s="2">
        <f>fNotasFiscais[[#This Row],[On Time]]*fNotasFiscais[[#This Row],[In Full]]</f>
        <v>1</v>
      </c>
      <c r="AA1512">
        <f>IF(fNotasFiscais[[#This Row],[Nota Fiscal]]&lt;&gt;"",1,0)</f>
        <v>1</v>
      </c>
    </row>
    <row r="1513" spans="1:27" x14ac:dyDescent="0.25">
      <c r="A1513" s="1">
        <v>43557</v>
      </c>
      <c r="B1513">
        <v>11922</v>
      </c>
      <c r="C1513" s="2" t="s">
        <v>22</v>
      </c>
      <c r="D1513" s="2" t="s">
        <v>23</v>
      </c>
      <c r="E1513" s="2" t="s">
        <v>24</v>
      </c>
      <c r="F1513">
        <v>4140</v>
      </c>
      <c r="G1513" s="2" t="s">
        <v>223</v>
      </c>
      <c r="H1513" s="2" t="s">
        <v>167</v>
      </c>
      <c r="I1513" s="2" t="s">
        <v>168</v>
      </c>
      <c r="J1513" s="2" t="s">
        <v>169</v>
      </c>
      <c r="K1513" s="2" t="s">
        <v>168</v>
      </c>
      <c r="L1513">
        <v>37.82</v>
      </c>
      <c r="M1513">
        <v>1</v>
      </c>
      <c r="N1513">
        <v>9.9000000000000005E-2</v>
      </c>
      <c r="O1513">
        <v>6900304</v>
      </c>
      <c r="P1513" s="2" t="s">
        <v>170</v>
      </c>
      <c r="Q1513" s="2" t="s">
        <v>171</v>
      </c>
      <c r="R1513" s="2" t="s">
        <v>30</v>
      </c>
      <c r="S1513">
        <v>1</v>
      </c>
      <c r="T1513" s="1">
        <v>43557</v>
      </c>
      <c r="U1513" s="1">
        <v>43561</v>
      </c>
      <c r="V1513" s="2"/>
      <c r="W1513" s="1">
        <f>fNotasFiscais[[#This Row],[Data da Coleta]]+fNotasFiscais[[#This Row],[Prazo Contratado]]</f>
        <v>43558</v>
      </c>
      <c r="X1513" s="3">
        <f>IF(fNotasFiscais[[#This Row],[Data da Entrega]]&gt;fNotasFiscais[[#This Row],[Data Contratada]],0,1)</f>
        <v>0</v>
      </c>
      <c r="Y1513" s="3">
        <f>IF(fNotasFiscais[[#This Row],[Ocorrência]]="",1,0)</f>
        <v>1</v>
      </c>
      <c r="Z1513" s="2">
        <f>fNotasFiscais[[#This Row],[On Time]]*fNotasFiscais[[#This Row],[In Full]]</f>
        <v>0</v>
      </c>
      <c r="AA1513">
        <f>IF(fNotasFiscais[[#This Row],[Nota Fiscal]]&lt;&gt;"",1,0)</f>
        <v>1</v>
      </c>
    </row>
    <row r="1514" spans="1:27" x14ac:dyDescent="0.25">
      <c r="A1514" s="1">
        <v>43557</v>
      </c>
      <c r="B1514">
        <v>11923</v>
      </c>
      <c r="C1514" s="2" t="s">
        <v>31</v>
      </c>
      <c r="D1514" s="2" t="s">
        <v>32</v>
      </c>
      <c r="E1514" s="2" t="s">
        <v>33</v>
      </c>
      <c r="F1514">
        <v>4154</v>
      </c>
      <c r="G1514" s="2" t="s">
        <v>237</v>
      </c>
      <c r="H1514" s="2" t="s">
        <v>167</v>
      </c>
      <c r="I1514" s="2" t="s">
        <v>168</v>
      </c>
      <c r="J1514" s="2" t="s">
        <v>169</v>
      </c>
      <c r="K1514" s="2" t="s">
        <v>168</v>
      </c>
      <c r="L1514">
        <v>1498.15</v>
      </c>
      <c r="M1514">
        <v>2</v>
      </c>
      <c r="N1514">
        <v>15.468</v>
      </c>
      <c r="O1514">
        <v>6900304</v>
      </c>
      <c r="P1514" s="2" t="s">
        <v>170</v>
      </c>
      <c r="Q1514" s="2" t="s">
        <v>171</v>
      </c>
      <c r="R1514" s="2" t="s">
        <v>30</v>
      </c>
      <c r="S1514">
        <v>12</v>
      </c>
      <c r="T1514" s="1">
        <v>43557</v>
      </c>
      <c r="U1514" s="1">
        <v>43564</v>
      </c>
      <c r="V1514" s="2" t="s">
        <v>57</v>
      </c>
      <c r="W1514" s="1">
        <f>fNotasFiscais[[#This Row],[Data da Coleta]]+fNotasFiscais[[#This Row],[Prazo Contratado]]</f>
        <v>43569</v>
      </c>
      <c r="X1514" s="3">
        <f>IF(fNotasFiscais[[#This Row],[Data da Entrega]]&gt;fNotasFiscais[[#This Row],[Data Contratada]],0,1)</f>
        <v>1</v>
      </c>
      <c r="Y1514" s="3">
        <f>IF(fNotasFiscais[[#This Row],[Ocorrência]]="",1,0)</f>
        <v>0</v>
      </c>
      <c r="Z1514" s="2">
        <f>fNotasFiscais[[#This Row],[On Time]]*fNotasFiscais[[#This Row],[In Full]]</f>
        <v>0</v>
      </c>
      <c r="AA1514">
        <f>IF(fNotasFiscais[[#This Row],[Nota Fiscal]]&lt;&gt;"",1,0)</f>
        <v>1</v>
      </c>
    </row>
    <row r="1515" spans="1:27" x14ac:dyDescent="0.25">
      <c r="A1515" s="1">
        <v>43557</v>
      </c>
      <c r="B1515">
        <v>11924</v>
      </c>
      <c r="C1515" s="2" t="s">
        <v>43</v>
      </c>
      <c r="D1515" s="2" t="s">
        <v>44</v>
      </c>
      <c r="E1515" s="2" t="s">
        <v>45</v>
      </c>
      <c r="F1515">
        <v>4155</v>
      </c>
      <c r="G1515" s="2" t="s">
        <v>238</v>
      </c>
      <c r="H1515" s="2" t="s">
        <v>32</v>
      </c>
      <c r="I1515" s="2" t="s">
        <v>33</v>
      </c>
      <c r="J1515" s="2" t="s">
        <v>60</v>
      </c>
      <c r="K1515" s="2" t="s">
        <v>33</v>
      </c>
      <c r="L1515">
        <v>1233.04</v>
      </c>
      <c r="M1515">
        <v>1</v>
      </c>
      <c r="N1515">
        <v>1.1200000000000001</v>
      </c>
      <c r="O1515">
        <v>6400835</v>
      </c>
      <c r="P1515" s="2" t="s">
        <v>130</v>
      </c>
      <c r="Q1515" s="2" t="s">
        <v>131</v>
      </c>
      <c r="R1515" s="2" t="s">
        <v>30</v>
      </c>
      <c r="S1515">
        <v>1</v>
      </c>
      <c r="T1515" s="1">
        <v>43557</v>
      </c>
      <c r="U1515" s="1">
        <v>43566</v>
      </c>
      <c r="V1515" s="2"/>
      <c r="W1515" s="1">
        <f>fNotasFiscais[[#This Row],[Data da Coleta]]+fNotasFiscais[[#This Row],[Prazo Contratado]]</f>
        <v>43558</v>
      </c>
      <c r="X1515" s="3">
        <f>IF(fNotasFiscais[[#This Row],[Data da Entrega]]&gt;fNotasFiscais[[#This Row],[Data Contratada]],0,1)</f>
        <v>0</v>
      </c>
      <c r="Y1515" s="3">
        <f>IF(fNotasFiscais[[#This Row],[Ocorrência]]="",1,0)</f>
        <v>1</v>
      </c>
      <c r="Z1515" s="2">
        <f>fNotasFiscais[[#This Row],[On Time]]*fNotasFiscais[[#This Row],[In Full]]</f>
        <v>0</v>
      </c>
      <c r="AA1515">
        <f>IF(fNotasFiscais[[#This Row],[Nota Fiscal]]&lt;&gt;"",1,0)</f>
        <v>1</v>
      </c>
    </row>
    <row r="1516" spans="1:27" x14ac:dyDescent="0.25">
      <c r="A1516" s="1">
        <v>43557</v>
      </c>
      <c r="B1516">
        <v>11925</v>
      </c>
      <c r="C1516" s="2" t="s">
        <v>54</v>
      </c>
      <c r="D1516" s="2" t="s">
        <v>55</v>
      </c>
      <c r="E1516" s="2" t="s">
        <v>56</v>
      </c>
      <c r="F1516">
        <v>4068</v>
      </c>
      <c r="G1516" s="2" t="s">
        <v>63</v>
      </c>
      <c r="H1516" s="2" t="s">
        <v>64</v>
      </c>
      <c r="I1516" s="2" t="s">
        <v>65</v>
      </c>
      <c r="J1516" s="2" t="s">
        <v>49</v>
      </c>
      <c r="K1516" s="2" t="s">
        <v>65</v>
      </c>
      <c r="L1516">
        <v>823.4</v>
      </c>
      <c r="M1516">
        <v>3</v>
      </c>
      <c r="N1516">
        <v>28.827000000000002</v>
      </c>
      <c r="O1516">
        <v>6100231</v>
      </c>
      <c r="P1516" s="2" t="s">
        <v>50</v>
      </c>
      <c r="Q1516" s="2" t="s">
        <v>51</v>
      </c>
      <c r="R1516" s="2" t="s">
        <v>30</v>
      </c>
      <c r="S1516">
        <v>2</v>
      </c>
      <c r="T1516" s="1">
        <v>43557</v>
      </c>
      <c r="U1516" s="1">
        <v>43560</v>
      </c>
      <c r="V1516" s="2"/>
      <c r="W1516" s="1">
        <f>fNotasFiscais[[#This Row],[Data da Coleta]]+fNotasFiscais[[#This Row],[Prazo Contratado]]</f>
        <v>43559</v>
      </c>
      <c r="X1516" s="3">
        <f>IF(fNotasFiscais[[#This Row],[Data da Entrega]]&gt;fNotasFiscais[[#This Row],[Data Contratada]],0,1)</f>
        <v>0</v>
      </c>
      <c r="Y1516" s="3">
        <f>IF(fNotasFiscais[[#This Row],[Ocorrência]]="",1,0)</f>
        <v>1</v>
      </c>
      <c r="Z1516" s="2">
        <f>fNotasFiscais[[#This Row],[On Time]]*fNotasFiscais[[#This Row],[In Full]]</f>
        <v>0</v>
      </c>
      <c r="AA1516">
        <f>IF(fNotasFiscais[[#This Row],[Nota Fiscal]]&lt;&gt;"",1,0)</f>
        <v>1</v>
      </c>
    </row>
    <row r="1517" spans="1:27" x14ac:dyDescent="0.25">
      <c r="A1517" s="1">
        <v>43557</v>
      </c>
      <c r="B1517">
        <v>11926</v>
      </c>
      <c r="C1517" s="2" t="s">
        <v>34</v>
      </c>
      <c r="D1517" s="2" t="s">
        <v>35</v>
      </c>
      <c r="E1517" s="2" t="s">
        <v>36</v>
      </c>
      <c r="F1517">
        <v>4128</v>
      </c>
      <c r="G1517" s="2" t="s">
        <v>211</v>
      </c>
      <c r="H1517" s="2" t="s">
        <v>167</v>
      </c>
      <c r="I1517" s="2" t="s">
        <v>168</v>
      </c>
      <c r="J1517" s="2" t="s">
        <v>169</v>
      </c>
      <c r="K1517" s="2" t="s">
        <v>168</v>
      </c>
      <c r="L1517">
        <v>4918.1899999999996</v>
      </c>
      <c r="M1517">
        <v>1</v>
      </c>
      <c r="N1517">
        <v>1.1200000000000001</v>
      </c>
      <c r="O1517">
        <v>6900304</v>
      </c>
      <c r="P1517" s="2" t="s">
        <v>170</v>
      </c>
      <c r="Q1517" s="2" t="s">
        <v>171</v>
      </c>
      <c r="R1517" s="2" t="s">
        <v>30</v>
      </c>
      <c r="S1517">
        <v>11</v>
      </c>
      <c r="T1517" s="1">
        <v>43557</v>
      </c>
      <c r="U1517" s="1">
        <v>43567</v>
      </c>
      <c r="V1517" s="2"/>
      <c r="W1517" s="1">
        <f>fNotasFiscais[[#This Row],[Data da Coleta]]+fNotasFiscais[[#This Row],[Prazo Contratado]]</f>
        <v>43568</v>
      </c>
      <c r="X1517" s="3">
        <f>IF(fNotasFiscais[[#This Row],[Data da Entrega]]&gt;fNotasFiscais[[#This Row],[Data Contratada]],0,1)</f>
        <v>1</v>
      </c>
      <c r="Y1517" s="3">
        <f>IF(fNotasFiscais[[#This Row],[Ocorrência]]="",1,0)</f>
        <v>1</v>
      </c>
      <c r="Z1517" s="2">
        <f>fNotasFiscais[[#This Row],[On Time]]*fNotasFiscais[[#This Row],[In Full]]</f>
        <v>1</v>
      </c>
      <c r="AA1517">
        <f>IF(fNotasFiscais[[#This Row],[Nota Fiscal]]&lt;&gt;"",1,0)</f>
        <v>1</v>
      </c>
    </row>
    <row r="1518" spans="1:27" x14ac:dyDescent="0.25">
      <c r="A1518" s="1">
        <v>43558</v>
      </c>
      <c r="B1518">
        <v>11927</v>
      </c>
      <c r="C1518" s="2" t="s">
        <v>52</v>
      </c>
      <c r="D1518" s="2" t="s">
        <v>53</v>
      </c>
      <c r="E1518" s="2" t="s">
        <v>33</v>
      </c>
      <c r="F1518">
        <v>4156</v>
      </c>
      <c r="G1518" s="2" t="s">
        <v>239</v>
      </c>
      <c r="H1518" s="2" t="s">
        <v>165</v>
      </c>
      <c r="I1518" s="2" t="s">
        <v>24</v>
      </c>
      <c r="J1518" s="2" t="s">
        <v>28</v>
      </c>
      <c r="K1518" s="2" t="s">
        <v>24</v>
      </c>
      <c r="L1518">
        <v>73.53</v>
      </c>
      <c r="M1518">
        <v>1</v>
      </c>
      <c r="N1518">
        <v>4.8360000000000003</v>
      </c>
      <c r="O1518">
        <v>6500948</v>
      </c>
      <c r="P1518" s="2" t="s">
        <v>29</v>
      </c>
      <c r="Q1518" s="2" t="s">
        <v>23</v>
      </c>
      <c r="R1518" s="2" t="s">
        <v>30</v>
      </c>
      <c r="S1518">
        <v>4</v>
      </c>
      <c r="T1518" s="1">
        <v>43558</v>
      </c>
      <c r="U1518" s="1">
        <v>43563</v>
      </c>
      <c r="V1518" s="2"/>
      <c r="W1518" s="1">
        <f>fNotasFiscais[[#This Row],[Data da Coleta]]+fNotasFiscais[[#This Row],[Prazo Contratado]]</f>
        <v>43562</v>
      </c>
      <c r="X1518" s="3">
        <f>IF(fNotasFiscais[[#This Row],[Data da Entrega]]&gt;fNotasFiscais[[#This Row],[Data Contratada]],0,1)</f>
        <v>0</v>
      </c>
      <c r="Y1518" s="3">
        <f>IF(fNotasFiscais[[#This Row],[Ocorrência]]="",1,0)</f>
        <v>1</v>
      </c>
      <c r="Z1518" s="2">
        <f>fNotasFiscais[[#This Row],[On Time]]*fNotasFiscais[[#This Row],[In Full]]</f>
        <v>0</v>
      </c>
      <c r="AA1518">
        <f>IF(fNotasFiscais[[#This Row],[Nota Fiscal]]&lt;&gt;"",1,0)</f>
        <v>1</v>
      </c>
    </row>
    <row r="1519" spans="1:27" x14ac:dyDescent="0.25">
      <c r="A1519" s="1">
        <v>43557</v>
      </c>
      <c r="B1519">
        <v>11928</v>
      </c>
      <c r="C1519" s="2" t="s">
        <v>43</v>
      </c>
      <c r="D1519" s="2" t="s">
        <v>44</v>
      </c>
      <c r="E1519" s="2" t="s">
        <v>45</v>
      </c>
      <c r="F1519">
        <v>4157</v>
      </c>
      <c r="G1519" s="2" t="s">
        <v>240</v>
      </c>
      <c r="H1519" s="2" t="s">
        <v>35</v>
      </c>
      <c r="I1519" s="2" t="s">
        <v>36</v>
      </c>
      <c r="J1519" s="2" t="s">
        <v>60</v>
      </c>
      <c r="K1519" s="2" t="s">
        <v>36</v>
      </c>
      <c r="L1519">
        <v>289.82</v>
      </c>
      <c r="M1519">
        <v>1</v>
      </c>
      <c r="N1519">
        <v>1.1200000000000001</v>
      </c>
      <c r="O1519">
        <v>6600879</v>
      </c>
      <c r="P1519" s="2" t="s">
        <v>61</v>
      </c>
      <c r="Q1519" s="2" t="s">
        <v>35</v>
      </c>
      <c r="R1519" s="2" t="s">
        <v>30</v>
      </c>
      <c r="S1519">
        <v>12</v>
      </c>
      <c r="T1519" s="1">
        <v>43558</v>
      </c>
      <c r="U1519" s="1">
        <v>43568</v>
      </c>
      <c r="V1519" s="2"/>
      <c r="W1519" s="1">
        <f>fNotasFiscais[[#This Row],[Data da Coleta]]+fNotasFiscais[[#This Row],[Prazo Contratado]]</f>
        <v>43570</v>
      </c>
      <c r="X1519" s="3">
        <f>IF(fNotasFiscais[[#This Row],[Data da Entrega]]&gt;fNotasFiscais[[#This Row],[Data Contratada]],0,1)</f>
        <v>1</v>
      </c>
      <c r="Y1519" s="3">
        <f>IF(fNotasFiscais[[#This Row],[Ocorrência]]="",1,0)</f>
        <v>1</v>
      </c>
      <c r="Z1519" s="2">
        <f>fNotasFiscais[[#This Row],[On Time]]*fNotasFiscais[[#This Row],[In Full]]</f>
        <v>1</v>
      </c>
      <c r="AA1519">
        <f>IF(fNotasFiscais[[#This Row],[Nota Fiscal]]&lt;&gt;"",1,0)</f>
        <v>1</v>
      </c>
    </row>
    <row r="1520" spans="1:27" x14ac:dyDescent="0.25">
      <c r="A1520" s="1">
        <v>43558</v>
      </c>
      <c r="B1520">
        <v>11929</v>
      </c>
      <c r="C1520" s="2" t="s">
        <v>54</v>
      </c>
      <c r="D1520" s="2" t="s">
        <v>55</v>
      </c>
      <c r="E1520" s="2" t="s">
        <v>56</v>
      </c>
      <c r="F1520">
        <v>4158</v>
      </c>
      <c r="G1520" s="2" t="s">
        <v>241</v>
      </c>
      <c r="H1520" s="2" t="s">
        <v>173</v>
      </c>
      <c r="I1520" s="2" t="s">
        <v>174</v>
      </c>
      <c r="J1520" s="2" t="s">
        <v>175</v>
      </c>
      <c r="K1520" s="2" t="s">
        <v>174</v>
      </c>
      <c r="L1520">
        <v>1317.46</v>
      </c>
      <c r="M1520">
        <v>1</v>
      </c>
      <c r="N1520">
        <v>1.1200000000000001</v>
      </c>
      <c r="O1520">
        <v>6700091</v>
      </c>
      <c r="P1520" s="2" t="s">
        <v>176</v>
      </c>
      <c r="Q1520" s="2" t="s">
        <v>173</v>
      </c>
      <c r="R1520" s="2" t="s">
        <v>30</v>
      </c>
      <c r="S1520">
        <v>9</v>
      </c>
      <c r="T1520" s="1">
        <v>43559</v>
      </c>
      <c r="U1520" s="1">
        <v>43569</v>
      </c>
      <c r="V1520" s="2"/>
      <c r="W1520" s="1">
        <f>fNotasFiscais[[#This Row],[Data da Coleta]]+fNotasFiscais[[#This Row],[Prazo Contratado]]</f>
        <v>43568</v>
      </c>
      <c r="X1520" s="3">
        <f>IF(fNotasFiscais[[#This Row],[Data da Entrega]]&gt;fNotasFiscais[[#This Row],[Data Contratada]],0,1)</f>
        <v>0</v>
      </c>
      <c r="Y1520" s="3">
        <f>IF(fNotasFiscais[[#This Row],[Ocorrência]]="",1,0)</f>
        <v>1</v>
      </c>
      <c r="Z1520" s="2">
        <f>fNotasFiscais[[#This Row],[On Time]]*fNotasFiscais[[#This Row],[In Full]]</f>
        <v>0</v>
      </c>
      <c r="AA1520">
        <f>IF(fNotasFiscais[[#This Row],[Nota Fiscal]]&lt;&gt;"",1,0)</f>
        <v>1</v>
      </c>
    </row>
    <row r="1521" spans="1:27" x14ac:dyDescent="0.25">
      <c r="A1521" s="1">
        <v>43558</v>
      </c>
      <c r="B1521">
        <v>11930</v>
      </c>
      <c r="C1521" s="2" t="s">
        <v>40</v>
      </c>
      <c r="D1521" s="2" t="s">
        <v>41</v>
      </c>
      <c r="E1521" s="2" t="s">
        <v>33</v>
      </c>
      <c r="F1521">
        <v>4034</v>
      </c>
      <c r="G1521" s="2" t="s">
        <v>110</v>
      </c>
      <c r="H1521" s="2" t="s">
        <v>51</v>
      </c>
      <c r="I1521" s="2" t="s">
        <v>73</v>
      </c>
      <c r="J1521" s="2" t="s">
        <v>49</v>
      </c>
      <c r="K1521" s="2" t="s">
        <v>73</v>
      </c>
      <c r="L1521">
        <v>1309.3699999999999</v>
      </c>
      <c r="M1521">
        <v>2</v>
      </c>
      <c r="N1521">
        <v>3.2570000000000001</v>
      </c>
      <c r="O1521">
        <v>6100231</v>
      </c>
      <c r="P1521" s="2" t="s">
        <v>50</v>
      </c>
      <c r="Q1521" s="2" t="s">
        <v>51</v>
      </c>
      <c r="R1521" s="2" t="s">
        <v>30</v>
      </c>
      <c r="S1521">
        <v>8</v>
      </c>
      <c r="T1521" s="1">
        <v>43559</v>
      </c>
      <c r="U1521" s="1">
        <v>43561</v>
      </c>
      <c r="V1521" s="2"/>
      <c r="W1521" s="1">
        <f>fNotasFiscais[[#This Row],[Data da Coleta]]+fNotasFiscais[[#This Row],[Prazo Contratado]]</f>
        <v>43567</v>
      </c>
      <c r="X1521" s="3">
        <f>IF(fNotasFiscais[[#This Row],[Data da Entrega]]&gt;fNotasFiscais[[#This Row],[Data Contratada]],0,1)</f>
        <v>1</v>
      </c>
      <c r="Y1521" s="3">
        <f>IF(fNotasFiscais[[#This Row],[Ocorrência]]="",1,0)</f>
        <v>1</v>
      </c>
      <c r="Z1521" s="2">
        <f>fNotasFiscais[[#This Row],[On Time]]*fNotasFiscais[[#This Row],[In Full]]</f>
        <v>1</v>
      </c>
      <c r="AA1521">
        <f>IF(fNotasFiscais[[#This Row],[Nota Fiscal]]&lt;&gt;"",1,0)</f>
        <v>1</v>
      </c>
    </row>
    <row r="1522" spans="1:27" x14ac:dyDescent="0.25">
      <c r="A1522" s="1">
        <v>43560</v>
      </c>
      <c r="B1522">
        <v>11931</v>
      </c>
      <c r="C1522" s="2" t="s">
        <v>52</v>
      </c>
      <c r="D1522" s="2" t="s">
        <v>53</v>
      </c>
      <c r="E1522" s="2" t="s">
        <v>33</v>
      </c>
      <c r="F1522">
        <v>4033</v>
      </c>
      <c r="G1522" s="2" t="s">
        <v>109</v>
      </c>
      <c r="H1522" s="2" t="s">
        <v>51</v>
      </c>
      <c r="I1522" s="2" t="s">
        <v>73</v>
      </c>
      <c r="J1522" s="2" t="s">
        <v>49</v>
      </c>
      <c r="K1522" s="2" t="s">
        <v>73</v>
      </c>
      <c r="L1522">
        <v>32.75</v>
      </c>
      <c r="M1522">
        <v>1</v>
      </c>
      <c r="N1522">
        <v>1.1200000000000001</v>
      </c>
      <c r="O1522">
        <v>6100231</v>
      </c>
      <c r="P1522" s="2" t="s">
        <v>50</v>
      </c>
      <c r="Q1522" s="2" t="s">
        <v>51</v>
      </c>
      <c r="R1522" s="2" t="s">
        <v>30</v>
      </c>
      <c r="S1522">
        <v>1</v>
      </c>
      <c r="T1522" s="1">
        <v>43561</v>
      </c>
      <c r="U1522" s="1">
        <v>43565</v>
      </c>
      <c r="V1522" s="2"/>
      <c r="W1522" s="1">
        <f>fNotasFiscais[[#This Row],[Data da Coleta]]+fNotasFiscais[[#This Row],[Prazo Contratado]]</f>
        <v>43562</v>
      </c>
      <c r="X1522" s="3">
        <f>IF(fNotasFiscais[[#This Row],[Data da Entrega]]&gt;fNotasFiscais[[#This Row],[Data Contratada]],0,1)</f>
        <v>0</v>
      </c>
      <c r="Y1522" s="3">
        <f>IF(fNotasFiscais[[#This Row],[Ocorrência]]="",1,0)</f>
        <v>1</v>
      </c>
      <c r="Z1522" s="2">
        <f>fNotasFiscais[[#This Row],[On Time]]*fNotasFiscais[[#This Row],[In Full]]</f>
        <v>0</v>
      </c>
      <c r="AA1522">
        <f>IF(fNotasFiscais[[#This Row],[Nota Fiscal]]&lt;&gt;"",1,0)</f>
        <v>1</v>
      </c>
    </row>
    <row r="1523" spans="1:27" x14ac:dyDescent="0.25">
      <c r="A1523" s="1">
        <v>43560</v>
      </c>
      <c r="B1523">
        <v>11932</v>
      </c>
      <c r="C1523" s="2" t="s">
        <v>40</v>
      </c>
      <c r="D1523" s="2" t="s">
        <v>41</v>
      </c>
      <c r="E1523" s="2" t="s">
        <v>33</v>
      </c>
      <c r="F1523">
        <v>4068</v>
      </c>
      <c r="G1523" s="2" t="s">
        <v>63</v>
      </c>
      <c r="H1523" s="2" t="s">
        <v>64</v>
      </c>
      <c r="I1523" s="2" t="s">
        <v>65</v>
      </c>
      <c r="J1523" s="2" t="s">
        <v>49</v>
      </c>
      <c r="K1523" s="2" t="s">
        <v>65</v>
      </c>
      <c r="L1523">
        <v>54.38</v>
      </c>
      <c r="M1523">
        <v>1</v>
      </c>
      <c r="N1523">
        <v>0.24</v>
      </c>
      <c r="O1523">
        <v>6100231</v>
      </c>
      <c r="P1523" s="2" t="s">
        <v>50</v>
      </c>
      <c r="Q1523" s="2" t="s">
        <v>51</v>
      </c>
      <c r="R1523" s="2" t="s">
        <v>30</v>
      </c>
      <c r="S1523">
        <v>2</v>
      </c>
      <c r="T1523" s="1">
        <v>43561</v>
      </c>
      <c r="U1523" s="1">
        <v>43565</v>
      </c>
      <c r="V1523" s="2"/>
      <c r="W1523" s="1">
        <f>fNotasFiscais[[#This Row],[Data da Coleta]]+fNotasFiscais[[#This Row],[Prazo Contratado]]</f>
        <v>43563</v>
      </c>
      <c r="X1523" s="3">
        <f>IF(fNotasFiscais[[#This Row],[Data da Entrega]]&gt;fNotasFiscais[[#This Row],[Data Contratada]],0,1)</f>
        <v>0</v>
      </c>
      <c r="Y1523" s="3">
        <f>IF(fNotasFiscais[[#This Row],[Ocorrência]]="",1,0)</f>
        <v>1</v>
      </c>
      <c r="Z1523" s="2">
        <f>fNotasFiscais[[#This Row],[On Time]]*fNotasFiscais[[#This Row],[In Full]]</f>
        <v>0</v>
      </c>
      <c r="AA1523">
        <f>IF(fNotasFiscais[[#This Row],[Nota Fiscal]]&lt;&gt;"",1,0)</f>
        <v>1</v>
      </c>
    </row>
    <row r="1524" spans="1:27" x14ac:dyDescent="0.25">
      <c r="A1524" s="1">
        <v>43560</v>
      </c>
      <c r="B1524">
        <v>11933</v>
      </c>
      <c r="C1524" s="2" t="s">
        <v>22</v>
      </c>
      <c r="D1524" s="2" t="s">
        <v>23</v>
      </c>
      <c r="E1524" s="2" t="s">
        <v>24</v>
      </c>
      <c r="F1524">
        <v>4037</v>
      </c>
      <c r="G1524" s="2" t="s">
        <v>113</v>
      </c>
      <c r="H1524" s="2" t="s">
        <v>47</v>
      </c>
      <c r="I1524" s="2" t="s">
        <v>48</v>
      </c>
      <c r="J1524" s="2" t="s">
        <v>49</v>
      </c>
      <c r="K1524" s="2" t="s">
        <v>48</v>
      </c>
      <c r="L1524">
        <v>1172.1400000000001</v>
      </c>
      <c r="M1524">
        <v>2</v>
      </c>
      <c r="N1524">
        <v>3.266</v>
      </c>
      <c r="O1524">
        <v>6100231</v>
      </c>
      <c r="P1524" s="2" t="s">
        <v>50</v>
      </c>
      <c r="Q1524" s="2" t="s">
        <v>51</v>
      </c>
      <c r="R1524" s="2" t="s">
        <v>30</v>
      </c>
      <c r="S1524">
        <v>10</v>
      </c>
      <c r="T1524" s="1">
        <v>43561</v>
      </c>
      <c r="U1524" s="1">
        <v>43565</v>
      </c>
      <c r="V1524" s="2"/>
      <c r="W1524" s="1">
        <f>fNotasFiscais[[#This Row],[Data da Coleta]]+fNotasFiscais[[#This Row],[Prazo Contratado]]</f>
        <v>43571</v>
      </c>
      <c r="X1524" s="3">
        <f>IF(fNotasFiscais[[#This Row],[Data da Entrega]]&gt;fNotasFiscais[[#This Row],[Data Contratada]],0,1)</f>
        <v>1</v>
      </c>
      <c r="Y1524" s="3">
        <f>IF(fNotasFiscais[[#This Row],[Ocorrência]]="",1,0)</f>
        <v>1</v>
      </c>
      <c r="Z1524" s="2">
        <f>fNotasFiscais[[#This Row],[On Time]]*fNotasFiscais[[#This Row],[In Full]]</f>
        <v>1</v>
      </c>
      <c r="AA1524">
        <f>IF(fNotasFiscais[[#This Row],[Nota Fiscal]]&lt;&gt;"",1,0)</f>
        <v>1</v>
      </c>
    </row>
    <row r="1525" spans="1:27" x14ac:dyDescent="0.25">
      <c r="A1525" s="1">
        <v>43560</v>
      </c>
      <c r="B1525">
        <v>11934</v>
      </c>
      <c r="C1525" s="2" t="s">
        <v>22</v>
      </c>
      <c r="D1525" s="2" t="s">
        <v>23</v>
      </c>
      <c r="E1525" s="2" t="s">
        <v>24</v>
      </c>
      <c r="F1525">
        <v>4023</v>
      </c>
      <c r="G1525" s="2" t="s">
        <v>88</v>
      </c>
      <c r="H1525" s="2" t="s">
        <v>78</v>
      </c>
      <c r="I1525" s="2" t="s">
        <v>39</v>
      </c>
      <c r="J1525" s="2" t="s">
        <v>28</v>
      </c>
      <c r="K1525" s="2" t="s">
        <v>39</v>
      </c>
      <c r="L1525">
        <v>1666.81</v>
      </c>
      <c r="M1525">
        <v>1</v>
      </c>
      <c r="N1525">
        <v>1.1200000000000001</v>
      </c>
      <c r="O1525">
        <v>6500948</v>
      </c>
      <c r="P1525" s="2" t="s">
        <v>29</v>
      </c>
      <c r="Q1525" s="2" t="s">
        <v>23</v>
      </c>
      <c r="R1525" s="2" t="s">
        <v>30</v>
      </c>
      <c r="S1525">
        <v>6</v>
      </c>
      <c r="T1525" s="1">
        <v>43561</v>
      </c>
      <c r="U1525" s="1">
        <v>43568</v>
      </c>
      <c r="V1525" s="2"/>
      <c r="W1525" s="1">
        <f>fNotasFiscais[[#This Row],[Data da Coleta]]+fNotasFiscais[[#This Row],[Prazo Contratado]]</f>
        <v>43567</v>
      </c>
      <c r="X1525" s="3">
        <f>IF(fNotasFiscais[[#This Row],[Data da Entrega]]&gt;fNotasFiscais[[#This Row],[Data Contratada]],0,1)</f>
        <v>0</v>
      </c>
      <c r="Y1525" s="3">
        <f>IF(fNotasFiscais[[#This Row],[Ocorrência]]="",1,0)</f>
        <v>1</v>
      </c>
      <c r="Z1525" s="2">
        <f>fNotasFiscais[[#This Row],[On Time]]*fNotasFiscais[[#This Row],[In Full]]</f>
        <v>0</v>
      </c>
      <c r="AA1525">
        <f>IF(fNotasFiscais[[#This Row],[Nota Fiscal]]&lt;&gt;"",1,0)</f>
        <v>1</v>
      </c>
    </row>
    <row r="1526" spans="1:27" x14ac:dyDescent="0.25">
      <c r="A1526" s="1">
        <v>43560</v>
      </c>
      <c r="B1526">
        <v>11935</v>
      </c>
      <c r="C1526" s="2" t="s">
        <v>31</v>
      </c>
      <c r="D1526" s="2" t="s">
        <v>32</v>
      </c>
      <c r="E1526" s="2" t="s">
        <v>33</v>
      </c>
      <c r="F1526">
        <v>4037</v>
      </c>
      <c r="G1526" s="2" t="s">
        <v>113</v>
      </c>
      <c r="H1526" s="2" t="s">
        <v>47</v>
      </c>
      <c r="I1526" s="2" t="s">
        <v>48</v>
      </c>
      <c r="J1526" s="2" t="s">
        <v>49</v>
      </c>
      <c r="K1526" s="2" t="s">
        <v>48</v>
      </c>
      <c r="L1526">
        <v>80.11</v>
      </c>
      <c r="M1526">
        <v>1</v>
      </c>
      <c r="N1526">
        <v>0.38500000000000001</v>
      </c>
      <c r="O1526">
        <v>6100231</v>
      </c>
      <c r="P1526" s="2" t="s">
        <v>50</v>
      </c>
      <c r="Q1526" s="2" t="s">
        <v>51</v>
      </c>
      <c r="R1526" s="2" t="s">
        <v>30</v>
      </c>
      <c r="S1526">
        <v>10</v>
      </c>
      <c r="T1526" s="1">
        <v>43561</v>
      </c>
      <c r="U1526" s="1">
        <v>43566</v>
      </c>
      <c r="V1526" s="2"/>
      <c r="W1526" s="1">
        <f>fNotasFiscais[[#This Row],[Data da Coleta]]+fNotasFiscais[[#This Row],[Prazo Contratado]]</f>
        <v>43571</v>
      </c>
      <c r="X1526" s="3">
        <f>IF(fNotasFiscais[[#This Row],[Data da Entrega]]&gt;fNotasFiscais[[#This Row],[Data Contratada]],0,1)</f>
        <v>1</v>
      </c>
      <c r="Y1526" s="3">
        <f>IF(fNotasFiscais[[#This Row],[Ocorrência]]="",1,0)</f>
        <v>1</v>
      </c>
      <c r="Z1526" s="2">
        <f>fNotasFiscais[[#This Row],[On Time]]*fNotasFiscais[[#This Row],[In Full]]</f>
        <v>1</v>
      </c>
      <c r="AA1526">
        <f>IF(fNotasFiscais[[#This Row],[Nota Fiscal]]&lt;&gt;"",1,0)</f>
        <v>1</v>
      </c>
    </row>
    <row r="1527" spans="1:27" x14ac:dyDescent="0.25">
      <c r="A1527" s="1">
        <v>43560</v>
      </c>
      <c r="B1527">
        <v>11936</v>
      </c>
      <c r="C1527" s="2" t="s">
        <v>54</v>
      </c>
      <c r="D1527" s="2" t="s">
        <v>55</v>
      </c>
      <c r="E1527" s="2" t="s">
        <v>56</v>
      </c>
      <c r="F1527">
        <v>4013</v>
      </c>
      <c r="G1527" s="2" t="s">
        <v>37</v>
      </c>
      <c r="H1527" s="2" t="s">
        <v>38</v>
      </c>
      <c r="I1527" s="2" t="s">
        <v>39</v>
      </c>
      <c r="J1527" s="2" t="s">
        <v>28</v>
      </c>
      <c r="K1527" s="2" t="s">
        <v>39</v>
      </c>
      <c r="L1527">
        <v>605.66</v>
      </c>
      <c r="M1527">
        <v>1</v>
      </c>
      <c r="N1527">
        <v>0.69199999999999995</v>
      </c>
      <c r="O1527">
        <v>6500948</v>
      </c>
      <c r="P1527" s="2" t="s">
        <v>29</v>
      </c>
      <c r="Q1527" s="2" t="s">
        <v>23</v>
      </c>
      <c r="R1527" s="2" t="s">
        <v>30</v>
      </c>
      <c r="S1527">
        <v>12</v>
      </c>
      <c r="T1527" s="1">
        <v>43561</v>
      </c>
      <c r="U1527" s="1">
        <v>43570</v>
      </c>
      <c r="V1527" s="2"/>
      <c r="W1527" s="1">
        <f>fNotasFiscais[[#This Row],[Data da Coleta]]+fNotasFiscais[[#This Row],[Prazo Contratado]]</f>
        <v>43573</v>
      </c>
      <c r="X1527" s="3">
        <f>IF(fNotasFiscais[[#This Row],[Data da Entrega]]&gt;fNotasFiscais[[#This Row],[Data Contratada]],0,1)</f>
        <v>1</v>
      </c>
      <c r="Y1527" s="3">
        <f>IF(fNotasFiscais[[#This Row],[Ocorrência]]="",1,0)</f>
        <v>1</v>
      </c>
      <c r="Z1527" s="2">
        <f>fNotasFiscais[[#This Row],[On Time]]*fNotasFiscais[[#This Row],[In Full]]</f>
        <v>1</v>
      </c>
      <c r="AA1527">
        <f>IF(fNotasFiscais[[#This Row],[Nota Fiscal]]&lt;&gt;"",1,0)</f>
        <v>1</v>
      </c>
    </row>
    <row r="1528" spans="1:27" x14ac:dyDescent="0.25">
      <c r="A1528" s="1">
        <v>43560</v>
      </c>
      <c r="B1528">
        <v>11937</v>
      </c>
      <c r="C1528" s="2" t="s">
        <v>22</v>
      </c>
      <c r="D1528" s="2" t="s">
        <v>23</v>
      </c>
      <c r="E1528" s="2" t="s">
        <v>24</v>
      </c>
      <c r="F1528">
        <v>4013</v>
      </c>
      <c r="G1528" s="2" t="s">
        <v>37</v>
      </c>
      <c r="H1528" s="2" t="s">
        <v>38</v>
      </c>
      <c r="I1528" s="2" t="s">
        <v>39</v>
      </c>
      <c r="J1528" s="2" t="s">
        <v>28</v>
      </c>
      <c r="K1528" s="2" t="s">
        <v>39</v>
      </c>
      <c r="L1528">
        <v>91.05</v>
      </c>
      <c r="M1528">
        <v>1</v>
      </c>
      <c r="N1528">
        <v>1.1200000000000001</v>
      </c>
      <c r="O1528">
        <v>6500948</v>
      </c>
      <c r="P1528" s="2" t="s">
        <v>29</v>
      </c>
      <c r="Q1528" s="2" t="s">
        <v>23</v>
      </c>
      <c r="R1528" s="2" t="s">
        <v>30</v>
      </c>
      <c r="S1528">
        <v>8</v>
      </c>
      <c r="T1528" s="1">
        <v>43561</v>
      </c>
      <c r="U1528" s="1">
        <v>43571</v>
      </c>
      <c r="V1528" s="2"/>
      <c r="W1528" s="1">
        <f>fNotasFiscais[[#This Row],[Data da Coleta]]+fNotasFiscais[[#This Row],[Prazo Contratado]]</f>
        <v>43569</v>
      </c>
      <c r="X1528" s="3">
        <f>IF(fNotasFiscais[[#This Row],[Data da Entrega]]&gt;fNotasFiscais[[#This Row],[Data Contratada]],0,1)</f>
        <v>0</v>
      </c>
      <c r="Y1528" s="3">
        <f>IF(fNotasFiscais[[#This Row],[Ocorrência]]="",1,0)</f>
        <v>1</v>
      </c>
      <c r="Z1528" s="2">
        <f>fNotasFiscais[[#This Row],[On Time]]*fNotasFiscais[[#This Row],[In Full]]</f>
        <v>0</v>
      </c>
      <c r="AA1528">
        <f>IF(fNotasFiscais[[#This Row],[Nota Fiscal]]&lt;&gt;"",1,0)</f>
        <v>1</v>
      </c>
    </row>
    <row r="1529" spans="1:27" x14ac:dyDescent="0.25">
      <c r="A1529" s="1">
        <v>43560</v>
      </c>
      <c r="B1529">
        <v>11938</v>
      </c>
      <c r="C1529" s="2" t="s">
        <v>34</v>
      </c>
      <c r="D1529" s="2" t="s">
        <v>35</v>
      </c>
      <c r="E1529" s="2" t="s">
        <v>36</v>
      </c>
      <c r="F1529">
        <v>4013</v>
      </c>
      <c r="G1529" s="2" t="s">
        <v>37</v>
      </c>
      <c r="H1529" s="2" t="s">
        <v>38</v>
      </c>
      <c r="I1529" s="2" t="s">
        <v>39</v>
      </c>
      <c r="J1529" s="2" t="s">
        <v>28</v>
      </c>
      <c r="K1529" s="2" t="s">
        <v>39</v>
      </c>
      <c r="L1529">
        <v>439.66</v>
      </c>
      <c r="M1529">
        <v>1</v>
      </c>
      <c r="N1529">
        <v>0.44</v>
      </c>
      <c r="O1529">
        <v>6500948</v>
      </c>
      <c r="P1529" s="2" t="s">
        <v>29</v>
      </c>
      <c r="Q1529" s="2" t="s">
        <v>23</v>
      </c>
      <c r="R1529" s="2" t="s">
        <v>30</v>
      </c>
      <c r="S1529">
        <v>2</v>
      </c>
      <c r="T1529" s="1">
        <v>43561</v>
      </c>
      <c r="U1529" s="1">
        <v>43562</v>
      </c>
      <c r="V1529" s="2"/>
      <c r="W1529" s="1">
        <f>fNotasFiscais[[#This Row],[Data da Coleta]]+fNotasFiscais[[#This Row],[Prazo Contratado]]</f>
        <v>43563</v>
      </c>
      <c r="X1529" s="3">
        <f>IF(fNotasFiscais[[#This Row],[Data da Entrega]]&gt;fNotasFiscais[[#This Row],[Data Contratada]],0,1)</f>
        <v>1</v>
      </c>
      <c r="Y1529" s="3">
        <f>IF(fNotasFiscais[[#This Row],[Ocorrência]]="",1,0)</f>
        <v>1</v>
      </c>
      <c r="Z1529" s="2">
        <f>fNotasFiscais[[#This Row],[On Time]]*fNotasFiscais[[#This Row],[In Full]]</f>
        <v>1</v>
      </c>
      <c r="AA1529">
        <f>IF(fNotasFiscais[[#This Row],[Nota Fiscal]]&lt;&gt;"",1,0)</f>
        <v>1</v>
      </c>
    </row>
    <row r="1530" spans="1:27" x14ac:dyDescent="0.25">
      <c r="A1530" s="1">
        <v>43560</v>
      </c>
      <c r="B1530">
        <v>11939</v>
      </c>
      <c r="C1530" s="2" t="s">
        <v>31</v>
      </c>
      <c r="D1530" s="2" t="s">
        <v>32</v>
      </c>
      <c r="E1530" s="2" t="s">
        <v>33</v>
      </c>
      <c r="F1530">
        <v>4056</v>
      </c>
      <c r="G1530" s="2" t="s">
        <v>119</v>
      </c>
      <c r="H1530" s="2" t="s">
        <v>51</v>
      </c>
      <c r="I1530" s="2" t="s">
        <v>73</v>
      </c>
      <c r="J1530" s="2" t="s">
        <v>49</v>
      </c>
      <c r="K1530" s="2" t="s">
        <v>73</v>
      </c>
      <c r="L1530">
        <v>496.21</v>
      </c>
      <c r="M1530">
        <v>2</v>
      </c>
      <c r="N1530">
        <v>6.3920000000000003</v>
      </c>
      <c r="O1530">
        <v>6100231</v>
      </c>
      <c r="P1530" s="2" t="s">
        <v>50</v>
      </c>
      <c r="Q1530" s="2" t="s">
        <v>51</v>
      </c>
      <c r="R1530" s="2" t="s">
        <v>30</v>
      </c>
      <c r="S1530">
        <v>11</v>
      </c>
      <c r="T1530" s="1">
        <v>43561</v>
      </c>
      <c r="U1530" s="1">
        <v>43568</v>
      </c>
      <c r="V1530" s="2"/>
      <c r="W1530" s="1">
        <f>fNotasFiscais[[#This Row],[Data da Coleta]]+fNotasFiscais[[#This Row],[Prazo Contratado]]</f>
        <v>43572</v>
      </c>
      <c r="X1530" s="3">
        <f>IF(fNotasFiscais[[#This Row],[Data da Entrega]]&gt;fNotasFiscais[[#This Row],[Data Contratada]],0,1)</f>
        <v>1</v>
      </c>
      <c r="Y1530" s="3">
        <f>IF(fNotasFiscais[[#This Row],[Ocorrência]]="",1,0)</f>
        <v>1</v>
      </c>
      <c r="Z1530" s="2">
        <f>fNotasFiscais[[#This Row],[On Time]]*fNotasFiscais[[#This Row],[In Full]]</f>
        <v>1</v>
      </c>
      <c r="AA1530">
        <f>IF(fNotasFiscais[[#This Row],[Nota Fiscal]]&lt;&gt;"",1,0)</f>
        <v>1</v>
      </c>
    </row>
    <row r="1531" spans="1:27" x14ac:dyDescent="0.25">
      <c r="A1531" s="1">
        <v>43560</v>
      </c>
      <c r="B1531">
        <v>11940</v>
      </c>
      <c r="C1531" s="2" t="s">
        <v>31</v>
      </c>
      <c r="D1531" s="2" t="s">
        <v>32</v>
      </c>
      <c r="E1531" s="2" t="s">
        <v>33</v>
      </c>
      <c r="F1531">
        <v>4032</v>
      </c>
      <c r="G1531" s="2" t="s">
        <v>108</v>
      </c>
      <c r="H1531" s="2" t="s">
        <v>51</v>
      </c>
      <c r="I1531" s="2" t="s">
        <v>73</v>
      </c>
      <c r="J1531" s="2" t="s">
        <v>49</v>
      </c>
      <c r="K1531" s="2" t="s">
        <v>73</v>
      </c>
      <c r="L1531">
        <v>1200.76</v>
      </c>
      <c r="M1531">
        <v>1</v>
      </c>
      <c r="N1531">
        <v>1.1200000000000001</v>
      </c>
      <c r="O1531">
        <v>6100231</v>
      </c>
      <c r="P1531" s="2" t="s">
        <v>50</v>
      </c>
      <c r="Q1531" s="2" t="s">
        <v>51</v>
      </c>
      <c r="R1531" s="2" t="s">
        <v>30</v>
      </c>
      <c r="S1531">
        <v>4</v>
      </c>
      <c r="T1531" s="1">
        <v>43561</v>
      </c>
      <c r="U1531" s="1">
        <v>43564</v>
      </c>
      <c r="V1531" s="2"/>
      <c r="W1531" s="1">
        <f>fNotasFiscais[[#This Row],[Data da Coleta]]+fNotasFiscais[[#This Row],[Prazo Contratado]]</f>
        <v>43565</v>
      </c>
      <c r="X1531" s="3">
        <f>IF(fNotasFiscais[[#This Row],[Data da Entrega]]&gt;fNotasFiscais[[#This Row],[Data Contratada]],0,1)</f>
        <v>1</v>
      </c>
      <c r="Y1531" s="3">
        <f>IF(fNotasFiscais[[#This Row],[Ocorrência]]="",1,0)</f>
        <v>1</v>
      </c>
      <c r="Z1531" s="2">
        <f>fNotasFiscais[[#This Row],[On Time]]*fNotasFiscais[[#This Row],[In Full]]</f>
        <v>1</v>
      </c>
      <c r="AA1531">
        <f>IF(fNotasFiscais[[#This Row],[Nota Fiscal]]&lt;&gt;"",1,0)</f>
        <v>1</v>
      </c>
    </row>
    <row r="1532" spans="1:27" x14ac:dyDescent="0.25">
      <c r="A1532" s="1">
        <v>43560</v>
      </c>
      <c r="B1532">
        <v>11941</v>
      </c>
      <c r="C1532" s="2" t="s">
        <v>40</v>
      </c>
      <c r="D1532" s="2" t="s">
        <v>41</v>
      </c>
      <c r="E1532" s="2" t="s">
        <v>33</v>
      </c>
      <c r="F1532">
        <v>4056</v>
      </c>
      <c r="G1532" s="2" t="s">
        <v>119</v>
      </c>
      <c r="H1532" s="2" t="s">
        <v>51</v>
      </c>
      <c r="I1532" s="2" t="s">
        <v>73</v>
      </c>
      <c r="J1532" s="2" t="s">
        <v>49</v>
      </c>
      <c r="K1532" s="2" t="s">
        <v>73</v>
      </c>
      <c r="L1532">
        <v>6989.73</v>
      </c>
      <c r="M1532">
        <v>2</v>
      </c>
      <c r="N1532">
        <v>14.137</v>
      </c>
      <c r="O1532">
        <v>6100231</v>
      </c>
      <c r="P1532" s="2" t="s">
        <v>50</v>
      </c>
      <c r="Q1532" s="2" t="s">
        <v>51</v>
      </c>
      <c r="R1532" s="2" t="s">
        <v>30</v>
      </c>
      <c r="S1532">
        <v>9</v>
      </c>
      <c r="T1532" s="1">
        <v>43561</v>
      </c>
      <c r="U1532" s="1">
        <v>43562</v>
      </c>
      <c r="V1532" s="2"/>
      <c r="W1532" s="1">
        <f>fNotasFiscais[[#This Row],[Data da Coleta]]+fNotasFiscais[[#This Row],[Prazo Contratado]]</f>
        <v>43570</v>
      </c>
      <c r="X1532" s="3">
        <f>IF(fNotasFiscais[[#This Row],[Data da Entrega]]&gt;fNotasFiscais[[#This Row],[Data Contratada]],0,1)</f>
        <v>1</v>
      </c>
      <c r="Y1532" s="3">
        <f>IF(fNotasFiscais[[#This Row],[Ocorrência]]="",1,0)</f>
        <v>1</v>
      </c>
      <c r="Z1532" s="2">
        <f>fNotasFiscais[[#This Row],[On Time]]*fNotasFiscais[[#This Row],[In Full]]</f>
        <v>1</v>
      </c>
      <c r="AA1532">
        <f>IF(fNotasFiscais[[#This Row],[Nota Fiscal]]&lt;&gt;"",1,0)</f>
        <v>1</v>
      </c>
    </row>
    <row r="1533" spans="1:27" x14ac:dyDescent="0.25">
      <c r="A1533" s="1">
        <v>43560</v>
      </c>
      <c r="B1533">
        <v>11942</v>
      </c>
      <c r="C1533" s="2" t="s">
        <v>22</v>
      </c>
      <c r="D1533" s="2" t="s">
        <v>23</v>
      </c>
      <c r="E1533" s="2" t="s">
        <v>24</v>
      </c>
      <c r="F1533">
        <v>4056</v>
      </c>
      <c r="G1533" s="2" t="s">
        <v>119</v>
      </c>
      <c r="H1533" s="2" t="s">
        <v>51</v>
      </c>
      <c r="I1533" s="2" t="s">
        <v>73</v>
      </c>
      <c r="J1533" s="2" t="s">
        <v>49</v>
      </c>
      <c r="K1533" s="2" t="s">
        <v>73</v>
      </c>
      <c r="L1533">
        <v>634.80999999999995</v>
      </c>
      <c r="M1533">
        <v>1</v>
      </c>
      <c r="N1533">
        <v>1.1200000000000001</v>
      </c>
      <c r="O1533">
        <v>6100231</v>
      </c>
      <c r="P1533" s="2" t="s">
        <v>50</v>
      </c>
      <c r="Q1533" s="2" t="s">
        <v>51</v>
      </c>
      <c r="R1533" s="2" t="s">
        <v>30</v>
      </c>
      <c r="S1533">
        <v>9</v>
      </c>
      <c r="T1533" s="1">
        <v>43561</v>
      </c>
      <c r="U1533" s="1">
        <v>43565</v>
      </c>
      <c r="V1533" s="2"/>
      <c r="W1533" s="1">
        <f>fNotasFiscais[[#This Row],[Data da Coleta]]+fNotasFiscais[[#This Row],[Prazo Contratado]]</f>
        <v>43570</v>
      </c>
      <c r="X1533" s="3">
        <f>IF(fNotasFiscais[[#This Row],[Data da Entrega]]&gt;fNotasFiscais[[#This Row],[Data Contratada]],0,1)</f>
        <v>1</v>
      </c>
      <c r="Y1533" s="3">
        <f>IF(fNotasFiscais[[#This Row],[Ocorrência]]="",1,0)</f>
        <v>1</v>
      </c>
      <c r="Z1533" s="2">
        <f>fNotasFiscais[[#This Row],[On Time]]*fNotasFiscais[[#This Row],[In Full]]</f>
        <v>1</v>
      </c>
      <c r="AA1533">
        <f>IF(fNotasFiscais[[#This Row],[Nota Fiscal]]&lt;&gt;"",1,0)</f>
        <v>1</v>
      </c>
    </row>
    <row r="1534" spans="1:27" x14ac:dyDescent="0.25">
      <c r="A1534" s="1">
        <v>43563</v>
      </c>
      <c r="B1534">
        <v>11943</v>
      </c>
      <c r="C1534" s="2" t="s">
        <v>31</v>
      </c>
      <c r="D1534" s="2" t="s">
        <v>32</v>
      </c>
      <c r="E1534" s="2" t="s">
        <v>33</v>
      </c>
      <c r="F1534">
        <v>4027</v>
      </c>
      <c r="G1534" s="2" t="s">
        <v>93</v>
      </c>
      <c r="H1534" s="2" t="s">
        <v>91</v>
      </c>
      <c r="I1534" s="2" t="s">
        <v>24</v>
      </c>
      <c r="J1534" s="2" t="s">
        <v>28</v>
      </c>
      <c r="K1534" s="2" t="s">
        <v>24</v>
      </c>
      <c r="L1534">
        <v>158.26</v>
      </c>
      <c r="M1534">
        <v>1</v>
      </c>
      <c r="N1534">
        <v>1.1200000000000001</v>
      </c>
      <c r="O1534">
        <v>6500948</v>
      </c>
      <c r="P1534" s="2" t="s">
        <v>29</v>
      </c>
      <c r="Q1534" s="2" t="s">
        <v>23</v>
      </c>
      <c r="R1534" s="2" t="s">
        <v>30</v>
      </c>
      <c r="S1534">
        <v>5</v>
      </c>
      <c r="T1534" s="1">
        <v>43564</v>
      </c>
      <c r="U1534" s="1">
        <v>43570</v>
      </c>
      <c r="V1534" s="2"/>
      <c r="W1534" s="1">
        <f>fNotasFiscais[[#This Row],[Data da Coleta]]+fNotasFiscais[[#This Row],[Prazo Contratado]]</f>
        <v>43569</v>
      </c>
      <c r="X1534" s="3">
        <f>IF(fNotasFiscais[[#This Row],[Data da Entrega]]&gt;fNotasFiscais[[#This Row],[Data Contratada]],0,1)</f>
        <v>0</v>
      </c>
      <c r="Y1534" s="3">
        <f>IF(fNotasFiscais[[#This Row],[Ocorrência]]="",1,0)</f>
        <v>1</v>
      </c>
      <c r="Z1534" s="2">
        <f>fNotasFiscais[[#This Row],[On Time]]*fNotasFiscais[[#This Row],[In Full]]</f>
        <v>0</v>
      </c>
      <c r="AA1534">
        <f>IF(fNotasFiscais[[#This Row],[Nota Fiscal]]&lt;&gt;"",1,0)</f>
        <v>1</v>
      </c>
    </row>
    <row r="1535" spans="1:27" x14ac:dyDescent="0.25">
      <c r="A1535" s="1">
        <v>43563</v>
      </c>
      <c r="B1535">
        <v>11944</v>
      </c>
      <c r="C1535" s="2" t="s">
        <v>43</v>
      </c>
      <c r="D1535" s="2" t="s">
        <v>44</v>
      </c>
      <c r="E1535" s="2" t="s">
        <v>45</v>
      </c>
      <c r="F1535">
        <v>4027</v>
      </c>
      <c r="G1535" s="2" t="s">
        <v>93</v>
      </c>
      <c r="H1535" s="2" t="s">
        <v>91</v>
      </c>
      <c r="I1535" s="2" t="s">
        <v>24</v>
      </c>
      <c r="J1535" s="2" t="s">
        <v>28</v>
      </c>
      <c r="K1535" s="2" t="s">
        <v>24</v>
      </c>
      <c r="L1535">
        <v>100.23</v>
      </c>
      <c r="M1535">
        <v>2</v>
      </c>
      <c r="N1535">
        <v>11.754</v>
      </c>
      <c r="O1535">
        <v>6500948</v>
      </c>
      <c r="P1535" s="2" t="s">
        <v>29</v>
      </c>
      <c r="Q1535" s="2" t="s">
        <v>23</v>
      </c>
      <c r="R1535" s="2" t="s">
        <v>30</v>
      </c>
      <c r="S1535">
        <v>8</v>
      </c>
      <c r="T1535" s="1">
        <v>43564</v>
      </c>
      <c r="U1535" s="1">
        <v>43567</v>
      </c>
      <c r="V1535" s="2"/>
      <c r="W1535" s="1">
        <f>fNotasFiscais[[#This Row],[Data da Coleta]]+fNotasFiscais[[#This Row],[Prazo Contratado]]</f>
        <v>43572</v>
      </c>
      <c r="X1535" s="3">
        <f>IF(fNotasFiscais[[#This Row],[Data da Entrega]]&gt;fNotasFiscais[[#This Row],[Data Contratada]],0,1)</f>
        <v>1</v>
      </c>
      <c r="Y1535" s="3">
        <f>IF(fNotasFiscais[[#This Row],[Ocorrência]]="",1,0)</f>
        <v>1</v>
      </c>
      <c r="Z1535" s="2">
        <f>fNotasFiscais[[#This Row],[On Time]]*fNotasFiscais[[#This Row],[In Full]]</f>
        <v>1</v>
      </c>
      <c r="AA1535">
        <f>IF(fNotasFiscais[[#This Row],[Nota Fiscal]]&lt;&gt;"",1,0)</f>
        <v>1</v>
      </c>
    </row>
    <row r="1536" spans="1:27" x14ac:dyDescent="0.25">
      <c r="A1536" s="1">
        <v>43563</v>
      </c>
      <c r="B1536">
        <v>11945</v>
      </c>
      <c r="C1536" s="2" t="s">
        <v>31</v>
      </c>
      <c r="D1536" s="2" t="s">
        <v>32</v>
      </c>
      <c r="E1536" s="2" t="s">
        <v>33</v>
      </c>
      <c r="F1536">
        <v>4040</v>
      </c>
      <c r="G1536" s="2" t="s">
        <v>117</v>
      </c>
      <c r="H1536" s="2" t="s">
        <v>47</v>
      </c>
      <c r="I1536" s="2" t="s">
        <v>48</v>
      </c>
      <c r="J1536" s="2" t="s">
        <v>49</v>
      </c>
      <c r="K1536" s="2" t="s">
        <v>48</v>
      </c>
      <c r="L1536">
        <v>1151</v>
      </c>
      <c r="M1536">
        <v>1</v>
      </c>
      <c r="N1536">
        <v>1.1200000000000001</v>
      </c>
      <c r="O1536">
        <v>6100231</v>
      </c>
      <c r="P1536" s="2" t="s">
        <v>50</v>
      </c>
      <c r="Q1536" s="2" t="s">
        <v>51</v>
      </c>
      <c r="R1536" s="2" t="s">
        <v>30</v>
      </c>
      <c r="S1536">
        <v>4</v>
      </c>
      <c r="T1536" s="1">
        <v>43564</v>
      </c>
      <c r="U1536" s="1">
        <v>43574</v>
      </c>
      <c r="V1536" s="2"/>
      <c r="W1536" s="1">
        <f>fNotasFiscais[[#This Row],[Data da Coleta]]+fNotasFiscais[[#This Row],[Prazo Contratado]]</f>
        <v>43568</v>
      </c>
      <c r="X1536" s="3">
        <f>IF(fNotasFiscais[[#This Row],[Data da Entrega]]&gt;fNotasFiscais[[#This Row],[Data Contratada]],0,1)</f>
        <v>0</v>
      </c>
      <c r="Y1536" s="3">
        <f>IF(fNotasFiscais[[#This Row],[Ocorrência]]="",1,0)</f>
        <v>1</v>
      </c>
      <c r="Z1536" s="2">
        <f>fNotasFiscais[[#This Row],[On Time]]*fNotasFiscais[[#This Row],[In Full]]</f>
        <v>0</v>
      </c>
      <c r="AA1536">
        <f>IF(fNotasFiscais[[#This Row],[Nota Fiscal]]&lt;&gt;"",1,0)</f>
        <v>1</v>
      </c>
    </row>
    <row r="1537" spans="1:27" x14ac:dyDescent="0.25">
      <c r="A1537" s="1">
        <v>43563</v>
      </c>
      <c r="B1537">
        <v>11946</v>
      </c>
      <c r="C1537" s="2" t="s">
        <v>54</v>
      </c>
      <c r="D1537" s="2" t="s">
        <v>55</v>
      </c>
      <c r="E1537" s="2" t="s">
        <v>56</v>
      </c>
      <c r="F1537">
        <v>4028</v>
      </c>
      <c r="G1537" s="2" t="s">
        <v>95</v>
      </c>
      <c r="H1537" s="2" t="s">
        <v>26</v>
      </c>
      <c r="I1537" s="2" t="s">
        <v>27</v>
      </c>
      <c r="J1537" s="2" t="s">
        <v>28</v>
      </c>
      <c r="K1537" s="2" t="s">
        <v>27</v>
      </c>
      <c r="L1537">
        <v>1182.99</v>
      </c>
      <c r="M1537">
        <v>2</v>
      </c>
      <c r="N1537">
        <v>4.423</v>
      </c>
      <c r="O1537">
        <v>6500948</v>
      </c>
      <c r="P1537" s="2" t="s">
        <v>29</v>
      </c>
      <c r="Q1537" s="2" t="s">
        <v>23</v>
      </c>
      <c r="R1537" s="2" t="s">
        <v>30</v>
      </c>
      <c r="S1537">
        <v>6</v>
      </c>
      <c r="T1537" s="1">
        <v>43564</v>
      </c>
      <c r="U1537" s="1">
        <v>43572</v>
      </c>
      <c r="V1537" s="2"/>
      <c r="W1537" s="1">
        <f>fNotasFiscais[[#This Row],[Data da Coleta]]+fNotasFiscais[[#This Row],[Prazo Contratado]]</f>
        <v>43570</v>
      </c>
      <c r="X1537" s="3">
        <f>IF(fNotasFiscais[[#This Row],[Data da Entrega]]&gt;fNotasFiscais[[#This Row],[Data Contratada]],0,1)</f>
        <v>0</v>
      </c>
      <c r="Y1537" s="3">
        <f>IF(fNotasFiscais[[#This Row],[Ocorrência]]="",1,0)</f>
        <v>1</v>
      </c>
      <c r="Z1537" s="2">
        <f>fNotasFiscais[[#This Row],[On Time]]*fNotasFiscais[[#This Row],[In Full]]</f>
        <v>0</v>
      </c>
      <c r="AA1537">
        <f>IF(fNotasFiscais[[#This Row],[Nota Fiscal]]&lt;&gt;"",1,0)</f>
        <v>1</v>
      </c>
    </row>
    <row r="1538" spans="1:27" x14ac:dyDescent="0.25">
      <c r="A1538" s="1">
        <v>43563</v>
      </c>
      <c r="B1538">
        <v>11947</v>
      </c>
      <c r="C1538" s="2" t="s">
        <v>52</v>
      </c>
      <c r="D1538" s="2" t="s">
        <v>53</v>
      </c>
      <c r="E1538" s="2" t="s">
        <v>33</v>
      </c>
      <c r="F1538">
        <v>4022</v>
      </c>
      <c r="G1538" s="2" t="s">
        <v>86</v>
      </c>
      <c r="H1538" s="2" t="s">
        <v>87</v>
      </c>
      <c r="I1538" s="2" t="s">
        <v>27</v>
      </c>
      <c r="J1538" s="2" t="s">
        <v>28</v>
      </c>
      <c r="K1538" s="2" t="s">
        <v>27</v>
      </c>
      <c r="L1538">
        <v>1492.68</v>
      </c>
      <c r="M1538">
        <v>1</v>
      </c>
      <c r="N1538">
        <v>1.1200000000000001</v>
      </c>
      <c r="O1538">
        <v>6500948</v>
      </c>
      <c r="P1538" s="2" t="s">
        <v>29</v>
      </c>
      <c r="Q1538" s="2" t="s">
        <v>23</v>
      </c>
      <c r="R1538" s="2" t="s">
        <v>30</v>
      </c>
      <c r="S1538">
        <v>3</v>
      </c>
      <c r="T1538" s="1">
        <v>43564</v>
      </c>
      <c r="U1538" s="1">
        <v>43567</v>
      </c>
      <c r="V1538" s="2"/>
      <c r="W1538" s="1">
        <f>fNotasFiscais[[#This Row],[Data da Coleta]]+fNotasFiscais[[#This Row],[Prazo Contratado]]</f>
        <v>43567</v>
      </c>
      <c r="X1538" s="3">
        <f>IF(fNotasFiscais[[#This Row],[Data da Entrega]]&gt;fNotasFiscais[[#This Row],[Data Contratada]],0,1)</f>
        <v>1</v>
      </c>
      <c r="Y1538" s="3">
        <f>IF(fNotasFiscais[[#This Row],[Ocorrência]]="",1,0)</f>
        <v>1</v>
      </c>
      <c r="Z1538" s="2">
        <f>fNotasFiscais[[#This Row],[On Time]]*fNotasFiscais[[#This Row],[In Full]]</f>
        <v>1</v>
      </c>
      <c r="AA1538">
        <f>IF(fNotasFiscais[[#This Row],[Nota Fiscal]]&lt;&gt;"",1,0)</f>
        <v>1</v>
      </c>
    </row>
    <row r="1539" spans="1:27" x14ac:dyDescent="0.25">
      <c r="A1539" s="1">
        <v>43563</v>
      </c>
      <c r="B1539">
        <v>11948</v>
      </c>
      <c r="C1539" s="2" t="s">
        <v>54</v>
      </c>
      <c r="D1539" s="2" t="s">
        <v>55</v>
      </c>
      <c r="E1539" s="2" t="s">
        <v>56</v>
      </c>
      <c r="F1539">
        <v>4040</v>
      </c>
      <c r="G1539" s="2" t="s">
        <v>117</v>
      </c>
      <c r="H1539" s="2" t="s">
        <v>47</v>
      </c>
      <c r="I1539" s="2" t="s">
        <v>48</v>
      </c>
      <c r="J1539" s="2" t="s">
        <v>49</v>
      </c>
      <c r="K1539" s="2" t="s">
        <v>48</v>
      </c>
      <c r="L1539">
        <v>277.24</v>
      </c>
      <c r="M1539">
        <v>2</v>
      </c>
      <c r="N1539">
        <v>1.5169999999999999</v>
      </c>
      <c r="O1539">
        <v>6100231</v>
      </c>
      <c r="P1539" s="2" t="s">
        <v>50</v>
      </c>
      <c r="Q1539" s="2" t="s">
        <v>51</v>
      </c>
      <c r="R1539" s="2" t="s">
        <v>30</v>
      </c>
      <c r="S1539">
        <v>8</v>
      </c>
      <c r="T1539" s="1">
        <v>43564</v>
      </c>
      <c r="U1539" s="1">
        <v>43572</v>
      </c>
      <c r="V1539" s="2"/>
      <c r="W1539" s="1">
        <f>fNotasFiscais[[#This Row],[Data da Coleta]]+fNotasFiscais[[#This Row],[Prazo Contratado]]</f>
        <v>43572</v>
      </c>
      <c r="X1539" s="3">
        <f>IF(fNotasFiscais[[#This Row],[Data da Entrega]]&gt;fNotasFiscais[[#This Row],[Data Contratada]],0,1)</f>
        <v>1</v>
      </c>
      <c r="Y1539" s="3">
        <f>IF(fNotasFiscais[[#This Row],[Ocorrência]]="",1,0)</f>
        <v>1</v>
      </c>
      <c r="Z1539" s="2">
        <f>fNotasFiscais[[#This Row],[On Time]]*fNotasFiscais[[#This Row],[In Full]]</f>
        <v>1</v>
      </c>
      <c r="AA1539">
        <f>IF(fNotasFiscais[[#This Row],[Nota Fiscal]]&lt;&gt;"",1,0)</f>
        <v>1</v>
      </c>
    </row>
    <row r="1540" spans="1:27" x14ac:dyDescent="0.25">
      <c r="A1540" s="1">
        <v>43563</v>
      </c>
      <c r="B1540">
        <v>11949</v>
      </c>
      <c r="C1540" s="2" t="s">
        <v>40</v>
      </c>
      <c r="D1540" s="2" t="s">
        <v>41</v>
      </c>
      <c r="E1540" s="2" t="s">
        <v>33</v>
      </c>
      <c r="F1540">
        <v>4028</v>
      </c>
      <c r="G1540" s="2" t="s">
        <v>95</v>
      </c>
      <c r="H1540" s="2" t="s">
        <v>26</v>
      </c>
      <c r="I1540" s="2" t="s">
        <v>27</v>
      </c>
      <c r="J1540" s="2" t="s">
        <v>28</v>
      </c>
      <c r="K1540" s="2" t="s">
        <v>27</v>
      </c>
      <c r="L1540">
        <v>94.42</v>
      </c>
      <c r="M1540">
        <v>1</v>
      </c>
      <c r="N1540">
        <v>1.1200000000000001</v>
      </c>
      <c r="O1540">
        <v>6500948</v>
      </c>
      <c r="P1540" s="2" t="s">
        <v>29</v>
      </c>
      <c r="Q1540" s="2" t="s">
        <v>23</v>
      </c>
      <c r="R1540" s="2" t="s">
        <v>30</v>
      </c>
      <c r="S1540">
        <v>5</v>
      </c>
      <c r="T1540" s="1">
        <v>43564</v>
      </c>
      <c r="U1540" s="1">
        <v>43574</v>
      </c>
      <c r="V1540" s="2"/>
      <c r="W1540" s="1">
        <f>fNotasFiscais[[#This Row],[Data da Coleta]]+fNotasFiscais[[#This Row],[Prazo Contratado]]</f>
        <v>43569</v>
      </c>
      <c r="X1540" s="3">
        <f>IF(fNotasFiscais[[#This Row],[Data da Entrega]]&gt;fNotasFiscais[[#This Row],[Data Contratada]],0,1)</f>
        <v>0</v>
      </c>
      <c r="Y1540" s="3">
        <f>IF(fNotasFiscais[[#This Row],[Ocorrência]]="",1,0)</f>
        <v>1</v>
      </c>
      <c r="Z1540" s="2">
        <f>fNotasFiscais[[#This Row],[On Time]]*fNotasFiscais[[#This Row],[In Full]]</f>
        <v>0</v>
      </c>
      <c r="AA1540">
        <f>IF(fNotasFiscais[[#This Row],[Nota Fiscal]]&lt;&gt;"",1,0)</f>
        <v>1</v>
      </c>
    </row>
    <row r="1541" spans="1:27" x14ac:dyDescent="0.25">
      <c r="A1541" s="1">
        <v>43564</v>
      </c>
      <c r="B1541">
        <v>11950</v>
      </c>
      <c r="C1541" s="2" t="s">
        <v>43</v>
      </c>
      <c r="D1541" s="2" t="s">
        <v>44</v>
      </c>
      <c r="E1541" s="2" t="s">
        <v>45</v>
      </c>
      <c r="F1541">
        <v>4132</v>
      </c>
      <c r="G1541" s="2" t="s">
        <v>215</v>
      </c>
      <c r="H1541" s="2" t="s">
        <v>183</v>
      </c>
      <c r="I1541" s="2" t="s">
        <v>33</v>
      </c>
      <c r="J1541" s="2" t="s">
        <v>60</v>
      </c>
      <c r="K1541" s="2" t="s">
        <v>33</v>
      </c>
      <c r="L1541">
        <v>1366.32</v>
      </c>
      <c r="M1541">
        <v>1</v>
      </c>
      <c r="N1541">
        <v>1.1200000000000001</v>
      </c>
      <c r="O1541">
        <v>6400835</v>
      </c>
      <c r="P1541" s="2" t="s">
        <v>130</v>
      </c>
      <c r="Q1541" s="2" t="s">
        <v>131</v>
      </c>
      <c r="R1541" s="2" t="s">
        <v>30</v>
      </c>
      <c r="S1541">
        <v>1</v>
      </c>
      <c r="T1541" s="1">
        <v>43565</v>
      </c>
      <c r="U1541" s="1">
        <v>43569</v>
      </c>
      <c r="V1541" s="2"/>
      <c r="W1541" s="1">
        <f>fNotasFiscais[[#This Row],[Data da Coleta]]+fNotasFiscais[[#This Row],[Prazo Contratado]]</f>
        <v>43566</v>
      </c>
      <c r="X1541" s="3">
        <f>IF(fNotasFiscais[[#This Row],[Data da Entrega]]&gt;fNotasFiscais[[#This Row],[Data Contratada]],0,1)</f>
        <v>0</v>
      </c>
      <c r="Y1541" s="3">
        <f>IF(fNotasFiscais[[#This Row],[Ocorrência]]="",1,0)</f>
        <v>1</v>
      </c>
      <c r="Z1541" s="2">
        <f>fNotasFiscais[[#This Row],[On Time]]*fNotasFiscais[[#This Row],[In Full]]</f>
        <v>0</v>
      </c>
      <c r="AA1541">
        <f>IF(fNotasFiscais[[#This Row],[Nota Fiscal]]&lt;&gt;"",1,0)</f>
        <v>1</v>
      </c>
    </row>
    <row r="1542" spans="1:27" x14ac:dyDescent="0.25">
      <c r="A1542" s="1">
        <v>43564</v>
      </c>
      <c r="B1542">
        <v>11951</v>
      </c>
      <c r="C1542" s="2" t="s">
        <v>54</v>
      </c>
      <c r="D1542" s="2" t="s">
        <v>55</v>
      </c>
      <c r="E1542" s="2" t="s">
        <v>56</v>
      </c>
      <c r="F1542">
        <v>4128</v>
      </c>
      <c r="G1542" s="2" t="s">
        <v>211</v>
      </c>
      <c r="H1542" s="2" t="s">
        <v>167</v>
      </c>
      <c r="I1542" s="2" t="s">
        <v>168</v>
      </c>
      <c r="J1542" s="2" t="s">
        <v>169</v>
      </c>
      <c r="K1542" s="2" t="s">
        <v>168</v>
      </c>
      <c r="L1542">
        <v>568.34</v>
      </c>
      <c r="M1542">
        <v>2</v>
      </c>
      <c r="N1542">
        <v>4.7469999999999999</v>
      </c>
      <c r="O1542">
        <v>6900304</v>
      </c>
      <c r="P1542" s="2" t="s">
        <v>170</v>
      </c>
      <c r="Q1542" s="2" t="s">
        <v>171</v>
      </c>
      <c r="R1542" s="2" t="s">
        <v>30</v>
      </c>
      <c r="S1542">
        <v>2</v>
      </c>
      <c r="T1542" s="1">
        <v>43565</v>
      </c>
      <c r="U1542" s="1">
        <v>43567</v>
      </c>
      <c r="V1542" s="2" t="s">
        <v>42</v>
      </c>
      <c r="W1542" s="1">
        <f>fNotasFiscais[[#This Row],[Data da Coleta]]+fNotasFiscais[[#This Row],[Prazo Contratado]]</f>
        <v>43567</v>
      </c>
      <c r="X1542" s="3">
        <f>IF(fNotasFiscais[[#This Row],[Data da Entrega]]&gt;fNotasFiscais[[#This Row],[Data Contratada]],0,1)</f>
        <v>1</v>
      </c>
      <c r="Y1542" s="3">
        <f>IF(fNotasFiscais[[#This Row],[Ocorrência]]="",1,0)</f>
        <v>0</v>
      </c>
      <c r="Z1542" s="2">
        <f>fNotasFiscais[[#This Row],[On Time]]*fNotasFiscais[[#This Row],[In Full]]</f>
        <v>0</v>
      </c>
      <c r="AA1542">
        <f>IF(fNotasFiscais[[#This Row],[Nota Fiscal]]&lt;&gt;"",1,0)</f>
        <v>1</v>
      </c>
    </row>
    <row r="1543" spans="1:27" x14ac:dyDescent="0.25">
      <c r="A1543" s="1">
        <v>43564</v>
      </c>
      <c r="B1543">
        <v>11952</v>
      </c>
      <c r="C1543" s="2" t="s">
        <v>40</v>
      </c>
      <c r="D1543" s="2" t="s">
        <v>41</v>
      </c>
      <c r="E1543" s="2" t="s">
        <v>33</v>
      </c>
      <c r="F1543">
        <v>4068</v>
      </c>
      <c r="G1543" s="2" t="s">
        <v>63</v>
      </c>
      <c r="H1543" s="2" t="s">
        <v>64</v>
      </c>
      <c r="I1543" s="2" t="s">
        <v>65</v>
      </c>
      <c r="J1543" s="2" t="s">
        <v>49</v>
      </c>
      <c r="K1543" s="2" t="s">
        <v>65</v>
      </c>
      <c r="L1543">
        <v>98.36</v>
      </c>
      <c r="M1543">
        <v>1</v>
      </c>
      <c r="N1543">
        <v>1.1200000000000001</v>
      </c>
      <c r="O1543">
        <v>6100231</v>
      </c>
      <c r="P1543" s="2" t="s">
        <v>50</v>
      </c>
      <c r="Q1543" s="2" t="s">
        <v>51</v>
      </c>
      <c r="R1543" s="2" t="s">
        <v>30</v>
      </c>
      <c r="S1543">
        <v>10</v>
      </c>
      <c r="T1543" s="1">
        <v>43565</v>
      </c>
      <c r="U1543" s="1">
        <v>43568</v>
      </c>
      <c r="V1543" s="2"/>
      <c r="W1543" s="1">
        <f>fNotasFiscais[[#This Row],[Data da Coleta]]+fNotasFiscais[[#This Row],[Prazo Contratado]]</f>
        <v>43575</v>
      </c>
      <c r="X1543" s="3">
        <f>IF(fNotasFiscais[[#This Row],[Data da Entrega]]&gt;fNotasFiscais[[#This Row],[Data Contratada]],0,1)</f>
        <v>1</v>
      </c>
      <c r="Y1543" s="3">
        <f>IF(fNotasFiscais[[#This Row],[Ocorrência]]="",1,0)</f>
        <v>1</v>
      </c>
      <c r="Z1543" s="2">
        <f>fNotasFiscais[[#This Row],[On Time]]*fNotasFiscais[[#This Row],[In Full]]</f>
        <v>1</v>
      </c>
      <c r="AA1543">
        <f>IF(fNotasFiscais[[#This Row],[Nota Fiscal]]&lt;&gt;"",1,0)</f>
        <v>1</v>
      </c>
    </row>
    <row r="1544" spans="1:27" x14ac:dyDescent="0.25">
      <c r="A1544" s="1">
        <v>43564</v>
      </c>
      <c r="B1544">
        <v>11953</v>
      </c>
      <c r="C1544" s="2" t="s">
        <v>22</v>
      </c>
      <c r="D1544" s="2" t="s">
        <v>23</v>
      </c>
      <c r="E1544" s="2" t="s">
        <v>24</v>
      </c>
      <c r="F1544">
        <v>4023</v>
      </c>
      <c r="G1544" s="2" t="s">
        <v>88</v>
      </c>
      <c r="H1544" s="2" t="s">
        <v>78</v>
      </c>
      <c r="I1544" s="2" t="s">
        <v>39</v>
      </c>
      <c r="J1544" s="2" t="s">
        <v>28</v>
      </c>
      <c r="K1544" s="2" t="s">
        <v>39</v>
      </c>
      <c r="L1544">
        <v>541.78</v>
      </c>
      <c r="M1544">
        <v>1</v>
      </c>
      <c r="N1544">
        <v>1.1200000000000001</v>
      </c>
      <c r="O1544">
        <v>6500948</v>
      </c>
      <c r="P1544" s="2" t="s">
        <v>29</v>
      </c>
      <c r="Q1544" s="2" t="s">
        <v>23</v>
      </c>
      <c r="R1544" s="2" t="s">
        <v>30</v>
      </c>
      <c r="S1544">
        <v>7</v>
      </c>
      <c r="T1544" s="1">
        <v>43565</v>
      </c>
      <c r="U1544" s="1">
        <v>43568</v>
      </c>
      <c r="V1544" s="2" t="s">
        <v>42</v>
      </c>
      <c r="W1544" s="1">
        <f>fNotasFiscais[[#This Row],[Data da Coleta]]+fNotasFiscais[[#This Row],[Prazo Contratado]]</f>
        <v>43572</v>
      </c>
      <c r="X1544" s="3">
        <f>IF(fNotasFiscais[[#This Row],[Data da Entrega]]&gt;fNotasFiscais[[#This Row],[Data Contratada]],0,1)</f>
        <v>1</v>
      </c>
      <c r="Y1544" s="3">
        <f>IF(fNotasFiscais[[#This Row],[Ocorrência]]="",1,0)</f>
        <v>0</v>
      </c>
      <c r="Z1544" s="2">
        <f>fNotasFiscais[[#This Row],[On Time]]*fNotasFiscais[[#This Row],[In Full]]</f>
        <v>0</v>
      </c>
      <c r="AA1544">
        <f>IF(fNotasFiscais[[#This Row],[Nota Fiscal]]&lt;&gt;"",1,0)</f>
        <v>1</v>
      </c>
    </row>
    <row r="1545" spans="1:27" x14ac:dyDescent="0.25">
      <c r="A1545" s="1">
        <v>43566</v>
      </c>
      <c r="B1545">
        <v>11954</v>
      </c>
      <c r="C1545" s="2" t="s">
        <v>31</v>
      </c>
      <c r="D1545" s="2" t="s">
        <v>32</v>
      </c>
      <c r="E1545" s="2" t="s">
        <v>33</v>
      </c>
      <c r="F1545">
        <v>4141</v>
      </c>
      <c r="G1545" s="2" t="s">
        <v>224</v>
      </c>
      <c r="H1545" s="2" t="s">
        <v>44</v>
      </c>
      <c r="I1545" s="2" t="s">
        <v>45</v>
      </c>
      <c r="J1545" s="2" t="s">
        <v>60</v>
      </c>
      <c r="K1545" s="2" t="s">
        <v>45</v>
      </c>
      <c r="L1545">
        <v>888.52</v>
      </c>
      <c r="M1545">
        <v>1</v>
      </c>
      <c r="N1545">
        <v>3.2909999999999999</v>
      </c>
      <c r="O1545">
        <v>6140092</v>
      </c>
      <c r="P1545" s="2" t="s">
        <v>137</v>
      </c>
      <c r="Q1545" s="2" t="s">
        <v>138</v>
      </c>
      <c r="R1545" s="2" t="s">
        <v>30</v>
      </c>
      <c r="S1545">
        <v>5</v>
      </c>
      <c r="T1545" s="1">
        <v>43567</v>
      </c>
      <c r="U1545" s="1">
        <v>43575</v>
      </c>
      <c r="V1545" s="2"/>
      <c r="W1545" s="1">
        <f>fNotasFiscais[[#This Row],[Data da Coleta]]+fNotasFiscais[[#This Row],[Prazo Contratado]]</f>
        <v>43572</v>
      </c>
      <c r="X1545" s="3">
        <f>IF(fNotasFiscais[[#This Row],[Data da Entrega]]&gt;fNotasFiscais[[#This Row],[Data Contratada]],0,1)</f>
        <v>0</v>
      </c>
      <c r="Y1545" s="3">
        <f>IF(fNotasFiscais[[#This Row],[Ocorrência]]="",1,0)</f>
        <v>1</v>
      </c>
      <c r="Z1545" s="2">
        <f>fNotasFiscais[[#This Row],[On Time]]*fNotasFiscais[[#This Row],[In Full]]</f>
        <v>0</v>
      </c>
      <c r="AA1545">
        <f>IF(fNotasFiscais[[#This Row],[Nota Fiscal]]&lt;&gt;"",1,0)</f>
        <v>1</v>
      </c>
    </row>
    <row r="1546" spans="1:27" x14ac:dyDescent="0.25">
      <c r="A1546" s="1">
        <v>43566</v>
      </c>
      <c r="B1546">
        <v>11955</v>
      </c>
      <c r="C1546" s="2" t="s">
        <v>31</v>
      </c>
      <c r="D1546" s="2" t="s">
        <v>32</v>
      </c>
      <c r="E1546" s="2" t="s">
        <v>33</v>
      </c>
      <c r="F1546">
        <v>4069</v>
      </c>
      <c r="G1546" s="2" t="s">
        <v>135</v>
      </c>
      <c r="H1546" s="2" t="s">
        <v>47</v>
      </c>
      <c r="I1546" s="2" t="s">
        <v>48</v>
      </c>
      <c r="J1546" s="2" t="s">
        <v>49</v>
      </c>
      <c r="K1546" s="2" t="s">
        <v>48</v>
      </c>
      <c r="L1546">
        <v>1470.11</v>
      </c>
      <c r="M1546">
        <v>1</v>
      </c>
      <c r="N1546">
        <v>1.1200000000000001</v>
      </c>
      <c r="O1546">
        <v>6100231</v>
      </c>
      <c r="P1546" s="2" t="s">
        <v>50</v>
      </c>
      <c r="Q1546" s="2" t="s">
        <v>51</v>
      </c>
      <c r="R1546" s="2" t="s">
        <v>30</v>
      </c>
      <c r="S1546">
        <v>5</v>
      </c>
      <c r="T1546" s="1">
        <v>43567</v>
      </c>
      <c r="U1546" s="1">
        <v>43572</v>
      </c>
      <c r="V1546" s="2"/>
      <c r="W1546" s="1">
        <f>fNotasFiscais[[#This Row],[Data da Coleta]]+fNotasFiscais[[#This Row],[Prazo Contratado]]</f>
        <v>43572</v>
      </c>
      <c r="X1546" s="3">
        <f>IF(fNotasFiscais[[#This Row],[Data da Entrega]]&gt;fNotasFiscais[[#This Row],[Data Contratada]],0,1)</f>
        <v>1</v>
      </c>
      <c r="Y1546" s="3">
        <f>IF(fNotasFiscais[[#This Row],[Ocorrência]]="",1,0)</f>
        <v>1</v>
      </c>
      <c r="Z1546" s="2">
        <f>fNotasFiscais[[#This Row],[On Time]]*fNotasFiscais[[#This Row],[In Full]]</f>
        <v>1</v>
      </c>
      <c r="AA1546">
        <f>IF(fNotasFiscais[[#This Row],[Nota Fiscal]]&lt;&gt;"",1,0)</f>
        <v>1</v>
      </c>
    </row>
    <row r="1547" spans="1:27" x14ac:dyDescent="0.25">
      <c r="A1547" s="1">
        <v>43567</v>
      </c>
      <c r="B1547">
        <v>11956</v>
      </c>
      <c r="C1547" s="2" t="s">
        <v>22</v>
      </c>
      <c r="D1547" s="2" t="s">
        <v>23</v>
      </c>
      <c r="E1547" s="2" t="s">
        <v>24</v>
      </c>
      <c r="F1547">
        <v>4133</v>
      </c>
      <c r="G1547" s="2" t="s">
        <v>216</v>
      </c>
      <c r="H1547" s="2" t="s">
        <v>35</v>
      </c>
      <c r="I1547" s="2" t="s">
        <v>36</v>
      </c>
      <c r="J1547" s="2" t="s">
        <v>60</v>
      </c>
      <c r="K1547" s="2" t="s">
        <v>36</v>
      </c>
      <c r="L1547">
        <v>238.81</v>
      </c>
      <c r="M1547">
        <v>1</v>
      </c>
      <c r="N1547">
        <v>7.6999999999999999E-2</v>
      </c>
      <c r="O1547">
        <v>6600879</v>
      </c>
      <c r="P1547" s="2" t="s">
        <v>61</v>
      </c>
      <c r="Q1547" s="2" t="s">
        <v>35</v>
      </c>
      <c r="R1547" s="2" t="s">
        <v>30</v>
      </c>
      <c r="S1547">
        <v>4</v>
      </c>
      <c r="T1547" s="1">
        <v>43568</v>
      </c>
      <c r="U1547" s="1">
        <v>43575</v>
      </c>
      <c r="V1547" s="2"/>
      <c r="W1547" s="1">
        <f>fNotasFiscais[[#This Row],[Data da Coleta]]+fNotasFiscais[[#This Row],[Prazo Contratado]]</f>
        <v>43572</v>
      </c>
      <c r="X1547" s="3">
        <f>IF(fNotasFiscais[[#This Row],[Data da Entrega]]&gt;fNotasFiscais[[#This Row],[Data Contratada]],0,1)</f>
        <v>0</v>
      </c>
      <c r="Y1547" s="3">
        <f>IF(fNotasFiscais[[#This Row],[Ocorrência]]="",1,0)</f>
        <v>1</v>
      </c>
      <c r="Z1547" s="2">
        <f>fNotasFiscais[[#This Row],[On Time]]*fNotasFiscais[[#This Row],[In Full]]</f>
        <v>0</v>
      </c>
      <c r="AA1547">
        <f>IF(fNotasFiscais[[#This Row],[Nota Fiscal]]&lt;&gt;"",1,0)</f>
        <v>1</v>
      </c>
    </row>
    <row r="1548" spans="1:27" x14ac:dyDescent="0.25">
      <c r="A1548" s="1">
        <v>43567</v>
      </c>
      <c r="B1548">
        <v>11957</v>
      </c>
      <c r="C1548" s="2" t="s">
        <v>31</v>
      </c>
      <c r="D1548" s="2" t="s">
        <v>32</v>
      </c>
      <c r="E1548" s="2" t="s">
        <v>33</v>
      </c>
      <c r="F1548">
        <v>4069</v>
      </c>
      <c r="G1548" s="2" t="s">
        <v>135</v>
      </c>
      <c r="H1548" s="2" t="s">
        <v>47</v>
      </c>
      <c r="I1548" s="2" t="s">
        <v>48</v>
      </c>
      <c r="J1548" s="2" t="s">
        <v>49</v>
      </c>
      <c r="K1548" s="2" t="s">
        <v>48</v>
      </c>
      <c r="L1548">
        <v>67.78</v>
      </c>
      <c r="M1548">
        <v>1</v>
      </c>
      <c r="N1548">
        <v>58.643000000000001</v>
      </c>
      <c r="O1548">
        <v>6100231</v>
      </c>
      <c r="P1548" s="2" t="s">
        <v>50</v>
      </c>
      <c r="Q1548" s="2" t="s">
        <v>51</v>
      </c>
      <c r="R1548" s="2" t="s">
        <v>30</v>
      </c>
      <c r="S1548">
        <v>8</v>
      </c>
      <c r="T1548" s="1">
        <v>43568</v>
      </c>
      <c r="U1548" s="1">
        <v>43573</v>
      </c>
      <c r="V1548" s="2"/>
      <c r="W1548" s="1">
        <f>fNotasFiscais[[#This Row],[Data da Coleta]]+fNotasFiscais[[#This Row],[Prazo Contratado]]</f>
        <v>43576</v>
      </c>
      <c r="X1548" s="3">
        <f>IF(fNotasFiscais[[#This Row],[Data da Entrega]]&gt;fNotasFiscais[[#This Row],[Data Contratada]],0,1)</f>
        <v>1</v>
      </c>
      <c r="Y1548" s="3">
        <f>IF(fNotasFiscais[[#This Row],[Ocorrência]]="",1,0)</f>
        <v>1</v>
      </c>
      <c r="Z1548" s="2">
        <f>fNotasFiscais[[#This Row],[On Time]]*fNotasFiscais[[#This Row],[In Full]]</f>
        <v>1</v>
      </c>
      <c r="AA1548">
        <f>IF(fNotasFiscais[[#This Row],[Nota Fiscal]]&lt;&gt;"",1,0)</f>
        <v>1</v>
      </c>
    </row>
    <row r="1549" spans="1:27" x14ac:dyDescent="0.25">
      <c r="A1549" s="1">
        <v>43567</v>
      </c>
      <c r="B1549">
        <v>11958</v>
      </c>
      <c r="C1549" s="2" t="s">
        <v>31</v>
      </c>
      <c r="D1549" s="2" t="s">
        <v>32</v>
      </c>
      <c r="E1549" s="2" t="s">
        <v>33</v>
      </c>
      <c r="F1549">
        <v>4013</v>
      </c>
      <c r="G1549" s="2" t="s">
        <v>37</v>
      </c>
      <c r="H1549" s="2" t="s">
        <v>38</v>
      </c>
      <c r="I1549" s="2" t="s">
        <v>39</v>
      </c>
      <c r="J1549" s="2" t="s">
        <v>28</v>
      </c>
      <c r="K1549" s="2" t="s">
        <v>39</v>
      </c>
      <c r="L1549">
        <v>106.89</v>
      </c>
      <c r="M1549">
        <v>1</v>
      </c>
      <c r="N1549">
        <v>1.1200000000000001</v>
      </c>
      <c r="O1549">
        <v>6500948</v>
      </c>
      <c r="P1549" s="2" t="s">
        <v>29</v>
      </c>
      <c r="Q1549" s="2" t="s">
        <v>23</v>
      </c>
      <c r="R1549" s="2" t="s">
        <v>30</v>
      </c>
      <c r="S1549">
        <v>11</v>
      </c>
      <c r="T1549" s="1">
        <v>43568</v>
      </c>
      <c r="U1549" s="1">
        <v>43571</v>
      </c>
      <c r="V1549" s="2"/>
      <c r="W1549" s="1">
        <f>fNotasFiscais[[#This Row],[Data da Coleta]]+fNotasFiscais[[#This Row],[Prazo Contratado]]</f>
        <v>43579</v>
      </c>
      <c r="X1549" s="3">
        <f>IF(fNotasFiscais[[#This Row],[Data da Entrega]]&gt;fNotasFiscais[[#This Row],[Data Contratada]],0,1)</f>
        <v>1</v>
      </c>
      <c r="Y1549" s="3">
        <f>IF(fNotasFiscais[[#This Row],[Ocorrência]]="",1,0)</f>
        <v>1</v>
      </c>
      <c r="Z1549" s="2">
        <f>fNotasFiscais[[#This Row],[On Time]]*fNotasFiscais[[#This Row],[In Full]]</f>
        <v>1</v>
      </c>
      <c r="AA1549">
        <f>IF(fNotasFiscais[[#This Row],[Nota Fiscal]]&lt;&gt;"",1,0)</f>
        <v>1</v>
      </c>
    </row>
    <row r="1550" spans="1:27" x14ac:dyDescent="0.25">
      <c r="A1550" s="1">
        <v>43570</v>
      </c>
      <c r="B1550">
        <v>11959</v>
      </c>
      <c r="C1550" s="2" t="s">
        <v>34</v>
      </c>
      <c r="D1550" s="2" t="s">
        <v>35</v>
      </c>
      <c r="E1550" s="2" t="s">
        <v>36</v>
      </c>
      <c r="F1550">
        <v>4022</v>
      </c>
      <c r="G1550" s="2" t="s">
        <v>86</v>
      </c>
      <c r="H1550" s="2" t="s">
        <v>87</v>
      </c>
      <c r="I1550" s="2" t="s">
        <v>27</v>
      </c>
      <c r="J1550" s="2" t="s">
        <v>28</v>
      </c>
      <c r="K1550" s="2" t="s">
        <v>27</v>
      </c>
      <c r="L1550">
        <v>4706.18</v>
      </c>
      <c r="M1550">
        <v>2</v>
      </c>
      <c r="N1550">
        <v>10.189</v>
      </c>
      <c r="O1550">
        <v>6500948</v>
      </c>
      <c r="P1550" s="2" t="s">
        <v>29</v>
      </c>
      <c r="Q1550" s="2" t="s">
        <v>23</v>
      </c>
      <c r="R1550" s="2" t="s">
        <v>30</v>
      </c>
      <c r="S1550">
        <v>11</v>
      </c>
      <c r="T1550" s="1">
        <v>43571</v>
      </c>
      <c r="U1550" s="1">
        <v>43574</v>
      </c>
      <c r="V1550" s="2"/>
      <c r="W1550" s="1">
        <f>fNotasFiscais[[#This Row],[Data da Coleta]]+fNotasFiscais[[#This Row],[Prazo Contratado]]</f>
        <v>43582</v>
      </c>
      <c r="X1550" s="3">
        <f>IF(fNotasFiscais[[#This Row],[Data da Entrega]]&gt;fNotasFiscais[[#This Row],[Data Contratada]],0,1)</f>
        <v>1</v>
      </c>
      <c r="Y1550" s="3">
        <f>IF(fNotasFiscais[[#This Row],[Ocorrência]]="",1,0)</f>
        <v>1</v>
      </c>
      <c r="Z1550" s="2">
        <f>fNotasFiscais[[#This Row],[On Time]]*fNotasFiscais[[#This Row],[In Full]]</f>
        <v>1</v>
      </c>
      <c r="AA1550">
        <f>IF(fNotasFiscais[[#This Row],[Nota Fiscal]]&lt;&gt;"",1,0)</f>
        <v>1</v>
      </c>
    </row>
    <row r="1551" spans="1:27" x14ac:dyDescent="0.25">
      <c r="A1551" s="1">
        <v>43571</v>
      </c>
      <c r="B1551">
        <v>11960</v>
      </c>
      <c r="C1551" s="2" t="s">
        <v>22</v>
      </c>
      <c r="D1551" s="2" t="s">
        <v>23</v>
      </c>
      <c r="E1551" s="2" t="s">
        <v>24</v>
      </c>
      <c r="F1551">
        <v>4032</v>
      </c>
      <c r="G1551" s="2" t="s">
        <v>108</v>
      </c>
      <c r="H1551" s="2" t="s">
        <v>51</v>
      </c>
      <c r="I1551" s="2" t="s">
        <v>73</v>
      </c>
      <c r="J1551" s="2" t="s">
        <v>49</v>
      </c>
      <c r="K1551" s="2" t="s">
        <v>73</v>
      </c>
      <c r="L1551">
        <v>1136.42</v>
      </c>
      <c r="M1551">
        <v>1</v>
      </c>
      <c r="N1551">
        <v>1.1200000000000001</v>
      </c>
      <c r="O1551">
        <v>6100231</v>
      </c>
      <c r="P1551" s="2" t="s">
        <v>50</v>
      </c>
      <c r="Q1551" s="2" t="s">
        <v>51</v>
      </c>
      <c r="R1551" s="2" t="s">
        <v>30</v>
      </c>
      <c r="S1551">
        <v>2</v>
      </c>
      <c r="T1551" s="1">
        <v>43572</v>
      </c>
      <c r="U1551" s="1">
        <v>43574</v>
      </c>
      <c r="V1551" s="2"/>
      <c r="W1551" s="1">
        <f>fNotasFiscais[[#This Row],[Data da Coleta]]+fNotasFiscais[[#This Row],[Prazo Contratado]]</f>
        <v>43574</v>
      </c>
      <c r="X1551" s="3">
        <f>IF(fNotasFiscais[[#This Row],[Data da Entrega]]&gt;fNotasFiscais[[#This Row],[Data Contratada]],0,1)</f>
        <v>1</v>
      </c>
      <c r="Y1551" s="3">
        <f>IF(fNotasFiscais[[#This Row],[Ocorrência]]="",1,0)</f>
        <v>1</v>
      </c>
      <c r="Z1551" s="2">
        <f>fNotasFiscais[[#This Row],[On Time]]*fNotasFiscais[[#This Row],[In Full]]</f>
        <v>1</v>
      </c>
      <c r="AA1551">
        <f>IF(fNotasFiscais[[#This Row],[Nota Fiscal]]&lt;&gt;"",1,0)</f>
        <v>1</v>
      </c>
    </row>
    <row r="1552" spans="1:27" x14ac:dyDescent="0.25">
      <c r="A1552" s="1">
        <v>43572</v>
      </c>
      <c r="B1552">
        <v>11961</v>
      </c>
      <c r="C1552" s="2" t="s">
        <v>40</v>
      </c>
      <c r="D1552" s="2" t="s">
        <v>41</v>
      </c>
      <c r="E1552" s="2" t="s">
        <v>33</v>
      </c>
      <c r="F1552">
        <v>4014</v>
      </c>
      <c r="G1552" s="2" t="s">
        <v>58</v>
      </c>
      <c r="H1552" s="2" t="s">
        <v>59</v>
      </c>
      <c r="I1552" s="2" t="s">
        <v>36</v>
      </c>
      <c r="J1552" s="2" t="s">
        <v>60</v>
      </c>
      <c r="K1552" s="2" t="s">
        <v>36</v>
      </c>
      <c r="L1552">
        <v>413.82</v>
      </c>
      <c r="M1552">
        <v>3</v>
      </c>
      <c r="N1552">
        <v>6.923</v>
      </c>
      <c r="O1552">
        <v>6600879</v>
      </c>
      <c r="P1552" s="2" t="s">
        <v>61</v>
      </c>
      <c r="Q1552" s="2" t="s">
        <v>35</v>
      </c>
      <c r="R1552" s="2" t="s">
        <v>30</v>
      </c>
      <c r="S1552">
        <v>7</v>
      </c>
      <c r="T1552" s="1">
        <v>43573</v>
      </c>
      <c r="U1552" s="1">
        <v>43582</v>
      </c>
      <c r="V1552" s="2"/>
      <c r="W1552" s="1">
        <f>fNotasFiscais[[#This Row],[Data da Coleta]]+fNotasFiscais[[#This Row],[Prazo Contratado]]</f>
        <v>43580</v>
      </c>
      <c r="X1552" s="3">
        <f>IF(fNotasFiscais[[#This Row],[Data da Entrega]]&gt;fNotasFiscais[[#This Row],[Data Contratada]],0,1)</f>
        <v>0</v>
      </c>
      <c r="Y1552" s="3">
        <f>IF(fNotasFiscais[[#This Row],[Ocorrência]]="",1,0)</f>
        <v>1</v>
      </c>
      <c r="Z1552" s="2">
        <f>fNotasFiscais[[#This Row],[On Time]]*fNotasFiscais[[#This Row],[In Full]]</f>
        <v>0</v>
      </c>
      <c r="AA1552">
        <f>IF(fNotasFiscais[[#This Row],[Nota Fiscal]]&lt;&gt;"",1,0)</f>
        <v>1</v>
      </c>
    </row>
    <row r="1553" spans="1:27" x14ac:dyDescent="0.25">
      <c r="A1553" s="1">
        <v>43572</v>
      </c>
      <c r="B1553">
        <v>11962</v>
      </c>
      <c r="C1553" s="2" t="s">
        <v>31</v>
      </c>
      <c r="D1553" s="2" t="s">
        <v>32</v>
      </c>
      <c r="E1553" s="2" t="s">
        <v>33</v>
      </c>
      <c r="F1553">
        <v>4014</v>
      </c>
      <c r="G1553" s="2" t="s">
        <v>58</v>
      </c>
      <c r="H1553" s="2" t="s">
        <v>59</v>
      </c>
      <c r="I1553" s="2" t="s">
        <v>36</v>
      </c>
      <c r="J1553" s="2" t="s">
        <v>60</v>
      </c>
      <c r="K1553" s="2" t="s">
        <v>36</v>
      </c>
      <c r="L1553">
        <v>3342.26</v>
      </c>
      <c r="M1553">
        <v>1</v>
      </c>
      <c r="N1553">
        <v>1.1200000000000001</v>
      </c>
      <c r="O1553">
        <v>6600879</v>
      </c>
      <c r="P1553" s="2" t="s">
        <v>61</v>
      </c>
      <c r="Q1553" s="2" t="s">
        <v>35</v>
      </c>
      <c r="R1553" s="2" t="s">
        <v>30</v>
      </c>
      <c r="S1553">
        <v>12</v>
      </c>
      <c r="T1553" s="1">
        <v>43573</v>
      </c>
      <c r="U1553" s="1">
        <v>43574</v>
      </c>
      <c r="V1553" s="2"/>
      <c r="W1553" s="1">
        <f>fNotasFiscais[[#This Row],[Data da Coleta]]+fNotasFiscais[[#This Row],[Prazo Contratado]]</f>
        <v>43585</v>
      </c>
      <c r="X1553" s="3">
        <f>IF(fNotasFiscais[[#This Row],[Data da Entrega]]&gt;fNotasFiscais[[#This Row],[Data Contratada]],0,1)</f>
        <v>1</v>
      </c>
      <c r="Y1553" s="3">
        <f>IF(fNotasFiscais[[#This Row],[Ocorrência]]="",1,0)</f>
        <v>1</v>
      </c>
      <c r="Z1553" s="2">
        <f>fNotasFiscais[[#This Row],[On Time]]*fNotasFiscais[[#This Row],[In Full]]</f>
        <v>1</v>
      </c>
      <c r="AA1553">
        <f>IF(fNotasFiscais[[#This Row],[Nota Fiscal]]&lt;&gt;"",1,0)</f>
        <v>1</v>
      </c>
    </row>
    <row r="1554" spans="1:27" x14ac:dyDescent="0.25">
      <c r="A1554" s="1">
        <v>43572</v>
      </c>
      <c r="B1554">
        <v>11963</v>
      </c>
      <c r="C1554" s="2" t="s">
        <v>54</v>
      </c>
      <c r="D1554" s="2" t="s">
        <v>55</v>
      </c>
      <c r="E1554" s="2" t="s">
        <v>56</v>
      </c>
      <c r="F1554">
        <v>4014</v>
      </c>
      <c r="G1554" s="2" t="s">
        <v>58</v>
      </c>
      <c r="H1554" s="2" t="s">
        <v>59</v>
      </c>
      <c r="I1554" s="2" t="s">
        <v>36</v>
      </c>
      <c r="J1554" s="2" t="s">
        <v>60</v>
      </c>
      <c r="K1554" s="2" t="s">
        <v>36</v>
      </c>
      <c r="L1554">
        <v>568.28</v>
      </c>
      <c r="M1554">
        <v>1</v>
      </c>
      <c r="N1554">
        <v>1.1200000000000001</v>
      </c>
      <c r="O1554">
        <v>6600879</v>
      </c>
      <c r="P1554" s="2" t="s">
        <v>61</v>
      </c>
      <c r="Q1554" s="2" t="s">
        <v>35</v>
      </c>
      <c r="R1554" s="2" t="s">
        <v>30</v>
      </c>
      <c r="S1554">
        <v>9</v>
      </c>
      <c r="T1554" s="1">
        <v>43573</v>
      </c>
      <c r="U1554" s="1">
        <v>43581</v>
      </c>
      <c r="V1554" s="2"/>
      <c r="W1554" s="1">
        <f>fNotasFiscais[[#This Row],[Data da Coleta]]+fNotasFiscais[[#This Row],[Prazo Contratado]]</f>
        <v>43582</v>
      </c>
      <c r="X1554" s="3">
        <f>IF(fNotasFiscais[[#This Row],[Data da Entrega]]&gt;fNotasFiscais[[#This Row],[Data Contratada]],0,1)</f>
        <v>1</v>
      </c>
      <c r="Y1554" s="3">
        <f>IF(fNotasFiscais[[#This Row],[Ocorrência]]="",1,0)</f>
        <v>1</v>
      </c>
      <c r="Z1554" s="2">
        <f>fNotasFiscais[[#This Row],[On Time]]*fNotasFiscais[[#This Row],[In Full]]</f>
        <v>1</v>
      </c>
      <c r="AA1554">
        <f>IF(fNotasFiscais[[#This Row],[Nota Fiscal]]&lt;&gt;"",1,0)</f>
        <v>1</v>
      </c>
    </row>
    <row r="1555" spans="1:27" x14ac:dyDescent="0.25">
      <c r="A1555" s="1">
        <v>43573</v>
      </c>
      <c r="B1555">
        <v>11964</v>
      </c>
      <c r="C1555" s="2" t="s">
        <v>31</v>
      </c>
      <c r="D1555" s="2" t="s">
        <v>32</v>
      </c>
      <c r="E1555" s="2" t="s">
        <v>33</v>
      </c>
      <c r="F1555">
        <v>4023</v>
      </c>
      <c r="G1555" s="2" t="s">
        <v>88</v>
      </c>
      <c r="H1555" s="2" t="s">
        <v>78</v>
      </c>
      <c r="I1555" s="2" t="s">
        <v>39</v>
      </c>
      <c r="J1555" s="2" t="s">
        <v>28</v>
      </c>
      <c r="K1555" s="2" t="s">
        <v>39</v>
      </c>
      <c r="L1555">
        <v>1311.42</v>
      </c>
      <c r="M1555">
        <v>3</v>
      </c>
      <c r="N1555">
        <v>1.32</v>
      </c>
      <c r="O1555">
        <v>6500948</v>
      </c>
      <c r="P1555" s="2" t="s">
        <v>29</v>
      </c>
      <c r="Q1555" s="2" t="s">
        <v>23</v>
      </c>
      <c r="R1555" s="2" t="s">
        <v>30</v>
      </c>
      <c r="S1555">
        <v>12</v>
      </c>
      <c r="T1555" s="1">
        <v>43574</v>
      </c>
      <c r="U1555" s="1">
        <v>43575</v>
      </c>
      <c r="V1555" s="2" t="s">
        <v>57</v>
      </c>
      <c r="W1555" s="1">
        <f>fNotasFiscais[[#This Row],[Data da Coleta]]+fNotasFiscais[[#This Row],[Prazo Contratado]]</f>
        <v>43586</v>
      </c>
      <c r="X1555" s="3">
        <f>IF(fNotasFiscais[[#This Row],[Data da Entrega]]&gt;fNotasFiscais[[#This Row],[Data Contratada]],0,1)</f>
        <v>1</v>
      </c>
      <c r="Y1555" s="3">
        <f>IF(fNotasFiscais[[#This Row],[Ocorrência]]="",1,0)</f>
        <v>0</v>
      </c>
      <c r="Z1555" s="2">
        <f>fNotasFiscais[[#This Row],[On Time]]*fNotasFiscais[[#This Row],[In Full]]</f>
        <v>0</v>
      </c>
      <c r="AA1555">
        <f>IF(fNotasFiscais[[#This Row],[Nota Fiscal]]&lt;&gt;"",1,0)</f>
        <v>1</v>
      </c>
    </row>
    <row r="1556" spans="1:27" x14ac:dyDescent="0.25">
      <c r="A1556" s="1">
        <v>43573</v>
      </c>
      <c r="B1556">
        <v>11965</v>
      </c>
      <c r="C1556" s="2" t="s">
        <v>31</v>
      </c>
      <c r="D1556" s="2" t="s">
        <v>32</v>
      </c>
      <c r="E1556" s="2" t="s">
        <v>33</v>
      </c>
      <c r="F1556">
        <v>4127</v>
      </c>
      <c r="G1556" s="2" t="s">
        <v>210</v>
      </c>
      <c r="H1556" s="2" t="s">
        <v>44</v>
      </c>
      <c r="I1556" s="2" t="s">
        <v>45</v>
      </c>
      <c r="J1556" s="2" t="s">
        <v>60</v>
      </c>
      <c r="K1556" s="2" t="s">
        <v>45</v>
      </c>
      <c r="L1556">
        <v>28338.15</v>
      </c>
      <c r="M1556">
        <v>9</v>
      </c>
      <c r="N1556">
        <v>135.589</v>
      </c>
      <c r="O1556">
        <v>6140092</v>
      </c>
      <c r="P1556" s="2" t="s">
        <v>137</v>
      </c>
      <c r="Q1556" s="2" t="s">
        <v>138</v>
      </c>
      <c r="R1556" s="2" t="s">
        <v>30</v>
      </c>
      <c r="S1556">
        <v>6</v>
      </c>
      <c r="T1556" s="1">
        <v>43574</v>
      </c>
      <c r="U1556" s="1">
        <v>43583</v>
      </c>
      <c r="V1556" s="2"/>
      <c r="W1556" s="1">
        <f>fNotasFiscais[[#This Row],[Data da Coleta]]+fNotasFiscais[[#This Row],[Prazo Contratado]]</f>
        <v>43580</v>
      </c>
      <c r="X1556" s="3">
        <f>IF(fNotasFiscais[[#This Row],[Data da Entrega]]&gt;fNotasFiscais[[#This Row],[Data Contratada]],0,1)</f>
        <v>0</v>
      </c>
      <c r="Y1556" s="3">
        <f>IF(fNotasFiscais[[#This Row],[Ocorrência]]="",1,0)</f>
        <v>1</v>
      </c>
      <c r="Z1556" s="2">
        <f>fNotasFiscais[[#This Row],[On Time]]*fNotasFiscais[[#This Row],[In Full]]</f>
        <v>0</v>
      </c>
      <c r="AA1556">
        <f>IF(fNotasFiscais[[#This Row],[Nota Fiscal]]&lt;&gt;"",1,0)</f>
        <v>1</v>
      </c>
    </row>
    <row r="1557" spans="1:27" x14ac:dyDescent="0.25">
      <c r="A1557" s="1">
        <v>43574</v>
      </c>
      <c r="B1557">
        <v>11966</v>
      </c>
      <c r="C1557" s="2" t="s">
        <v>40</v>
      </c>
      <c r="D1557" s="2" t="s">
        <v>41</v>
      </c>
      <c r="E1557" s="2" t="s">
        <v>33</v>
      </c>
      <c r="F1557">
        <v>4159</v>
      </c>
      <c r="G1557" s="2" t="s">
        <v>242</v>
      </c>
      <c r="H1557" s="2" t="s">
        <v>173</v>
      </c>
      <c r="I1557" s="2" t="s">
        <v>174</v>
      </c>
      <c r="J1557" s="2" t="s">
        <v>175</v>
      </c>
      <c r="K1557" s="2" t="s">
        <v>174</v>
      </c>
      <c r="L1557">
        <v>4369.28</v>
      </c>
      <c r="M1557">
        <v>1</v>
      </c>
      <c r="N1557">
        <v>1.1200000000000001</v>
      </c>
      <c r="O1557">
        <v>6700091</v>
      </c>
      <c r="P1557" s="2" t="s">
        <v>176</v>
      </c>
      <c r="Q1557" s="2" t="s">
        <v>173</v>
      </c>
      <c r="R1557" s="2" t="s">
        <v>30</v>
      </c>
      <c r="S1557">
        <v>10</v>
      </c>
      <c r="T1557" s="1">
        <v>43575</v>
      </c>
      <c r="U1557" s="1">
        <v>43583</v>
      </c>
      <c r="V1557" s="2"/>
      <c r="W1557" s="1">
        <f>fNotasFiscais[[#This Row],[Data da Coleta]]+fNotasFiscais[[#This Row],[Prazo Contratado]]</f>
        <v>43585</v>
      </c>
      <c r="X1557" s="3">
        <f>IF(fNotasFiscais[[#This Row],[Data da Entrega]]&gt;fNotasFiscais[[#This Row],[Data Contratada]],0,1)</f>
        <v>1</v>
      </c>
      <c r="Y1557" s="3">
        <f>IF(fNotasFiscais[[#This Row],[Ocorrência]]="",1,0)</f>
        <v>1</v>
      </c>
      <c r="Z1557" s="2">
        <f>fNotasFiscais[[#This Row],[On Time]]*fNotasFiscais[[#This Row],[In Full]]</f>
        <v>1</v>
      </c>
      <c r="AA1557">
        <f>IF(fNotasFiscais[[#This Row],[Nota Fiscal]]&lt;&gt;"",1,0)</f>
        <v>1</v>
      </c>
    </row>
    <row r="1558" spans="1:27" x14ac:dyDescent="0.25">
      <c r="A1558" s="1">
        <v>43574</v>
      </c>
      <c r="B1558">
        <v>11967</v>
      </c>
      <c r="C1558" s="2" t="s">
        <v>43</v>
      </c>
      <c r="D1558" s="2" t="s">
        <v>44</v>
      </c>
      <c r="E1558" s="2" t="s">
        <v>45</v>
      </c>
      <c r="F1558">
        <v>4160</v>
      </c>
      <c r="G1558" s="2" t="s">
        <v>243</v>
      </c>
      <c r="H1558" s="2" t="s">
        <v>35</v>
      </c>
      <c r="I1558" s="2" t="s">
        <v>36</v>
      </c>
      <c r="J1558" s="2" t="s">
        <v>60</v>
      </c>
      <c r="K1558" s="2" t="s">
        <v>36</v>
      </c>
      <c r="L1558">
        <v>1846.25</v>
      </c>
      <c r="M1558">
        <v>1</v>
      </c>
      <c r="N1558">
        <v>7.0940000000000003</v>
      </c>
      <c r="O1558">
        <v>6600879</v>
      </c>
      <c r="P1558" s="2" t="s">
        <v>61</v>
      </c>
      <c r="Q1558" s="2" t="s">
        <v>35</v>
      </c>
      <c r="R1558" s="2" t="s">
        <v>30</v>
      </c>
      <c r="S1558">
        <v>3</v>
      </c>
      <c r="T1558" s="1">
        <v>43575</v>
      </c>
      <c r="U1558" s="1">
        <v>43580</v>
      </c>
      <c r="V1558" s="2"/>
      <c r="W1558" s="1">
        <f>fNotasFiscais[[#This Row],[Data da Coleta]]+fNotasFiscais[[#This Row],[Prazo Contratado]]</f>
        <v>43578</v>
      </c>
      <c r="X1558" s="3">
        <f>IF(fNotasFiscais[[#This Row],[Data da Entrega]]&gt;fNotasFiscais[[#This Row],[Data Contratada]],0,1)</f>
        <v>0</v>
      </c>
      <c r="Y1558" s="3">
        <f>IF(fNotasFiscais[[#This Row],[Ocorrência]]="",1,0)</f>
        <v>1</v>
      </c>
      <c r="Z1558" s="2">
        <f>fNotasFiscais[[#This Row],[On Time]]*fNotasFiscais[[#This Row],[In Full]]</f>
        <v>0</v>
      </c>
      <c r="AA1558">
        <f>IF(fNotasFiscais[[#This Row],[Nota Fiscal]]&lt;&gt;"",1,0)</f>
        <v>1</v>
      </c>
    </row>
    <row r="1559" spans="1:27" x14ac:dyDescent="0.25">
      <c r="A1559" s="1">
        <v>43574</v>
      </c>
      <c r="B1559">
        <v>11968</v>
      </c>
      <c r="C1559" s="2" t="s">
        <v>54</v>
      </c>
      <c r="D1559" s="2" t="s">
        <v>55</v>
      </c>
      <c r="E1559" s="2" t="s">
        <v>56</v>
      </c>
      <c r="F1559">
        <v>4155</v>
      </c>
      <c r="G1559" s="2" t="s">
        <v>238</v>
      </c>
      <c r="H1559" s="2" t="s">
        <v>32</v>
      </c>
      <c r="I1559" s="2" t="s">
        <v>33</v>
      </c>
      <c r="J1559" s="2" t="s">
        <v>60</v>
      </c>
      <c r="K1559" s="2" t="s">
        <v>33</v>
      </c>
      <c r="L1559">
        <v>356.06</v>
      </c>
      <c r="M1559">
        <v>1</v>
      </c>
      <c r="N1559">
        <v>1.1200000000000001</v>
      </c>
      <c r="O1559">
        <v>6400835</v>
      </c>
      <c r="P1559" s="2" t="s">
        <v>130</v>
      </c>
      <c r="Q1559" s="2" t="s">
        <v>131</v>
      </c>
      <c r="R1559" s="2" t="s">
        <v>30</v>
      </c>
      <c r="S1559">
        <v>1</v>
      </c>
      <c r="T1559" s="1">
        <v>43575</v>
      </c>
      <c r="U1559" s="1">
        <v>43576</v>
      </c>
      <c r="V1559" s="2"/>
      <c r="W1559" s="1">
        <f>fNotasFiscais[[#This Row],[Data da Coleta]]+fNotasFiscais[[#This Row],[Prazo Contratado]]</f>
        <v>43576</v>
      </c>
      <c r="X1559" s="3">
        <f>IF(fNotasFiscais[[#This Row],[Data da Entrega]]&gt;fNotasFiscais[[#This Row],[Data Contratada]],0,1)</f>
        <v>1</v>
      </c>
      <c r="Y1559" s="3">
        <f>IF(fNotasFiscais[[#This Row],[Ocorrência]]="",1,0)</f>
        <v>1</v>
      </c>
      <c r="Z1559" s="2">
        <f>fNotasFiscais[[#This Row],[On Time]]*fNotasFiscais[[#This Row],[In Full]]</f>
        <v>1</v>
      </c>
      <c r="AA1559">
        <f>IF(fNotasFiscais[[#This Row],[Nota Fiscal]]&lt;&gt;"",1,0)</f>
        <v>1</v>
      </c>
    </row>
    <row r="1560" spans="1:27" x14ac:dyDescent="0.25">
      <c r="A1560" s="1">
        <v>43574</v>
      </c>
      <c r="B1560">
        <v>11969</v>
      </c>
      <c r="C1560" s="2" t="s">
        <v>22</v>
      </c>
      <c r="D1560" s="2" t="s">
        <v>23</v>
      </c>
      <c r="E1560" s="2" t="s">
        <v>24</v>
      </c>
      <c r="F1560">
        <v>4142</v>
      </c>
      <c r="G1560" s="2" t="s">
        <v>225</v>
      </c>
      <c r="H1560" s="2" t="s">
        <v>173</v>
      </c>
      <c r="I1560" s="2" t="s">
        <v>174</v>
      </c>
      <c r="J1560" s="2" t="s">
        <v>175</v>
      </c>
      <c r="K1560" s="2" t="s">
        <v>174</v>
      </c>
      <c r="L1560">
        <v>444.75</v>
      </c>
      <c r="M1560">
        <v>2</v>
      </c>
      <c r="N1560">
        <v>0.28899999999999998</v>
      </c>
      <c r="O1560">
        <v>6700091</v>
      </c>
      <c r="P1560" s="2" t="s">
        <v>176</v>
      </c>
      <c r="Q1560" s="2" t="s">
        <v>173</v>
      </c>
      <c r="R1560" s="2" t="s">
        <v>30</v>
      </c>
      <c r="S1560">
        <v>10</v>
      </c>
      <c r="T1560" s="1">
        <v>43575</v>
      </c>
      <c r="U1560" s="1">
        <v>43578</v>
      </c>
      <c r="V1560" s="2" t="s">
        <v>57</v>
      </c>
      <c r="W1560" s="1">
        <f>fNotasFiscais[[#This Row],[Data da Coleta]]+fNotasFiscais[[#This Row],[Prazo Contratado]]</f>
        <v>43585</v>
      </c>
      <c r="X1560" s="3">
        <f>IF(fNotasFiscais[[#This Row],[Data da Entrega]]&gt;fNotasFiscais[[#This Row],[Data Contratada]],0,1)</f>
        <v>1</v>
      </c>
      <c r="Y1560" s="3">
        <f>IF(fNotasFiscais[[#This Row],[Ocorrência]]="",1,0)</f>
        <v>0</v>
      </c>
      <c r="Z1560" s="2">
        <f>fNotasFiscais[[#This Row],[On Time]]*fNotasFiscais[[#This Row],[In Full]]</f>
        <v>0</v>
      </c>
      <c r="AA1560">
        <f>IF(fNotasFiscais[[#This Row],[Nota Fiscal]]&lt;&gt;"",1,0)</f>
        <v>1</v>
      </c>
    </row>
    <row r="1561" spans="1:27" x14ac:dyDescent="0.25">
      <c r="A1561" s="1">
        <v>43574</v>
      </c>
      <c r="B1561">
        <v>11970</v>
      </c>
      <c r="C1561" s="2" t="s">
        <v>34</v>
      </c>
      <c r="D1561" s="2" t="s">
        <v>35</v>
      </c>
      <c r="E1561" s="2" t="s">
        <v>36</v>
      </c>
      <c r="F1561">
        <v>4154</v>
      </c>
      <c r="G1561" s="2" t="s">
        <v>237</v>
      </c>
      <c r="H1561" s="2" t="s">
        <v>167</v>
      </c>
      <c r="I1561" s="2" t="s">
        <v>168</v>
      </c>
      <c r="J1561" s="2" t="s">
        <v>169</v>
      </c>
      <c r="K1561" s="2" t="s">
        <v>168</v>
      </c>
      <c r="L1561">
        <v>1496.23</v>
      </c>
      <c r="M1561">
        <v>3</v>
      </c>
      <c r="N1561">
        <v>6.4029999999999996</v>
      </c>
      <c r="O1561">
        <v>6900304</v>
      </c>
      <c r="P1561" s="2" t="s">
        <v>170</v>
      </c>
      <c r="Q1561" s="2" t="s">
        <v>171</v>
      </c>
      <c r="R1561" s="2" t="s">
        <v>30</v>
      </c>
      <c r="S1561">
        <v>3</v>
      </c>
      <c r="T1561" s="1">
        <v>43575</v>
      </c>
      <c r="U1561" s="1">
        <v>43578</v>
      </c>
      <c r="V1561" s="2" t="s">
        <v>57</v>
      </c>
      <c r="W1561" s="1">
        <f>fNotasFiscais[[#This Row],[Data da Coleta]]+fNotasFiscais[[#This Row],[Prazo Contratado]]</f>
        <v>43578</v>
      </c>
      <c r="X1561" s="3">
        <f>IF(fNotasFiscais[[#This Row],[Data da Entrega]]&gt;fNotasFiscais[[#This Row],[Data Contratada]],0,1)</f>
        <v>1</v>
      </c>
      <c r="Y1561" s="3">
        <f>IF(fNotasFiscais[[#This Row],[Ocorrência]]="",1,0)</f>
        <v>0</v>
      </c>
      <c r="Z1561" s="2">
        <f>fNotasFiscais[[#This Row],[On Time]]*fNotasFiscais[[#This Row],[In Full]]</f>
        <v>0</v>
      </c>
      <c r="AA1561">
        <f>IF(fNotasFiscais[[#This Row],[Nota Fiscal]]&lt;&gt;"",1,0)</f>
        <v>1</v>
      </c>
    </row>
    <row r="1562" spans="1:27" x14ac:dyDescent="0.25">
      <c r="A1562" s="1">
        <v>43574</v>
      </c>
      <c r="B1562">
        <v>11971</v>
      </c>
      <c r="C1562" s="2" t="s">
        <v>54</v>
      </c>
      <c r="D1562" s="2" t="s">
        <v>55</v>
      </c>
      <c r="E1562" s="2" t="s">
        <v>56</v>
      </c>
      <c r="F1562">
        <v>4060</v>
      </c>
      <c r="G1562" s="2" t="s">
        <v>134</v>
      </c>
      <c r="H1562" s="2" t="s">
        <v>115</v>
      </c>
      <c r="I1562" s="2" t="s">
        <v>107</v>
      </c>
      <c r="J1562" s="2" t="s">
        <v>49</v>
      </c>
      <c r="K1562" s="2" t="s">
        <v>107</v>
      </c>
      <c r="L1562">
        <v>716.45</v>
      </c>
      <c r="M1562">
        <v>2</v>
      </c>
      <c r="N1562">
        <v>1.571</v>
      </c>
      <c r="O1562">
        <v>6100231</v>
      </c>
      <c r="P1562" s="2" t="s">
        <v>50</v>
      </c>
      <c r="Q1562" s="2" t="s">
        <v>51</v>
      </c>
      <c r="R1562" s="2" t="s">
        <v>30</v>
      </c>
      <c r="S1562">
        <v>1</v>
      </c>
      <c r="T1562" s="1">
        <v>43575</v>
      </c>
      <c r="U1562" s="1">
        <v>43579</v>
      </c>
      <c r="V1562" s="2"/>
      <c r="W1562" s="1">
        <f>fNotasFiscais[[#This Row],[Data da Coleta]]+fNotasFiscais[[#This Row],[Prazo Contratado]]</f>
        <v>43576</v>
      </c>
      <c r="X1562" s="3">
        <f>IF(fNotasFiscais[[#This Row],[Data da Entrega]]&gt;fNotasFiscais[[#This Row],[Data Contratada]],0,1)</f>
        <v>0</v>
      </c>
      <c r="Y1562" s="3">
        <f>IF(fNotasFiscais[[#This Row],[Ocorrência]]="",1,0)</f>
        <v>1</v>
      </c>
      <c r="Z1562" s="2">
        <f>fNotasFiscais[[#This Row],[On Time]]*fNotasFiscais[[#This Row],[In Full]]</f>
        <v>0</v>
      </c>
      <c r="AA1562">
        <f>IF(fNotasFiscais[[#This Row],[Nota Fiscal]]&lt;&gt;"",1,0)</f>
        <v>1</v>
      </c>
    </row>
    <row r="1563" spans="1:27" x14ac:dyDescent="0.25">
      <c r="A1563" s="1">
        <v>43574</v>
      </c>
      <c r="B1563">
        <v>11972</v>
      </c>
      <c r="C1563" s="2" t="s">
        <v>34</v>
      </c>
      <c r="D1563" s="2" t="s">
        <v>35</v>
      </c>
      <c r="E1563" s="2" t="s">
        <v>36</v>
      </c>
      <c r="F1563">
        <v>4013</v>
      </c>
      <c r="G1563" s="2" t="s">
        <v>37</v>
      </c>
      <c r="H1563" s="2" t="s">
        <v>38</v>
      </c>
      <c r="I1563" s="2" t="s">
        <v>39</v>
      </c>
      <c r="J1563" s="2" t="s">
        <v>28</v>
      </c>
      <c r="K1563" s="2" t="s">
        <v>39</v>
      </c>
      <c r="L1563">
        <v>63.88</v>
      </c>
      <c r="M1563">
        <v>1</v>
      </c>
      <c r="N1563">
        <v>1.1200000000000001</v>
      </c>
      <c r="O1563">
        <v>6500948</v>
      </c>
      <c r="P1563" s="2" t="s">
        <v>29</v>
      </c>
      <c r="Q1563" s="2" t="s">
        <v>23</v>
      </c>
      <c r="R1563" s="2" t="s">
        <v>30</v>
      </c>
      <c r="S1563">
        <v>6</v>
      </c>
      <c r="T1563" s="1">
        <v>43575</v>
      </c>
      <c r="U1563" s="1">
        <v>43585</v>
      </c>
      <c r="V1563" s="2"/>
      <c r="W1563" s="1">
        <f>fNotasFiscais[[#This Row],[Data da Coleta]]+fNotasFiscais[[#This Row],[Prazo Contratado]]</f>
        <v>43581</v>
      </c>
      <c r="X1563" s="3">
        <f>IF(fNotasFiscais[[#This Row],[Data da Entrega]]&gt;fNotasFiscais[[#This Row],[Data Contratada]],0,1)</f>
        <v>0</v>
      </c>
      <c r="Y1563" s="3">
        <f>IF(fNotasFiscais[[#This Row],[Ocorrência]]="",1,0)</f>
        <v>1</v>
      </c>
      <c r="Z1563" s="2">
        <f>fNotasFiscais[[#This Row],[On Time]]*fNotasFiscais[[#This Row],[In Full]]</f>
        <v>0</v>
      </c>
      <c r="AA1563">
        <f>IF(fNotasFiscais[[#This Row],[Nota Fiscal]]&lt;&gt;"",1,0)</f>
        <v>1</v>
      </c>
    </row>
    <row r="1564" spans="1:27" x14ac:dyDescent="0.25">
      <c r="A1564" s="1">
        <v>43574</v>
      </c>
      <c r="B1564">
        <v>11973</v>
      </c>
      <c r="C1564" s="2" t="s">
        <v>54</v>
      </c>
      <c r="D1564" s="2" t="s">
        <v>55</v>
      </c>
      <c r="E1564" s="2" t="s">
        <v>56</v>
      </c>
      <c r="F1564">
        <v>4056</v>
      </c>
      <c r="G1564" s="2" t="s">
        <v>119</v>
      </c>
      <c r="H1564" s="2" t="s">
        <v>51</v>
      </c>
      <c r="I1564" s="2" t="s">
        <v>73</v>
      </c>
      <c r="J1564" s="2" t="s">
        <v>49</v>
      </c>
      <c r="K1564" s="2" t="s">
        <v>73</v>
      </c>
      <c r="L1564">
        <v>80.5</v>
      </c>
      <c r="M1564">
        <v>1</v>
      </c>
      <c r="N1564">
        <v>3.3000000000000002E-2</v>
      </c>
      <c r="O1564">
        <v>6100231</v>
      </c>
      <c r="P1564" s="2" t="s">
        <v>50</v>
      </c>
      <c r="Q1564" s="2" t="s">
        <v>51</v>
      </c>
      <c r="R1564" s="2" t="s">
        <v>30</v>
      </c>
      <c r="S1564">
        <v>4</v>
      </c>
      <c r="T1564" s="1">
        <v>43575</v>
      </c>
      <c r="U1564" s="1">
        <v>43582</v>
      </c>
      <c r="V1564" s="2"/>
      <c r="W1564" s="1">
        <f>fNotasFiscais[[#This Row],[Data da Coleta]]+fNotasFiscais[[#This Row],[Prazo Contratado]]</f>
        <v>43579</v>
      </c>
      <c r="X1564" s="3">
        <f>IF(fNotasFiscais[[#This Row],[Data da Entrega]]&gt;fNotasFiscais[[#This Row],[Data Contratada]],0,1)</f>
        <v>0</v>
      </c>
      <c r="Y1564" s="3">
        <f>IF(fNotasFiscais[[#This Row],[Ocorrência]]="",1,0)</f>
        <v>1</v>
      </c>
      <c r="Z1564" s="2">
        <f>fNotasFiscais[[#This Row],[On Time]]*fNotasFiscais[[#This Row],[In Full]]</f>
        <v>0</v>
      </c>
      <c r="AA1564">
        <f>IF(fNotasFiscais[[#This Row],[Nota Fiscal]]&lt;&gt;"",1,0)</f>
        <v>1</v>
      </c>
    </row>
    <row r="1565" spans="1:27" x14ac:dyDescent="0.25">
      <c r="A1565" s="1">
        <v>43574</v>
      </c>
      <c r="B1565">
        <v>11974</v>
      </c>
      <c r="C1565" s="2" t="s">
        <v>40</v>
      </c>
      <c r="D1565" s="2" t="s">
        <v>41</v>
      </c>
      <c r="E1565" s="2" t="s">
        <v>33</v>
      </c>
      <c r="F1565">
        <v>4056</v>
      </c>
      <c r="G1565" s="2" t="s">
        <v>119</v>
      </c>
      <c r="H1565" s="2" t="s">
        <v>51</v>
      </c>
      <c r="I1565" s="2" t="s">
        <v>73</v>
      </c>
      <c r="J1565" s="2" t="s">
        <v>49</v>
      </c>
      <c r="K1565" s="2" t="s">
        <v>73</v>
      </c>
      <c r="L1565">
        <v>848.71</v>
      </c>
      <c r="M1565">
        <v>2</v>
      </c>
      <c r="N1565">
        <v>11.702</v>
      </c>
      <c r="O1565">
        <v>6100231</v>
      </c>
      <c r="P1565" s="2" t="s">
        <v>50</v>
      </c>
      <c r="Q1565" s="2" t="s">
        <v>51</v>
      </c>
      <c r="R1565" s="2" t="s">
        <v>30</v>
      </c>
      <c r="S1565">
        <v>2</v>
      </c>
      <c r="T1565" s="1">
        <v>43575</v>
      </c>
      <c r="U1565" s="1">
        <v>43584</v>
      </c>
      <c r="V1565" s="2"/>
      <c r="W1565" s="1">
        <f>fNotasFiscais[[#This Row],[Data da Coleta]]+fNotasFiscais[[#This Row],[Prazo Contratado]]</f>
        <v>43577</v>
      </c>
      <c r="X1565" s="3">
        <f>IF(fNotasFiscais[[#This Row],[Data da Entrega]]&gt;fNotasFiscais[[#This Row],[Data Contratada]],0,1)</f>
        <v>0</v>
      </c>
      <c r="Y1565" s="3">
        <f>IF(fNotasFiscais[[#This Row],[Ocorrência]]="",1,0)</f>
        <v>1</v>
      </c>
      <c r="Z1565" s="2">
        <f>fNotasFiscais[[#This Row],[On Time]]*fNotasFiscais[[#This Row],[In Full]]</f>
        <v>0</v>
      </c>
      <c r="AA1565">
        <f>IF(fNotasFiscais[[#This Row],[Nota Fiscal]]&lt;&gt;"",1,0)</f>
        <v>1</v>
      </c>
    </row>
    <row r="1566" spans="1:27" x14ac:dyDescent="0.25">
      <c r="A1566" s="1">
        <v>43574</v>
      </c>
      <c r="B1566">
        <v>11975</v>
      </c>
      <c r="C1566" s="2" t="s">
        <v>43</v>
      </c>
      <c r="D1566" s="2" t="s">
        <v>44</v>
      </c>
      <c r="E1566" s="2" t="s">
        <v>45</v>
      </c>
      <c r="F1566">
        <v>4056</v>
      </c>
      <c r="G1566" s="2" t="s">
        <v>119</v>
      </c>
      <c r="H1566" s="2" t="s">
        <v>51</v>
      </c>
      <c r="I1566" s="2" t="s">
        <v>73</v>
      </c>
      <c r="J1566" s="2" t="s">
        <v>49</v>
      </c>
      <c r="K1566" s="2" t="s">
        <v>73</v>
      </c>
      <c r="L1566">
        <v>65.64</v>
      </c>
      <c r="M1566">
        <v>1</v>
      </c>
      <c r="N1566">
        <v>1.1200000000000001</v>
      </c>
      <c r="O1566">
        <v>6100231</v>
      </c>
      <c r="P1566" s="2" t="s">
        <v>50</v>
      </c>
      <c r="Q1566" s="2" t="s">
        <v>51</v>
      </c>
      <c r="R1566" s="2" t="s">
        <v>30</v>
      </c>
      <c r="S1566">
        <v>6</v>
      </c>
      <c r="T1566" s="1">
        <v>43575</v>
      </c>
      <c r="U1566" s="1">
        <v>43577</v>
      </c>
      <c r="V1566" s="2"/>
      <c r="W1566" s="1">
        <f>fNotasFiscais[[#This Row],[Data da Coleta]]+fNotasFiscais[[#This Row],[Prazo Contratado]]</f>
        <v>43581</v>
      </c>
      <c r="X1566" s="3">
        <f>IF(fNotasFiscais[[#This Row],[Data da Entrega]]&gt;fNotasFiscais[[#This Row],[Data Contratada]],0,1)</f>
        <v>1</v>
      </c>
      <c r="Y1566" s="3">
        <f>IF(fNotasFiscais[[#This Row],[Ocorrência]]="",1,0)</f>
        <v>1</v>
      </c>
      <c r="Z1566" s="2">
        <f>fNotasFiscais[[#This Row],[On Time]]*fNotasFiscais[[#This Row],[In Full]]</f>
        <v>1</v>
      </c>
      <c r="AA1566">
        <f>IF(fNotasFiscais[[#This Row],[Nota Fiscal]]&lt;&gt;"",1,0)</f>
        <v>1</v>
      </c>
    </row>
    <row r="1567" spans="1:27" x14ac:dyDescent="0.25">
      <c r="A1567" s="1">
        <v>43577</v>
      </c>
      <c r="B1567">
        <v>11976</v>
      </c>
      <c r="C1567" s="2" t="s">
        <v>43</v>
      </c>
      <c r="D1567" s="2" t="s">
        <v>44</v>
      </c>
      <c r="E1567" s="2" t="s">
        <v>45</v>
      </c>
      <c r="F1567">
        <v>4142</v>
      </c>
      <c r="G1567" s="2" t="s">
        <v>225</v>
      </c>
      <c r="H1567" s="2" t="s">
        <v>173</v>
      </c>
      <c r="I1567" s="2" t="s">
        <v>174</v>
      </c>
      <c r="J1567" s="2" t="s">
        <v>175</v>
      </c>
      <c r="K1567" s="2" t="s">
        <v>174</v>
      </c>
      <c r="L1567">
        <v>733.57</v>
      </c>
      <c r="M1567">
        <v>1</v>
      </c>
      <c r="N1567">
        <v>1.744</v>
      </c>
      <c r="O1567">
        <v>6700091</v>
      </c>
      <c r="P1567" s="2" t="s">
        <v>176</v>
      </c>
      <c r="Q1567" s="2" t="s">
        <v>173</v>
      </c>
      <c r="R1567" s="2" t="s">
        <v>30</v>
      </c>
      <c r="S1567">
        <v>10</v>
      </c>
      <c r="T1567" s="1">
        <v>43578</v>
      </c>
      <c r="U1567" s="1">
        <v>43582</v>
      </c>
      <c r="V1567" s="2"/>
      <c r="W1567" s="1">
        <f>fNotasFiscais[[#This Row],[Data da Coleta]]+fNotasFiscais[[#This Row],[Prazo Contratado]]</f>
        <v>43588</v>
      </c>
      <c r="X1567" s="3">
        <f>IF(fNotasFiscais[[#This Row],[Data da Entrega]]&gt;fNotasFiscais[[#This Row],[Data Contratada]],0,1)</f>
        <v>1</v>
      </c>
      <c r="Y1567" s="3">
        <f>IF(fNotasFiscais[[#This Row],[Ocorrência]]="",1,0)</f>
        <v>1</v>
      </c>
      <c r="Z1567" s="2">
        <f>fNotasFiscais[[#This Row],[On Time]]*fNotasFiscais[[#This Row],[In Full]]</f>
        <v>1</v>
      </c>
      <c r="AA1567">
        <f>IF(fNotasFiscais[[#This Row],[Nota Fiscal]]&lt;&gt;"",1,0)</f>
        <v>1</v>
      </c>
    </row>
    <row r="1568" spans="1:27" x14ac:dyDescent="0.25">
      <c r="A1568" s="1">
        <v>43577</v>
      </c>
      <c r="B1568">
        <v>11977</v>
      </c>
      <c r="C1568" s="2" t="s">
        <v>54</v>
      </c>
      <c r="D1568" s="2" t="s">
        <v>55</v>
      </c>
      <c r="E1568" s="2" t="s">
        <v>56</v>
      </c>
      <c r="F1568">
        <v>4068</v>
      </c>
      <c r="G1568" s="2" t="s">
        <v>63</v>
      </c>
      <c r="H1568" s="2" t="s">
        <v>64</v>
      </c>
      <c r="I1568" s="2" t="s">
        <v>65</v>
      </c>
      <c r="J1568" s="2" t="s">
        <v>49</v>
      </c>
      <c r="K1568" s="2" t="s">
        <v>65</v>
      </c>
      <c r="L1568">
        <v>4185.09</v>
      </c>
      <c r="M1568">
        <v>2</v>
      </c>
      <c r="N1568">
        <v>9.0289999999999999</v>
      </c>
      <c r="O1568">
        <v>6100231</v>
      </c>
      <c r="P1568" s="2" t="s">
        <v>50</v>
      </c>
      <c r="Q1568" s="2" t="s">
        <v>51</v>
      </c>
      <c r="R1568" s="2" t="s">
        <v>30</v>
      </c>
      <c r="S1568">
        <v>5</v>
      </c>
      <c r="T1568" s="1">
        <v>43578</v>
      </c>
      <c r="U1568" s="1">
        <v>43588</v>
      </c>
      <c r="V1568" s="2"/>
      <c r="W1568" s="1">
        <f>fNotasFiscais[[#This Row],[Data da Coleta]]+fNotasFiscais[[#This Row],[Prazo Contratado]]</f>
        <v>43583</v>
      </c>
      <c r="X1568" s="3">
        <f>IF(fNotasFiscais[[#This Row],[Data da Entrega]]&gt;fNotasFiscais[[#This Row],[Data Contratada]],0,1)</f>
        <v>0</v>
      </c>
      <c r="Y1568" s="3">
        <f>IF(fNotasFiscais[[#This Row],[Ocorrência]]="",1,0)</f>
        <v>1</v>
      </c>
      <c r="Z1568" s="2">
        <f>fNotasFiscais[[#This Row],[On Time]]*fNotasFiscais[[#This Row],[In Full]]</f>
        <v>0</v>
      </c>
      <c r="AA1568">
        <f>IF(fNotasFiscais[[#This Row],[Nota Fiscal]]&lt;&gt;"",1,0)</f>
        <v>1</v>
      </c>
    </row>
    <row r="1569" spans="1:27" x14ac:dyDescent="0.25">
      <c r="A1569" s="1">
        <v>43577</v>
      </c>
      <c r="B1569">
        <v>11978</v>
      </c>
      <c r="C1569" s="2" t="s">
        <v>34</v>
      </c>
      <c r="D1569" s="2" t="s">
        <v>35</v>
      </c>
      <c r="E1569" s="2" t="s">
        <v>36</v>
      </c>
      <c r="F1569">
        <v>4012</v>
      </c>
      <c r="G1569" s="2" t="s">
        <v>25</v>
      </c>
      <c r="H1569" s="2" t="s">
        <v>26</v>
      </c>
      <c r="I1569" s="2" t="s">
        <v>27</v>
      </c>
      <c r="J1569" s="2" t="s">
        <v>28</v>
      </c>
      <c r="K1569" s="2" t="s">
        <v>27</v>
      </c>
      <c r="L1569">
        <v>120.7</v>
      </c>
      <c r="M1569">
        <v>1</v>
      </c>
      <c r="N1569">
        <v>1.1200000000000001</v>
      </c>
      <c r="O1569">
        <v>6500948</v>
      </c>
      <c r="P1569" s="2" t="s">
        <v>29</v>
      </c>
      <c r="Q1569" s="2" t="s">
        <v>23</v>
      </c>
      <c r="R1569" s="2" t="s">
        <v>30</v>
      </c>
      <c r="S1569">
        <v>9</v>
      </c>
      <c r="T1569" s="1">
        <v>43578</v>
      </c>
      <c r="U1569" s="1">
        <v>43585</v>
      </c>
      <c r="V1569" s="2"/>
      <c r="W1569" s="1">
        <f>fNotasFiscais[[#This Row],[Data da Coleta]]+fNotasFiscais[[#This Row],[Prazo Contratado]]</f>
        <v>43587</v>
      </c>
      <c r="X1569" s="3">
        <f>IF(fNotasFiscais[[#This Row],[Data da Entrega]]&gt;fNotasFiscais[[#This Row],[Data Contratada]],0,1)</f>
        <v>1</v>
      </c>
      <c r="Y1569" s="3">
        <f>IF(fNotasFiscais[[#This Row],[Ocorrência]]="",1,0)</f>
        <v>1</v>
      </c>
      <c r="Z1569" s="2">
        <f>fNotasFiscais[[#This Row],[On Time]]*fNotasFiscais[[#This Row],[In Full]]</f>
        <v>1</v>
      </c>
      <c r="AA1569">
        <f>IF(fNotasFiscais[[#This Row],[Nota Fiscal]]&lt;&gt;"",1,0)</f>
        <v>1</v>
      </c>
    </row>
    <row r="1570" spans="1:27" x14ac:dyDescent="0.25">
      <c r="A1570" s="1">
        <v>43577</v>
      </c>
      <c r="B1570">
        <v>11979</v>
      </c>
      <c r="C1570" s="2" t="s">
        <v>52</v>
      </c>
      <c r="D1570" s="2" t="s">
        <v>53</v>
      </c>
      <c r="E1570" s="2" t="s">
        <v>33</v>
      </c>
      <c r="F1570">
        <v>4049</v>
      </c>
      <c r="G1570" s="2" t="s">
        <v>118</v>
      </c>
      <c r="H1570" s="2" t="s">
        <v>97</v>
      </c>
      <c r="I1570" s="2" t="s">
        <v>48</v>
      </c>
      <c r="J1570" s="2" t="s">
        <v>49</v>
      </c>
      <c r="K1570" s="2" t="s">
        <v>48</v>
      </c>
      <c r="L1570">
        <v>140.33000000000001</v>
      </c>
      <c r="M1570">
        <v>2</v>
      </c>
      <c r="N1570">
        <v>0.76600000000000001</v>
      </c>
      <c r="O1570">
        <v>6100231</v>
      </c>
      <c r="P1570" s="2" t="s">
        <v>50</v>
      </c>
      <c r="Q1570" s="2" t="s">
        <v>51</v>
      </c>
      <c r="R1570" s="2" t="s">
        <v>30</v>
      </c>
      <c r="S1570">
        <v>11</v>
      </c>
      <c r="T1570" s="1">
        <v>43578</v>
      </c>
      <c r="U1570" s="1">
        <v>43586</v>
      </c>
      <c r="V1570" s="2"/>
      <c r="W1570" s="1">
        <f>fNotasFiscais[[#This Row],[Data da Coleta]]+fNotasFiscais[[#This Row],[Prazo Contratado]]</f>
        <v>43589</v>
      </c>
      <c r="X1570" s="3">
        <f>IF(fNotasFiscais[[#This Row],[Data da Entrega]]&gt;fNotasFiscais[[#This Row],[Data Contratada]],0,1)</f>
        <v>1</v>
      </c>
      <c r="Y1570" s="3">
        <f>IF(fNotasFiscais[[#This Row],[Ocorrência]]="",1,0)</f>
        <v>1</v>
      </c>
      <c r="Z1570" s="2">
        <f>fNotasFiscais[[#This Row],[On Time]]*fNotasFiscais[[#This Row],[In Full]]</f>
        <v>1</v>
      </c>
      <c r="AA1570">
        <f>IF(fNotasFiscais[[#This Row],[Nota Fiscal]]&lt;&gt;"",1,0)</f>
        <v>1</v>
      </c>
    </row>
    <row r="1571" spans="1:27" x14ac:dyDescent="0.25">
      <c r="A1571" s="1">
        <v>43577</v>
      </c>
      <c r="B1571">
        <v>11980</v>
      </c>
      <c r="C1571" s="2" t="s">
        <v>40</v>
      </c>
      <c r="D1571" s="2" t="s">
        <v>41</v>
      </c>
      <c r="E1571" s="2" t="s">
        <v>33</v>
      </c>
      <c r="F1571">
        <v>4040</v>
      </c>
      <c r="G1571" s="2" t="s">
        <v>117</v>
      </c>
      <c r="H1571" s="2" t="s">
        <v>47</v>
      </c>
      <c r="I1571" s="2" t="s">
        <v>48</v>
      </c>
      <c r="J1571" s="2" t="s">
        <v>49</v>
      </c>
      <c r="K1571" s="2" t="s">
        <v>48</v>
      </c>
      <c r="L1571">
        <v>219.38</v>
      </c>
      <c r="M1571">
        <v>1</v>
      </c>
      <c r="N1571">
        <v>1.1200000000000001</v>
      </c>
      <c r="O1571">
        <v>6100231</v>
      </c>
      <c r="P1571" s="2" t="s">
        <v>50</v>
      </c>
      <c r="Q1571" s="2" t="s">
        <v>51</v>
      </c>
      <c r="R1571" s="2" t="s">
        <v>30</v>
      </c>
      <c r="S1571">
        <v>4</v>
      </c>
      <c r="T1571" s="1">
        <v>43578</v>
      </c>
      <c r="U1571" s="1">
        <v>43585</v>
      </c>
      <c r="V1571" s="2"/>
      <c r="W1571" s="1">
        <f>fNotasFiscais[[#This Row],[Data da Coleta]]+fNotasFiscais[[#This Row],[Prazo Contratado]]</f>
        <v>43582</v>
      </c>
      <c r="X1571" s="3">
        <f>IF(fNotasFiscais[[#This Row],[Data da Entrega]]&gt;fNotasFiscais[[#This Row],[Data Contratada]],0,1)</f>
        <v>0</v>
      </c>
      <c r="Y1571" s="3">
        <f>IF(fNotasFiscais[[#This Row],[Ocorrência]]="",1,0)</f>
        <v>1</v>
      </c>
      <c r="Z1571" s="2">
        <f>fNotasFiscais[[#This Row],[On Time]]*fNotasFiscais[[#This Row],[In Full]]</f>
        <v>0</v>
      </c>
      <c r="AA1571">
        <f>IF(fNotasFiscais[[#This Row],[Nota Fiscal]]&lt;&gt;"",1,0)</f>
        <v>1</v>
      </c>
    </row>
    <row r="1572" spans="1:27" x14ac:dyDescent="0.25">
      <c r="A1572" s="1">
        <v>43577</v>
      </c>
      <c r="B1572">
        <v>11981</v>
      </c>
      <c r="C1572" s="2" t="s">
        <v>43</v>
      </c>
      <c r="D1572" s="2" t="s">
        <v>44</v>
      </c>
      <c r="E1572" s="2" t="s">
        <v>45</v>
      </c>
      <c r="F1572">
        <v>4055</v>
      </c>
      <c r="G1572" s="2" t="s">
        <v>120</v>
      </c>
      <c r="H1572" s="2" t="s">
        <v>47</v>
      </c>
      <c r="I1572" s="2" t="s">
        <v>48</v>
      </c>
      <c r="J1572" s="2" t="s">
        <v>49</v>
      </c>
      <c r="K1572" s="2" t="s">
        <v>48</v>
      </c>
      <c r="L1572">
        <v>1039.93</v>
      </c>
      <c r="M1572">
        <v>3</v>
      </c>
      <c r="N1572">
        <v>2.0459999999999998</v>
      </c>
      <c r="O1572">
        <v>6100231</v>
      </c>
      <c r="P1572" s="2" t="s">
        <v>50</v>
      </c>
      <c r="Q1572" s="2" t="s">
        <v>51</v>
      </c>
      <c r="R1572" s="2" t="s">
        <v>30</v>
      </c>
      <c r="S1572">
        <v>6</v>
      </c>
      <c r="T1572" s="1">
        <v>43578</v>
      </c>
      <c r="U1572" s="1">
        <v>43579</v>
      </c>
      <c r="V1572" s="2"/>
      <c r="W1572" s="1">
        <f>fNotasFiscais[[#This Row],[Data da Coleta]]+fNotasFiscais[[#This Row],[Prazo Contratado]]</f>
        <v>43584</v>
      </c>
      <c r="X1572" s="3">
        <f>IF(fNotasFiscais[[#This Row],[Data da Entrega]]&gt;fNotasFiscais[[#This Row],[Data Contratada]],0,1)</f>
        <v>1</v>
      </c>
      <c r="Y1572" s="3">
        <f>IF(fNotasFiscais[[#This Row],[Ocorrência]]="",1,0)</f>
        <v>1</v>
      </c>
      <c r="Z1572" s="2">
        <f>fNotasFiscais[[#This Row],[On Time]]*fNotasFiscais[[#This Row],[In Full]]</f>
        <v>1</v>
      </c>
      <c r="AA1572">
        <f>IF(fNotasFiscais[[#This Row],[Nota Fiscal]]&lt;&gt;"",1,0)</f>
        <v>1</v>
      </c>
    </row>
    <row r="1573" spans="1:27" x14ac:dyDescent="0.25">
      <c r="A1573" s="1">
        <v>43577</v>
      </c>
      <c r="B1573">
        <v>11982</v>
      </c>
      <c r="C1573" s="2" t="s">
        <v>54</v>
      </c>
      <c r="D1573" s="2" t="s">
        <v>55</v>
      </c>
      <c r="E1573" s="2" t="s">
        <v>56</v>
      </c>
      <c r="F1573">
        <v>4027</v>
      </c>
      <c r="G1573" s="2" t="s">
        <v>93</v>
      </c>
      <c r="H1573" s="2" t="s">
        <v>91</v>
      </c>
      <c r="I1573" s="2" t="s">
        <v>24</v>
      </c>
      <c r="J1573" s="2" t="s">
        <v>28</v>
      </c>
      <c r="K1573" s="2" t="s">
        <v>24</v>
      </c>
      <c r="L1573">
        <v>5182.8500000000004</v>
      </c>
      <c r="M1573">
        <v>7</v>
      </c>
      <c r="N1573">
        <v>10.23</v>
      </c>
      <c r="O1573">
        <v>6500948</v>
      </c>
      <c r="P1573" s="2" t="s">
        <v>29</v>
      </c>
      <c r="Q1573" s="2" t="s">
        <v>23</v>
      </c>
      <c r="R1573" s="2" t="s">
        <v>30</v>
      </c>
      <c r="S1573">
        <v>2</v>
      </c>
      <c r="T1573" s="1">
        <v>43578</v>
      </c>
      <c r="U1573" s="1">
        <v>43581</v>
      </c>
      <c r="V1573" s="2"/>
      <c r="W1573" s="1">
        <f>fNotasFiscais[[#This Row],[Data da Coleta]]+fNotasFiscais[[#This Row],[Prazo Contratado]]</f>
        <v>43580</v>
      </c>
      <c r="X1573" s="3">
        <f>IF(fNotasFiscais[[#This Row],[Data da Entrega]]&gt;fNotasFiscais[[#This Row],[Data Contratada]],0,1)</f>
        <v>0</v>
      </c>
      <c r="Y1573" s="3">
        <f>IF(fNotasFiscais[[#This Row],[Ocorrência]]="",1,0)</f>
        <v>1</v>
      </c>
      <c r="Z1573" s="2">
        <f>fNotasFiscais[[#This Row],[On Time]]*fNotasFiscais[[#This Row],[In Full]]</f>
        <v>0</v>
      </c>
      <c r="AA1573">
        <f>IF(fNotasFiscais[[#This Row],[Nota Fiscal]]&lt;&gt;"",1,0)</f>
        <v>1</v>
      </c>
    </row>
    <row r="1574" spans="1:27" x14ac:dyDescent="0.25">
      <c r="A1574" s="1">
        <v>43577</v>
      </c>
      <c r="B1574">
        <v>11983</v>
      </c>
      <c r="C1574" s="2" t="s">
        <v>43</v>
      </c>
      <c r="D1574" s="2" t="s">
        <v>44</v>
      </c>
      <c r="E1574" s="2" t="s">
        <v>45</v>
      </c>
      <c r="F1574">
        <v>4027</v>
      </c>
      <c r="G1574" s="2" t="s">
        <v>93</v>
      </c>
      <c r="H1574" s="2" t="s">
        <v>91</v>
      </c>
      <c r="I1574" s="2" t="s">
        <v>24</v>
      </c>
      <c r="J1574" s="2" t="s">
        <v>28</v>
      </c>
      <c r="K1574" s="2" t="s">
        <v>24</v>
      </c>
      <c r="L1574">
        <v>345.58</v>
      </c>
      <c r="M1574">
        <v>1</v>
      </c>
      <c r="N1574">
        <v>0.68200000000000005</v>
      </c>
      <c r="O1574">
        <v>6500948</v>
      </c>
      <c r="P1574" s="2" t="s">
        <v>29</v>
      </c>
      <c r="Q1574" s="2" t="s">
        <v>23</v>
      </c>
      <c r="R1574" s="2" t="s">
        <v>30</v>
      </c>
      <c r="S1574">
        <v>10</v>
      </c>
      <c r="T1574" s="1">
        <v>43578</v>
      </c>
      <c r="U1574" s="1">
        <v>43583</v>
      </c>
      <c r="V1574" s="2"/>
      <c r="W1574" s="1">
        <f>fNotasFiscais[[#This Row],[Data da Coleta]]+fNotasFiscais[[#This Row],[Prazo Contratado]]</f>
        <v>43588</v>
      </c>
      <c r="X1574" s="3">
        <f>IF(fNotasFiscais[[#This Row],[Data da Entrega]]&gt;fNotasFiscais[[#This Row],[Data Contratada]],0,1)</f>
        <v>1</v>
      </c>
      <c r="Y1574" s="3">
        <f>IF(fNotasFiscais[[#This Row],[Ocorrência]]="",1,0)</f>
        <v>1</v>
      </c>
      <c r="Z1574" s="2">
        <f>fNotasFiscais[[#This Row],[On Time]]*fNotasFiscais[[#This Row],[In Full]]</f>
        <v>1</v>
      </c>
      <c r="AA1574">
        <f>IF(fNotasFiscais[[#This Row],[Nota Fiscal]]&lt;&gt;"",1,0)</f>
        <v>1</v>
      </c>
    </row>
    <row r="1575" spans="1:27" x14ac:dyDescent="0.25">
      <c r="A1575" s="1">
        <v>43577</v>
      </c>
      <c r="B1575">
        <v>11984</v>
      </c>
      <c r="C1575" s="2" t="s">
        <v>54</v>
      </c>
      <c r="D1575" s="2" t="s">
        <v>55</v>
      </c>
      <c r="E1575" s="2" t="s">
        <v>56</v>
      </c>
      <c r="F1575">
        <v>4028</v>
      </c>
      <c r="G1575" s="2" t="s">
        <v>95</v>
      </c>
      <c r="H1575" s="2" t="s">
        <v>26</v>
      </c>
      <c r="I1575" s="2" t="s">
        <v>27</v>
      </c>
      <c r="J1575" s="2" t="s">
        <v>28</v>
      </c>
      <c r="K1575" s="2" t="s">
        <v>27</v>
      </c>
      <c r="L1575">
        <v>355.86</v>
      </c>
      <c r="M1575">
        <v>1</v>
      </c>
      <c r="N1575">
        <v>0.68200000000000005</v>
      </c>
      <c r="O1575">
        <v>6500948</v>
      </c>
      <c r="P1575" s="2" t="s">
        <v>29</v>
      </c>
      <c r="Q1575" s="2" t="s">
        <v>23</v>
      </c>
      <c r="R1575" s="2" t="s">
        <v>30</v>
      </c>
      <c r="S1575">
        <v>5</v>
      </c>
      <c r="T1575" s="1">
        <v>43578</v>
      </c>
      <c r="U1575" s="1">
        <v>43586</v>
      </c>
      <c r="V1575" s="2"/>
      <c r="W1575" s="1">
        <f>fNotasFiscais[[#This Row],[Data da Coleta]]+fNotasFiscais[[#This Row],[Prazo Contratado]]</f>
        <v>43583</v>
      </c>
      <c r="X1575" s="3">
        <f>IF(fNotasFiscais[[#This Row],[Data da Entrega]]&gt;fNotasFiscais[[#This Row],[Data Contratada]],0,1)</f>
        <v>0</v>
      </c>
      <c r="Y1575" s="3">
        <f>IF(fNotasFiscais[[#This Row],[Ocorrência]]="",1,0)</f>
        <v>1</v>
      </c>
      <c r="Z1575" s="2">
        <f>fNotasFiscais[[#This Row],[On Time]]*fNotasFiscais[[#This Row],[In Full]]</f>
        <v>0</v>
      </c>
      <c r="AA1575">
        <f>IF(fNotasFiscais[[#This Row],[Nota Fiscal]]&lt;&gt;"",1,0)</f>
        <v>1</v>
      </c>
    </row>
    <row r="1576" spans="1:27" x14ac:dyDescent="0.25">
      <c r="A1576" s="1">
        <v>43577</v>
      </c>
      <c r="B1576">
        <v>11985</v>
      </c>
      <c r="C1576" s="2" t="s">
        <v>54</v>
      </c>
      <c r="D1576" s="2" t="s">
        <v>55</v>
      </c>
      <c r="E1576" s="2" t="s">
        <v>56</v>
      </c>
      <c r="F1576">
        <v>4049</v>
      </c>
      <c r="G1576" s="2" t="s">
        <v>118</v>
      </c>
      <c r="H1576" s="2" t="s">
        <v>97</v>
      </c>
      <c r="I1576" s="2" t="s">
        <v>48</v>
      </c>
      <c r="J1576" s="2" t="s">
        <v>49</v>
      </c>
      <c r="K1576" s="2" t="s">
        <v>48</v>
      </c>
      <c r="L1576">
        <v>2428.67</v>
      </c>
      <c r="M1576">
        <v>7</v>
      </c>
      <c r="N1576">
        <v>4.774</v>
      </c>
      <c r="O1576">
        <v>6100231</v>
      </c>
      <c r="P1576" s="2" t="s">
        <v>50</v>
      </c>
      <c r="Q1576" s="2" t="s">
        <v>51</v>
      </c>
      <c r="R1576" s="2" t="s">
        <v>30</v>
      </c>
      <c r="S1576">
        <v>4</v>
      </c>
      <c r="T1576" s="1">
        <v>43578</v>
      </c>
      <c r="U1576" s="1">
        <v>43583</v>
      </c>
      <c r="V1576" s="2"/>
      <c r="W1576" s="1">
        <f>fNotasFiscais[[#This Row],[Data da Coleta]]+fNotasFiscais[[#This Row],[Prazo Contratado]]</f>
        <v>43582</v>
      </c>
      <c r="X1576" s="3">
        <f>IF(fNotasFiscais[[#This Row],[Data da Entrega]]&gt;fNotasFiscais[[#This Row],[Data Contratada]],0,1)</f>
        <v>0</v>
      </c>
      <c r="Y1576" s="3">
        <f>IF(fNotasFiscais[[#This Row],[Ocorrência]]="",1,0)</f>
        <v>1</v>
      </c>
      <c r="Z1576" s="2">
        <f>fNotasFiscais[[#This Row],[On Time]]*fNotasFiscais[[#This Row],[In Full]]</f>
        <v>0</v>
      </c>
      <c r="AA1576">
        <f>IF(fNotasFiscais[[#This Row],[Nota Fiscal]]&lt;&gt;"",1,0)</f>
        <v>1</v>
      </c>
    </row>
    <row r="1577" spans="1:27" x14ac:dyDescent="0.25">
      <c r="A1577" s="1">
        <v>43577</v>
      </c>
      <c r="B1577">
        <v>11986</v>
      </c>
      <c r="C1577" s="2" t="s">
        <v>52</v>
      </c>
      <c r="D1577" s="2" t="s">
        <v>53</v>
      </c>
      <c r="E1577" s="2" t="s">
        <v>33</v>
      </c>
      <c r="F1577">
        <v>4040</v>
      </c>
      <c r="G1577" s="2" t="s">
        <v>117</v>
      </c>
      <c r="H1577" s="2" t="s">
        <v>47</v>
      </c>
      <c r="I1577" s="2" t="s">
        <v>48</v>
      </c>
      <c r="J1577" s="2" t="s">
        <v>49</v>
      </c>
      <c r="K1577" s="2" t="s">
        <v>48</v>
      </c>
      <c r="L1577">
        <v>353.91</v>
      </c>
      <c r="M1577">
        <v>1</v>
      </c>
      <c r="N1577">
        <v>0.68200000000000005</v>
      </c>
      <c r="O1577">
        <v>6100231</v>
      </c>
      <c r="P1577" s="2" t="s">
        <v>50</v>
      </c>
      <c r="Q1577" s="2" t="s">
        <v>51</v>
      </c>
      <c r="R1577" s="2" t="s">
        <v>30</v>
      </c>
      <c r="S1577">
        <v>6</v>
      </c>
      <c r="T1577" s="1">
        <v>43578</v>
      </c>
      <c r="U1577" s="1">
        <v>43581</v>
      </c>
      <c r="V1577" s="2"/>
      <c r="W1577" s="1">
        <f>fNotasFiscais[[#This Row],[Data da Coleta]]+fNotasFiscais[[#This Row],[Prazo Contratado]]</f>
        <v>43584</v>
      </c>
      <c r="X1577" s="3">
        <f>IF(fNotasFiscais[[#This Row],[Data da Entrega]]&gt;fNotasFiscais[[#This Row],[Data Contratada]],0,1)</f>
        <v>1</v>
      </c>
      <c r="Y1577" s="3">
        <f>IF(fNotasFiscais[[#This Row],[Ocorrência]]="",1,0)</f>
        <v>1</v>
      </c>
      <c r="Z1577" s="2">
        <f>fNotasFiscais[[#This Row],[On Time]]*fNotasFiscais[[#This Row],[In Full]]</f>
        <v>1</v>
      </c>
      <c r="AA1577">
        <f>IF(fNotasFiscais[[#This Row],[Nota Fiscal]]&lt;&gt;"",1,0)</f>
        <v>1</v>
      </c>
    </row>
    <row r="1578" spans="1:27" x14ac:dyDescent="0.25">
      <c r="A1578" s="1">
        <v>43577</v>
      </c>
      <c r="B1578">
        <v>11987</v>
      </c>
      <c r="C1578" s="2" t="s">
        <v>40</v>
      </c>
      <c r="D1578" s="2" t="s">
        <v>41</v>
      </c>
      <c r="E1578" s="2" t="s">
        <v>33</v>
      </c>
      <c r="F1578">
        <v>4055</v>
      </c>
      <c r="G1578" s="2" t="s">
        <v>120</v>
      </c>
      <c r="H1578" s="2" t="s">
        <v>47</v>
      </c>
      <c r="I1578" s="2" t="s">
        <v>48</v>
      </c>
      <c r="J1578" s="2" t="s">
        <v>49</v>
      </c>
      <c r="K1578" s="2" t="s">
        <v>48</v>
      </c>
      <c r="L1578">
        <v>336.98</v>
      </c>
      <c r="M1578">
        <v>1</v>
      </c>
      <c r="N1578">
        <v>0.68200000000000005</v>
      </c>
      <c r="O1578">
        <v>6100231</v>
      </c>
      <c r="P1578" s="2" t="s">
        <v>50</v>
      </c>
      <c r="Q1578" s="2" t="s">
        <v>51</v>
      </c>
      <c r="R1578" s="2" t="s">
        <v>30</v>
      </c>
      <c r="S1578">
        <v>1</v>
      </c>
      <c r="T1578" s="1">
        <v>43578</v>
      </c>
      <c r="U1578" s="1">
        <v>43582</v>
      </c>
      <c r="V1578" s="2"/>
      <c r="W1578" s="1">
        <f>fNotasFiscais[[#This Row],[Data da Coleta]]+fNotasFiscais[[#This Row],[Prazo Contratado]]</f>
        <v>43579</v>
      </c>
      <c r="X1578" s="3">
        <f>IF(fNotasFiscais[[#This Row],[Data da Entrega]]&gt;fNotasFiscais[[#This Row],[Data Contratada]],0,1)</f>
        <v>0</v>
      </c>
      <c r="Y1578" s="3">
        <f>IF(fNotasFiscais[[#This Row],[Ocorrência]]="",1,0)</f>
        <v>1</v>
      </c>
      <c r="Z1578" s="2">
        <f>fNotasFiscais[[#This Row],[On Time]]*fNotasFiscais[[#This Row],[In Full]]</f>
        <v>0</v>
      </c>
      <c r="AA1578">
        <f>IF(fNotasFiscais[[#This Row],[Nota Fiscal]]&lt;&gt;"",1,0)</f>
        <v>1</v>
      </c>
    </row>
    <row r="1579" spans="1:27" x14ac:dyDescent="0.25">
      <c r="A1579" s="1">
        <v>43577</v>
      </c>
      <c r="B1579">
        <v>11988</v>
      </c>
      <c r="C1579" s="2" t="s">
        <v>31</v>
      </c>
      <c r="D1579" s="2" t="s">
        <v>32</v>
      </c>
      <c r="E1579" s="2" t="s">
        <v>33</v>
      </c>
      <c r="F1579">
        <v>4028</v>
      </c>
      <c r="G1579" s="2" t="s">
        <v>95</v>
      </c>
      <c r="H1579" s="2" t="s">
        <v>26</v>
      </c>
      <c r="I1579" s="2" t="s">
        <v>27</v>
      </c>
      <c r="J1579" s="2" t="s">
        <v>28</v>
      </c>
      <c r="K1579" s="2" t="s">
        <v>27</v>
      </c>
      <c r="L1579">
        <v>687.46</v>
      </c>
      <c r="M1579">
        <v>2</v>
      </c>
      <c r="N1579">
        <v>1.3640000000000001</v>
      </c>
      <c r="O1579">
        <v>6500948</v>
      </c>
      <c r="P1579" s="2" t="s">
        <v>29</v>
      </c>
      <c r="Q1579" s="2" t="s">
        <v>23</v>
      </c>
      <c r="R1579" s="2" t="s">
        <v>30</v>
      </c>
      <c r="S1579">
        <v>11</v>
      </c>
      <c r="T1579" s="1">
        <v>43578</v>
      </c>
      <c r="U1579" s="1">
        <v>43588</v>
      </c>
      <c r="V1579" s="2"/>
      <c r="W1579" s="1">
        <f>fNotasFiscais[[#This Row],[Data da Coleta]]+fNotasFiscais[[#This Row],[Prazo Contratado]]</f>
        <v>43589</v>
      </c>
      <c r="X1579" s="3">
        <f>IF(fNotasFiscais[[#This Row],[Data da Entrega]]&gt;fNotasFiscais[[#This Row],[Data Contratada]],0,1)</f>
        <v>1</v>
      </c>
      <c r="Y1579" s="3">
        <f>IF(fNotasFiscais[[#This Row],[Ocorrência]]="",1,0)</f>
        <v>1</v>
      </c>
      <c r="Z1579" s="2">
        <f>fNotasFiscais[[#This Row],[On Time]]*fNotasFiscais[[#This Row],[In Full]]</f>
        <v>1</v>
      </c>
      <c r="AA1579">
        <f>IF(fNotasFiscais[[#This Row],[Nota Fiscal]]&lt;&gt;"",1,0)</f>
        <v>1</v>
      </c>
    </row>
    <row r="1580" spans="1:27" x14ac:dyDescent="0.25">
      <c r="A1580" s="1">
        <v>43577</v>
      </c>
      <c r="B1580">
        <v>11989</v>
      </c>
      <c r="C1580" s="2" t="s">
        <v>54</v>
      </c>
      <c r="D1580" s="2" t="s">
        <v>55</v>
      </c>
      <c r="E1580" s="2" t="s">
        <v>56</v>
      </c>
      <c r="F1580">
        <v>4049</v>
      </c>
      <c r="G1580" s="2" t="s">
        <v>118</v>
      </c>
      <c r="H1580" s="2" t="s">
        <v>97</v>
      </c>
      <c r="I1580" s="2" t="s">
        <v>48</v>
      </c>
      <c r="J1580" s="2" t="s">
        <v>49</v>
      </c>
      <c r="K1580" s="2" t="s">
        <v>48</v>
      </c>
      <c r="L1580">
        <v>340.82</v>
      </c>
      <c r="M1580">
        <v>1</v>
      </c>
      <c r="N1580">
        <v>0.68200000000000005</v>
      </c>
      <c r="O1580">
        <v>6100231</v>
      </c>
      <c r="P1580" s="2" t="s">
        <v>50</v>
      </c>
      <c r="Q1580" s="2" t="s">
        <v>51</v>
      </c>
      <c r="R1580" s="2" t="s">
        <v>30</v>
      </c>
      <c r="S1580">
        <v>12</v>
      </c>
      <c r="T1580" s="1">
        <v>43578</v>
      </c>
      <c r="U1580" s="1">
        <v>43580</v>
      </c>
      <c r="V1580" s="2"/>
      <c r="W1580" s="1">
        <f>fNotasFiscais[[#This Row],[Data da Coleta]]+fNotasFiscais[[#This Row],[Prazo Contratado]]</f>
        <v>43590</v>
      </c>
      <c r="X1580" s="3">
        <f>IF(fNotasFiscais[[#This Row],[Data da Entrega]]&gt;fNotasFiscais[[#This Row],[Data Contratada]],0,1)</f>
        <v>1</v>
      </c>
      <c r="Y1580" s="3">
        <f>IF(fNotasFiscais[[#This Row],[Ocorrência]]="",1,0)</f>
        <v>1</v>
      </c>
      <c r="Z1580" s="2">
        <f>fNotasFiscais[[#This Row],[On Time]]*fNotasFiscais[[#This Row],[In Full]]</f>
        <v>1</v>
      </c>
      <c r="AA1580">
        <f>IF(fNotasFiscais[[#This Row],[Nota Fiscal]]&lt;&gt;"",1,0)</f>
        <v>1</v>
      </c>
    </row>
    <row r="1581" spans="1:27" x14ac:dyDescent="0.25">
      <c r="A1581" s="1">
        <v>43577</v>
      </c>
      <c r="B1581">
        <v>11990</v>
      </c>
      <c r="C1581" s="2" t="s">
        <v>40</v>
      </c>
      <c r="D1581" s="2" t="s">
        <v>41</v>
      </c>
      <c r="E1581" s="2" t="s">
        <v>33</v>
      </c>
      <c r="F1581">
        <v>4049</v>
      </c>
      <c r="G1581" s="2" t="s">
        <v>118</v>
      </c>
      <c r="H1581" s="2" t="s">
        <v>97</v>
      </c>
      <c r="I1581" s="2" t="s">
        <v>48</v>
      </c>
      <c r="J1581" s="2" t="s">
        <v>49</v>
      </c>
      <c r="K1581" s="2" t="s">
        <v>48</v>
      </c>
      <c r="L1581">
        <v>395.4</v>
      </c>
      <c r="M1581">
        <v>1</v>
      </c>
      <c r="N1581">
        <v>0.68200000000000005</v>
      </c>
      <c r="O1581">
        <v>6100231</v>
      </c>
      <c r="P1581" s="2" t="s">
        <v>50</v>
      </c>
      <c r="Q1581" s="2" t="s">
        <v>51</v>
      </c>
      <c r="R1581" s="2" t="s">
        <v>30</v>
      </c>
      <c r="S1581">
        <v>8</v>
      </c>
      <c r="T1581" s="1">
        <v>43578</v>
      </c>
      <c r="U1581" s="1">
        <v>43583</v>
      </c>
      <c r="V1581" s="2"/>
      <c r="W1581" s="1">
        <f>fNotasFiscais[[#This Row],[Data da Coleta]]+fNotasFiscais[[#This Row],[Prazo Contratado]]</f>
        <v>43586</v>
      </c>
      <c r="X1581" s="3">
        <f>IF(fNotasFiscais[[#This Row],[Data da Entrega]]&gt;fNotasFiscais[[#This Row],[Data Contratada]],0,1)</f>
        <v>1</v>
      </c>
      <c r="Y1581" s="3">
        <f>IF(fNotasFiscais[[#This Row],[Ocorrência]]="",1,0)</f>
        <v>1</v>
      </c>
      <c r="Z1581" s="2">
        <f>fNotasFiscais[[#This Row],[On Time]]*fNotasFiscais[[#This Row],[In Full]]</f>
        <v>1</v>
      </c>
      <c r="AA1581">
        <f>IF(fNotasFiscais[[#This Row],[Nota Fiscal]]&lt;&gt;"",1,0)</f>
        <v>1</v>
      </c>
    </row>
    <row r="1582" spans="1:27" x14ac:dyDescent="0.25">
      <c r="A1582" s="1">
        <v>43577</v>
      </c>
      <c r="B1582">
        <v>11991</v>
      </c>
      <c r="C1582" s="2" t="s">
        <v>40</v>
      </c>
      <c r="D1582" s="2" t="s">
        <v>41</v>
      </c>
      <c r="E1582" s="2" t="s">
        <v>33</v>
      </c>
      <c r="F1582">
        <v>4049</v>
      </c>
      <c r="G1582" s="2" t="s">
        <v>118</v>
      </c>
      <c r="H1582" s="2" t="s">
        <v>97</v>
      </c>
      <c r="I1582" s="2" t="s">
        <v>48</v>
      </c>
      <c r="J1582" s="2" t="s">
        <v>49</v>
      </c>
      <c r="K1582" s="2" t="s">
        <v>48</v>
      </c>
      <c r="L1582">
        <v>5160.3599999999997</v>
      </c>
      <c r="M1582">
        <v>8</v>
      </c>
      <c r="N1582">
        <v>10.23</v>
      </c>
      <c r="O1582">
        <v>6100231</v>
      </c>
      <c r="P1582" s="2" t="s">
        <v>50</v>
      </c>
      <c r="Q1582" s="2" t="s">
        <v>51</v>
      </c>
      <c r="R1582" s="2" t="s">
        <v>30</v>
      </c>
      <c r="S1582">
        <v>1</v>
      </c>
      <c r="T1582" s="1">
        <v>43578</v>
      </c>
      <c r="U1582" s="1">
        <v>43585</v>
      </c>
      <c r="V1582" s="2"/>
      <c r="W1582" s="1">
        <f>fNotasFiscais[[#This Row],[Data da Coleta]]+fNotasFiscais[[#This Row],[Prazo Contratado]]</f>
        <v>43579</v>
      </c>
      <c r="X1582" s="3">
        <f>IF(fNotasFiscais[[#This Row],[Data da Entrega]]&gt;fNotasFiscais[[#This Row],[Data Contratada]],0,1)</f>
        <v>0</v>
      </c>
      <c r="Y1582" s="3">
        <f>IF(fNotasFiscais[[#This Row],[Ocorrência]]="",1,0)</f>
        <v>1</v>
      </c>
      <c r="Z1582" s="2">
        <f>fNotasFiscais[[#This Row],[On Time]]*fNotasFiscais[[#This Row],[In Full]]</f>
        <v>0</v>
      </c>
      <c r="AA1582">
        <f>IF(fNotasFiscais[[#This Row],[Nota Fiscal]]&lt;&gt;"",1,0)</f>
        <v>1</v>
      </c>
    </row>
    <row r="1583" spans="1:27" x14ac:dyDescent="0.25">
      <c r="A1583" s="1">
        <v>43577</v>
      </c>
      <c r="B1583">
        <v>11992</v>
      </c>
      <c r="C1583" s="2" t="s">
        <v>34</v>
      </c>
      <c r="D1583" s="2" t="s">
        <v>35</v>
      </c>
      <c r="E1583" s="2" t="s">
        <v>36</v>
      </c>
      <c r="F1583">
        <v>4049</v>
      </c>
      <c r="G1583" s="2" t="s">
        <v>118</v>
      </c>
      <c r="H1583" s="2" t="s">
        <v>97</v>
      </c>
      <c r="I1583" s="2" t="s">
        <v>48</v>
      </c>
      <c r="J1583" s="2" t="s">
        <v>49</v>
      </c>
      <c r="K1583" s="2" t="s">
        <v>48</v>
      </c>
      <c r="L1583">
        <v>6694.35</v>
      </c>
      <c r="M1583">
        <v>3</v>
      </c>
      <c r="N1583">
        <v>12.958</v>
      </c>
      <c r="O1583">
        <v>6100231</v>
      </c>
      <c r="P1583" s="2" t="s">
        <v>50</v>
      </c>
      <c r="Q1583" s="2" t="s">
        <v>51</v>
      </c>
      <c r="R1583" s="2" t="s">
        <v>30</v>
      </c>
      <c r="S1583">
        <v>7</v>
      </c>
      <c r="T1583" s="1">
        <v>43578</v>
      </c>
      <c r="U1583" s="1">
        <v>43581</v>
      </c>
      <c r="V1583" s="2"/>
      <c r="W1583" s="1">
        <f>fNotasFiscais[[#This Row],[Data da Coleta]]+fNotasFiscais[[#This Row],[Prazo Contratado]]</f>
        <v>43585</v>
      </c>
      <c r="X1583" s="3">
        <f>IF(fNotasFiscais[[#This Row],[Data da Entrega]]&gt;fNotasFiscais[[#This Row],[Data Contratada]],0,1)</f>
        <v>1</v>
      </c>
      <c r="Y1583" s="3">
        <f>IF(fNotasFiscais[[#This Row],[Ocorrência]]="",1,0)</f>
        <v>1</v>
      </c>
      <c r="Z1583" s="2">
        <f>fNotasFiscais[[#This Row],[On Time]]*fNotasFiscais[[#This Row],[In Full]]</f>
        <v>1</v>
      </c>
      <c r="AA1583">
        <f>IF(fNotasFiscais[[#This Row],[Nota Fiscal]]&lt;&gt;"",1,0)</f>
        <v>1</v>
      </c>
    </row>
    <row r="1584" spans="1:27" x14ac:dyDescent="0.25">
      <c r="A1584" s="1">
        <v>43577</v>
      </c>
      <c r="B1584">
        <v>11993</v>
      </c>
      <c r="C1584" s="2" t="s">
        <v>52</v>
      </c>
      <c r="D1584" s="2" t="s">
        <v>53</v>
      </c>
      <c r="E1584" s="2" t="s">
        <v>33</v>
      </c>
      <c r="F1584">
        <v>4049</v>
      </c>
      <c r="G1584" s="2" t="s">
        <v>118</v>
      </c>
      <c r="H1584" s="2" t="s">
        <v>97</v>
      </c>
      <c r="I1584" s="2" t="s">
        <v>48</v>
      </c>
      <c r="J1584" s="2" t="s">
        <v>49</v>
      </c>
      <c r="K1584" s="2" t="s">
        <v>48</v>
      </c>
      <c r="L1584">
        <v>671.07</v>
      </c>
      <c r="M1584">
        <v>2</v>
      </c>
      <c r="N1584">
        <v>1.3640000000000001</v>
      </c>
      <c r="O1584">
        <v>6100231</v>
      </c>
      <c r="P1584" s="2" t="s">
        <v>50</v>
      </c>
      <c r="Q1584" s="2" t="s">
        <v>51</v>
      </c>
      <c r="R1584" s="2" t="s">
        <v>30</v>
      </c>
      <c r="S1584">
        <v>9</v>
      </c>
      <c r="T1584" s="1">
        <v>43578</v>
      </c>
      <c r="U1584" s="1">
        <v>43585</v>
      </c>
      <c r="V1584" s="2"/>
      <c r="W1584" s="1">
        <f>fNotasFiscais[[#This Row],[Data da Coleta]]+fNotasFiscais[[#This Row],[Prazo Contratado]]</f>
        <v>43587</v>
      </c>
      <c r="X1584" s="3">
        <f>IF(fNotasFiscais[[#This Row],[Data da Entrega]]&gt;fNotasFiscais[[#This Row],[Data Contratada]],0,1)</f>
        <v>1</v>
      </c>
      <c r="Y1584" s="3">
        <f>IF(fNotasFiscais[[#This Row],[Ocorrência]]="",1,0)</f>
        <v>1</v>
      </c>
      <c r="Z1584" s="2">
        <f>fNotasFiscais[[#This Row],[On Time]]*fNotasFiscais[[#This Row],[In Full]]</f>
        <v>1</v>
      </c>
      <c r="AA1584">
        <f>IF(fNotasFiscais[[#This Row],[Nota Fiscal]]&lt;&gt;"",1,0)</f>
        <v>1</v>
      </c>
    </row>
    <row r="1585" spans="1:27" x14ac:dyDescent="0.25">
      <c r="A1585" s="1">
        <v>43577</v>
      </c>
      <c r="B1585">
        <v>11994</v>
      </c>
      <c r="C1585" s="2" t="s">
        <v>43</v>
      </c>
      <c r="D1585" s="2" t="s">
        <v>44</v>
      </c>
      <c r="E1585" s="2" t="s">
        <v>45</v>
      </c>
      <c r="F1585">
        <v>4049</v>
      </c>
      <c r="G1585" s="2" t="s">
        <v>118</v>
      </c>
      <c r="H1585" s="2" t="s">
        <v>97</v>
      </c>
      <c r="I1585" s="2" t="s">
        <v>48</v>
      </c>
      <c r="J1585" s="2" t="s">
        <v>49</v>
      </c>
      <c r="K1585" s="2" t="s">
        <v>48</v>
      </c>
      <c r="L1585">
        <v>353.91</v>
      </c>
      <c r="M1585">
        <v>1</v>
      </c>
      <c r="N1585">
        <v>0.68200000000000005</v>
      </c>
      <c r="O1585">
        <v>6100231</v>
      </c>
      <c r="P1585" s="2" t="s">
        <v>50</v>
      </c>
      <c r="Q1585" s="2" t="s">
        <v>51</v>
      </c>
      <c r="R1585" s="2" t="s">
        <v>30</v>
      </c>
      <c r="S1585">
        <v>3</v>
      </c>
      <c r="T1585" s="1">
        <v>43578</v>
      </c>
      <c r="U1585" s="1">
        <v>43581</v>
      </c>
      <c r="V1585" s="2"/>
      <c r="W1585" s="1">
        <f>fNotasFiscais[[#This Row],[Data da Coleta]]+fNotasFiscais[[#This Row],[Prazo Contratado]]</f>
        <v>43581</v>
      </c>
      <c r="X1585" s="3">
        <f>IF(fNotasFiscais[[#This Row],[Data da Entrega]]&gt;fNotasFiscais[[#This Row],[Data Contratada]],0,1)</f>
        <v>1</v>
      </c>
      <c r="Y1585" s="3">
        <f>IF(fNotasFiscais[[#This Row],[Ocorrência]]="",1,0)</f>
        <v>1</v>
      </c>
      <c r="Z1585" s="2">
        <f>fNotasFiscais[[#This Row],[On Time]]*fNotasFiscais[[#This Row],[In Full]]</f>
        <v>1</v>
      </c>
      <c r="AA1585">
        <f>IF(fNotasFiscais[[#This Row],[Nota Fiscal]]&lt;&gt;"",1,0)</f>
        <v>1</v>
      </c>
    </row>
    <row r="1586" spans="1:27" x14ac:dyDescent="0.25">
      <c r="A1586" s="1">
        <v>43577</v>
      </c>
      <c r="B1586">
        <v>11995</v>
      </c>
      <c r="C1586" s="2" t="s">
        <v>22</v>
      </c>
      <c r="D1586" s="2" t="s">
        <v>23</v>
      </c>
      <c r="E1586" s="2" t="s">
        <v>24</v>
      </c>
      <c r="F1586">
        <v>4049</v>
      </c>
      <c r="G1586" s="2" t="s">
        <v>118</v>
      </c>
      <c r="H1586" s="2" t="s">
        <v>97</v>
      </c>
      <c r="I1586" s="2" t="s">
        <v>48</v>
      </c>
      <c r="J1586" s="2" t="s">
        <v>49</v>
      </c>
      <c r="K1586" s="2" t="s">
        <v>48</v>
      </c>
      <c r="L1586">
        <v>1061.72</v>
      </c>
      <c r="M1586">
        <v>3</v>
      </c>
      <c r="N1586">
        <v>2.0459999999999998</v>
      </c>
      <c r="O1586">
        <v>6100231</v>
      </c>
      <c r="P1586" s="2" t="s">
        <v>50</v>
      </c>
      <c r="Q1586" s="2" t="s">
        <v>51</v>
      </c>
      <c r="R1586" s="2" t="s">
        <v>30</v>
      </c>
      <c r="S1586">
        <v>1</v>
      </c>
      <c r="T1586" s="1">
        <v>43578</v>
      </c>
      <c r="U1586" s="1">
        <v>43584</v>
      </c>
      <c r="V1586" s="2"/>
      <c r="W1586" s="1">
        <f>fNotasFiscais[[#This Row],[Data da Coleta]]+fNotasFiscais[[#This Row],[Prazo Contratado]]</f>
        <v>43579</v>
      </c>
      <c r="X1586" s="3">
        <f>IF(fNotasFiscais[[#This Row],[Data da Entrega]]&gt;fNotasFiscais[[#This Row],[Data Contratada]],0,1)</f>
        <v>0</v>
      </c>
      <c r="Y1586" s="3">
        <f>IF(fNotasFiscais[[#This Row],[Ocorrência]]="",1,0)</f>
        <v>1</v>
      </c>
      <c r="Z1586" s="2">
        <f>fNotasFiscais[[#This Row],[On Time]]*fNotasFiscais[[#This Row],[In Full]]</f>
        <v>0</v>
      </c>
      <c r="AA1586">
        <f>IF(fNotasFiscais[[#This Row],[Nota Fiscal]]&lt;&gt;"",1,0)</f>
        <v>1</v>
      </c>
    </row>
    <row r="1587" spans="1:27" x14ac:dyDescent="0.25">
      <c r="A1587" s="1">
        <v>43577</v>
      </c>
      <c r="B1587">
        <v>11996</v>
      </c>
      <c r="C1587" s="2" t="s">
        <v>31</v>
      </c>
      <c r="D1587" s="2" t="s">
        <v>32</v>
      </c>
      <c r="E1587" s="2" t="s">
        <v>33</v>
      </c>
      <c r="F1587">
        <v>4049</v>
      </c>
      <c r="G1587" s="2" t="s">
        <v>118</v>
      </c>
      <c r="H1587" s="2" t="s">
        <v>97</v>
      </c>
      <c r="I1587" s="2" t="s">
        <v>48</v>
      </c>
      <c r="J1587" s="2" t="s">
        <v>49</v>
      </c>
      <c r="K1587" s="2" t="s">
        <v>48</v>
      </c>
      <c r="L1587">
        <v>709.09</v>
      </c>
      <c r="M1587">
        <v>2</v>
      </c>
      <c r="N1587">
        <v>1.3640000000000001</v>
      </c>
      <c r="O1587">
        <v>6100231</v>
      </c>
      <c r="P1587" s="2" t="s">
        <v>50</v>
      </c>
      <c r="Q1587" s="2" t="s">
        <v>51</v>
      </c>
      <c r="R1587" s="2" t="s">
        <v>30</v>
      </c>
      <c r="S1587">
        <v>5</v>
      </c>
      <c r="T1587" s="1">
        <v>43578</v>
      </c>
      <c r="U1587" s="1">
        <v>43588</v>
      </c>
      <c r="V1587" s="2"/>
      <c r="W1587" s="1">
        <f>fNotasFiscais[[#This Row],[Data da Coleta]]+fNotasFiscais[[#This Row],[Prazo Contratado]]</f>
        <v>43583</v>
      </c>
      <c r="X1587" s="3">
        <f>IF(fNotasFiscais[[#This Row],[Data da Entrega]]&gt;fNotasFiscais[[#This Row],[Data Contratada]],0,1)</f>
        <v>0</v>
      </c>
      <c r="Y1587" s="3">
        <f>IF(fNotasFiscais[[#This Row],[Ocorrência]]="",1,0)</f>
        <v>1</v>
      </c>
      <c r="Z1587" s="2">
        <f>fNotasFiscais[[#This Row],[On Time]]*fNotasFiscais[[#This Row],[In Full]]</f>
        <v>0</v>
      </c>
      <c r="AA1587">
        <f>IF(fNotasFiscais[[#This Row],[Nota Fiscal]]&lt;&gt;"",1,0)</f>
        <v>1</v>
      </c>
    </row>
    <row r="1588" spans="1:27" x14ac:dyDescent="0.25">
      <c r="A1588" s="1">
        <v>43578</v>
      </c>
      <c r="B1588">
        <v>11997</v>
      </c>
      <c r="C1588" s="2" t="s">
        <v>34</v>
      </c>
      <c r="D1588" s="2" t="s">
        <v>35</v>
      </c>
      <c r="E1588" s="2" t="s">
        <v>36</v>
      </c>
      <c r="F1588">
        <v>4033</v>
      </c>
      <c r="G1588" s="2" t="s">
        <v>109</v>
      </c>
      <c r="H1588" s="2" t="s">
        <v>51</v>
      </c>
      <c r="I1588" s="2" t="s">
        <v>73</v>
      </c>
      <c r="J1588" s="2" t="s">
        <v>49</v>
      </c>
      <c r="K1588" s="2" t="s">
        <v>73</v>
      </c>
      <c r="L1588">
        <v>353.91</v>
      </c>
      <c r="M1588">
        <v>1</v>
      </c>
      <c r="N1588">
        <v>0.68200000000000005</v>
      </c>
      <c r="O1588">
        <v>6100231</v>
      </c>
      <c r="P1588" s="2" t="s">
        <v>50</v>
      </c>
      <c r="Q1588" s="2" t="s">
        <v>51</v>
      </c>
      <c r="R1588" s="2" t="s">
        <v>30</v>
      </c>
      <c r="S1588">
        <v>7</v>
      </c>
      <c r="T1588" s="1">
        <v>43579</v>
      </c>
      <c r="U1588" s="1">
        <v>43584</v>
      </c>
      <c r="V1588" s="2" t="s">
        <v>42</v>
      </c>
      <c r="W1588" s="1">
        <f>fNotasFiscais[[#This Row],[Data da Coleta]]+fNotasFiscais[[#This Row],[Prazo Contratado]]</f>
        <v>43586</v>
      </c>
      <c r="X1588" s="3">
        <f>IF(fNotasFiscais[[#This Row],[Data da Entrega]]&gt;fNotasFiscais[[#This Row],[Data Contratada]],0,1)</f>
        <v>1</v>
      </c>
      <c r="Y1588" s="3">
        <f>IF(fNotasFiscais[[#This Row],[Ocorrência]]="",1,0)</f>
        <v>0</v>
      </c>
      <c r="Z1588" s="2">
        <f>fNotasFiscais[[#This Row],[On Time]]*fNotasFiscais[[#This Row],[In Full]]</f>
        <v>0</v>
      </c>
      <c r="AA1588">
        <f>IF(fNotasFiscais[[#This Row],[Nota Fiscal]]&lt;&gt;"",1,0)</f>
        <v>1</v>
      </c>
    </row>
    <row r="1589" spans="1:27" x14ac:dyDescent="0.25">
      <c r="A1589" s="1">
        <v>43578</v>
      </c>
      <c r="B1589">
        <v>11998</v>
      </c>
      <c r="C1589" s="2" t="s">
        <v>52</v>
      </c>
      <c r="D1589" s="2" t="s">
        <v>53</v>
      </c>
      <c r="E1589" s="2" t="s">
        <v>33</v>
      </c>
      <c r="F1589">
        <v>4069</v>
      </c>
      <c r="G1589" s="2" t="s">
        <v>135</v>
      </c>
      <c r="H1589" s="2" t="s">
        <v>47</v>
      </c>
      <c r="I1589" s="2" t="s">
        <v>48</v>
      </c>
      <c r="J1589" s="2" t="s">
        <v>49</v>
      </c>
      <c r="K1589" s="2" t="s">
        <v>48</v>
      </c>
      <c r="L1589">
        <v>353.91</v>
      </c>
      <c r="M1589">
        <v>1</v>
      </c>
      <c r="N1589">
        <v>0.68200000000000005</v>
      </c>
      <c r="O1589">
        <v>6100231</v>
      </c>
      <c r="P1589" s="2" t="s">
        <v>50</v>
      </c>
      <c r="Q1589" s="2" t="s">
        <v>51</v>
      </c>
      <c r="R1589" s="2" t="s">
        <v>30</v>
      </c>
      <c r="S1589">
        <v>8</v>
      </c>
      <c r="T1589" s="1">
        <v>43579</v>
      </c>
      <c r="U1589" s="1">
        <v>43585</v>
      </c>
      <c r="V1589" s="2"/>
      <c r="W1589" s="1">
        <f>fNotasFiscais[[#This Row],[Data da Coleta]]+fNotasFiscais[[#This Row],[Prazo Contratado]]</f>
        <v>43587</v>
      </c>
      <c r="X1589" s="3">
        <f>IF(fNotasFiscais[[#This Row],[Data da Entrega]]&gt;fNotasFiscais[[#This Row],[Data Contratada]],0,1)</f>
        <v>1</v>
      </c>
      <c r="Y1589" s="3">
        <f>IF(fNotasFiscais[[#This Row],[Ocorrência]]="",1,0)</f>
        <v>1</v>
      </c>
      <c r="Z1589" s="2">
        <f>fNotasFiscais[[#This Row],[On Time]]*fNotasFiscais[[#This Row],[In Full]]</f>
        <v>1</v>
      </c>
      <c r="AA1589">
        <f>IF(fNotasFiscais[[#This Row],[Nota Fiscal]]&lt;&gt;"",1,0)</f>
        <v>1</v>
      </c>
    </row>
    <row r="1590" spans="1:27" x14ac:dyDescent="0.25">
      <c r="A1590" s="1">
        <v>43579</v>
      </c>
      <c r="B1590">
        <v>11999</v>
      </c>
      <c r="C1590" s="2" t="s">
        <v>34</v>
      </c>
      <c r="D1590" s="2" t="s">
        <v>35</v>
      </c>
      <c r="E1590" s="2" t="s">
        <v>36</v>
      </c>
      <c r="F1590">
        <v>4132</v>
      </c>
      <c r="G1590" s="2" t="s">
        <v>215</v>
      </c>
      <c r="H1590" s="2" t="s">
        <v>183</v>
      </c>
      <c r="I1590" s="2" t="s">
        <v>33</v>
      </c>
      <c r="J1590" s="2" t="s">
        <v>60</v>
      </c>
      <c r="K1590" s="2" t="s">
        <v>33</v>
      </c>
      <c r="L1590">
        <v>724.47</v>
      </c>
      <c r="M1590">
        <v>2</v>
      </c>
      <c r="N1590">
        <v>1.3640000000000001</v>
      </c>
      <c r="O1590">
        <v>6400835</v>
      </c>
      <c r="P1590" s="2" t="s">
        <v>130</v>
      </c>
      <c r="Q1590" s="2" t="s">
        <v>131</v>
      </c>
      <c r="R1590" s="2" t="s">
        <v>30</v>
      </c>
      <c r="S1590">
        <v>5</v>
      </c>
      <c r="T1590" s="1">
        <v>43580</v>
      </c>
      <c r="U1590" s="1">
        <v>43584</v>
      </c>
      <c r="V1590" s="2"/>
      <c r="W1590" s="1">
        <f>fNotasFiscais[[#This Row],[Data da Coleta]]+fNotasFiscais[[#This Row],[Prazo Contratado]]</f>
        <v>43585</v>
      </c>
      <c r="X1590" s="3">
        <f>IF(fNotasFiscais[[#This Row],[Data da Entrega]]&gt;fNotasFiscais[[#This Row],[Data Contratada]],0,1)</f>
        <v>1</v>
      </c>
      <c r="Y1590" s="3">
        <f>IF(fNotasFiscais[[#This Row],[Ocorrência]]="",1,0)</f>
        <v>1</v>
      </c>
      <c r="Z1590" s="2">
        <f>fNotasFiscais[[#This Row],[On Time]]*fNotasFiscais[[#This Row],[In Full]]</f>
        <v>1</v>
      </c>
      <c r="AA1590">
        <f>IF(fNotasFiscais[[#This Row],[Nota Fiscal]]&lt;&gt;"",1,0)</f>
        <v>1</v>
      </c>
    </row>
    <row r="1591" spans="1:27" x14ac:dyDescent="0.25">
      <c r="A1591" s="1">
        <v>43579</v>
      </c>
      <c r="B1591">
        <v>12000</v>
      </c>
      <c r="C1591" s="2" t="s">
        <v>52</v>
      </c>
      <c r="D1591" s="2" t="s">
        <v>53</v>
      </c>
      <c r="E1591" s="2" t="s">
        <v>33</v>
      </c>
      <c r="F1591">
        <v>4132</v>
      </c>
      <c r="G1591" s="2" t="s">
        <v>215</v>
      </c>
      <c r="H1591" s="2" t="s">
        <v>183</v>
      </c>
      <c r="I1591" s="2" t="s">
        <v>33</v>
      </c>
      <c r="J1591" s="2" t="s">
        <v>60</v>
      </c>
      <c r="K1591" s="2" t="s">
        <v>33</v>
      </c>
      <c r="L1591">
        <v>448.18</v>
      </c>
      <c r="M1591">
        <v>1</v>
      </c>
      <c r="N1591">
        <v>0.68200000000000005</v>
      </c>
      <c r="O1591">
        <v>6400835</v>
      </c>
      <c r="P1591" s="2" t="s">
        <v>130</v>
      </c>
      <c r="Q1591" s="2" t="s">
        <v>131</v>
      </c>
      <c r="R1591" s="2" t="s">
        <v>30</v>
      </c>
      <c r="S1591">
        <v>12</v>
      </c>
      <c r="T1591" s="1">
        <v>43580</v>
      </c>
      <c r="U1591" s="1">
        <v>43587</v>
      </c>
      <c r="V1591" s="2"/>
      <c r="W1591" s="1">
        <f>fNotasFiscais[[#This Row],[Data da Coleta]]+fNotasFiscais[[#This Row],[Prazo Contratado]]</f>
        <v>43592</v>
      </c>
      <c r="X1591" s="3">
        <f>IF(fNotasFiscais[[#This Row],[Data da Entrega]]&gt;fNotasFiscais[[#This Row],[Data Contratada]],0,1)</f>
        <v>1</v>
      </c>
      <c r="Y1591" s="3">
        <f>IF(fNotasFiscais[[#This Row],[Ocorrência]]="",1,0)</f>
        <v>1</v>
      </c>
      <c r="Z1591" s="2">
        <f>fNotasFiscais[[#This Row],[On Time]]*fNotasFiscais[[#This Row],[In Full]]</f>
        <v>1</v>
      </c>
      <c r="AA1591">
        <f>IF(fNotasFiscais[[#This Row],[Nota Fiscal]]&lt;&gt;"",1,0)</f>
        <v>1</v>
      </c>
    </row>
    <row r="1592" spans="1:27" x14ac:dyDescent="0.25">
      <c r="A1592" s="1">
        <v>43579</v>
      </c>
      <c r="B1592">
        <v>12001</v>
      </c>
      <c r="C1592" s="2" t="s">
        <v>40</v>
      </c>
      <c r="D1592" s="2" t="s">
        <v>41</v>
      </c>
      <c r="E1592" s="2" t="s">
        <v>33</v>
      </c>
      <c r="F1592">
        <v>4148</v>
      </c>
      <c r="G1592" s="2" t="s">
        <v>231</v>
      </c>
      <c r="H1592" s="2" t="s">
        <v>32</v>
      </c>
      <c r="I1592" s="2" t="s">
        <v>33</v>
      </c>
      <c r="J1592" s="2" t="s">
        <v>60</v>
      </c>
      <c r="K1592" s="2" t="s">
        <v>33</v>
      </c>
      <c r="L1592">
        <v>575.59</v>
      </c>
      <c r="M1592">
        <v>1</v>
      </c>
      <c r="N1592">
        <v>5.7640000000000002</v>
      </c>
      <c r="O1592">
        <v>6400835</v>
      </c>
      <c r="P1592" s="2" t="s">
        <v>130</v>
      </c>
      <c r="Q1592" s="2" t="s">
        <v>131</v>
      </c>
      <c r="R1592" s="2" t="s">
        <v>30</v>
      </c>
      <c r="S1592">
        <v>3</v>
      </c>
      <c r="T1592" s="1">
        <v>43580</v>
      </c>
      <c r="U1592" s="1">
        <v>43582</v>
      </c>
      <c r="V1592" s="2"/>
      <c r="W1592" s="1">
        <f>fNotasFiscais[[#This Row],[Data da Coleta]]+fNotasFiscais[[#This Row],[Prazo Contratado]]</f>
        <v>43583</v>
      </c>
      <c r="X1592" s="3">
        <f>IF(fNotasFiscais[[#This Row],[Data da Entrega]]&gt;fNotasFiscais[[#This Row],[Data Contratada]],0,1)</f>
        <v>1</v>
      </c>
      <c r="Y1592" s="3">
        <f>IF(fNotasFiscais[[#This Row],[Ocorrência]]="",1,0)</f>
        <v>1</v>
      </c>
      <c r="Z1592" s="2">
        <f>fNotasFiscais[[#This Row],[On Time]]*fNotasFiscais[[#This Row],[In Full]]</f>
        <v>1</v>
      </c>
      <c r="AA1592">
        <f>IF(fNotasFiscais[[#This Row],[Nota Fiscal]]&lt;&gt;"",1,0)</f>
        <v>1</v>
      </c>
    </row>
    <row r="1593" spans="1:27" x14ac:dyDescent="0.25">
      <c r="A1593" s="1">
        <v>43579</v>
      </c>
      <c r="B1593">
        <v>12002</v>
      </c>
      <c r="C1593" s="2" t="s">
        <v>40</v>
      </c>
      <c r="D1593" s="2" t="s">
        <v>41</v>
      </c>
      <c r="E1593" s="2" t="s">
        <v>33</v>
      </c>
      <c r="F1593">
        <v>4069</v>
      </c>
      <c r="G1593" s="2" t="s">
        <v>135</v>
      </c>
      <c r="H1593" s="2" t="s">
        <v>47</v>
      </c>
      <c r="I1593" s="2" t="s">
        <v>48</v>
      </c>
      <c r="J1593" s="2" t="s">
        <v>49</v>
      </c>
      <c r="K1593" s="2" t="s">
        <v>48</v>
      </c>
      <c r="L1593">
        <v>511.91</v>
      </c>
      <c r="M1593">
        <v>1</v>
      </c>
      <c r="N1593">
        <v>1.177</v>
      </c>
      <c r="O1593">
        <v>6100231</v>
      </c>
      <c r="P1593" s="2" t="s">
        <v>50</v>
      </c>
      <c r="Q1593" s="2" t="s">
        <v>51</v>
      </c>
      <c r="R1593" s="2" t="s">
        <v>30</v>
      </c>
      <c r="S1593">
        <v>2</v>
      </c>
      <c r="T1593" s="1">
        <v>43580</v>
      </c>
      <c r="U1593" s="1">
        <v>43586</v>
      </c>
      <c r="V1593" s="2"/>
      <c r="W1593" s="1">
        <f>fNotasFiscais[[#This Row],[Data da Coleta]]+fNotasFiscais[[#This Row],[Prazo Contratado]]</f>
        <v>43582</v>
      </c>
      <c r="X1593" s="3">
        <f>IF(fNotasFiscais[[#This Row],[Data da Entrega]]&gt;fNotasFiscais[[#This Row],[Data Contratada]],0,1)</f>
        <v>0</v>
      </c>
      <c r="Y1593" s="3">
        <f>IF(fNotasFiscais[[#This Row],[Ocorrência]]="",1,0)</f>
        <v>1</v>
      </c>
      <c r="Z1593" s="2">
        <f>fNotasFiscais[[#This Row],[On Time]]*fNotasFiscais[[#This Row],[In Full]]</f>
        <v>0</v>
      </c>
      <c r="AA1593">
        <f>IF(fNotasFiscais[[#This Row],[Nota Fiscal]]&lt;&gt;"",1,0)</f>
        <v>1</v>
      </c>
    </row>
    <row r="1594" spans="1:27" x14ac:dyDescent="0.25">
      <c r="A1594" s="1">
        <v>43580</v>
      </c>
      <c r="B1594">
        <v>12003</v>
      </c>
      <c r="C1594" s="2" t="s">
        <v>54</v>
      </c>
      <c r="D1594" s="2" t="s">
        <v>55</v>
      </c>
      <c r="E1594" s="2" t="s">
        <v>56</v>
      </c>
      <c r="F1594">
        <v>4150</v>
      </c>
      <c r="G1594" s="2" t="s">
        <v>233</v>
      </c>
      <c r="H1594" s="2" t="s">
        <v>35</v>
      </c>
      <c r="I1594" s="2" t="s">
        <v>36</v>
      </c>
      <c r="J1594" s="2" t="s">
        <v>60</v>
      </c>
      <c r="K1594" s="2" t="s">
        <v>36</v>
      </c>
      <c r="L1594">
        <v>244.54</v>
      </c>
      <c r="M1594">
        <v>1</v>
      </c>
      <c r="N1594">
        <v>1.2110000000000001</v>
      </c>
      <c r="O1594">
        <v>6600879</v>
      </c>
      <c r="P1594" s="2" t="s">
        <v>61</v>
      </c>
      <c r="Q1594" s="2" t="s">
        <v>35</v>
      </c>
      <c r="R1594" s="2" t="s">
        <v>30</v>
      </c>
      <c r="S1594">
        <v>1</v>
      </c>
      <c r="T1594" s="1">
        <v>43581</v>
      </c>
      <c r="U1594" s="1">
        <v>43587</v>
      </c>
      <c r="V1594" s="2"/>
      <c r="W1594" s="1">
        <f>fNotasFiscais[[#This Row],[Data da Coleta]]+fNotasFiscais[[#This Row],[Prazo Contratado]]</f>
        <v>43582</v>
      </c>
      <c r="X1594" s="3">
        <f>IF(fNotasFiscais[[#This Row],[Data da Entrega]]&gt;fNotasFiscais[[#This Row],[Data Contratada]],0,1)</f>
        <v>0</v>
      </c>
      <c r="Y1594" s="3">
        <f>IF(fNotasFiscais[[#This Row],[Ocorrência]]="",1,0)</f>
        <v>1</v>
      </c>
      <c r="Z1594" s="2">
        <f>fNotasFiscais[[#This Row],[On Time]]*fNotasFiscais[[#This Row],[In Full]]</f>
        <v>0</v>
      </c>
      <c r="AA1594">
        <f>IF(fNotasFiscais[[#This Row],[Nota Fiscal]]&lt;&gt;"",1,0)</f>
        <v>1</v>
      </c>
    </row>
    <row r="1595" spans="1:27" x14ac:dyDescent="0.25">
      <c r="A1595" s="1">
        <v>43580</v>
      </c>
      <c r="B1595">
        <v>12004</v>
      </c>
      <c r="C1595" s="2" t="s">
        <v>54</v>
      </c>
      <c r="D1595" s="2" t="s">
        <v>55</v>
      </c>
      <c r="E1595" s="2" t="s">
        <v>56</v>
      </c>
      <c r="F1595">
        <v>4144</v>
      </c>
      <c r="G1595" s="2" t="s">
        <v>227</v>
      </c>
      <c r="H1595" s="2" t="s">
        <v>183</v>
      </c>
      <c r="I1595" s="2" t="s">
        <v>33</v>
      </c>
      <c r="J1595" s="2" t="s">
        <v>60</v>
      </c>
      <c r="K1595" s="2" t="s">
        <v>33</v>
      </c>
      <c r="L1595">
        <v>896.13</v>
      </c>
      <c r="M1595">
        <v>1</v>
      </c>
      <c r="N1595">
        <v>6.6070000000000002</v>
      </c>
      <c r="O1595">
        <v>6400835</v>
      </c>
      <c r="P1595" s="2" t="s">
        <v>130</v>
      </c>
      <c r="Q1595" s="2" t="s">
        <v>131</v>
      </c>
      <c r="R1595" s="2" t="s">
        <v>30</v>
      </c>
      <c r="S1595">
        <v>12</v>
      </c>
      <c r="T1595" s="1">
        <v>43581</v>
      </c>
      <c r="U1595" s="1">
        <v>43588</v>
      </c>
      <c r="V1595" s="2"/>
      <c r="W1595" s="1">
        <f>fNotasFiscais[[#This Row],[Data da Coleta]]+fNotasFiscais[[#This Row],[Prazo Contratado]]</f>
        <v>43593</v>
      </c>
      <c r="X1595" s="3">
        <f>IF(fNotasFiscais[[#This Row],[Data da Entrega]]&gt;fNotasFiscais[[#This Row],[Data Contratada]],0,1)</f>
        <v>1</v>
      </c>
      <c r="Y1595" s="3">
        <f>IF(fNotasFiscais[[#This Row],[Ocorrência]]="",1,0)</f>
        <v>1</v>
      </c>
      <c r="Z1595" s="2">
        <f>fNotasFiscais[[#This Row],[On Time]]*fNotasFiscais[[#This Row],[In Full]]</f>
        <v>1</v>
      </c>
      <c r="AA1595">
        <f>IF(fNotasFiscais[[#This Row],[Nota Fiscal]]&lt;&gt;"",1,0)</f>
        <v>1</v>
      </c>
    </row>
    <row r="1596" spans="1:27" x14ac:dyDescent="0.25">
      <c r="A1596" s="1">
        <v>43581</v>
      </c>
      <c r="B1596">
        <v>12005</v>
      </c>
      <c r="C1596" s="2" t="s">
        <v>52</v>
      </c>
      <c r="D1596" s="2" t="s">
        <v>53</v>
      </c>
      <c r="E1596" s="2" t="s">
        <v>33</v>
      </c>
      <c r="F1596">
        <v>4084</v>
      </c>
      <c r="G1596" s="2" t="s">
        <v>155</v>
      </c>
      <c r="H1596" s="2" t="s">
        <v>149</v>
      </c>
      <c r="I1596" s="2" t="s">
        <v>33</v>
      </c>
      <c r="J1596" s="2" t="s">
        <v>60</v>
      </c>
      <c r="K1596" s="2" t="s">
        <v>33</v>
      </c>
      <c r="L1596">
        <v>1180.68</v>
      </c>
      <c r="M1596">
        <v>3</v>
      </c>
      <c r="N1596">
        <v>2.762</v>
      </c>
      <c r="O1596">
        <v>6400835</v>
      </c>
      <c r="P1596" s="2" t="s">
        <v>130</v>
      </c>
      <c r="Q1596" s="2" t="s">
        <v>131</v>
      </c>
      <c r="R1596" s="2" t="s">
        <v>30</v>
      </c>
      <c r="S1596">
        <v>6</v>
      </c>
      <c r="T1596" s="1">
        <v>43582</v>
      </c>
      <c r="U1596" s="1">
        <v>43590</v>
      </c>
      <c r="V1596" s="2" t="s">
        <v>42</v>
      </c>
      <c r="W1596" s="1">
        <f>fNotasFiscais[[#This Row],[Data da Coleta]]+fNotasFiscais[[#This Row],[Prazo Contratado]]</f>
        <v>43588</v>
      </c>
      <c r="X1596" s="3">
        <f>IF(fNotasFiscais[[#This Row],[Data da Entrega]]&gt;fNotasFiscais[[#This Row],[Data Contratada]],0,1)</f>
        <v>0</v>
      </c>
      <c r="Y1596" s="3">
        <f>IF(fNotasFiscais[[#This Row],[Ocorrência]]="",1,0)</f>
        <v>0</v>
      </c>
      <c r="Z1596" s="2">
        <f>fNotasFiscais[[#This Row],[On Time]]*fNotasFiscais[[#This Row],[In Full]]</f>
        <v>0</v>
      </c>
      <c r="AA1596">
        <f>IF(fNotasFiscais[[#This Row],[Nota Fiscal]]&lt;&gt;"",1,0)</f>
        <v>1</v>
      </c>
    </row>
    <row r="1597" spans="1:27" x14ac:dyDescent="0.25">
      <c r="A1597" s="1">
        <v>43581</v>
      </c>
      <c r="B1597">
        <v>12006</v>
      </c>
      <c r="C1597" s="2" t="s">
        <v>34</v>
      </c>
      <c r="D1597" s="2" t="s">
        <v>35</v>
      </c>
      <c r="E1597" s="2" t="s">
        <v>36</v>
      </c>
      <c r="F1597">
        <v>4136</v>
      </c>
      <c r="G1597" s="2" t="s">
        <v>219</v>
      </c>
      <c r="H1597" s="2" t="s">
        <v>35</v>
      </c>
      <c r="I1597" s="2" t="s">
        <v>36</v>
      </c>
      <c r="J1597" s="2" t="s">
        <v>60</v>
      </c>
      <c r="K1597" s="2" t="s">
        <v>36</v>
      </c>
      <c r="L1597">
        <v>10453.81</v>
      </c>
      <c r="M1597">
        <v>1</v>
      </c>
      <c r="N1597">
        <v>69.3</v>
      </c>
      <c r="O1597">
        <v>6600879</v>
      </c>
      <c r="P1597" s="2" t="s">
        <v>61</v>
      </c>
      <c r="Q1597" s="2" t="s">
        <v>35</v>
      </c>
      <c r="R1597" s="2" t="s">
        <v>30</v>
      </c>
      <c r="S1597">
        <v>7</v>
      </c>
      <c r="T1597" s="1">
        <v>43582</v>
      </c>
      <c r="U1597" s="1">
        <v>43585</v>
      </c>
      <c r="V1597" s="2" t="s">
        <v>42</v>
      </c>
      <c r="W1597" s="1">
        <f>fNotasFiscais[[#This Row],[Data da Coleta]]+fNotasFiscais[[#This Row],[Prazo Contratado]]</f>
        <v>43589</v>
      </c>
      <c r="X1597" s="3">
        <f>IF(fNotasFiscais[[#This Row],[Data da Entrega]]&gt;fNotasFiscais[[#This Row],[Data Contratada]],0,1)</f>
        <v>1</v>
      </c>
      <c r="Y1597" s="3">
        <f>IF(fNotasFiscais[[#This Row],[Ocorrência]]="",1,0)</f>
        <v>0</v>
      </c>
      <c r="Z1597" s="2">
        <f>fNotasFiscais[[#This Row],[On Time]]*fNotasFiscais[[#This Row],[In Full]]</f>
        <v>0</v>
      </c>
      <c r="AA1597">
        <f>IF(fNotasFiscais[[#This Row],[Nota Fiscal]]&lt;&gt;"",1,0)</f>
        <v>1</v>
      </c>
    </row>
    <row r="1598" spans="1:27" x14ac:dyDescent="0.25">
      <c r="A1598" s="1">
        <v>43581</v>
      </c>
      <c r="B1598">
        <v>12007</v>
      </c>
      <c r="C1598" s="2" t="s">
        <v>34</v>
      </c>
      <c r="D1598" s="2" t="s">
        <v>35</v>
      </c>
      <c r="E1598" s="2" t="s">
        <v>36</v>
      </c>
      <c r="F1598">
        <v>4147</v>
      </c>
      <c r="G1598" s="2" t="s">
        <v>230</v>
      </c>
      <c r="H1598" s="2" t="s">
        <v>35</v>
      </c>
      <c r="I1598" s="2" t="s">
        <v>36</v>
      </c>
      <c r="J1598" s="2" t="s">
        <v>60</v>
      </c>
      <c r="K1598" s="2" t="s">
        <v>36</v>
      </c>
      <c r="L1598">
        <v>330.59</v>
      </c>
      <c r="M1598">
        <v>1</v>
      </c>
      <c r="N1598">
        <v>1.76</v>
      </c>
      <c r="O1598">
        <v>6600879</v>
      </c>
      <c r="P1598" s="2" t="s">
        <v>61</v>
      </c>
      <c r="Q1598" s="2" t="s">
        <v>35</v>
      </c>
      <c r="R1598" s="2" t="s">
        <v>30</v>
      </c>
      <c r="S1598">
        <v>1</v>
      </c>
      <c r="T1598" s="1">
        <v>43582</v>
      </c>
      <c r="U1598" s="1">
        <v>43584</v>
      </c>
      <c r="V1598" s="2"/>
      <c r="W1598" s="1">
        <f>fNotasFiscais[[#This Row],[Data da Coleta]]+fNotasFiscais[[#This Row],[Prazo Contratado]]</f>
        <v>43583</v>
      </c>
      <c r="X1598" s="3">
        <f>IF(fNotasFiscais[[#This Row],[Data da Entrega]]&gt;fNotasFiscais[[#This Row],[Data Contratada]],0,1)</f>
        <v>0</v>
      </c>
      <c r="Y1598" s="3">
        <f>IF(fNotasFiscais[[#This Row],[Ocorrência]]="",1,0)</f>
        <v>1</v>
      </c>
      <c r="Z1598" s="2">
        <f>fNotasFiscais[[#This Row],[On Time]]*fNotasFiscais[[#This Row],[In Full]]</f>
        <v>0</v>
      </c>
      <c r="AA1598">
        <f>IF(fNotasFiscais[[#This Row],[Nota Fiscal]]&lt;&gt;"",1,0)</f>
        <v>1</v>
      </c>
    </row>
    <row r="1599" spans="1:27" x14ac:dyDescent="0.25">
      <c r="A1599" s="1">
        <v>43581</v>
      </c>
      <c r="B1599">
        <v>12008</v>
      </c>
      <c r="C1599" s="2" t="s">
        <v>54</v>
      </c>
      <c r="D1599" s="2" t="s">
        <v>55</v>
      </c>
      <c r="E1599" s="2" t="s">
        <v>56</v>
      </c>
      <c r="F1599">
        <v>4024</v>
      </c>
      <c r="G1599" s="2" t="s">
        <v>89</v>
      </c>
      <c r="H1599" s="2" t="s">
        <v>23</v>
      </c>
      <c r="I1599" s="2" t="s">
        <v>24</v>
      </c>
      <c r="J1599" s="2" t="s">
        <v>28</v>
      </c>
      <c r="K1599" s="2" t="s">
        <v>24</v>
      </c>
      <c r="L1599">
        <v>435.57</v>
      </c>
      <c r="M1599">
        <v>1</v>
      </c>
      <c r="N1599">
        <v>6.16</v>
      </c>
      <c r="O1599">
        <v>6500948</v>
      </c>
      <c r="P1599" s="2" t="s">
        <v>29</v>
      </c>
      <c r="Q1599" s="2" t="s">
        <v>23</v>
      </c>
      <c r="R1599" s="2" t="s">
        <v>30</v>
      </c>
      <c r="S1599">
        <v>4</v>
      </c>
      <c r="T1599" s="1">
        <v>43582</v>
      </c>
      <c r="U1599" s="1">
        <v>43588</v>
      </c>
      <c r="V1599" s="2"/>
      <c r="W1599" s="1">
        <f>fNotasFiscais[[#This Row],[Data da Coleta]]+fNotasFiscais[[#This Row],[Prazo Contratado]]</f>
        <v>43586</v>
      </c>
      <c r="X1599" s="3">
        <f>IF(fNotasFiscais[[#This Row],[Data da Entrega]]&gt;fNotasFiscais[[#This Row],[Data Contratada]],0,1)</f>
        <v>0</v>
      </c>
      <c r="Y1599" s="3">
        <f>IF(fNotasFiscais[[#This Row],[Ocorrência]]="",1,0)</f>
        <v>1</v>
      </c>
      <c r="Z1599" s="2">
        <f>fNotasFiscais[[#This Row],[On Time]]*fNotasFiscais[[#This Row],[In Full]]</f>
        <v>0</v>
      </c>
      <c r="AA1599">
        <f>IF(fNotasFiscais[[#This Row],[Nota Fiscal]]&lt;&gt;"",1,0)</f>
        <v>1</v>
      </c>
    </row>
    <row r="1600" spans="1:27" x14ac:dyDescent="0.25">
      <c r="A1600" s="1">
        <v>43581</v>
      </c>
      <c r="B1600">
        <v>12009</v>
      </c>
      <c r="C1600" s="2" t="s">
        <v>54</v>
      </c>
      <c r="D1600" s="2" t="s">
        <v>55</v>
      </c>
      <c r="E1600" s="2" t="s">
        <v>56</v>
      </c>
      <c r="F1600">
        <v>4024</v>
      </c>
      <c r="G1600" s="2" t="s">
        <v>89</v>
      </c>
      <c r="H1600" s="2" t="s">
        <v>23</v>
      </c>
      <c r="I1600" s="2" t="s">
        <v>24</v>
      </c>
      <c r="J1600" s="2" t="s">
        <v>28</v>
      </c>
      <c r="K1600" s="2" t="s">
        <v>24</v>
      </c>
      <c r="L1600">
        <v>411.38</v>
      </c>
      <c r="M1600">
        <v>1</v>
      </c>
      <c r="N1600">
        <v>5.5060000000000002</v>
      </c>
      <c r="O1600">
        <v>6500948</v>
      </c>
      <c r="P1600" s="2" t="s">
        <v>29</v>
      </c>
      <c r="Q1600" s="2" t="s">
        <v>23</v>
      </c>
      <c r="R1600" s="2" t="s">
        <v>30</v>
      </c>
      <c r="S1600">
        <v>9</v>
      </c>
      <c r="T1600" s="1">
        <v>43582</v>
      </c>
      <c r="U1600" s="1">
        <v>43588</v>
      </c>
      <c r="V1600" s="2"/>
      <c r="W1600" s="1">
        <f>fNotasFiscais[[#This Row],[Data da Coleta]]+fNotasFiscais[[#This Row],[Prazo Contratado]]</f>
        <v>43591</v>
      </c>
      <c r="X1600" s="3">
        <f>IF(fNotasFiscais[[#This Row],[Data da Entrega]]&gt;fNotasFiscais[[#This Row],[Data Contratada]],0,1)</f>
        <v>1</v>
      </c>
      <c r="Y1600" s="3">
        <f>IF(fNotasFiscais[[#This Row],[Ocorrência]]="",1,0)</f>
        <v>1</v>
      </c>
      <c r="Z1600" s="2">
        <f>fNotasFiscais[[#This Row],[On Time]]*fNotasFiscais[[#This Row],[In Full]]</f>
        <v>1</v>
      </c>
      <c r="AA1600">
        <f>IF(fNotasFiscais[[#This Row],[Nota Fiscal]]&lt;&gt;"",1,0)</f>
        <v>1</v>
      </c>
    </row>
    <row r="1601" spans="1:27" x14ac:dyDescent="0.25">
      <c r="A1601" s="1">
        <v>43581</v>
      </c>
      <c r="B1601">
        <v>12010</v>
      </c>
      <c r="C1601" s="2" t="s">
        <v>43</v>
      </c>
      <c r="D1601" s="2" t="s">
        <v>44</v>
      </c>
      <c r="E1601" s="2" t="s">
        <v>45</v>
      </c>
      <c r="F1601">
        <v>4013</v>
      </c>
      <c r="G1601" s="2" t="s">
        <v>37</v>
      </c>
      <c r="H1601" s="2" t="s">
        <v>38</v>
      </c>
      <c r="I1601" s="2" t="s">
        <v>39</v>
      </c>
      <c r="J1601" s="2" t="s">
        <v>28</v>
      </c>
      <c r="K1601" s="2" t="s">
        <v>39</v>
      </c>
      <c r="L1601">
        <v>444.94</v>
      </c>
      <c r="M1601">
        <v>1</v>
      </c>
      <c r="N1601">
        <v>1.0449999999999999</v>
      </c>
      <c r="O1601">
        <v>6500948</v>
      </c>
      <c r="P1601" s="2" t="s">
        <v>29</v>
      </c>
      <c r="Q1601" s="2" t="s">
        <v>23</v>
      </c>
      <c r="R1601" s="2" t="s">
        <v>30</v>
      </c>
      <c r="S1601">
        <v>7</v>
      </c>
      <c r="T1601" s="1">
        <v>43582</v>
      </c>
      <c r="U1601" s="1">
        <v>43583</v>
      </c>
      <c r="V1601" s="2"/>
      <c r="W1601" s="1">
        <f>fNotasFiscais[[#This Row],[Data da Coleta]]+fNotasFiscais[[#This Row],[Prazo Contratado]]</f>
        <v>43589</v>
      </c>
      <c r="X1601" s="3">
        <f>IF(fNotasFiscais[[#This Row],[Data da Entrega]]&gt;fNotasFiscais[[#This Row],[Data Contratada]],0,1)</f>
        <v>1</v>
      </c>
      <c r="Y1601" s="3">
        <f>IF(fNotasFiscais[[#This Row],[Ocorrência]]="",1,0)</f>
        <v>1</v>
      </c>
      <c r="Z1601" s="2">
        <f>fNotasFiscais[[#This Row],[On Time]]*fNotasFiscais[[#This Row],[In Full]]</f>
        <v>1</v>
      </c>
      <c r="AA1601">
        <f>IF(fNotasFiscais[[#This Row],[Nota Fiscal]]&lt;&gt;"",1,0)</f>
        <v>1</v>
      </c>
    </row>
    <row r="1602" spans="1:27" x14ac:dyDescent="0.25">
      <c r="A1602" s="1">
        <v>43581</v>
      </c>
      <c r="B1602">
        <v>12011</v>
      </c>
      <c r="C1602" s="2" t="s">
        <v>43</v>
      </c>
      <c r="D1602" s="2" t="s">
        <v>44</v>
      </c>
      <c r="E1602" s="2" t="s">
        <v>45</v>
      </c>
      <c r="F1602">
        <v>4013</v>
      </c>
      <c r="G1602" s="2" t="s">
        <v>37</v>
      </c>
      <c r="H1602" s="2" t="s">
        <v>38</v>
      </c>
      <c r="I1602" s="2" t="s">
        <v>39</v>
      </c>
      <c r="J1602" s="2" t="s">
        <v>28</v>
      </c>
      <c r="K1602" s="2" t="s">
        <v>39</v>
      </c>
      <c r="L1602">
        <v>541.78</v>
      </c>
      <c r="M1602">
        <v>1</v>
      </c>
      <c r="N1602">
        <v>2.3290000000000002</v>
      </c>
      <c r="O1602">
        <v>6500948</v>
      </c>
      <c r="P1602" s="2" t="s">
        <v>29</v>
      </c>
      <c r="Q1602" s="2" t="s">
        <v>23</v>
      </c>
      <c r="R1602" s="2" t="s">
        <v>30</v>
      </c>
      <c r="S1602">
        <v>2</v>
      </c>
      <c r="T1602" s="1">
        <v>43582</v>
      </c>
      <c r="U1602" s="1">
        <v>43589</v>
      </c>
      <c r="V1602" s="2" t="s">
        <v>57</v>
      </c>
      <c r="W1602" s="1">
        <f>fNotasFiscais[[#This Row],[Data da Coleta]]+fNotasFiscais[[#This Row],[Prazo Contratado]]</f>
        <v>43584</v>
      </c>
      <c r="X1602" s="3">
        <f>IF(fNotasFiscais[[#This Row],[Data da Entrega]]&gt;fNotasFiscais[[#This Row],[Data Contratada]],0,1)</f>
        <v>0</v>
      </c>
      <c r="Y1602" s="3">
        <f>IF(fNotasFiscais[[#This Row],[Ocorrência]]="",1,0)</f>
        <v>0</v>
      </c>
      <c r="Z1602" s="2">
        <f>fNotasFiscais[[#This Row],[On Time]]*fNotasFiscais[[#This Row],[In Full]]</f>
        <v>0</v>
      </c>
      <c r="AA1602">
        <f>IF(fNotasFiscais[[#This Row],[Nota Fiscal]]&lt;&gt;"",1,0)</f>
        <v>1</v>
      </c>
    </row>
    <row r="1603" spans="1:27" x14ac:dyDescent="0.25">
      <c r="A1603" s="1">
        <v>43581</v>
      </c>
      <c r="B1603">
        <v>12012</v>
      </c>
      <c r="C1603" s="2" t="s">
        <v>22</v>
      </c>
      <c r="D1603" s="2" t="s">
        <v>23</v>
      </c>
      <c r="E1603" s="2" t="s">
        <v>24</v>
      </c>
      <c r="F1603">
        <v>4022</v>
      </c>
      <c r="G1603" s="2" t="s">
        <v>86</v>
      </c>
      <c r="H1603" s="2" t="s">
        <v>87</v>
      </c>
      <c r="I1603" s="2" t="s">
        <v>27</v>
      </c>
      <c r="J1603" s="2" t="s">
        <v>28</v>
      </c>
      <c r="K1603" s="2" t="s">
        <v>27</v>
      </c>
      <c r="L1603">
        <v>344.24</v>
      </c>
      <c r="M1603">
        <v>1</v>
      </c>
      <c r="N1603">
        <v>4.6790000000000003</v>
      </c>
      <c r="O1603">
        <v>6500948</v>
      </c>
      <c r="P1603" s="2" t="s">
        <v>29</v>
      </c>
      <c r="Q1603" s="2" t="s">
        <v>23</v>
      </c>
      <c r="R1603" s="2" t="s">
        <v>30</v>
      </c>
      <c r="S1603">
        <v>5</v>
      </c>
      <c r="T1603" s="1">
        <v>43582</v>
      </c>
      <c r="U1603" s="1">
        <v>43589</v>
      </c>
      <c r="V1603" s="2"/>
      <c r="W1603" s="1">
        <f>fNotasFiscais[[#This Row],[Data da Coleta]]+fNotasFiscais[[#This Row],[Prazo Contratado]]</f>
        <v>43587</v>
      </c>
      <c r="X1603" s="3">
        <f>IF(fNotasFiscais[[#This Row],[Data da Entrega]]&gt;fNotasFiscais[[#This Row],[Data Contratada]],0,1)</f>
        <v>0</v>
      </c>
      <c r="Y1603" s="3">
        <f>IF(fNotasFiscais[[#This Row],[Ocorrência]]="",1,0)</f>
        <v>1</v>
      </c>
      <c r="Z1603" s="2">
        <f>fNotasFiscais[[#This Row],[On Time]]*fNotasFiscais[[#This Row],[In Full]]</f>
        <v>0</v>
      </c>
      <c r="AA1603">
        <f>IF(fNotasFiscais[[#This Row],[Nota Fiscal]]&lt;&gt;"",1,0)</f>
        <v>1</v>
      </c>
    </row>
    <row r="1604" spans="1:27" x14ac:dyDescent="0.25">
      <c r="A1604" s="1">
        <v>43582</v>
      </c>
      <c r="B1604">
        <v>12013</v>
      </c>
      <c r="C1604" s="2" t="s">
        <v>40</v>
      </c>
      <c r="D1604" s="2" t="s">
        <v>41</v>
      </c>
      <c r="E1604" s="2" t="s">
        <v>33</v>
      </c>
      <c r="F1604">
        <v>4020</v>
      </c>
      <c r="G1604" s="2" t="s">
        <v>82</v>
      </c>
      <c r="H1604" s="2" t="s">
        <v>67</v>
      </c>
      <c r="I1604" s="2" t="s">
        <v>27</v>
      </c>
      <c r="J1604" s="2" t="s">
        <v>28</v>
      </c>
      <c r="K1604" s="2" t="s">
        <v>27</v>
      </c>
      <c r="L1604">
        <v>295.83999999999997</v>
      </c>
      <c r="M1604">
        <v>1</v>
      </c>
      <c r="N1604">
        <v>1.679</v>
      </c>
      <c r="O1604">
        <v>6500948</v>
      </c>
      <c r="P1604" s="2" t="s">
        <v>29</v>
      </c>
      <c r="Q1604" s="2" t="s">
        <v>23</v>
      </c>
      <c r="R1604" s="2" t="s">
        <v>30</v>
      </c>
      <c r="S1604">
        <v>4</v>
      </c>
      <c r="T1604" s="1">
        <v>43583</v>
      </c>
      <c r="U1604" s="1">
        <v>43591</v>
      </c>
      <c r="V1604" s="2"/>
      <c r="W1604" s="1">
        <f>fNotasFiscais[[#This Row],[Data da Coleta]]+fNotasFiscais[[#This Row],[Prazo Contratado]]</f>
        <v>43587</v>
      </c>
      <c r="X1604" s="3">
        <f>IF(fNotasFiscais[[#This Row],[Data da Entrega]]&gt;fNotasFiscais[[#This Row],[Data Contratada]],0,1)</f>
        <v>0</v>
      </c>
      <c r="Y1604" s="3">
        <f>IF(fNotasFiscais[[#This Row],[Ocorrência]]="",1,0)</f>
        <v>1</v>
      </c>
      <c r="Z1604" s="2">
        <f>fNotasFiscais[[#This Row],[On Time]]*fNotasFiscais[[#This Row],[In Full]]</f>
        <v>0</v>
      </c>
      <c r="AA1604">
        <f>IF(fNotasFiscais[[#This Row],[Nota Fiscal]]&lt;&gt;"",1,0)</f>
        <v>1</v>
      </c>
    </row>
    <row r="1605" spans="1:27" x14ac:dyDescent="0.25">
      <c r="A1605" s="1">
        <v>43582</v>
      </c>
      <c r="B1605">
        <v>12014</v>
      </c>
      <c r="C1605" s="2" t="s">
        <v>40</v>
      </c>
      <c r="D1605" s="2" t="s">
        <v>41</v>
      </c>
      <c r="E1605" s="2" t="s">
        <v>33</v>
      </c>
      <c r="F1605">
        <v>4155</v>
      </c>
      <c r="G1605" s="2" t="s">
        <v>238</v>
      </c>
      <c r="H1605" s="2" t="s">
        <v>32</v>
      </c>
      <c r="I1605" s="2" t="s">
        <v>33</v>
      </c>
      <c r="J1605" s="2" t="s">
        <v>60</v>
      </c>
      <c r="K1605" s="2" t="s">
        <v>33</v>
      </c>
      <c r="L1605">
        <v>2415.89</v>
      </c>
      <c r="M1605">
        <v>2</v>
      </c>
      <c r="N1605">
        <v>19.8</v>
      </c>
      <c r="O1605">
        <v>6400835</v>
      </c>
      <c r="P1605" s="2" t="s">
        <v>130</v>
      </c>
      <c r="Q1605" s="2" t="s">
        <v>131</v>
      </c>
      <c r="R1605" s="2" t="s">
        <v>30</v>
      </c>
      <c r="S1605">
        <v>12</v>
      </c>
      <c r="T1605" s="1">
        <v>43583</v>
      </c>
      <c r="U1605" s="1">
        <v>43593</v>
      </c>
      <c r="V1605" s="2"/>
      <c r="W1605" s="1">
        <f>fNotasFiscais[[#This Row],[Data da Coleta]]+fNotasFiscais[[#This Row],[Prazo Contratado]]</f>
        <v>43595</v>
      </c>
      <c r="X1605" s="3">
        <f>IF(fNotasFiscais[[#This Row],[Data da Entrega]]&gt;fNotasFiscais[[#This Row],[Data Contratada]],0,1)</f>
        <v>1</v>
      </c>
      <c r="Y1605" s="3">
        <f>IF(fNotasFiscais[[#This Row],[Ocorrência]]="",1,0)</f>
        <v>1</v>
      </c>
      <c r="Z1605" s="2">
        <f>fNotasFiscais[[#This Row],[On Time]]*fNotasFiscais[[#This Row],[In Full]]</f>
        <v>1</v>
      </c>
      <c r="AA1605">
        <f>IF(fNotasFiscais[[#This Row],[Nota Fiscal]]&lt;&gt;"",1,0)</f>
        <v>1</v>
      </c>
    </row>
    <row r="1606" spans="1:27" x14ac:dyDescent="0.25">
      <c r="A1606" s="1">
        <v>43582</v>
      </c>
      <c r="B1606">
        <v>12015</v>
      </c>
      <c r="C1606" s="2" t="s">
        <v>40</v>
      </c>
      <c r="D1606" s="2" t="s">
        <v>41</v>
      </c>
      <c r="E1606" s="2" t="s">
        <v>33</v>
      </c>
      <c r="F1606">
        <v>4161</v>
      </c>
      <c r="G1606" s="2" t="s">
        <v>244</v>
      </c>
      <c r="H1606" s="2" t="s">
        <v>167</v>
      </c>
      <c r="I1606" s="2" t="s">
        <v>168</v>
      </c>
      <c r="J1606" s="2" t="s">
        <v>169</v>
      </c>
      <c r="K1606" s="2" t="s">
        <v>168</v>
      </c>
      <c r="L1606">
        <v>97.59</v>
      </c>
      <c r="M1606">
        <v>1</v>
      </c>
      <c r="N1606">
        <v>0.23300000000000001</v>
      </c>
      <c r="O1606">
        <v>6900304</v>
      </c>
      <c r="P1606" s="2" t="s">
        <v>170</v>
      </c>
      <c r="Q1606" s="2" t="s">
        <v>171</v>
      </c>
      <c r="R1606" s="2" t="s">
        <v>30</v>
      </c>
      <c r="S1606">
        <v>6</v>
      </c>
      <c r="T1606" s="1">
        <v>43583</v>
      </c>
      <c r="U1606" s="1">
        <v>43592</v>
      </c>
      <c r="V1606" s="2"/>
      <c r="W1606" s="1">
        <f>fNotasFiscais[[#This Row],[Data da Coleta]]+fNotasFiscais[[#This Row],[Prazo Contratado]]</f>
        <v>43589</v>
      </c>
      <c r="X1606" s="3">
        <f>IF(fNotasFiscais[[#This Row],[Data da Entrega]]&gt;fNotasFiscais[[#This Row],[Data Contratada]],0,1)</f>
        <v>0</v>
      </c>
      <c r="Y1606" s="3">
        <f>IF(fNotasFiscais[[#This Row],[Ocorrência]]="",1,0)</f>
        <v>1</v>
      </c>
      <c r="Z1606" s="2">
        <f>fNotasFiscais[[#This Row],[On Time]]*fNotasFiscais[[#This Row],[In Full]]</f>
        <v>0</v>
      </c>
      <c r="AA1606">
        <f>IF(fNotasFiscais[[#This Row],[Nota Fiscal]]&lt;&gt;"",1,0)</f>
        <v>1</v>
      </c>
    </row>
    <row r="1607" spans="1:27" x14ac:dyDescent="0.25">
      <c r="A1607" s="1">
        <v>43584</v>
      </c>
      <c r="B1607">
        <v>12016</v>
      </c>
      <c r="C1607" s="2" t="s">
        <v>31</v>
      </c>
      <c r="D1607" s="2" t="s">
        <v>32</v>
      </c>
      <c r="E1607" s="2" t="s">
        <v>33</v>
      </c>
      <c r="F1607">
        <v>4154</v>
      </c>
      <c r="G1607" s="2" t="s">
        <v>237</v>
      </c>
      <c r="H1607" s="2" t="s">
        <v>167</v>
      </c>
      <c r="I1607" s="2" t="s">
        <v>168</v>
      </c>
      <c r="J1607" s="2" t="s">
        <v>169</v>
      </c>
      <c r="K1607" s="2" t="s">
        <v>168</v>
      </c>
      <c r="L1607">
        <v>1385.98</v>
      </c>
      <c r="M1607">
        <v>2</v>
      </c>
      <c r="N1607">
        <v>7.0469999999999997</v>
      </c>
      <c r="O1607">
        <v>6900304</v>
      </c>
      <c r="P1607" s="2" t="s">
        <v>170</v>
      </c>
      <c r="Q1607" s="2" t="s">
        <v>171</v>
      </c>
      <c r="R1607" s="2" t="s">
        <v>30</v>
      </c>
      <c r="S1607">
        <v>6</v>
      </c>
      <c r="T1607" s="1">
        <v>43585</v>
      </c>
      <c r="U1607" s="1">
        <v>43591</v>
      </c>
      <c r="V1607" s="2"/>
      <c r="W1607" s="1">
        <f>fNotasFiscais[[#This Row],[Data da Coleta]]+fNotasFiscais[[#This Row],[Prazo Contratado]]</f>
        <v>43591</v>
      </c>
      <c r="X1607" s="3">
        <f>IF(fNotasFiscais[[#This Row],[Data da Entrega]]&gt;fNotasFiscais[[#This Row],[Data Contratada]],0,1)</f>
        <v>1</v>
      </c>
      <c r="Y1607" s="3">
        <f>IF(fNotasFiscais[[#This Row],[Ocorrência]]="",1,0)</f>
        <v>1</v>
      </c>
      <c r="Z1607" s="2">
        <f>fNotasFiscais[[#This Row],[On Time]]*fNotasFiscais[[#This Row],[In Full]]</f>
        <v>1</v>
      </c>
      <c r="AA1607">
        <f>IF(fNotasFiscais[[#This Row],[Nota Fiscal]]&lt;&gt;"",1,0)</f>
        <v>1</v>
      </c>
    </row>
    <row r="1608" spans="1:27" x14ac:dyDescent="0.25">
      <c r="A1608" s="1">
        <v>43584</v>
      </c>
      <c r="B1608">
        <v>12017</v>
      </c>
      <c r="C1608" s="2" t="s">
        <v>43</v>
      </c>
      <c r="D1608" s="2" t="s">
        <v>44</v>
      </c>
      <c r="E1608" s="2" t="s">
        <v>45</v>
      </c>
      <c r="F1608">
        <v>4060</v>
      </c>
      <c r="G1608" s="2" t="s">
        <v>134</v>
      </c>
      <c r="H1608" s="2" t="s">
        <v>115</v>
      </c>
      <c r="I1608" s="2" t="s">
        <v>107</v>
      </c>
      <c r="J1608" s="2" t="s">
        <v>49</v>
      </c>
      <c r="K1608" s="2" t="s">
        <v>107</v>
      </c>
      <c r="L1608">
        <v>704.48</v>
      </c>
      <c r="M1608">
        <v>1</v>
      </c>
      <c r="N1608">
        <v>3.9140000000000001</v>
      </c>
      <c r="O1608">
        <v>6100231</v>
      </c>
      <c r="P1608" s="2" t="s">
        <v>50</v>
      </c>
      <c r="Q1608" s="2" t="s">
        <v>51</v>
      </c>
      <c r="R1608" s="2" t="s">
        <v>30</v>
      </c>
      <c r="S1608">
        <v>12</v>
      </c>
      <c r="T1608" s="1">
        <v>43585</v>
      </c>
      <c r="U1608" s="1">
        <v>43594</v>
      </c>
      <c r="V1608" s="2"/>
      <c r="W1608" s="1">
        <f>fNotasFiscais[[#This Row],[Data da Coleta]]+fNotasFiscais[[#This Row],[Prazo Contratado]]</f>
        <v>43597</v>
      </c>
      <c r="X1608" s="3">
        <f>IF(fNotasFiscais[[#This Row],[Data da Entrega]]&gt;fNotasFiscais[[#This Row],[Data Contratada]],0,1)</f>
        <v>1</v>
      </c>
      <c r="Y1608" s="3">
        <f>IF(fNotasFiscais[[#This Row],[Ocorrência]]="",1,0)</f>
        <v>1</v>
      </c>
      <c r="Z1608" s="2">
        <f>fNotasFiscais[[#This Row],[On Time]]*fNotasFiscais[[#This Row],[In Full]]</f>
        <v>1</v>
      </c>
      <c r="AA1608">
        <f>IF(fNotasFiscais[[#This Row],[Nota Fiscal]]&lt;&gt;"",1,0)</f>
        <v>1</v>
      </c>
    </row>
    <row r="1609" spans="1:27" x14ac:dyDescent="0.25">
      <c r="A1609" s="1">
        <v>43584</v>
      </c>
      <c r="B1609">
        <v>12018</v>
      </c>
      <c r="C1609" s="2" t="s">
        <v>34</v>
      </c>
      <c r="D1609" s="2" t="s">
        <v>35</v>
      </c>
      <c r="E1609" s="2" t="s">
        <v>36</v>
      </c>
      <c r="F1609">
        <v>4012</v>
      </c>
      <c r="G1609" s="2" t="s">
        <v>25</v>
      </c>
      <c r="H1609" s="2" t="s">
        <v>26</v>
      </c>
      <c r="I1609" s="2" t="s">
        <v>27</v>
      </c>
      <c r="J1609" s="2" t="s">
        <v>28</v>
      </c>
      <c r="K1609" s="2" t="s">
        <v>27</v>
      </c>
      <c r="L1609">
        <v>1859.98</v>
      </c>
      <c r="M1609">
        <v>1</v>
      </c>
      <c r="N1609">
        <v>4.9530000000000003</v>
      </c>
      <c r="O1609">
        <v>6500948</v>
      </c>
      <c r="P1609" s="2" t="s">
        <v>29</v>
      </c>
      <c r="Q1609" s="2" t="s">
        <v>23</v>
      </c>
      <c r="R1609" s="2" t="s">
        <v>30</v>
      </c>
      <c r="S1609">
        <v>9</v>
      </c>
      <c r="T1609" s="1">
        <v>43585</v>
      </c>
      <c r="U1609" s="1">
        <v>43589</v>
      </c>
      <c r="V1609" s="2"/>
      <c r="W1609" s="1">
        <f>fNotasFiscais[[#This Row],[Data da Coleta]]+fNotasFiscais[[#This Row],[Prazo Contratado]]</f>
        <v>43594</v>
      </c>
      <c r="X1609" s="3">
        <f>IF(fNotasFiscais[[#This Row],[Data da Entrega]]&gt;fNotasFiscais[[#This Row],[Data Contratada]],0,1)</f>
        <v>1</v>
      </c>
      <c r="Y1609" s="3">
        <f>IF(fNotasFiscais[[#This Row],[Ocorrência]]="",1,0)</f>
        <v>1</v>
      </c>
      <c r="Z1609" s="2">
        <f>fNotasFiscais[[#This Row],[On Time]]*fNotasFiscais[[#This Row],[In Full]]</f>
        <v>1</v>
      </c>
      <c r="AA1609">
        <f>IF(fNotasFiscais[[#This Row],[Nota Fiscal]]&lt;&gt;"",1,0)</f>
        <v>1</v>
      </c>
    </row>
    <row r="1610" spans="1:27" x14ac:dyDescent="0.25">
      <c r="A1610" s="1">
        <v>43584</v>
      </c>
      <c r="B1610">
        <v>12019</v>
      </c>
      <c r="C1610" s="2" t="s">
        <v>22</v>
      </c>
      <c r="D1610" s="2" t="s">
        <v>23</v>
      </c>
      <c r="E1610" s="2" t="s">
        <v>24</v>
      </c>
      <c r="F1610">
        <v>4012</v>
      </c>
      <c r="G1610" s="2" t="s">
        <v>25</v>
      </c>
      <c r="H1610" s="2" t="s">
        <v>26</v>
      </c>
      <c r="I1610" s="2" t="s">
        <v>27</v>
      </c>
      <c r="J1610" s="2" t="s">
        <v>28</v>
      </c>
      <c r="K1610" s="2" t="s">
        <v>27</v>
      </c>
      <c r="L1610">
        <v>515.01</v>
      </c>
      <c r="M1610">
        <v>1</v>
      </c>
      <c r="N1610">
        <v>4.4039999999999999</v>
      </c>
      <c r="O1610">
        <v>6500948</v>
      </c>
      <c r="P1610" s="2" t="s">
        <v>29</v>
      </c>
      <c r="Q1610" s="2" t="s">
        <v>23</v>
      </c>
      <c r="R1610" s="2" t="s">
        <v>30</v>
      </c>
      <c r="S1610">
        <v>11</v>
      </c>
      <c r="T1610" s="1">
        <v>43585</v>
      </c>
      <c r="U1610" s="1">
        <v>43589</v>
      </c>
      <c r="V1610" s="2"/>
      <c r="W1610" s="1">
        <f>fNotasFiscais[[#This Row],[Data da Coleta]]+fNotasFiscais[[#This Row],[Prazo Contratado]]</f>
        <v>43596</v>
      </c>
      <c r="X1610" s="3">
        <f>IF(fNotasFiscais[[#This Row],[Data da Entrega]]&gt;fNotasFiscais[[#This Row],[Data Contratada]],0,1)</f>
        <v>1</v>
      </c>
      <c r="Y1610" s="3">
        <f>IF(fNotasFiscais[[#This Row],[Ocorrência]]="",1,0)</f>
        <v>1</v>
      </c>
      <c r="Z1610" s="2">
        <f>fNotasFiscais[[#This Row],[On Time]]*fNotasFiscais[[#This Row],[In Full]]</f>
        <v>1</v>
      </c>
      <c r="AA1610">
        <f>IF(fNotasFiscais[[#This Row],[Nota Fiscal]]&lt;&gt;"",1,0)</f>
        <v>1</v>
      </c>
    </row>
    <row r="1611" spans="1:27" x14ac:dyDescent="0.25">
      <c r="A1611" s="1">
        <v>43585</v>
      </c>
      <c r="B1611">
        <v>12020</v>
      </c>
      <c r="C1611" s="2" t="s">
        <v>34</v>
      </c>
      <c r="D1611" s="2" t="s">
        <v>35</v>
      </c>
      <c r="E1611" s="2" t="s">
        <v>36</v>
      </c>
      <c r="F1611">
        <v>4012</v>
      </c>
      <c r="G1611" s="2" t="s">
        <v>25</v>
      </c>
      <c r="H1611" s="2" t="s">
        <v>26</v>
      </c>
      <c r="I1611" s="2" t="s">
        <v>27</v>
      </c>
      <c r="J1611" s="2" t="s">
        <v>28</v>
      </c>
      <c r="K1611" s="2" t="s">
        <v>27</v>
      </c>
      <c r="L1611">
        <v>407.61</v>
      </c>
      <c r="M1611">
        <v>1</v>
      </c>
      <c r="N1611">
        <v>1.43</v>
      </c>
      <c r="O1611">
        <v>6500948</v>
      </c>
      <c r="P1611" s="2" t="s">
        <v>29</v>
      </c>
      <c r="Q1611" s="2" t="s">
        <v>23</v>
      </c>
      <c r="R1611" s="2" t="s">
        <v>30</v>
      </c>
      <c r="S1611">
        <v>2</v>
      </c>
      <c r="T1611" s="1">
        <v>43585</v>
      </c>
      <c r="U1611" s="1">
        <v>43592</v>
      </c>
      <c r="V1611" s="2"/>
      <c r="W1611" s="1">
        <f>fNotasFiscais[[#This Row],[Data da Coleta]]+fNotasFiscais[[#This Row],[Prazo Contratado]]</f>
        <v>43587</v>
      </c>
      <c r="X1611" s="3">
        <f>IF(fNotasFiscais[[#This Row],[Data da Entrega]]&gt;fNotasFiscais[[#This Row],[Data Contratada]],0,1)</f>
        <v>0</v>
      </c>
      <c r="Y1611" s="3">
        <f>IF(fNotasFiscais[[#This Row],[Ocorrência]]="",1,0)</f>
        <v>1</v>
      </c>
      <c r="Z1611" s="2">
        <f>fNotasFiscais[[#This Row],[On Time]]*fNotasFiscais[[#This Row],[In Full]]</f>
        <v>0</v>
      </c>
      <c r="AA1611">
        <f>IF(fNotasFiscais[[#This Row],[Nota Fiscal]]&lt;&gt;"",1,0)</f>
        <v>1</v>
      </c>
    </row>
    <row r="1612" spans="1:27" x14ac:dyDescent="0.25">
      <c r="A1612" s="1">
        <v>43585</v>
      </c>
      <c r="B1612">
        <v>12021</v>
      </c>
      <c r="C1612" s="2" t="s">
        <v>34</v>
      </c>
      <c r="D1612" s="2" t="s">
        <v>35</v>
      </c>
      <c r="E1612" s="2" t="s">
        <v>36</v>
      </c>
      <c r="F1612">
        <v>4034</v>
      </c>
      <c r="G1612" s="2" t="s">
        <v>110</v>
      </c>
      <c r="H1612" s="2" t="s">
        <v>51</v>
      </c>
      <c r="I1612" s="2" t="s">
        <v>73</v>
      </c>
      <c r="J1612" s="2" t="s">
        <v>49</v>
      </c>
      <c r="K1612" s="2" t="s">
        <v>73</v>
      </c>
      <c r="L1612">
        <v>2030.1</v>
      </c>
      <c r="M1612">
        <v>6</v>
      </c>
      <c r="N1612">
        <v>47.640999999999998</v>
      </c>
      <c r="O1612">
        <v>6100231</v>
      </c>
      <c r="P1612" s="2" t="s">
        <v>50</v>
      </c>
      <c r="Q1612" s="2" t="s">
        <v>51</v>
      </c>
      <c r="R1612" s="2" t="s">
        <v>30</v>
      </c>
      <c r="S1612">
        <v>10</v>
      </c>
      <c r="T1612" s="1">
        <v>43585</v>
      </c>
      <c r="U1612" s="1">
        <v>43591</v>
      </c>
      <c r="V1612" s="2"/>
      <c r="W1612" s="1">
        <f>fNotasFiscais[[#This Row],[Data da Coleta]]+fNotasFiscais[[#This Row],[Prazo Contratado]]</f>
        <v>43595</v>
      </c>
      <c r="X1612" s="3">
        <f>IF(fNotasFiscais[[#This Row],[Data da Entrega]]&gt;fNotasFiscais[[#This Row],[Data Contratada]],0,1)</f>
        <v>1</v>
      </c>
      <c r="Y1612" s="3">
        <f>IF(fNotasFiscais[[#This Row],[Ocorrência]]="",1,0)</f>
        <v>1</v>
      </c>
      <c r="Z1612" s="2">
        <f>fNotasFiscais[[#This Row],[On Time]]*fNotasFiscais[[#This Row],[In Full]]</f>
        <v>1</v>
      </c>
      <c r="AA1612">
        <f>IF(fNotasFiscais[[#This Row],[Nota Fiscal]]&lt;&gt;"",1,0)</f>
        <v>1</v>
      </c>
    </row>
    <row r="1613" spans="1:27" x14ac:dyDescent="0.25">
      <c r="A1613" s="1">
        <v>43585</v>
      </c>
      <c r="B1613">
        <v>12022</v>
      </c>
      <c r="C1613" s="2" t="s">
        <v>31</v>
      </c>
      <c r="D1613" s="2" t="s">
        <v>32</v>
      </c>
      <c r="E1613" s="2" t="s">
        <v>33</v>
      </c>
      <c r="F1613">
        <v>4013</v>
      </c>
      <c r="G1613" s="2" t="s">
        <v>37</v>
      </c>
      <c r="H1613" s="2" t="s">
        <v>38</v>
      </c>
      <c r="I1613" s="2" t="s">
        <v>39</v>
      </c>
      <c r="J1613" s="2" t="s">
        <v>28</v>
      </c>
      <c r="K1613" s="2" t="s">
        <v>39</v>
      </c>
      <c r="L1613">
        <v>43.78</v>
      </c>
      <c r="M1613">
        <v>1</v>
      </c>
      <c r="N1613">
        <v>0.56399999999999995</v>
      </c>
      <c r="O1613">
        <v>6500948</v>
      </c>
      <c r="P1613" s="2" t="s">
        <v>29</v>
      </c>
      <c r="Q1613" s="2" t="s">
        <v>23</v>
      </c>
      <c r="R1613" s="2" t="s">
        <v>30</v>
      </c>
      <c r="S1613">
        <v>4</v>
      </c>
      <c r="T1613" s="1">
        <v>43585</v>
      </c>
      <c r="U1613" s="1">
        <v>43589</v>
      </c>
      <c r="V1613" s="2"/>
      <c r="W1613" s="1">
        <f>fNotasFiscais[[#This Row],[Data da Coleta]]+fNotasFiscais[[#This Row],[Prazo Contratado]]</f>
        <v>43589</v>
      </c>
      <c r="X1613" s="3">
        <f>IF(fNotasFiscais[[#This Row],[Data da Entrega]]&gt;fNotasFiscais[[#This Row],[Data Contratada]],0,1)</f>
        <v>1</v>
      </c>
      <c r="Y1613" s="3">
        <f>IF(fNotasFiscais[[#This Row],[Ocorrência]]="",1,0)</f>
        <v>1</v>
      </c>
      <c r="Z1613" s="2">
        <f>fNotasFiscais[[#This Row],[On Time]]*fNotasFiscais[[#This Row],[In Full]]</f>
        <v>1</v>
      </c>
      <c r="AA1613">
        <f>IF(fNotasFiscais[[#This Row],[Nota Fiscal]]&lt;&gt;"",1,0)</f>
        <v>1</v>
      </c>
    </row>
    <row r="1614" spans="1:27" x14ac:dyDescent="0.25">
      <c r="A1614" s="1">
        <v>43585</v>
      </c>
      <c r="B1614">
        <v>12023</v>
      </c>
      <c r="C1614" s="2" t="s">
        <v>52</v>
      </c>
      <c r="D1614" s="2" t="s">
        <v>53</v>
      </c>
      <c r="E1614" s="2" t="s">
        <v>33</v>
      </c>
      <c r="F1614">
        <v>4013</v>
      </c>
      <c r="G1614" s="2" t="s">
        <v>37</v>
      </c>
      <c r="H1614" s="2" t="s">
        <v>38</v>
      </c>
      <c r="I1614" s="2" t="s">
        <v>39</v>
      </c>
      <c r="J1614" s="2" t="s">
        <v>28</v>
      </c>
      <c r="K1614" s="2" t="s">
        <v>39</v>
      </c>
      <c r="L1614">
        <v>131.84</v>
      </c>
      <c r="M1614">
        <v>1</v>
      </c>
      <c r="N1614">
        <v>8.7999999999999995E-2</v>
      </c>
      <c r="O1614">
        <v>6500948</v>
      </c>
      <c r="P1614" s="2" t="s">
        <v>29</v>
      </c>
      <c r="Q1614" s="2" t="s">
        <v>23</v>
      </c>
      <c r="R1614" s="2" t="s">
        <v>30</v>
      </c>
      <c r="S1614">
        <v>7</v>
      </c>
      <c r="T1614" s="1">
        <v>43585</v>
      </c>
      <c r="U1614" s="1">
        <v>43594</v>
      </c>
      <c r="V1614" s="2"/>
      <c r="W1614" s="1">
        <f>fNotasFiscais[[#This Row],[Data da Coleta]]+fNotasFiscais[[#This Row],[Prazo Contratado]]</f>
        <v>43592</v>
      </c>
      <c r="X1614" s="3">
        <f>IF(fNotasFiscais[[#This Row],[Data da Entrega]]&gt;fNotasFiscais[[#This Row],[Data Contratada]],0,1)</f>
        <v>0</v>
      </c>
      <c r="Y1614" s="3">
        <f>IF(fNotasFiscais[[#This Row],[Ocorrência]]="",1,0)</f>
        <v>1</v>
      </c>
      <c r="Z1614" s="2">
        <f>fNotasFiscais[[#This Row],[On Time]]*fNotasFiscais[[#This Row],[In Full]]</f>
        <v>0</v>
      </c>
      <c r="AA1614">
        <f>IF(fNotasFiscais[[#This Row],[Nota Fiscal]]&lt;&gt;"",1,0)</f>
        <v>1</v>
      </c>
    </row>
    <row r="1615" spans="1:27" x14ac:dyDescent="0.25">
      <c r="A1615" s="1">
        <v>43585</v>
      </c>
      <c r="B1615">
        <v>12024</v>
      </c>
      <c r="C1615" s="2" t="s">
        <v>31</v>
      </c>
      <c r="D1615" s="2" t="s">
        <v>32</v>
      </c>
      <c r="E1615" s="2" t="s">
        <v>33</v>
      </c>
      <c r="F1615">
        <v>4044</v>
      </c>
      <c r="G1615" s="2" t="s">
        <v>123</v>
      </c>
      <c r="H1615" s="2" t="s">
        <v>35</v>
      </c>
      <c r="I1615" s="2" t="s">
        <v>36</v>
      </c>
      <c r="J1615" s="2" t="s">
        <v>60</v>
      </c>
      <c r="K1615" s="2" t="s">
        <v>36</v>
      </c>
      <c r="L1615">
        <v>131.86000000000001</v>
      </c>
      <c r="M1615">
        <v>1</v>
      </c>
      <c r="N1615">
        <v>0.16500000000000001</v>
      </c>
      <c r="O1615">
        <v>6600879</v>
      </c>
      <c r="P1615" s="2" t="s">
        <v>61</v>
      </c>
      <c r="Q1615" s="2" t="s">
        <v>35</v>
      </c>
      <c r="R1615" s="2" t="s">
        <v>30</v>
      </c>
      <c r="S1615">
        <v>2</v>
      </c>
      <c r="T1615" s="1">
        <v>43585</v>
      </c>
      <c r="U1615" s="1">
        <v>43595</v>
      </c>
      <c r="V1615" s="2"/>
      <c r="W1615" s="1">
        <f>fNotasFiscais[[#This Row],[Data da Coleta]]+fNotasFiscais[[#This Row],[Prazo Contratado]]</f>
        <v>43587</v>
      </c>
      <c r="X1615" s="3">
        <f>IF(fNotasFiscais[[#This Row],[Data da Entrega]]&gt;fNotasFiscais[[#This Row],[Data Contratada]],0,1)</f>
        <v>0</v>
      </c>
      <c r="Y1615" s="3">
        <f>IF(fNotasFiscais[[#This Row],[Ocorrência]]="",1,0)</f>
        <v>1</v>
      </c>
      <c r="Z1615" s="2">
        <f>fNotasFiscais[[#This Row],[On Time]]*fNotasFiscais[[#This Row],[In Full]]</f>
        <v>0</v>
      </c>
      <c r="AA1615">
        <f>IF(fNotasFiscais[[#This Row],[Nota Fiscal]]&lt;&gt;"",1,0)</f>
        <v>1</v>
      </c>
    </row>
    <row r="1616" spans="1:27" x14ac:dyDescent="0.25">
      <c r="A1616" s="1">
        <v>43585</v>
      </c>
      <c r="B1616">
        <v>12025</v>
      </c>
      <c r="C1616" s="2" t="s">
        <v>31</v>
      </c>
      <c r="D1616" s="2" t="s">
        <v>32</v>
      </c>
      <c r="E1616" s="2" t="s">
        <v>33</v>
      </c>
      <c r="F1616">
        <v>4064</v>
      </c>
      <c r="G1616" s="2" t="s">
        <v>128</v>
      </c>
      <c r="H1616" s="2" t="s">
        <v>129</v>
      </c>
      <c r="I1616" s="2" t="s">
        <v>33</v>
      </c>
      <c r="J1616" s="2" t="s">
        <v>60</v>
      </c>
      <c r="K1616" s="2" t="s">
        <v>33</v>
      </c>
      <c r="L1616">
        <v>40.159999999999997</v>
      </c>
      <c r="M1616">
        <v>1</v>
      </c>
      <c r="N1616">
        <v>0.33700000000000002</v>
      </c>
      <c r="O1616">
        <v>6400835</v>
      </c>
      <c r="P1616" s="2" t="s">
        <v>130</v>
      </c>
      <c r="Q1616" s="2" t="s">
        <v>131</v>
      </c>
      <c r="R1616" s="2" t="s">
        <v>30</v>
      </c>
      <c r="S1616">
        <v>4</v>
      </c>
      <c r="T1616" s="1">
        <v>43585</v>
      </c>
      <c r="U1616" s="1">
        <v>43587</v>
      </c>
      <c r="V1616" s="2"/>
      <c r="W1616" s="1">
        <f>fNotasFiscais[[#This Row],[Data da Coleta]]+fNotasFiscais[[#This Row],[Prazo Contratado]]</f>
        <v>43589</v>
      </c>
      <c r="X1616" s="3">
        <f>IF(fNotasFiscais[[#This Row],[Data da Entrega]]&gt;fNotasFiscais[[#This Row],[Data Contratada]],0,1)</f>
        <v>1</v>
      </c>
      <c r="Y1616" s="3">
        <f>IF(fNotasFiscais[[#This Row],[Ocorrência]]="",1,0)</f>
        <v>1</v>
      </c>
      <c r="Z1616" s="2">
        <f>fNotasFiscais[[#This Row],[On Time]]*fNotasFiscais[[#This Row],[In Full]]</f>
        <v>1</v>
      </c>
      <c r="AA1616">
        <f>IF(fNotasFiscais[[#This Row],[Nota Fiscal]]&lt;&gt;"",1,0)</f>
        <v>1</v>
      </c>
    </row>
    <row r="1617" spans="1:27" x14ac:dyDescent="0.25">
      <c r="A1617" s="1">
        <v>43585</v>
      </c>
      <c r="B1617">
        <v>12026</v>
      </c>
      <c r="C1617" s="2" t="s">
        <v>34</v>
      </c>
      <c r="D1617" s="2" t="s">
        <v>35</v>
      </c>
      <c r="E1617" s="2" t="s">
        <v>36</v>
      </c>
      <c r="F1617">
        <v>4018</v>
      </c>
      <c r="G1617" s="2" t="s">
        <v>77</v>
      </c>
      <c r="H1617" s="2" t="s">
        <v>78</v>
      </c>
      <c r="I1617" s="2" t="s">
        <v>39</v>
      </c>
      <c r="J1617" s="2" t="s">
        <v>28</v>
      </c>
      <c r="K1617" s="2" t="s">
        <v>39</v>
      </c>
      <c r="L1617">
        <v>237.14</v>
      </c>
      <c r="M1617">
        <v>1</v>
      </c>
      <c r="N1617">
        <v>0.54300000000000004</v>
      </c>
      <c r="O1617">
        <v>6500948</v>
      </c>
      <c r="P1617" s="2" t="s">
        <v>29</v>
      </c>
      <c r="Q1617" s="2" t="s">
        <v>23</v>
      </c>
      <c r="R1617" s="2" t="s">
        <v>30</v>
      </c>
      <c r="S1617">
        <v>1</v>
      </c>
      <c r="T1617" s="1">
        <v>43585</v>
      </c>
      <c r="U1617" s="1">
        <v>43590</v>
      </c>
      <c r="V1617" s="2"/>
      <c r="W1617" s="1">
        <f>fNotasFiscais[[#This Row],[Data da Coleta]]+fNotasFiscais[[#This Row],[Prazo Contratado]]</f>
        <v>43586</v>
      </c>
      <c r="X1617" s="3">
        <f>IF(fNotasFiscais[[#This Row],[Data da Entrega]]&gt;fNotasFiscais[[#This Row],[Data Contratada]],0,1)</f>
        <v>0</v>
      </c>
      <c r="Y1617" s="3">
        <f>IF(fNotasFiscais[[#This Row],[Ocorrência]]="",1,0)</f>
        <v>1</v>
      </c>
      <c r="Z1617" s="2">
        <f>fNotasFiscais[[#This Row],[On Time]]*fNotasFiscais[[#This Row],[In Full]]</f>
        <v>0</v>
      </c>
      <c r="AA1617">
        <f>IF(fNotasFiscais[[#This Row],[Nota Fiscal]]&lt;&gt;"",1,0)</f>
        <v>1</v>
      </c>
    </row>
    <row r="1618" spans="1:27" x14ac:dyDescent="0.25">
      <c r="A1618" s="1">
        <v>43585</v>
      </c>
      <c r="B1618">
        <v>12027</v>
      </c>
      <c r="C1618" s="2" t="s">
        <v>52</v>
      </c>
      <c r="D1618" s="2" t="s">
        <v>53</v>
      </c>
      <c r="E1618" s="2" t="s">
        <v>33</v>
      </c>
      <c r="F1618">
        <v>4044</v>
      </c>
      <c r="G1618" s="2" t="s">
        <v>123</v>
      </c>
      <c r="H1618" s="2" t="s">
        <v>35</v>
      </c>
      <c r="I1618" s="2" t="s">
        <v>36</v>
      </c>
      <c r="J1618" s="2" t="s">
        <v>60</v>
      </c>
      <c r="K1618" s="2" t="s">
        <v>36</v>
      </c>
      <c r="L1618">
        <v>31.69</v>
      </c>
      <c r="M1618">
        <v>1</v>
      </c>
      <c r="N1618">
        <v>0.11</v>
      </c>
      <c r="O1618">
        <v>6600879</v>
      </c>
      <c r="P1618" s="2" t="s">
        <v>61</v>
      </c>
      <c r="Q1618" s="2" t="s">
        <v>35</v>
      </c>
      <c r="R1618" s="2" t="s">
        <v>30</v>
      </c>
      <c r="S1618">
        <v>1</v>
      </c>
      <c r="T1618" s="1">
        <v>43585</v>
      </c>
      <c r="U1618" s="1">
        <v>43594</v>
      </c>
      <c r="V1618" s="2"/>
      <c r="W1618" s="1">
        <f>fNotasFiscais[[#This Row],[Data da Coleta]]+fNotasFiscais[[#This Row],[Prazo Contratado]]</f>
        <v>43586</v>
      </c>
      <c r="X1618" s="3">
        <f>IF(fNotasFiscais[[#This Row],[Data da Entrega]]&gt;fNotasFiscais[[#This Row],[Data Contratada]],0,1)</f>
        <v>0</v>
      </c>
      <c r="Y1618" s="3">
        <f>IF(fNotasFiscais[[#This Row],[Ocorrência]]="",1,0)</f>
        <v>1</v>
      </c>
      <c r="Z1618" s="2">
        <f>fNotasFiscais[[#This Row],[On Time]]*fNotasFiscais[[#This Row],[In Full]]</f>
        <v>0</v>
      </c>
      <c r="AA1618">
        <f>IF(fNotasFiscais[[#This Row],[Nota Fiscal]]&lt;&gt;"",1,0)</f>
        <v>1</v>
      </c>
    </row>
    <row r="1619" spans="1:27" x14ac:dyDescent="0.25">
      <c r="A1619" s="1">
        <v>43585</v>
      </c>
      <c r="B1619">
        <v>12028</v>
      </c>
      <c r="C1619" s="2" t="s">
        <v>22</v>
      </c>
      <c r="D1619" s="2" t="s">
        <v>23</v>
      </c>
      <c r="E1619" s="2" t="s">
        <v>24</v>
      </c>
      <c r="F1619">
        <v>4045</v>
      </c>
      <c r="G1619" s="2" t="s">
        <v>124</v>
      </c>
      <c r="H1619" s="2" t="s">
        <v>35</v>
      </c>
      <c r="I1619" s="2" t="s">
        <v>36</v>
      </c>
      <c r="J1619" s="2" t="s">
        <v>60</v>
      </c>
      <c r="K1619" s="2" t="s">
        <v>36</v>
      </c>
      <c r="L1619">
        <v>237.14</v>
      </c>
      <c r="M1619">
        <v>1</v>
      </c>
      <c r="N1619">
        <v>0.54300000000000004</v>
      </c>
      <c r="O1619">
        <v>6600879</v>
      </c>
      <c r="P1619" s="2" t="s">
        <v>61</v>
      </c>
      <c r="Q1619" s="2" t="s">
        <v>35</v>
      </c>
      <c r="R1619" s="2" t="s">
        <v>30</v>
      </c>
      <c r="S1619">
        <v>7</v>
      </c>
      <c r="T1619" s="1">
        <v>43585</v>
      </c>
      <c r="U1619" s="1">
        <v>43586</v>
      </c>
      <c r="V1619" s="2"/>
      <c r="W1619" s="1">
        <f>fNotasFiscais[[#This Row],[Data da Coleta]]+fNotasFiscais[[#This Row],[Prazo Contratado]]</f>
        <v>43592</v>
      </c>
      <c r="X1619" s="3">
        <f>IF(fNotasFiscais[[#This Row],[Data da Entrega]]&gt;fNotasFiscais[[#This Row],[Data Contratada]],0,1)</f>
        <v>1</v>
      </c>
      <c r="Y1619" s="3">
        <f>IF(fNotasFiscais[[#This Row],[Ocorrência]]="",1,0)</f>
        <v>1</v>
      </c>
      <c r="Z1619" s="2">
        <f>fNotasFiscais[[#This Row],[On Time]]*fNotasFiscais[[#This Row],[In Full]]</f>
        <v>1</v>
      </c>
      <c r="AA1619">
        <f>IF(fNotasFiscais[[#This Row],[Nota Fiscal]]&lt;&gt;"",1,0)</f>
        <v>1</v>
      </c>
    </row>
    <row r="1620" spans="1:27" x14ac:dyDescent="0.25">
      <c r="A1620" s="1">
        <v>43585</v>
      </c>
      <c r="B1620">
        <v>12029</v>
      </c>
      <c r="C1620" s="2" t="s">
        <v>54</v>
      </c>
      <c r="D1620" s="2" t="s">
        <v>55</v>
      </c>
      <c r="E1620" s="2" t="s">
        <v>56</v>
      </c>
      <c r="F1620">
        <v>4045</v>
      </c>
      <c r="G1620" s="2" t="s">
        <v>124</v>
      </c>
      <c r="H1620" s="2" t="s">
        <v>35</v>
      </c>
      <c r="I1620" s="2" t="s">
        <v>36</v>
      </c>
      <c r="J1620" s="2" t="s">
        <v>60</v>
      </c>
      <c r="K1620" s="2" t="s">
        <v>36</v>
      </c>
      <c r="L1620">
        <v>46.22</v>
      </c>
      <c r="M1620">
        <v>1</v>
      </c>
      <c r="N1620">
        <v>0.17199999999999999</v>
      </c>
      <c r="O1620">
        <v>6600879</v>
      </c>
      <c r="P1620" s="2" t="s">
        <v>61</v>
      </c>
      <c r="Q1620" s="2" t="s">
        <v>35</v>
      </c>
      <c r="R1620" s="2" t="s">
        <v>30</v>
      </c>
      <c r="S1620">
        <v>3</v>
      </c>
      <c r="T1620" s="1">
        <v>43585</v>
      </c>
      <c r="U1620" s="1">
        <v>43587</v>
      </c>
      <c r="V1620" s="2"/>
      <c r="W1620" s="1">
        <f>fNotasFiscais[[#This Row],[Data da Coleta]]+fNotasFiscais[[#This Row],[Prazo Contratado]]</f>
        <v>43588</v>
      </c>
      <c r="X1620" s="3">
        <f>IF(fNotasFiscais[[#This Row],[Data da Entrega]]&gt;fNotasFiscais[[#This Row],[Data Contratada]],0,1)</f>
        <v>1</v>
      </c>
      <c r="Y1620" s="3">
        <f>IF(fNotasFiscais[[#This Row],[Ocorrência]]="",1,0)</f>
        <v>1</v>
      </c>
      <c r="Z1620" s="2">
        <f>fNotasFiscais[[#This Row],[On Time]]*fNotasFiscais[[#This Row],[In Full]]</f>
        <v>1</v>
      </c>
      <c r="AA1620">
        <f>IF(fNotasFiscais[[#This Row],[Nota Fiscal]]&lt;&gt;"",1,0)</f>
        <v>1</v>
      </c>
    </row>
    <row r="1621" spans="1:27" x14ac:dyDescent="0.25">
      <c r="A1621" s="1">
        <v>43585</v>
      </c>
      <c r="B1621">
        <v>12030</v>
      </c>
      <c r="C1621" s="2" t="s">
        <v>31</v>
      </c>
      <c r="D1621" s="2" t="s">
        <v>32</v>
      </c>
      <c r="E1621" s="2" t="s">
        <v>33</v>
      </c>
      <c r="F1621">
        <v>4064</v>
      </c>
      <c r="G1621" s="2" t="s">
        <v>128</v>
      </c>
      <c r="H1621" s="2" t="s">
        <v>129</v>
      </c>
      <c r="I1621" s="2" t="s">
        <v>33</v>
      </c>
      <c r="J1621" s="2" t="s">
        <v>60</v>
      </c>
      <c r="K1621" s="2" t="s">
        <v>33</v>
      </c>
      <c r="L1621">
        <v>176.46</v>
      </c>
      <c r="M1621">
        <v>1</v>
      </c>
      <c r="N1621">
        <v>1.571</v>
      </c>
      <c r="O1621">
        <v>6400835</v>
      </c>
      <c r="P1621" s="2" t="s">
        <v>130</v>
      </c>
      <c r="Q1621" s="2" t="s">
        <v>131</v>
      </c>
      <c r="R1621" s="2" t="s">
        <v>30</v>
      </c>
      <c r="S1621">
        <v>6</v>
      </c>
      <c r="T1621" s="1">
        <v>43585</v>
      </c>
      <c r="U1621" s="1">
        <v>43595</v>
      </c>
      <c r="V1621" s="2" t="s">
        <v>57</v>
      </c>
      <c r="W1621" s="1">
        <f>fNotasFiscais[[#This Row],[Data da Coleta]]+fNotasFiscais[[#This Row],[Prazo Contratado]]</f>
        <v>43591</v>
      </c>
      <c r="X1621" s="3">
        <f>IF(fNotasFiscais[[#This Row],[Data da Entrega]]&gt;fNotasFiscais[[#This Row],[Data Contratada]],0,1)</f>
        <v>0</v>
      </c>
      <c r="Y1621" s="3">
        <f>IF(fNotasFiscais[[#This Row],[Ocorrência]]="",1,0)</f>
        <v>0</v>
      </c>
      <c r="Z1621" s="2">
        <f>fNotasFiscais[[#This Row],[On Time]]*fNotasFiscais[[#This Row],[In Full]]</f>
        <v>0</v>
      </c>
      <c r="AA1621">
        <f>IF(fNotasFiscais[[#This Row],[Nota Fiscal]]&lt;&gt;"",1,0)</f>
        <v>1</v>
      </c>
    </row>
    <row r="1622" spans="1:27" x14ac:dyDescent="0.25">
      <c r="A1622" s="1">
        <v>43585</v>
      </c>
      <c r="B1622">
        <v>12031</v>
      </c>
      <c r="C1622" s="2" t="s">
        <v>40</v>
      </c>
      <c r="D1622" s="2" t="s">
        <v>41</v>
      </c>
      <c r="E1622" s="2" t="s">
        <v>33</v>
      </c>
      <c r="F1622">
        <v>4032</v>
      </c>
      <c r="G1622" s="2" t="s">
        <v>108</v>
      </c>
      <c r="H1622" s="2" t="s">
        <v>51</v>
      </c>
      <c r="I1622" s="2" t="s">
        <v>73</v>
      </c>
      <c r="J1622" s="2" t="s">
        <v>49</v>
      </c>
      <c r="K1622" s="2" t="s">
        <v>73</v>
      </c>
      <c r="L1622">
        <v>43.78</v>
      </c>
      <c r="M1622">
        <v>2</v>
      </c>
      <c r="N1622">
        <v>0.68500000000000005</v>
      </c>
      <c r="O1622">
        <v>6100231</v>
      </c>
      <c r="P1622" s="2" t="s">
        <v>50</v>
      </c>
      <c r="Q1622" s="2" t="s">
        <v>51</v>
      </c>
      <c r="R1622" s="2" t="s">
        <v>30</v>
      </c>
      <c r="S1622">
        <v>10</v>
      </c>
      <c r="T1622" s="1">
        <v>43585</v>
      </c>
      <c r="U1622" s="1">
        <v>43586</v>
      </c>
      <c r="V1622" s="2" t="s">
        <v>57</v>
      </c>
      <c r="W1622" s="1">
        <f>fNotasFiscais[[#This Row],[Data da Coleta]]+fNotasFiscais[[#This Row],[Prazo Contratado]]</f>
        <v>43595</v>
      </c>
      <c r="X1622" s="3">
        <f>IF(fNotasFiscais[[#This Row],[Data da Entrega]]&gt;fNotasFiscais[[#This Row],[Data Contratada]],0,1)</f>
        <v>1</v>
      </c>
      <c r="Y1622" s="3">
        <f>IF(fNotasFiscais[[#This Row],[Ocorrência]]="",1,0)</f>
        <v>0</v>
      </c>
      <c r="Z1622" s="2">
        <f>fNotasFiscais[[#This Row],[On Time]]*fNotasFiscais[[#This Row],[In Full]]</f>
        <v>0</v>
      </c>
      <c r="AA1622">
        <f>IF(fNotasFiscais[[#This Row],[Nota Fiscal]]&lt;&gt;"",1,0)</f>
        <v>1</v>
      </c>
    </row>
    <row r="1623" spans="1:27" x14ac:dyDescent="0.25">
      <c r="A1623" s="1">
        <v>43585</v>
      </c>
      <c r="B1623">
        <v>12032</v>
      </c>
      <c r="C1623" s="2" t="s">
        <v>22</v>
      </c>
      <c r="D1623" s="2" t="s">
        <v>23</v>
      </c>
      <c r="E1623" s="2" t="s">
        <v>24</v>
      </c>
      <c r="F1623">
        <v>4044</v>
      </c>
      <c r="G1623" s="2" t="s">
        <v>123</v>
      </c>
      <c r="H1623" s="2" t="s">
        <v>35</v>
      </c>
      <c r="I1623" s="2" t="s">
        <v>36</v>
      </c>
      <c r="J1623" s="2" t="s">
        <v>60</v>
      </c>
      <c r="K1623" s="2" t="s">
        <v>36</v>
      </c>
      <c r="L1623">
        <v>174.22</v>
      </c>
      <c r="M1623">
        <v>1</v>
      </c>
      <c r="N1623">
        <v>1.1200000000000001</v>
      </c>
      <c r="O1623">
        <v>6600879</v>
      </c>
      <c r="P1623" s="2" t="s">
        <v>61</v>
      </c>
      <c r="Q1623" s="2" t="s">
        <v>35</v>
      </c>
      <c r="R1623" s="2" t="s">
        <v>30</v>
      </c>
      <c r="S1623">
        <v>11</v>
      </c>
      <c r="T1623" s="1">
        <v>43585</v>
      </c>
      <c r="U1623" s="1">
        <v>43586</v>
      </c>
      <c r="V1623" s="2"/>
      <c r="W1623" s="1">
        <f>fNotasFiscais[[#This Row],[Data da Coleta]]+fNotasFiscais[[#This Row],[Prazo Contratado]]</f>
        <v>43596</v>
      </c>
      <c r="X1623" s="3">
        <f>IF(fNotasFiscais[[#This Row],[Data da Entrega]]&gt;fNotasFiscais[[#This Row],[Data Contratada]],0,1)</f>
        <v>1</v>
      </c>
      <c r="Y1623" s="3">
        <f>IF(fNotasFiscais[[#This Row],[Ocorrência]]="",1,0)</f>
        <v>1</v>
      </c>
      <c r="Z1623" s="2">
        <f>fNotasFiscais[[#This Row],[On Time]]*fNotasFiscais[[#This Row],[In Full]]</f>
        <v>1</v>
      </c>
      <c r="AA1623">
        <f>IF(fNotasFiscais[[#This Row],[Nota Fiscal]]&lt;&gt;"",1,0)</f>
        <v>1</v>
      </c>
    </row>
    <row r="1624" spans="1:27" x14ac:dyDescent="0.25">
      <c r="A1624" s="1">
        <v>43585</v>
      </c>
      <c r="B1624">
        <v>12033</v>
      </c>
      <c r="C1624" s="2" t="s">
        <v>54</v>
      </c>
      <c r="D1624" s="2" t="s">
        <v>55</v>
      </c>
      <c r="E1624" s="2" t="s">
        <v>56</v>
      </c>
      <c r="F1624">
        <v>4045</v>
      </c>
      <c r="G1624" s="2" t="s">
        <v>124</v>
      </c>
      <c r="H1624" s="2" t="s">
        <v>35</v>
      </c>
      <c r="I1624" s="2" t="s">
        <v>36</v>
      </c>
      <c r="J1624" s="2" t="s">
        <v>60</v>
      </c>
      <c r="K1624" s="2" t="s">
        <v>36</v>
      </c>
      <c r="L1624">
        <v>288.56</v>
      </c>
      <c r="M1624">
        <v>3</v>
      </c>
      <c r="N1624">
        <v>0.71699999999999997</v>
      </c>
      <c r="O1624">
        <v>6600879</v>
      </c>
      <c r="P1624" s="2" t="s">
        <v>61</v>
      </c>
      <c r="Q1624" s="2" t="s">
        <v>35</v>
      </c>
      <c r="R1624" s="2" t="s">
        <v>30</v>
      </c>
      <c r="S1624">
        <v>1</v>
      </c>
      <c r="T1624" s="1">
        <v>43585</v>
      </c>
      <c r="U1624" s="1">
        <v>43587</v>
      </c>
      <c r="V1624" s="2"/>
      <c r="W1624" s="1">
        <f>fNotasFiscais[[#This Row],[Data da Coleta]]+fNotasFiscais[[#This Row],[Prazo Contratado]]</f>
        <v>43586</v>
      </c>
      <c r="X1624" s="3">
        <f>IF(fNotasFiscais[[#This Row],[Data da Entrega]]&gt;fNotasFiscais[[#This Row],[Data Contratada]],0,1)</f>
        <v>0</v>
      </c>
      <c r="Y1624" s="3">
        <f>IF(fNotasFiscais[[#This Row],[Ocorrência]]="",1,0)</f>
        <v>1</v>
      </c>
      <c r="Z1624" s="2">
        <f>fNotasFiscais[[#This Row],[On Time]]*fNotasFiscais[[#This Row],[In Full]]</f>
        <v>0</v>
      </c>
      <c r="AA1624">
        <f>IF(fNotasFiscais[[#This Row],[Nota Fiscal]]&lt;&gt;"",1,0)</f>
        <v>1</v>
      </c>
    </row>
    <row r="1625" spans="1:27" x14ac:dyDescent="0.25">
      <c r="A1625" s="1">
        <v>43585</v>
      </c>
      <c r="B1625">
        <v>12034</v>
      </c>
      <c r="C1625" s="2" t="s">
        <v>31</v>
      </c>
      <c r="D1625" s="2" t="s">
        <v>32</v>
      </c>
      <c r="E1625" s="2" t="s">
        <v>33</v>
      </c>
      <c r="F1625">
        <v>4064</v>
      </c>
      <c r="G1625" s="2" t="s">
        <v>128</v>
      </c>
      <c r="H1625" s="2" t="s">
        <v>129</v>
      </c>
      <c r="I1625" s="2" t="s">
        <v>33</v>
      </c>
      <c r="J1625" s="2" t="s">
        <v>60</v>
      </c>
      <c r="K1625" s="2" t="s">
        <v>33</v>
      </c>
      <c r="L1625">
        <v>20.71</v>
      </c>
      <c r="M1625">
        <v>1</v>
      </c>
      <c r="N1625">
        <v>1.1200000000000001</v>
      </c>
      <c r="O1625">
        <v>6400835</v>
      </c>
      <c r="P1625" s="2" t="s">
        <v>130</v>
      </c>
      <c r="Q1625" s="2" t="s">
        <v>131</v>
      </c>
      <c r="R1625" s="2" t="s">
        <v>30</v>
      </c>
      <c r="S1625">
        <v>9</v>
      </c>
      <c r="T1625" s="1">
        <v>43585</v>
      </c>
      <c r="U1625" s="1">
        <v>43588</v>
      </c>
      <c r="V1625" s="2"/>
      <c r="W1625" s="1">
        <f>fNotasFiscais[[#This Row],[Data da Coleta]]+fNotasFiscais[[#This Row],[Prazo Contratado]]</f>
        <v>43594</v>
      </c>
      <c r="X1625" s="3">
        <f>IF(fNotasFiscais[[#This Row],[Data da Entrega]]&gt;fNotasFiscais[[#This Row],[Data Contratada]],0,1)</f>
        <v>1</v>
      </c>
      <c r="Y1625" s="3">
        <f>IF(fNotasFiscais[[#This Row],[Ocorrência]]="",1,0)</f>
        <v>1</v>
      </c>
      <c r="Z1625" s="2">
        <f>fNotasFiscais[[#This Row],[On Time]]*fNotasFiscais[[#This Row],[In Full]]</f>
        <v>1</v>
      </c>
      <c r="AA1625">
        <f>IF(fNotasFiscais[[#This Row],[Nota Fiscal]]&lt;&gt;"",1,0)</f>
        <v>1</v>
      </c>
    </row>
    <row r="1626" spans="1:27" x14ac:dyDescent="0.25">
      <c r="A1626" s="1">
        <v>43585</v>
      </c>
      <c r="B1626">
        <v>12035</v>
      </c>
      <c r="C1626" s="2" t="s">
        <v>34</v>
      </c>
      <c r="D1626" s="2" t="s">
        <v>35</v>
      </c>
      <c r="E1626" s="2" t="s">
        <v>36</v>
      </c>
      <c r="F1626">
        <v>4064</v>
      </c>
      <c r="G1626" s="2" t="s">
        <v>128</v>
      </c>
      <c r="H1626" s="2" t="s">
        <v>129</v>
      </c>
      <c r="I1626" s="2" t="s">
        <v>33</v>
      </c>
      <c r="J1626" s="2" t="s">
        <v>60</v>
      </c>
      <c r="K1626" s="2" t="s">
        <v>33</v>
      </c>
      <c r="L1626">
        <v>1287.1500000000001</v>
      </c>
      <c r="M1626">
        <v>2</v>
      </c>
      <c r="N1626">
        <v>11.935</v>
      </c>
      <c r="O1626">
        <v>6400835</v>
      </c>
      <c r="P1626" s="2" t="s">
        <v>130</v>
      </c>
      <c r="Q1626" s="2" t="s">
        <v>131</v>
      </c>
      <c r="R1626" s="2" t="s">
        <v>30</v>
      </c>
      <c r="S1626">
        <v>5</v>
      </c>
      <c r="T1626" s="1">
        <v>43585</v>
      </c>
      <c r="U1626" s="1">
        <v>43586</v>
      </c>
      <c r="V1626" s="2"/>
      <c r="W1626" s="1">
        <f>fNotasFiscais[[#This Row],[Data da Coleta]]+fNotasFiscais[[#This Row],[Prazo Contratado]]</f>
        <v>43590</v>
      </c>
      <c r="X1626" s="3">
        <f>IF(fNotasFiscais[[#This Row],[Data da Entrega]]&gt;fNotasFiscais[[#This Row],[Data Contratada]],0,1)</f>
        <v>1</v>
      </c>
      <c r="Y1626" s="3">
        <f>IF(fNotasFiscais[[#This Row],[Ocorrência]]="",1,0)</f>
        <v>1</v>
      </c>
      <c r="Z1626" s="2">
        <f>fNotasFiscais[[#This Row],[On Time]]*fNotasFiscais[[#This Row],[In Full]]</f>
        <v>1</v>
      </c>
      <c r="AA1626">
        <f>IF(fNotasFiscais[[#This Row],[Nota Fiscal]]&lt;&gt;"",1,0)</f>
        <v>1</v>
      </c>
    </row>
    <row r="1627" spans="1:27" x14ac:dyDescent="0.25">
      <c r="A1627" s="1">
        <v>43585</v>
      </c>
      <c r="B1627">
        <v>12036</v>
      </c>
      <c r="C1627" s="2" t="s">
        <v>34</v>
      </c>
      <c r="D1627" s="2" t="s">
        <v>35</v>
      </c>
      <c r="E1627" s="2" t="s">
        <v>36</v>
      </c>
      <c r="F1627">
        <v>4064</v>
      </c>
      <c r="G1627" s="2" t="s">
        <v>128</v>
      </c>
      <c r="H1627" s="2" t="s">
        <v>129</v>
      </c>
      <c r="I1627" s="2" t="s">
        <v>33</v>
      </c>
      <c r="J1627" s="2" t="s">
        <v>60</v>
      </c>
      <c r="K1627" s="2" t="s">
        <v>33</v>
      </c>
      <c r="L1627">
        <v>258.58</v>
      </c>
      <c r="M1627">
        <v>1</v>
      </c>
      <c r="N1627">
        <v>0.19400000000000001</v>
      </c>
      <c r="O1627">
        <v>6400835</v>
      </c>
      <c r="P1627" s="2" t="s">
        <v>130</v>
      </c>
      <c r="Q1627" s="2" t="s">
        <v>131</v>
      </c>
      <c r="R1627" s="2" t="s">
        <v>30</v>
      </c>
      <c r="S1627">
        <v>6</v>
      </c>
      <c r="T1627" s="1">
        <v>43585</v>
      </c>
      <c r="U1627" s="1">
        <v>43590</v>
      </c>
      <c r="V1627" s="2"/>
      <c r="W1627" s="1">
        <f>fNotasFiscais[[#This Row],[Data da Coleta]]+fNotasFiscais[[#This Row],[Prazo Contratado]]</f>
        <v>43591</v>
      </c>
      <c r="X1627" s="3">
        <f>IF(fNotasFiscais[[#This Row],[Data da Entrega]]&gt;fNotasFiscais[[#This Row],[Data Contratada]],0,1)</f>
        <v>1</v>
      </c>
      <c r="Y1627" s="3">
        <f>IF(fNotasFiscais[[#This Row],[Ocorrência]]="",1,0)</f>
        <v>1</v>
      </c>
      <c r="Z1627" s="2">
        <f>fNotasFiscais[[#This Row],[On Time]]*fNotasFiscais[[#This Row],[In Full]]</f>
        <v>1</v>
      </c>
      <c r="AA1627">
        <f>IF(fNotasFiscais[[#This Row],[Nota Fiscal]]&lt;&gt;"",1,0)</f>
        <v>1</v>
      </c>
    </row>
    <row r="1628" spans="1:27" x14ac:dyDescent="0.25">
      <c r="A1628" s="1">
        <v>43587</v>
      </c>
      <c r="B1628">
        <v>12037</v>
      </c>
      <c r="C1628" s="2" t="s">
        <v>31</v>
      </c>
      <c r="D1628" s="2" t="s">
        <v>32</v>
      </c>
      <c r="E1628" s="2" t="s">
        <v>33</v>
      </c>
      <c r="F1628">
        <v>4128</v>
      </c>
      <c r="G1628" s="2" t="s">
        <v>211</v>
      </c>
      <c r="H1628" s="2" t="s">
        <v>167</v>
      </c>
      <c r="I1628" s="2" t="s">
        <v>168</v>
      </c>
      <c r="J1628" s="2" t="s">
        <v>169</v>
      </c>
      <c r="K1628" s="2" t="s">
        <v>168</v>
      </c>
      <c r="L1628">
        <v>46.51</v>
      </c>
      <c r="M1628">
        <v>1</v>
      </c>
      <c r="N1628">
        <v>3.3000000000000002E-2</v>
      </c>
      <c r="O1628">
        <v>6900304</v>
      </c>
      <c r="P1628" s="2" t="s">
        <v>170</v>
      </c>
      <c r="Q1628" s="2" t="s">
        <v>171</v>
      </c>
      <c r="R1628" s="2" t="s">
        <v>30</v>
      </c>
      <c r="S1628">
        <v>4</v>
      </c>
      <c r="T1628" s="1">
        <v>43587</v>
      </c>
      <c r="U1628" s="1">
        <v>43588</v>
      </c>
      <c r="V1628" s="2"/>
      <c r="W1628" s="1">
        <f>fNotasFiscais[[#This Row],[Data da Coleta]]+fNotasFiscais[[#This Row],[Prazo Contratado]]</f>
        <v>43591</v>
      </c>
      <c r="X1628" s="3">
        <f>IF(fNotasFiscais[[#This Row],[Data da Entrega]]&gt;fNotasFiscais[[#This Row],[Data Contratada]],0,1)</f>
        <v>1</v>
      </c>
      <c r="Y1628" s="3">
        <f>IF(fNotasFiscais[[#This Row],[Ocorrência]]="",1,0)</f>
        <v>1</v>
      </c>
      <c r="Z1628" s="2">
        <f>fNotasFiscais[[#This Row],[On Time]]*fNotasFiscais[[#This Row],[In Full]]</f>
        <v>1</v>
      </c>
      <c r="AA1628">
        <f>IF(fNotasFiscais[[#This Row],[Nota Fiscal]]&lt;&gt;"",1,0)</f>
        <v>1</v>
      </c>
    </row>
    <row r="1629" spans="1:27" x14ac:dyDescent="0.25">
      <c r="A1629" s="1">
        <v>43587</v>
      </c>
      <c r="B1629">
        <v>12038</v>
      </c>
      <c r="C1629" s="2" t="s">
        <v>43</v>
      </c>
      <c r="D1629" s="2" t="s">
        <v>44</v>
      </c>
      <c r="E1629" s="2" t="s">
        <v>45</v>
      </c>
      <c r="F1629">
        <v>4012</v>
      </c>
      <c r="G1629" s="2" t="s">
        <v>25</v>
      </c>
      <c r="H1629" s="2" t="s">
        <v>26</v>
      </c>
      <c r="I1629" s="2" t="s">
        <v>27</v>
      </c>
      <c r="J1629" s="2" t="s">
        <v>28</v>
      </c>
      <c r="K1629" s="2" t="s">
        <v>27</v>
      </c>
      <c r="L1629">
        <v>1621.91</v>
      </c>
      <c r="M1629">
        <v>1</v>
      </c>
      <c r="N1629">
        <v>16.5</v>
      </c>
      <c r="O1629">
        <v>6500948</v>
      </c>
      <c r="P1629" s="2" t="s">
        <v>29</v>
      </c>
      <c r="Q1629" s="2" t="s">
        <v>23</v>
      </c>
      <c r="R1629" s="2" t="s">
        <v>30</v>
      </c>
      <c r="S1629">
        <v>8</v>
      </c>
      <c r="T1629" s="1">
        <v>43587</v>
      </c>
      <c r="U1629" s="1">
        <v>43593</v>
      </c>
      <c r="V1629" s="2"/>
      <c r="W1629" s="1">
        <f>fNotasFiscais[[#This Row],[Data da Coleta]]+fNotasFiscais[[#This Row],[Prazo Contratado]]</f>
        <v>43595</v>
      </c>
      <c r="X1629" s="3">
        <f>IF(fNotasFiscais[[#This Row],[Data da Entrega]]&gt;fNotasFiscais[[#This Row],[Data Contratada]],0,1)</f>
        <v>1</v>
      </c>
      <c r="Y1629" s="3">
        <f>IF(fNotasFiscais[[#This Row],[Ocorrência]]="",1,0)</f>
        <v>1</v>
      </c>
      <c r="Z1629" s="2">
        <f>fNotasFiscais[[#This Row],[On Time]]*fNotasFiscais[[#This Row],[In Full]]</f>
        <v>1</v>
      </c>
      <c r="AA1629">
        <f>IF(fNotasFiscais[[#This Row],[Nota Fiscal]]&lt;&gt;"",1,0)</f>
        <v>1</v>
      </c>
    </row>
    <row r="1630" spans="1:27" x14ac:dyDescent="0.25">
      <c r="A1630" s="1">
        <v>43587</v>
      </c>
      <c r="B1630">
        <v>12039</v>
      </c>
      <c r="C1630" s="2" t="s">
        <v>34</v>
      </c>
      <c r="D1630" s="2" t="s">
        <v>35</v>
      </c>
      <c r="E1630" s="2" t="s">
        <v>36</v>
      </c>
      <c r="F1630">
        <v>4012</v>
      </c>
      <c r="G1630" s="2" t="s">
        <v>25</v>
      </c>
      <c r="H1630" s="2" t="s">
        <v>26</v>
      </c>
      <c r="I1630" s="2" t="s">
        <v>27</v>
      </c>
      <c r="J1630" s="2" t="s">
        <v>28</v>
      </c>
      <c r="K1630" s="2" t="s">
        <v>27</v>
      </c>
      <c r="L1630">
        <v>43.53</v>
      </c>
      <c r="M1630">
        <v>1</v>
      </c>
      <c r="N1630">
        <v>0.56399999999999995</v>
      </c>
      <c r="O1630">
        <v>6500948</v>
      </c>
      <c r="P1630" s="2" t="s">
        <v>29</v>
      </c>
      <c r="Q1630" s="2" t="s">
        <v>23</v>
      </c>
      <c r="R1630" s="2" t="s">
        <v>30</v>
      </c>
      <c r="S1630">
        <v>2</v>
      </c>
      <c r="T1630" s="1">
        <v>43587</v>
      </c>
      <c r="U1630" s="1">
        <v>43596</v>
      </c>
      <c r="V1630" s="2"/>
      <c r="W1630" s="1">
        <f>fNotasFiscais[[#This Row],[Data da Coleta]]+fNotasFiscais[[#This Row],[Prazo Contratado]]</f>
        <v>43589</v>
      </c>
      <c r="X1630" s="3">
        <f>IF(fNotasFiscais[[#This Row],[Data da Entrega]]&gt;fNotasFiscais[[#This Row],[Data Contratada]],0,1)</f>
        <v>0</v>
      </c>
      <c r="Y1630" s="3">
        <f>IF(fNotasFiscais[[#This Row],[Ocorrência]]="",1,0)</f>
        <v>1</v>
      </c>
      <c r="Z1630" s="2">
        <f>fNotasFiscais[[#This Row],[On Time]]*fNotasFiscais[[#This Row],[In Full]]</f>
        <v>0</v>
      </c>
      <c r="AA1630">
        <f>IF(fNotasFiscais[[#This Row],[Nota Fiscal]]&lt;&gt;"",1,0)</f>
        <v>1</v>
      </c>
    </row>
    <row r="1631" spans="1:27" x14ac:dyDescent="0.25">
      <c r="A1631" s="1">
        <v>43588</v>
      </c>
      <c r="B1631">
        <v>12040</v>
      </c>
      <c r="C1631" s="2" t="s">
        <v>43</v>
      </c>
      <c r="D1631" s="2" t="s">
        <v>44</v>
      </c>
      <c r="E1631" s="2" t="s">
        <v>45</v>
      </c>
      <c r="F1631">
        <v>4143</v>
      </c>
      <c r="G1631" s="2" t="s">
        <v>226</v>
      </c>
      <c r="H1631" s="2" t="s">
        <v>173</v>
      </c>
      <c r="I1631" s="2" t="s">
        <v>174</v>
      </c>
      <c r="J1631" s="2" t="s">
        <v>175</v>
      </c>
      <c r="K1631" s="2" t="s">
        <v>174</v>
      </c>
      <c r="L1631">
        <v>273.52999999999997</v>
      </c>
      <c r="M1631">
        <v>4</v>
      </c>
      <c r="N1631">
        <v>1.2350000000000001</v>
      </c>
      <c r="O1631">
        <v>6700091</v>
      </c>
      <c r="P1631" s="2" t="s">
        <v>176</v>
      </c>
      <c r="Q1631" s="2" t="s">
        <v>173</v>
      </c>
      <c r="R1631" s="2" t="s">
        <v>30</v>
      </c>
      <c r="S1631">
        <v>6</v>
      </c>
      <c r="T1631" s="1">
        <v>43588</v>
      </c>
      <c r="U1631" s="1">
        <v>43593</v>
      </c>
      <c r="V1631" s="2"/>
      <c r="W1631" s="1">
        <f>fNotasFiscais[[#This Row],[Data da Coleta]]+fNotasFiscais[[#This Row],[Prazo Contratado]]</f>
        <v>43594</v>
      </c>
      <c r="X1631" s="3">
        <f>IF(fNotasFiscais[[#This Row],[Data da Entrega]]&gt;fNotasFiscais[[#This Row],[Data Contratada]],0,1)</f>
        <v>1</v>
      </c>
      <c r="Y1631" s="3">
        <f>IF(fNotasFiscais[[#This Row],[Ocorrência]]="",1,0)</f>
        <v>1</v>
      </c>
      <c r="Z1631" s="2">
        <f>fNotasFiscais[[#This Row],[On Time]]*fNotasFiscais[[#This Row],[In Full]]</f>
        <v>1</v>
      </c>
      <c r="AA1631">
        <f>IF(fNotasFiscais[[#This Row],[Nota Fiscal]]&lt;&gt;"",1,0)</f>
        <v>1</v>
      </c>
    </row>
    <row r="1632" spans="1:27" x14ac:dyDescent="0.25">
      <c r="A1632" s="1">
        <v>43588</v>
      </c>
      <c r="B1632">
        <v>12041</v>
      </c>
      <c r="C1632" s="2" t="s">
        <v>31</v>
      </c>
      <c r="D1632" s="2" t="s">
        <v>32</v>
      </c>
      <c r="E1632" s="2" t="s">
        <v>33</v>
      </c>
      <c r="F1632">
        <v>4151</v>
      </c>
      <c r="G1632" s="2" t="s">
        <v>234</v>
      </c>
      <c r="H1632" s="2" t="s">
        <v>173</v>
      </c>
      <c r="I1632" s="2" t="s">
        <v>174</v>
      </c>
      <c r="J1632" s="2" t="s">
        <v>175</v>
      </c>
      <c r="K1632" s="2" t="s">
        <v>174</v>
      </c>
      <c r="L1632">
        <v>43.53</v>
      </c>
      <c r="M1632">
        <v>1</v>
      </c>
      <c r="N1632">
        <v>1.1200000000000001</v>
      </c>
      <c r="O1632">
        <v>6700091</v>
      </c>
      <c r="P1632" s="2" t="s">
        <v>176</v>
      </c>
      <c r="Q1632" s="2" t="s">
        <v>173</v>
      </c>
      <c r="R1632" s="2" t="s">
        <v>30</v>
      </c>
      <c r="S1632">
        <v>4</v>
      </c>
      <c r="T1632" s="1">
        <v>43588</v>
      </c>
      <c r="U1632" s="1">
        <v>43595</v>
      </c>
      <c r="V1632" s="2"/>
      <c r="W1632" s="1">
        <f>fNotasFiscais[[#This Row],[Data da Coleta]]+fNotasFiscais[[#This Row],[Prazo Contratado]]</f>
        <v>43592</v>
      </c>
      <c r="X1632" s="3">
        <f>IF(fNotasFiscais[[#This Row],[Data da Entrega]]&gt;fNotasFiscais[[#This Row],[Data Contratada]],0,1)</f>
        <v>0</v>
      </c>
      <c r="Y1632" s="3">
        <f>IF(fNotasFiscais[[#This Row],[Ocorrência]]="",1,0)</f>
        <v>1</v>
      </c>
      <c r="Z1632" s="2">
        <f>fNotasFiscais[[#This Row],[On Time]]*fNotasFiscais[[#This Row],[In Full]]</f>
        <v>0</v>
      </c>
      <c r="AA1632">
        <f>IF(fNotasFiscais[[#This Row],[Nota Fiscal]]&lt;&gt;"",1,0)</f>
        <v>1</v>
      </c>
    </row>
    <row r="1633" spans="1:27" x14ac:dyDescent="0.25">
      <c r="A1633" s="1">
        <v>43588</v>
      </c>
      <c r="B1633">
        <v>12042</v>
      </c>
      <c r="C1633" s="2" t="s">
        <v>34</v>
      </c>
      <c r="D1633" s="2" t="s">
        <v>35</v>
      </c>
      <c r="E1633" s="2" t="s">
        <v>36</v>
      </c>
      <c r="F1633">
        <v>4012</v>
      </c>
      <c r="G1633" s="2" t="s">
        <v>25</v>
      </c>
      <c r="H1633" s="2" t="s">
        <v>26</v>
      </c>
      <c r="I1633" s="2" t="s">
        <v>27</v>
      </c>
      <c r="J1633" s="2" t="s">
        <v>28</v>
      </c>
      <c r="K1633" s="2" t="s">
        <v>27</v>
      </c>
      <c r="L1633">
        <v>257.10000000000002</v>
      </c>
      <c r="M1633">
        <v>2</v>
      </c>
      <c r="N1633">
        <v>0.64200000000000002</v>
      </c>
      <c r="O1633">
        <v>6500948</v>
      </c>
      <c r="P1633" s="2" t="s">
        <v>29</v>
      </c>
      <c r="Q1633" s="2" t="s">
        <v>23</v>
      </c>
      <c r="R1633" s="2" t="s">
        <v>30</v>
      </c>
      <c r="S1633">
        <v>7</v>
      </c>
      <c r="T1633" s="1">
        <v>43588</v>
      </c>
      <c r="U1633" s="1">
        <v>43598</v>
      </c>
      <c r="V1633" s="2"/>
      <c r="W1633" s="1">
        <f>fNotasFiscais[[#This Row],[Data da Coleta]]+fNotasFiscais[[#This Row],[Prazo Contratado]]</f>
        <v>43595</v>
      </c>
      <c r="X1633" s="3">
        <f>IF(fNotasFiscais[[#This Row],[Data da Entrega]]&gt;fNotasFiscais[[#This Row],[Data Contratada]],0,1)</f>
        <v>0</v>
      </c>
      <c r="Y1633" s="3">
        <f>IF(fNotasFiscais[[#This Row],[Ocorrência]]="",1,0)</f>
        <v>1</v>
      </c>
      <c r="Z1633" s="2">
        <f>fNotasFiscais[[#This Row],[On Time]]*fNotasFiscais[[#This Row],[In Full]]</f>
        <v>0</v>
      </c>
      <c r="AA1633">
        <f>IF(fNotasFiscais[[#This Row],[Nota Fiscal]]&lt;&gt;"",1,0)</f>
        <v>1</v>
      </c>
    </row>
    <row r="1634" spans="1:27" x14ac:dyDescent="0.25">
      <c r="A1634" s="1">
        <v>43589</v>
      </c>
      <c r="B1634">
        <v>12043</v>
      </c>
      <c r="C1634" s="2" t="s">
        <v>31</v>
      </c>
      <c r="D1634" s="2" t="s">
        <v>32</v>
      </c>
      <c r="E1634" s="2" t="s">
        <v>33</v>
      </c>
      <c r="F1634">
        <v>4132</v>
      </c>
      <c r="G1634" s="2" t="s">
        <v>215</v>
      </c>
      <c r="H1634" s="2" t="s">
        <v>183</v>
      </c>
      <c r="I1634" s="2" t="s">
        <v>33</v>
      </c>
      <c r="J1634" s="2" t="s">
        <v>60</v>
      </c>
      <c r="K1634" s="2" t="s">
        <v>33</v>
      </c>
      <c r="L1634">
        <v>53.54</v>
      </c>
      <c r="M1634">
        <v>1</v>
      </c>
      <c r="N1634">
        <v>1.1200000000000001</v>
      </c>
      <c r="O1634">
        <v>6400835</v>
      </c>
      <c r="P1634" s="2" t="s">
        <v>130</v>
      </c>
      <c r="Q1634" s="2" t="s">
        <v>131</v>
      </c>
      <c r="R1634" s="2" t="s">
        <v>30</v>
      </c>
      <c r="S1634">
        <v>12</v>
      </c>
      <c r="T1634" s="1">
        <v>43589</v>
      </c>
      <c r="U1634" s="1">
        <v>43592</v>
      </c>
      <c r="V1634" s="2"/>
      <c r="W1634" s="1">
        <f>fNotasFiscais[[#This Row],[Data da Coleta]]+fNotasFiscais[[#This Row],[Prazo Contratado]]</f>
        <v>43601</v>
      </c>
      <c r="X1634" s="3">
        <f>IF(fNotasFiscais[[#This Row],[Data da Entrega]]&gt;fNotasFiscais[[#This Row],[Data Contratada]],0,1)</f>
        <v>1</v>
      </c>
      <c r="Y1634" s="3">
        <f>IF(fNotasFiscais[[#This Row],[Ocorrência]]="",1,0)</f>
        <v>1</v>
      </c>
      <c r="Z1634" s="2">
        <f>fNotasFiscais[[#This Row],[On Time]]*fNotasFiscais[[#This Row],[In Full]]</f>
        <v>1</v>
      </c>
      <c r="AA1634">
        <f>IF(fNotasFiscais[[#This Row],[Nota Fiscal]]&lt;&gt;"",1,0)</f>
        <v>1</v>
      </c>
    </row>
    <row r="1635" spans="1:27" x14ac:dyDescent="0.25">
      <c r="A1635" s="1">
        <v>43589</v>
      </c>
      <c r="B1635">
        <v>12044</v>
      </c>
      <c r="C1635" s="2" t="s">
        <v>22</v>
      </c>
      <c r="D1635" s="2" t="s">
        <v>23</v>
      </c>
      <c r="E1635" s="2" t="s">
        <v>24</v>
      </c>
      <c r="F1635">
        <v>4012</v>
      </c>
      <c r="G1635" s="2" t="s">
        <v>25</v>
      </c>
      <c r="H1635" s="2" t="s">
        <v>26</v>
      </c>
      <c r="I1635" s="2" t="s">
        <v>27</v>
      </c>
      <c r="J1635" s="2" t="s">
        <v>28</v>
      </c>
      <c r="K1635" s="2" t="s">
        <v>27</v>
      </c>
      <c r="L1635">
        <v>729.45</v>
      </c>
      <c r="M1635">
        <v>2</v>
      </c>
      <c r="N1635">
        <v>0.83599999999999997</v>
      </c>
      <c r="O1635">
        <v>6500948</v>
      </c>
      <c r="P1635" s="2" t="s">
        <v>29</v>
      </c>
      <c r="Q1635" s="2" t="s">
        <v>23</v>
      </c>
      <c r="R1635" s="2" t="s">
        <v>30</v>
      </c>
      <c r="S1635">
        <v>3</v>
      </c>
      <c r="T1635" s="1">
        <v>43589</v>
      </c>
      <c r="U1635" s="1">
        <v>43598</v>
      </c>
      <c r="V1635" s="2"/>
      <c r="W1635" s="1">
        <f>fNotasFiscais[[#This Row],[Data da Coleta]]+fNotasFiscais[[#This Row],[Prazo Contratado]]</f>
        <v>43592</v>
      </c>
      <c r="X1635" s="3">
        <f>IF(fNotasFiscais[[#This Row],[Data da Entrega]]&gt;fNotasFiscais[[#This Row],[Data Contratada]],0,1)</f>
        <v>0</v>
      </c>
      <c r="Y1635" s="3">
        <f>IF(fNotasFiscais[[#This Row],[Ocorrência]]="",1,0)</f>
        <v>1</v>
      </c>
      <c r="Z1635" s="2">
        <f>fNotasFiscais[[#This Row],[On Time]]*fNotasFiscais[[#This Row],[In Full]]</f>
        <v>0</v>
      </c>
      <c r="AA1635">
        <f>IF(fNotasFiscais[[#This Row],[Nota Fiscal]]&lt;&gt;"",1,0)</f>
        <v>1</v>
      </c>
    </row>
    <row r="1636" spans="1:27" x14ac:dyDescent="0.25">
      <c r="A1636" s="1">
        <v>43589</v>
      </c>
      <c r="B1636">
        <v>12045</v>
      </c>
      <c r="C1636" s="2" t="s">
        <v>31</v>
      </c>
      <c r="D1636" s="2" t="s">
        <v>32</v>
      </c>
      <c r="E1636" s="2" t="s">
        <v>33</v>
      </c>
      <c r="F1636">
        <v>4022</v>
      </c>
      <c r="G1636" s="2" t="s">
        <v>86</v>
      </c>
      <c r="H1636" s="2" t="s">
        <v>87</v>
      </c>
      <c r="I1636" s="2" t="s">
        <v>27</v>
      </c>
      <c r="J1636" s="2" t="s">
        <v>28</v>
      </c>
      <c r="K1636" s="2" t="s">
        <v>27</v>
      </c>
      <c r="L1636">
        <v>1612.55</v>
      </c>
      <c r="M1636">
        <v>1</v>
      </c>
      <c r="N1636">
        <v>16.5</v>
      </c>
      <c r="O1636">
        <v>6500948</v>
      </c>
      <c r="P1636" s="2" t="s">
        <v>29</v>
      </c>
      <c r="Q1636" s="2" t="s">
        <v>23</v>
      </c>
      <c r="R1636" s="2" t="s">
        <v>30</v>
      </c>
      <c r="S1636">
        <v>2</v>
      </c>
      <c r="T1636" s="1">
        <v>43589</v>
      </c>
      <c r="U1636" s="1">
        <v>43596</v>
      </c>
      <c r="V1636" s="2"/>
      <c r="W1636" s="1">
        <f>fNotasFiscais[[#This Row],[Data da Coleta]]+fNotasFiscais[[#This Row],[Prazo Contratado]]</f>
        <v>43591</v>
      </c>
      <c r="X1636" s="3">
        <f>IF(fNotasFiscais[[#This Row],[Data da Entrega]]&gt;fNotasFiscais[[#This Row],[Data Contratada]],0,1)</f>
        <v>0</v>
      </c>
      <c r="Y1636" s="3">
        <f>IF(fNotasFiscais[[#This Row],[Ocorrência]]="",1,0)</f>
        <v>1</v>
      </c>
      <c r="Z1636" s="2">
        <f>fNotasFiscais[[#This Row],[On Time]]*fNotasFiscais[[#This Row],[In Full]]</f>
        <v>0</v>
      </c>
      <c r="AA1636">
        <f>IF(fNotasFiscais[[#This Row],[Nota Fiscal]]&lt;&gt;"",1,0)</f>
        <v>1</v>
      </c>
    </row>
    <row r="1637" spans="1:27" x14ac:dyDescent="0.25">
      <c r="A1637" s="1">
        <v>43592</v>
      </c>
      <c r="B1637">
        <v>12046</v>
      </c>
      <c r="C1637" s="2" t="s">
        <v>34</v>
      </c>
      <c r="D1637" s="2" t="s">
        <v>35</v>
      </c>
      <c r="E1637" s="2" t="s">
        <v>36</v>
      </c>
      <c r="F1637">
        <v>4068</v>
      </c>
      <c r="G1637" s="2" t="s">
        <v>63</v>
      </c>
      <c r="H1637" s="2" t="s">
        <v>64</v>
      </c>
      <c r="I1637" s="2" t="s">
        <v>65</v>
      </c>
      <c r="J1637" s="2" t="s">
        <v>49</v>
      </c>
      <c r="K1637" s="2" t="s">
        <v>65</v>
      </c>
      <c r="L1637">
        <v>201.14</v>
      </c>
      <c r="M1637">
        <v>1</v>
      </c>
      <c r="N1637">
        <v>0.23100000000000001</v>
      </c>
      <c r="O1637">
        <v>6100231</v>
      </c>
      <c r="P1637" s="2" t="s">
        <v>50</v>
      </c>
      <c r="Q1637" s="2" t="s">
        <v>51</v>
      </c>
      <c r="R1637" s="2" t="s">
        <v>30</v>
      </c>
      <c r="S1637">
        <v>10</v>
      </c>
      <c r="T1637" s="1">
        <v>43592</v>
      </c>
      <c r="U1637" s="1">
        <v>43599</v>
      </c>
      <c r="V1637" s="2"/>
      <c r="W1637" s="1">
        <f>fNotasFiscais[[#This Row],[Data da Coleta]]+fNotasFiscais[[#This Row],[Prazo Contratado]]</f>
        <v>43602</v>
      </c>
      <c r="X1637" s="3">
        <f>IF(fNotasFiscais[[#This Row],[Data da Entrega]]&gt;fNotasFiscais[[#This Row],[Data Contratada]],0,1)</f>
        <v>1</v>
      </c>
      <c r="Y1637" s="3">
        <f>IF(fNotasFiscais[[#This Row],[Ocorrência]]="",1,0)</f>
        <v>1</v>
      </c>
      <c r="Z1637" s="2">
        <f>fNotasFiscais[[#This Row],[On Time]]*fNotasFiscais[[#This Row],[In Full]]</f>
        <v>1</v>
      </c>
      <c r="AA1637">
        <f>IF(fNotasFiscais[[#This Row],[Nota Fiscal]]&lt;&gt;"",1,0)</f>
        <v>1</v>
      </c>
    </row>
    <row r="1638" spans="1:27" x14ac:dyDescent="0.25">
      <c r="A1638" s="1">
        <v>43592</v>
      </c>
      <c r="B1638">
        <v>12047</v>
      </c>
      <c r="C1638" s="2" t="s">
        <v>43</v>
      </c>
      <c r="D1638" s="2" t="s">
        <v>44</v>
      </c>
      <c r="E1638" s="2" t="s">
        <v>45</v>
      </c>
      <c r="F1638">
        <v>4068</v>
      </c>
      <c r="G1638" s="2" t="s">
        <v>63</v>
      </c>
      <c r="H1638" s="2" t="s">
        <v>64</v>
      </c>
      <c r="I1638" s="2" t="s">
        <v>65</v>
      </c>
      <c r="J1638" s="2" t="s">
        <v>49</v>
      </c>
      <c r="K1638" s="2" t="s">
        <v>65</v>
      </c>
      <c r="L1638">
        <v>418.11</v>
      </c>
      <c r="M1638">
        <v>1</v>
      </c>
      <c r="N1638">
        <v>0.28999999999999998</v>
      </c>
      <c r="O1638">
        <v>6100231</v>
      </c>
      <c r="P1638" s="2" t="s">
        <v>50</v>
      </c>
      <c r="Q1638" s="2" t="s">
        <v>51</v>
      </c>
      <c r="R1638" s="2" t="s">
        <v>30</v>
      </c>
      <c r="S1638">
        <v>2</v>
      </c>
      <c r="T1638" s="1">
        <v>43592</v>
      </c>
      <c r="U1638" s="1">
        <v>43600</v>
      </c>
      <c r="V1638" s="2"/>
      <c r="W1638" s="1">
        <f>fNotasFiscais[[#This Row],[Data da Coleta]]+fNotasFiscais[[#This Row],[Prazo Contratado]]</f>
        <v>43594</v>
      </c>
      <c r="X1638" s="3">
        <f>IF(fNotasFiscais[[#This Row],[Data da Entrega]]&gt;fNotasFiscais[[#This Row],[Data Contratada]],0,1)</f>
        <v>0</v>
      </c>
      <c r="Y1638" s="3">
        <f>IF(fNotasFiscais[[#This Row],[Ocorrência]]="",1,0)</f>
        <v>1</v>
      </c>
      <c r="Z1638" s="2">
        <f>fNotasFiscais[[#This Row],[On Time]]*fNotasFiscais[[#This Row],[In Full]]</f>
        <v>0</v>
      </c>
      <c r="AA1638">
        <f>IF(fNotasFiscais[[#This Row],[Nota Fiscal]]&lt;&gt;"",1,0)</f>
        <v>1</v>
      </c>
    </row>
    <row r="1639" spans="1:27" x14ac:dyDescent="0.25">
      <c r="A1639" s="1">
        <v>43592</v>
      </c>
      <c r="B1639">
        <v>12048</v>
      </c>
      <c r="C1639" s="2" t="s">
        <v>40</v>
      </c>
      <c r="D1639" s="2" t="s">
        <v>41</v>
      </c>
      <c r="E1639" s="2" t="s">
        <v>33</v>
      </c>
      <c r="F1639">
        <v>4069</v>
      </c>
      <c r="G1639" s="2" t="s">
        <v>135</v>
      </c>
      <c r="H1639" s="2" t="s">
        <v>47</v>
      </c>
      <c r="I1639" s="2" t="s">
        <v>48</v>
      </c>
      <c r="J1639" s="2" t="s">
        <v>49</v>
      </c>
      <c r="K1639" s="2" t="s">
        <v>48</v>
      </c>
      <c r="L1639">
        <v>9.65</v>
      </c>
      <c r="M1639">
        <v>1</v>
      </c>
      <c r="N1639">
        <v>1.7000000000000001E-2</v>
      </c>
      <c r="O1639">
        <v>6100231</v>
      </c>
      <c r="P1639" s="2" t="s">
        <v>50</v>
      </c>
      <c r="Q1639" s="2" t="s">
        <v>51</v>
      </c>
      <c r="R1639" s="2" t="s">
        <v>30</v>
      </c>
      <c r="S1639">
        <v>12</v>
      </c>
      <c r="T1639" s="1">
        <v>43592</v>
      </c>
      <c r="U1639" s="1">
        <v>43598</v>
      </c>
      <c r="V1639" s="2"/>
      <c r="W1639" s="1">
        <f>fNotasFiscais[[#This Row],[Data da Coleta]]+fNotasFiscais[[#This Row],[Prazo Contratado]]</f>
        <v>43604</v>
      </c>
      <c r="X1639" s="3">
        <f>IF(fNotasFiscais[[#This Row],[Data da Entrega]]&gt;fNotasFiscais[[#This Row],[Data Contratada]],0,1)</f>
        <v>1</v>
      </c>
      <c r="Y1639" s="3">
        <f>IF(fNotasFiscais[[#This Row],[Ocorrência]]="",1,0)</f>
        <v>1</v>
      </c>
      <c r="Z1639" s="2">
        <f>fNotasFiscais[[#This Row],[On Time]]*fNotasFiscais[[#This Row],[In Full]]</f>
        <v>1</v>
      </c>
      <c r="AA1639">
        <f>IF(fNotasFiscais[[#This Row],[Nota Fiscal]]&lt;&gt;"",1,0)</f>
        <v>1</v>
      </c>
    </row>
    <row r="1640" spans="1:27" x14ac:dyDescent="0.25">
      <c r="A1640" s="1">
        <v>43592</v>
      </c>
      <c r="B1640">
        <v>12049</v>
      </c>
      <c r="C1640" s="2" t="s">
        <v>34</v>
      </c>
      <c r="D1640" s="2" t="s">
        <v>35</v>
      </c>
      <c r="E1640" s="2" t="s">
        <v>36</v>
      </c>
      <c r="F1640">
        <v>4022</v>
      </c>
      <c r="G1640" s="2" t="s">
        <v>86</v>
      </c>
      <c r="H1640" s="2" t="s">
        <v>87</v>
      </c>
      <c r="I1640" s="2" t="s">
        <v>27</v>
      </c>
      <c r="J1640" s="2" t="s">
        <v>28</v>
      </c>
      <c r="K1640" s="2" t="s">
        <v>27</v>
      </c>
      <c r="L1640">
        <v>418.11</v>
      </c>
      <c r="M1640">
        <v>1</v>
      </c>
      <c r="N1640">
        <v>0.28999999999999998</v>
      </c>
      <c r="O1640">
        <v>6500948</v>
      </c>
      <c r="P1640" s="2" t="s">
        <v>29</v>
      </c>
      <c r="Q1640" s="2" t="s">
        <v>23</v>
      </c>
      <c r="R1640" s="2" t="s">
        <v>30</v>
      </c>
      <c r="S1640">
        <v>2</v>
      </c>
      <c r="T1640" s="1">
        <v>43592</v>
      </c>
      <c r="U1640" s="1">
        <v>43598</v>
      </c>
      <c r="V1640" s="2"/>
      <c r="W1640" s="1">
        <f>fNotasFiscais[[#This Row],[Data da Coleta]]+fNotasFiscais[[#This Row],[Prazo Contratado]]</f>
        <v>43594</v>
      </c>
      <c r="X1640" s="3">
        <f>IF(fNotasFiscais[[#This Row],[Data da Entrega]]&gt;fNotasFiscais[[#This Row],[Data Contratada]],0,1)</f>
        <v>0</v>
      </c>
      <c r="Y1640" s="3">
        <f>IF(fNotasFiscais[[#This Row],[Ocorrência]]="",1,0)</f>
        <v>1</v>
      </c>
      <c r="Z1640" s="2">
        <f>fNotasFiscais[[#This Row],[On Time]]*fNotasFiscais[[#This Row],[In Full]]</f>
        <v>0</v>
      </c>
      <c r="AA1640">
        <f>IF(fNotasFiscais[[#This Row],[Nota Fiscal]]&lt;&gt;"",1,0)</f>
        <v>1</v>
      </c>
    </row>
    <row r="1641" spans="1:27" x14ac:dyDescent="0.25">
      <c r="A1641" s="1">
        <v>43594</v>
      </c>
      <c r="B1641">
        <v>12050</v>
      </c>
      <c r="C1641" s="2" t="s">
        <v>52</v>
      </c>
      <c r="D1641" s="2" t="s">
        <v>53</v>
      </c>
      <c r="E1641" s="2" t="s">
        <v>33</v>
      </c>
      <c r="F1641">
        <v>4156</v>
      </c>
      <c r="G1641" s="2" t="s">
        <v>239</v>
      </c>
      <c r="H1641" s="2" t="s">
        <v>165</v>
      </c>
      <c r="I1641" s="2" t="s">
        <v>24</v>
      </c>
      <c r="J1641" s="2" t="s">
        <v>28</v>
      </c>
      <c r="K1641" s="2" t="s">
        <v>24</v>
      </c>
      <c r="L1641">
        <v>73.88</v>
      </c>
      <c r="M1641">
        <v>1</v>
      </c>
      <c r="N1641">
        <v>0.11</v>
      </c>
      <c r="O1641">
        <v>6500948</v>
      </c>
      <c r="P1641" s="2" t="s">
        <v>29</v>
      </c>
      <c r="Q1641" s="2" t="s">
        <v>23</v>
      </c>
      <c r="R1641" s="2" t="s">
        <v>30</v>
      </c>
      <c r="S1641">
        <v>5</v>
      </c>
      <c r="T1641" s="1">
        <v>43594</v>
      </c>
      <c r="U1641" s="1">
        <v>43600</v>
      </c>
      <c r="V1641" s="2"/>
      <c r="W1641" s="1">
        <f>fNotasFiscais[[#This Row],[Data da Coleta]]+fNotasFiscais[[#This Row],[Prazo Contratado]]</f>
        <v>43599</v>
      </c>
      <c r="X1641" s="3">
        <f>IF(fNotasFiscais[[#This Row],[Data da Entrega]]&gt;fNotasFiscais[[#This Row],[Data Contratada]],0,1)</f>
        <v>0</v>
      </c>
      <c r="Y1641" s="3">
        <f>IF(fNotasFiscais[[#This Row],[Ocorrência]]="",1,0)</f>
        <v>1</v>
      </c>
      <c r="Z1641" s="2">
        <f>fNotasFiscais[[#This Row],[On Time]]*fNotasFiscais[[#This Row],[In Full]]</f>
        <v>0</v>
      </c>
      <c r="AA1641">
        <f>IF(fNotasFiscais[[#This Row],[Nota Fiscal]]&lt;&gt;"",1,0)</f>
        <v>1</v>
      </c>
    </row>
    <row r="1642" spans="1:27" x14ac:dyDescent="0.25">
      <c r="A1642" s="1">
        <v>43594</v>
      </c>
      <c r="B1642">
        <v>12051</v>
      </c>
      <c r="C1642" s="2" t="s">
        <v>34</v>
      </c>
      <c r="D1642" s="2" t="s">
        <v>35</v>
      </c>
      <c r="E1642" s="2" t="s">
        <v>36</v>
      </c>
      <c r="F1642">
        <v>4157</v>
      </c>
      <c r="G1642" s="2" t="s">
        <v>240</v>
      </c>
      <c r="H1642" s="2" t="s">
        <v>35</v>
      </c>
      <c r="I1642" s="2" t="s">
        <v>36</v>
      </c>
      <c r="J1642" s="2" t="s">
        <v>60</v>
      </c>
      <c r="K1642" s="2" t="s">
        <v>36</v>
      </c>
      <c r="L1642">
        <v>43.78</v>
      </c>
      <c r="M1642">
        <v>1</v>
      </c>
      <c r="N1642">
        <v>0.56399999999999995</v>
      </c>
      <c r="O1642">
        <v>6600879</v>
      </c>
      <c r="P1642" s="2" t="s">
        <v>61</v>
      </c>
      <c r="Q1642" s="2" t="s">
        <v>35</v>
      </c>
      <c r="R1642" s="2" t="s">
        <v>30</v>
      </c>
      <c r="S1642">
        <v>8</v>
      </c>
      <c r="T1642" s="1">
        <v>43594</v>
      </c>
      <c r="U1642" s="1">
        <v>43604</v>
      </c>
      <c r="V1642" s="2"/>
      <c r="W1642" s="1">
        <f>fNotasFiscais[[#This Row],[Data da Coleta]]+fNotasFiscais[[#This Row],[Prazo Contratado]]</f>
        <v>43602</v>
      </c>
      <c r="X1642" s="3">
        <f>IF(fNotasFiscais[[#This Row],[Data da Entrega]]&gt;fNotasFiscais[[#This Row],[Data Contratada]],0,1)</f>
        <v>0</v>
      </c>
      <c r="Y1642" s="3">
        <f>IF(fNotasFiscais[[#This Row],[Ocorrência]]="",1,0)</f>
        <v>1</v>
      </c>
      <c r="Z1642" s="2">
        <f>fNotasFiscais[[#This Row],[On Time]]*fNotasFiscais[[#This Row],[In Full]]</f>
        <v>0</v>
      </c>
      <c r="AA1642">
        <f>IF(fNotasFiscais[[#This Row],[Nota Fiscal]]&lt;&gt;"",1,0)</f>
        <v>1</v>
      </c>
    </row>
    <row r="1643" spans="1:27" x14ac:dyDescent="0.25">
      <c r="A1643" s="1">
        <v>43594</v>
      </c>
      <c r="B1643">
        <v>12052</v>
      </c>
      <c r="C1643" s="2" t="s">
        <v>40</v>
      </c>
      <c r="D1643" s="2" t="s">
        <v>41</v>
      </c>
      <c r="E1643" s="2" t="s">
        <v>33</v>
      </c>
      <c r="F1643">
        <v>4162</v>
      </c>
      <c r="G1643" s="2" t="s">
        <v>245</v>
      </c>
      <c r="H1643" s="2" t="s">
        <v>167</v>
      </c>
      <c r="I1643" s="2" t="s">
        <v>168</v>
      </c>
      <c r="J1643" s="2" t="s">
        <v>169</v>
      </c>
      <c r="K1643" s="2" t="s">
        <v>168</v>
      </c>
      <c r="L1643">
        <v>16.48</v>
      </c>
      <c r="M1643">
        <v>1</v>
      </c>
      <c r="N1643">
        <v>1.0999999999999999E-2</v>
      </c>
      <c r="O1643">
        <v>6900304</v>
      </c>
      <c r="P1643" s="2" t="s">
        <v>170</v>
      </c>
      <c r="Q1643" s="2" t="s">
        <v>171</v>
      </c>
      <c r="R1643" s="2" t="s">
        <v>30</v>
      </c>
      <c r="S1643">
        <v>7</v>
      </c>
      <c r="T1643" s="1">
        <v>43594</v>
      </c>
      <c r="U1643" s="1">
        <v>43599</v>
      </c>
      <c r="V1643" s="2"/>
      <c r="W1643" s="1">
        <f>fNotasFiscais[[#This Row],[Data da Coleta]]+fNotasFiscais[[#This Row],[Prazo Contratado]]</f>
        <v>43601</v>
      </c>
      <c r="X1643" s="3">
        <f>IF(fNotasFiscais[[#This Row],[Data da Entrega]]&gt;fNotasFiscais[[#This Row],[Data Contratada]],0,1)</f>
        <v>1</v>
      </c>
      <c r="Y1643" s="3">
        <f>IF(fNotasFiscais[[#This Row],[Ocorrência]]="",1,0)</f>
        <v>1</v>
      </c>
      <c r="Z1643" s="2">
        <f>fNotasFiscais[[#This Row],[On Time]]*fNotasFiscais[[#This Row],[In Full]]</f>
        <v>1</v>
      </c>
      <c r="AA1643">
        <f>IF(fNotasFiscais[[#This Row],[Nota Fiscal]]&lt;&gt;"",1,0)</f>
        <v>1</v>
      </c>
    </row>
    <row r="1644" spans="1:27" x14ac:dyDescent="0.25">
      <c r="A1644" s="1">
        <v>43594</v>
      </c>
      <c r="B1644">
        <v>12053</v>
      </c>
      <c r="C1644" s="2" t="s">
        <v>34</v>
      </c>
      <c r="D1644" s="2" t="s">
        <v>35</v>
      </c>
      <c r="E1644" s="2" t="s">
        <v>36</v>
      </c>
      <c r="F1644">
        <v>4040</v>
      </c>
      <c r="G1644" s="2" t="s">
        <v>117</v>
      </c>
      <c r="H1644" s="2" t="s">
        <v>47</v>
      </c>
      <c r="I1644" s="2" t="s">
        <v>48</v>
      </c>
      <c r="J1644" s="2" t="s">
        <v>49</v>
      </c>
      <c r="K1644" s="2" t="s">
        <v>48</v>
      </c>
      <c r="L1644">
        <v>22.95</v>
      </c>
      <c r="M1644">
        <v>1</v>
      </c>
      <c r="N1644">
        <v>0.184</v>
      </c>
      <c r="O1644">
        <v>6100231</v>
      </c>
      <c r="P1644" s="2" t="s">
        <v>50</v>
      </c>
      <c r="Q1644" s="2" t="s">
        <v>51</v>
      </c>
      <c r="R1644" s="2" t="s">
        <v>30</v>
      </c>
      <c r="S1644">
        <v>10</v>
      </c>
      <c r="T1644" s="1">
        <v>43594</v>
      </c>
      <c r="U1644" s="1">
        <v>43604</v>
      </c>
      <c r="V1644" s="2"/>
      <c r="W1644" s="1">
        <f>fNotasFiscais[[#This Row],[Data da Coleta]]+fNotasFiscais[[#This Row],[Prazo Contratado]]</f>
        <v>43604</v>
      </c>
      <c r="X1644" s="3">
        <f>IF(fNotasFiscais[[#This Row],[Data da Entrega]]&gt;fNotasFiscais[[#This Row],[Data Contratada]],0,1)</f>
        <v>1</v>
      </c>
      <c r="Y1644" s="3">
        <f>IF(fNotasFiscais[[#This Row],[Ocorrência]]="",1,0)</f>
        <v>1</v>
      </c>
      <c r="Z1644" s="2">
        <f>fNotasFiscais[[#This Row],[On Time]]*fNotasFiscais[[#This Row],[In Full]]</f>
        <v>1</v>
      </c>
      <c r="AA1644">
        <f>IF(fNotasFiscais[[#This Row],[Nota Fiscal]]&lt;&gt;"",1,0)</f>
        <v>1</v>
      </c>
    </row>
    <row r="1645" spans="1:27" x14ac:dyDescent="0.25">
      <c r="A1645" s="1">
        <v>43594</v>
      </c>
      <c r="B1645">
        <v>12054</v>
      </c>
      <c r="C1645" s="2" t="s">
        <v>54</v>
      </c>
      <c r="D1645" s="2" t="s">
        <v>55</v>
      </c>
      <c r="E1645" s="2" t="s">
        <v>56</v>
      </c>
      <c r="F1645">
        <v>4055</v>
      </c>
      <c r="G1645" s="2" t="s">
        <v>120</v>
      </c>
      <c r="H1645" s="2" t="s">
        <v>47</v>
      </c>
      <c r="I1645" s="2" t="s">
        <v>48</v>
      </c>
      <c r="J1645" s="2" t="s">
        <v>49</v>
      </c>
      <c r="K1645" s="2" t="s">
        <v>48</v>
      </c>
      <c r="L1645">
        <v>715.72</v>
      </c>
      <c r="M1645">
        <v>1</v>
      </c>
      <c r="N1645">
        <v>1.155</v>
      </c>
      <c r="O1645">
        <v>6100231</v>
      </c>
      <c r="P1645" s="2" t="s">
        <v>50</v>
      </c>
      <c r="Q1645" s="2" t="s">
        <v>51</v>
      </c>
      <c r="R1645" s="2" t="s">
        <v>30</v>
      </c>
      <c r="S1645">
        <v>12</v>
      </c>
      <c r="T1645" s="1">
        <v>43594</v>
      </c>
      <c r="U1645" s="1">
        <v>43597</v>
      </c>
      <c r="V1645" s="2"/>
      <c r="W1645" s="1">
        <f>fNotasFiscais[[#This Row],[Data da Coleta]]+fNotasFiscais[[#This Row],[Prazo Contratado]]</f>
        <v>43606</v>
      </c>
      <c r="X1645" s="3">
        <f>IF(fNotasFiscais[[#This Row],[Data da Entrega]]&gt;fNotasFiscais[[#This Row],[Data Contratada]],0,1)</f>
        <v>1</v>
      </c>
      <c r="Y1645" s="3">
        <f>IF(fNotasFiscais[[#This Row],[Ocorrência]]="",1,0)</f>
        <v>1</v>
      </c>
      <c r="Z1645" s="2">
        <f>fNotasFiscais[[#This Row],[On Time]]*fNotasFiscais[[#This Row],[In Full]]</f>
        <v>1</v>
      </c>
      <c r="AA1645">
        <f>IF(fNotasFiscais[[#This Row],[Nota Fiscal]]&lt;&gt;"",1,0)</f>
        <v>1</v>
      </c>
    </row>
    <row r="1646" spans="1:27" x14ac:dyDescent="0.25">
      <c r="A1646" s="1">
        <v>43594</v>
      </c>
      <c r="B1646">
        <v>12055</v>
      </c>
      <c r="C1646" s="2" t="s">
        <v>31</v>
      </c>
      <c r="D1646" s="2" t="s">
        <v>32</v>
      </c>
      <c r="E1646" s="2" t="s">
        <v>33</v>
      </c>
      <c r="F1646">
        <v>4027</v>
      </c>
      <c r="G1646" s="2" t="s">
        <v>93</v>
      </c>
      <c r="H1646" s="2" t="s">
        <v>91</v>
      </c>
      <c r="I1646" s="2" t="s">
        <v>24</v>
      </c>
      <c r="J1646" s="2" t="s">
        <v>28</v>
      </c>
      <c r="K1646" s="2" t="s">
        <v>24</v>
      </c>
      <c r="L1646">
        <v>715.72</v>
      </c>
      <c r="M1646">
        <v>1</v>
      </c>
      <c r="N1646">
        <v>1.155</v>
      </c>
      <c r="O1646">
        <v>6500948</v>
      </c>
      <c r="P1646" s="2" t="s">
        <v>29</v>
      </c>
      <c r="Q1646" s="2" t="s">
        <v>23</v>
      </c>
      <c r="R1646" s="2" t="s">
        <v>30</v>
      </c>
      <c r="S1646">
        <v>11</v>
      </c>
      <c r="T1646" s="1">
        <v>43594</v>
      </c>
      <c r="U1646" s="1">
        <v>43595</v>
      </c>
      <c r="V1646" s="2"/>
      <c r="W1646" s="1">
        <f>fNotasFiscais[[#This Row],[Data da Coleta]]+fNotasFiscais[[#This Row],[Prazo Contratado]]</f>
        <v>43605</v>
      </c>
      <c r="X1646" s="3">
        <f>IF(fNotasFiscais[[#This Row],[Data da Entrega]]&gt;fNotasFiscais[[#This Row],[Data Contratada]],0,1)</f>
        <v>1</v>
      </c>
      <c r="Y1646" s="3">
        <f>IF(fNotasFiscais[[#This Row],[Ocorrência]]="",1,0)</f>
        <v>1</v>
      </c>
      <c r="Z1646" s="2">
        <f>fNotasFiscais[[#This Row],[On Time]]*fNotasFiscais[[#This Row],[In Full]]</f>
        <v>1</v>
      </c>
      <c r="AA1646">
        <f>IF(fNotasFiscais[[#This Row],[Nota Fiscal]]&lt;&gt;"",1,0)</f>
        <v>1</v>
      </c>
    </row>
    <row r="1647" spans="1:27" x14ac:dyDescent="0.25">
      <c r="A1647" s="1">
        <v>43594</v>
      </c>
      <c r="B1647">
        <v>12056</v>
      </c>
      <c r="C1647" s="2" t="s">
        <v>31</v>
      </c>
      <c r="D1647" s="2" t="s">
        <v>32</v>
      </c>
      <c r="E1647" s="2" t="s">
        <v>33</v>
      </c>
      <c r="F1647">
        <v>4056</v>
      </c>
      <c r="G1647" s="2" t="s">
        <v>119</v>
      </c>
      <c r="H1647" s="2" t="s">
        <v>51</v>
      </c>
      <c r="I1647" s="2" t="s">
        <v>73</v>
      </c>
      <c r="J1647" s="2" t="s">
        <v>49</v>
      </c>
      <c r="K1647" s="2" t="s">
        <v>73</v>
      </c>
      <c r="L1647">
        <v>95.41</v>
      </c>
      <c r="M1647">
        <v>1</v>
      </c>
      <c r="N1647">
        <v>0.22</v>
      </c>
      <c r="O1647">
        <v>6100231</v>
      </c>
      <c r="P1647" s="2" t="s">
        <v>50</v>
      </c>
      <c r="Q1647" s="2" t="s">
        <v>51</v>
      </c>
      <c r="R1647" s="2" t="s">
        <v>30</v>
      </c>
      <c r="S1647">
        <v>4</v>
      </c>
      <c r="T1647" s="1">
        <v>43594</v>
      </c>
      <c r="U1647" s="1">
        <v>43598</v>
      </c>
      <c r="V1647" s="2"/>
      <c r="W1647" s="1">
        <f>fNotasFiscais[[#This Row],[Data da Coleta]]+fNotasFiscais[[#This Row],[Prazo Contratado]]</f>
        <v>43598</v>
      </c>
      <c r="X1647" s="3">
        <f>IF(fNotasFiscais[[#This Row],[Data da Entrega]]&gt;fNotasFiscais[[#This Row],[Data Contratada]],0,1)</f>
        <v>1</v>
      </c>
      <c r="Y1647" s="3">
        <f>IF(fNotasFiscais[[#This Row],[Ocorrência]]="",1,0)</f>
        <v>1</v>
      </c>
      <c r="Z1647" s="2">
        <f>fNotasFiscais[[#This Row],[On Time]]*fNotasFiscais[[#This Row],[In Full]]</f>
        <v>1</v>
      </c>
      <c r="AA1647">
        <f>IF(fNotasFiscais[[#This Row],[Nota Fiscal]]&lt;&gt;"",1,0)</f>
        <v>1</v>
      </c>
    </row>
    <row r="1648" spans="1:27" x14ac:dyDescent="0.25">
      <c r="A1648" s="1">
        <v>43594</v>
      </c>
      <c r="B1648">
        <v>12057</v>
      </c>
      <c r="C1648" s="2" t="s">
        <v>43</v>
      </c>
      <c r="D1648" s="2" t="s">
        <v>44</v>
      </c>
      <c r="E1648" s="2" t="s">
        <v>45</v>
      </c>
      <c r="F1648">
        <v>4040</v>
      </c>
      <c r="G1648" s="2" t="s">
        <v>117</v>
      </c>
      <c r="H1648" s="2" t="s">
        <v>47</v>
      </c>
      <c r="I1648" s="2" t="s">
        <v>48</v>
      </c>
      <c r="J1648" s="2" t="s">
        <v>49</v>
      </c>
      <c r="K1648" s="2" t="s">
        <v>48</v>
      </c>
      <c r="L1648">
        <v>3859.6</v>
      </c>
      <c r="M1648">
        <v>13</v>
      </c>
      <c r="N1648">
        <v>22.539000000000001</v>
      </c>
      <c r="O1648">
        <v>6100231</v>
      </c>
      <c r="P1648" s="2" t="s">
        <v>50</v>
      </c>
      <c r="Q1648" s="2" t="s">
        <v>51</v>
      </c>
      <c r="R1648" s="2" t="s">
        <v>30</v>
      </c>
      <c r="S1648">
        <v>8</v>
      </c>
      <c r="T1648" s="1">
        <v>43594</v>
      </c>
      <c r="U1648" s="1">
        <v>43597</v>
      </c>
      <c r="V1648" s="2"/>
      <c r="W1648" s="1">
        <f>fNotasFiscais[[#This Row],[Data da Coleta]]+fNotasFiscais[[#This Row],[Prazo Contratado]]</f>
        <v>43602</v>
      </c>
      <c r="X1648" s="3">
        <f>IF(fNotasFiscais[[#This Row],[Data da Entrega]]&gt;fNotasFiscais[[#This Row],[Data Contratada]],0,1)</f>
        <v>1</v>
      </c>
      <c r="Y1648" s="3">
        <f>IF(fNotasFiscais[[#This Row],[Ocorrência]]="",1,0)</f>
        <v>1</v>
      </c>
      <c r="Z1648" s="2">
        <f>fNotasFiscais[[#This Row],[On Time]]*fNotasFiscais[[#This Row],[In Full]]</f>
        <v>1</v>
      </c>
      <c r="AA1648">
        <f>IF(fNotasFiscais[[#This Row],[Nota Fiscal]]&lt;&gt;"",1,0)</f>
        <v>1</v>
      </c>
    </row>
    <row r="1649" spans="1:27" x14ac:dyDescent="0.25">
      <c r="A1649" s="1">
        <v>43594</v>
      </c>
      <c r="B1649">
        <v>12058</v>
      </c>
      <c r="C1649" s="2" t="s">
        <v>34</v>
      </c>
      <c r="D1649" s="2" t="s">
        <v>35</v>
      </c>
      <c r="E1649" s="2" t="s">
        <v>36</v>
      </c>
      <c r="F1649">
        <v>4055</v>
      </c>
      <c r="G1649" s="2" t="s">
        <v>120</v>
      </c>
      <c r="H1649" s="2" t="s">
        <v>47</v>
      </c>
      <c r="I1649" s="2" t="s">
        <v>48</v>
      </c>
      <c r="J1649" s="2" t="s">
        <v>49</v>
      </c>
      <c r="K1649" s="2" t="s">
        <v>48</v>
      </c>
      <c r="L1649">
        <v>267.39</v>
      </c>
      <c r="M1649">
        <v>1</v>
      </c>
      <c r="N1649">
        <v>1.1200000000000001</v>
      </c>
      <c r="O1649">
        <v>6100231</v>
      </c>
      <c r="P1649" s="2" t="s">
        <v>50</v>
      </c>
      <c r="Q1649" s="2" t="s">
        <v>51</v>
      </c>
      <c r="R1649" s="2" t="s">
        <v>30</v>
      </c>
      <c r="S1649">
        <v>12</v>
      </c>
      <c r="T1649" s="1">
        <v>43594</v>
      </c>
      <c r="U1649" s="1">
        <v>43601</v>
      </c>
      <c r="V1649" s="2"/>
      <c r="W1649" s="1">
        <f>fNotasFiscais[[#This Row],[Data da Coleta]]+fNotasFiscais[[#This Row],[Prazo Contratado]]</f>
        <v>43606</v>
      </c>
      <c r="X1649" s="3">
        <f>IF(fNotasFiscais[[#This Row],[Data da Entrega]]&gt;fNotasFiscais[[#This Row],[Data Contratada]],0,1)</f>
        <v>1</v>
      </c>
      <c r="Y1649" s="3">
        <f>IF(fNotasFiscais[[#This Row],[Ocorrência]]="",1,0)</f>
        <v>1</v>
      </c>
      <c r="Z1649" s="2">
        <f>fNotasFiscais[[#This Row],[On Time]]*fNotasFiscais[[#This Row],[In Full]]</f>
        <v>1</v>
      </c>
      <c r="AA1649">
        <f>IF(fNotasFiscais[[#This Row],[Nota Fiscal]]&lt;&gt;"",1,0)</f>
        <v>1</v>
      </c>
    </row>
    <row r="1650" spans="1:27" x14ac:dyDescent="0.25">
      <c r="A1650" s="1">
        <v>43594</v>
      </c>
      <c r="B1650">
        <v>12059</v>
      </c>
      <c r="C1650" s="2" t="s">
        <v>40</v>
      </c>
      <c r="D1650" s="2" t="s">
        <v>41</v>
      </c>
      <c r="E1650" s="2" t="s">
        <v>33</v>
      </c>
      <c r="F1650">
        <v>4027</v>
      </c>
      <c r="G1650" s="2" t="s">
        <v>93</v>
      </c>
      <c r="H1650" s="2" t="s">
        <v>91</v>
      </c>
      <c r="I1650" s="2" t="s">
        <v>24</v>
      </c>
      <c r="J1650" s="2" t="s">
        <v>28</v>
      </c>
      <c r="K1650" s="2" t="s">
        <v>24</v>
      </c>
      <c r="L1650">
        <v>679.99</v>
      </c>
      <c r="M1650">
        <v>3</v>
      </c>
      <c r="N1650">
        <v>16.920999999999999</v>
      </c>
      <c r="O1650">
        <v>6500948</v>
      </c>
      <c r="P1650" s="2" t="s">
        <v>29</v>
      </c>
      <c r="Q1650" s="2" t="s">
        <v>23</v>
      </c>
      <c r="R1650" s="2" t="s">
        <v>30</v>
      </c>
      <c r="S1650">
        <v>2</v>
      </c>
      <c r="T1650" s="1">
        <v>43594</v>
      </c>
      <c r="U1650" s="1">
        <v>43601</v>
      </c>
      <c r="V1650" s="2"/>
      <c r="W1650" s="1">
        <f>fNotasFiscais[[#This Row],[Data da Coleta]]+fNotasFiscais[[#This Row],[Prazo Contratado]]</f>
        <v>43596</v>
      </c>
      <c r="X1650" s="3">
        <f>IF(fNotasFiscais[[#This Row],[Data da Entrega]]&gt;fNotasFiscais[[#This Row],[Data Contratada]],0,1)</f>
        <v>0</v>
      </c>
      <c r="Y1650" s="3">
        <f>IF(fNotasFiscais[[#This Row],[Ocorrência]]="",1,0)</f>
        <v>1</v>
      </c>
      <c r="Z1650" s="2">
        <f>fNotasFiscais[[#This Row],[On Time]]*fNotasFiscais[[#This Row],[In Full]]</f>
        <v>0</v>
      </c>
      <c r="AA1650">
        <f>IF(fNotasFiscais[[#This Row],[Nota Fiscal]]&lt;&gt;"",1,0)</f>
        <v>1</v>
      </c>
    </row>
    <row r="1651" spans="1:27" x14ac:dyDescent="0.25">
      <c r="A1651" s="1">
        <v>43594</v>
      </c>
      <c r="B1651">
        <v>12060</v>
      </c>
      <c r="C1651" s="2" t="s">
        <v>40</v>
      </c>
      <c r="D1651" s="2" t="s">
        <v>41</v>
      </c>
      <c r="E1651" s="2" t="s">
        <v>33</v>
      </c>
      <c r="F1651">
        <v>4056</v>
      </c>
      <c r="G1651" s="2" t="s">
        <v>119</v>
      </c>
      <c r="H1651" s="2" t="s">
        <v>51</v>
      </c>
      <c r="I1651" s="2" t="s">
        <v>73</v>
      </c>
      <c r="J1651" s="2" t="s">
        <v>49</v>
      </c>
      <c r="K1651" s="2" t="s">
        <v>73</v>
      </c>
      <c r="L1651">
        <v>767.3</v>
      </c>
      <c r="M1651">
        <v>4</v>
      </c>
      <c r="N1651">
        <v>1.397</v>
      </c>
      <c r="O1651">
        <v>6100231</v>
      </c>
      <c r="P1651" s="2" t="s">
        <v>50</v>
      </c>
      <c r="Q1651" s="2" t="s">
        <v>51</v>
      </c>
      <c r="R1651" s="2" t="s">
        <v>30</v>
      </c>
      <c r="S1651">
        <v>8</v>
      </c>
      <c r="T1651" s="1">
        <v>43594</v>
      </c>
      <c r="U1651" s="1">
        <v>43596</v>
      </c>
      <c r="V1651" s="2"/>
      <c r="W1651" s="1">
        <f>fNotasFiscais[[#This Row],[Data da Coleta]]+fNotasFiscais[[#This Row],[Prazo Contratado]]</f>
        <v>43602</v>
      </c>
      <c r="X1651" s="3">
        <f>IF(fNotasFiscais[[#This Row],[Data da Entrega]]&gt;fNotasFiscais[[#This Row],[Data Contratada]],0,1)</f>
        <v>1</v>
      </c>
      <c r="Y1651" s="3">
        <f>IF(fNotasFiscais[[#This Row],[Ocorrência]]="",1,0)</f>
        <v>1</v>
      </c>
      <c r="Z1651" s="2">
        <f>fNotasFiscais[[#This Row],[On Time]]*fNotasFiscais[[#This Row],[In Full]]</f>
        <v>1</v>
      </c>
      <c r="AA1651">
        <f>IF(fNotasFiscais[[#This Row],[Nota Fiscal]]&lt;&gt;"",1,0)</f>
        <v>1</v>
      </c>
    </row>
    <row r="1652" spans="1:27" x14ac:dyDescent="0.25">
      <c r="A1652" s="1">
        <v>43594</v>
      </c>
      <c r="B1652">
        <v>12061</v>
      </c>
      <c r="C1652" s="2" t="s">
        <v>34</v>
      </c>
      <c r="D1652" s="2" t="s">
        <v>35</v>
      </c>
      <c r="E1652" s="2" t="s">
        <v>36</v>
      </c>
      <c r="F1652">
        <v>4056</v>
      </c>
      <c r="G1652" s="2" t="s">
        <v>119</v>
      </c>
      <c r="H1652" s="2" t="s">
        <v>51</v>
      </c>
      <c r="I1652" s="2" t="s">
        <v>73</v>
      </c>
      <c r="J1652" s="2" t="s">
        <v>49</v>
      </c>
      <c r="K1652" s="2" t="s">
        <v>73</v>
      </c>
      <c r="L1652">
        <v>996.25</v>
      </c>
      <c r="M1652">
        <v>5</v>
      </c>
      <c r="N1652">
        <v>4.95</v>
      </c>
      <c r="O1652">
        <v>6100231</v>
      </c>
      <c r="P1652" s="2" t="s">
        <v>50</v>
      </c>
      <c r="Q1652" s="2" t="s">
        <v>51</v>
      </c>
      <c r="R1652" s="2" t="s">
        <v>30</v>
      </c>
      <c r="S1652">
        <v>9</v>
      </c>
      <c r="T1652" s="1">
        <v>43594</v>
      </c>
      <c r="U1652" s="1">
        <v>43595</v>
      </c>
      <c r="V1652" s="2"/>
      <c r="W1652" s="1">
        <f>fNotasFiscais[[#This Row],[Data da Coleta]]+fNotasFiscais[[#This Row],[Prazo Contratado]]</f>
        <v>43603</v>
      </c>
      <c r="X1652" s="3">
        <f>IF(fNotasFiscais[[#This Row],[Data da Entrega]]&gt;fNotasFiscais[[#This Row],[Data Contratada]],0,1)</f>
        <v>1</v>
      </c>
      <c r="Y1652" s="3">
        <f>IF(fNotasFiscais[[#This Row],[Ocorrência]]="",1,0)</f>
        <v>1</v>
      </c>
      <c r="Z1652" s="2">
        <f>fNotasFiscais[[#This Row],[On Time]]*fNotasFiscais[[#This Row],[In Full]]</f>
        <v>1</v>
      </c>
      <c r="AA1652">
        <f>IF(fNotasFiscais[[#This Row],[Nota Fiscal]]&lt;&gt;"",1,0)</f>
        <v>1</v>
      </c>
    </row>
    <row r="1653" spans="1:27" x14ac:dyDescent="0.25">
      <c r="A1653" s="1">
        <v>43595</v>
      </c>
      <c r="B1653">
        <v>12062</v>
      </c>
      <c r="C1653" s="2" t="s">
        <v>31</v>
      </c>
      <c r="D1653" s="2" t="s">
        <v>32</v>
      </c>
      <c r="E1653" s="2" t="s">
        <v>33</v>
      </c>
      <c r="F1653">
        <v>4128</v>
      </c>
      <c r="G1653" s="2" t="s">
        <v>211</v>
      </c>
      <c r="H1653" s="2" t="s">
        <v>167</v>
      </c>
      <c r="I1653" s="2" t="s">
        <v>168</v>
      </c>
      <c r="J1653" s="2" t="s">
        <v>169</v>
      </c>
      <c r="K1653" s="2" t="s">
        <v>168</v>
      </c>
      <c r="L1653">
        <v>199.26</v>
      </c>
      <c r="M1653">
        <v>1</v>
      </c>
      <c r="N1653">
        <v>0.99</v>
      </c>
      <c r="O1653">
        <v>6900304</v>
      </c>
      <c r="P1653" s="2" t="s">
        <v>170</v>
      </c>
      <c r="Q1653" s="2" t="s">
        <v>171</v>
      </c>
      <c r="R1653" s="2" t="s">
        <v>30</v>
      </c>
      <c r="S1653">
        <v>1</v>
      </c>
      <c r="T1653" s="1">
        <v>43595</v>
      </c>
      <c r="U1653" s="1">
        <v>43601</v>
      </c>
      <c r="V1653" s="2"/>
      <c r="W1653" s="1">
        <f>fNotasFiscais[[#This Row],[Data da Coleta]]+fNotasFiscais[[#This Row],[Prazo Contratado]]</f>
        <v>43596</v>
      </c>
      <c r="X1653" s="3">
        <f>IF(fNotasFiscais[[#This Row],[Data da Entrega]]&gt;fNotasFiscais[[#This Row],[Data Contratada]],0,1)</f>
        <v>0</v>
      </c>
      <c r="Y1653" s="3">
        <f>IF(fNotasFiscais[[#This Row],[Ocorrência]]="",1,0)</f>
        <v>1</v>
      </c>
      <c r="Z1653" s="2">
        <f>fNotasFiscais[[#This Row],[On Time]]*fNotasFiscais[[#This Row],[In Full]]</f>
        <v>0</v>
      </c>
      <c r="AA1653">
        <f>IF(fNotasFiscais[[#This Row],[Nota Fiscal]]&lt;&gt;"",1,0)</f>
        <v>1</v>
      </c>
    </row>
    <row r="1654" spans="1:27" x14ac:dyDescent="0.25">
      <c r="A1654" s="1">
        <v>43595</v>
      </c>
      <c r="B1654">
        <v>12063</v>
      </c>
      <c r="C1654" s="2" t="s">
        <v>54</v>
      </c>
      <c r="D1654" s="2" t="s">
        <v>55</v>
      </c>
      <c r="E1654" s="2" t="s">
        <v>56</v>
      </c>
      <c r="F1654">
        <v>4023</v>
      </c>
      <c r="G1654" s="2" t="s">
        <v>88</v>
      </c>
      <c r="H1654" s="2" t="s">
        <v>78</v>
      </c>
      <c r="I1654" s="2" t="s">
        <v>39</v>
      </c>
      <c r="J1654" s="2" t="s">
        <v>28</v>
      </c>
      <c r="K1654" s="2" t="s">
        <v>39</v>
      </c>
      <c r="L1654">
        <v>149.86000000000001</v>
      </c>
      <c r="M1654">
        <v>1</v>
      </c>
      <c r="N1654">
        <v>4.4000000000000004</v>
      </c>
      <c r="O1654">
        <v>6500948</v>
      </c>
      <c r="P1654" s="2" t="s">
        <v>29</v>
      </c>
      <c r="Q1654" s="2" t="s">
        <v>23</v>
      </c>
      <c r="R1654" s="2" t="s">
        <v>30</v>
      </c>
      <c r="S1654">
        <v>3</v>
      </c>
      <c r="T1654" s="1">
        <v>43595</v>
      </c>
      <c r="U1654" s="1">
        <v>43596</v>
      </c>
      <c r="V1654" s="2"/>
      <c r="W1654" s="1">
        <f>fNotasFiscais[[#This Row],[Data da Coleta]]+fNotasFiscais[[#This Row],[Prazo Contratado]]</f>
        <v>43598</v>
      </c>
      <c r="X1654" s="3">
        <f>IF(fNotasFiscais[[#This Row],[Data da Entrega]]&gt;fNotasFiscais[[#This Row],[Data Contratada]],0,1)</f>
        <v>1</v>
      </c>
      <c r="Y1654" s="3">
        <f>IF(fNotasFiscais[[#This Row],[Ocorrência]]="",1,0)</f>
        <v>1</v>
      </c>
      <c r="Z1654" s="2">
        <f>fNotasFiscais[[#This Row],[On Time]]*fNotasFiscais[[#This Row],[In Full]]</f>
        <v>1</v>
      </c>
      <c r="AA1654">
        <f>IF(fNotasFiscais[[#This Row],[Nota Fiscal]]&lt;&gt;"",1,0)</f>
        <v>1</v>
      </c>
    </row>
    <row r="1655" spans="1:27" x14ac:dyDescent="0.25">
      <c r="A1655" s="1">
        <v>43596</v>
      </c>
      <c r="B1655">
        <v>12064</v>
      </c>
      <c r="C1655" s="2" t="s">
        <v>54</v>
      </c>
      <c r="D1655" s="2" t="s">
        <v>55</v>
      </c>
      <c r="E1655" s="2" t="s">
        <v>56</v>
      </c>
      <c r="F1655">
        <v>4159</v>
      </c>
      <c r="G1655" s="2" t="s">
        <v>242</v>
      </c>
      <c r="H1655" s="2" t="s">
        <v>173</v>
      </c>
      <c r="I1655" s="2" t="s">
        <v>174</v>
      </c>
      <c r="J1655" s="2" t="s">
        <v>175</v>
      </c>
      <c r="K1655" s="2" t="s">
        <v>174</v>
      </c>
      <c r="L1655">
        <v>990.76</v>
      </c>
      <c r="M1655">
        <v>5</v>
      </c>
      <c r="N1655">
        <v>4.95</v>
      </c>
      <c r="O1655">
        <v>6700091</v>
      </c>
      <c r="P1655" s="2" t="s">
        <v>176</v>
      </c>
      <c r="Q1655" s="2" t="s">
        <v>173</v>
      </c>
      <c r="R1655" s="2" t="s">
        <v>30</v>
      </c>
      <c r="S1655">
        <v>3</v>
      </c>
      <c r="T1655" s="1">
        <v>43596</v>
      </c>
      <c r="U1655" s="1">
        <v>43603</v>
      </c>
      <c r="V1655" s="2"/>
      <c r="W1655" s="1">
        <f>fNotasFiscais[[#This Row],[Data da Coleta]]+fNotasFiscais[[#This Row],[Prazo Contratado]]</f>
        <v>43599</v>
      </c>
      <c r="X1655" s="3">
        <f>IF(fNotasFiscais[[#This Row],[Data da Entrega]]&gt;fNotasFiscais[[#This Row],[Data Contratada]],0,1)</f>
        <v>0</v>
      </c>
      <c r="Y1655" s="3">
        <f>IF(fNotasFiscais[[#This Row],[Ocorrência]]="",1,0)</f>
        <v>1</v>
      </c>
      <c r="Z1655" s="2">
        <f>fNotasFiscais[[#This Row],[On Time]]*fNotasFiscais[[#This Row],[In Full]]</f>
        <v>0</v>
      </c>
      <c r="AA1655">
        <f>IF(fNotasFiscais[[#This Row],[Nota Fiscal]]&lt;&gt;"",1,0)</f>
        <v>1</v>
      </c>
    </row>
    <row r="1656" spans="1:27" x14ac:dyDescent="0.25">
      <c r="A1656" s="1">
        <v>43596</v>
      </c>
      <c r="B1656">
        <v>12065</v>
      </c>
      <c r="C1656" s="2" t="s">
        <v>54</v>
      </c>
      <c r="D1656" s="2" t="s">
        <v>55</v>
      </c>
      <c r="E1656" s="2" t="s">
        <v>56</v>
      </c>
      <c r="F1656">
        <v>4155</v>
      </c>
      <c r="G1656" s="2" t="s">
        <v>238</v>
      </c>
      <c r="H1656" s="2" t="s">
        <v>32</v>
      </c>
      <c r="I1656" s="2" t="s">
        <v>33</v>
      </c>
      <c r="J1656" s="2" t="s">
        <v>60</v>
      </c>
      <c r="K1656" s="2" t="s">
        <v>33</v>
      </c>
      <c r="L1656">
        <v>549.83000000000004</v>
      </c>
      <c r="M1656">
        <v>4</v>
      </c>
      <c r="N1656">
        <v>3.036</v>
      </c>
      <c r="O1656">
        <v>6400835</v>
      </c>
      <c r="P1656" s="2" t="s">
        <v>130</v>
      </c>
      <c r="Q1656" s="2" t="s">
        <v>131</v>
      </c>
      <c r="R1656" s="2" t="s">
        <v>30</v>
      </c>
      <c r="S1656">
        <v>9</v>
      </c>
      <c r="T1656" s="1">
        <v>43596</v>
      </c>
      <c r="U1656" s="1">
        <v>43597</v>
      </c>
      <c r="V1656" s="2"/>
      <c r="W1656" s="1">
        <f>fNotasFiscais[[#This Row],[Data da Coleta]]+fNotasFiscais[[#This Row],[Prazo Contratado]]</f>
        <v>43605</v>
      </c>
      <c r="X1656" s="3">
        <f>IF(fNotasFiscais[[#This Row],[Data da Entrega]]&gt;fNotasFiscais[[#This Row],[Data Contratada]],0,1)</f>
        <v>1</v>
      </c>
      <c r="Y1656" s="3">
        <f>IF(fNotasFiscais[[#This Row],[Ocorrência]]="",1,0)</f>
        <v>1</v>
      </c>
      <c r="Z1656" s="2">
        <f>fNotasFiscais[[#This Row],[On Time]]*fNotasFiscais[[#This Row],[In Full]]</f>
        <v>1</v>
      </c>
      <c r="AA1656">
        <f>IF(fNotasFiscais[[#This Row],[Nota Fiscal]]&lt;&gt;"",1,0)</f>
        <v>1</v>
      </c>
    </row>
    <row r="1657" spans="1:27" x14ac:dyDescent="0.25">
      <c r="A1657" s="1">
        <v>43596</v>
      </c>
      <c r="B1657">
        <v>12066</v>
      </c>
      <c r="C1657" s="2" t="s">
        <v>22</v>
      </c>
      <c r="D1657" s="2" t="s">
        <v>23</v>
      </c>
      <c r="E1657" s="2" t="s">
        <v>24</v>
      </c>
      <c r="F1657">
        <v>4128</v>
      </c>
      <c r="G1657" s="2" t="s">
        <v>211</v>
      </c>
      <c r="H1657" s="2" t="s">
        <v>167</v>
      </c>
      <c r="I1657" s="2" t="s">
        <v>168</v>
      </c>
      <c r="J1657" s="2" t="s">
        <v>169</v>
      </c>
      <c r="K1657" s="2" t="s">
        <v>168</v>
      </c>
      <c r="L1657">
        <v>790.96</v>
      </c>
      <c r="M1657">
        <v>1</v>
      </c>
      <c r="N1657">
        <v>1.1200000000000001</v>
      </c>
      <c r="O1657">
        <v>6900304</v>
      </c>
      <c r="P1657" s="2" t="s">
        <v>170</v>
      </c>
      <c r="Q1657" s="2" t="s">
        <v>171</v>
      </c>
      <c r="R1657" s="2" t="s">
        <v>30</v>
      </c>
      <c r="S1657">
        <v>3</v>
      </c>
      <c r="T1657" s="1">
        <v>43596</v>
      </c>
      <c r="U1657" s="1">
        <v>43603</v>
      </c>
      <c r="V1657" s="2"/>
      <c r="W1657" s="1">
        <f>fNotasFiscais[[#This Row],[Data da Coleta]]+fNotasFiscais[[#This Row],[Prazo Contratado]]</f>
        <v>43599</v>
      </c>
      <c r="X1657" s="3">
        <f>IF(fNotasFiscais[[#This Row],[Data da Entrega]]&gt;fNotasFiscais[[#This Row],[Data Contratada]],0,1)</f>
        <v>0</v>
      </c>
      <c r="Y1657" s="3">
        <f>IF(fNotasFiscais[[#This Row],[Ocorrência]]="",1,0)</f>
        <v>1</v>
      </c>
      <c r="Z1657" s="2">
        <f>fNotasFiscais[[#This Row],[On Time]]*fNotasFiscais[[#This Row],[In Full]]</f>
        <v>0</v>
      </c>
      <c r="AA1657">
        <f>IF(fNotasFiscais[[#This Row],[Nota Fiscal]]&lt;&gt;"",1,0)</f>
        <v>1</v>
      </c>
    </row>
    <row r="1658" spans="1:27" x14ac:dyDescent="0.25">
      <c r="A1658" s="1">
        <v>43596</v>
      </c>
      <c r="B1658">
        <v>12067</v>
      </c>
      <c r="C1658" s="2" t="s">
        <v>22</v>
      </c>
      <c r="D1658" s="2" t="s">
        <v>23</v>
      </c>
      <c r="E1658" s="2" t="s">
        <v>24</v>
      </c>
      <c r="F1658">
        <v>4023</v>
      </c>
      <c r="G1658" s="2" t="s">
        <v>88</v>
      </c>
      <c r="H1658" s="2" t="s">
        <v>78</v>
      </c>
      <c r="I1658" s="2" t="s">
        <v>39</v>
      </c>
      <c r="J1658" s="2" t="s">
        <v>28</v>
      </c>
      <c r="K1658" s="2" t="s">
        <v>39</v>
      </c>
      <c r="L1658">
        <v>1992.5</v>
      </c>
      <c r="M1658">
        <v>1</v>
      </c>
      <c r="N1658">
        <v>9.9</v>
      </c>
      <c r="O1658">
        <v>6500948</v>
      </c>
      <c r="P1658" s="2" t="s">
        <v>29</v>
      </c>
      <c r="Q1658" s="2" t="s">
        <v>23</v>
      </c>
      <c r="R1658" s="2" t="s">
        <v>30</v>
      </c>
      <c r="S1658">
        <v>6</v>
      </c>
      <c r="T1658" s="1">
        <v>43596</v>
      </c>
      <c r="U1658" s="1">
        <v>43601</v>
      </c>
      <c r="V1658" s="2"/>
      <c r="W1658" s="1">
        <f>fNotasFiscais[[#This Row],[Data da Coleta]]+fNotasFiscais[[#This Row],[Prazo Contratado]]</f>
        <v>43602</v>
      </c>
      <c r="X1658" s="3">
        <f>IF(fNotasFiscais[[#This Row],[Data da Entrega]]&gt;fNotasFiscais[[#This Row],[Data Contratada]],0,1)</f>
        <v>1</v>
      </c>
      <c r="Y1658" s="3">
        <f>IF(fNotasFiscais[[#This Row],[Ocorrência]]="",1,0)</f>
        <v>1</v>
      </c>
      <c r="Z1658" s="2">
        <f>fNotasFiscais[[#This Row],[On Time]]*fNotasFiscais[[#This Row],[In Full]]</f>
        <v>1</v>
      </c>
      <c r="AA1658">
        <f>IF(fNotasFiscais[[#This Row],[Nota Fiscal]]&lt;&gt;"",1,0)</f>
        <v>1</v>
      </c>
    </row>
    <row r="1659" spans="1:27" x14ac:dyDescent="0.25">
      <c r="A1659" s="1">
        <v>43596</v>
      </c>
      <c r="B1659">
        <v>12068</v>
      </c>
      <c r="C1659" s="2" t="s">
        <v>40</v>
      </c>
      <c r="D1659" s="2" t="s">
        <v>41</v>
      </c>
      <c r="E1659" s="2" t="s">
        <v>33</v>
      </c>
      <c r="F1659">
        <v>4022</v>
      </c>
      <c r="G1659" s="2" t="s">
        <v>86</v>
      </c>
      <c r="H1659" s="2" t="s">
        <v>87</v>
      </c>
      <c r="I1659" s="2" t="s">
        <v>27</v>
      </c>
      <c r="J1659" s="2" t="s">
        <v>28</v>
      </c>
      <c r="K1659" s="2" t="s">
        <v>27</v>
      </c>
      <c r="L1659">
        <v>1382.58</v>
      </c>
      <c r="M1659">
        <v>5</v>
      </c>
      <c r="N1659">
        <v>23.37</v>
      </c>
      <c r="O1659">
        <v>6500948</v>
      </c>
      <c r="P1659" s="2" t="s">
        <v>29</v>
      </c>
      <c r="Q1659" s="2" t="s">
        <v>23</v>
      </c>
      <c r="R1659" s="2" t="s">
        <v>30</v>
      </c>
      <c r="S1659">
        <v>4</v>
      </c>
      <c r="T1659" s="1">
        <v>43596</v>
      </c>
      <c r="U1659" s="1">
        <v>43602</v>
      </c>
      <c r="V1659" s="2"/>
      <c r="W1659" s="1">
        <f>fNotasFiscais[[#This Row],[Data da Coleta]]+fNotasFiscais[[#This Row],[Prazo Contratado]]</f>
        <v>43600</v>
      </c>
      <c r="X1659" s="3">
        <f>IF(fNotasFiscais[[#This Row],[Data da Entrega]]&gt;fNotasFiscais[[#This Row],[Data Contratada]],0,1)</f>
        <v>0</v>
      </c>
      <c r="Y1659" s="3">
        <f>IF(fNotasFiscais[[#This Row],[Ocorrência]]="",1,0)</f>
        <v>1</v>
      </c>
      <c r="Z1659" s="2">
        <f>fNotasFiscais[[#This Row],[On Time]]*fNotasFiscais[[#This Row],[In Full]]</f>
        <v>0</v>
      </c>
      <c r="AA1659">
        <f>IF(fNotasFiscais[[#This Row],[Nota Fiscal]]&lt;&gt;"",1,0)</f>
        <v>1</v>
      </c>
    </row>
    <row r="1660" spans="1:27" x14ac:dyDescent="0.25">
      <c r="A1660" s="1">
        <v>43596</v>
      </c>
      <c r="B1660">
        <v>12069</v>
      </c>
      <c r="C1660" s="2" t="s">
        <v>43</v>
      </c>
      <c r="D1660" s="2" t="s">
        <v>44</v>
      </c>
      <c r="E1660" s="2" t="s">
        <v>45</v>
      </c>
      <c r="F1660">
        <v>4100</v>
      </c>
      <c r="G1660" s="2" t="s">
        <v>182</v>
      </c>
      <c r="H1660" s="2" t="s">
        <v>183</v>
      </c>
      <c r="I1660" s="2" t="s">
        <v>33</v>
      </c>
      <c r="J1660" s="2" t="s">
        <v>60</v>
      </c>
      <c r="K1660" s="2" t="s">
        <v>33</v>
      </c>
      <c r="L1660">
        <v>3482.23</v>
      </c>
      <c r="M1660">
        <v>12</v>
      </c>
      <c r="N1660">
        <v>4.18</v>
      </c>
      <c r="O1660">
        <v>6400835</v>
      </c>
      <c r="P1660" s="2" t="s">
        <v>130</v>
      </c>
      <c r="Q1660" s="2" t="s">
        <v>131</v>
      </c>
      <c r="R1660" s="2" t="s">
        <v>30</v>
      </c>
      <c r="S1660">
        <v>10</v>
      </c>
      <c r="T1660" s="1">
        <v>43596</v>
      </c>
      <c r="U1660" s="1">
        <v>43602</v>
      </c>
      <c r="V1660" s="2"/>
      <c r="W1660" s="1">
        <f>fNotasFiscais[[#This Row],[Data da Coleta]]+fNotasFiscais[[#This Row],[Prazo Contratado]]</f>
        <v>43606</v>
      </c>
      <c r="X1660" s="3">
        <f>IF(fNotasFiscais[[#This Row],[Data da Entrega]]&gt;fNotasFiscais[[#This Row],[Data Contratada]],0,1)</f>
        <v>1</v>
      </c>
      <c r="Y1660" s="3">
        <f>IF(fNotasFiscais[[#This Row],[Ocorrência]]="",1,0)</f>
        <v>1</v>
      </c>
      <c r="Z1660" s="2">
        <f>fNotasFiscais[[#This Row],[On Time]]*fNotasFiscais[[#This Row],[In Full]]</f>
        <v>1</v>
      </c>
      <c r="AA1660">
        <f>IF(fNotasFiscais[[#This Row],[Nota Fiscal]]&lt;&gt;"",1,0)</f>
        <v>1</v>
      </c>
    </row>
    <row r="1661" spans="1:27" x14ac:dyDescent="0.25">
      <c r="A1661" s="1">
        <v>43596</v>
      </c>
      <c r="B1661">
        <v>12070</v>
      </c>
      <c r="C1661" s="2" t="s">
        <v>52</v>
      </c>
      <c r="D1661" s="2" t="s">
        <v>53</v>
      </c>
      <c r="E1661" s="2" t="s">
        <v>33</v>
      </c>
      <c r="F1661">
        <v>4022</v>
      </c>
      <c r="G1661" s="2" t="s">
        <v>86</v>
      </c>
      <c r="H1661" s="2" t="s">
        <v>87</v>
      </c>
      <c r="I1661" s="2" t="s">
        <v>27</v>
      </c>
      <c r="J1661" s="2" t="s">
        <v>28</v>
      </c>
      <c r="K1661" s="2" t="s">
        <v>27</v>
      </c>
      <c r="L1661">
        <v>3218.77</v>
      </c>
      <c r="M1661">
        <v>8</v>
      </c>
      <c r="N1661">
        <v>19.396000000000001</v>
      </c>
      <c r="O1661">
        <v>6500948</v>
      </c>
      <c r="P1661" s="2" t="s">
        <v>29</v>
      </c>
      <c r="Q1661" s="2" t="s">
        <v>23</v>
      </c>
      <c r="R1661" s="2" t="s">
        <v>30</v>
      </c>
      <c r="S1661">
        <v>11</v>
      </c>
      <c r="T1661" s="1">
        <v>43596</v>
      </c>
      <c r="U1661" s="1">
        <v>43599</v>
      </c>
      <c r="V1661" s="2"/>
      <c r="W1661" s="1">
        <f>fNotasFiscais[[#This Row],[Data da Coleta]]+fNotasFiscais[[#This Row],[Prazo Contratado]]</f>
        <v>43607</v>
      </c>
      <c r="X1661" s="3">
        <f>IF(fNotasFiscais[[#This Row],[Data da Entrega]]&gt;fNotasFiscais[[#This Row],[Data Contratada]],0,1)</f>
        <v>1</v>
      </c>
      <c r="Y1661" s="3">
        <f>IF(fNotasFiscais[[#This Row],[Ocorrência]]="",1,0)</f>
        <v>1</v>
      </c>
      <c r="Z1661" s="2">
        <f>fNotasFiscais[[#This Row],[On Time]]*fNotasFiscais[[#This Row],[In Full]]</f>
        <v>1</v>
      </c>
      <c r="AA1661">
        <f>IF(fNotasFiscais[[#This Row],[Nota Fiscal]]&lt;&gt;"",1,0)</f>
        <v>1</v>
      </c>
    </row>
    <row r="1662" spans="1:27" x14ac:dyDescent="0.25">
      <c r="A1662" s="1">
        <v>43599</v>
      </c>
      <c r="B1662">
        <v>12071</v>
      </c>
      <c r="C1662" s="2" t="s">
        <v>22</v>
      </c>
      <c r="D1662" s="2" t="s">
        <v>23</v>
      </c>
      <c r="E1662" s="2" t="s">
        <v>24</v>
      </c>
      <c r="F1662">
        <v>4163</v>
      </c>
      <c r="G1662" s="2" t="s">
        <v>246</v>
      </c>
      <c r="H1662" s="2" t="s">
        <v>173</v>
      </c>
      <c r="I1662" s="2" t="s">
        <v>174</v>
      </c>
      <c r="J1662" s="2" t="s">
        <v>175</v>
      </c>
      <c r="K1662" s="2" t="s">
        <v>174</v>
      </c>
      <c r="L1662">
        <v>304.73</v>
      </c>
      <c r="M1662">
        <v>5</v>
      </c>
      <c r="N1662">
        <v>10.423999999999999</v>
      </c>
      <c r="O1662">
        <v>6700091</v>
      </c>
      <c r="P1662" s="2" t="s">
        <v>176</v>
      </c>
      <c r="Q1662" s="2" t="s">
        <v>173</v>
      </c>
      <c r="R1662" s="2" t="s">
        <v>30</v>
      </c>
      <c r="S1662">
        <v>8</v>
      </c>
      <c r="T1662" s="1">
        <v>43599</v>
      </c>
      <c r="U1662" s="1">
        <v>43601</v>
      </c>
      <c r="V1662" s="2"/>
      <c r="W1662" s="1">
        <f>fNotasFiscais[[#This Row],[Data da Coleta]]+fNotasFiscais[[#This Row],[Prazo Contratado]]</f>
        <v>43607</v>
      </c>
      <c r="X1662" s="3">
        <f>IF(fNotasFiscais[[#This Row],[Data da Entrega]]&gt;fNotasFiscais[[#This Row],[Data Contratada]],0,1)</f>
        <v>1</v>
      </c>
      <c r="Y1662" s="3">
        <f>IF(fNotasFiscais[[#This Row],[Ocorrência]]="",1,0)</f>
        <v>1</v>
      </c>
      <c r="Z1662" s="2">
        <f>fNotasFiscais[[#This Row],[On Time]]*fNotasFiscais[[#This Row],[In Full]]</f>
        <v>1</v>
      </c>
      <c r="AA1662">
        <f>IF(fNotasFiscais[[#This Row],[Nota Fiscal]]&lt;&gt;"",1,0)</f>
        <v>1</v>
      </c>
    </row>
    <row r="1663" spans="1:27" x14ac:dyDescent="0.25">
      <c r="A1663" s="1">
        <v>43599</v>
      </c>
      <c r="B1663">
        <v>12072</v>
      </c>
      <c r="C1663" s="2" t="s">
        <v>40</v>
      </c>
      <c r="D1663" s="2" t="s">
        <v>41</v>
      </c>
      <c r="E1663" s="2" t="s">
        <v>33</v>
      </c>
      <c r="F1663">
        <v>4033</v>
      </c>
      <c r="G1663" s="2" t="s">
        <v>109</v>
      </c>
      <c r="H1663" s="2" t="s">
        <v>51</v>
      </c>
      <c r="I1663" s="2" t="s">
        <v>73</v>
      </c>
      <c r="J1663" s="2" t="s">
        <v>49</v>
      </c>
      <c r="K1663" s="2" t="s">
        <v>73</v>
      </c>
      <c r="L1663">
        <v>1479.1</v>
      </c>
      <c r="M1663">
        <v>1</v>
      </c>
      <c r="N1663">
        <v>1.1200000000000001</v>
      </c>
      <c r="O1663">
        <v>6100231</v>
      </c>
      <c r="P1663" s="2" t="s">
        <v>50</v>
      </c>
      <c r="Q1663" s="2" t="s">
        <v>51</v>
      </c>
      <c r="R1663" s="2" t="s">
        <v>30</v>
      </c>
      <c r="S1663">
        <v>7</v>
      </c>
      <c r="T1663" s="1">
        <v>43599</v>
      </c>
      <c r="U1663" s="1">
        <v>43601</v>
      </c>
      <c r="V1663" s="2" t="s">
        <v>57</v>
      </c>
      <c r="W1663" s="1">
        <f>fNotasFiscais[[#This Row],[Data da Coleta]]+fNotasFiscais[[#This Row],[Prazo Contratado]]</f>
        <v>43606</v>
      </c>
      <c r="X1663" s="3">
        <f>IF(fNotasFiscais[[#This Row],[Data da Entrega]]&gt;fNotasFiscais[[#This Row],[Data Contratada]],0,1)</f>
        <v>1</v>
      </c>
      <c r="Y1663" s="3">
        <f>IF(fNotasFiscais[[#This Row],[Ocorrência]]="",1,0)</f>
        <v>0</v>
      </c>
      <c r="Z1663" s="2">
        <f>fNotasFiscais[[#This Row],[On Time]]*fNotasFiscais[[#This Row],[In Full]]</f>
        <v>0</v>
      </c>
      <c r="AA1663">
        <f>IF(fNotasFiscais[[#This Row],[Nota Fiscal]]&lt;&gt;"",1,0)</f>
        <v>1</v>
      </c>
    </row>
    <row r="1664" spans="1:27" x14ac:dyDescent="0.25">
      <c r="A1664" s="1">
        <v>43598</v>
      </c>
      <c r="B1664">
        <v>12073</v>
      </c>
      <c r="C1664" s="2" t="s">
        <v>54</v>
      </c>
      <c r="D1664" s="2" t="s">
        <v>55</v>
      </c>
      <c r="E1664" s="2" t="s">
        <v>56</v>
      </c>
      <c r="F1664">
        <v>4142</v>
      </c>
      <c r="G1664" s="2" t="s">
        <v>225</v>
      </c>
      <c r="H1664" s="2" t="s">
        <v>173</v>
      </c>
      <c r="I1664" s="2" t="s">
        <v>174</v>
      </c>
      <c r="J1664" s="2" t="s">
        <v>175</v>
      </c>
      <c r="K1664" s="2" t="s">
        <v>174</v>
      </c>
      <c r="L1664">
        <v>1525</v>
      </c>
      <c r="M1664">
        <v>3</v>
      </c>
      <c r="N1664">
        <v>6.7119999999999997</v>
      </c>
      <c r="O1664">
        <v>6700091</v>
      </c>
      <c r="P1664" s="2" t="s">
        <v>176</v>
      </c>
      <c r="Q1664" s="2" t="s">
        <v>173</v>
      </c>
      <c r="R1664" s="2" t="s">
        <v>30</v>
      </c>
      <c r="S1664">
        <v>6</v>
      </c>
      <c r="T1664" s="1">
        <v>43599</v>
      </c>
      <c r="U1664" s="1">
        <v>43603</v>
      </c>
      <c r="V1664" s="2"/>
      <c r="W1664" s="1">
        <f>fNotasFiscais[[#This Row],[Data da Coleta]]+fNotasFiscais[[#This Row],[Prazo Contratado]]</f>
        <v>43605</v>
      </c>
      <c r="X1664" s="3">
        <f>IF(fNotasFiscais[[#This Row],[Data da Entrega]]&gt;fNotasFiscais[[#This Row],[Data Contratada]],0,1)</f>
        <v>1</v>
      </c>
      <c r="Y1664" s="3">
        <f>IF(fNotasFiscais[[#This Row],[Ocorrência]]="",1,0)</f>
        <v>1</v>
      </c>
      <c r="Z1664" s="2">
        <f>fNotasFiscais[[#This Row],[On Time]]*fNotasFiscais[[#This Row],[In Full]]</f>
        <v>1</v>
      </c>
      <c r="AA1664">
        <f>IF(fNotasFiscais[[#This Row],[Nota Fiscal]]&lt;&gt;"",1,0)</f>
        <v>1</v>
      </c>
    </row>
    <row r="1665" spans="1:27" x14ac:dyDescent="0.25">
      <c r="A1665" s="1">
        <v>43598</v>
      </c>
      <c r="B1665">
        <v>12074</v>
      </c>
      <c r="C1665" s="2" t="s">
        <v>22</v>
      </c>
      <c r="D1665" s="2" t="s">
        <v>23</v>
      </c>
      <c r="E1665" s="2" t="s">
        <v>24</v>
      </c>
      <c r="F1665">
        <v>4068</v>
      </c>
      <c r="G1665" s="2" t="s">
        <v>63</v>
      </c>
      <c r="H1665" s="2" t="s">
        <v>64</v>
      </c>
      <c r="I1665" s="2" t="s">
        <v>65</v>
      </c>
      <c r="J1665" s="2" t="s">
        <v>49</v>
      </c>
      <c r="K1665" s="2" t="s">
        <v>65</v>
      </c>
      <c r="L1665">
        <v>2357.4</v>
      </c>
      <c r="M1665">
        <v>3</v>
      </c>
      <c r="N1665">
        <v>9.68</v>
      </c>
      <c r="O1665">
        <v>6100231</v>
      </c>
      <c r="P1665" s="2" t="s">
        <v>50</v>
      </c>
      <c r="Q1665" s="2" t="s">
        <v>51</v>
      </c>
      <c r="R1665" s="2" t="s">
        <v>30</v>
      </c>
      <c r="S1665">
        <v>7</v>
      </c>
      <c r="T1665" s="1">
        <v>43599</v>
      </c>
      <c r="U1665" s="1">
        <v>43606</v>
      </c>
      <c r="V1665" s="2"/>
      <c r="W1665" s="1">
        <f>fNotasFiscais[[#This Row],[Data da Coleta]]+fNotasFiscais[[#This Row],[Prazo Contratado]]</f>
        <v>43606</v>
      </c>
      <c r="X1665" s="3">
        <f>IF(fNotasFiscais[[#This Row],[Data da Entrega]]&gt;fNotasFiscais[[#This Row],[Data Contratada]],0,1)</f>
        <v>1</v>
      </c>
      <c r="Y1665" s="3">
        <f>IF(fNotasFiscais[[#This Row],[Ocorrência]]="",1,0)</f>
        <v>1</v>
      </c>
      <c r="Z1665" s="2">
        <f>fNotasFiscais[[#This Row],[On Time]]*fNotasFiscais[[#This Row],[In Full]]</f>
        <v>1</v>
      </c>
      <c r="AA1665">
        <f>IF(fNotasFiscais[[#This Row],[Nota Fiscal]]&lt;&gt;"",1,0)</f>
        <v>1</v>
      </c>
    </row>
    <row r="1666" spans="1:27" x14ac:dyDescent="0.25">
      <c r="A1666" s="1">
        <v>43599</v>
      </c>
      <c r="B1666">
        <v>12075</v>
      </c>
      <c r="C1666" s="2" t="s">
        <v>31</v>
      </c>
      <c r="D1666" s="2" t="s">
        <v>32</v>
      </c>
      <c r="E1666" s="2" t="s">
        <v>33</v>
      </c>
      <c r="F1666">
        <v>4023</v>
      </c>
      <c r="G1666" s="2" t="s">
        <v>88</v>
      </c>
      <c r="H1666" s="2" t="s">
        <v>78</v>
      </c>
      <c r="I1666" s="2" t="s">
        <v>39</v>
      </c>
      <c r="J1666" s="2" t="s">
        <v>28</v>
      </c>
      <c r="K1666" s="2" t="s">
        <v>39</v>
      </c>
      <c r="L1666">
        <v>1047.21</v>
      </c>
      <c r="M1666">
        <v>4</v>
      </c>
      <c r="N1666">
        <v>6.7130000000000001</v>
      </c>
      <c r="O1666">
        <v>6500948</v>
      </c>
      <c r="P1666" s="2" t="s">
        <v>29</v>
      </c>
      <c r="Q1666" s="2" t="s">
        <v>23</v>
      </c>
      <c r="R1666" s="2" t="s">
        <v>30</v>
      </c>
      <c r="S1666">
        <v>5</v>
      </c>
      <c r="T1666" s="1">
        <v>43600</v>
      </c>
      <c r="U1666" s="1">
        <v>43608</v>
      </c>
      <c r="V1666" s="2"/>
      <c r="W1666" s="1">
        <f>fNotasFiscais[[#This Row],[Data da Coleta]]+fNotasFiscais[[#This Row],[Prazo Contratado]]</f>
        <v>43605</v>
      </c>
      <c r="X1666" s="3">
        <f>IF(fNotasFiscais[[#This Row],[Data da Entrega]]&gt;fNotasFiscais[[#This Row],[Data Contratada]],0,1)</f>
        <v>0</v>
      </c>
      <c r="Y1666" s="3">
        <f>IF(fNotasFiscais[[#This Row],[Ocorrência]]="",1,0)</f>
        <v>1</v>
      </c>
      <c r="Z1666" s="2">
        <f>fNotasFiscais[[#This Row],[On Time]]*fNotasFiscais[[#This Row],[In Full]]</f>
        <v>0</v>
      </c>
      <c r="AA1666">
        <f>IF(fNotasFiscais[[#This Row],[Nota Fiscal]]&lt;&gt;"",1,0)</f>
        <v>1</v>
      </c>
    </row>
    <row r="1667" spans="1:27" x14ac:dyDescent="0.25">
      <c r="A1667" s="1">
        <v>43600</v>
      </c>
      <c r="B1667">
        <v>12076</v>
      </c>
      <c r="C1667" s="2" t="s">
        <v>34</v>
      </c>
      <c r="D1667" s="2" t="s">
        <v>35</v>
      </c>
      <c r="E1667" s="2" t="s">
        <v>36</v>
      </c>
      <c r="F1667">
        <v>4164</v>
      </c>
      <c r="G1667" s="2" t="s">
        <v>247</v>
      </c>
      <c r="H1667" s="2" t="s">
        <v>165</v>
      </c>
      <c r="I1667" s="2" t="s">
        <v>24</v>
      </c>
      <c r="J1667" s="2" t="s">
        <v>28</v>
      </c>
      <c r="K1667" s="2" t="s">
        <v>24</v>
      </c>
      <c r="L1667">
        <v>2637.02</v>
      </c>
      <c r="M1667">
        <v>1</v>
      </c>
      <c r="N1667">
        <v>1.1200000000000001</v>
      </c>
      <c r="O1667">
        <v>6500948</v>
      </c>
      <c r="P1667" s="2" t="s">
        <v>29</v>
      </c>
      <c r="Q1667" s="2" t="s">
        <v>23</v>
      </c>
      <c r="R1667" s="2" t="s">
        <v>30</v>
      </c>
      <c r="S1667">
        <v>4</v>
      </c>
      <c r="T1667" s="1">
        <v>43601</v>
      </c>
      <c r="U1667" s="1">
        <v>43602</v>
      </c>
      <c r="V1667" s="2"/>
      <c r="W1667" s="1">
        <f>fNotasFiscais[[#This Row],[Data da Coleta]]+fNotasFiscais[[#This Row],[Prazo Contratado]]</f>
        <v>43605</v>
      </c>
      <c r="X1667" s="3">
        <f>IF(fNotasFiscais[[#This Row],[Data da Entrega]]&gt;fNotasFiscais[[#This Row],[Data Contratada]],0,1)</f>
        <v>1</v>
      </c>
      <c r="Y1667" s="3">
        <f>IF(fNotasFiscais[[#This Row],[Ocorrência]]="",1,0)</f>
        <v>1</v>
      </c>
      <c r="Z1667" s="2">
        <f>fNotasFiscais[[#This Row],[On Time]]*fNotasFiscais[[#This Row],[In Full]]</f>
        <v>1</v>
      </c>
      <c r="AA1667">
        <f>IF(fNotasFiscais[[#This Row],[Nota Fiscal]]&lt;&gt;"",1,0)</f>
        <v>1</v>
      </c>
    </row>
    <row r="1668" spans="1:27" x14ac:dyDescent="0.25">
      <c r="A1668" s="1">
        <v>43600</v>
      </c>
      <c r="B1668">
        <v>12077</v>
      </c>
      <c r="C1668" s="2" t="s">
        <v>22</v>
      </c>
      <c r="D1668" s="2" t="s">
        <v>23</v>
      </c>
      <c r="E1668" s="2" t="s">
        <v>24</v>
      </c>
      <c r="F1668">
        <v>4136</v>
      </c>
      <c r="G1668" s="2" t="s">
        <v>219</v>
      </c>
      <c r="H1668" s="2" t="s">
        <v>35</v>
      </c>
      <c r="I1668" s="2" t="s">
        <v>36</v>
      </c>
      <c r="J1668" s="2" t="s">
        <v>60</v>
      </c>
      <c r="K1668" s="2" t="s">
        <v>36</v>
      </c>
      <c r="L1668">
        <v>1751.23</v>
      </c>
      <c r="M1668">
        <v>4</v>
      </c>
      <c r="N1668">
        <v>11.842000000000001</v>
      </c>
      <c r="O1668">
        <v>6600879</v>
      </c>
      <c r="P1668" s="2" t="s">
        <v>61</v>
      </c>
      <c r="Q1668" s="2" t="s">
        <v>35</v>
      </c>
      <c r="R1668" s="2" t="s">
        <v>30</v>
      </c>
      <c r="S1668">
        <v>4</v>
      </c>
      <c r="T1668" s="1">
        <v>43601</v>
      </c>
      <c r="U1668" s="1">
        <v>43604</v>
      </c>
      <c r="V1668" s="2"/>
      <c r="W1668" s="1">
        <f>fNotasFiscais[[#This Row],[Data da Coleta]]+fNotasFiscais[[#This Row],[Prazo Contratado]]</f>
        <v>43605</v>
      </c>
      <c r="X1668" s="3">
        <f>IF(fNotasFiscais[[#This Row],[Data da Entrega]]&gt;fNotasFiscais[[#This Row],[Data Contratada]],0,1)</f>
        <v>1</v>
      </c>
      <c r="Y1668" s="3">
        <f>IF(fNotasFiscais[[#This Row],[Ocorrência]]="",1,0)</f>
        <v>1</v>
      </c>
      <c r="Z1668" s="2">
        <f>fNotasFiscais[[#This Row],[On Time]]*fNotasFiscais[[#This Row],[In Full]]</f>
        <v>1</v>
      </c>
      <c r="AA1668">
        <f>IF(fNotasFiscais[[#This Row],[Nota Fiscal]]&lt;&gt;"",1,0)</f>
        <v>1</v>
      </c>
    </row>
    <row r="1669" spans="1:27" x14ac:dyDescent="0.25">
      <c r="A1669" s="1">
        <v>43600</v>
      </c>
      <c r="B1669">
        <v>12078</v>
      </c>
      <c r="C1669" s="2" t="s">
        <v>31</v>
      </c>
      <c r="D1669" s="2" t="s">
        <v>32</v>
      </c>
      <c r="E1669" s="2" t="s">
        <v>33</v>
      </c>
      <c r="F1669">
        <v>4127</v>
      </c>
      <c r="G1669" s="2" t="s">
        <v>210</v>
      </c>
      <c r="H1669" s="2" t="s">
        <v>44</v>
      </c>
      <c r="I1669" s="2" t="s">
        <v>45</v>
      </c>
      <c r="J1669" s="2" t="s">
        <v>60</v>
      </c>
      <c r="K1669" s="2" t="s">
        <v>45</v>
      </c>
      <c r="L1669">
        <v>428.31</v>
      </c>
      <c r="M1669">
        <v>1</v>
      </c>
      <c r="N1669">
        <v>0.51700000000000002</v>
      </c>
      <c r="O1669">
        <v>6140092</v>
      </c>
      <c r="P1669" s="2" t="s">
        <v>137</v>
      </c>
      <c r="Q1669" s="2" t="s">
        <v>138</v>
      </c>
      <c r="R1669" s="2" t="s">
        <v>30</v>
      </c>
      <c r="S1669">
        <v>6</v>
      </c>
      <c r="T1669" s="1">
        <v>43601</v>
      </c>
      <c r="U1669" s="1">
        <v>43604</v>
      </c>
      <c r="V1669" s="2" t="s">
        <v>57</v>
      </c>
      <c r="W1669" s="1">
        <f>fNotasFiscais[[#This Row],[Data da Coleta]]+fNotasFiscais[[#This Row],[Prazo Contratado]]</f>
        <v>43607</v>
      </c>
      <c r="X1669" s="3">
        <f>IF(fNotasFiscais[[#This Row],[Data da Entrega]]&gt;fNotasFiscais[[#This Row],[Data Contratada]],0,1)</f>
        <v>1</v>
      </c>
      <c r="Y1669" s="3">
        <f>IF(fNotasFiscais[[#This Row],[Ocorrência]]="",1,0)</f>
        <v>0</v>
      </c>
      <c r="Z1669" s="2">
        <f>fNotasFiscais[[#This Row],[On Time]]*fNotasFiscais[[#This Row],[In Full]]</f>
        <v>0</v>
      </c>
      <c r="AA1669">
        <f>IF(fNotasFiscais[[#This Row],[Nota Fiscal]]&lt;&gt;"",1,0)</f>
        <v>1</v>
      </c>
    </row>
    <row r="1670" spans="1:27" x14ac:dyDescent="0.25">
      <c r="A1670" s="1">
        <v>43600</v>
      </c>
      <c r="B1670">
        <v>12079</v>
      </c>
      <c r="C1670" s="2" t="s">
        <v>52</v>
      </c>
      <c r="D1670" s="2" t="s">
        <v>53</v>
      </c>
      <c r="E1670" s="2" t="s">
        <v>33</v>
      </c>
      <c r="F1670">
        <v>4127</v>
      </c>
      <c r="G1670" s="2" t="s">
        <v>210</v>
      </c>
      <c r="H1670" s="2" t="s">
        <v>44</v>
      </c>
      <c r="I1670" s="2" t="s">
        <v>45</v>
      </c>
      <c r="J1670" s="2" t="s">
        <v>60</v>
      </c>
      <c r="K1670" s="2" t="s">
        <v>45</v>
      </c>
      <c r="L1670">
        <v>727.14</v>
      </c>
      <c r="M1670">
        <v>1</v>
      </c>
      <c r="N1670">
        <v>0.96</v>
      </c>
      <c r="O1670">
        <v>6140092</v>
      </c>
      <c r="P1670" s="2" t="s">
        <v>137</v>
      </c>
      <c r="Q1670" s="2" t="s">
        <v>138</v>
      </c>
      <c r="R1670" s="2" t="s">
        <v>30</v>
      </c>
      <c r="S1670">
        <v>6</v>
      </c>
      <c r="T1670" s="1">
        <v>43601</v>
      </c>
      <c r="U1670" s="1">
        <v>43606</v>
      </c>
      <c r="V1670" s="2"/>
      <c r="W1670" s="1">
        <f>fNotasFiscais[[#This Row],[Data da Coleta]]+fNotasFiscais[[#This Row],[Prazo Contratado]]</f>
        <v>43607</v>
      </c>
      <c r="X1670" s="3">
        <f>IF(fNotasFiscais[[#This Row],[Data da Entrega]]&gt;fNotasFiscais[[#This Row],[Data Contratada]],0,1)</f>
        <v>1</v>
      </c>
      <c r="Y1670" s="3">
        <f>IF(fNotasFiscais[[#This Row],[Ocorrência]]="",1,0)</f>
        <v>1</v>
      </c>
      <c r="Z1670" s="2">
        <f>fNotasFiscais[[#This Row],[On Time]]*fNotasFiscais[[#This Row],[In Full]]</f>
        <v>1</v>
      </c>
      <c r="AA1670">
        <f>IF(fNotasFiscais[[#This Row],[Nota Fiscal]]&lt;&gt;"",1,0)</f>
        <v>1</v>
      </c>
    </row>
    <row r="1671" spans="1:27" x14ac:dyDescent="0.25">
      <c r="A1671" s="1">
        <v>43600</v>
      </c>
      <c r="B1671">
        <v>12080</v>
      </c>
      <c r="C1671" s="2" t="s">
        <v>22</v>
      </c>
      <c r="D1671" s="2" t="s">
        <v>23</v>
      </c>
      <c r="E1671" s="2" t="s">
        <v>24</v>
      </c>
      <c r="F1671">
        <v>4032</v>
      </c>
      <c r="G1671" s="2" t="s">
        <v>108</v>
      </c>
      <c r="H1671" s="2" t="s">
        <v>51</v>
      </c>
      <c r="I1671" s="2" t="s">
        <v>73</v>
      </c>
      <c r="J1671" s="2" t="s">
        <v>49</v>
      </c>
      <c r="K1671" s="2" t="s">
        <v>73</v>
      </c>
      <c r="L1671">
        <v>19994.919999999998</v>
      </c>
      <c r="M1671">
        <v>22</v>
      </c>
      <c r="N1671">
        <v>106.384</v>
      </c>
      <c r="O1671">
        <v>6100231</v>
      </c>
      <c r="P1671" s="2" t="s">
        <v>50</v>
      </c>
      <c r="Q1671" s="2" t="s">
        <v>51</v>
      </c>
      <c r="R1671" s="2" t="s">
        <v>30</v>
      </c>
      <c r="S1671">
        <v>7</v>
      </c>
      <c r="T1671" s="1">
        <v>43601</v>
      </c>
      <c r="U1671" s="1">
        <v>43606</v>
      </c>
      <c r="V1671" s="2"/>
      <c r="W1671" s="1">
        <f>fNotasFiscais[[#This Row],[Data da Coleta]]+fNotasFiscais[[#This Row],[Prazo Contratado]]</f>
        <v>43608</v>
      </c>
      <c r="X1671" s="3">
        <f>IF(fNotasFiscais[[#This Row],[Data da Entrega]]&gt;fNotasFiscais[[#This Row],[Data Contratada]],0,1)</f>
        <v>1</v>
      </c>
      <c r="Y1671" s="3">
        <f>IF(fNotasFiscais[[#This Row],[Ocorrência]]="",1,0)</f>
        <v>1</v>
      </c>
      <c r="Z1671" s="2">
        <f>fNotasFiscais[[#This Row],[On Time]]*fNotasFiscais[[#This Row],[In Full]]</f>
        <v>1</v>
      </c>
      <c r="AA1671">
        <f>IF(fNotasFiscais[[#This Row],[Nota Fiscal]]&lt;&gt;"",1,0)</f>
        <v>1</v>
      </c>
    </row>
    <row r="1672" spans="1:27" x14ac:dyDescent="0.25">
      <c r="A1672" s="1">
        <v>43601</v>
      </c>
      <c r="B1672">
        <v>12081</v>
      </c>
      <c r="C1672" s="2" t="s">
        <v>52</v>
      </c>
      <c r="D1672" s="2" t="s">
        <v>53</v>
      </c>
      <c r="E1672" s="2" t="s">
        <v>33</v>
      </c>
      <c r="F1672">
        <v>4128</v>
      </c>
      <c r="G1672" s="2" t="s">
        <v>211</v>
      </c>
      <c r="H1672" s="2" t="s">
        <v>167</v>
      </c>
      <c r="I1672" s="2" t="s">
        <v>168</v>
      </c>
      <c r="J1672" s="2" t="s">
        <v>169</v>
      </c>
      <c r="K1672" s="2" t="s">
        <v>168</v>
      </c>
      <c r="L1672">
        <v>2070.46</v>
      </c>
      <c r="M1672">
        <v>1</v>
      </c>
      <c r="N1672">
        <v>1.1200000000000001</v>
      </c>
      <c r="O1672">
        <v>6900304</v>
      </c>
      <c r="P1672" s="2" t="s">
        <v>170</v>
      </c>
      <c r="Q1672" s="2" t="s">
        <v>171</v>
      </c>
      <c r="R1672" s="2" t="s">
        <v>30</v>
      </c>
      <c r="S1672">
        <v>8</v>
      </c>
      <c r="T1672" s="1">
        <v>43602</v>
      </c>
      <c r="U1672" s="1">
        <v>43610</v>
      </c>
      <c r="V1672" s="2"/>
      <c r="W1672" s="1">
        <f>fNotasFiscais[[#This Row],[Data da Coleta]]+fNotasFiscais[[#This Row],[Prazo Contratado]]</f>
        <v>43610</v>
      </c>
      <c r="X1672" s="3">
        <f>IF(fNotasFiscais[[#This Row],[Data da Entrega]]&gt;fNotasFiscais[[#This Row],[Data Contratada]],0,1)</f>
        <v>1</v>
      </c>
      <c r="Y1672" s="3">
        <f>IF(fNotasFiscais[[#This Row],[Ocorrência]]="",1,0)</f>
        <v>1</v>
      </c>
      <c r="Z1672" s="2">
        <f>fNotasFiscais[[#This Row],[On Time]]*fNotasFiscais[[#This Row],[In Full]]</f>
        <v>1</v>
      </c>
      <c r="AA1672">
        <f>IF(fNotasFiscais[[#This Row],[Nota Fiscal]]&lt;&gt;"",1,0)</f>
        <v>1</v>
      </c>
    </row>
    <row r="1673" spans="1:27" x14ac:dyDescent="0.25">
      <c r="A1673" s="1">
        <v>43601</v>
      </c>
      <c r="B1673">
        <v>12082</v>
      </c>
      <c r="C1673" s="2" t="s">
        <v>40</v>
      </c>
      <c r="D1673" s="2" t="s">
        <v>41</v>
      </c>
      <c r="E1673" s="2" t="s">
        <v>33</v>
      </c>
      <c r="F1673">
        <v>4022</v>
      </c>
      <c r="G1673" s="2" t="s">
        <v>86</v>
      </c>
      <c r="H1673" s="2" t="s">
        <v>87</v>
      </c>
      <c r="I1673" s="2" t="s">
        <v>27</v>
      </c>
      <c r="J1673" s="2" t="s">
        <v>28</v>
      </c>
      <c r="K1673" s="2" t="s">
        <v>27</v>
      </c>
      <c r="L1673">
        <v>3116.04</v>
      </c>
      <c r="M1673">
        <v>5</v>
      </c>
      <c r="N1673">
        <v>26.734000000000002</v>
      </c>
      <c r="O1673">
        <v>6500948</v>
      </c>
      <c r="P1673" s="2" t="s">
        <v>29</v>
      </c>
      <c r="Q1673" s="2" t="s">
        <v>23</v>
      </c>
      <c r="R1673" s="2" t="s">
        <v>30</v>
      </c>
      <c r="S1673">
        <v>7</v>
      </c>
      <c r="T1673" s="1">
        <v>43602</v>
      </c>
      <c r="U1673" s="1">
        <v>43605</v>
      </c>
      <c r="V1673" s="2"/>
      <c r="W1673" s="1">
        <f>fNotasFiscais[[#This Row],[Data da Coleta]]+fNotasFiscais[[#This Row],[Prazo Contratado]]</f>
        <v>43609</v>
      </c>
      <c r="X1673" s="3">
        <f>IF(fNotasFiscais[[#This Row],[Data da Entrega]]&gt;fNotasFiscais[[#This Row],[Data Contratada]],0,1)</f>
        <v>1</v>
      </c>
      <c r="Y1673" s="3">
        <f>IF(fNotasFiscais[[#This Row],[Ocorrência]]="",1,0)</f>
        <v>1</v>
      </c>
      <c r="Z1673" s="2">
        <f>fNotasFiscais[[#This Row],[On Time]]*fNotasFiscais[[#This Row],[In Full]]</f>
        <v>1</v>
      </c>
      <c r="AA1673">
        <f>IF(fNotasFiscais[[#This Row],[Nota Fiscal]]&lt;&gt;"",1,0)</f>
        <v>1</v>
      </c>
    </row>
    <row r="1674" spans="1:27" x14ac:dyDescent="0.25">
      <c r="A1674" s="1">
        <v>43601</v>
      </c>
      <c r="B1674">
        <v>12083</v>
      </c>
      <c r="C1674" s="2" t="s">
        <v>22</v>
      </c>
      <c r="D1674" s="2" t="s">
        <v>23</v>
      </c>
      <c r="E1674" s="2" t="s">
        <v>24</v>
      </c>
      <c r="F1674">
        <v>4119</v>
      </c>
      <c r="G1674" s="2" t="s">
        <v>202</v>
      </c>
      <c r="H1674" s="2" t="s">
        <v>167</v>
      </c>
      <c r="I1674" s="2" t="s">
        <v>168</v>
      </c>
      <c r="J1674" s="2" t="s">
        <v>169</v>
      </c>
      <c r="K1674" s="2" t="s">
        <v>168</v>
      </c>
      <c r="L1674">
        <v>260.94</v>
      </c>
      <c r="M1674">
        <v>1</v>
      </c>
      <c r="N1674">
        <v>10.78</v>
      </c>
      <c r="O1674">
        <v>6900304</v>
      </c>
      <c r="P1674" s="2" t="s">
        <v>170</v>
      </c>
      <c r="Q1674" s="2" t="s">
        <v>171</v>
      </c>
      <c r="R1674" s="2" t="s">
        <v>30</v>
      </c>
      <c r="S1674">
        <v>5</v>
      </c>
      <c r="T1674" s="1">
        <v>43602</v>
      </c>
      <c r="U1674" s="1">
        <v>43604</v>
      </c>
      <c r="V1674" s="2"/>
      <c r="W1674" s="1">
        <f>fNotasFiscais[[#This Row],[Data da Coleta]]+fNotasFiscais[[#This Row],[Prazo Contratado]]</f>
        <v>43607</v>
      </c>
      <c r="X1674" s="3">
        <f>IF(fNotasFiscais[[#This Row],[Data da Entrega]]&gt;fNotasFiscais[[#This Row],[Data Contratada]],0,1)</f>
        <v>1</v>
      </c>
      <c r="Y1674" s="3">
        <f>IF(fNotasFiscais[[#This Row],[Ocorrência]]="",1,0)</f>
        <v>1</v>
      </c>
      <c r="Z1674" s="2">
        <f>fNotasFiscais[[#This Row],[On Time]]*fNotasFiscais[[#This Row],[In Full]]</f>
        <v>1</v>
      </c>
      <c r="AA1674">
        <f>IF(fNotasFiscais[[#This Row],[Nota Fiscal]]&lt;&gt;"",1,0)</f>
        <v>1</v>
      </c>
    </row>
    <row r="1675" spans="1:27" x14ac:dyDescent="0.25">
      <c r="A1675" s="1">
        <v>43601</v>
      </c>
      <c r="B1675">
        <v>12084</v>
      </c>
      <c r="C1675" s="2" t="s">
        <v>43</v>
      </c>
      <c r="D1675" s="2" t="s">
        <v>44</v>
      </c>
      <c r="E1675" s="2" t="s">
        <v>45</v>
      </c>
      <c r="F1675">
        <v>4119</v>
      </c>
      <c r="G1675" s="2" t="s">
        <v>202</v>
      </c>
      <c r="H1675" s="2" t="s">
        <v>167</v>
      </c>
      <c r="I1675" s="2" t="s">
        <v>168</v>
      </c>
      <c r="J1675" s="2" t="s">
        <v>169</v>
      </c>
      <c r="K1675" s="2" t="s">
        <v>168</v>
      </c>
      <c r="L1675">
        <v>6627.04</v>
      </c>
      <c r="M1675">
        <v>17</v>
      </c>
      <c r="N1675">
        <v>36.209000000000003</v>
      </c>
      <c r="O1675">
        <v>6900304</v>
      </c>
      <c r="P1675" s="2" t="s">
        <v>170</v>
      </c>
      <c r="Q1675" s="2" t="s">
        <v>171</v>
      </c>
      <c r="R1675" s="2" t="s">
        <v>30</v>
      </c>
      <c r="S1675">
        <v>12</v>
      </c>
      <c r="T1675" s="1">
        <v>43602</v>
      </c>
      <c r="U1675" s="1">
        <v>43612</v>
      </c>
      <c r="V1675" s="2"/>
      <c r="W1675" s="1">
        <f>fNotasFiscais[[#This Row],[Data da Coleta]]+fNotasFiscais[[#This Row],[Prazo Contratado]]</f>
        <v>43614</v>
      </c>
      <c r="X1675" s="3">
        <f>IF(fNotasFiscais[[#This Row],[Data da Entrega]]&gt;fNotasFiscais[[#This Row],[Data Contratada]],0,1)</f>
        <v>1</v>
      </c>
      <c r="Y1675" s="3">
        <f>IF(fNotasFiscais[[#This Row],[Ocorrência]]="",1,0)</f>
        <v>1</v>
      </c>
      <c r="Z1675" s="2">
        <f>fNotasFiscais[[#This Row],[On Time]]*fNotasFiscais[[#This Row],[In Full]]</f>
        <v>1</v>
      </c>
      <c r="AA1675">
        <f>IF(fNotasFiscais[[#This Row],[Nota Fiscal]]&lt;&gt;"",1,0)</f>
        <v>1</v>
      </c>
    </row>
    <row r="1676" spans="1:27" x14ac:dyDescent="0.25">
      <c r="A1676" s="1">
        <v>43601</v>
      </c>
      <c r="B1676">
        <v>12085</v>
      </c>
      <c r="C1676" s="2" t="s">
        <v>40</v>
      </c>
      <c r="D1676" s="2" t="s">
        <v>41</v>
      </c>
      <c r="E1676" s="2" t="s">
        <v>33</v>
      </c>
      <c r="F1676">
        <v>4119</v>
      </c>
      <c r="G1676" s="2" t="s">
        <v>202</v>
      </c>
      <c r="H1676" s="2" t="s">
        <v>167</v>
      </c>
      <c r="I1676" s="2" t="s">
        <v>168</v>
      </c>
      <c r="J1676" s="2" t="s">
        <v>169</v>
      </c>
      <c r="K1676" s="2" t="s">
        <v>168</v>
      </c>
      <c r="L1676">
        <v>273.95999999999998</v>
      </c>
      <c r="M1676">
        <v>1</v>
      </c>
      <c r="N1676">
        <v>5.28</v>
      </c>
      <c r="O1676">
        <v>6900304</v>
      </c>
      <c r="P1676" s="2" t="s">
        <v>170</v>
      </c>
      <c r="Q1676" s="2" t="s">
        <v>171</v>
      </c>
      <c r="R1676" s="2" t="s">
        <v>30</v>
      </c>
      <c r="S1676">
        <v>4</v>
      </c>
      <c r="T1676" s="1">
        <v>43602</v>
      </c>
      <c r="U1676" s="1">
        <v>43608</v>
      </c>
      <c r="V1676" s="2"/>
      <c r="W1676" s="1">
        <f>fNotasFiscais[[#This Row],[Data da Coleta]]+fNotasFiscais[[#This Row],[Prazo Contratado]]</f>
        <v>43606</v>
      </c>
      <c r="X1676" s="3">
        <f>IF(fNotasFiscais[[#This Row],[Data da Entrega]]&gt;fNotasFiscais[[#This Row],[Data Contratada]],0,1)</f>
        <v>0</v>
      </c>
      <c r="Y1676" s="3">
        <f>IF(fNotasFiscais[[#This Row],[Ocorrência]]="",1,0)</f>
        <v>1</v>
      </c>
      <c r="Z1676" s="2">
        <f>fNotasFiscais[[#This Row],[On Time]]*fNotasFiscais[[#This Row],[In Full]]</f>
        <v>0</v>
      </c>
      <c r="AA1676">
        <f>IF(fNotasFiscais[[#This Row],[Nota Fiscal]]&lt;&gt;"",1,0)</f>
        <v>1</v>
      </c>
    </row>
    <row r="1677" spans="1:27" x14ac:dyDescent="0.25">
      <c r="A1677" s="1">
        <v>43602</v>
      </c>
      <c r="B1677">
        <v>12086</v>
      </c>
      <c r="C1677" s="2" t="s">
        <v>34</v>
      </c>
      <c r="D1677" s="2" t="s">
        <v>35</v>
      </c>
      <c r="E1677" s="2" t="s">
        <v>36</v>
      </c>
      <c r="F1677">
        <v>4024</v>
      </c>
      <c r="G1677" s="2" t="s">
        <v>89</v>
      </c>
      <c r="H1677" s="2" t="s">
        <v>23</v>
      </c>
      <c r="I1677" s="2" t="s">
        <v>24</v>
      </c>
      <c r="J1677" s="2" t="s">
        <v>28</v>
      </c>
      <c r="K1677" s="2" t="s">
        <v>24</v>
      </c>
      <c r="L1677">
        <v>3170.57</v>
      </c>
      <c r="M1677">
        <v>7</v>
      </c>
      <c r="N1677">
        <v>6.2220000000000004</v>
      </c>
      <c r="O1677">
        <v>6500948</v>
      </c>
      <c r="P1677" s="2" t="s">
        <v>29</v>
      </c>
      <c r="Q1677" s="2" t="s">
        <v>23</v>
      </c>
      <c r="R1677" s="2" t="s">
        <v>30</v>
      </c>
      <c r="S1677">
        <v>10</v>
      </c>
      <c r="T1677" s="1">
        <v>43603</v>
      </c>
      <c r="U1677" s="1">
        <v>43611</v>
      </c>
      <c r="V1677" s="2"/>
      <c r="W1677" s="1">
        <f>fNotasFiscais[[#This Row],[Data da Coleta]]+fNotasFiscais[[#This Row],[Prazo Contratado]]</f>
        <v>43613</v>
      </c>
      <c r="X1677" s="3">
        <f>IF(fNotasFiscais[[#This Row],[Data da Entrega]]&gt;fNotasFiscais[[#This Row],[Data Contratada]],0,1)</f>
        <v>1</v>
      </c>
      <c r="Y1677" s="3">
        <f>IF(fNotasFiscais[[#This Row],[Ocorrência]]="",1,0)</f>
        <v>1</v>
      </c>
      <c r="Z1677" s="2">
        <f>fNotasFiscais[[#This Row],[On Time]]*fNotasFiscais[[#This Row],[In Full]]</f>
        <v>1</v>
      </c>
      <c r="AA1677">
        <f>IF(fNotasFiscais[[#This Row],[Nota Fiscal]]&lt;&gt;"",1,0)</f>
        <v>1</v>
      </c>
    </row>
    <row r="1678" spans="1:27" x14ac:dyDescent="0.25">
      <c r="A1678" s="1">
        <v>43602</v>
      </c>
      <c r="B1678">
        <v>12087</v>
      </c>
      <c r="C1678" s="2" t="s">
        <v>43</v>
      </c>
      <c r="D1678" s="2" t="s">
        <v>44</v>
      </c>
      <c r="E1678" s="2" t="s">
        <v>45</v>
      </c>
      <c r="F1678">
        <v>4014</v>
      </c>
      <c r="G1678" s="2" t="s">
        <v>58</v>
      </c>
      <c r="H1678" s="2" t="s">
        <v>59</v>
      </c>
      <c r="I1678" s="2" t="s">
        <v>36</v>
      </c>
      <c r="J1678" s="2" t="s">
        <v>60</v>
      </c>
      <c r="K1678" s="2" t="s">
        <v>36</v>
      </c>
      <c r="L1678">
        <v>713.17</v>
      </c>
      <c r="M1678">
        <v>3</v>
      </c>
      <c r="N1678">
        <v>2.7559999999999998</v>
      </c>
      <c r="O1678">
        <v>6600879</v>
      </c>
      <c r="P1678" s="2" t="s">
        <v>61</v>
      </c>
      <c r="Q1678" s="2" t="s">
        <v>35</v>
      </c>
      <c r="R1678" s="2" t="s">
        <v>30</v>
      </c>
      <c r="S1678">
        <v>4</v>
      </c>
      <c r="T1678" s="1">
        <v>43603</v>
      </c>
      <c r="U1678" s="1">
        <v>43605</v>
      </c>
      <c r="V1678" s="2"/>
      <c r="W1678" s="1">
        <f>fNotasFiscais[[#This Row],[Data da Coleta]]+fNotasFiscais[[#This Row],[Prazo Contratado]]</f>
        <v>43607</v>
      </c>
      <c r="X1678" s="3">
        <f>IF(fNotasFiscais[[#This Row],[Data da Entrega]]&gt;fNotasFiscais[[#This Row],[Data Contratada]],0,1)</f>
        <v>1</v>
      </c>
      <c r="Y1678" s="3">
        <f>IF(fNotasFiscais[[#This Row],[Ocorrência]]="",1,0)</f>
        <v>1</v>
      </c>
      <c r="Z1678" s="2">
        <f>fNotasFiscais[[#This Row],[On Time]]*fNotasFiscais[[#This Row],[In Full]]</f>
        <v>1</v>
      </c>
      <c r="AA1678">
        <f>IF(fNotasFiscais[[#This Row],[Nota Fiscal]]&lt;&gt;"",1,0)</f>
        <v>1</v>
      </c>
    </row>
    <row r="1679" spans="1:27" x14ac:dyDescent="0.25">
      <c r="A1679" s="1">
        <v>43602</v>
      </c>
      <c r="B1679">
        <v>12088</v>
      </c>
      <c r="C1679" s="2" t="s">
        <v>40</v>
      </c>
      <c r="D1679" s="2" t="s">
        <v>41</v>
      </c>
      <c r="E1679" s="2" t="s">
        <v>33</v>
      </c>
      <c r="F1679">
        <v>4014</v>
      </c>
      <c r="G1679" s="2" t="s">
        <v>58</v>
      </c>
      <c r="H1679" s="2" t="s">
        <v>59</v>
      </c>
      <c r="I1679" s="2" t="s">
        <v>36</v>
      </c>
      <c r="J1679" s="2" t="s">
        <v>60</v>
      </c>
      <c r="K1679" s="2" t="s">
        <v>36</v>
      </c>
      <c r="L1679">
        <v>3295.45</v>
      </c>
      <c r="M1679">
        <v>6</v>
      </c>
      <c r="N1679">
        <v>11.76</v>
      </c>
      <c r="O1679">
        <v>6600879</v>
      </c>
      <c r="P1679" s="2" t="s">
        <v>61</v>
      </c>
      <c r="Q1679" s="2" t="s">
        <v>35</v>
      </c>
      <c r="R1679" s="2" t="s">
        <v>30</v>
      </c>
      <c r="S1679">
        <v>6</v>
      </c>
      <c r="T1679" s="1">
        <v>43603</v>
      </c>
      <c r="U1679" s="1">
        <v>43604</v>
      </c>
      <c r="V1679" s="2"/>
      <c r="W1679" s="1">
        <f>fNotasFiscais[[#This Row],[Data da Coleta]]+fNotasFiscais[[#This Row],[Prazo Contratado]]</f>
        <v>43609</v>
      </c>
      <c r="X1679" s="3">
        <f>IF(fNotasFiscais[[#This Row],[Data da Entrega]]&gt;fNotasFiscais[[#This Row],[Data Contratada]],0,1)</f>
        <v>1</v>
      </c>
      <c r="Y1679" s="3">
        <f>IF(fNotasFiscais[[#This Row],[Ocorrência]]="",1,0)</f>
        <v>1</v>
      </c>
      <c r="Z1679" s="2">
        <f>fNotasFiscais[[#This Row],[On Time]]*fNotasFiscais[[#This Row],[In Full]]</f>
        <v>1</v>
      </c>
      <c r="AA1679">
        <f>IF(fNotasFiscais[[#This Row],[Nota Fiscal]]&lt;&gt;"",1,0)</f>
        <v>1</v>
      </c>
    </row>
    <row r="1680" spans="1:27" x14ac:dyDescent="0.25">
      <c r="A1680" s="1">
        <v>43602</v>
      </c>
      <c r="B1680">
        <v>12089</v>
      </c>
      <c r="C1680" s="2" t="s">
        <v>34</v>
      </c>
      <c r="D1680" s="2" t="s">
        <v>35</v>
      </c>
      <c r="E1680" s="2" t="s">
        <v>36</v>
      </c>
      <c r="F1680">
        <v>4014</v>
      </c>
      <c r="G1680" s="2" t="s">
        <v>58</v>
      </c>
      <c r="H1680" s="2" t="s">
        <v>59</v>
      </c>
      <c r="I1680" s="2" t="s">
        <v>36</v>
      </c>
      <c r="J1680" s="2" t="s">
        <v>60</v>
      </c>
      <c r="K1680" s="2" t="s">
        <v>36</v>
      </c>
      <c r="L1680">
        <v>881.33</v>
      </c>
      <c r="M1680">
        <v>2</v>
      </c>
      <c r="N1680">
        <v>6.5490000000000004</v>
      </c>
      <c r="O1680">
        <v>6600879</v>
      </c>
      <c r="P1680" s="2" t="s">
        <v>61</v>
      </c>
      <c r="Q1680" s="2" t="s">
        <v>35</v>
      </c>
      <c r="R1680" s="2" t="s">
        <v>30</v>
      </c>
      <c r="S1680">
        <v>11</v>
      </c>
      <c r="T1680" s="1">
        <v>43603</v>
      </c>
      <c r="U1680" s="1">
        <v>43610</v>
      </c>
      <c r="V1680" s="2"/>
      <c r="W1680" s="1">
        <f>fNotasFiscais[[#This Row],[Data da Coleta]]+fNotasFiscais[[#This Row],[Prazo Contratado]]</f>
        <v>43614</v>
      </c>
      <c r="X1680" s="3">
        <f>IF(fNotasFiscais[[#This Row],[Data da Entrega]]&gt;fNotasFiscais[[#This Row],[Data Contratada]],0,1)</f>
        <v>1</v>
      </c>
      <c r="Y1680" s="3">
        <f>IF(fNotasFiscais[[#This Row],[Ocorrência]]="",1,0)</f>
        <v>1</v>
      </c>
      <c r="Z1680" s="2">
        <f>fNotasFiscais[[#This Row],[On Time]]*fNotasFiscais[[#This Row],[In Full]]</f>
        <v>1</v>
      </c>
      <c r="AA1680">
        <f>IF(fNotasFiscais[[#This Row],[Nota Fiscal]]&lt;&gt;"",1,0)</f>
        <v>1</v>
      </c>
    </row>
    <row r="1681" spans="1:27" x14ac:dyDescent="0.25">
      <c r="A1681" s="1">
        <v>43602</v>
      </c>
      <c r="B1681">
        <v>12090</v>
      </c>
      <c r="C1681" s="2" t="s">
        <v>34</v>
      </c>
      <c r="D1681" s="2" t="s">
        <v>35</v>
      </c>
      <c r="E1681" s="2" t="s">
        <v>36</v>
      </c>
      <c r="F1681">
        <v>4022</v>
      </c>
      <c r="G1681" s="2" t="s">
        <v>86</v>
      </c>
      <c r="H1681" s="2" t="s">
        <v>87</v>
      </c>
      <c r="I1681" s="2" t="s">
        <v>27</v>
      </c>
      <c r="J1681" s="2" t="s">
        <v>28</v>
      </c>
      <c r="K1681" s="2" t="s">
        <v>27</v>
      </c>
      <c r="L1681">
        <v>1212.81</v>
      </c>
      <c r="M1681">
        <v>2</v>
      </c>
      <c r="N1681">
        <v>10.119999999999999</v>
      </c>
      <c r="O1681">
        <v>6500948</v>
      </c>
      <c r="P1681" s="2" t="s">
        <v>29</v>
      </c>
      <c r="Q1681" s="2" t="s">
        <v>23</v>
      </c>
      <c r="R1681" s="2" t="s">
        <v>30</v>
      </c>
      <c r="S1681">
        <v>9</v>
      </c>
      <c r="T1681" s="1">
        <v>43603</v>
      </c>
      <c r="U1681" s="1">
        <v>43607</v>
      </c>
      <c r="V1681" s="2"/>
      <c r="W1681" s="1">
        <f>fNotasFiscais[[#This Row],[Data da Coleta]]+fNotasFiscais[[#This Row],[Prazo Contratado]]</f>
        <v>43612</v>
      </c>
      <c r="X1681" s="3">
        <f>IF(fNotasFiscais[[#This Row],[Data da Entrega]]&gt;fNotasFiscais[[#This Row],[Data Contratada]],0,1)</f>
        <v>1</v>
      </c>
      <c r="Y1681" s="3">
        <f>IF(fNotasFiscais[[#This Row],[Ocorrência]]="",1,0)</f>
        <v>1</v>
      </c>
      <c r="Z1681" s="2">
        <f>fNotasFiscais[[#This Row],[On Time]]*fNotasFiscais[[#This Row],[In Full]]</f>
        <v>1</v>
      </c>
      <c r="AA1681">
        <f>IF(fNotasFiscais[[#This Row],[Nota Fiscal]]&lt;&gt;"",1,0)</f>
        <v>1</v>
      </c>
    </row>
    <row r="1682" spans="1:27" x14ac:dyDescent="0.25">
      <c r="A1682" s="1">
        <v>43603</v>
      </c>
      <c r="B1682">
        <v>12091</v>
      </c>
      <c r="C1682" s="2" t="s">
        <v>40</v>
      </c>
      <c r="D1682" s="2" t="s">
        <v>41</v>
      </c>
      <c r="E1682" s="2" t="s">
        <v>33</v>
      </c>
      <c r="F1682">
        <v>4022</v>
      </c>
      <c r="G1682" s="2" t="s">
        <v>86</v>
      </c>
      <c r="H1682" s="2" t="s">
        <v>87</v>
      </c>
      <c r="I1682" s="2" t="s">
        <v>27</v>
      </c>
      <c r="J1682" s="2" t="s">
        <v>28</v>
      </c>
      <c r="K1682" s="2" t="s">
        <v>27</v>
      </c>
      <c r="L1682">
        <v>1857.44</v>
      </c>
      <c r="M1682">
        <v>5</v>
      </c>
      <c r="N1682">
        <v>13.606999999999999</v>
      </c>
      <c r="O1682">
        <v>6500948</v>
      </c>
      <c r="P1682" s="2" t="s">
        <v>29</v>
      </c>
      <c r="Q1682" s="2" t="s">
        <v>23</v>
      </c>
      <c r="R1682" s="2" t="s">
        <v>30</v>
      </c>
      <c r="S1682">
        <v>2</v>
      </c>
      <c r="T1682" s="1">
        <v>43604</v>
      </c>
      <c r="U1682" s="1">
        <v>43611</v>
      </c>
      <c r="V1682" s="2"/>
      <c r="W1682" s="1">
        <f>fNotasFiscais[[#This Row],[Data da Coleta]]+fNotasFiscais[[#This Row],[Prazo Contratado]]</f>
        <v>43606</v>
      </c>
      <c r="X1682" s="3">
        <f>IF(fNotasFiscais[[#This Row],[Data da Entrega]]&gt;fNotasFiscais[[#This Row],[Data Contratada]],0,1)</f>
        <v>0</v>
      </c>
      <c r="Y1682" s="3">
        <f>IF(fNotasFiscais[[#This Row],[Ocorrência]]="",1,0)</f>
        <v>1</v>
      </c>
      <c r="Z1682" s="2">
        <f>fNotasFiscais[[#This Row],[On Time]]*fNotasFiscais[[#This Row],[In Full]]</f>
        <v>0</v>
      </c>
      <c r="AA1682">
        <f>IF(fNotasFiscais[[#This Row],[Nota Fiscal]]&lt;&gt;"",1,0)</f>
        <v>1</v>
      </c>
    </row>
    <row r="1683" spans="1:27" x14ac:dyDescent="0.25">
      <c r="A1683" s="1">
        <v>43605</v>
      </c>
      <c r="B1683">
        <v>12092</v>
      </c>
      <c r="C1683" s="2" t="s">
        <v>22</v>
      </c>
      <c r="D1683" s="2" t="s">
        <v>23</v>
      </c>
      <c r="E1683" s="2" t="s">
        <v>24</v>
      </c>
      <c r="F1683">
        <v>4033</v>
      </c>
      <c r="G1683" s="2" t="s">
        <v>109</v>
      </c>
      <c r="H1683" s="2" t="s">
        <v>51</v>
      </c>
      <c r="I1683" s="2" t="s">
        <v>73</v>
      </c>
      <c r="J1683" s="2" t="s">
        <v>49</v>
      </c>
      <c r="K1683" s="2" t="s">
        <v>73</v>
      </c>
      <c r="L1683">
        <v>1137.07</v>
      </c>
      <c r="M1683">
        <v>1</v>
      </c>
      <c r="N1683">
        <v>1.1200000000000001</v>
      </c>
      <c r="O1683">
        <v>6100231</v>
      </c>
      <c r="P1683" s="2" t="s">
        <v>50</v>
      </c>
      <c r="Q1683" s="2" t="s">
        <v>51</v>
      </c>
      <c r="R1683" s="2" t="s">
        <v>30</v>
      </c>
      <c r="S1683">
        <v>8</v>
      </c>
      <c r="T1683" s="1">
        <v>43606</v>
      </c>
      <c r="U1683" s="1">
        <v>43607</v>
      </c>
      <c r="V1683" s="2"/>
      <c r="W1683" s="1">
        <f>fNotasFiscais[[#This Row],[Data da Coleta]]+fNotasFiscais[[#This Row],[Prazo Contratado]]</f>
        <v>43614</v>
      </c>
      <c r="X1683" s="3">
        <f>IF(fNotasFiscais[[#This Row],[Data da Entrega]]&gt;fNotasFiscais[[#This Row],[Data Contratada]],0,1)</f>
        <v>1</v>
      </c>
      <c r="Y1683" s="3">
        <f>IF(fNotasFiscais[[#This Row],[Ocorrência]]="",1,0)</f>
        <v>1</v>
      </c>
      <c r="Z1683" s="2">
        <f>fNotasFiscais[[#This Row],[On Time]]*fNotasFiscais[[#This Row],[In Full]]</f>
        <v>1</v>
      </c>
      <c r="AA1683">
        <f>IF(fNotasFiscais[[#This Row],[Nota Fiscal]]&lt;&gt;"",1,0)</f>
        <v>1</v>
      </c>
    </row>
    <row r="1684" spans="1:27" x14ac:dyDescent="0.25">
      <c r="A1684" s="1">
        <v>43605</v>
      </c>
      <c r="B1684">
        <v>12093</v>
      </c>
      <c r="C1684" s="2" t="s">
        <v>54</v>
      </c>
      <c r="D1684" s="2" t="s">
        <v>55</v>
      </c>
      <c r="E1684" s="2" t="s">
        <v>56</v>
      </c>
      <c r="F1684">
        <v>4117</v>
      </c>
      <c r="G1684" s="2" t="s">
        <v>200</v>
      </c>
      <c r="H1684" s="2" t="s">
        <v>32</v>
      </c>
      <c r="I1684" s="2" t="s">
        <v>33</v>
      </c>
      <c r="J1684" s="2" t="s">
        <v>60</v>
      </c>
      <c r="K1684" s="2" t="s">
        <v>33</v>
      </c>
      <c r="L1684">
        <v>1183.19</v>
      </c>
      <c r="M1684">
        <v>1</v>
      </c>
      <c r="N1684">
        <v>1.1200000000000001</v>
      </c>
      <c r="O1684">
        <v>6400835</v>
      </c>
      <c r="P1684" s="2" t="s">
        <v>130</v>
      </c>
      <c r="Q1684" s="2" t="s">
        <v>131</v>
      </c>
      <c r="R1684" s="2" t="s">
        <v>30</v>
      </c>
      <c r="S1684">
        <v>6</v>
      </c>
      <c r="T1684" s="1">
        <v>43606</v>
      </c>
      <c r="U1684" s="1">
        <v>43608</v>
      </c>
      <c r="V1684" s="2"/>
      <c r="W1684" s="1">
        <f>fNotasFiscais[[#This Row],[Data da Coleta]]+fNotasFiscais[[#This Row],[Prazo Contratado]]</f>
        <v>43612</v>
      </c>
      <c r="X1684" s="3">
        <f>IF(fNotasFiscais[[#This Row],[Data da Entrega]]&gt;fNotasFiscais[[#This Row],[Data Contratada]],0,1)</f>
        <v>1</v>
      </c>
      <c r="Y1684" s="3">
        <f>IF(fNotasFiscais[[#This Row],[Ocorrência]]="",1,0)</f>
        <v>1</v>
      </c>
      <c r="Z1684" s="2">
        <f>fNotasFiscais[[#This Row],[On Time]]*fNotasFiscais[[#This Row],[In Full]]</f>
        <v>1</v>
      </c>
      <c r="AA1684">
        <f>IF(fNotasFiscais[[#This Row],[Nota Fiscal]]&lt;&gt;"",1,0)</f>
        <v>1</v>
      </c>
    </row>
    <row r="1685" spans="1:27" x14ac:dyDescent="0.25">
      <c r="A1685" s="1">
        <v>43605</v>
      </c>
      <c r="B1685">
        <v>12094</v>
      </c>
      <c r="C1685" s="2" t="s">
        <v>34</v>
      </c>
      <c r="D1685" s="2" t="s">
        <v>35</v>
      </c>
      <c r="E1685" s="2" t="s">
        <v>36</v>
      </c>
      <c r="F1685">
        <v>4041</v>
      </c>
      <c r="G1685" s="2" t="s">
        <v>83</v>
      </c>
      <c r="H1685" s="2" t="s">
        <v>51</v>
      </c>
      <c r="I1685" s="2" t="s">
        <v>73</v>
      </c>
      <c r="J1685" s="2" t="s">
        <v>49</v>
      </c>
      <c r="K1685" s="2" t="s">
        <v>73</v>
      </c>
      <c r="L1685">
        <v>1419.73</v>
      </c>
      <c r="M1685">
        <v>4</v>
      </c>
      <c r="N1685">
        <v>15.635</v>
      </c>
      <c r="O1685">
        <v>6100231</v>
      </c>
      <c r="P1685" s="2" t="s">
        <v>50</v>
      </c>
      <c r="Q1685" s="2" t="s">
        <v>51</v>
      </c>
      <c r="R1685" s="2" t="s">
        <v>30</v>
      </c>
      <c r="S1685">
        <v>4</v>
      </c>
      <c r="T1685" s="1">
        <v>43606</v>
      </c>
      <c r="U1685" s="1">
        <v>43613</v>
      </c>
      <c r="V1685" s="2"/>
      <c r="W1685" s="1">
        <f>fNotasFiscais[[#This Row],[Data da Coleta]]+fNotasFiscais[[#This Row],[Prazo Contratado]]</f>
        <v>43610</v>
      </c>
      <c r="X1685" s="3">
        <f>IF(fNotasFiscais[[#This Row],[Data da Entrega]]&gt;fNotasFiscais[[#This Row],[Data Contratada]],0,1)</f>
        <v>0</v>
      </c>
      <c r="Y1685" s="3">
        <f>IF(fNotasFiscais[[#This Row],[Ocorrência]]="",1,0)</f>
        <v>1</v>
      </c>
      <c r="Z1685" s="2">
        <f>fNotasFiscais[[#This Row],[On Time]]*fNotasFiscais[[#This Row],[In Full]]</f>
        <v>0</v>
      </c>
      <c r="AA1685">
        <f>IF(fNotasFiscais[[#This Row],[Nota Fiscal]]&lt;&gt;"",1,0)</f>
        <v>1</v>
      </c>
    </row>
    <row r="1686" spans="1:27" x14ac:dyDescent="0.25">
      <c r="A1686" s="1">
        <v>43605</v>
      </c>
      <c r="B1686">
        <v>12095</v>
      </c>
      <c r="C1686" s="2" t="s">
        <v>22</v>
      </c>
      <c r="D1686" s="2" t="s">
        <v>23</v>
      </c>
      <c r="E1686" s="2" t="s">
        <v>24</v>
      </c>
      <c r="F1686">
        <v>4165</v>
      </c>
      <c r="G1686" s="2" t="s">
        <v>248</v>
      </c>
      <c r="H1686" s="2" t="s">
        <v>167</v>
      </c>
      <c r="I1686" s="2" t="s">
        <v>168</v>
      </c>
      <c r="J1686" s="2" t="s">
        <v>169</v>
      </c>
      <c r="K1686" s="2" t="s">
        <v>168</v>
      </c>
      <c r="L1686">
        <v>1555.99</v>
      </c>
      <c r="M1686">
        <v>1</v>
      </c>
      <c r="N1686">
        <v>1.1200000000000001</v>
      </c>
      <c r="O1686">
        <v>6900304</v>
      </c>
      <c r="P1686" s="2" t="s">
        <v>170</v>
      </c>
      <c r="Q1686" s="2" t="s">
        <v>171</v>
      </c>
      <c r="R1686" s="2" t="s">
        <v>30</v>
      </c>
      <c r="S1686">
        <v>1</v>
      </c>
      <c r="T1686" s="1">
        <v>43606</v>
      </c>
      <c r="U1686" s="1">
        <v>43607</v>
      </c>
      <c r="V1686" s="2"/>
      <c r="W1686" s="1">
        <f>fNotasFiscais[[#This Row],[Data da Coleta]]+fNotasFiscais[[#This Row],[Prazo Contratado]]</f>
        <v>43607</v>
      </c>
      <c r="X1686" s="3">
        <f>IF(fNotasFiscais[[#This Row],[Data da Entrega]]&gt;fNotasFiscais[[#This Row],[Data Contratada]],0,1)</f>
        <v>1</v>
      </c>
      <c r="Y1686" s="3">
        <f>IF(fNotasFiscais[[#This Row],[Ocorrência]]="",1,0)</f>
        <v>1</v>
      </c>
      <c r="Z1686" s="2">
        <f>fNotasFiscais[[#This Row],[On Time]]*fNotasFiscais[[#This Row],[In Full]]</f>
        <v>1</v>
      </c>
      <c r="AA1686">
        <f>IF(fNotasFiscais[[#This Row],[Nota Fiscal]]&lt;&gt;"",1,0)</f>
        <v>1</v>
      </c>
    </row>
    <row r="1687" spans="1:27" x14ac:dyDescent="0.25">
      <c r="A1687" s="1">
        <v>43605</v>
      </c>
      <c r="B1687">
        <v>12096</v>
      </c>
      <c r="C1687" s="2" t="s">
        <v>34</v>
      </c>
      <c r="D1687" s="2" t="s">
        <v>35</v>
      </c>
      <c r="E1687" s="2" t="s">
        <v>36</v>
      </c>
      <c r="F1687">
        <v>4084</v>
      </c>
      <c r="G1687" s="2" t="s">
        <v>155</v>
      </c>
      <c r="H1687" s="2" t="s">
        <v>149</v>
      </c>
      <c r="I1687" s="2" t="s">
        <v>33</v>
      </c>
      <c r="J1687" s="2" t="s">
        <v>60</v>
      </c>
      <c r="K1687" s="2" t="s">
        <v>33</v>
      </c>
      <c r="L1687">
        <v>6093.22</v>
      </c>
      <c r="M1687">
        <v>7</v>
      </c>
      <c r="N1687">
        <v>30.791</v>
      </c>
      <c r="O1687">
        <v>6400835</v>
      </c>
      <c r="P1687" s="2" t="s">
        <v>130</v>
      </c>
      <c r="Q1687" s="2" t="s">
        <v>131</v>
      </c>
      <c r="R1687" s="2" t="s">
        <v>30</v>
      </c>
      <c r="S1687">
        <v>11</v>
      </c>
      <c r="T1687" s="1">
        <v>43606</v>
      </c>
      <c r="U1687" s="1">
        <v>43609</v>
      </c>
      <c r="V1687" s="2"/>
      <c r="W1687" s="1">
        <f>fNotasFiscais[[#This Row],[Data da Coleta]]+fNotasFiscais[[#This Row],[Prazo Contratado]]</f>
        <v>43617</v>
      </c>
      <c r="X1687" s="3">
        <f>IF(fNotasFiscais[[#This Row],[Data da Entrega]]&gt;fNotasFiscais[[#This Row],[Data Contratada]],0,1)</f>
        <v>1</v>
      </c>
      <c r="Y1687" s="3">
        <f>IF(fNotasFiscais[[#This Row],[Ocorrência]]="",1,0)</f>
        <v>1</v>
      </c>
      <c r="Z1687" s="2">
        <f>fNotasFiscais[[#This Row],[On Time]]*fNotasFiscais[[#This Row],[In Full]]</f>
        <v>1</v>
      </c>
      <c r="AA1687">
        <f>IF(fNotasFiscais[[#This Row],[Nota Fiscal]]&lt;&gt;"",1,0)</f>
        <v>1</v>
      </c>
    </row>
    <row r="1688" spans="1:27" x14ac:dyDescent="0.25">
      <c r="A1688" s="1">
        <v>43605</v>
      </c>
      <c r="B1688">
        <v>12097</v>
      </c>
      <c r="C1688" s="2" t="s">
        <v>40</v>
      </c>
      <c r="D1688" s="2" t="s">
        <v>41</v>
      </c>
      <c r="E1688" s="2" t="s">
        <v>33</v>
      </c>
      <c r="F1688">
        <v>4155</v>
      </c>
      <c r="G1688" s="2" t="s">
        <v>238</v>
      </c>
      <c r="H1688" s="2" t="s">
        <v>32</v>
      </c>
      <c r="I1688" s="2" t="s">
        <v>33</v>
      </c>
      <c r="J1688" s="2" t="s">
        <v>60</v>
      </c>
      <c r="K1688" s="2" t="s">
        <v>33</v>
      </c>
      <c r="L1688">
        <v>296.49</v>
      </c>
      <c r="M1688">
        <v>1</v>
      </c>
      <c r="N1688">
        <v>1.1200000000000001</v>
      </c>
      <c r="O1688">
        <v>6400835</v>
      </c>
      <c r="P1688" s="2" t="s">
        <v>130</v>
      </c>
      <c r="Q1688" s="2" t="s">
        <v>131</v>
      </c>
      <c r="R1688" s="2" t="s">
        <v>30</v>
      </c>
      <c r="S1688">
        <v>4</v>
      </c>
      <c r="T1688" s="1">
        <v>43606</v>
      </c>
      <c r="U1688" s="1">
        <v>43615</v>
      </c>
      <c r="V1688" s="2"/>
      <c r="W1688" s="1">
        <f>fNotasFiscais[[#This Row],[Data da Coleta]]+fNotasFiscais[[#This Row],[Prazo Contratado]]</f>
        <v>43610</v>
      </c>
      <c r="X1688" s="3">
        <f>IF(fNotasFiscais[[#This Row],[Data da Entrega]]&gt;fNotasFiscais[[#This Row],[Data Contratada]],0,1)</f>
        <v>0</v>
      </c>
      <c r="Y1688" s="3">
        <f>IF(fNotasFiscais[[#This Row],[Ocorrência]]="",1,0)</f>
        <v>1</v>
      </c>
      <c r="Z1688" s="2">
        <f>fNotasFiscais[[#This Row],[On Time]]*fNotasFiscais[[#This Row],[In Full]]</f>
        <v>0</v>
      </c>
      <c r="AA1688">
        <f>IF(fNotasFiscais[[#This Row],[Nota Fiscal]]&lt;&gt;"",1,0)</f>
        <v>1</v>
      </c>
    </row>
    <row r="1689" spans="1:27" x14ac:dyDescent="0.25">
      <c r="A1689" s="1">
        <v>43605</v>
      </c>
      <c r="B1689">
        <v>12098</v>
      </c>
      <c r="C1689" s="2" t="s">
        <v>52</v>
      </c>
      <c r="D1689" s="2" t="s">
        <v>53</v>
      </c>
      <c r="E1689" s="2" t="s">
        <v>33</v>
      </c>
      <c r="F1689">
        <v>4033</v>
      </c>
      <c r="G1689" s="2" t="s">
        <v>109</v>
      </c>
      <c r="H1689" s="2" t="s">
        <v>51</v>
      </c>
      <c r="I1689" s="2" t="s">
        <v>73</v>
      </c>
      <c r="J1689" s="2" t="s">
        <v>49</v>
      </c>
      <c r="K1689" s="2" t="s">
        <v>73</v>
      </c>
      <c r="L1689">
        <v>6576.72</v>
      </c>
      <c r="M1689">
        <v>8</v>
      </c>
      <c r="N1689">
        <v>52.661000000000001</v>
      </c>
      <c r="O1689">
        <v>6100231</v>
      </c>
      <c r="P1689" s="2" t="s">
        <v>50</v>
      </c>
      <c r="Q1689" s="2" t="s">
        <v>51</v>
      </c>
      <c r="R1689" s="2" t="s">
        <v>30</v>
      </c>
      <c r="S1689">
        <v>11</v>
      </c>
      <c r="T1689" s="1">
        <v>43606</v>
      </c>
      <c r="U1689" s="1">
        <v>43616</v>
      </c>
      <c r="V1689" s="2"/>
      <c r="W1689" s="1">
        <f>fNotasFiscais[[#This Row],[Data da Coleta]]+fNotasFiscais[[#This Row],[Prazo Contratado]]</f>
        <v>43617</v>
      </c>
      <c r="X1689" s="3">
        <f>IF(fNotasFiscais[[#This Row],[Data da Entrega]]&gt;fNotasFiscais[[#This Row],[Data Contratada]],0,1)</f>
        <v>1</v>
      </c>
      <c r="Y1689" s="3">
        <f>IF(fNotasFiscais[[#This Row],[Ocorrência]]="",1,0)</f>
        <v>1</v>
      </c>
      <c r="Z1689" s="2">
        <f>fNotasFiscais[[#This Row],[On Time]]*fNotasFiscais[[#This Row],[In Full]]</f>
        <v>1</v>
      </c>
      <c r="AA1689">
        <f>IF(fNotasFiscais[[#This Row],[Nota Fiscal]]&lt;&gt;"",1,0)</f>
        <v>1</v>
      </c>
    </row>
    <row r="1690" spans="1:27" x14ac:dyDescent="0.25">
      <c r="A1690" s="1">
        <v>43606</v>
      </c>
      <c r="B1690">
        <v>12099</v>
      </c>
      <c r="C1690" s="2" t="s">
        <v>43</v>
      </c>
      <c r="D1690" s="2" t="s">
        <v>44</v>
      </c>
      <c r="E1690" s="2" t="s">
        <v>45</v>
      </c>
      <c r="F1690">
        <v>4093</v>
      </c>
      <c r="G1690" s="2" t="s">
        <v>166</v>
      </c>
      <c r="H1690" s="2" t="s">
        <v>167</v>
      </c>
      <c r="I1690" s="2" t="s">
        <v>168</v>
      </c>
      <c r="J1690" s="2" t="s">
        <v>169</v>
      </c>
      <c r="K1690" s="2" t="s">
        <v>168</v>
      </c>
      <c r="L1690">
        <v>728.49</v>
      </c>
      <c r="M1690">
        <v>1</v>
      </c>
      <c r="N1690">
        <v>1.1200000000000001</v>
      </c>
      <c r="O1690">
        <v>6900304</v>
      </c>
      <c r="P1690" s="2" t="s">
        <v>170</v>
      </c>
      <c r="Q1690" s="2" t="s">
        <v>171</v>
      </c>
      <c r="R1690" s="2" t="s">
        <v>30</v>
      </c>
      <c r="S1690">
        <v>11</v>
      </c>
      <c r="T1690" s="1">
        <v>43607</v>
      </c>
      <c r="U1690" s="1">
        <v>43609</v>
      </c>
      <c r="V1690" s="2"/>
      <c r="W1690" s="1">
        <f>fNotasFiscais[[#This Row],[Data da Coleta]]+fNotasFiscais[[#This Row],[Prazo Contratado]]</f>
        <v>43618</v>
      </c>
      <c r="X1690" s="3">
        <f>IF(fNotasFiscais[[#This Row],[Data da Entrega]]&gt;fNotasFiscais[[#This Row],[Data Contratada]],0,1)</f>
        <v>1</v>
      </c>
      <c r="Y1690" s="3">
        <f>IF(fNotasFiscais[[#This Row],[Ocorrência]]="",1,0)</f>
        <v>1</v>
      </c>
      <c r="Z1690" s="2">
        <f>fNotasFiscais[[#This Row],[On Time]]*fNotasFiscais[[#This Row],[In Full]]</f>
        <v>1</v>
      </c>
      <c r="AA1690">
        <f>IF(fNotasFiscais[[#This Row],[Nota Fiscal]]&lt;&gt;"",1,0)</f>
        <v>1</v>
      </c>
    </row>
    <row r="1691" spans="1:27" x14ac:dyDescent="0.25">
      <c r="A1691" s="1">
        <v>43606</v>
      </c>
      <c r="B1691">
        <v>12100</v>
      </c>
      <c r="C1691" s="2" t="s">
        <v>31</v>
      </c>
      <c r="D1691" s="2" t="s">
        <v>32</v>
      </c>
      <c r="E1691" s="2" t="s">
        <v>33</v>
      </c>
      <c r="F1691">
        <v>4166</v>
      </c>
      <c r="G1691" s="2" t="s">
        <v>249</v>
      </c>
      <c r="H1691" s="2" t="s">
        <v>173</v>
      </c>
      <c r="I1691" s="2" t="s">
        <v>174</v>
      </c>
      <c r="J1691" s="2" t="s">
        <v>175</v>
      </c>
      <c r="K1691" s="2" t="s">
        <v>174</v>
      </c>
      <c r="L1691">
        <v>4311.18</v>
      </c>
      <c r="M1691">
        <v>9</v>
      </c>
      <c r="N1691">
        <v>23.981000000000002</v>
      </c>
      <c r="O1691">
        <v>6700091</v>
      </c>
      <c r="P1691" s="2" t="s">
        <v>176</v>
      </c>
      <c r="Q1691" s="2" t="s">
        <v>173</v>
      </c>
      <c r="R1691" s="2" t="s">
        <v>30</v>
      </c>
      <c r="S1691">
        <v>10</v>
      </c>
      <c r="T1691" s="1">
        <v>43607</v>
      </c>
      <c r="U1691" s="1">
        <v>43612</v>
      </c>
      <c r="V1691" s="2"/>
      <c r="W1691" s="1">
        <f>fNotasFiscais[[#This Row],[Data da Coleta]]+fNotasFiscais[[#This Row],[Prazo Contratado]]</f>
        <v>43617</v>
      </c>
      <c r="X1691" s="3">
        <f>IF(fNotasFiscais[[#This Row],[Data da Entrega]]&gt;fNotasFiscais[[#This Row],[Data Contratada]],0,1)</f>
        <v>1</v>
      </c>
      <c r="Y1691" s="3">
        <f>IF(fNotasFiscais[[#This Row],[Ocorrência]]="",1,0)</f>
        <v>1</v>
      </c>
      <c r="Z1691" s="2">
        <f>fNotasFiscais[[#This Row],[On Time]]*fNotasFiscais[[#This Row],[In Full]]</f>
        <v>1</v>
      </c>
      <c r="AA1691">
        <f>IF(fNotasFiscais[[#This Row],[Nota Fiscal]]&lt;&gt;"",1,0)</f>
        <v>1</v>
      </c>
    </row>
    <row r="1692" spans="1:27" x14ac:dyDescent="0.25">
      <c r="A1692" s="1">
        <v>43606</v>
      </c>
      <c r="B1692">
        <v>12101</v>
      </c>
      <c r="C1692" s="2" t="s">
        <v>40</v>
      </c>
      <c r="D1692" s="2" t="s">
        <v>41</v>
      </c>
      <c r="E1692" s="2" t="s">
        <v>33</v>
      </c>
      <c r="F1692">
        <v>4167</v>
      </c>
      <c r="G1692" s="2" t="s">
        <v>250</v>
      </c>
      <c r="H1692" s="2" t="s">
        <v>183</v>
      </c>
      <c r="I1692" s="2" t="s">
        <v>33</v>
      </c>
      <c r="J1692" s="2" t="s">
        <v>60</v>
      </c>
      <c r="K1692" s="2" t="s">
        <v>33</v>
      </c>
      <c r="L1692">
        <v>1007.98</v>
      </c>
      <c r="M1692">
        <v>1</v>
      </c>
      <c r="N1692">
        <v>1.1200000000000001</v>
      </c>
      <c r="O1692">
        <v>6400835</v>
      </c>
      <c r="P1692" s="2" t="s">
        <v>130</v>
      </c>
      <c r="Q1692" s="2" t="s">
        <v>131</v>
      </c>
      <c r="R1692" s="2" t="s">
        <v>30</v>
      </c>
      <c r="S1692">
        <v>5</v>
      </c>
      <c r="T1692" s="1">
        <v>43607</v>
      </c>
      <c r="U1692" s="1">
        <v>43611</v>
      </c>
      <c r="V1692" s="2"/>
      <c r="W1692" s="1">
        <f>fNotasFiscais[[#This Row],[Data da Coleta]]+fNotasFiscais[[#This Row],[Prazo Contratado]]</f>
        <v>43612</v>
      </c>
      <c r="X1692" s="3">
        <f>IF(fNotasFiscais[[#This Row],[Data da Entrega]]&gt;fNotasFiscais[[#This Row],[Data Contratada]],0,1)</f>
        <v>1</v>
      </c>
      <c r="Y1692" s="3">
        <f>IF(fNotasFiscais[[#This Row],[Ocorrência]]="",1,0)</f>
        <v>1</v>
      </c>
      <c r="Z1692" s="2">
        <f>fNotasFiscais[[#This Row],[On Time]]*fNotasFiscais[[#This Row],[In Full]]</f>
        <v>1</v>
      </c>
      <c r="AA1692">
        <f>IF(fNotasFiscais[[#This Row],[Nota Fiscal]]&lt;&gt;"",1,0)</f>
        <v>1</v>
      </c>
    </row>
    <row r="1693" spans="1:27" x14ac:dyDescent="0.25">
      <c r="A1693" s="1">
        <v>43606</v>
      </c>
      <c r="B1693">
        <v>12102</v>
      </c>
      <c r="C1693" s="2" t="s">
        <v>52</v>
      </c>
      <c r="D1693" s="2" t="s">
        <v>53</v>
      </c>
      <c r="E1693" s="2" t="s">
        <v>33</v>
      </c>
      <c r="F1693">
        <v>4113</v>
      </c>
      <c r="G1693" s="2" t="s">
        <v>196</v>
      </c>
      <c r="H1693" s="2" t="s">
        <v>44</v>
      </c>
      <c r="I1693" s="2" t="s">
        <v>45</v>
      </c>
      <c r="J1693" s="2" t="s">
        <v>60</v>
      </c>
      <c r="K1693" s="2" t="s">
        <v>45</v>
      </c>
      <c r="L1693">
        <v>444.43</v>
      </c>
      <c r="M1693">
        <v>2</v>
      </c>
      <c r="N1693">
        <v>1.5409999999999999</v>
      </c>
      <c r="O1693">
        <v>6140092</v>
      </c>
      <c r="P1693" s="2" t="s">
        <v>137</v>
      </c>
      <c r="Q1693" s="2" t="s">
        <v>138</v>
      </c>
      <c r="R1693" s="2" t="s">
        <v>30</v>
      </c>
      <c r="S1693">
        <v>10</v>
      </c>
      <c r="T1693" s="1">
        <v>43607</v>
      </c>
      <c r="U1693" s="1">
        <v>43616</v>
      </c>
      <c r="V1693" s="2"/>
      <c r="W1693" s="1">
        <f>fNotasFiscais[[#This Row],[Data da Coleta]]+fNotasFiscais[[#This Row],[Prazo Contratado]]</f>
        <v>43617</v>
      </c>
      <c r="X1693" s="3">
        <f>IF(fNotasFiscais[[#This Row],[Data da Entrega]]&gt;fNotasFiscais[[#This Row],[Data Contratada]],0,1)</f>
        <v>1</v>
      </c>
      <c r="Y1693" s="3">
        <f>IF(fNotasFiscais[[#This Row],[Ocorrência]]="",1,0)</f>
        <v>1</v>
      </c>
      <c r="Z1693" s="2">
        <f>fNotasFiscais[[#This Row],[On Time]]*fNotasFiscais[[#This Row],[In Full]]</f>
        <v>1</v>
      </c>
      <c r="AA1693">
        <f>IF(fNotasFiscais[[#This Row],[Nota Fiscal]]&lt;&gt;"",1,0)</f>
        <v>1</v>
      </c>
    </row>
    <row r="1694" spans="1:27" x14ac:dyDescent="0.25">
      <c r="A1694" s="1">
        <v>43606</v>
      </c>
      <c r="B1694">
        <v>12103</v>
      </c>
      <c r="C1694" s="2" t="s">
        <v>22</v>
      </c>
      <c r="D1694" s="2" t="s">
        <v>23</v>
      </c>
      <c r="E1694" s="2" t="s">
        <v>24</v>
      </c>
      <c r="F1694">
        <v>4113</v>
      </c>
      <c r="G1694" s="2" t="s">
        <v>196</v>
      </c>
      <c r="H1694" s="2" t="s">
        <v>44</v>
      </c>
      <c r="I1694" s="2" t="s">
        <v>45</v>
      </c>
      <c r="J1694" s="2" t="s">
        <v>60</v>
      </c>
      <c r="K1694" s="2" t="s">
        <v>45</v>
      </c>
      <c r="L1694">
        <v>835.68</v>
      </c>
      <c r="M1694">
        <v>1</v>
      </c>
      <c r="N1694">
        <v>1.1200000000000001</v>
      </c>
      <c r="O1694">
        <v>6140092</v>
      </c>
      <c r="P1694" s="2" t="s">
        <v>137</v>
      </c>
      <c r="Q1694" s="2" t="s">
        <v>138</v>
      </c>
      <c r="R1694" s="2" t="s">
        <v>30</v>
      </c>
      <c r="S1694">
        <v>2</v>
      </c>
      <c r="T1694" s="1">
        <v>43607</v>
      </c>
      <c r="U1694" s="1">
        <v>43612</v>
      </c>
      <c r="V1694" s="2"/>
      <c r="W1694" s="1">
        <f>fNotasFiscais[[#This Row],[Data da Coleta]]+fNotasFiscais[[#This Row],[Prazo Contratado]]</f>
        <v>43609</v>
      </c>
      <c r="X1694" s="3">
        <f>IF(fNotasFiscais[[#This Row],[Data da Entrega]]&gt;fNotasFiscais[[#This Row],[Data Contratada]],0,1)</f>
        <v>0</v>
      </c>
      <c r="Y1694" s="3">
        <f>IF(fNotasFiscais[[#This Row],[Ocorrência]]="",1,0)</f>
        <v>1</v>
      </c>
      <c r="Z1694" s="2">
        <f>fNotasFiscais[[#This Row],[On Time]]*fNotasFiscais[[#This Row],[In Full]]</f>
        <v>0</v>
      </c>
      <c r="AA1694">
        <f>IF(fNotasFiscais[[#This Row],[Nota Fiscal]]&lt;&gt;"",1,0)</f>
        <v>1</v>
      </c>
    </row>
    <row r="1695" spans="1:27" x14ac:dyDescent="0.25">
      <c r="A1695" s="1">
        <v>43606</v>
      </c>
      <c r="B1695">
        <v>12104</v>
      </c>
      <c r="C1695" s="2" t="s">
        <v>31</v>
      </c>
      <c r="D1695" s="2" t="s">
        <v>32</v>
      </c>
      <c r="E1695" s="2" t="s">
        <v>33</v>
      </c>
      <c r="F1695">
        <v>4041</v>
      </c>
      <c r="G1695" s="2" t="s">
        <v>83</v>
      </c>
      <c r="H1695" s="2" t="s">
        <v>51</v>
      </c>
      <c r="I1695" s="2" t="s">
        <v>73</v>
      </c>
      <c r="J1695" s="2" t="s">
        <v>49</v>
      </c>
      <c r="K1695" s="2" t="s">
        <v>73</v>
      </c>
      <c r="L1695">
        <v>1206.77</v>
      </c>
      <c r="M1695">
        <v>5</v>
      </c>
      <c r="N1695">
        <v>7.8230000000000004</v>
      </c>
      <c r="O1695">
        <v>6100231</v>
      </c>
      <c r="P1695" s="2" t="s">
        <v>50</v>
      </c>
      <c r="Q1695" s="2" t="s">
        <v>51</v>
      </c>
      <c r="R1695" s="2" t="s">
        <v>30</v>
      </c>
      <c r="S1695">
        <v>12</v>
      </c>
      <c r="T1695" s="1">
        <v>43607</v>
      </c>
      <c r="U1695" s="1">
        <v>43617</v>
      </c>
      <c r="V1695" s="2"/>
      <c r="W1695" s="1">
        <f>fNotasFiscais[[#This Row],[Data da Coleta]]+fNotasFiscais[[#This Row],[Prazo Contratado]]</f>
        <v>43619</v>
      </c>
      <c r="X1695" s="3">
        <f>IF(fNotasFiscais[[#This Row],[Data da Entrega]]&gt;fNotasFiscais[[#This Row],[Data Contratada]],0,1)</f>
        <v>1</v>
      </c>
      <c r="Y1695" s="3">
        <f>IF(fNotasFiscais[[#This Row],[Ocorrência]]="",1,0)</f>
        <v>1</v>
      </c>
      <c r="Z1695" s="2">
        <f>fNotasFiscais[[#This Row],[On Time]]*fNotasFiscais[[#This Row],[In Full]]</f>
        <v>1</v>
      </c>
      <c r="AA1695">
        <f>IF(fNotasFiscais[[#This Row],[Nota Fiscal]]&lt;&gt;"",1,0)</f>
        <v>1</v>
      </c>
    </row>
    <row r="1696" spans="1:27" x14ac:dyDescent="0.25">
      <c r="A1696" s="1">
        <v>43606</v>
      </c>
      <c r="B1696">
        <v>12105</v>
      </c>
      <c r="C1696" s="2" t="s">
        <v>40</v>
      </c>
      <c r="D1696" s="2" t="s">
        <v>41</v>
      </c>
      <c r="E1696" s="2" t="s">
        <v>33</v>
      </c>
      <c r="F1696">
        <v>4041</v>
      </c>
      <c r="G1696" s="2" t="s">
        <v>83</v>
      </c>
      <c r="H1696" s="2" t="s">
        <v>51</v>
      </c>
      <c r="I1696" s="2" t="s">
        <v>73</v>
      </c>
      <c r="J1696" s="2" t="s">
        <v>49</v>
      </c>
      <c r="K1696" s="2" t="s">
        <v>73</v>
      </c>
      <c r="L1696">
        <v>1857.56</v>
      </c>
      <c r="M1696">
        <v>1</v>
      </c>
      <c r="N1696">
        <v>1.1200000000000001</v>
      </c>
      <c r="O1696">
        <v>6100231</v>
      </c>
      <c r="P1696" s="2" t="s">
        <v>50</v>
      </c>
      <c r="Q1696" s="2" t="s">
        <v>51</v>
      </c>
      <c r="R1696" s="2" t="s">
        <v>30</v>
      </c>
      <c r="S1696">
        <v>4</v>
      </c>
      <c r="T1696" s="1">
        <v>43607</v>
      </c>
      <c r="U1696" s="1">
        <v>43610</v>
      </c>
      <c r="V1696" s="2"/>
      <c r="W1696" s="1">
        <f>fNotasFiscais[[#This Row],[Data da Coleta]]+fNotasFiscais[[#This Row],[Prazo Contratado]]</f>
        <v>43611</v>
      </c>
      <c r="X1696" s="3">
        <f>IF(fNotasFiscais[[#This Row],[Data da Entrega]]&gt;fNotasFiscais[[#This Row],[Data Contratada]],0,1)</f>
        <v>1</v>
      </c>
      <c r="Y1696" s="3">
        <f>IF(fNotasFiscais[[#This Row],[Ocorrência]]="",1,0)</f>
        <v>1</v>
      </c>
      <c r="Z1696" s="2">
        <f>fNotasFiscais[[#This Row],[On Time]]*fNotasFiscais[[#This Row],[In Full]]</f>
        <v>1</v>
      </c>
      <c r="AA1696">
        <f>IF(fNotasFiscais[[#This Row],[Nota Fiscal]]&lt;&gt;"",1,0)</f>
        <v>1</v>
      </c>
    </row>
    <row r="1697" spans="1:27" x14ac:dyDescent="0.25">
      <c r="A1697" s="1">
        <v>43606</v>
      </c>
      <c r="B1697">
        <v>12106</v>
      </c>
      <c r="C1697" s="2" t="s">
        <v>52</v>
      </c>
      <c r="D1697" s="2" t="s">
        <v>53</v>
      </c>
      <c r="E1697" s="2" t="s">
        <v>33</v>
      </c>
      <c r="F1697">
        <v>4041</v>
      </c>
      <c r="G1697" s="2" t="s">
        <v>83</v>
      </c>
      <c r="H1697" s="2" t="s">
        <v>51</v>
      </c>
      <c r="I1697" s="2" t="s">
        <v>73</v>
      </c>
      <c r="J1697" s="2" t="s">
        <v>49</v>
      </c>
      <c r="K1697" s="2" t="s">
        <v>73</v>
      </c>
      <c r="L1697">
        <v>2805.62</v>
      </c>
      <c r="M1697">
        <v>8</v>
      </c>
      <c r="N1697">
        <v>96.8</v>
      </c>
      <c r="O1697">
        <v>6100231</v>
      </c>
      <c r="P1697" s="2" t="s">
        <v>50</v>
      </c>
      <c r="Q1697" s="2" t="s">
        <v>51</v>
      </c>
      <c r="R1697" s="2" t="s">
        <v>30</v>
      </c>
      <c r="S1697">
        <v>4</v>
      </c>
      <c r="T1697" s="1">
        <v>43607</v>
      </c>
      <c r="U1697" s="1">
        <v>43613</v>
      </c>
      <c r="V1697" s="2"/>
      <c r="W1697" s="1">
        <f>fNotasFiscais[[#This Row],[Data da Coleta]]+fNotasFiscais[[#This Row],[Prazo Contratado]]</f>
        <v>43611</v>
      </c>
      <c r="X1697" s="3">
        <f>IF(fNotasFiscais[[#This Row],[Data da Entrega]]&gt;fNotasFiscais[[#This Row],[Data Contratada]],0,1)</f>
        <v>0</v>
      </c>
      <c r="Y1697" s="3">
        <f>IF(fNotasFiscais[[#This Row],[Ocorrência]]="",1,0)</f>
        <v>1</v>
      </c>
      <c r="Z1697" s="2">
        <f>fNotasFiscais[[#This Row],[On Time]]*fNotasFiscais[[#This Row],[In Full]]</f>
        <v>0</v>
      </c>
      <c r="AA1697">
        <f>IF(fNotasFiscais[[#This Row],[Nota Fiscal]]&lt;&gt;"",1,0)</f>
        <v>1</v>
      </c>
    </row>
    <row r="1698" spans="1:27" x14ac:dyDescent="0.25">
      <c r="A1698" s="1">
        <v>43606</v>
      </c>
      <c r="B1698">
        <v>12107</v>
      </c>
      <c r="C1698" s="2" t="s">
        <v>22</v>
      </c>
      <c r="D1698" s="2" t="s">
        <v>23</v>
      </c>
      <c r="E1698" s="2" t="s">
        <v>24</v>
      </c>
      <c r="F1698">
        <v>4041</v>
      </c>
      <c r="G1698" s="2" t="s">
        <v>83</v>
      </c>
      <c r="H1698" s="2" t="s">
        <v>51</v>
      </c>
      <c r="I1698" s="2" t="s">
        <v>73</v>
      </c>
      <c r="J1698" s="2" t="s">
        <v>49</v>
      </c>
      <c r="K1698" s="2" t="s">
        <v>73</v>
      </c>
      <c r="L1698">
        <v>8046.04</v>
      </c>
      <c r="M1698">
        <v>11</v>
      </c>
      <c r="N1698">
        <v>59.292000000000002</v>
      </c>
      <c r="O1698">
        <v>6100231</v>
      </c>
      <c r="P1698" s="2" t="s">
        <v>50</v>
      </c>
      <c r="Q1698" s="2" t="s">
        <v>51</v>
      </c>
      <c r="R1698" s="2" t="s">
        <v>30</v>
      </c>
      <c r="S1698">
        <v>5</v>
      </c>
      <c r="T1698" s="1">
        <v>43607</v>
      </c>
      <c r="U1698" s="1">
        <v>43608</v>
      </c>
      <c r="V1698" s="2"/>
      <c r="W1698" s="1">
        <f>fNotasFiscais[[#This Row],[Data da Coleta]]+fNotasFiscais[[#This Row],[Prazo Contratado]]</f>
        <v>43612</v>
      </c>
      <c r="X1698" s="3">
        <f>IF(fNotasFiscais[[#This Row],[Data da Entrega]]&gt;fNotasFiscais[[#This Row],[Data Contratada]],0,1)</f>
        <v>1</v>
      </c>
      <c r="Y1698" s="3">
        <f>IF(fNotasFiscais[[#This Row],[Ocorrência]]="",1,0)</f>
        <v>1</v>
      </c>
      <c r="Z1698" s="2">
        <f>fNotasFiscais[[#This Row],[On Time]]*fNotasFiscais[[#This Row],[In Full]]</f>
        <v>1</v>
      </c>
      <c r="AA1698">
        <f>IF(fNotasFiscais[[#This Row],[Nota Fiscal]]&lt;&gt;"",1,0)</f>
        <v>1</v>
      </c>
    </row>
    <row r="1699" spans="1:27" x14ac:dyDescent="0.25">
      <c r="A1699" s="1">
        <v>43606</v>
      </c>
      <c r="B1699">
        <v>12108</v>
      </c>
      <c r="C1699" s="2" t="s">
        <v>43</v>
      </c>
      <c r="D1699" s="2" t="s">
        <v>44</v>
      </c>
      <c r="E1699" s="2" t="s">
        <v>45</v>
      </c>
      <c r="F1699">
        <v>4041</v>
      </c>
      <c r="G1699" s="2" t="s">
        <v>83</v>
      </c>
      <c r="H1699" s="2" t="s">
        <v>51</v>
      </c>
      <c r="I1699" s="2" t="s">
        <v>73</v>
      </c>
      <c r="J1699" s="2" t="s">
        <v>49</v>
      </c>
      <c r="K1699" s="2" t="s">
        <v>73</v>
      </c>
      <c r="L1699">
        <v>533.12</v>
      </c>
      <c r="M1699">
        <v>1</v>
      </c>
      <c r="N1699">
        <v>1.1200000000000001</v>
      </c>
      <c r="O1699">
        <v>6100231</v>
      </c>
      <c r="P1699" s="2" t="s">
        <v>50</v>
      </c>
      <c r="Q1699" s="2" t="s">
        <v>51</v>
      </c>
      <c r="R1699" s="2" t="s">
        <v>30</v>
      </c>
      <c r="S1699">
        <v>4</v>
      </c>
      <c r="T1699" s="1">
        <v>43607</v>
      </c>
      <c r="U1699" s="1">
        <v>43610</v>
      </c>
      <c r="V1699" s="2"/>
      <c r="W1699" s="1">
        <f>fNotasFiscais[[#This Row],[Data da Coleta]]+fNotasFiscais[[#This Row],[Prazo Contratado]]</f>
        <v>43611</v>
      </c>
      <c r="X1699" s="3">
        <f>IF(fNotasFiscais[[#This Row],[Data da Entrega]]&gt;fNotasFiscais[[#This Row],[Data Contratada]],0,1)</f>
        <v>1</v>
      </c>
      <c r="Y1699" s="3">
        <f>IF(fNotasFiscais[[#This Row],[Ocorrência]]="",1,0)</f>
        <v>1</v>
      </c>
      <c r="Z1699" s="2">
        <f>fNotasFiscais[[#This Row],[On Time]]*fNotasFiscais[[#This Row],[In Full]]</f>
        <v>1</v>
      </c>
      <c r="AA1699">
        <f>IF(fNotasFiscais[[#This Row],[Nota Fiscal]]&lt;&gt;"",1,0)</f>
        <v>1</v>
      </c>
    </row>
    <row r="1700" spans="1:27" x14ac:dyDescent="0.25">
      <c r="A1700" s="1">
        <v>43607</v>
      </c>
      <c r="B1700">
        <v>12109</v>
      </c>
      <c r="C1700" s="2" t="s">
        <v>54</v>
      </c>
      <c r="D1700" s="2" t="s">
        <v>55</v>
      </c>
      <c r="E1700" s="2" t="s">
        <v>56</v>
      </c>
      <c r="F1700">
        <v>4069</v>
      </c>
      <c r="G1700" s="2" t="s">
        <v>135</v>
      </c>
      <c r="H1700" s="2" t="s">
        <v>47</v>
      </c>
      <c r="I1700" s="2" t="s">
        <v>48</v>
      </c>
      <c r="J1700" s="2" t="s">
        <v>49</v>
      </c>
      <c r="K1700" s="2" t="s">
        <v>48</v>
      </c>
      <c r="L1700">
        <v>221.73</v>
      </c>
      <c r="M1700">
        <v>1</v>
      </c>
      <c r="N1700">
        <v>1.1200000000000001</v>
      </c>
      <c r="O1700">
        <v>6100231</v>
      </c>
      <c r="P1700" s="2" t="s">
        <v>50</v>
      </c>
      <c r="Q1700" s="2" t="s">
        <v>51</v>
      </c>
      <c r="R1700" s="2" t="s">
        <v>62</v>
      </c>
      <c r="S1700">
        <v>4</v>
      </c>
      <c r="T1700" s="1">
        <v>43608</v>
      </c>
      <c r="U1700" s="1">
        <v>43609</v>
      </c>
      <c r="V1700" s="2"/>
      <c r="W1700" s="1">
        <f>fNotasFiscais[[#This Row],[Data da Coleta]]+fNotasFiscais[[#This Row],[Prazo Contratado]]</f>
        <v>43612</v>
      </c>
      <c r="X1700" s="3">
        <f>IF(fNotasFiscais[[#This Row],[Data da Entrega]]&gt;fNotasFiscais[[#This Row],[Data Contratada]],0,1)</f>
        <v>1</v>
      </c>
      <c r="Y1700" s="3">
        <f>IF(fNotasFiscais[[#This Row],[Ocorrência]]="",1,0)</f>
        <v>1</v>
      </c>
      <c r="Z1700" s="2">
        <f>fNotasFiscais[[#This Row],[On Time]]*fNotasFiscais[[#This Row],[In Full]]</f>
        <v>1</v>
      </c>
      <c r="AA1700">
        <f>IF(fNotasFiscais[[#This Row],[Nota Fiscal]]&lt;&gt;"",1,0)</f>
        <v>1</v>
      </c>
    </row>
    <row r="1701" spans="1:27" x14ac:dyDescent="0.25">
      <c r="A1701" s="1">
        <v>43607</v>
      </c>
      <c r="B1701">
        <v>12110</v>
      </c>
      <c r="C1701" s="2" t="s">
        <v>34</v>
      </c>
      <c r="D1701" s="2" t="s">
        <v>35</v>
      </c>
      <c r="E1701" s="2" t="s">
        <v>36</v>
      </c>
      <c r="F1701">
        <v>4128</v>
      </c>
      <c r="G1701" s="2" t="s">
        <v>211</v>
      </c>
      <c r="H1701" s="2" t="s">
        <v>167</v>
      </c>
      <c r="I1701" s="2" t="s">
        <v>168</v>
      </c>
      <c r="J1701" s="2" t="s">
        <v>169</v>
      </c>
      <c r="K1701" s="2" t="s">
        <v>168</v>
      </c>
      <c r="L1701">
        <v>382.65</v>
      </c>
      <c r="M1701">
        <v>1</v>
      </c>
      <c r="N1701">
        <v>0.28399999999999997</v>
      </c>
      <c r="O1701">
        <v>6900304</v>
      </c>
      <c r="P1701" s="2" t="s">
        <v>170</v>
      </c>
      <c r="Q1701" s="2" t="s">
        <v>171</v>
      </c>
      <c r="R1701" s="2" t="s">
        <v>30</v>
      </c>
      <c r="S1701">
        <v>7</v>
      </c>
      <c r="T1701" s="1">
        <v>43608</v>
      </c>
      <c r="U1701" s="1">
        <v>43614</v>
      </c>
      <c r="V1701" s="2"/>
      <c r="W1701" s="1">
        <f>fNotasFiscais[[#This Row],[Data da Coleta]]+fNotasFiscais[[#This Row],[Prazo Contratado]]</f>
        <v>43615</v>
      </c>
      <c r="X1701" s="3">
        <f>IF(fNotasFiscais[[#This Row],[Data da Entrega]]&gt;fNotasFiscais[[#This Row],[Data Contratada]],0,1)</f>
        <v>1</v>
      </c>
      <c r="Y1701" s="3">
        <f>IF(fNotasFiscais[[#This Row],[Ocorrência]]="",1,0)</f>
        <v>1</v>
      </c>
      <c r="Z1701" s="2">
        <f>fNotasFiscais[[#This Row],[On Time]]*fNotasFiscais[[#This Row],[In Full]]</f>
        <v>1</v>
      </c>
      <c r="AA1701">
        <f>IF(fNotasFiscais[[#This Row],[Nota Fiscal]]&lt;&gt;"",1,0)</f>
        <v>1</v>
      </c>
    </row>
    <row r="1702" spans="1:27" x14ac:dyDescent="0.25">
      <c r="A1702" s="1">
        <v>43608</v>
      </c>
      <c r="B1702">
        <v>12111</v>
      </c>
      <c r="C1702" s="2" t="s">
        <v>22</v>
      </c>
      <c r="D1702" s="2" t="s">
        <v>23</v>
      </c>
      <c r="E1702" s="2" t="s">
        <v>24</v>
      </c>
      <c r="F1702">
        <v>4168</v>
      </c>
      <c r="G1702" s="2" t="s">
        <v>251</v>
      </c>
      <c r="H1702" s="2" t="s">
        <v>183</v>
      </c>
      <c r="I1702" s="2" t="s">
        <v>33</v>
      </c>
      <c r="J1702" s="2" t="s">
        <v>60</v>
      </c>
      <c r="K1702" s="2" t="s">
        <v>33</v>
      </c>
      <c r="L1702">
        <v>4253.4799999999996</v>
      </c>
      <c r="M1702">
        <v>7</v>
      </c>
      <c r="N1702">
        <v>34.874000000000002</v>
      </c>
      <c r="O1702">
        <v>6400835</v>
      </c>
      <c r="P1702" s="2" t="s">
        <v>130</v>
      </c>
      <c r="Q1702" s="2" t="s">
        <v>131</v>
      </c>
      <c r="R1702" s="2" t="s">
        <v>30</v>
      </c>
      <c r="S1702">
        <v>4</v>
      </c>
      <c r="T1702" s="1">
        <v>43609</v>
      </c>
      <c r="U1702" s="1">
        <v>43611</v>
      </c>
      <c r="V1702" s="2"/>
      <c r="W1702" s="1">
        <f>fNotasFiscais[[#This Row],[Data da Coleta]]+fNotasFiscais[[#This Row],[Prazo Contratado]]</f>
        <v>43613</v>
      </c>
      <c r="X1702" s="3">
        <f>IF(fNotasFiscais[[#This Row],[Data da Entrega]]&gt;fNotasFiscais[[#This Row],[Data Contratada]],0,1)</f>
        <v>1</v>
      </c>
      <c r="Y1702" s="3">
        <f>IF(fNotasFiscais[[#This Row],[Ocorrência]]="",1,0)</f>
        <v>1</v>
      </c>
      <c r="Z1702" s="2">
        <f>fNotasFiscais[[#This Row],[On Time]]*fNotasFiscais[[#This Row],[In Full]]</f>
        <v>1</v>
      </c>
      <c r="AA1702">
        <f>IF(fNotasFiscais[[#This Row],[Nota Fiscal]]&lt;&gt;"",1,0)</f>
        <v>1</v>
      </c>
    </row>
    <row r="1703" spans="1:27" x14ac:dyDescent="0.25">
      <c r="A1703" s="1">
        <v>43609</v>
      </c>
      <c r="B1703">
        <v>12112</v>
      </c>
      <c r="C1703" s="2" t="s">
        <v>22</v>
      </c>
      <c r="D1703" s="2" t="s">
        <v>23</v>
      </c>
      <c r="E1703" s="2" t="s">
        <v>24</v>
      </c>
      <c r="F1703">
        <v>4133</v>
      </c>
      <c r="G1703" s="2" t="s">
        <v>216</v>
      </c>
      <c r="H1703" s="2" t="s">
        <v>35</v>
      </c>
      <c r="I1703" s="2" t="s">
        <v>36</v>
      </c>
      <c r="J1703" s="2" t="s">
        <v>60</v>
      </c>
      <c r="K1703" s="2" t="s">
        <v>36</v>
      </c>
      <c r="L1703">
        <v>1015.54</v>
      </c>
      <c r="M1703">
        <v>1</v>
      </c>
      <c r="N1703">
        <v>1.1200000000000001</v>
      </c>
      <c r="O1703">
        <v>6600879</v>
      </c>
      <c r="P1703" s="2" t="s">
        <v>61</v>
      </c>
      <c r="Q1703" s="2" t="s">
        <v>35</v>
      </c>
      <c r="R1703" s="2" t="s">
        <v>30</v>
      </c>
      <c r="S1703">
        <v>4</v>
      </c>
      <c r="T1703" s="1">
        <v>43610</v>
      </c>
      <c r="U1703" s="1">
        <v>43618</v>
      </c>
      <c r="V1703" s="2"/>
      <c r="W1703" s="1">
        <f>fNotasFiscais[[#This Row],[Data da Coleta]]+fNotasFiscais[[#This Row],[Prazo Contratado]]</f>
        <v>43614</v>
      </c>
      <c r="X1703" s="3">
        <f>IF(fNotasFiscais[[#This Row],[Data da Entrega]]&gt;fNotasFiscais[[#This Row],[Data Contratada]],0,1)</f>
        <v>0</v>
      </c>
      <c r="Y1703" s="3">
        <f>IF(fNotasFiscais[[#This Row],[Ocorrência]]="",1,0)</f>
        <v>1</v>
      </c>
      <c r="Z1703" s="2">
        <f>fNotasFiscais[[#This Row],[On Time]]*fNotasFiscais[[#This Row],[In Full]]</f>
        <v>0</v>
      </c>
      <c r="AA1703">
        <f>IF(fNotasFiscais[[#This Row],[Nota Fiscal]]&lt;&gt;"",1,0)</f>
        <v>1</v>
      </c>
    </row>
    <row r="1704" spans="1:27" x14ac:dyDescent="0.25">
      <c r="A1704" s="1">
        <v>43609</v>
      </c>
      <c r="B1704">
        <v>12113</v>
      </c>
      <c r="C1704" s="2" t="s">
        <v>40</v>
      </c>
      <c r="D1704" s="2" t="s">
        <v>41</v>
      </c>
      <c r="E1704" s="2" t="s">
        <v>33</v>
      </c>
      <c r="F1704">
        <v>4169</v>
      </c>
      <c r="G1704" s="2" t="s">
        <v>252</v>
      </c>
      <c r="H1704" s="2" t="s">
        <v>173</v>
      </c>
      <c r="I1704" s="2" t="s">
        <v>174</v>
      </c>
      <c r="J1704" s="2" t="s">
        <v>175</v>
      </c>
      <c r="K1704" s="2" t="s">
        <v>174</v>
      </c>
      <c r="L1704">
        <v>270.62</v>
      </c>
      <c r="M1704">
        <v>1</v>
      </c>
      <c r="N1704">
        <v>1.76</v>
      </c>
      <c r="O1704">
        <v>6700091</v>
      </c>
      <c r="P1704" s="2" t="s">
        <v>176</v>
      </c>
      <c r="Q1704" s="2" t="s">
        <v>173</v>
      </c>
      <c r="R1704" s="2" t="s">
        <v>30</v>
      </c>
      <c r="S1704">
        <v>9</v>
      </c>
      <c r="T1704" s="1">
        <v>43610</v>
      </c>
      <c r="U1704" s="1">
        <v>43613</v>
      </c>
      <c r="V1704" s="2"/>
      <c r="W1704" s="1">
        <f>fNotasFiscais[[#This Row],[Data da Coleta]]+fNotasFiscais[[#This Row],[Prazo Contratado]]</f>
        <v>43619</v>
      </c>
      <c r="X1704" s="3">
        <f>IF(fNotasFiscais[[#This Row],[Data da Entrega]]&gt;fNotasFiscais[[#This Row],[Data Contratada]],0,1)</f>
        <v>1</v>
      </c>
      <c r="Y1704" s="3">
        <f>IF(fNotasFiscais[[#This Row],[Ocorrência]]="",1,0)</f>
        <v>1</v>
      </c>
      <c r="Z1704" s="2">
        <f>fNotasFiscais[[#This Row],[On Time]]*fNotasFiscais[[#This Row],[In Full]]</f>
        <v>1</v>
      </c>
      <c r="AA1704">
        <f>IF(fNotasFiscais[[#This Row],[Nota Fiscal]]&lt;&gt;"",1,0)</f>
        <v>1</v>
      </c>
    </row>
    <row r="1705" spans="1:27" x14ac:dyDescent="0.25">
      <c r="A1705" s="1">
        <v>43609</v>
      </c>
      <c r="B1705">
        <v>12114</v>
      </c>
      <c r="C1705" s="2" t="s">
        <v>22</v>
      </c>
      <c r="D1705" s="2" t="s">
        <v>23</v>
      </c>
      <c r="E1705" s="2" t="s">
        <v>24</v>
      </c>
      <c r="F1705">
        <v>4170</v>
      </c>
      <c r="G1705" s="2" t="s">
        <v>253</v>
      </c>
      <c r="H1705" s="2" t="s">
        <v>35</v>
      </c>
      <c r="I1705" s="2" t="s">
        <v>36</v>
      </c>
      <c r="J1705" s="2" t="s">
        <v>60</v>
      </c>
      <c r="K1705" s="2" t="s">
        <v>36</v>
      </c>
      <c r="L1705">
        <v>135.35</v>
      </c>
      <c r="M1705">
        <v>1</v>
      </c>
      <c r="N1705">
        <v>1.2969999999999999</v>
      </c>
      <c r="O1705">
        <v>6600879</v>
      </c>
      <c r="P1705" s="2" t="s">
        <v>61</v>
      </c>
      <c r="Q1705" s="2" t="s">
        <v>35</v>
      </c>
      <c r="R1705" s="2" t="s">
        <v>30</v>
      </c>
      <c r="S1705">
        <v>1</v>
      </c>
      <c r="T1705" s="1">
        <v>43610</v>
      </c>
      <c r="U1705" s="1">
        <v>43619</v>
      </c>
      <c r="V1705" s="2"/>
      <c r="W1705" s="1">
        <f>fNotasFiscais[[#This Row],[Data da Coleta]]+fNotasFiscais[[#This Row],[Prazo Contratado]]</f>
        <v>43611</v>
      </c>
      <c r="X1705" s="3">
        <f>IF(fNotasFiscais[[#This Row],[Data da Entrega]]&gt;fNotasFiscais[[#This Row],[Data Contratada]],0,1)</f>
        <v>0</v>
      </c>
      <c r="Y1705" s="3">
        <f>IF(fNotasFiscais[[#This Row],[Ocorrência]]="",1,0)</f>
        <v>1</v>
      </c>
      <c r="Z1705" s="2">
        <f>fNotasFiscais[[#This Row],[On Time]]*fNotasFiscais[[#This Row],[In Full]]</f>
        <v>0</v>
      </c>
      <c r="AA1705">
        <f>IF(fNotasFiscais[[#This Row],[Nota Fiscal]]&lt;&gt;"",1,0)</f>
        <v>1</v>
      </c>
    </row>
    <row r="1706" spans="1:27" x14ac:dyDescent="0.25">
      <c r="A1706" s="1">
        <v>43609</v>
      </c>
      <c r="B1706">
        <v>12115</v>
      </c>
      <c r="C1706" s="2" t="s">
        <v>43</v>
      </c>
      <c r="D1706" s="2" t="s">
        <v>44</v>
      </c>
      <c r="E1706" s="2" t="s">
        <v>45</v>
      </c>
      <c r="F1706">
        <v>4022</v>
      </c>
      <c r="G1706" s="2" t="s">
        <v>86</v>
      </c>
      <c r="H1706" s="2" t="s">
        <v>87</v>
      </c>
      <c r="I1706" s="2" t="s">
        <v>27</v>
      </c>
      <c r="J1706" s="2" t="s">
        <v>28</v>
      </c>
      <c r="K1706" s="2" t="s">
        <v>27</v>
      </c>
      <c r="L1706">
        <v>1865.31</v>
      </c>
      <c r="M1706">
        <v>2</v>
      </c>
      <c r="N1706">
        <v>18.337</v>
      </c>
      <c r="O1706">
        <v>6500948</v>
      </c>
      <c r="P1706" s="2" t="s">
        <v>29</v>
      </c>
      <c r="Q1706" s="2" t="s">
        <v>23</v>
      </c>
      <c r="R1706" s="2" t="s">
        <v>30</v>
      </c>
      <c r="S1706">
        <v>8</v>
      </c>
      <c r="T1706" s="1">
        <v>43610</v>
      </c>
      <c r="U1706" s="1">
        <v>43612</v>
      </c>
      <c r="V1706" s="2"/>
      <c r="W1706" s="1">
        <f>fNotasFiscais[[#This Row],[Data da Coleta]]+fNotasFiscais[[#This Row],[Prazo Contratado]]</f>
        <v>43618</v>
      </c>
      <c r="X1706" s="3">
        <f>IF(fNotasFiscais[[#This Row],[Data da Entrega]]&gt;fNotasFiscais[[#This Row],[Data Contratada]],0,1)</f>
        <v>1</v>
      </c>
      <c r="Y1706" s="3">
        <f>IF(fNotasFiscais[[#This Row],[Ocorrência]]="",1,0)</f>
        <v>1</v>
      </c>
      <c r="Z1706" s="2">
        <f>fNotasFiscais[[#This Row],[On Time]]*fNotasFiscais[[#This Row],[In Full]]</f>
        <v>1</v>
      </c>
      <c r="AA1706">
        <f>IF(fNotasFiscais[[#This Row],[Nota Fiscal]]&lt;&gt;"",1,0)</f>
        <v>1</v>
      </c>
    </row>
    <row r="1707" spans="1:27" x14ac:dyDescent="0.25">
      <c r="A1707" s="1">
        <v>43609</v>
      </c>
      <c r="B1707">
        <v>12116</v>
      </c>
      <c r="C1707" s="2" t="s">
        <v>43</v>
      </c>
      <c r="D1707" s="2" t="s">
        <v>44</v>
      </c>
      <c r="E1707" s="2" t="s">
        <v>45</v>
      </c>
      <c r="F1707">
        <v>4040</v>
      </c>
      <c r="G1707" s="2" t="s">
        <v>117</v>
      </c>
      <c r="H1707" s="2" t="s">
        <v>47</v>
      </c>
      <c r="I1707" s="2" t="s">
        <v>48</v>
      </c>
      <c r="J1707" s="2" t="s">
        <v>49</v>
      </c>
      <c r="K1707" s="2" t="s">
        <v>48</v>
      </c>
      <c r="L1707">
        <v>634.16999999999996</v>
      </c>
      <c r="M1707">
        <v>3</v>
      </c>
      <c r="N1707">
        <v>2.9580000000000002</v>
      </c>
      <c r="O1707">
        <v>6100231</v>
      </c>
      <c r="P1707" s="2" t="s">
        <v>50</v>
      </c>
      <c r="Q1707" s="2" t="s">
        <v>51</v>
      </c>
      <c r="R1707" s="2" t="s">
        <v>30</v>
      </c>
      <c r="S1707">
        <v>4</v>
      </c>
      <c r="T1707" s="1">
        <v>43610</v>
      </c>
      <c r="U1707" s="1">
        <v>43617</v>
      </c>
      <c r="V1707" s="2"/>
      <c r="W1707" s="1">
        <f>fNotasFiscais[[#This Row],[Data da Coleta]]+fNotasFiscais[[#This Row],[Prazo Contratado]]</f>
        <v>43614</v>
      </c>
      <c r="X1707" s="3">
        <f>IF(fNotasFiscais[[#This Row],[Data da Entrega]]&gt;fNotasFiscais[[#This Row],[Data Contratada]],0,1)</f>
        <v>0</v>
      </c>
      <c r="Y1707" s="3">
        <f>IF(fNotasFiscais[[#This Row],[Ocorrência]]="",1,0)</f>
        <v>1</v>
      </c>
      <c r="Z1707" s="2">
        <f>fNotasFiscais[[#This Row],[On Time]]*fNotasFiscais[[#This Row],[In Full]]</f>
        <v>0</v>
      </c>
      <c r="AA1707">
        <f>IF(fNotasFiscais[[#This Row],[Nota Fiscal]]&lt;&gt;"",1,0)</f>
        <v>1</v>
      </c>
    </row>
    <row r="1708" spans="1:27" x14ac:dyDescent="0.25">
      <c r="A1708" s="1">
        <v>43609</v>
      </c>
      <c r="B1708">
        <v>12117</v>
      </c>
      <c r="C1708" s="2" t="s">
        <v>52</v>
      </c>
      <c r="D1708" s="2" t="s">
        <v>53</v>
      </c>
      <c r="E1708" s="2" t="s">
        <v>33</v>
      </c>
      <c r="F1708">
        <v>4027</v>
      </c>
      <c r="G1708" s="2" t="s">
        <v>93</v>
      </c>
      <c r="H1708" s="2" t="s">
        <v>91</v>
      </c>
      <c r="I1708" s="2" t="s">
        <v>24</v>
      </c>
      <c r="J1708" s="2" t="s">
        <v>28</v>
      </c>
      <c r="K1708" s="2" t="s">
        <v>24</v>
      </c>
      <c r="L1708">
        <v>1880.56</v>
      </c>
      <c r="M1708">
        <v>3</v>
      </c>
      <c r="N1708">
        <v>2.7530000000000001</v>
      </c>
      <c r="O1708">
        <v>6500948</v>
      </c>
      <c r="P1708" s="2" t="s">
        <v>29</v>
      </c>
      <c r="Q1708" s="2" t="s">
        <v>23</v>
      </c>
      <c r="R1708" s="2" t="s">
        <v>30</v>
      </c>
      <c r="S1708">
        <v>2</v>
      </c>
      <c r="T1708" s="1">
        <v>43610</v>
      </c>
      <c r="U1708" s="1">
        <v>43618</v>
      </c>
      <c r="V1708" s="2"/>
      <c r="W1708" s="1">
        <f>fNotasFiscais[[#This Row],[Data da Coleta]]+fNotasFiscais[[#This Row],[Prazo Contratado]]</f>
        <v>43612</v>
      </c>
      <c r="X1708" s="3">
        <f>IF(fNotasFiscais[[#This Row],[Data da Entrega]]&gt;fNotasFiscais[[#This Row],[Data Contratada]],0,1)</f>
        <v>0</v>
      </c>
      <c r="Y1708" s="3">
        <f>IF(fNotasFiscais[[#This Row],[Ocorrência]]="",1,0)</f>
        <v>1</v>
      </c>
      <c r="Z1708" s="2">
        <f>fNotasFiscais[[#This Row],[On Time]]*fNotasFiscais[[#This Row],[In Full]]</f>
        <v>0</v>
      </c>
      <c r="AA1708">
        <f>IF(fNotasFiscais[[#This Row],[Nota Fiscal]]&lt;&gt;"",1,0)</f>
        <v>1</v>
      </c>
    </row>
    <row r="1709" spans="1:27" x14ac:dyDescent="0.25">
      <c r="A1709" s="1">
        <v>43609</v>
      </c>
      <c r="B1709">
        <v>12118</v>
      </c>
      <c r="C1709" s="2" t="s">
        <v>22</v>
      </c>
      <c r="D1709" s="2" t="s">
        <v>23</v>
      </c>
      <c r="E1709" s="2" t="s">
        <v>24</v>
      </c>
      <c r="F1709">
        <v>4028</v>
      </c>
      <c r="G1709" s="2" t="s">
        <v>95</v>
      </c>
      <c r="H1709" s="2" t="s">
        <v>26</v>
      </c>
      <c r="I1709" s="2" t="s">
        <v>27</v>
      </c>
      <c r="J1709" s="2" t="s">
        <v>28</v>
      </c>
      <c r="K1709" s="2" t="s">
        <v>27</v>
      </c>
      <c r="L1709">
        <v>873.36</v>
      </c>
      <c r="M1709">
        <v>1</v>
      </c>
      <c r="N1709">
        <v>14.177</v>
      </c>
      <c r="O1709">
        <v>6500948</v>
      </c>
      <c r="P1709" s="2" t="s">
        <v>29</v>
      </c>
      <c r="Q1709" s="2" t="s">
        <v>23</v>
      </c>
      <c r="R1709" s="2" t="s">
        <v>30</v>
      </c>
      <c r="S1709">
        <v>7</v>
      </c>
      <c r="T1709" s="1">
        <v>43610</v>
      </c>
      <c r="U1709" s="1">
        <v>43613</v>
      </c>
      <c r="V1709" s="2"/>
      <c r="W1709" s="1">
        <f>fNotasFiscais[[#This Row],[Data da Coleta]]+fNotasFiscais[[#This Row],[Prazo Contratado]]</f>
        <v>43617</v>
      </c>
      <c r="X1709" s="3">
        <f>IF(fNotasFiscais[[#This Row],[Data da Entrega]]&gt;fNotasFiscais[[#This Row],[Data Contratada]],0,1)</f>
        <v>1</v>
      </c>
      <c r="Y1709" s="3">
        <f>IF(fNotasFiscais[[#This Row],[Ocorrência]]="",1,0)</f>
        <v>1</v>
      </c>
      <c r="Z1709" s="2">
        <f>fNotasFiscais[[#This Row],[On Time]]*fNotasFiscais[[#This Row],[In Full]]</f>
        <v>1</v>
      </c>
      <c r="AA1709">
        <f>IF(fNotasFiscais[[#This Row],[Nota Fiscal]]&lt;&gt;"",1,0)</f>
        <v>1</v>
      </c>
    </row>
    <row r="1710" spans="1:27" x14ac:dyDescent="0.25">
      <c r="A1710" s="1">
        <v>43609</v>
      </c>
      <c r="B1710">
        <v>12119</v>
      </c>
      <c r="C1710" s="2" t="s">
        <v>52</v>
      </c>
      <c r="D1710" s="2" t="s">
        <v>53</v>
      </c>
      <c r="E1710" s="2" t="s">
        <v>33</v>
      </c>
      <c r="F1710">
        <v>4040</v>
      </c>
      <c r="G1710" s="2" t="s">
        <v>117</v>
      </c>
      <c r="H1710" s="2" t="s">
        <v>47</v>
      </c>
      <c r="I1710" s="2" t="s">
        <v>48</v>
      </c>
      <c r="J1710" s="2" t="s">
        <v>49</v>
      </c>
      <c r="K1710" s="2" t="s">
        <v>48</v>
      </c>
      <c r="L1710">
        <v>3455.52</v>
      </c>
      <c r="M1710">
        <v>4</v>
      </c>
      <c r="N1710">
        <v>18.111999999999998</v>
      </c>
      <c r="O1710">
        <v>6100231</v>
      </c>
      <c r="P1710" s="2" t="s">
        <v>50</v>
      </c>
      <c r="Q1710" s="2" t="s">
        <v>51</v>
      </c>
      <c r="R1710" s="2" t="s">
        <v>30</v>
      </c>
      <c r="S1710">
        <v>7</v>
      </c>
      <c r="T1710" s="1">
        <v>43610</v>
      </c>
      <c r="U1710" s="1">
        <v>43615</v>
      </c>
      <c r="V1710" s="2"/>
      <c r="W1710" s="1">
        <f>fNotasFiscais[[#This Row],[Data da Coleta]]+fNotasFiscais[[#This Row],[Prazo Contratado]]</f>
        <v>43617</v>
      </c>
      <c r="X1710" s="3">
        <f>IF(fNotasFiscais[[#This Row],[Data da Entrega]]&gt;fNotasFiscais[[#This Row],[Data Contratada]],0,1)</f>
        <v>1</v>
      </c>
      <c r="Y1710" s="3">
        <f>IF(fNotasFiscais[[#This Row],[Ocorrência]]="",1,0)</f>
        <v>1</v>
      </c>
      <c r="Z1710" s="2">
        <f>fNotasFiscais[[#This Row],[On Time]]*fNotasFiscais[[#This Row],[In Full]]</f>
        <v>1</v>
      </c>
      <c r="AA1710">
        <f>IF(fNotasFiscais[[#This Row],[Nota Fiscal]]&lt;&gt;"",1,0)</f>
        <v>1</v>
      </c>
    </row>
    <row r="1711" spans="1:27" x14ac:dyDescent="0.25">
      <c r="A1711" s="1">
        <v>43609</v>
      </c>
      <c r="B1711">
        <v>12120</v>
      </c>
      <c r="C1711" s="2" t="s">
        <v>52</v>
      </c>
      <c r="D1711" s="2" t="s">
        <v>53</v>
      </c>
      <c r="E1711" s="2" t="s">
        <v>33</v>
      </c>
      <c r="F1711">
        <v>4027</v>
      </c>
      <c r="G1711" s="2" t="s">
        <v>93</v>
      </c>
      <c r="H1711" s="2" t="s">
        <v>91</v>
      </c>
      <c r="I1711" s="2" t="s">
        <v>24</v>
      </c>
      <c r="J1711" s="2" t="s">
        <v>28</v>
      </c>
      <c r="K1711" s="2" t="s">
        <v>24</v>
      </c>
      <c r="L1711">
        <v>3925.74</v>
      </c>
      <c r="M1711">
        <v>4</v>
      </c>
      <c r="N1711">
        <v>26.34</v>
      </c>
      <c r="O1711">
        <v>6500948</v>
      </c>
      <c r="P1711" s="2" t="s">
        <v>29</v>
      </c>
      <c r="Q1711" s="2" t="s">
        <v>23</v>
      </c>
      <c r="R1711" s="2" t="s">
        <v>30</v>
      </c>
      <c r="S1711">
        <v>9</v>
      </c>
      <c r="T1711" s="1">
        <v>43610</v>
      </c>
      <c r="U1711" s="1">
        <v>43617</v>
      </c>
      <c r="V1711" s="2"/>
      <c r="W1711" s="1">
        <f>fNotasFiscais[[#This Row],[Data da Coleta]]+fNotasFiscais[[#This Row],[Prazo Contratado]]</f>
        <v>43619</v>
      </c>
      <c r="X1711" s="3">
        <f>IF(fNotasFiscais[[#This Row],[Data da Entrega]]&gt;fNotasFiscais[[#This Row],[Data Contratada]],0,1)</f>
        <v>1</v>
      </c>
      <c r="Y1711" s="3">
        <f>IF(fNotasFiscais[[#This Row],[Ocorrência]]="",1,0)</f>
        <v>1</v>
      </c>
      <c r="Z1711" s="2">
        <f>fNotasFiscais[[#This Row],[On Time]]*fNotasFiscais[[#This Row],[In Full]]</f>
        <v>1</v>
      </c>
      <c r="AA1711">
        <f>IF(fNotasFiscais[[#This Row],[Nota Fiscal]]&lt;&gt;"",1,0)</f>
        <v>1</v>
      </c>
    </row>
    <row r="1712" spans="1:27" x14ac:dyDescent="0.25">
      <c r="A1712" s="1">
        <v>43609</v>
      </c>
      <c r="B1712">
        <v>12121</v>
      </c>
      <c r="C1712" s="2" t="s">
        <v>22</v>
      </c>
      <c r="D1712" s="2" t="s">
        <v>23</v>
      </c>
      <c r="E1712" s="2" t="s">
        <v>24</v>
      </c>
      <c r="F1712">
        <v>4028</v>
      </c>
      <c r="G1712" s="2" t="s">
        <v>95</v>
      </c>
      <c r="H1712" s="2" t="s">
        <v>26</v>
      </c>
      <c r="I1712" s="2" t="s">
        <v>27</v>
      </c>
      <c r="J1712" s="2" t="s">
        <v>28</v>
      </c>
      <c r="K1712" s="2" t="s">
        <v>27</v>
      </c>
      <c r="L1712">
        <v>39.729999999999997</v>
      </c>
      <c r="M1712">
        <v>1</v>
      </c>
      <c r="N1712">
        <v>1.1200000000000001</v>
      </c>
      <c r="O1712">
        <v>6500948</v>
      </c>
      <c r="P1712" s="2" t="s">
        <v>29</v>
      </c>
      <c r="Q1712" s="2" t="s">
        <v>23</v>
      </c>
      <c r="R1712" s="2" t="s">
        <v>30</v>
      </c>
      <c r="S1712">
        <v>1</v>
      </c>
      <c r="T1712" s="1">
        <v>43610</v>
      </c>
      <c r="U1712" s="1">
        <v>43614</v>
      </c>
      <c r="V1712" s="2"/>
      <c r="W1712" s="1">
        <f>fNotasFiscais[[#This Row],[Data da Coleta]]+fNotasFiscais[[#This Row],[Prazo Contratado]]</f>
        <v>43611</v>
      </c>
      <c r="X1712" s="3">
        <f>IF(fNotasFiscais[[#This Row],[Data da Entrega]]&gt;fNotasFiscais[[#This Row],[Data Contratada]],0,1)</f>
        <v>0</v>
      </c>
      <c r="Y1712" s="3">
        <f>IF(fNotasFiscais[[#This Row],[Ocorrência]]="",1,0)</f>
        <v>1</v>
      </c>
      <c r="Z1712" s="2">
        <f>fNotasFiscais[[#This Row],[On Time]]*fNotasFiscais[[#This Row],[In Full]]</f>
        <v>0</v>
      </c>
      <c r="AA1712">
        <f>IF(fNotasFiscais[[#This Row],[Nota Fiscal]]&lt;&gt;"",1,0)</f>
        <v>1</v>
      </c>
    </row>
    <row r="1713" spans="1:27" x14ac:dyDescent="0.25">
      <c r="A1713" s="1">
        <v>43612</v>
      </c>
      <c r="B1713">
        <v>12122</v>
      </c>
      <c r="C1713" s="2" t="s">
        <v>31</v>
      </c>
      <c r="D1713" s="2" t="s">
        <v>32</v>
      </c>
      <c r="E1713" s="2" t="s">
        <v>33</v>
      </c>
      <c r="F1713">
        <v>4168</v>
      </c>
      <c r="G1713" s="2" t="s">
        <v>251</v>
      </c>
      <c r="H1713" s="2" t="s">
        <v>183</v>
      </c>
      <c r="I1713" s="2" t="s">
        <v>33</v>
      </c>
      <c r="J1713" s="2" t="s">
        <v>60</v>
      </c>
      <c r="K1713" s="2" t="s">
        <v>33</v>
      </c>
      <c r="L1713">
        <v>29.69</v>
      </c>
      <c r="M1713">
        <v>4</v>
      </c>
      <c r="N1713">
        <v>8.6449999999999996</v>
      </c>
      <c r="O1713">
        <v>6400835</v>
      </c>
      <c r="P1713" s="2" t="s">
        <v>130</v>
      </c>
      <c r="Q1713" s="2" t="s">
        <v>131</v>
      </c>
      <c r="R1713" s="2" t="s">
        <v>30</v>
      </c>
      <c r="S1713">
        <v>11</v>
      </c>
      <c r="T1713" s="1">
        <v>43613</v>
      </c>
      <c r="U1713" s="1">
        <v>43617</v>
      </c>
      <c r="V1713" s="2"/>
      <c r="W1713" s="1">
        <f>fNotasFiscais[[#This Row],[Data da Coleta]]+fNotasFiscais[[#This Row],[Prazo Contratado]]</f>
        <v>43624</v>
      </c>
      <c r="X1713" s="3">
        <f>IF(fNotasFiscais[[#This Row],[Data da Entrega]]&gt;fNotasFiscais[[#This Row],[Data Contratada]],0,1)</f>
        <v>1</v>
      </c>
      <c r="Y1713" s="3">
        <f>IF(fNotasFiscais[[#This Row],[Ocorrência]]="",1,0)</f>
        <v>1</v>
      </c>
      <c r="Z1713" s="2">
        <f>fNotasFiscais[[#This Row],[On Time]]*fNotasFiscais[[#This Row],[In Full]]</f>
        <v>1</v>
      </c>
      <c r="AA1713">
        <f>IF(fNotasFiscais[[#This Row],[Nota Fiscal]]&lt;&gt;"",1,0)</f>
        <v>1</v>
      </c>
    </row>
    <row r="1714" spans="1:27" x14ac:dyDescent="0.25">
      <c r="A1714" s="1">
        <v>43612</v>
      </c>
      <c r="B1714">
        <v>12123</v>
      </c>
      <c r="C1714" s="2" t="s">
        <v>40</v>
      </c>
      <c r="D1714" s="2" t="s">
        <v>41</v>
      </c>
      <c r="E1714" s="2" t="s">
        <v>33</v>
      </c>
      <c r="F1714">
        <v>4147</v>
      </c>
      <c r="G1714" s="2" t="s">
        <v>230</v>
      </c>
      <c r="H1714" s="2" t="s">
        <v>35</v>
      </c>
      <c r="I1714" s="2" t="s">
        <v>36</v>
      </c>
      <c r="J1714" s="2" t="s">
        <v>60</v>
      </c>
      <c r="K1714" s="2" t="s">
        <v>36</v>
      </c>
      <c r="L1714">
        <v>885.39</v>
      </c>
      <c r="M1714">
        <v>1</v>
      </c>
      <c r="N1714">
        <v>1.1200000000000001</v>
      </c>
      <c r="O1714">
        <v>6600879</v>
      </c>
      <c r="P1714" s="2" t="s">
        <v>61</v>
      </c>
      <c r="Q1714" s="2" t="s">
        <v>35</v>
      </c>
      <c r="R1714" s="2" t="s">
        <v>30</v>
      </c>
      <c r="S1714">
        <v>12</v>
      </c>
      <c r="T1714" s="1">
        <v>43613</v>
      </c>
      <c r="U1714" s="1">
        <v>43619</v>
      </c>
      <c r="V1714" s="2"/>
      <c r="W1714" s="1">
        <f>fNotasFiscais[[#This Row],[Data da Coleta]]+fNotasFiscais[[#This Row],[Prazo Contratado]]</f>
        <v>43625</v>
      </c>
      <c r="X1714" s="3">
        <f>IF(fNotasFiscais[[#This Row],[Data da Entrega]]&gt;fNotasFiscais[[#This Row],[Data Contratada]],0,1)</f>
        <v>1</v>
      </c>
      <c r="Y1714" s="3">
        <f>IF(fNotasFiscais[[#This Row],[Ocorrência]]="",1,0)</f>
        <v>1</v>
      </c>
      <c r="Z1714" s="2">
        <f>fNotasFiscais[[#This Row],[On Time]]*fNotasFiscais[[#This Row],[In Full]]</f>
        <v>1</v>
      </c>
      <c r="AA1714">
        <f>IF(fNotasFiscais[[#This Row],[Nota Fiscal]]&lt;&gt;"",1,0)</f>
        <v>1</v>
      </c>
    </row>
    <row r="1715" spans="1:27" x14ac:dyDescent="0.25">
      <c r="A1715" s="1">
        <v>43612</v>
      </c>
      <c r="B1715">
        <v>12124</v>
      </c>
      <c r="C1715" s="2" t="s">
        <v>40</v>
      </c>
      <c r="D1715" s="2" t="s">
        <v>41</v>
      </c>
      <c r="E1715" s="2" t="s">
        <v>33</v>
      </c>
      <c r="F1715">
        <v>4171</v>
      </c>
      <c r="G1715" s="2" t="s">
        <v>254</v>
      </c>
      <c r="H1715" s="2" t="s">
        <v>173</v>
      </c>
      <c r="I1715" s="2" t="s">
        <v>174</v>
      </c>
      <c r="J1715" s="2" t="s">
        <v>175</v>
      </c>
      <c r="K1715" s="2" t="s">
        <v>174</v>
      </c>
      <c r="L1715">
        <v>516.26</v>
      </c>
      <c r="M1715">
        <v>3</v>
      </c>
      <c r="N1715">
        <v>1.66</v>
      </c>
      <c r="O1715">
        <v>6700091</v>
      </c>
      <c r="P1715" s="2" t="s">
        <v>176</v>
      </c>
      <c r="Q1715" s="2" t="s">
        <v>173</v>
      </c>
      <c r="R1715" s="2" t="s">
        <v>30</v>
      </c>
      <c r="S1715">
        <v>3</v>
      </c>
      <c r="T1715" s="1">
        <v>43613</v>
      </c>
      <c r="U1715" s="1">
        <v>43623</v>
      </c>
      <c r="V1715" s="2"/>
      <c r="W1715" s="1">
        <f>fNotasFiscais[[#This Row],[Data da Coleta]]+fNotasFiscais[[#This Row],[Prazo Contratado]]</f>
        <v>43616</v>
      </c>
      <c r="X1715" s="3">
        <f>IF(fNotasFiscais[[#This Row],[Data da Entrega]]&gt;fNotasFiscais[[#This Row],[Data Contratada]],0,1)</f>
        <v>0</v>
      </c>
      <c r="Y1715" s="3">
        <f>IF(fNotasFiscais[[#This Row],[Ocorrência]]="",1,0)</f>
        <v>1</v>
      </c>
      <c r="Z1715" s="2">
        <f>fNotasFiscais[[#This Row],[On Time]]*fNotasFiscais[[#This Row],[In Full]]</f>
        <v>0</v>
      </c>
      <c r="AA1715">
        <f>IF(fNotasFiscais[[#This Row],[Nota Fiscal]]&lt;&gt;"",1,0)</f>
        <v>1</v>
      </c>
    </row>
    <row r="1716" spans="1:27" x14ac:dyDescent="0.25">
      <c r="A1716" s="1">
        <v>43612</v>
      </c>
      <c r="B1716">
        <v>12125</v>
      </c>
      <c r="C1716" s="2" t="s">
        <v>54</v>
      </c>
      <c r="D1716" s="2" t="s">
        <v>55</v>
      </c>
      <c r="E1716" s="2" t="s">
        <v>56</v>
      </c>
      <c r="F1716">
        <v>4143</v>
      </c>
      <c r="G1716" s="2" t="s">
        <v>226</v>
      </c>
      <c r="H1716" s="2" t="s">
        <v>173</v>
      </c>
      <c r="I1716" s="2" t="s">
        <v>174</v>
      </c>
      <c r="J1716" s="2" t="s">
        <v>175</v>
      </c>
      <c r="K1716" s="2" t="s">
        <v>174</v>
      </c>
      <c r="L1716">
        <v>402.72</v>
      </c>
      <c r="M1716">
        <v>1</v>
      </c>
      <c r="N1716">
        <v>1.1200000000000001</v>
      </c>
      <c r="O1716">
        <v>6700091</v>
      </c>
      <c r="P1716" s="2" t="s">
        <v>176</v>
      </c>
      <c r="Q1716" s="2" t="s">
        <v>173</v>
      </c>
      <c r="R1716" s="2" t="s">
        <v>30</v>
      </c>
      <c r="S1716">
        <v>3</v>
      </c>
      <c r="T1716" s="1">
        <v>43613</v>
      </c>
      <c r="U1716" s="1">
        <v>43618</v>
      </c>
      <c r="V1716" s="2"/>
      <c r="W1716" s="1">
        <f>fNotasFiscais[[#This Row],[Data da Coleta]]+fNotasFiscais[[#This Row],[Prazo Contratado]]</f>
        <v>43616</v>
      </c>
      <c r="X1716" s="3">
        <f>IF(fNotasFiscais[[#This Row],[Data da Entrega]]&gt;fNotasFiscais[[#This Row],[Data Contratada]],0,1)</f>
        <v>0</v>
      </c>
      <c r="Y1716" s="3">
        <f>IF(fNotasFiscais[[#This Row],[Ocorrência]]="",1,0)</f>
        <v>1</v>
      </c>
      <c r="Z1716" s="2">
        <f>fNotasFiscais[[#This Row],[On Time]]*fNotasFiscais[[#This Row],[In Full]]</f>
        <v>0</v>
      </c>
      <c r="AA1716">
        <f>IF(fNotasFiscais[[#This Row],[Nota Fiscal]]&lt;&gt;"",1,0)</f>
        <v>1</v>
      </c>
    </row>
    <row r="1717" spans="1:27" x14ac:dyDescent="0.25">
      <c r="A1717" s="1">
        <v>43612</v>
      </c>
      <c r="B1717">
        <v>12126</v>
      </c>
      <c r="C1717" s="2" t="s">
        <v>34</v>
      </c>
      <c r="D1717" s="2" t="s">
        <v>35</v>
      </c>
      <c r="E1717" s="2" t="s">
        <v>36</v>
      </c>
      <c r="F1717">
        <v>4023</v>
      </c>
      <c r="G1717" s="2" t="s">
        <v>88</v>
      </c>
      <c r="H1717" s="2" t="s">
        <v>78</v>
      </c>
      <c r="I1717" s="2" t="s">
        <v>39</v>
      </c>
      <c r="J1717" s="2" t="s">
        <v>28</v>
      </c>
      <c r="K1717" s="2" t="s">
        <v>39</v>
      </c>
      <c r="L1717">
        <v>719.47</v>
      </c>
      <c r="M1717">
        <v>1</v>
      </c>
      <c r="N1717">
        <v>1.1200000000000001</v>
      </c>
      <c r="O1717">
        <v>6500948</v>
      </c>
      <c r="P1717" s="2" t="s">
        <v>29</v>
      </c>
      <c r="Q1717" s="2" t="s">
        <v>23</v>
      </c>
      <c r="R1717" s="2" t="s">
        <v>30</v>
      </c>
      <c r="S1717">
        <v>2</v>
      </c>
      <c r="T1717" s="1">
        <v>43613</v>
      </c>
      <c r="U1717" s="1">
        <v>43622</v>
      </c>
      <c r="V1717" s="2"/>
      <c r="W1717" s="1">
        <f>fNotasFiscais[[#This Row],[Data da Coleta]]+fNotasFiscais[[#This Row],[Prazo Contratado]]</f>
        <v>43615</v>
      </c>
      <c r="X1717" s="3">
        <f>IF(fNotasFiscais[[#This Row],[Data da Entrega]]&gt;fNotasFiscais[[#This Row],[Data Contratada]],0,1)</f>
        <v>0</v>
      </c>
      <c r="Y1717" s="3">
        <f>IF(fNotasFiscais[[#This Row],[Ocorrência]]="",1,0)</f>
        <v>1</v>
      </c>
      <c r="Z1717" s="2">
        <f>fNotasFiscais[[#This Row],[On Time]]*fNotasFiscais[[#This Row],[In Full]]</f>
        <v>0</v>
      </c>
      <c r="AA1717">
        <f>IF(fNotasFiscais[[#This Row],[Nota Fiscal]]&lt;&gt;"",1,0)</f>
        <v>1</v>
      </c>
    </row>
    <row r="1718" spans="1:27" x14ac:dyDescent="0.25">
      <c r="A1718" s="1">
        <v>43612</v>
      </c>
      <c r="B1718">
        <v>12127</v>
      </c>
      <c r="C1718" s="2" t="s">
        <v>34</v>
      </c>
      <c r="D1718" s="2" t="s">
        <v>35</v>
      </c>
      <c r="E1718" s="2" t="s">
        <v>36</v>
      </c>
      <c r="F1718">
        <v>4013</v>
      </c>
      <c r="G1718" s="2" t="s">
        <v>37</v>
      </c>
      <c r="H1718" s="2" t="s">
        <v>38</v>
      </c>
      <c r="I1718" s="2" t="s">
        <v>39</v>
      </c>
      <c r="J1718" s="2" t="s">
        <v>28</v>
      </c>
      <c r="K1718" s="2" t="s">
        <v>39</v>
      </c>
      <c r="L1718">
        <v>5743.77</v>
      </c>
      <c r="M1718">
        <v>15</v>
      </c>
      <c r="N1718">
        <v>39.252000000000002</v>
      </c>
      <c r="O1718">
        <v>6500948</v>
      </c>
      <c r="P1718" s="2" t="s">
        <v>29</v>
      </c>
      <c r="Q1718" s="2" t="s">
        <v>23</v>
      </c>
      <c r="R1718" s="2" t="s">
        <v>30</v>
      </c>
      <c r="S1718">
        <v>5</v>
      </c>
      <c r="T1718" s="1">
        <v>43613</v>
      </c>
      <c r="U1718" s="1">
        <v>43621</v>
      </c>
      <c r="V1718" s="2" t="s">
        <v>57</v>
      </c>
      <c r="W1718" s="1">
        <f>fNotasFiscais[[#This Row],[Data da Coleta]]+fNotasFiscais[[#This Row],[Prazo Contratado]]</f>
        <v>43618</v>
      </c>
      <c r="X1718" s="3">
        <f>IF(fNotasFiscais[[#This Row],[Data da Entrega]]&gt;fNotasFiscais[[#This Row],[Data Contratada]],0,1)</f>
        <v>0</v>
      </c>
      <c r="Y1718" s="3">
        <f>IF(fNotasFiscais[[#This Row],[Ocorrência]]="",1,0)</f>
        <v>0</v>
      </c>
      <c r="Z1718" s="2">
        <f>fNotasFiscais[[#This Row],[On Time]]*fNotasFiscais[[#This Row],[In Full]]</f>
        <v>0</v>
      </c>
      <c r="AA1718">
        <f>IF(fNotasFiscais[[#This Row],[Nota Fiscal]]&lt;&gt;"",1,0)</f>
        <v>1</v>
      </c>
    </row>
    <row r="1719" spans="1:27" x14ac:dyDescent="0.25">
      <c r="A1719" s="1">
        <v>43612</v>
      </c>
      <c r="B1719">
        <v>12128</v>
      </c>
      <c r="C1719" s="2" t="s">
        <v>34</v>
      </c>
      <c r="D1719" s="2" t="s">
        <v>35</v>
      </c>
      <c r="E1719" s="2" t="s">
        <v>36</v>
      </c>
      <c r="F1719">
        <v>4013</v>
      </c>
      <c r="G1719" s="2" t="s">
        <v>37</v>
      </c>
      <c r="H1719" s="2" t="s">
        <v>38</v>
      </c>
      <c r="I1719" s="2" t="s">
        <v>39</v>
      </c>
      <c r="J1719" s="2" t="s">
        <v>28</v>
      </c>
      <c r="K1719" s="2" t="s">
        <v>39</v>
      </c>
      <c r="L1719">
        <v>1009.97</v>
      </c>
      <c r="M1719">
        <v>1</v>
      </c>
      <c r="N1719">
        <v>1.1200000000000001</v>
      </c>
      <c r="O1719">
        <v>6500948</v>
      </c>
      <c r="P1719" s="2" t="s">
        <v>29</v>
      </c>
      <c r="Q1719" s="2" t="s">
        <v>23</v>
      </c>
      <c r="R1719" s="2" t="s">
        <v>30</v>
      </c>
      <c r="S1719">
        <v>10</v>
      </c>
      <c r="T1719" s="1">
        <v>43613</v>
      </c>
      <c r="U1719" s="1">
        <v>43621</v>
      </c>
      <c r="V1719" s="2"/>
      <c r="W1719" s="1">
        <f>fNotasFiscais[[#This Row],[Data da Coleta]]+fNotasFiscais[[#This Row],[Prazo Contratado]]</f>
        <v>43623</v>
      </c>
      <c r="X1719" s="3">
        <f>IF(fNotasFiscais[[#This Row],[Data da Entrega]]&gt;fNotasFiscais[[#This Row],[Data Contratada]],0,1)</f>
        <v>1</v>
      </c>
      <c r="Y1719" s="3">
        <f>IF(fNotasFiscais[[#This Row],[Ocorrência]]="",1,0)</f>
        <v>1</v>
      </c>
      <c r="Z1719" s="2">
        <f>fNotasFiscais[[#This Row],[On Time]]*fNotasFiscais[[#This Row],[In Full]]</f>
        <v>1</v>
      </c>
      <c r="AA1719">
        <f>IF(fNotasFiscais[[#This Row],[Nota Fiscal]]&lt;&gt;"",1,0)</f>
        <v>1</v>
      </c>
    </row>
    <row r="1720" spans="1:27" x14ac:dyDescent="0.25">
      <c r="A1720" s="1">
        <v>43612</v>
      </c>
      <c r="B1720">
        <v>12129</v>
      </c>
      <c r="C1720" s="2" t="s">
        <v>54</v>
      </c>
      <c r="D1720" s="2" t="s">
        <v>55</v>
      </c>
      <c r="E1720" s="2" t="s">
        <v>56</v>
      </c>
      <c r="F1720">
        <v>4013</v>
      </c>
      <c r="G1720" s="2" t="s">
        <v>37</v>
      </c>
      <c r="H1720" s="2" t="s">
        <v>38</v>
      </c>
      <c r="I1720" s="2" t="s">
        <v>39</v>
      </c>
      <c r="J1720" s="2" t="s">
        <v>28</v>
      </c>
      <c r="K1720" s="2" t="s">
        <v>39</v>
      </c>
      <c r="L1720">
        <v>1162.03</v>
      </c>
      <c r="M1720">
        <v>1</v>
      </c>
      <c r="N1720">
        <v>1.1200000000000001</v>
      </c>
      <c r="O1720">
        <v>6500948</v>
      </c>
      <c r="P1720" s="2" t="s">
        <v>29</v>
      </c>
      <c r="Q1720" s="2" t="s">
        <v>23</v>
      </c>
      <c r="R1720" s="2" t="s">
        <v>30</v>
      </c>
      <c r="S1720">
        <v>6</v>
      </c>
      <c r="T1720" s="1">
        <v>43613</v>
      </c>
      <c r="U1720" s="1">
        <v>43622</v>
      </c>
      <c r="V1720" s="2"/>
      <c r="W1720" s="1">
        <f>fNotasFiscais[[#This Row],[Data da Coleta]]+fNotasFiscais[[#This Row],[Prazo Contratado]]</f>
        <v>43619</v>
      </c>
      <c r="X1720" s="3">
        <f>IF(fNotasFiscais[[#This Row],[Data da Entrega]]&gt;fNotasFiscais[[#This Row],[Data Contratada]],0,1)</f>
        <v>0</v>
      </c>
      <c r="Y1720" s="3">
        <f>IF(fNotasFiscais[[#This Row],[Ocorrência]]="",1,0)</f>
        <v>1</v>
      </c>
      <c r="Z1720" s="2">
        <f>fNotasFiscais[[#This Row],[On Time]]*fNotasFiscais[[#This Row],[In Full]]</f>
        <v>0</v>
      </c>
      <c r="AA1720">
        <f>IF(fNotasFiscais[[#This Row],[Nota Fiscal]]&lt;&gt;"",1,0)</f>
        <v>1</v>
      </c>
    </row>
    <row r="1721" spans="1:27" x14ac:dyDescent="0.25">
      <c r="A1721" s="1">
        <v>43613</v>
      </c>
      <c r="B1721">
        <v>12130</v>
      </c>
      <c r="C1721" s="2" t="s">
        <v>40</v>
      </c>
      <c r="D1721" s="2" t="s">
        <v>41</v>
      </c>
      <c r="E1721" s="2" t="s">
        <v>33</v>
      </c>
      <c r="F1721">
        <v>4172</v>
      </c>
      <c r="G1721" s="2" t="s">
        <v>255</v>
      </c>
      <c r="H1721" s="2" t="s">
        <v>183</v>
      </c>
      <c r="I1721" s="2" t="s">
        <v>33</v>
      </c>
      <c r="J1721" s="2" t="s">
        <v>60</v>
      </c>
      <c r="K1721" s="2" t="s">
        <v>33</v>
      </c>
      <c r="L1721">
        <v>2095.58</v>
      </c>
      <c r="M1721">
        <v>1</v>
      </c>
      <c r="N1721">
        <v>1.1200000000000001</v>
      </c>
      <c r="O1721">
        <v>6400835</v>
      </c>
      <c r="P1721" s="2" t="s">
        <v>130</v>
      </c>
      <c r="Q1721" s="2" t="s">
        <v>131</v>
      </c>
      <c r="R1721" s="2" t="s">
        <v>30</v>
      </c>
      <c r="S1721">
        <v>6</v>
      </c>
      <c r="T1721" s="1">
        <v>43614</v>
      </c>
      <c r="U1721" s="1">
        <v>43618</v>
      </c>
      <c r="V1721" s="2"/>
      <c r="W1721" s="1">
        <f>fNotasFiscais[[#This Row],[Data da Coleta]]+fNotasFiscais[[#This Row],[Prazo Contratado]]</f>
        <v>43620</v>
      </c>
      <c r="X1721" s="3">
        <f>IF(fNotasFiscais[[#This Row],[Data da Entrega]]&gt;fNotasFiscais[[#This Row],[Data Contratada]],0,1)</f>
        <v>1</v>
      </c>
      <c r="Y1721" s="3">
        <f>IF(fNotasFiscais[[#This Row],[Ocorrência]]="",1,0)</f>
        <v>1</v>
      </c>
      <c r="Z1721" s="2">
        <f>fNotasFiscais[[#This Row],[On Time]]*fNotasFiscais[[#This Row],[In Full]]</f>
        <v>1</v>
      </c>
      <c r="AA1721">
        <f>IF(fNotasFiscais[[#This Row],[Nota Fiscal]]&lt;&gt;"",1,0)</f>
        <v>1</v>
      </c>
    </row>
    <row r="1722" spans="1:27" x14ac:dyDescent="0.25">
      <c r="A1722" s="1">
        <v>43613</v>
      </c>
      <c r="B1722">
        <v>12131</v>
      </c>
      <c r="C1722" s="2" t="s">
        <v>31</v>
      </c>
      <c r="D1722" s="2" t="s">
        <v>32</v>
      </c>
      <c r="E1722" s="2" t="s">
        <v>33</v>
      </c>
      <c r="F1722">
        <v>4164</v>
      </c>
      <c r="G1722" s="2" t="s">
        <v>247</v>
      </c>
      <c r="H1722" s="2" t="s">
        <v>165</v>
      </c>
      <c r="I1722" s="2" t="s">
        <v>24</v>
      </c>
      <c r="J1722" s="2" t="s">
        <v>28</v>
      </c>
      <c r="K1722" s="2" t="s">
        <v>24</v>
      </c>
      <c r="L1722">
        <v>1141.53</v>
      </c>
      <c r="M1722">
        <v>7</v>
      </c>
      <c r="N1722">
        <v>6.375</v>
      </c>
      <c r="O1722">
        <v>6500948</v>
      </c>
      <c r="P1722" s="2" t="s">
        <v>29</v>
      </c>
      <c r="Q1722" s="2" t="s">
        <v>23</v>
      </c>
      <c r="R1722" s="2" t="s">
        <v>30</v>
      </c>
      <c r="S1722">
        <v>11</v>
      </c>
      <c r="T1722" s="1">
        <v>43614</v>
      </c>
      <c r="U1722" s="1">
        <v>43615</v>
      </c>
      <c r="V1722" s="2"/>
      <c r="W1722" s="1">
        <f>fNotasFiscais[[#This Row],[Data da Coleta]]+fNotasFiscais[[#This Row],[Prazo Contratado]]</f>
        <v>43625</v>
      </c>
      <c r="X1722" s="3">
        <f>IF(fNotasFiscais[[#This Row],[Data da Entrega]]&gt;fNotasFiscais[[#This Row],[Data Contratada]],0,1)</f>
        <v>1</v>
      </c>
      <c r="Y1722" s="3">
        <f>IF(fNotasFiscais[[#This Row],[Ocorrência]]="",1,0)</f>
        <v>1</v>
      </c>
      <c r="Z1722" s="2">
        <f>fNotasFiscais[[#This Row],[On Time]]*fNotasFiscais[[#This Row],[In Full]]</f>
        <v>1</v>
      </c>
      <c r="AA1722">
        <f>IF(fNotasFiscais[[#This Row],[Nota Fiscal]]&lt;&gt;"",1,0)</f>
        <v>1</v>
      </c>
    </row>
    <row r="1723" spans="1:27" x14ac:dyDescent="0.25">
      <c r="A1723" s="1">
        <v>43613</v>
      </c>
      <c r="B1723">
        <v>12132</v>
      </c>
      <c r="C1723" s="2" t="s">
        <v>54</v>
      </c>
      <c r="D1723" s="2" t="s">
        <v>55</v>
      </c>
      <c r="E1723" s="2" t="s">
        <v>56</v>
      </c>
      <c r="F1723">
        <v>4142</v>
      </c>
      <c r="G1723" s="2" t="s">
        <v>225</v>
      </c>
      <c r="H1723" s="2" t="s">
        <v>173</v>
      </c>
      <c r="I1723" s="2" t="s">
        <v>174</v>
      </c>
      <c r="J1723" s="2" t="s">
        <v>175</v>
      </c>
      <c r="K1723" s="2" t="s">
        <v>174</v>
      </c>
      <c r="L1723">
        <v>196.67</v>
      </c>
      <c r="M1723">
        <v>1</v>
      </c>
      <c r="N1723">
        <v>1.1200000000000001</v>
      </c>
      <c r="O1723">
        <v>6700091</v>
      </c>
      <c r="P1723" s="2" t="s">
        <v>176</v>
      </c>
      <c r="Q1723" s="2" t="s">
        <v>173</v>
      </c>
      <c r="R1723" s="2" t="s">
        <v>30</v>
      </c>
      <c r="S1723">
        <v>9</v>
      </c>
      <c r="T1723" s="1">
        <v>43614</v>
      </c>
      <c r="U1723" s="1">
        <v>43621</v>
      </c>
      <c r="V1723" s="2" t="s">
        <v>57</v>
      </c>
      <c r="W1723" s="1">
        <f>fNotasFiscais[[#This Row],[Data da Coleta]]+fNotasFiscais[[#This Row],[Prazo Contratado]]</f>
        <v>43623</v>
      </c>
      <c r="X1723" s="3">
        <f>IF(fNotasFiscais[[#This Row],[Data da Entrega]]&gt;fNotasFiscais[[#This Row],[Data Contratada]],0,1)</f>
        <v>1</v>
      </c>
      <c r="Y1723" s="3">
        <f>IF(fNotasFiscais[[#This Row],[Ocorrência]]="",1,0)</f>
        <v>0</v>
      </c>
      <c r="Z1723" s="2">
        <f>fNotasFiscais[[#This Row],[On Time]]*fNotasFiscais[[#This Row],[In Full]]</f>
        <v>0</v>
      </c>
      <c r="AA1723">
        <f>IF(fNotasFiscais[[#This Row],[Nota Fiscal]]&lt;&gt;"",1,0)</f>
        <v>1</v>
      </c>
    </row>
    <row r="1724" spans="1:27" x14ac:dyDescent="0.25">
      <c r="A1724" s="1">
        <v>43614</v>
      </c>
      <c r="B1724">
        <v>12133</v>
      </c>
      <c r="C1724" s="2" t="s">
        <v>52</v>
      </c>
      <c r="D1724" s="2" t="s">
        <v>53</v>
      </c>
      <c r="E1724" s="2" t="s">
        <v>33</v>
      </c>
      <c r="F1724">
        <v>4012</v>
      </c>
      <c r="G1724" s="2" t="s">
        <v>25</v>
      </c>
      <c r="H1724" s="2" t="s">
        <v>26</v>
      </c>
      <c r="I1724" s="2" t="s">
        <v>27</v>
      </c>
      <c r="J1724" s="2" t="s">
        <v>28</v>
      </c>
      <c r="K1724" s="2" t="s">
        <v>27</v>
      </c>
      <c r="L1724">
        <v>2438.69</v>
      </c>
      <c r="M1724">
        <v>7</v>
      </c>
      <c r="N1724">
        <v>4.3789999999999996</v>
      </c>
      <c r="O1724">
        <v>6500948</v>
      </c>
      <c r="P1724" s="2" t="s">
        <v>29</v>
      </c>
      <c r="Q1724" s="2" t="s">
        <v>23</v>
      </c>
      <c r="R1724" s="2" t="s">
        <v>30</v>
      </c>
      <c r="S1724">
        <v>11</v>
      </c>
      <c r="T1724" s="1">
        <v>43614</v>
      </c>
      <c r="U1724" s="1">
        <v>43621</v>
      </c>
      <c r="V1724" s="2" t="s">
        <v>57</v>
      </c>
      <c r="W1724" s="1">
        <f>fNotasFiscais[[#This Row],[Data da Coleta]]+fNotasFiscais[[#This Row],[Prazo Contratado]]</f>
        <v>43625</v>
      </c>
      <c r="X1724" s="3">
        <f>IF(fNotasFiscais[[#This Row],[Data da Entrega]]&gt;fNotasFiscais[[#This Row],[Data Contratada]],0,1)</f>
        <v>1</v>
      </c>
      <c r="Y1724" s="3">
        <f>IF(fNotasFiscais[[#This Row],[Ocorrência]]="",1,0)</f>
        <v>0</v>
      </c>
      <c r="Z1724" s="2">
        <f>fNotasFiscais[[#This Row],[On Time]]*fNotasFiscais[[#This Row],[In Full]]</f>
        <v>0</v>
      </c>
      <c r="AA1724">
        <f>IF(fNotasFiscais[[#This Row],[Nota Fiscal]]&lt;&gt;"",1,0)</f>
        <v>1</v>
      </c>
    </row>
    <row r="1725" spans="1:27" x14ac:dyDescent="0.25">
      <c r="A1725" s="1">
        <v>43614</v>
      </c>
      <c r="B1725">
        <v>12134</v>
      </c>
      <c r="C1725" s="2" t="s">
        <v>22</v>
      </c>
      <c r="D1725" s="2" t="s">
        <v>23</v>
      </c>
      <c r="E1725" s="2" t="s">
        <v>24</v>
      </c>
      <c r="F1725">
        <v>4013</v>
      </c>
      <c r="G1725" s="2" t="s">
        <v>37</v>
      </c>
      <c r="H1725" s="2" t="s">
        <v>38</v>
      </c>
      <c r="I1725" s="2" t="s">
        <v>39</v>
      </c>
      <c r="J1725" s="2" t="s">
        <v>28</v>
      </c>
      <c r="K1725" s="2" t="s">
        <v>39</v>
      </c>
      <c r="L1725">
        <v>1338.61</v>
      </c>
      <c r="M1725">
        <v>1</v>
      </c>
      <c r="N1725">
        <v>1.1200000000000001</v>
      </c>
      <c r="O1725">
        <v>6500948</v>
      </c>
      <c r="P1725" s="2" t="s">
        <v>29</v>
      </c>
      <c r="Q1725" s="2" t="s">
        <v>23</v>
      </c>
      <c r="R1725" s="2" t="s">
        <v>30</v>
      </c>
      <c r="S1725">
        <v>3</v>
      </c>
      <c r="T1725" s="1">
        <v>43614</v>
      </c>
      <c r="U1725" s="1">
        <v>43617</v>
      </c>
      <c r="V1725" s="2"/>
      <c r="W1725" s="1">
        <f>fNotasFiscais[[#This Row],[Data da Coleta]]+fNotasFiscais[[#This Row],[Prazo Contratado]]</f>
        <v>43617</v>
      </c>
      <c r="X1725" s="3">
        <f>IF(fNotasFiscais[[#This Row],[Data da Entrega]]&gt;fNotasFiscais[[#This Row],[Data Contratada]],0,1)</f>
        <v>1</v>
      </c>
      <c r="Y1725" s="3">
        <f>IF(fNotasFiscais[[#This Row],[Ocorrência]]="",1,0)</f>
        <v>1</v>
      </c>
      <c r="Z1725" s="2">
        <f>fNotasFiscais[[#This Row],[On Time]]*fNotasFiscais[[#This Row],[In Full]]</f>
        <v>1</v>
      </c>
      <c r="AA1725">
        <f>IF(fNotasFiscais[[#This Row],[Nota Fiscal]]&lt;&gt;"",1,0)</f>
        <v>1</v>
      </c>
    </row>
    <row r="1726" spans="1:27" x14ac:dyDescent="0.25">
      <c r="A1726" s="1">
        <v>43616</v>
      </c>
      <c r="B1726">
        <v>12135</v>
      </c>
      <c r="C1726" s="2" t="s">
        <v>31</v>
      </c>
      <c r="D1726" s="2" t="s">
        <v>32</v>
      </c>
      <c r="E1726" s="2" t="s">
        <v>33</v>
      </c>
      <c r="F1726">
        <v>4013</v>
      </c>
      <c r="G1726" s="2" t="s">
        <v>37</v>
      </c>
      <c r="H1726" s="2" t="s">
        <v>38</v>
      </c>
      <c r="I1726" s="2" t="s">
        <v>39</v>
      </c>
      <c r="J1726" s="2" t="s">
        <v>28</v>
      </c>
      <c r="K1726" s="2" t="s">
        <v>39</v>
      </c>
      <c r="L1726">
        <v>1836.22</v>
      </c>
      <c r="M1726">
        <v>1</v>
      </c>
      <c r="N1726">
        <v>0.88</v>
      </c>
      <c r="O1726">
        <v>6500948</v>
      </c>
      <c r="P1726" s="2" t="s">
        <v>29</v>
      </c>
      <c r="Q1726" s="2" t="s">
        <v>23</v>
      </c>
      <c r="R1726" s="2" t="s">
        <v>30</v>
      </c>
      <c r="S1726">
        <v>8</v>
      </c>
      <c r="T1726" s="1">
        <v>43616</v>
      </c>
      <c r="U1726" s="1">
        <v>43621</v>
      </c>
      <c r="V1726" s="2" t="s">
        <v>57</v>
      </c>
      <c r="W1726" s="1">
        <f>fNotasFiscais[[#This Row],[Data da Coleta]]+fNotasFiscais[[#This Row],[Prazo Contratado]]</f>
        <v>43624</v>
      </c>
      <c r="X1726" s="3">
        <f>IF(fNotasFiscais[[#This Row],[Data da Entrega]]&gt;fNotasFiscais[[#This Row],[Data Contratada]],0,1)</f>
        <v>1</v>
      </c>
      <c r="Y1726" s="3">
        <f>IF(fNotasFiscais[[#This Row],[Ocorrência]]="",1,0)</f>
        <v>0</v>
      </c>
      <c r="Z1726" s="2">
        <f>fNotasFiscais[[#This Row],[On Time]]*fNotasFiscais[[#This Row],[In Full]]</f>
        <v>0</v>
      </c>
      <c r="AA1726">
        <f>IF(fNotasFiscais[[#This Row],[Nota Fiscal]]&lt;&gt;"",1,0)</f>
        <v>1</v>
      </c>
    </row>
    <row r="1727" spans="1:27" x14ac:dyDescent="0.25">
      <c r="A1727" s="1">
        <v>43616</v>
      </c>
      <c r="B1727">
        <v>12136</v>
      </c>
      <c r="C1727" s="2" t="s">
        <v>43</v>
      </c>
      <c r="D1727" s="2" t="s">
        <v>44</v>
      </c>
      <c r="E1727" s="2" t="s">
        <v>45</v>
      </c>
      <c r="F1727">
        <v>4013</v>
      </c>
      <c r="G1727" s="2" t="s">
        <v>37</v>
      </c>
      <c r="H1727" s="2" t="s">
        <v>38</v>
      </c>
      <c r="I1727" s="2" t="s">
        <v>39</v>
      </c>
      <c r="J1727" s="2" t="s">
        <v>28</v>
      </c>
      <c r="K1727" s="2" t="s">
        <v>39</v>
      </c>
      <c r="L1727">
        <v>1755.77</v>
      </c>
      <c r="M1727">
        <v>6</v>
      </c>
      <c r="N1727">
        <v>24.338000000000001</v>
      </c>
      <c r="O1727">
        <v>6500948</v>
      </c>
      <c r="P1727" s="2" t="s">
        <v>29</v>
      </c>
      <c r="Q1727" s="2" t="s">
        <v>23</v>
      </c>
      <c r="R1727" s="2" t="s">
        <v>30</v>
      </c>
      <c r="S1727">
        <v>4</v>
      </c>
      <c r="T1727" s="1">
        <v>43616</v>
      </c>
      <c r="U1727" s="1">
        <v>43618</v>
      </c>
      <c r="V1727" s="2" t="s">
        <v>57</v>
      </c>
      <c r="W1727" s="1">
        <f>fNotasFiscais[[#This Row],[Data da Coleta]]+fNotasFiscais[[#This Row],[Prazo Contratado]]</f>
        <v>43620</v>
      </c>
      <c r="X1727" s="3">
        <f>IF(fNotasFiscais[[#This Row],[Data da Entrega]]&gt;fNotasFiscais[[#This Row],[Data Contratada]],0,1)</f>
        <v>1</v>
      </c>
      <c r="Y1727" s="3">
        <f>IF(fNotasFiscais[[#This Row],[Ocorrência]]="",1,0)</f>
        <v>0</v>
      </c>
      <c r="Z1727" s="2">
        <f>fNotasFiscais[[#This Row],[On Time]]*fNotasFiscais[[#This Row],[In Full]]</f>
        <v>0</v>
      </c>
      <c r="AA1727">
        <f>IF(fNotasFiscais[[#This Row],[Nota Fiscal]]&lt;&gt;"",1,0)</f>
        <v>1</v>
      </c>
    </row>
    <row r="1728" spans="1:27" x14ac:dyDescent="0.25">
      <c r="A1728" s="1">
        <v>43616</v>
      </c>
      <c r="B1728">
        <v>12137</v>
      </c>
      <c r="C1728" s="2" t="s">
        <v>54</v>
      </c>
      <c r="D1728" s="2" t="s">
        <v>55</v>
      </c>
      <c r="E1728" s="2" t="s">
        <v>56</v>
      </c>
      <c r="F1728">
        <v>4013</v>
      </c>
      <c r="G1728" s="2" t="s">
        <v>37</v>
      </c>
      <c r="H1728" s="2" t="s">
        <v>38</v>
      </c>
      <c r="I1728" s="2" t="s">
        <v>39</v>
      </c>
      <c r="J1728" s="2" t="s">
        <v>28</v>
      </c>
      <c r="K1728" s="2" t="s">
        <v>39</v>
      </c>
      <c r="L1728">
        <v>178.74</v>
      </c>
      <c r="M1728">
        <v>2</v>
      </c>
      <c r="N1728">
        <v>0.33</v>
      </c>
      <c r="O1728">
        <v>6500948</v>
      </c>
      <c r="P1728" s="2" t="s">
        <v>29</v>
      </c>
      <c r="Q1728" s="2" t="s">
        <v>23</v>
      </c>
      <c r="R1728" s="2" t="s">
        <v>30</v>
      </c>
      <c r="S1728">
        <v>6</v>
      </c>
      <c r="T1728" s="1">
        <v>43616</v>
      </c>
      <c r="U1728" s="1">
        <v>43618</v>
      </c>
      <c r="V1728" s="2" t="s">
        <v>57</v>
      </c>
      <c r="W1728" s="1">
        <f>fNotasFiscais[[#This Row],[Data da Coleta]]+fNotasFiscais[[#This Row],[Prazo Contratado]]</f>
        <v>43622</v>
      </c>
      <c r="X1728" s="3">
        <f>IF(fNotasFiscais[[#This Row],[Data da Entrega]]&gt;fNotasFiscais[[#This Row],[Data Contratada]],0,1)</f>
        <v>1</v>
      </c>
      <c r="Y1728" s="3">
        <f>IF(fNotasFiscais[[#This Row],[Ocorrência]]="",1,0)</f>
        <v>0</v>
      </c>
      <c r="Z1728" s="2">
        <f>fNotasFiscais[[#This Row],[On Time]]*fNotasFiscais[[#This Row],[In Full]]</f>
        <v>0</v>
      </c>
      <c r="AA1728">
        <f>IF(fNotasFiscais[[#This Row],[Nota Fiscal]]&lt;&gt;"",1,0)</f>
        <v>1</v>
      </c>
    </row>
    <row r="1729" spans="1:27" x14ac:dyDescent="0.25">
      <c r="A1729" s="1">
        <v>43616</v>
      </c>
      <c r="B1729">
        <v>12138</v>
      </c>
      <c r="C1729" s="2" t="s">
        <v>31</v>
      </c>
      <c r="D1729" s="2" t="s">
        <v>32</v>
      </c>
      <c r="E1729" s="2" t="s">
        <v>33</v>
      </c>
      <c r="F1729">
        <v>4034</v>
      </c>
      <c r="G1729" s="2" t="s">
        <v>110</v>
      </c>
      <c r="H1729" s="2" t="s">
        <v>51</v>
      </c>
      <c r="I1729" s="2" t="s">
        <v>73</v>
      </c>
      <c r="J1729" s="2" t="s">
        <v>49</v>
      </c>
      <c r="K1729" s="2" t="s">
        <v>73</v>
      </c>
      <c r="L1729">
        <v>1503</v>
      </c>
      <c r="M1729">
        <v>3</v>
      </c>
      <c r="N1729">
        <v>4.1260000000000003</v>
      </c>
      <c r="O1729">
        <v>6100231</v>
      </c>
      <c r="P1729" s="2" t="s">
        <v>50</v>
      </c>
      <c r="Q1729" s="2" t="s">
        <v>51</v>
      </c>
      <c r="R1729" s="2" t="s">
        <v>30</v>
      </c>
      <c r="S1729">
        <v>5</v>
      </c>
      <c r="T1729" s="1">
        <v>43616</v>
      </c>
      <c r="U1729" s="1">
        <v>43618</v>
      </c>
      <c r="V1729" s="2"/>
      <c r="W1729" s="1">
        <f>fNotasFiscais[[#This Row],[Data da Coleta]]+fNotasFiscais[[#This Row],[Prazo Contratado]]</f>
        <v>43621</v>
      </c>
      <c r="X1729" s="3">
        <f>IF(fNotasFiscais[[#This Row],[Data da Entrega]]&gt;fNotasFiscais[[#This Row],[Data Contratada]],0,1)</f>
        <v>1</v>
      </c>
      <c r="Y1729" s="3">
        <f>IF(fNotasFiscais[[#This Row],[Ocorrência]]="",1,0)</f>
        <v>1</v>
      </c>
      <c r="Z1729" s="2">
        <f>fNotasFiscais[[#This Row],[On Time]]*fNotasFiscais[[#This Row],[In Full]]</f>
        <v>1</v>
      </c>
      <c r="AA1729">
        <f>IF(fNotasFiscais[[#This Row],[Nota Fiscal]]&lt;&gt;"",1,0)</f>
        <v>1</v>
      </c>
    </row>
    <row r="1730" spans="1:27" x14ac:dyDescent="0.25">
      <c r="A1730" s="1">
        <v>43616</v>
      </c>
      <c r="B1730">
        <v>12139</v>
      </c>
      <c r="C1730" s="2" t="s">
        <v>54</v>
      </c>
      <c r="D1730" s="2" t="s">
        <v>55</v>
      </c>
      <c r="E1730" s="2" t="s">
        <v>56</v>
      </c>
      <c r="F1730">
        <v>4013</v>
      </c>
      <c r="G1730" s="2" t="s">
        <v>37</v>
      </c>
      <c r="H1730" s="2" t="s">
        <v>38</v>
      </c>
      <c r="I1730" s="2" t="s">
        <v>39</v>
      </c>
      <c r="J1730" s="2" t="s">
        <v>28</v>
      </c>
      <c r="K1730" s="2" t="s">
        <v>39</v>
      </c>
      <c r="L1730">
        <v>1989.39</v>
      </c>
      <c r="M1730">
        <v>1</v>
      </c>
      <c r="N1730">
        <v>1.1200000000000001</v>
      </c>
      <c r="O1730">
        <v>6500948</v>
      </c>
      <c r="P1730" s="2" t="s">
        <v>29</v>
      </c>
      <c r="Q1730" s="2" t="s">
        <v>23</v>
      </c>
      <c r="R1730" s="2" t="s">
        <v>30</v>
      </c>
      <c r="S1730">
        <v>3</v>
      </c>
      <c r="T1730" s="1">
        <v>43616</v>
      </c>
      <c r="U1730" s="1">
        <v>43626</v>
      </c>
      <c r="V1730" s="2" t="s">
        <v>57</v>
      </c>
      <c r="W1730" s="1">
        <f>fNotasFiscais[[#This Row],[Data da Coleta]]+fNotasFiscais[[#This Row],[Prazo Contratado]]</f>
        <v>43619</v>
      </c>
      <c r="X1730" s="3">
        <f>IF(fNotasFiscais[[#This Row],[Data da Entrega]]&gt;fNotasFiscais[[#This Row],[Data Contratada]],0,1)</f>
        <v>0</v>
      </c>
      <c r="Y1730" s="3">
        <f>IF(fNotasFiscais[[#This Row],[Ocorrência]]="",1,0)</f>
        <v>0</v>
      </c>
      <c r="Z1730" s="2">
        <f>fNotasFiscais[[#This Row],[On Time]]*fNotasFiscais[[#This Row],[In Full]]</f>
        <v>0</v>
      </c>
      <c r="AA1730">
        <f>IF(fNotasFiscais[[#This Row],[Nota Fiscal]]&lt;&gt;"",1,0)</f>
        <v>1</v>
      </c>
    </row>
    <row r="1731" spans="1:27" x14ac:dyDescent="0.25">
      <c r="A1731" s="1">
        <v>43616</v>
      </c>
      <c r="B1731">
        <v>12140</v>
      </c>
      <c r="C1731" s="2" t="s">
        <v>52</v>
      </c>
      <c r="D1731" s="2" t="s">
        <v>53</v>
      </c>
      <c r="E1731" s="2" t="s">
        <v>33</v>
      </c>
      <c r="F1731">
        <v>4013</v>
      </c>
      <c r="G1731" s="2" t="s">
        <v>37</v>
      </c>
      <c r="H1731" s="2" t="s">
        <v>38</v>
      </c>
      <c r="I1731" s="2" t="s">
        <v>39</v>
      </c>
      <c r="J1731" s="2" t="s">
        <v>28</v>
      </c>
      <c r="K1731" s="2" t="s">
        <v>39</v>
      </c>
      <c r="L1731">
        <v>402.72</v>
      </c>
      <c r="M1731">
        <v>1</v>
      </c>
      <c r="N1731">
        <v>0.749</v>
      </c>
      <c r="O1731">
        <v>6500948</v>
      </c>
      <c r="P1731" s="2" t="s">
        <v>29</v>
      </c>
      <c r="Q1731" s="2" t="s">
        <v>23</v>
      </c>
      <c r="R1731" s="2" t="s">
        <v>30</v>
      </c>
      <c r="S1731">
        <v>4</v>
      </c>
      <c r="T1731" s="1">
        <v>43616</v>
      </c>
      <c r="U1731" s="1">
        <v>43622</v>
      </c>
      <c r="V1731" s="2" t="s">
        <v>57</v>
      </c>
      <c r="W1731" s="1">
        <f>fNotasFiscais[[#This Row],[Data da Coleta]]+fNotasFiscais[[#This Row],[Prazo Contratado]]</f>
        <v>43620</v>
      </c>
      <c r="X1731" s="3">
        <f>IF(fNotasFiscais[[#This Row],[Data da Entrega]]&gt;fNotasFiscais[[#This Row],[Data Contratada]],0,1)</f>
        <v>0</v>
      </c>
      <c r="Y1731" s="3">
        <f>IF(fNotasFiscais[[#This Row],[Ocorrência]]="",1,0)</f>
        <v>0</v>
      </c>
      <c r="Z1731" s="2">
        <f>fNotasFiscais[[#This Row],[On Time]]*fNotasFiscais[[#This Row],[In Full]]</f>
        <v>0</v>
      </c>
      <c r="AA1731">
        <f>IF(fNotasFiscais[[#This Row],[Nota Fiscal]]&lt;&gt;"",1,0)</f>
        <v>1</v>
      </c>
    </row>
    <row r="1732" spans="1:27" x14ac:dyDescent="0.25">
      <c r="A1732" s="1">
        <v>43616</v>
      </c>
      <c r="B1732">
        <v>12141</v>
      </c>
      <c r="C1732" s="2" t="s">
        <v>43</v>
      </c>
      <c r="D1732" s="2" t="s">
        <v>44</v>
      </c>
      <c r="E1732" s="2" t="s">
        <v>45</v>
      </c>
      <c r="F1732">
        <v>4013</v>
      </c>
      <c r="G1732" s="2" t="s">
        <v>37</v>
      </c>
      <c r="H1732" s="2" t="s">
        <v>38</v>
      </c>
      <c r="I1732" s="2" t="s">
        <v>39</v>
      </c>
      <c r="J1732" s="2" t="s">
        <v>28</v>
      </c>
      <c r="K1732" s="2" t="s">
        <v>39</v>
      </c>
      <c r="L1732">
        <v>772.89</v>
      </c>
      <c r="M1732">
        <v>2</v>
      </c>
      <c r="N1732">
        <v>2.75</v>
      </c>
      <c r="O1732">
        <v>6500948</v>
      </c>
      <c r="P1732" s="2" t="s">
        <v>29</v>
      </c>
      <c r="Q1732" s="2" t="s">
        <v>23</v>
      </c>
      <c r="R1732" s="2" t="s">
        <v>30</v>
      </c>
      <c r="S1732">
        <v>11</v>
      </c>
      <c r="T1732" s="1">
        <v>43616</v>
      </c>
      <c r="U1732" s="1">
        <v>43623</v>
      </c>
      <c r="V1732" s="2" t="s">
        <v>42</v>
      </c>
      <c r="W1732" s="1">
        <f>fNotasFiscais[[#This Row],[Data da Coleta]]+fNotasFiscais[[#This Row],[Prazo Contratado]]</f>
        <v>43627</v>
      </c>
      <c r="X1732" s="3">
        <f>IF(fNotasFiscais[[#This Row],[Data da Entrega]]&gt;fNotasFiscais[[#This Row],[Data Contratada]],0,1)</f>
        <v>1</v>
      </c>
      <c r="Y1732" s="3">
        <f>IF(fNotasFiscais[[#This Row],[Ocorrência]]="",1,0)</f>
        <v>0</v>
      </c>
      <c r="Z1732" s="2">
        <f>fNotasFiscais[[#This Row],[On Time]]*fNotasFiscais[[#This Row],[In Full]]</f>
        <v>0</v>
      </c>
      <c r="AA1732">
        <f>IF(fNotasFiscais[[#This Row],[Nota Fiscal]]&lt;&gt;"",1,0)</f>
        <v>1</v>
      </c>
    </row>
    <row r="1733" spans="1:27" x14ac:dyDescent="0.25">
      <c r="A1733" s="1">
        <v>43616</v>
      </c>
      <c r="B1733">
        <v>12142</v>
      </c>
      <c r="C1733" s="2" t="s">
        <v>22</v>
      </c>
      <c r="D1733" s="2" t="s">
        <v>23</v>
      </c>
      <c r="E1733" s="2" t="s">
        <v>24</v>
      </c>
      <c r="F1733">
        <v>4018</v>
      </c>
      <c r="G1733" s="2" t="s">
        <v>77</v>
      </c>
      <c r="H1733" s="2" t="s">
        <v>78</v>
      </c>
      <c r="I1733" s="2" t="s">
        <v>39</v>
      </c>
      <c r="J1733" s="2" t="s">
        <v>28</v>
      </c>
      <c r="K1733" s="2" t="s">
        <v>39</v>
      </c>
      <c r="L1733">
        <v>680.15</v>
      </c>
      <c r="M1733">
        <v>1</v>
      </c>
      <c r="N1733">
        <v>0.77600000000000002</v>
      </c>
      <c r="O1733">
        <v>6500948</v>
      </c>
      <c r="P1733" s="2" t="s">
        <v>29</v>
      </c>
      <c r="Q1733" s="2" t="s">
        <v>23</v>
      </c>
      <c r="R1733" s="2" t="s">
        <v>30</v>
      </c>
      <c r="S1733">
        <v>5</v>
      </c>
      <c r="T1733" s="1">
        <v>43616</v>
      </c>
      <c r="U1733" s="1">
        <v>43625</v>
      </c>
      <c r="V1733" s="2"/>
      <c r="W1733" s="1">
        <f>fNotasFiscais[[#This Row],[Data da Coleta]]+fNotasFiscais[[#This Row],[Prazo Contratado]]</f>
        <v>43621</v>
      </c>
      <c r="X1733" s="3">
        <f>IF(fNotasFiscais[[#This Row],[Data da Entrega]]&gt;fNotasFiscais[[#This Row],[Data Contratada]],0,1)</f>
        <v>0</v>
      </c>
      <c r="Y1733" s="3">
        <f>IF(fNotasFiscais[[#This Row],[Ocorrência]]="",1,0)</f>
        <v>1</v>
      </c>
      <c r="Z1733" s="2">
        <f>fNotasFiscais[[#This Row],[On Time]]*fNotasFiscais[[#This Row],[In Full]]</f>
        <v>0</v>
      </c>
      <c r="AA1733">
        <f>IF(fNotasFiscais[[#This Row],[Nota Fiscal]]&lt;&gt;"",1,0)</f>
        <v>1</v>
      </c>
    </row>
    <row r="1734" spans="1:27" x14ac:dyDescent="0.25">
      <c r="A1734" s="1">
        <v>43616</v>
      </c>
      <c r="B1734">
        <v>12143</v>
      </c>
      <c r="C1734" s="2" t="s">
        <v>22</v>
      </c>
      <c r="D1734" s="2" t="s">
        <v>23</v>
      </c>
      <c r="E1734" s="2" t="s">
        <v>24</v>
      </c>
      <c r="F1734">
        <v>4018</v>
      </c>
      <c r="G1734" s="2" t="s">
        <v>77</v>
      </c>
      <c r="H1734" s="2" t="s">
        <v>78</v>
      </c>
      <c r="I1734" s="2" t="s">
        <v>39</v>
      </c>
      <c r="J1734" s="2" t="s">
        <v>28</v>
      </c>
      <c r="K1734" s="2" t="s">
        <v>39</v>
      </c>
      <c r="L1734">
        <v>17744.71</v>
      </c>
      <c r="M1734">
        <v>20</v>
      </c>
      <c r="N1734">
        <v>77.218000000000004</v>
      </c>
      <c r="O1734">
        <v>6500948</v>
      </c>
      <c r="P1734" s="2" t="s">
        <v>29</v>
      </c>
      <c r="Q1734" s="2" t="s">
        <v>23</v>
      </c>
      <c r="R1734" s="2" t="s">
        <v>30</v>
      </c>
      <c r="S1734">
        <v>2</v>
      </c>
      <c r="T1734" s="1">
        <v>43616</v>
      </c>
      <c r="U1734" s="1">
        <v>43622</v>
      </c>
      <c r="V1734" s="2" t="s">
        <v>57</v>
      </c>
      <c r="W1734" s="1">
        <f>fNotasFiscais[[#This Row],[Data da Coleta]]+fNotasFiscais[[#This Row],[Prazo Contratado]]</f>
        <v>43618</v>
      </c>
      <c r="X1734" s="3">
        <f>IF(fNotasFiscais[[#This Row],[Data da Entrega]]&gt;fNotasFiscais[[#This Row],[Data Contratada]],0,1)</f>
        <v>0</v>
      </c>
      <c r="Y1734" s="3">
        <f>IF(fNotasFiscais[[#This Row],[Ocorrência]]="",1,0)</f>
        <v>0</v>
      </c>
      <c r="Z1734" s="2">
        <f>fNotasFiscais[[#This Row],[On Time]]*fNotasFiscais[[#This Row],[In Full]]</f>
        <v>0</v>
      </c>
      <c r="AA1734">
        <f>IF(fNotasFiscais[[#This Row],[Nota Fiscal]]&lt;&gt;"",1,0)</f>
        <v>1</v>
      </c>
    </row>
    <row r="1735" spans="1:27" x14ac:dyDescent="0.25">
      <c r="A1735" s="1">
        <v>43616</v>
      </c>
      <c r="B1735">
        <v>12144</v>
      </c>
      <c r="C1735" s="2" t="s">
        <v>22</v>
      </c>
      <c r="D1735" s="2" t="s">
        <v>23</v>
      </c>
      <c r="E1735" s="2" t="s">
        <v>24</v>
      </c>
      <c r="F1735">
        <v>4014</v>
      </c>
      <c r="G1735" s="2" t="s">
        <v>58</v>
      </c>
      <c r="H1735" s="2" t="s">
        <v>59</v>
      </c>
      <c r="I1735" s="2" t="s">
        <v>36</v>
      </c>
      <c r="J1735" s="2" t="s">
        <v>60</v>
      </c>
      <c r="K1735" s="2" t="s">
        <v>36</v>
      </c>
      <c r="L1735">
        <v>2723.35</v>
      </c>
      <c r="M1735">
        <v>1</v>
      </c>
      <c r="N1735">
        <v>1.1200000000000001</v>
      </c>
      <c r="O1735">
        <v>6600879</v>
      </c>
      <c r="P1735" s="2" t="s">
        <v>61</v>
      </c>
      <c r="Q1735" s="2" t="s">
        <v>35</v>
      </c>
      <c r="R1735" s="2" t="s">
        <v>30</v>
      </c>
      <c r="S1735">
        <v>11</v>
      </c>
      <c r="T1735" s="1">
        <v>43616</v>
      </c>
      <c r="U1735" s="1">
        <v>43622</v>
      </c>
      <c r="V1735" s="2" t="s">
        <v>57</v>
      </c>
      <c r="W1735" s="1">
        <f>fNotasFiscais[[#This Row],[Data da Coleta]]+fNotasFiscais[[#This Row],[Prazo Contratado]]</f>
        <v>43627</v>
      </c>
      <c r="X1735" s="3">
        <f>IF(fNotasFiscais[[#This Row],[Data da Entrega]]&gt;fNotasFiscais[[#This Row],[Data Contratada]],0,1)</f>
        <v>1</v>
      </c>
      <c r="Y1735" s="3">
        <f>IF(fNotasFiscais[[#This Row],[Ocorrência]]="",1,0)</f>
        <v>0</v>
      </c>
      <c r="Z1735" s="2">
        <f>fNotasFiscais[[#This Row],[On Time]]*fNotasFiscais[[#This Row],[In Full]]</f>
        <v>0</v>
      </c>
      <c r="AA1735">
        <f>IF(fNotasFiscais[[#This Row],[Nota Fiscal]]&lt;&gt;"",1,0)</f>
        <v>1</v>
      </c>
    </row>
    <row r="1736" spans="1:27" x14ac:dyDescent="0.25">
      <c r="A1736" s="1">
        <v>43616</v>
      </c>
      <c r="B1736">
        <v>12145</v>
      </c>
      <c r="C1736" s="2" t="s">
        <v>52</v>
      </c>
      <c r="D1736" s="2" t="s">
        <v>53</v>
      </c>
      <c r="E1736" s="2" t="s">
        <v>33</v>
      </c>
      <c r="F1736">
        <v>4014</v>
      </c>
      <c r="G1736" s="2" t="s">
        <v>58</v>
      </c>
      <c r="H1736" s="2" t="s">
        <v>59</v>
      </c>
      <c r="I1736" s="2" t="s">
        <v>36</v>
      </c>
      <c r="J1736" s="2" t="s">
        <v>60</v>
      </c>
      <c r="K1736" s="2" t="s">
        <v>36</v>
      </c>
      <c r="L1736">
        <v>684.09</v>
      </c>
      <c r="M1736">
        <v>1</v>
      </c>
      <c r="N1736">
        <v>0.77600000000000002</v>
      </c>
      <c r="O1736">
        <v>6600879</v>
      </c>
      <c r="P1736" s="2" t="s">
        <v>61</v>
      </c>
      <c r="Q1736" s="2" t="s">
        <v>35</v>
      </c>
      <c r="R1736" s="2" t="s">
        <v>30</v>
      </c>
      <c r="S1736">
        <v>12</v>
      </c>
      <c r="T1736" s="1">
        <v>43616</v>
      </c>
      <c r="U1736" s="1">
        <v>43624</v>
      </c>
      <c r="V1736" s="2" t="s">
        <v>57</v>
      </c>
      <c r="W1736" s="1">
        <f>fNotasFiscais[[#This Row],[Data da Coleta]]+fNotasFiscais[[#This Row],[Prazo Contratado]]</f>
        <v>43628</v>
      </c>
      <c r="X1736" s="3">
        <f>IF(fNotasFiscais[[#This Row],[Data da Entrega]]&gt;fNotasFiscais[[#This Row],[Data Contratada]],0,1)</f>
        <v>1</v>
      </c>
      <c r="Y1736" s="3">
        <f>IF(fNotasFiscais[[#This Row],[Ocorrência]]="",1,0)</f>
        <v>0</v>
      </c>
      <c r="Z1736" s="2">
        <f>fNotasFiscais[[#This Row],[On Time]]*fNotasFiscais[[#This Row],[In Full]]</f>
        <v>0</v>
      </c>
      <c r="AA1736">
        <f>IF(fNotasFiscais[[#This Row],[Nota Fiscal]]&lt;&gt;"",1,0)</f>
        <v>1</v>
      </c>
    </row>
    <row r="1737" spans="1:27" x14ac:dyDescent="0.25">
      <c r="A1737" s="1">
        <v>43616</v>
      </c>
      <c r="B1737">
        <v>12146</v>
      </c>
      <c r="C1737" s="2" t="s">
        <v>34</v>
      </c>
      <c r="D1737" s="2" t="s">
        <v>35</v>
      </c>
      <c r="E1737" s="2" t="s">
        <v>36</v>
      </c>
      <c r="F1737">
        <v>4056</v>
      </c>
      <c r="G1737" s="2" t="s">
        <v>119</v>
      </c>
      <c r="H1737" s="2" t="s">
        <v>51</v>
      </c>
      <c r="I1737" s="2" t="s">
        <v>73</v>
      </c>
      <c r="J1737" s="2" t="s">
        <v>49</v>
      </c>
      <c r="K1737" s="2" t="s">
        <v>73</v>
      </c>
      <c r="L1737">
        <v>5355.1</v>
      </c>
      <c r="M1737">
        <v>13</v>
      </c>
      <c r="N1737">
        <v>21.698</v>
      </c>
      <c r="O1737">
        <v>6100231</v>
      </c>
      <c r="P1737" s="2" t="s">
        <v>50</v>
      </c>
      <c r="Q1737" s="2" t="s">
        <v>51</v>
      </c>
      <c r="R1737" s="2" t="s">
        <v>30</v>
      </c>
      <c r="S1737">
        <v>10</v>
      </c>
      <c r="T1737" s="1">
        <v>43616</v>
      </c>
      <c r="U1737" s="1">
        <v>43625</v>
      </c>
      <c r="V1737" s="2"/>
      <c r="W1737" s="1">
        <f>fNotasFiscais[[#This Row],[Data da Coleta]]+fNotasFiscais[[#This Row],[Prazo Contratado]]</f>
        <v>43626</v>
      </c>
      <c r="X1737" s="3">
        <f>IF(fNotasFiscais[[#This Row],[Data da Entrega]]&gt;fNotasFiscais[[#This Row],[Data Contratada]],0,1)</f>
        <v>1</v>
      </c>
      <c r="Y1737" s="3">
        <f>IF(fNotasFiscais[[#This Row],[Ocorrência]]="",1,0)</f>
        <v>1</v>
      </c>
      <c r="Z1737" s="2">
        <f>fNotasFiscais[[#This Row],[On Time]]*fNotasFiscais[[#This Row],[In Full]]</f>
        <v>1</v>
      </c>
      <c r="AA1737">
        <f>IF(fNotasFiscais[[#This Row],[Nota Fiscal]]&lt;&gt;"",1,0)</f>
        <v>1</v>
      </c>
    </row>
    <row r="1738" spans="1:27" x14ac:dyDescent="0.25">
      <c r="A1738" s="1">
        <v>43616</v>
      </c>
      <c r="B1738">
        <v>12147</v>
      </c>
      <c r="C1738" s="2" t="s">
        <v>40</v>
      </c>
      <c r="D1738" s="2" t="s">
        <v>41</v>
      </c>
      <c r="E1738" s="2" t="s">
        <v>33</v>
      </c>
      <c r="F1738">
        <v>4056</v>
      </c>
      <c r="G1738" s="2" t="s">
        <v>119</v>
      </c>
      <c r="H1738" s="2" t="s">
        <v>51</v>
      </c>
      <c r="I1738" s="2" t="s">
        <v>73</v>
      </c>
      <c r="J1738" s="2" t="s">
        <v>49</v>
      </c>
      <c r="K1738" s="2" t="s">
        <v>73</v>
      </c>
      <c r="L1738">
        <v>760.54</v>
      </c>
      <c r="M1738">
        <v>1</v>
      </c>
      <c r="N1738">
        <v>1.1200000000000001</v>
      </c>
      <c r="O1738">
        <v>6100231</v>
      </c>
      <c r="P1738" s="2" t="s">
        <v>50</v>
      </c>
      <c r="Q1738" s="2" t="s">
        <v>51</v>
      </c>
      <c r="R1738" s="2" t="s">
        <v>30</v>
      </c>
      <c r="S1738">
        <v>1</v>
      </c>
      <c r="T1738" s="1">
        <v>43616</v>
      </c>
      <c r="U1738" s="1">
        <v>43619</v>
      </c>
      <c r="V1738" s="2"/>
      <c r="W1738" s="1">
        <f>fNotasFiscais[[#This Row],[Data da Coleta]]+fNotasFiscais[[#This Row],[Prazo Contratado]]</f>
        <v>43617</v>
      </c>
      <c r="X1738" s="3">
        <f>IF(fNotasFiscais[[#This Row],[Data da Entrega]]&gt;fNotasFiscais[[#This Row],[Data Contratada]],0,1)</f>
        <v>0</v>
      </c>
      <c r="Y1738" s="3">
        <f>IF(fNotasFiscais[[#This Row],[Ocorrência]]="",1,0)</f>
        <v>1</v>
      </c>
      <c r="Z1738" s="2">
        <f>fNotasFiscais[[#This Row],[On Time]]*fNotasFiscais[[#This Row],[In Full]]</f>
        <v>0</v>
      </c>
      <c r="AA1738">
        <f>IF(fNotasFiscais[[#This Row],[Nota Fiscal]]&lt;&gt;"",1,0)</f>
        <v>1</v>
      </c>
    </row>
    <row r="1739" spans="1:27" x14ac:dyDescent="0.25">
      <c r="A1739" s="1">
        <v>43616</v>
      </c>
      <c r="B1739">
        <v>12148</v>
      </c>
      <c r="C1739" s="2" t="s">
        <v>43</v>
      </c>
      <c r="D1739" s="2" t="s">
        <v>44</v>
      </c>
      <c r="E1739" s="2" t="s">
        <v>45</v>
      </c>
      <c r="F1739">
        <v>4014</v>
      </c>
      <c r="G1739" s="2" t="s">
        <v>58</v>
      </c>
      <c r="H1739" s="2" t="s">
        <v>59</v>
      </c>
      <c r="I1739" s="2" t="s">
        <v>36</v>
      </c>
      <c r="J1739" s="2" t="s">
        <v>60</v>
      </c>
      <c r="K1739" s="2" t="s">
        <v>36</v>
      </c>
      <c r="L1739">
        <v>82.12</v>
      </c>
      <c r="M1739">
        <v>1</v>
      </c>
      <c r="N1739">
        <v>0.32100000000000001</v>
      </c>
      <c r="O1739">
        <v>6600879</v>
      </c>
      <c r="P1739" s="2" t="s">
        <v>61</v>
      </c>
      <c r="Q1739" s="2" t="s">
        <v>35</v>
      </c>
      <c r="R1739" s="2" t="s">
        <v>30</v>
      </c>
      <c r="S1739">
        <v>6</v>
      </c>
      <c r="T1739" s="1">
        <v>43616</v>
      </c>
      <c r="U1739" s="1">
        <v>43617</v>
      </c>
      <c r="V1739" s="2"/>
      <c r="W1739" s="1">
        <f>fNotasFiscais[[#This Row],[Data da Coleta]]+fNotasFiscais[[#This Row],[Prazo Contratado]]</f>
        <v>43622</v>
      </c>
      <c r="X1739" s="3">
        <f>IF(fNotasFiscais[[#This Row],[Data da Entrega]]&gt;fNotasFiscais[[#This Row],[Data Contratada]],0,1)</f>
        <v>1</v>
      </c>
      <c r="Y1739" s="3">
        <f>IF(fNotasFiscais[[#This Row],[Ocorrência]]="",1,0)</f>
        <v>1</v>
      </c>
      <c r="Z1739" s="2">
        <f>fNotasFiscais[[#This Row],[On Time]]*fNotasFiscais[[#This Row],[In Full]]</f>
        <v>1</v>
      </c>
      <c r="AA1739">
        <f>IF(fNotasFiscais[[#This Row],[Nota Fiscal]]&lt;&gt;"",1,0)</f>
        <v>1</v>
      </c>
    </row>
    <row r="1740" spans="1:27" x14ac:dyDescent="0.25">
      <c r="A1740" s="1">
        <v>43616</v>
      </c>
      <c r="B1740">
        <v>12149</v>
      </c>
      <c r="C1740" s="2" t="s">
        <v>43</v>
      </c>
      <c r="D1740" s="2" t="s">
        <v>44</v>
      </c>
      <c r="E1740" s="2" t="s">
        <v>45</v>
      </c>
      <c r="F1740">
        <v>4056</v>
      </c>
      <c r="G1740" s="2" t="s">
        <v>119</v>
      </c>
      <c r="H1740" s="2" t="s">
        <v>51</v>
      </c>
      <c r="I1740" s="2" t="s">
        <v>73</v>
      </c>
      <c r="J1740" s="2" t="s">
        <v>49</v>
      </c>
      <c r="K1740" s="2" t="s">
        <v>73</v>
      </c>
      <c r="L1740">
        <v>1088.81</v>
      </c>
      <c r="M1740">
        <v>2</v>
      </c>
      <c r="N1740">
        <v>5.5549999999999997</v>
      </c>
      <c r="O1740">
        <v>6100231</v>
      </c>
      <c r="P1740" s="2" t="s">
        <v>50</v>
      </c>
      <c r="Q1740" s="2" t="s">
        <v>51</v>
      </c>
      <c r="R1740" s="2" t="s">
        <v>30</v>
      </c>
      <c r="S1740">
        <v>7</v>
      </c>
      <c r="T1740" s="1">
        <v>43616</v>
      </c>
      <c r="U1740" s="1">
        <v>43620</v>
      </c>
      <c r="V1740" s="2"/>
      <c r="W1740" s="1">
        <f>fNotasFiscais[[#This Row],[Data da Coleta]]+fNotasFiscais[[#This Row],[Prazo Contratado]]</f>
        <v>43623</v>
      </c>
      <c r="X1740" s="3">
        <f>IF(fNotasFiscais[[#This Row],[Data da Entrega]]&gt;fNotasFiscais[[#This Row],[Data Contratada]],0,1)</f>
        <v>1</v>
      </c>
      <c r="Y1740" s="3">
        <f>IF(fNotasFiscais[[#This Row],[Ocorrência]]="",1,0)</f>
        <v>1</v>
      </c>
      <c r="Z1740" s="2">
        <f>fNotasFiscais[[#This Row],[On Time]]*fNotasFiscais[[#This Row],[In Full]]</f>
        <v>1</v>
      </c>
      <c r="AA1740">
        <f>IF(fNotasFiscais[[#This Row],[Nota Fiscal]]&lt;&gt;"",1,0)</f>
        <v>1</v>
      </c>
    </row>
    <row r="1741" spans="1:27" x14ac:dyDescent="0.25">
      <c r="A1741" s="1">
        <v>43616</v>
      </c>
      <c r="B1741">
        <v>12150</v>
      </c>
      <c r="C1741" s="2" t="s">
        <v>40</v>
      </c>
      <c r="D1741" s="2" t="s">
        <v>41</v>
      </c>
      <c r="E1741" s="2" t="s">
        <v>33</v>
      </c>
      <c r="F1741">
        <v>4056</v>
      </c>
      <c r="G1741" s="2" t="s">
        <v>119</v>
      </c>
      <c r="H1741" s="2" t="s">
        <v>51</v>
      </c>
      <c r="I1741" s="2" t="s">
        <v>73</v>
      </c>
      <c r="J1741" s="2" t="s">
        <v>49</v>
      </c>
      <c r="K1741" s="2" t="s">
        <v>73</v>
      </c>
      <c r="L1741">
        <v>1356.62</v>
      </c>
      <c r="M1741">
        <v>2</v>
      </c>
      <c r="N1741">
        <v>1.3480000000000001</v>
      </c>
      <c r="O1741">
        <v>6100231</v>
      </c>
      <c r="P1741" s="2" t="s">
        <v>50</v>
      </c>
      <c r="Q1741" s="2" t="s">
        <v>51</v>
      </c>
      <c r="R1741" s="2" t="s">
        <v>30</v>
      </c>
      <c r="S1741">
        <v>2</v>
      </c>
      <c r="T1741" s="1">
        <v>43616</v>
      </c>
      <c r="U1741" s="1">
        <v>43620</v>
      </c>
      <c r="V1741" s="2"/>
      <c r="W1741" s="1">
        <f>fNotasFiscais[[#This Row],[Data da Coleta]]+fNotasFiscais[[#This Row],[Prazo Contratado]]</f>
        <v>43618</v>
      </c>
      <c r="X1741" s="3">
        <f>IF(fNotasFiscais[[#This Row],[Data da Entrega]]&gt;fNotasFiscais[[#This Row],[Data Contratada]],0,1)</f>
        <v>0</v>
      </c>
      <c r="Y1741" s="3">
        <f>IF(fNotasFiscais[[#This Row],[Ocorrência]]="",1,0)</f>
        <v>1</v>
      </c>
      <c r="Z1741" s="2">
        <f>fNotasFiscais[[#This Row],[On Time]]*fNotasFiscais[[#This Row],[In Full]]</f>
        <v>0</v>
      </c>
      <c r="AA1741">
        <f>IF(fNotasFiscais[[#This Row],[Nota Fiscal]]&lt;&gt;"",1,0)</f>
        <v>1</v>
      </c>
    </row>
    <row r="1742" spans="1:27" x14ac:dyDescent="0.25">
      <c r="A1742" s="1">
        <v>43616</v>
      </c>
      <c r="B1742">
        <v>12151</v>
      </c>
      <c r="C1742" s="2" t="s">
        <v>22</v>
      </c>
      <c r="D1742" s="2" t="s">
        <v>23</v>
      </c>
      <c r="E1742" s="2" t="s">
        <v>24</v>
      </c>
      <c r="F1742">
        <v>4014</v>
      </c>
      <c r="G1742" s="2" t="s">
        <v>58</v>
      </c>
      <c r="H1742" s="2" t="s">
        <v>59</v>
      </c>
      <c r="I1742" s="2" t="s">
        <v>36</v>
      </c>
      <c r="J1742" s="2" t="s">
        <v>60</v>
      </c>
      <c r="K1742" s="2" t="s">
        <v>36</v>
      </c>
      <c r="L1742">
        <v>1117.75</v>
      </c>
      <c r="M1742">
        <v>3</v>
      </c>
      <c r="N1742">
        <v>40.26</v>
      </c>
      <c r="O1742">
        <v>6600879</v>
      </c>
      <c r="P1742" s="2" t="s">
        <v>61</v>
      </c>
      <c r="Q1742" s="2" t="s">
        <v>35</v>
      </c>
      <c r="R1742" s="2" t="s">
        <v>30</v>
      </c>
      <c r="S1742">
        <v>10</v>
      </c>
      <c r="T1742" s="1">
        <v>43616</v>
      </c>
      <c r="U1742" s="1">
        <v>43618</v>
      </c>
      <c r="V1742" s="2"/>
      <c r="W1742" s="1">
        <f>fNotasFiscais[[#This Row],[Data da Coleta]]+fNotasFiscais[[#This Row],[Prazo Contratado]]</f>
        <v>43626</v>
      </c>
      <c r="X1742" s="3">
        <f>IF(fNotasFiscais[[#This Row],[Data da Entrega]]&gt;fNotasFiscais[[#This Row],[Data Contratada]],0,1)</f>
        <v>1</v>
      </c>
      <c r="Y1742" s="3">
        <f>IF(fNotasFiscais[[#This Row],[Ocorrência]]="",1,0)</f>
        <v>1</v>
      </c>
      <c r="Z1742" s="2">
        <f>fNotasFiscais[[#This Row],[On Time]]*fNotasFiscais[[#This Row],[In Full]]</f>
        <v>1</v>
      </c>
      <c r="AA1742">
        <f>IF(fNotasFiscais[[#This Row],[Nota Fiscal]]&lt;&gt;"",1,0)</f>
        <v>1</v>
      </c>
    </row>
    <row r="1743" spans="1:27" x14ac:dyDescent="0.25">
      <c r="A1743" s="1">
        <v>43616</v>
      </c>
      <c r="B1743">
        <v>12152</v>
      </c>
      <c r="C1743" s="2" t="s">
        <v>54</v>
      </c>
      <c r="D1743" s="2" t="s">
        <v>55</v>
      </c>
      <c r="E1743" s="2" t="s">
        <v>56</v>
      </c>
      <c r="F1743">
        <v>4056</v>
      </c>
      <c r="G1743" s="2" t="s">
        <v>119</v>
      </c>
      <c r="H1743" s="2" t="s">
        <v>51</v>
      </c>
      <c r="I1743" s="2" t="s">
        <v>73</v>
      </c>
      <c r="J1743" s="2" t="s">
        <v>49</v>
      </c>
      <c r="K1743" s="2" t="s">
        <v>73</v>
      </c>
      <c r="L1743">
        <v>1834.17</v>
      </c>
      <c r="M1743">
        <v>8</v>
      </c>
      <c r="N1743">
        <v>63.965000000000003</v>
      </c>
      <c r="O1743">
        <v>6100231</v>
      </c>
      <c r="P1743" s="2" t="s">
        <v>50</v>
      </c>
      <c r="Q1743" s="2" t="s">
        <v>51</v>
      </c>
      <c r="R1743" s="2" t="s">
        <v>30</v>
      </c>
      <c r="S1743">
        <v>10</v>
      </c>
      <c r="T1743" s="1">
        <v>43616</v>
      </c>
      <c r="U1743" s="1">
        <v>43625</v>
      </c>
      <c r="V1743" s="2"/>
      <c r="W1743" s="1">
        <f>fNotasFiscais[[#This Row],[Data da Coleta]]+fNotasFiscais[[#This Row],[Prazo Contratado]]</f>
        <v>43626</v>
      </c>
      <c r="X1743" s="3">
        <f>IF(fNotasFiscais[[#This Row],[Data da Entrega]]&gt;fNotasFiscais[[#This Row],[Data Contratada]],0,1)</f>
        <v>1</v>
      </c>
      <c r="Y1743" s="3">
        <f>IF(fNotasFiscais[[#This Row],[Ocorrência]]="",1,0)</f>
        <v>1</v>
      </c>
      <c r="Z1743" s="2">
        <f>fNotasFiscais[[#This Row],[On Time]]*fNotasFiscais[[#This Row],[In Full]]</f>
        <v>1</v>
      </c>
      <c r="AA1743">
        <f>IF(fNotasFiscais[[#This Row],[Nota Fiscal]]&lt;&gt;"",1,0)</f>
        <v>1</v>
      </c>
    </row>
    <row r="1744" spans="1:27" x14ac:dyDescent="0.25">
      <c r="A1744" s="1">
        <v>43616</v>
      </c>
      <c r="B1744">
        <v>12153</v>
      </c>
      <c r="C1744" s="2" t="s">
        <v>31</v>
      </c>
      <c r="D1744" s="2" t="s">
        <v>32</v>
      </c>
      <c r="E1744" s="2" t="s">
        <v>33</v>
      </c>
      <c r="F1744">
        <v>4056</v>
      </c>
      <c r="G1744" s="2" t="s">
        <v>119</v>
      </c>
      <c r="H1744" s="2" t="s">
        <v>51</v>
      </c>
      <c r="I1744" s="2" t="s">
        <v>73</v>
      </c>
      <c r="J1744" s="2" t="s">
        <v>49</v>
      </c>
      <c r="K1744" s="2" t="s">
        <v>73</v>
      </c>
      <c r="L1744">
        <v>757.92</v>
      </c>
      <c r="M1744">
        <v>1</v>
      </c>
      <c r="N1744">
        <v>1.1200000000000001</v>
      </c>
      <c r="O1744">
        <v>6100231</v>
      </c>
      <c r="P1744" s="2" t="s">
        <v>50</v>
      </c>
      <c r="Q1744" s="2" t="s">
        <v>51</v>
      </c>
      <c r="R1744" s="2" t="s">
        <v>30</v>
      </c>
      <c r="S1744">
        <v>2</v>
      </c>
      <c r="T1744" s="1">
        <v>43616</v>
      </c>
      <c r="U1744" s="1">
        <v>43626</v>
      </c>
      <c r="V1744" s="2"/>
      <c r="W1744" s="1">
        <f>fNotasFiscais[[#This Row],[Data da Coleta]]+fNotasFiscais[[#This Row],[Prazo Contratado]]</f>
        <v>43618</v>
      </c>
      <c r="X1744" s="3">
        <f>IF(fNotasFiscais[[#This Row],[Data da Entrega]]&gt;fNotasFiscais[[#This Row],[Data Contratada]],0,1)</f>
        <v>0</v>
      </c>
      <c r="Y1744" s="3">
        <f>IF(fNotasFiscais[[#This Row],[Ocorrência]]="",1,0)</f>
        <v>1</v>
      </c>
      <c r="Z1744" s="2">
        <f>fNotasFiscais[[#This Row],[On Time]]*fNotasFiscais[[#This Row],[In Full]]</f>
        <v>0</v>
      </c>
      <c r="AA1744">
        <f>IF(fNotasFiscais[[#This Row],[Nota Fiscal]]&lt;&gt;"",1,0)</f>
        <v>1</v>
      </c>
    </row>
    <row r="1745" spans="1:27" x14ac:dyDescent="0.25">
      <c r="A1745" s="1">
        <v>43617</v>
      </c>
      <c r="B1745">
        <v>12154</v>
      </c>
      <c r="C1745" s="2" t="s">
        <v>22</v>
      </c>
      <c r="D1745" s="2" t="s">
        <v>23</v>
      </c>
      <c r="E1745" s="2" t="s">
        <v>24</v>
      </c>
      <c r="F1745">
        <v>4172</v>
      </c>
      <c r="G1745" s="2" t="s">
        <v>255</v>
      </c>
      <c r="H1745" s="2" t="s">
        <v>183</v>
      </c>
      <c r="I1745" s="2" t="s">
        <v>33</v>
      </c>
      <c r="J1745" s="2" t="s">
        <v>60</v>
      </c>
      <c r="K1745" s="2" t="s">
        <v>33</v>
      </c>
      <c r="L1745">
        <v>781.09</v>
      </c>
      <c r="M1745">
        <v>1</v>
      </c>
      <c r="N1745">
        <v>1.1919999999999999</v>
      </c>
      <c r="O1745">
        <v>6400835</v>
      </c>
      <c r="P1745" s="2" t="s">
        <v>130</v>
      </c>
      <c r="Q1745" s="2" t="s">
        <v>131</v>
      </c>
      <c r="R1745" s="2" t="s">
        <v>30</v>
      </c>
      <c r="S1745">
        <v>11</v>
      </c>
      <c r="T1745" s="1">
        <v>43617</v>
      </c>
      <c r="U1745" s="1">
        <v>43627</v>
      </c>
      <c r="V1745" s="2"/>
      <c r="W1745" s="1">
        <f>fNotasFiscais[[#This Row],[Data da Coleta]]+fNotasFiscais[[#This Row],[Prazo Contratado]]</f>
        <v>43628</v>
      </c>
      <c r="X1745" s="3">
        <f>IF(fNotasFiscais[[#This Row],[Data da Entrega]]&gt;fNotasFiscais[[#This Row],[Data Contratada]],0,1)</f>
        <v>1</v>
      </c>
      <c r="Y1745" s="3">
        <f>IF(fNotasFiscais[[#This Row],[Ocorrência]]="",1,0)</f>
        <v>1</v>
      </c>
      <c r="Z1745" s="2">
        <f>fNotasFiscais[[#This Row],[On Time]]*fNotasFiscais[[#This Row],[In Full]]</f>
        <v>1</v>
      </c>
      <c r="AA1745">
        <f>IF(fNotasFiscais[[#This Row],[Nota Fiscal]]&lt;&gt;"",1,0)</f>
        <v>1</v>
      </c>
    </row>
    <row r="1746" spans="1:27" x14ac:dyDescent="0.25">
      <c r="A1746" s="1">
        <v>43620</v>
      </c>
      <c r="B1746">
        <v>12155</v>
      </c>
      <c r="C1746" s="2" t="s">
        <v>54</v>
      </c>
      <c r="D1746" s="2" t="s">
        <v>55</v>
      </c>
      <c r="E1746" s="2" t="s">
        <v>56</v>
      </c>
      <c r="F1746">
        <v>4171</v>
      </c>
      <c r="G1746" s="2" t="s">
        <v>254</v>
      </c>
      <c r="H1746" s="2" t="s">
        <v>173</v>
      </c>
      <c r="I1746" s="2" t="s">
        <v>174</v>
      </c>
      <c r="J1746" s="2" t="s">
        <v>175</v>
      </c>
      <c r="K1746" s="2" t="s">
        <v>174</v>
      </c>
      <c r="L1746">
        <v>4678.32</v>
      </c>
      <c r="M1746">
        <v>7</v>
      </c>
      <c r="N1746">
        <v>20.073</v>
      </c>
      <c r="O1746">
        <v>6700091</v>
      </c>
      <c r="P1746" s="2" t="s">
        <v>176</v>
      </c>
      <c r="Q1746" s="2" t="s">
        <v>173</v>
      </c>
      <c r="R1746" s="2" t="s">
        <v>30</v>
      </c>
      <c r="S1746">
        <v>1</v>
      </c>
      <c r="T1746" s="1">
        <v>43620</v>
      </c>
      <c r="U1746" s="1">
        <v>43629</v>
      </c>
      <c r="V1746" s="2"/>
      <c r="W1746" s="1">
        <f>fNotasFiscais[[#This Row],[Data da Coleta]]+fNotasFiscais[[#This Row],[Prazo Contratado]]</f>
        <v>43621</v>
      </c>
      <c r="X1746" s="3">
        <f>IF(fNotasFiscais[[#This Row],[Data da Entrega]]&gt;fNotasFiscais[[#This Row],[Data Contratada]],0,1)</f>
        <v>0</v>
      </c>
      <c r="Y1746" s="3">
        <f>IF(fNotasFiscais[[#This Row],[Ocorrência]]="",1,0)</f>
        <v>1</v>
      </c>
      <c r="Z1746" s="2">
        <f>fNotasFiscais[[#This Row],[On Time]]*fNotasFiscais[[#This Row],[In Full]]</f>
        <v>0</v>
      </c>
      <c r="AA1746">
        <f>IF(fNotasFiscais[[#This Row],[Nota Fiscal]]&lt;&gt;"",1,0)</f>
        <v>1</v>
      </c>
    </row>
    <row r="1747" spans="1:27" x14ac:dyDescent="0.25">
      <c r="A1747" s="1">
        <v>43620</v>
      </c>
      <c r="B1747">
        <v>12156</v>
      </c>
      <c r="C1747" s="2" t="s">
        <v>22</v>
      </c>
      <c r="D1747" s="2" t="s">
        <v>23</v>
      </c>
      <c r="E1747" s="2" t="s">
        <v>24</v>
      </c>
      <c r="F1747">
        <v>4159</v>
      </c>
      <c r="G1747" s="2" t="s">
        <v>242</v>
      </c>
      <c r="H1747" s="2" t="s">
        <v>173</v>
      </c>
      <c r="I1747" s="2" t="s">
        <v>174</v>
      </c>
      <c r="J1747" s="2" t="s">
        <v>175</v>
      </c>
      <c r="K1747" s="2" t="s">
        <v>174</v>
      </c>
      <c r="L1747">
        <v>363.79</v>
      </c>
      <c r="M1747">
        <v>1</v>
      </c>
      <c r="N1747">
        <v>1.1200000000000001</v>
      </c>
      <c r="O1747">
        <v>6700091</v>
      </c>
      <c r="P1747" s="2" t="s">
        <v>176</v>
      </c>
      <c r="Q1747" s="2" t="s">
        <v>173</v>
      </c>
      <c r="R1747" s="2" t="s">
        <v>30</v>
      </c>
      <c r="S1747">
        <v>12</v>
      </c>
      <c r="T1747" s="1">
        <v>43620</v>
      </c>
      <c r="U1747" s="1">
        <v>43625</v>
      </c>
      <c r="V1747" s="2"/>
      <c r="W1747" s="1">
        <f>fNotasFiscais[[#This Row],[Data da Coleta]]+fNotasFiscais[[#This Row],[Prazo Contratado]]</f>
        <v>43632</v>
      </c>
      <c r="X1747" s="3">
        <f>IF(fNotasFiscais[[#This Row],[Data da Entrega]]&gt;fNotasFiscais[[#This Row],[Data Contratada]],0,1)</f>
        <v>1</v>
      </c>
      <c r="Y1747" s="3">
        <f>IF(fNotasFiscais[[#This Row],[Ocorrência]]="",1,0)</f>
        <v>1</v>
      </c>
      <c r="Z1747" s="2">
        <f>fNotasFiscais[[#This Row],[On Time]]*fNotasFiscais[[#This Row],[In Full]]</f>
        <v>1</v>
      </c>
      <c r="AA1747">
        <f>IF(fNotasFiscais[[#This Row],[Nota Fiscal]]&lt;&gt;"",1,0)</f>
        <v>1</v>
      </c>
    </row>
    <row r="1748" spans="1:27" x14ac:dyDescent="0.25">
      <c r="A1748" s="1">
        <v>43620</v>
      </c>
      <c r="B1748">
        <v>12157</v>
      </c>
      <c r="C1748" s="2" t="s">
        <v>34</v>
      </c>
      <c r="D1748" s="2" t="s">
        <v>35</v>
      </c>
      <c r="E1748" s="2" t="s">
        <v>36</v>
      </c>
      <c r="F1748">
        <v>4155</v>
      </c>
      <c r="G1748" s="2" t="s">
        <v>238</v>
      </c>
      <c r="H1748" s="2" t="s">
        <v>32</v>
      </c>
      <c r="I1748" s="2" t="s">
        <v>33</v>
      </c>
      <c r="J1748" s="2" t="s">
        <v>60</v>
      </c>
      <c r="K1748" s="2" t="s">
        <v>33</v>
      </c>
      <c r="L1748">
        <v>794.36</v>
      </c>
      <c r="M1748">
        <v>2</v>
      </c>
      <c r="N1748">
        <v>2.0150000000000001</v>
      </c>
      <c r="O1748">
        <v>6400835</v>
      </c>
      <c r="P1748" s="2" t="s">
        <v>130</v>
      </c>
      <c r="Q1748" s="2" t="s">
        <v>131</v>
      </c>
      <c r="R1748" s="2" t="s">
        <v>30</v>
      </c>
      <c r="S1748">
        <v>9</v>
      </c>
      <c r="T1748" s="1">
        <v>43620</v>
      </c>
      <c r="U1748" s="1">
        <v>43630</v>
      </c>
      <c r="V1748" s="2"/>
      <c r="W1748" s="1">
        <f>fNotasFiscais[[#This Row],[Data da Coleta]]+fNotasFiscais[[#This Row],[Prazo Contratado]]</f>
        <v>43629</v>
      </c>
      <c r="X1748" s="3">
        <f>IF(fNotasFiscais[[#This Row],[Data da Entrega]]&gt;fNotasFiscais[[#This Row],[Data Contratada]],0,1)</f>
        <v>0</v>
      </c>
      <c r="Y1748" s="3">
        <f>IF(fNotasFiscais[[#This Row],[Ocorrência]]="",1,0)</f>
        <v>1</v>
      </c>
      <c r="Z1748" s="2">
        <f>fNotasFiscais[[#This Row],[On Time]]*fNotasFiscais[[#This Row],[In Full]]</f>
        <v>0</v>
      </c>
      <c r="AA1748">
        <f>IF(fNotasFiscais[[#This Row],[Nota Fiscal]]&lt;&gt;"",1,0)</f>
        <v>1</v>
      </c>
    </row>
    <row r="1749" spans="1:27" x14ac:dyDescent="0.25">
      <c r="A1749" s="1">
        <v>43621</v>
      </c>
      <c r="B1749">
        <v>12158</v>
      </c>
      <c r="C1749" s="2" t="s">
        <v>54</v>
      </c>
      <c r="D1749" s="2" t="s">
        <v>55</v>
      </c>
      <c r="E1749" s="2" t="s">
        <v>56</v>
      </c>
      <c r="F1749">
        <v>4113</v>
      </c>
      <c r="G1749" s="2" t="s">
        <v>196</v>
      </c>
      <c r="H1749" s="2" t="s">
        <v>44</v>
      </c>
      <c r="I1749" s="2" t="s">
        <v>45</v>
      </c>
      <c r="J1749" s="2" t="s">
        <v>60</v>
      </c>
      <c r="K1749" s="2" t="s">
        <v>45</v>
      </c>
      <c r="L1749">
        <v>802.47</v>
      </c>
      <c r="M1749">
        <v>1</v>
      </c>
      <c r="N1749">
        <v>1.1200000000000001</v>
      </c>
      <c r="O1749">
        <v>6140092</v>
      </c>
      <c r="P1749" s="2" t="s">
        <v>137</v>
      </c>
      <c r="Q1749" s="2" t="s">
        <v>138</v>
      </c>
      <c r="R1749" s="2" t="s">
        <v>30</v>
      </c>
      <c r="S1749">
        <v>9</v>
      </c>
      <c r="T1749" s="1">
        <v>43621</v>
      </c>
      <c r="U1749" s="1">
        <v>43627</v>
      </c>
      <c r="V1749" s="2"/>
      <c r="W1749" s="1">
        <f>fNotasFiscais[[#This Row],[Data da Coleta]]+fNotasFiscais[[#This Row],[Prazo Contratado]]</f>
        <v>43630</v>
      </c>
      <c r="X1749" s="3">
        <f>IF(fNotasFiscais[[#This Row],[Data da Entrega]]&gt;fNotasFiscais[[#This Row],[Data Contratada]],0,1)</f>
        <v>1</v>
      </c>
      <c r="Y1749" s="3">
        <f>IF(fNotasFiscais[[#This Row],[Ocorrência]]="",1,0)</f>
        <v>1</v>
      </c>
      <c r="Z1749" s="2">
        <f>fNotasFiscais[[#This Row],[On Time]]*fNotasFiscais[[#This Row],[In Full]]</f>
        <v>1</v>
      </c>
      <c r="AA1749">
        <f>IF(fNotasFiscais[[#This Row],[Nota Fiscal]]&lt;&gt;"",1,0)</f>
        <v>1</v>
      </c>
    </row>
    <row r="1750" spans="1:27" x14ac:dyDescent="0.25">
      <c r="A1750" s="1">
        <v>43621</v>
      </c>
      <c r="B1750">
        <v>12159</v>
      </c>
      <c r="C1750" s="2" t="s">
        <v>22</v>
      </c>
      <c r="D1750" s="2" t="s">
        <v>23</v>
      </c>
      <c r="E1750" s="2" t="s">
        <v>24</v>
      </c>
      <c r="F1750">
        <v>4069</v>
      </c>
      <c r="G1750" s="2" t="s">
        <v>135</v>
      </c>
      <c r="H1750" s="2" t="s">
        <v>47</v>
      </c>
      <c r="I1750" s="2" t="s">
        <v>48</v>
      </c>
      <c r="J1750" s="2" t="s">
        <v>49</v>
      </c>
      <c r="K1750" s="2" t="s">
        <v>48</v>
      </c>
      <c r="L1750">
        <v>5503.01</v>
      </c>
      <c r="M1750">
        <v>3</v>
      </c>
      <c r="N1750">
        <v>43.34</v>
      </c>
      <c r="O1750">
        <v>6100231</v>
      </c>
      <c r="P1750" s="2" t="s">
        <v>50</v>
      </c>
      <c r="Q1750" s="2" t="s">
        <v>51</v>
      </c>
      <c r="R1750" s="2" t="s">
        <v>30</v>
      </c>
      <c r="S1750">
        <v>9</v>
      </c>
      <c r="T1750" s="1">
        <v>43621</v>
      </c>
      <c r="U1750" s="1">
        <v>43622</v>
      </c>
      <c r="V1750" s="2"/>
      <c r="W1750" s="1">
        <f>fNotasFiscais[[#This Row],[Data da Coleta]]+fNotasFiscais[[#This Row],[Prazo Contratado]]</f>
        <v>43630</v>
      </c>
      <c r="X1750" s="3">
        <f>IF(fNotasFiscais[[#This Row],[Data da Entrega]]&gt;fNotasFiscais[[#This Row],[Data Contratada]],0,1)</f>
        <v>1</v>
      </c>
      <c r="Y1750" s="3">
        <f>IF(fNotasFiscais[[#This Row],[Ocorrência]]="",1,0)</f>
        <v>1</v>
      </c>
      <c r="Z1750" s="2">
        <f>fNotasFiscais[[#This Row],[On Time]]*fNotasFiscais[[#This Row],[In Full]]</f>
        <v>1</v>
      </c>
      <c r="AA1750">
        <f>IF(fNotasFiscais[[#This Row],[Nota Fiscal]]&lt;&gt;"",1,0)</f>
        <v>1</v>
      </c>
    </row>
    <row r="1751" spans="1:27" x14ac:dyDescent="0.25">
      <c r="A1751" s="1">
        <v>43621</v>
      </c>
      <c r="B1751">
        <v>12160</v>
      </c>
      <c r="C1751" s="2" t="s">
        <v>40</v>
      </c>
      <c r="D1751" s="2" t="s">
        <v>41</v>
      </c>
      <c r="E1751" s="2" t="s">
        <v>33</v>
      </c>
      <c r="F1751">
        <v>4113</v>
      </c>
      <c r="G1751" s="2" t="s">
        <v>196</v>
      </c>
      <c r="H1751" s="2" t="s">
        <v>44</v>
      </c>
      <c r="I1751" s="2" t="s">
        <v>45</v>
      </c>
      <c r="J1751" s="2" t="s">
        <v>60</v>
      </c>
      <c r="K1751" s="2" t="s">
        <v>45</v>
      </c>
      <c r="L1751">
        <v>89.87</v>
      </c>
      <c r="M1751">
        <v>1</v>
      </c>
      <c r="N1751">
        <v>0.11</v>
      </c>
      <c r="O1751">
        <v>6140092</v>
      </c>
      <c r="P1751" s="2" t="s">
        <v>137</v>
      </c>
      <c r="Q1751" s="2" t="s">
        <v>138</v>
      </c>
      <c r="R1751" s="2" t="s">
        <v>30</v>
      </c>
      <c r="S1751">
        <v>4</v>
      </c>
      <c r="T1751" s="1">
        <v>43621</v>
      </c>
      <c r="U1751" s="1">
        <v>43628</v>
      </c>
      <c r="V1751" s="2"/>
      <c r="W1751" s="1">
        <f>fNotasFiscais[[#This Row],[Data da Coleta]]+fNotasFiscais[[#This Row],[Prazo Contratado]]</f>
        <v>43625</v>
      </c>
      <c r="X1751" s="3">
        <f>IF(fNotasFiscais[[#This Row],[Data da Entrega]]&gt;fNotasFiscais[[#This Row],[Data Contratada]],0,1)</f>
        <v>0</v>
      </c>
      <c r="Y1751" s="3">
        <f>IF(fNotasFiscais[[#This Row],[Ocorrência]]="",1,0)</f>
        <v>1</v>
      </c>
      <c r="Z1751" s="2">
        <f>fNotasFiscais[[#This Row],[On Time]]*fNotasFiscais[[#This Row],[In Full]]</f>
        <v>0</v>
      </c>
      <c r="AA1751">
        <f>IF(fNotasFiscais[[#This Row],[Nota Fiscal]]&lt;&gt;"",1,0)</f>
        <v>1</v>
      </c>
    </row>
    <row r="1752" spans="1:27" x14ac:dyDescent="0.25">
      <c r="A1752" s="1">
        <v>43622</v>
      </c>
      <c r="B1752">
        <v>12161</v>
      </c>
      <c r="C1752" s="2" t="s">
        <v>43</v>
      </c>
      <c r="D1752" s="2" t="s">
        <v>44</v>
      </c>
      <c r="E1752" s="2" t="s">
        <v>45</v>
      </c>
      <c r="F1752">
        <v>4068</v>
      </c>
      <c r="G1752" s="2" t="s">
        <v>63</v>
      </c>
      <c r="H1752" s="2" t="s">
        <v>64</v>
      </c>
      <c r="I1752" s="2" t="s">
        <v>65</v>
      </c>
      <c r="J1752" s="2" t="s">
        <v>49</v>
      </c>
      <c r="K1752" s="2" t="s">
        <v>65</v>
      </c>
      <c r="L1752">
        <v>5313.25</v>
      </c>
      <c r="M1752">
        <v>8</v>
      </c>
      <c r="N1752">
        <v>17.23</v>
      </c>
      <c r="O1752">
        <v>6100231</v>
      </c>
      <c r="P1752" s="2" t="s">
        <v>50</v>
      </c>
      <c r="Q1752" s="2" t="s">
        <v>51</v>
      </c>
      <c r="R1752" s="2" t="s">
        <v>30</v>
      </c>
      <c r="S1752">
        <v>10</v>
      </c>
      <c r="T1752" s="1">
        <v>43622</v>
      </c>
      <c r="U1752" s="1">
        <v>43632</v>
      </c>
      <c r="V1752" s="2"/>
      <c r="W1752" s="1">
        <f>fNotasFiscais[[#This Row],[Data da Coleta]]+fNotasFiscais[[#This Row],[Prazo Contratado]]</f>
        <v>43632</v>
      </c>
      <c r="X1752" s="3">
        <f>IF(fNotasFiscais[[#This Row],[Data da Entrega]]&gt;fNotasFiscais[[#This Row],[Data Contratada]],0,1)</f>
        <v>1</v>
      </c>
      <c r="Y1752" s="3">
        <f>IF(fNotasFiscais[[#This Row],[Ocorrência]]="",1,0)</f>
        <v>1</v>
      </c>
      <c r="Z1752" s="2">
        <f>fNotasFiscais[[#This Row],[On Time]]*fNotasFiscais[[#This Row],[In Full]]</f>
        <v>1</v>
      </c>
      <c r="AA1752">
        <f>IF(fNotasFiscais[[#This Row],[Nota Fiscal]]&lt;&gt;"",1,0)</f>
        <v>1</v>
      </c>
    </row>
    <row r="1753" spans="1:27" x14ac:dyDescent="0.25">
      <c r="A1753" s="1">
        <v>43623</v>
      </c>
      <c r="B1753">
        <v>12162</v>
      </c>
      <c r="C1753" s="2" t="s">
        <v>31</v>
      </c>
      <c r="D1753" s="2" t="s">
        <v>32</v>
      </c>
      <c r="E1753" s="2" t="s">
        <v>33</v>
      </c>
      <c r="F1753">
        <v>4045</v>
      </c>
      <c r="G1753" s="2" t="s">
        <v>124</v>
      </c>
      <c r="H1753" s="2" t="s">
        <v>35</v>
      </c>
      <c r="I1753" s="2" t="s">
        <v>36</v>
      </c>
      <c r="J1753" s="2" t="s">
        <v>60</v>
      </c>
      <c r="K1753" s="2" t="s">
        <v>36</v>
      </c>
      <c r="L1753">
        <v>89.87</v>
      </c>
      <c r="M1753">
        <v>1</v>
      </c>
      <c r="N1753">
        <v>0.11</v>
      </c>
      <c r="O1753">
        <v>6600879</v>
      </c>
      <c r="P1753" s="2" t="s">
        <v>61</v>
      </c>
      <c r="Q1753" s="2" t="s">
        <v>35</v>
      </c>
      <c r="R1753" s="2" t="s">
        <v>30</v>
      </c>
      <c r="S1753">
        <v>1</v>
      </c>
      <c r="T1753" s="1">
        <v>43623</v>
      </c>
      <c r="U1753" s="1">
        <v>43624</v>
      </c>
      <c r="V1753" s="2"/>
      <c r="W1753" s="1">
        <f>fNotasFiscais[[#This Row],[Data da Coleta]]+fNotasFiscais[[#This Row],[Prazo Contratado]]</f>
        <v>43624</v>
      </c>
      <c r="X1753" s="3">
        <f>IF(fNotasFiscais[[#This Row],[Data da Entrega]]&gt;fNotasFiscais[[#This Row],[Data Contratada]],0,1)</f>
        <v>1</v>
      </c>
      <c r="Y1753" s="3">
        <f>IF(fNotasFiscais[[#This Row],[Ocorrência]]="",1,0)</f>
        <v>1</v>
      </c>
      <c r="Z1753" s="2">
        <f>fNotasFiscais[[#This Row],[On Time]]*fNotasFiscais[[#This Row],[In Full]]</f>
        <v>1</v>
      </c>
      <c r="AA1753">
        <f>IF(fNotasFiscais[[#This Row],[Nota Fiscal]]&lt;&gt;"",1,0)</f>
        <v>1</v>
      </c>
    </row>
    <row r="1754" spans="1:27" x14ac:dyDescent="0.25">
      <c r="A1754" s="1">
        <v>43623</v>
      </c>
      <c r="B1754">
        <v>12163</v>
      </c>
      <c r="C1754" s="2" t="s">
        <v>52</v>
      </c>
      <c r="D1754" s="2" t="s">
        <v>53</v>
      </c>
      <c r="E1754" s="2" t="s">
        <v>33</v>
      </c>
      <c r="F1754">
        <v>4045</v>
      </c>
      <c r="G1754" s="2" t="s">
        <v>124</v>
      </c>
      <c r="H1754" s="2" t="s">
        <v>35</v>
      </c>
      <c r="I1754" s="2" t="s">
        <v>36</v>
      </c>
      <c r="J1754" s="2" t="s">
        <v>60</v>
      </c>
      <c r="K1754" s="2" t="s">
        <v>36</v>
      </c>
      <c r="L1754">
        <v>379.68</v>
      </c>
      <c r="M1754">
        <v>1</v>
      </c>
      <c r="N1754">
        <v>4.4039999999999999</v>
      </c>
      <c r="O1754">
        <v>6600879</v>
      </c>
      <c r="P1754" s="2" t="s">
        <v>61</v>
      </c>
      <c r="Q1754" s="2" t="s">
        <v>35</v>
      </c>
      <c r="R1754" s="2" t="s">
        <v>30</v>
      </c>
      <c r="S1754">
        <v>2</v>
      </c>
      <c r="T1754" s="1">
        <v>43623</v>
      </c>
      <c r="U1754" s="1">
        <v>43624</v>
      </c>
      <c r="V1754" s="2"/>
      <c r="W1754" s="1">
        <f>fNotasFiscais[[#This Row],[Data da Coleta]]+fNotasFiscais[[#This Row],[Prazo Contratado]]</f>
        <v>43625</v>
      </c>
      <c r="X1754" s="3">
        <f>IF(fNotasFiscais[[#This Row],[Data da Entrega]]&gt;fNotasFiscais[[#This Row],[Data Contratada]],0,1)</f>
        <v>1</v>
      </c>
      <c r="Y1754" s="3">
        <f>IF(fNotasFiscais[[#This Row],[Ocorrência]]="",1,0)</f>
        <v>1</v>
      </c>
      <c r="Z1754" s="2">
        <f>fNotasFiscais[[#This Row],[On Time]]*fNotasFiscais[[#This Row],[In Full]]</f>
        <v>1</v>
      </c>
      <c r="AA1754">
        <f>IF(fNotasFiscais[[#This Row],[Nota Fiscal]]&lt;&gt;"",1,0)</f>
        <v>1</v>
      </c>
    </row>
    <row r="1755" spans="1:27" x14ac:dyDescent="0.25">
      <c r="A1755" s="1">
        <v>43623</v>
      </c>
      <c r="B1755">
        <v>12164</v>
      </c>
      <c r="C1755" s="2" t="s">
        <v>22</v>
      </c>
      <c r="D1755" s="2" t="s">
        <v>23</v>
      </c>
      <c r="E1755" s="2" t="s">
        <v>24</v>
      </c>
      <c r="F1755">
        <v>4022</v>
      </c>
      <c r="G1755" s="2" t="s">
        <v>86</v>
      </c>
      <c r="H1755" s="2" t="s">
        <v>87</v>
      </c>
      <c r="I1755" s="2" t="s">
        <v>27</v>
      </c>
      <c r="J1755" s="2" t="s">
        <v>28</v>
      </c>
      <c r="K1755" s="2" t="s">
        <v>27</v>
      </c>
      <c r="L1755">
        <v>478.67</v>
      </c>
      <c r="M1755">
        <v>1</v>
      </c>
      <c r="N1755">
        <v>0.51700000000000002</v>
      </c>
      <c r="O1755">
        <v>6500948</v>
      </c>
      <c r="P1755" s="2" t="s">
        <v>29</v>
      </c>
      <c r="Q1755" s="2" t="s">
        <v>23</v>
      </c>
      <c r="R1755" s="2" t="s">
        <v>30</v>
      </c>
      <c r="S1755">
        <v>4</v>
      </c>
      <c r="T1755" s="1">
        <v>43623</v>
      </c>
      <c r="U1755" s="1">
        <v>43630</v>
      </c>
      <c r="V1755" s="2"/>
      <c r="W1755" s="1">
        <f>fNotasFiscais[[#This Row],[Data da Coleta]]+fNotasFiscais[[#This Row],[Prazo Contratado]]</f>
        <v>43627</v>
      </c>
      <c r="X1755" s="3">
        <f>IF(fNotasFiscais[[#This Row],[Data da Entrega]]&gt;fNotasFiscais[[#This Row],[Data Contratada]],0,1)</f>
        <v>0</v>
      </c>
      <c r="Y1755" s="3">
        <f>IF(fNotasFiscais[[#This Row],[Ocorrência]]="",1,0)</f>
        <v>1</v>
      </c>
      <c r="Z1755" s="2">
        <f>fNotasFiscais[[#This Row],[On Time]]*fNotasFiscais[[#This Row],[In Full]]</f>
        <v>0</v>
      </c>
      <c r="AA1755">
        <f>IF(fNotasFiscais[[#This Row],[Nota Fiscal]]&lt;&gt;"",1,0)</f>
        <v>1</v>
      </c>
    </row>
    <row r="1756" spans="1:27" x14ac:dyDescent="0.25">
      <c r="A1756" s="1">
        <v>43623</v>
      </c>
      <c r="B1756">
        <v>12165</v>
      </c>
      <c r="C1756" s="2" t="s">
        <v>43</v>
      </c>
      <c r="D1756" s="2" t="s">
        <v>44</v>
      </c>
      <c r="E1756" s="2" t="s">
        <v>45</v>
      </c>
      <c r="F1756">
        <v>4022</v>
      </c>
      <c r="G1756" s="2" t="s">
        <v>86</v>
      </c>
      <c r="H1756" s="2" t="s">
        <v>87</v>
      </c>
      <c r="I1756" s="2" t="s">
        <v>27</v>
      </c>
      <c r="J1756" s="2" t="s">
        <v>28</v>
      </c>
      <c r="K1756" s="2" t="s">
        <v>27</v>
      </c>
      <c r="L1756">
        <v>1582.33</v>
      </c>
      <c r="M1756">
        <v>3</v>
      </c>
      <c r="N1756">
        <v>13.285</v>
      </c>
      <c r="O1756">
        <v>6500948</v>
      </c>
      <c r="P1756" s="2" t="s">
        <v>29</v>
      </c>
      <c r="Q1756" s="2" t="s">
        <v>23</v>
      </c>
      <c r="R1756" s="2" t="s">
        <v>30</v>
      </c>
      <c r="S1756">
        <v>10</v>
      </c>
      <c r="T1756" s="1">
        <v>43623</v>
      </c>
      <c r="U1756" s="1">
        <v>43626</v>
      </c>
      <c r="V1756" s="2"/>
      <c r="W1756" s="1">
        <f>fNotasFiscais[[#This Row],[Data da Coleta]]+fNotasFiscais[[#This Row],[Prazo Contratado]]</f>
        <v>43633</v>
      </c>
      <c r="X1756" s="3">
        <f>IF(fNotasFiscais[[#This Row],[Data da Entrega]]&gt;fNotasFiscais[[#This Row],[Data Contratada]],0,1)</f>
        <v>1</v>
      </c>
      <c r="Y1756" s="3">
        <f>IF(fNotasFiscais[[#This Row],[Ocorrência]]="",1,0)</f>
        <v>1</v>
      </c>
      <c r="Z1756" s="2">
        <f>fNotasFiscais[[#This Row],[On Time]]*fNotasFiscais[[#This Row],[In Full]]</f>
        <v>1</v>
      </c>
      <c r="AA1756">
        <f>IF(fNotasFiscais[[#This Row],[Nota Fiscal]]&lt;&gt;"",1,0)</f>
        <v>1</v>
      </c>
    </row>
    <row r="1757" spans="1:27" x14ac:dyDescent="0.25">
      <c r="A1757" s="1">
        <v>43622</v>
      </c>
      <c r="B1757">
        <v>12166</v>
      </c>
      <c r="C1757" s="2" t="s">
        <v>40</v>
      </c>
      <c r="D1757" s="2" t="s">
        <v>41</v>
      </c>
      <c r="E1757" s="2" t="s">
        <v>33</v>
      </c>
      <c r="F1757">
        <v>4045</v>
      </c>
      <c r="G1757" s="2" t="s">
        <v>124</v>
      </c>
      <c r="H1757" s="2" t="s">
        <v>35</v>
      </c>
      <c r="I1757" s="2" t="s">
        <v>36</v>
      </c>
      <c r="J1757" s="2" t="s">
        <v>60</v>
      </c>
      <c r="K1757" s="2" t="s">
        <v>36</v>
      </c>
      <c r="L1757">
        <v>320.5</v>
      </c>
      <c r="M1757">
        <v>1</v>
      </c>
      <c r="N1757">
        <v>1.1200000000000001</v>
      </c>
      <c r="O1757">
        <v>6600879</v>
      </c>
      <c r="P1757" s="2" t="s">
        <v>61</v>
      </c>
      <c r="Q1757" s="2" t="s">
        <v>35</v>
      </c>
      <c r="R1757" s="2" t="s">
        <v>30</v>
      </c>
      <c r="S1757">
        <v>10</v>
      </c>
      <c r="T1757" s="1">
        <v>43623</v>
      </c>
      <c r="U1757" s="1">
        <v>43631</v>
      </c>
      <c r="V1757" s="2"/>
      <c r="W1757" s="1">
        <f>fNotasFiscais[[#This Row],[Data da Coleta]]+fNotasFiscais[[#This Row],[Prazo Contratado]]</f>
        <v>43633</v>
      </c>
      <c r="X1757" s="3">
        <f>IF(fNotasFiscais[[#This Row],[Data da Entrega]]&gt;fNotasFiscais[[#This Row],[Data Contratada]],0,1)</f>
        <v>1</v>
      </c>
      <c r="Y1757" s="3">
        <f>IF(fNotasFiscais[[#This Row],[Ocorrência]]="",1,0)</f>
        <v>1</v>
      </c>
      <c r="Z1757" s="2">
        <f>fNotasFiscais[[#This Row],[On Time]]*fNotasFiscais[[#This Row],[In Full]]</f>
        <v>1</v>
      </c>
      <c r="AA1757">
        <f>IF(fNotasFiscais[[#This Row],[Nota Fiscal]]&lt;&gt;"",1,0)</f>
        <v>1</v>
      </c>
    </row>
    <row r="1758" spans="1:27" x14ac:dyDescent="0.25">
      <c r="A1758" s="1">
        <v>43622</v>
      </c>
      <c r="B1758">
        <v>12167</v>
      </c>
      <c r="C1758" s="2" t="s">
        <v>52</v>
      </c>
      <c r="D1758" s="2" t="s">
        <v>53</v>
      </c>
      <c r="E1758" s="2" t="s">
        <v>33</v>
      </c>
      <c r="F1758">
        <v>4045</v>
      </c>
      <c r="G1758" s="2" t="s">
        <v>124</v>
      </c>
      <c r="H1758" s="2" t="s">
        <v>35</v>
      </c>
      <c r="I1758" s="2" t="s">
        <v>36</v>
      </c>
      <c r="J1758" s="2" t="s">
        <v>60</v>
      </c>
      <c r="K1758" s="2" t="s">
        <v>36</v>
      </c>
      <c r="L1758">
        <v>15904.02</v>
      </c>
      <c r="M1758">
        <v>19</v>
      </c>
      <c r="N1758">
        <v>121.20699999999999</v>
      </c>
      <c r="O1758">
        <v>6600879</v>
      </c>
      <c r="P1758" s="2" t="s">
        <v>61</v>
      </c>
      <c r="Q1758" s="2" t="s">
        <v>35</v>
      </c>
      <c r="R1758" s="2" t="s">
        <v>30</v>
      </c>
      <c r="S1758">
        <v>4</v>
      </c>
      <c r="T1758" s="1">
        <v>43623</v>
      </c>
      <c r="U1758" s="1">
        <v>43631</v>
      </c>
      <c r="V1758" s="2"/>
      <c r="W1758" s="1">
        <f>fNotasFiscais[[#This Row],[Data da Coleta]]+fNotasFiscais[[#This Row],[Prazo Contratado]]</f>
        <v>43627</v>
      </c>
      <c r="X1758" s="3">
        <f>IF(fNotasFiscais[[#This Row],[Data da Entrega]]&gt;fNotasFiscais[[#This Row],[Data Contratada]],0,1)</f>
        <v>0</v>
      </c>
      <c r="Y1758" s="3">
        <f>IF(fNotasFiscais[[#This Row],[Ocorrência]]="",1,0)</f>
        <v>1</v>
      </c>
      <c r="Z1758" s="2">
        <f>fNotasFiscais[[#This Row],[On Time]]*fNotasFiscais[[#This Row],[In Full]]</f>
        <v>0</v>
      </c>
      <c r="AA1758">
        <f>IF(fNotasFiscais[[#This Row],[Nota Fiscal]]&lt;&gt;"",1,0)</f>
        <v>1</v>
      </c>
    </row>
    <row r="1759" spans="1:27" x14ac:dyDescent="0.25">
      <c r="A1759" s="1">
        <v>43622</v>
      </c>
      <c r="B1759">
        <v>12168</v>
      </c>
      <c r="C1759" s="2" t="s">
        <v>40</v>
      </c>
      <c r="D1759" s="2" t="s">
        <v>41</v>
      </c>
      <c r="E1759" s="2" t="s">
        <v>33</v>
      </c>
      <c r="F1759">
        <v>4045</v>
      </c>
      <c r="G1759" s="2" t="s">
        <v>124</v>
      </c>
      <c r="H1759" s="2" t="s">
        <v>35</v>
      </c>
      <c r="I1759" s="2" t="s">
        <v>36</v>
      </c>
      <c r="J1759" s="2" t="s">
        <v>60</v>
      </c>
      <c r="K1759" s="2" t="s">
        <v>36</v>
      </c>
      <c r="L1759">
        <v>478.27</v>
      </c>
      <c r="M1759">
        <v>1</v>
      </c>
      <c r="N1759">
        <v>1.1200000000000001</v>
      </c>
      <c r="O1759">
        <v>6600879</v>
      </c>
      <c r="P1759" s="2" t="s">
        <v>61</v>
      </c>
      <c r="Q1759" s="2" t="s">
        <v>35</v>
      </c>
      <c r="R1759" s="2" t="s">
        <v>30</v>
      </c>
      <c r="S1759">
        <v>11</v>
      </c>
      <c r="T1759" s="1">
        <v>43623</v>
      </c>
      <c r="U1759" s="1">
        <v>43632</v>
      </c>
      <c r="V1759" s="2"/>
      <c r="W1759" s="1">
        <f>fNotasFiscais[[#This Row],[Data da Coleta]]+fNotasFiscais[[#This Row],[Prazo Contratado]]</f>
        <v>43634</v>
      </c>
      <c r="X1759" s="3">
        <f>IF(fNotasFiscais[[#This Row],[Data da Entrega]]&gt;fNotasFiscais[[#This Row],[Data Contratada]],0,1)</f>
        <v>1</v>
      </c>
      <c r="Y1759" s="3">
        <f>IF(fNotasFiscais[[#This Row],[Ocorrência]]="",1,0)</f>
        <v>1</v>
      </c>
      <c r="Z1759" s="2">
        <f>fNotasFiscais[[#This Row],[On Time]]*fNotasFiscais[[#This Row],[In Full]]</f>
        <v>1</v>
      </c>
      <c r="AA1759">
        <f>IF(fNotasFiscais[[#This Row],[Nota Fiscal]]&lt;&gt;"",1,0)</f>
        <v>1</v>
      </c>
    </row>
    <row r="1760" spans="1:27" x14ac:dyDescent="0.25">
      <c r="A1760" s="1">
        <v>43623</v>
      </c>
      <c r="B1760">
        <v>12169</v>
      </c>
      <c r="C1760" s="2" t="s">
        <v>43</v>
      </c>
      <c r="D1760" s="2" t="s">
        <v>44</v>
      </c>
      <c r="E1760" s="2" t="s">
        <v>45</v>
      </c>
      <c r="F1760">
        <v>4083</v>
      </c>
      <c r="G1760" s="2" t="s">
        <v>154</v>
      </c>
      <c r="H1760" s="2" t="s">
        <v>141</v>
      </c>
      <c r="I1760" s="2" t="s">
        <v>33</v>
      </c>
      <c r="J1760" s="2" t="s">
        <v>60</v>
      </c>
      <c r="K1760" s="2" t="s">
        <v>33</v>
      </c>
      <c r="L1760">
        <v>360.57</v>
      </c>
      <c r="M1760">
        <v>1</v>
      </c>
      <c r="N1760">
        <v>13.42</v>
      </c>
      <c r="O1760">
        <v>6400835</v>
      </c>
      <c r="P1760" s="2" t="s">
        <v>130</v>
      </c>
      <c r="Q1760" s="2" t="s">
        <v>131</v>
      </c>
      <c r="R1760" s="2" t="s">
        <v>30</v>
      </c>
      <c r="S1760">
        <v>8</v>
      </c>
      <c r="T1760" s="1">
        <v>43624</v>
      </c>
      <c r="U1760" s="1">
        <v>43627</v>
      </c>
      <c r="V1760" s="2"/>
      <c r="W1760" s="1">
        <f>fNotasFiscais[[#This Row],[Data da Coleta]]+fNotasFiscais[[#This Row],[Prazo Contratado]]</f>
        <v>43632</v>
      </c>
      <c r="X1760" s="3">
        <f>IF(fNotasFiscais[[#This Row],[Data da Entrega]]&gt;fNotasFiscais[[#This Row],[Data Contratada]],0,1)</f>
        <v>1</v>
      </c>
      <c r="Y1760" s="3">
        <f>IF(fNotasFiscais[[#This Row],[Ocorrência]]="",1,0)</f>
        <v>1</v>
      </c>
      <c r="Z1760" s="2">
        <f>fNotasFiscais[[#This Row],[On Time]]*fNotasFiscais[[#This Row],[In Full]]</f>
        <v>1</v>
      </c>
      <c r="AA1760">
        <f>IF(fNotasFiscais[[#This Row],[Nota Fiscal]]&lt;&gt;"",1,0)</f>
        <v>1</v>
      </c>
    </row>
    <row r="1761" spans="1:27" x14ac:dyDescent="0.25">
      <c r="A1761" s="1">
        <v>43623</v>
      </c>
      <c r="B1761">
        <v>12170</v>
      </c>
      <c r="C1761" s="2" t="s">
        <v>43</v>
      </c>
      <c r="D1761" s="2" t="s">
        <v>44</v>
      </c>
      <c r="E1761" s="2" t="s">
        <v>45</v>
      </c>
      <c r="F1761">
        <v>4083</v>
      </c>
      <c r="G1761" s="2" t="s">
        <v>154</v>
      </c>
      <c r="H1761" s="2" t="s">
        <v>141</v>
      </c>
      <c r="I1761" s="2" t="s">
        <v>33</v>
      </c>
      <c r="J1761" s="2" t="s">
        <v>60</v>
      </c>
      <c r="K1761" s="2" t="s">
        <v>33</v>
      </c>
      <c r="L1761">
        <v>1193.72</v>
      </c>
      <c r="M1761">
        <v>1</v>
      </c>
      <c r="N1761">
        <v>6.7759999999999998</v>
      </c>
      <c r="O1761">
        <v>6400835</v>
      </c>
      <c r="P1761" s="2" t="s">
        <v>130</v>
      </c>
      <c r="Q1761" s="2" t="s">
        <v>131</v>
      </c>
      <c r="R1761" s="2" t="s">
        <v>30</v>
      </c>
      <c r="S1761">
        <v>10</v>
      </c>
      <c r="T1761" s="1">
        <v>43624</v>
      </c>
      <c r="U1761" s="1">
        <v>43632</v>
      </c>
      <c r="V1761" s="2"/>
      <c r="W1761" s="1">
        <f>fNotasFiscais[[#This Row],[Data da Coleta]]+fNotasFiscais[[#This Row],[Prazo Contratado]]</f>
        <v>43634</v>
      </c>
      <c r="X1761" s="3">
        <f>IF(fNotasFiscais[[#This Row],[Data da Entrega]]&gt;fNotasFiscais[[#This Row],[Data Contratada]],0,1)</f>
        <v>1</v>
      </c>
      <c r="Y1761" s="3">
        <f>IF(fNotasFiscais[[#This Row],[Ocorrência]]="",1,0)</f>
        <v>1</v>
      </c>
      <c r="Z1761" s="2">
        <f>fNotasFiscais[[#This Row],[On Time]]*fNotasFiscais[[#This Row],[In Full]]</f>
        <v>1</v>
      </c>
      <c r="AA1761">
        <f>IF(fNotasFiscais[[#This Row],[Nota Fiscal]]&lt;&gt;"",1,0)</f>
        <v>1</v>
      </c>
    </row>
    <row r="1762" spans="1:27" x14ac:dyDescent="0.25">
      <c r="A1762" s="1">
        <v>43623</v>
      </c>
      <c r="B1762">
        <v>12171</v>
      </c>
      <c r="C1762" s="2" t="s">
        <v>34</v>
      </c>
      <c r="D1762" s="2" t="s">
        <v>35</v>
      </c>
      <c r="E1762" s="2" t="s">
        <v>36</v>
      </c>
      <c r="F1762">
        <v>4083</v>
      </c>
      <c r="G1762" s="2" t="s">
        <v>154</v>
      </c>
      <c r="H1762" s="2" t="s">
        <v>141</v>
      </c>
      <c r="I1762" s="2" t="s">
        <v>33</v>
      </c>
      <c r="J1762" s="2" t="s">
        <v>60</v>
      </c>
      <c r="K1762" s="2" t="s">
        <v>33</v>
      </c>
      <c r="L1762">
        <v>33.369999999999997</v>
      </c>
      <c r="M1762">
        <v>1</v>
      </c>
      <c r="N1762">
        <v>0.49399999999999999</v>
      </c>
      <c r="O1762">
        <v>6400835</v>
      </c>
      <c r="P1762" s="2" t="s">
        <v>130</v>
      </c>
      <c r="Q1762" s="2" t="s">
        <v>131</v>
      </c>
      <c r="R1762" s="2" t="s">
        <v>30</v>
      </c>
      <c r="S1762">
        <v>11</v>
      </c>
      <c r="T1762" s="1">
        <v>43624</v>
      </c>
      <c r="U1762" s="1">
        <v>43630</v>
      </c>
      <c r="V1762" s="2"/>
      <c r="W1762" s="1">
        <f>fNotasFiscais[[#This Row],[Data da Coleta]]+fNotasFiscais[[#This Row],[Prazo Contratado]]</f>
        <v>43635</v>
      </c>
      <c r="X1762" s="3">
        <f>IF(fNotasFiscais[[#This Row],[Data da Entrega]]&gt;fNotasFiscais[[#This Row],[Data Contratada]],0,1)</f>
        <v>1</v>
      </c>
      <c r="Y1762" s="3">
        <f>IF(fNotasFiscais[[#This Row],[Ocorrência]]="",1,0)</f>
        <v>1</v>
      </c>
      <c r="Z1762" s="2">
        <f>fNotasFiscais[[#This Row],[On Time]]*fNotasFiscais[[#This Row],[In Full]]</f>
        <v>1</v>
      </c>
      <c r="AA1762">
        <f>IF(fNotasFiscais[[#This Row],[Nota Fiscal]]&lt;&gt;"",1,0)</f>
        <v>1</v>
      </c>
    </row>
    <row r="1763" spans="1:27" x14ac:dyDescent="0.25">
      <c r="A1763" s="1">
        <v>43623</v>
      </c>
      <c r="B1763">
        <v>12172</v>
      </c>
      <c r="C1763" s="2" t="s">
        <v>22</v>
      </c>
      <c r="D1763" s="2" t="s">
        <v>23</v>
      </c>
      <c r="E1763" s="2" t="s">
        <v>24</v>
      </c>
      <c r="F1763">
        <v>4032</v>
      </c>
      <c r="G1763" s="2" t="s">
        <v>108</v>
      </c>
      <c r="H1763" s="2" t="s">
        <v>51</v>
      </c>
      <c r="I1763" s="2" t="s">
        <v>73</v>
      </c>
      <c r="J1763" s="2" t="s">
        <v>49</v>
      </c>
      <c r="K1763" s="2" t="s">
        <v>73</v>
      </c>
      <c r="L1763">
        <v>1114.3599999999999</v>
      </c>
      <c r="M1763">
        <v>3</v>
      </c>
      <c r="N1763">
        <v>12.164</v>
      </c>
      <c r="O1763">
        <v>6100231</v>
      </c>
      <c r="P1763" s="2" t="s">
        <v>50</v>
      </c>
      <c r="Q1763" s="2" t="s">
        <v>51</v>
      </c>
      <c r="R1763" s="2" t="s">
        <v>30</v>
      </c>
      <c r="S1763">
        <v>4</v>
      </c>
      <c r="T1763" s="1">
        <v>43624</v>
      </c>
      <c r="U1763" s="1">
        <v>43626</v>
      </c>
      <c r="V1763" s="2"/>
      <c r="W1763" s="1">
        <f>fNotasFiscais[[#This Row],[Data da Coleta]]+fNotasFiscais[[#This Row],[Prazo Contratado]]</f>
        <v>43628</v>
      </c>
      <c r="X1763" s="3">
        <f>IF(fNotasFiscais[[#This Row],[Data da Entrega]]&gt;fNotasFiscais[[#This Row],[Data Contratada]],0,1)</f>
        <v>1</v>
      </c>
      <c r="Y1763" s="3">
        <f>IF(fNotasFiscais[[#This Row],[Ocorrência]]="",1,0)</f>
        <v>1</v>
      </c>
      <c r="Z1763" s="2">
        <f>fNotasFiscais[[#This Row],[On Time]]*fNotasFiscais[[#This Row],[In Full]]</f>
        <v>1</v>
      </c>
      <c r="AA1763">
        <f>IF(fNotasFiscais[[#This Row],[Nota Fiscal]]&lt;&gt;"",1,0)</f>
        <v>1</v>
      </c>
    </row>
    <row r="1764" spans="1:27" x14ac:dyDescent="0.25">
      <c r="A1764" s="1">
        <v>43623</v>
      </c>
      <c r="B1764">
        <v>12173</v>
      </c>
      <c r="C1764" s="2" t="s">
        <v>40</v>
      </c>
      <c r="D1764" s="2" t="s">
        <v>41</v>
      </c>
      <c r="E1764" s="2" t="s">
        <v>33</v>
      </c>
      <c r="F1764">
        <v>4083</v>
      </c>
      <c r="G1764" s="2" t="s">
        <v>154</v>
      </c>
      <c r="H1764" s="2" t="s">
        <v>141</v>
      </c>
      <c r="I1764" s="2" t="s">
        <v>33</v>
      </c>
      <c r="J1764" s="2" t="s">
        <v>60</v>
      </c>
      <c r="K1764" s="2" t="s">
        <v>33</v>
      </c>
      <c r="L1764">
        <v>67.489999999999995</v>
      </c>
      <c r="M1764">
        <v>1</v>
      </c>
      <c r="N1764">
        <v>1.1200000000000001</v>
      </c>
      <c r="O1764">
        <v>6400835</v>
      </c>
      <c r="P1764" s="2" t="s">
        <v>130</v>
      </c>
      <c r="Q1764" s="2" t="s">
        <v>131</v>
      </c>
      <c r="R1764" s="2" t="s">
        <v>30</v>
      </c>
      <c r="S1764">
        <v>2</v>
      </c>
      <c r="T1764" s="1">
        <v>43624</v>
      </c>
      <c r="U1764" s="1">
        <v>43626</v>
      </c>
      <c r="V1764" s="2"/>
      <c r="W1764" s="1">
        <f>fNotasFiscais[[#This Row],[Data da Coleta]]+fNotasFiscais[[#This Row],[Prazo Contratado]]</f>
        <v>43626</v>
      </c>
      <c r="X1764" s="3">
        <f>IF(fNotasFiscais[[#This Row],[Data da Entrega]]&gt;fNotasFiscais[[#This Row],[Data Contratada]],0,1)</f>
        <v>1</v>
      </c>
      <c r="Y1764" s="3">
        <f>IF(fNotasFiscais[[#This Row],[Ocorrência]]="",1,0)</f>
        <v>1</v>
      </c>
      <c r="Z1764" s="2">
        <f>fNotasFiscais[[#This Row],[On Time]]*fNotasFiscais[[#This Row],[In Full]]</f>
        <v>1</v>
      </c>
      <c r="AA1764">
        <f>IF(fNotasFiscais[[#This Row],[Nota Fiscal]]&lt;&gt;"",1,0)</f>
        <v>1</v>
      </c>
    </row>
    <row r="1765" spans="1:27" x14ac:dyDescent="0.25">
      <c r="A1765" s="1">
        <v>43623</v>
      </c>
      <c r="B1765">
        <v>12174</v>
      </c>
      <c r="C1765" s="2" t="s">
        <v>54</v>
      </c>
      <c r="D1765" s="2" t="s">
        <v>55</v>
      </c>
      <c r="E1765" s="2" t="s">
        <v>56</v>
      </c>
      <c r="F1765">
        <v>4083</v>
      </c>
      <c r="G1765" s="2" t="s">
        <v>154</v>
      </c>
      <c r="H1765" s="2" t="s">
        <v>141</v>
      </c>
      <c r="I1765" s="2" t="s">
        <v>33</v>
      </c>
      <c r="J1765" s="2" t="s">
        <v>60</v>
      </c>
      <c r="K1765" s="2" t="s">
        <v>33</v>
      </c>
      <c r="L1765">
        <v>6649.04</v>
      </c>
      <c r="M1765">
        <v>46</v>
      </c>
      <c r="N1765">
        <v>206.852</v>
      </c>
      <c r="O1765">
        <v>6400835</v>
      </c>
      <c r="P1765" s="2" t="s">
        <v>130</v>
      </c>
      <c r="Q1765" s="2" t="s">
        <v>131</v>
      </c>
      <c r="R1765" s="2" t="s">
        <v>30</v>
      </c>
      <c r="S1765">
        <v>1</v>
      </c>
      <c r="T1765" s="1">
        <v>43624</v>
      </c>
      <c r="U1765" s="1">
        <v>43627</v>
      </c>
      <c r="V1765" s="2" t="s">
        <v>42</v>
      </c>
      <c r="W1765" s="1">
        <f>fNotasFiscais[[#This Row],[Data da Coleta]]+fNotasFiscais[[#This Row],[Prazo Contratado]]</f>
        <v>43625</v>
      </c>
      <c r="X1765" s="3">
        <f>IF(fNotasFiscais[[#This Row],[Data da Entrega]]&gt;fNotasFiscais[[#This Row],[Data Contratada]],0,1)</f>
        <v>0</v>
      </c>
      <c r="Y1765" s="3">
        <f>IF(fNotasFiscais[[#This Row],[Ocorrência]]="",1,0)</f>
        <v>0</v>
      </c>
      <c r="Z1765" s="2">
        <f>fNotasFiscais[[#This Row],[On Time]]*fNotasFiscais[[#This Row],[In Full]]</f>
        <v>0</v>
      </c>
      <c r="AA1765">
        <f>IF(fNotasFiscais[[#This Row],[Nota Fiscal]]&lt;&gt;"",1,0)</f>
        <v>1</v>
      </c>
    </row>
    <row r="1766" spans="1:27" x14ac:dyDescent="0.25">
      <c r="A1766" s="1">
        <v>43623</v>
      </c>
      <c r="B1766">
        <v>12175</v>
      </c>
      <c r="C1766" s="2" t="s">
        <v>43</v>
      </c>
      <c r="D1766" s="2" t="s">
        <v>44</v>
      </c>
      <c r="E1766" s="2" t="s">
        <v>45</v>
      </c>
      <c r="F1766">
        <v>4083</v>
      </c>
      <c r="G1766" s="2" t="s">
        <v>154</v>
      </c>
      <c r="H1766" s="2" t="s">
        <v>141</v>
      </c>
      <c r="I1766" s="2" t="s">
        <v>33</v>
      </c>
      <c r="J1766" s="2" t="s">
        <v>60</v>
      </c>
      <c r="K1766" s="2" t="s">
        <v>33</v>
      </c>
      <c r="L1766">
        <v>42315.96</v>
      </c>
      <c r="M1766">
        <v>1</v>
      </c>
      <c r="N1766">
        <v>1.1200000000000001</v>
      </c>
      <c r="O1766">
        <v>6400835</v>
      </c>
      <c r="P1766" s="2" t="s">
        <v>130</v>
      </c>
      <c r="Q1766" s="2" t="s">
        <v>131</v>
      </c>
      <c r="R1766" s="2" t="s">
        <v>30</v>
      </c>
      <c r="S1766">
        <v>2</v>
      </c>
      <c r="T1766" s="1">
        <v>43624</v>
      </c>
      <c r="U1766" s="1">
        <v>43630</v>
      </c>
      <c r="V1766" s="2"/>
      <c r="W1766" s="1">
        <f>fNotasFiscais[[#This Row],[Data da Coleta]]+fNotasFiscais[[#This Row],[Prazo Contratado]]</f>
        <v>43626</v>
      </c>
      <c r="X1766" s="3">
        <f>IF(fNotasFiscais[[#This Row],[Data da Entrega]]&gt;fNotasFiscais[[#This Row],[Data Contratada]],0,1)</f>
        <v>0</v>
      </c>
      <c r="Y1766" s="3">
        <f>IF(fNotasFiscais[[#This Row],[Ocorrência]]="",1,0)</f>
        <v>1</v>
      </c>
      <c r="Z1766" s="2">
        <f>fNotasFiscais[[#This Row],[On Time]]*fNotasFiscais[[#This Row],[In Full]]</f>
        <v>0</v>
      </c>
      <c r="AA1766">
        <f>IF(fNotasFiscais[[#This Row],[Nota Fiscal]]&lt;&gt;"",1,0)</f>
        <v>1</v>
      </c>
    </row>
    <row r="1767" spans="1:27" x14ac:dyDescent="0.25">
      <c r="A1767" s="1">
        <v>43626</v>
      </c>
      <c r="B1767">
        <v>12176</v>
      </c>
      <c r="C1767" s="2" t="s">
        <v>34</v>
      </c>
      <c r="D1767" s="2" t="s">
        <v>35</v>
      </c>
      <c r="E1767" s="2" t="s">
        <v>36</v>
      </c>
      <c r="F1767">
        <v>4128</v>
      </c>
      <c r="G1767" s="2" t="s">
        <v>211</v>
      </c>
      <c r="H1767" s="2" t="s">
        <v>167</v>
      </c>
      <c r="I1767" s="2" t="s">
        <v>168</v>
      </c>
      <c r="J1767" s="2" t="s">
        <v>169</v>
      </c>
      <c r="K1767" s="2" t="s">
        <v>168</v>
      </c>
      <c r="L1767">
        <v>2985.45</v>
      </c>
      <c r="M1767">
        <v>4</v>
      </c>
      <c r="N1767">
        <v>5.7329999999999997</v>
      </c>
      <c r="O1767">
        <v>6900304</v>
      </c>
      <c r="P1767" s="2" t="s">
        <v>170</v>
      </c>
      <c r="Q1767" s="2" t="s">
        <v>171</v>
      </c>
      <c r="R1767" s="2" t="s">
        <v>30</v>
      </c>
      <c r="S1767">
        <v>9</v>
      </c>
      <c r="T1767" s="1">
        <v>43627</v>
      </c>
      <c r="U1767" s="1">
        <v>43630</v>
      </c>
      <c r="V1767" s="2"/>
      <c r="W1767" s="1">
        <f>fNotasFiscais[[#This Row],[Data da Coleta]]+fNotasFiscais[[#This Row],[Prazo Contratado]]</f>
        <v>43636</v>
      </c>
      <c r="X1767" s="3">
        <f>IF(fNotasFiscais[[#This Row],[Data da Entrega]]&gt;fNotasFiscais[[#This Row],[Data Contratada]],0,1)</f>
        <v>1</v>
      </c>
      <c r="Y1767" s="3">
        <f>IF(fNotasFiscais[[#This Row],[Ocorrência]]="",1,0)</f>
        <v>1</v>
      </c>
      <c r="Z1767" s="2">
        <f>fNotasFiscais[[#This Row],[On Time]]*fNotasFiscais[[#This Row],[In Full]]</f>
        <v>1</v>
      </c>
      <c r="AA1767">
        <f>IF(fNotasFiscais[[#This Row],[Nota Fiscal]]&lt;&gt;"",1,0)</f>
        <v>1</v>
      </c>
    </row>
    <row r="1768" spans="1:27" x14ac:dyDescent="0.25">
      <c r="A1768" s="1">
        <v>43626</v>
      </c>
      <c r="B1768">
        <v>12177</v>
      </c>
      <c r="C1768" s="2" t="s">
        <v>43</v>
      </c>
      <c r="D1768" s="2" t="s">
        <v>44</v>
      </c>
      <c r="E1768" s="2" t="s">
        <v>45</v>
      </c>
      <c r="F1768">
        <v>4068</v>
      </c>
      <c r="G1768" s="2" t="s">
        <v>63</v>
      </c>
      <c r="H1768" s="2" t="s">
        <v>64</v>
      </c>
      <c r="I1768" s="2" t="s">
        <v>65</v>
      </c>
      <c r="J1768" s="2" t="s">
        <v>49</v>
      </c>
      <c r="K1768" s="2" t="s">
        <v>65</v>
      </c>
      <c r="L1768">
        <v>295.70999999999998</v>
      </c>
      <c r="M1768">
        <v>1</v>
      </c>
      <c r="N1768">
        <v>1.1200000000000001</v>
      </c>
      <c r="O1768">
        <v>6100231</v>
      </c>
      <c r="P1768" s="2" t="s">
        <v>50</v>
      </c>
      <c r="Q1768" s="2" t="s">
        <v>51</v>
      </c>
      <c r="R1768" s="2" t="s">
        <v>30</v>
      </c>
      <c r="S1768">
        <v>2</v>
      </c>
      <c r="T1768" s="1">
        <v>43627</v>
      </c>
      <c r="U1768" s="1">
        <v>43636</v>
      </c>
      <c r="V1768" s="2"/>
      <c r="W1768" s="1">
        <f>fNotasFiscais[[#This Row],[Data da Coleta]]+fNotasFiscais[[#This Row],[Prazo Contratado]]</f>
        <v>43629</v>
      </c>
      <c r="X1768" s="3">
        <f>IF(fNotasFiscais[[#This Row],[Data da Entrega]]&gt;fNotasFiscais[[#This Row],[Data Contratada]],0,1)</f>
        <v>0</v>
      </c>
      <c r="Y1768" s="3">
        <f>IF(fNotasFiscais[[#This Row],[Ocorrência]]="",1,0)</f>
        <v>1</v>
      </c>
      <c r="Z1768" s="2">
        <f>fNotasFiscais[[#This Row],[On Time]]*fNotasFiscais[[#This Row],[In Full]]</f>
        <v>0</v>
      </c>
      <c r="AA1768">
        <f>IF(fNotasFiscais[[#This Row],[Nota Fiscal]]&lt;&gt;"",1,0)</f>
        <v>1</v>
      </c>
    </row>
    <row r="1769" spans="1:27" x14ac:dyDescent="0.25">
      <c r="A1769" s="1">
        <v>43626</v>
      </c>
      <c r="B1769">
        <v>12178</v>
      </c>
      <c r="C1769" s="2" t="s">
        <v>52</v>
      </c>
      <c r="D1769" s="2" t="s">
        <v>53</v>
      </c>
      <c r="E1769" s="2" t="s">
        <v>33</v>
      </c>
      <c r="F1769">
        <v>4018</v>
      </c>
      <c r="G1769" s="2" t="s">
        <v>77</v>
      </c>
      <c r="H1769" s="2" t="s">
        <v>78</v>
      </c>
      <c r="I1769" s="2" t="s">
        <v>39</v>
      </c>
      <c r="J1769" s="2" t="s">
        <v>28</v>
      </c>
      <c r="K1769" s="2" t="s">
        <v>39</v>
      </c>
      <c r="L1769">
        <v>2379.5100000000002</v>
      </c>
      <c r="M1769">
        <v>6</v>
      </c>
      <c r="N1769">
        <v>80.52</v>
      </c>
      <c r="O1769">
        <v>6500948</v>
      </c>
      <c r="P1769" s="2" t="s">
        <v>29</v>
      </c>
      <c r="Q1769" s="2" t="s">
        <v>23</v>
      </c>
      <c r="R1769" s="2" t="s">
        <v>30</v>
      </c>
      <c r="S1769">
        <v>12</v>
      </c>
      <c r="T1769" s="1">
        <v>43627</v>
      </c>
      <c r="U1769" s="1">
        <v>43628</v>
      </c>
      <c r="V1769" s="2" t="s">
        <v>42</v>
      </c>
      <c r="W1769" s="1">
        <f>fNotasFiscais[[#This Row],[Data da Coleta]]+fNotasFiscais[[#This Row],[Prazo Contratado]]</f>
        <v>43639</v>
      </c>
      <c r="X1769" s="3">
        <f>IF(fNotasFiscais[[#This Row],[Data da Entrega]]&gt;fNotasFiscais[[#This Row],[Data Contratada]],0,1)</f>
        <v>1</v>
      </c>
      <c r="Y1769" s="3">
        <f>IF(fNotasFiscais[[#This Row],[Ocorrência]]="",1,0)</f>
        <v>0</v>
      </c>
      <c r="Z1769" s="2">
        <f>fNotasFiscais[[#This Row],[On Time]]*fNotasFiscais[[#This Row],[In Full]]</f>
        <v>0</v>
      </c>
      <c r="AA1769">
        <f>IF(fNotasFiscais[[#This Row],[Nota Fiscal]]&lt;&gt;"",1,0)</f>
        <v>1</v>
      </c>
    </row>
    <row r="1770" spans="1:27" x14ac:dyDescent="0.25">
      <c r="A1770" s="1">
        <v>43626</v>
      </c>
      <c r="B1770">
        <v>12179</v>
      </c>
      <c r="C1770" s="2" t="s">
        <v>34</v>
      </c>
      <c r="D1770" s="2" t="s">
        <v>35</v>
      </c>
      <c r="E1770" s="2" t="s">
        <v>36</v>
      </c>
      <c r="F1770">
        <v>4040</v>
      </c>
      <c r="G1770" s="2" t="s">
        <v>117</v>
      </c>
      <c r="H1770" s="2" t="s">
        <v>47</v>
      </c>
      <c r="I1770" s="2" t="s">
        <v>48</v>
      </c>
      <c r="J1770" s="2" t="s">
        <v>49</v>
      </c>
      <c r="K1770" s="2" t="s">
        <v>48</v>
      </c>
      <c r="L1770">
        <v>360.57</v>
      </c>
      <c r="M1770">
        <v>1</v>
      </c>
      <c r="N1770">
        <v>13.42</v>
      </c>
      <c r="O1770">
        <v>6100231</v>
      </c>
      <c r="P1770" s="2" t="s">
        <v>50</v>
      </c>
      <c r="Q1770" s="2" t="s">
        <v>51</v>
      </c>
      <c r="R1770" s="2" t="s">
        <v>30</v>
      </c>
      <c r="S1770">
        <v>10</v>
      </c>
      <c r="T1770" s="1">
        <v>43627</v>
      </c>
      <c r="U1770" s="1">
        <v>43629</v>
      </c>
      <c r="V1770" s="2"/>
      <c r="W1770" s="1">
        <f>fNotasFiscais[[#This Row],[Data da Coleta]]+fNotasFiscais[[#This Row],[Prazo Contratado]]</f>
        <v>43637</v>
      </c>
      <c r="X1770" s="3">
        <f>IF(fNotasFiscais[[#This Row],[Data da Entrega]]&gt;fNotasFiscais[[#This Row],[Data Contratada]],0,1)</f>
        <v>1</v>
      </c>
      <c r="Y1770" s="3">
        <f>IF(fNotasFiscais[[#This Row],[Ocorrência]]="",1,0)</f>
        <v>1</v>
      </c>
      <c r="Z1770" s="2">
        <f>fNotasFiscais[[#This Row],[On Time]]*fNotasFiscais[[#This Row],[In Full]]</f>
        <v>1</v>
      </c>
      <c r="AA1770">
        <f>IF(fNotasFiscais[[#This Row],[Nota Fiscal]]&lt;&gt;"",1,0)</f>
        <v>1</v>
      </c>
    </row>
    <row r="1771" spans="1:27" x14ac:dyDescent="0.25">
      <c r="A1771" s="1">
        <v>43626</v>
      </c>
      <c r="B1771">
        <v>12180</v>
      </c>
      <c r="C1771" s="2" t="s">
        <v>54</v>
      </c>
      <c r="D1771" s="2" t="s">
        <v>55</v>
      </c>
      <c r="E1771" s="2" t="s">
        <v>56</v>
      </c>
      <c r="F1771">
        <v>4055</v>
      </c>
      <c r="G1771" s="2" t="s">
        <v>120</v>
      </c>
      <c r="H1771" s="2" t="s">
        <v>47</v>
      </c>
      <c r="I1771" s="2" t="s">
        <v>48</v>
      </c>
      <c r="J1771" s="2" t="s">
        <v>49</v>
      </c>
      <c r="K1771" s="2" t="s">
        <v>48</v>
      </c>
      <c r="L1771">
        <v>891.63</v>
      </c>
      <c r="M1771">
        <v>2</v>
      </c>
      <c r="N1771">
        <v>1.804</v>
      </c>
      <c r="O1771">
        <v>6100231</v>
      </c>
      <c r="P1771" s="2" t="s">
        <v>50</v>
      </c>
      <c r="Q1771" s="2" t="s">
        <v>51</v>
      </c>
      <c r="R1771" s="2" t="s">
        <v>30</v>
      </c>
      <c r="S1771">
        <v>1</v>
      </c>
      <c r="T1771" s="1">
        <v>43627</v>
      </c>
      <c r="U1771" s="1">
        <v>43631</v>
      </c>
      <c r="V1771" s="2"/>
      <c r="W1771" s="1">
        <f>fNotasFiscais[[#This Row],[Data da Coleta]]+fNotasFiscais[[#This Row],[Prazo Contratado]]</f>
        <v>43628</v>
      </c>
      <c r="X1771" s="3">
        <f>IF(fNotasFiscais[[#This Row],[Data da Entrega]]&gt;fNotasFiscais[[#This Row],[Data Contratada]],0,1)</f>
        <v>0</v>
      </c>
      <c r="Y1771" s="3">
        <f>IF(fNotasFiscais[[#This Row],[Ocorrência]]="",1,0)</f>
        <v>1</v>
      </c>
      <c r="Z1771" s="2">
        <f>fNotasFiscais[[#This Row],[On Time]]*fNotasFiscais[[#This Row],[In Full]]</f>
        <v>0</v>
      </c>
      <c r="AA1771">
        <f>IF(fNotasFiscais[[#This Row],[Nota Fiscal]]&lt;&gt;"",1,0)</f>
        <v>1</v>
      </c>
    </row>
    <row r="1772" spans="1:27" x14ac:dyDescent="0.25">
      <c r="A1772" s="1">
        <v>43626</v>
      </c>
      <c r="B1772">
        <v>12181</v>
      </c>
      <c r="C1772" s="2" t="s">
        <v>40</v>
      </c>
      <c r="D1772" s="2" t="s">
        <v>41</v>
      </c>
      <c r="E1772" s="2" t="s">
        <v>33</v>
      </c>
      <c r="F1772">
        <v>4028</v>
      </c>
      <c r="G1772" s="2" t="s">
        <v>95</v>
      </c>
      <c r="H1772" s="2" t="s">
        <v>26</v>
      </c>
      <c r="I1772" s="2" t="s">
        <v>27</v>
      </c>
      <c r="J1772" s="2" t="s">
        <v>28</v>
      </c>
      <c r="K1772" s="2" t="s">
        <v>27</v>
      </c>
      <c r="L1772">
        <v>270.62</v>
      </c>
      <c r="M1772">
        <v>1</v>
      </c>
      <c r="N1772">
        <v>1.1200000000000001</v>
      </c>
      <c r="O1772">
        <v>6500948</v>
      </c>
      <c r="P1772" s="2" t="s">
        <v>29</v>
      </c>
      <c r="Q1772" s="2" t="s">
        <v>23</v>
      </c>
      <c r="R1772" s="2" t="s">
        <v>30</v>
      </c>
      <c r="S1772">
        <v>3</v>
      </c>
      <c r="T1772" s="1">
        <v>43627</v>
      </c>
      <c r="U1772" s="1">
        <v>43632</v>
      </c>
      <c r="V1772" s="2"/>
      <c r="W1772" s="1">
        <f>fNotasFiscais[[#This Row],[Data da Coleta]]+fNotasFiscais[[#This Row],[Prazo Contratado]]</f>
        <v>43630</v>
      </c>
      <c r="X1772" s="3">
        <f>IF(fNotasFiscais[[#This Row],[Data da Entrega]]&gt;fNotasFiscais[[#This Row],[Data Contratada]],0,1)</f>
        <v>0</v>
      </c>
      <c r="Y1772" s="3">
        <f>IF(fNotasFiscais[[#This Row],[Ocorrência]]="",1,0)</f>
        <v>1</v>
      </c>
      <c r="Z1772" s="2">
        <f>fNotasFiscais[[#This Row],[On Time]]*fNotasFiscais[[#This Row],[In Full]]</f>
        <v>0</v>
      </c>
      <c r="AA1772">
        <f>IF(fNotasFiscais[[#This Row],[Nota Fiscal]]&lt;&gt;"",1,0)</f>
        <v>1</v>
      </c>
    </row>
    <row r="1773" spans="1:27" x14ac:dyDescent="0.25">
      <c r="A1773" s="1">
        <v>43626</v>
      </c>
      <c r="B1773">
        <v>12182</v>
      </c>
      <c r="C1773" s="2" t="s">
        <v>31</v>
      </c>
      <c r="D1773" s="2" t="s">
        <v>32</v>
      </c>
      <c r="E1773" s="2" t="s">
        <v>33</v>
      </c>
      <c r="F1773">
        <v>4040</v>
      </c>
      <c r="G1773" s="2" t="s">
        <v>117</v>
      </c>
      <c r="H1773" s="2" t="s">
        <v>47</v>
      </c>
      <c r="I1773" s="2" t="s">
        <v>48</v>
      </c>
      <c r="J1773" s="2" t="s">
        <v>49</v>
      </c>
      <c r="K1773" s="2" t="s">
        <v>48</v>
      </c>
      <c r="L1773">
        <v>721.17</v>
      </c>
      <c r="M1773">
        <v>2</v>
      </c>
      <c r="N1773">
        <v>26.84</v>
      </c>
      <c r="O1773">
        <v>6100231</v>
      </c>
      <c r="P1773" s="2" t="s">
        <v>50</v>
      </c>
      <c r="Q1773" s="2" t="s">
        <v>51</v>
      </c>
      <c r="R1773" s="2" t="s">
        <v>30</v>
      </c>
      <c r="S1773">
        <v>3</v>
      </c>
      <c r="T1773" s="1">
        <v>43627</v>
      </c>
      <c r="U1773" s="1">
        <v>43631</v>
      </c>
      <c r="V1773" s="2" t="s">
        <v>42</v>
      </c>
      <c r="W1773" s="1">
        <f>fNotasFiscais[[#This Row],[Data da Coleta]]+fNotasFiscais[[#This Row],[Prazo Contratado]]</f>
        <v>43630</v>
      </c>
      <c r="X1773" s="3">
        <f>IF(fNotasFiscais[[#This Row],[Data da Entrega]]&gt;fNotasFiscais[[#This Row],[Data Contratada]],0,1)</f>
        <v>0</v>
      </c>
      <c r="Y1773" s="3">
        <f>IF(fNotasFiscais[[#This Row],[Ocorrência]]="",1,0)</f>
        <v>0</v>
      </c>
      <c r="Z1773" s="2">
        <f>fNotasFiscais[[#This Row],[On Time]]*fNotasFiscais[[#This Row],[In Full]]</f>
        <v>0</v>
      </c>
      <c r="AA1773">
        <f>IF(fNotasFiscais[[#This Row],[Nota Fiscal]]&lt;&gt;"",1,0)</f>
        <v>1</v>
      </c>
    </row>
    <row r="1774" spans="1:27" x14ac:dyDescent="0.25">
      <c r="A1774" s="1">
        <v>43626</v>
      </c>
      <c r="B1774">
        <v>12183</v>
      </c>
      <c r="C1774" s="2" t="s">
        <v>52</v>
      </c>
      <c r="D1774" s="2" t="s">
        <v>53</v>
      </c>
      <c r="E1774" s="2" t="s">
        <v>33</v>
      </c>
      <c r="F1774">
        <v>4055</v>
      </c>
      <c r="G1774" s="2" t="s">
        <v>120</v>
      </c>
      <c r="H1774" s="2" t="s">
        <v>47</v>
      </c>
      <c r="I1774" s="2" t="s">
        <v>48</v>
      </c>
      <c r="J1774" s="2" t="s">
        <v>49</v>
      </c>
      <c r="K1774" s="2" t="s">
        <v>48</v>
      </c>
      <c r="L1774">
        <v>5197.49</v>
      </c>
      <c r="M1774">
        <v>2</v>
      </c>
      <c r="N1774">
        <v>18.257000000000001</v>
      </c>
      <c r="O1774">
        <v>6100231</v>
      </c>
      <c r="P1774" s="2" t="s">
        <v>50</v>
      </c>
      <c r="Q1774" s="2" t="s">
        <v>51</v>
      </c>
      <c r="R1774" s="2" t="s">
        <v>30</v>
      </c>
      <c r="S1774">
        <v>9</v>
      </c>
      <c r="T1774" s="1">
        <v>43627</v>
      </c>
      <c r="U1774" s="1">
        <v>43634</v>
      </c>
      <c r="V1774" s="2" t="s">
        <v>57</v>
      </c>
      <c r="W1774" s="1">
        <f>fNotasFiscais[[#This Row],[Data da Coleta]]+fNotasFiscais[[#This Row],[Prazo Contratado]]</f>
        <v>43636</v>
      </c>
      <c r="X1774" s="3">
        <f>IF(fNotasFiscais[[#This Row],[Data da Entrega]]&gt;fNotasFiscais[[#This Row],[Data Contratada]],0,1)</f>
        <v>1</v>
      </c>
      <c r="Y1774" s="3">
        <f>IF(fNotasFiscais[[#This Row],[Ocorrência]]="",1,0)</f>
        <v>0</v>
      </c>
      <c r="Z1774" s="2">
        <f>fNotasFiscais[[#This Row],[On Time]]*fNotasFiscais[[#This Row],[In Full]]</f>
        <v>0</v>
      </c>
      <c r="AA1774">
        <f>IF(fNotasFiscais[[#This Row],[Nota Fiscal]]&lt;&gt;"",1,0)</f>
        <v>1</v>
      </c>
    </row>
    <row r="1775" spans="1:27" x14ac:dyDescent="0.25">
      <c r="A1775" s="1">
        <v>43626</v>
      </c>
      <c r="B1775">
        <v>12184</v>
      </c>
      <c r="C1775" s="2" t="s">
        <v>34</v>
      </c>
      <c r="D1775" s="2" t="s">
        <v>35</v>
      </c>
      <c r="E1775" s="2" t="s">
        <v>36</v>
      </c>
      <c r="F1775">
        <v>4028</v>
      </c>
      <c r="G1775" s="2" t="s">
        <v>95</v>
      </c>
      <c r="H1775" s="2" t="s">
        <v>26</v>
      </c>
      <c r="I1775" s="2" t="s">
        <v>27</v>
      </c>
      <c r="J1775" s="2" t="s">
        <v>28</v>
      </c>
      <c r="K1775" s="2" t="s">
        <v>27</v>
      </c>
      <c r="L1775">
        <v>2630.06</v>
      </c>
      <c r="M1775">
        <v>5</v>
      </c>
      <c r="N1775">
        <v>16.942</v>
      </c>
      <c r="O1775">
        <v>6500948</v>
      </c>
      <c r="P1775" s="2" t="s">
        <v>29</v>
      </c>
      <c r="Q1775" s="2" t="s">
        <v>23</v>
      </c>
      <c r="R1775" s="2" t="s">
        <v>30</v>
      </c>
      <c r="S1775">
        <v>6</v>
      </c>
      <c r="T1775" s="1">
        <v>43627</v>
      </c>
      <c r="U1775" s="1">
        <v>43633</v>
      </c>
      <c r="V1775" s="2"/>
      <c r="W1775" s="1">
        <f>fNotasFiscais[[#This Row],[Data da Coleta]]+fNotasFiscais[[#This Row],[Prazo Contratado]]</f>
        <v>43633</v>
      </c>
      <c r="X1775" s="3">
        <f>IF(fNotasFiscais[[#This Row],[Data da Entrega]]&gt;fNotasFiscais[[#This Row],[Data Contratada]],0,1)</f>
        <v>1</v>
      </c>
      <c r="Y1775" s="3">
        <f>IF(fNotasFiscais[[#This Row],[Ocorrência]]="",1,0)</f>
        <v>1</v>
      </c>
      <c r="Z1775" s="2">
        <f>fNotasFiscais[[#This Row],[On Time]]*fNotasFiscais[[#This Row],[In Full]]</f>
        <v>1</v>
      </c>
      <c r="AA1775">
        <f>IF(fNotasFiscais[[#This Row],[Nota Fiscal]]&lt;&gt;"",1,0)</f>
        <v>1</v>
      </c>
    </row>
    <row r="1776" spans="1:27" x14ac:dyDescent="0.25">
      <c r="A1776" s="1">
        <v>43627</v>
      </c>
      <c r="B1776">
        <v>12185</v>
      </c>
      <c r="C1776" s="2" t="s">
        <v>40</v>
      </c>
      <c r="D1776" s="2" t="s">
        <v>41</v>
      </c>
      <c r="E1776" s="2" t="s">
        <v>33</v>
      </c>
      <c r="F1776">
        <v>4161</v>
      </c>
      <c r="G1776" s="2" t="s">
        <v>244</v>
      </c>
      <c r="H1776" s="2" t="s">
        <v>167</v>
      </c>
      <c r="I1776" s="2" t="s">
        <v>168</v>
      </c>
      <c r="J1776" s="2" t="s">
        <v>169</v>
      </c>
      <c r="K1776" s="2" t="s">
        <v>168</v>
      </c>
      <c r="L1776">
        <v>3186.41</v>
      </c>
      <c r="M1776">
        <v>5</v>
      </c>
      <c r="N1776">
        <v>14.499000000000001</v>
      </c>
      <c r="O1776">
        <v>6900304</v>
      </c>
      <c r="P1776" s="2" t="s">
        <v>170</v>
      </c>
      <c r="Q1776" s="2" t="s">
        <v>171</v>
      </c>
      <c r="R1776" s="2" t="s">
        <v>30</v>
      </c>
      <c r="S1776">
        <v>6</v>
      </c>
      <c r="T1776" s="1">
        <v>43628</v>
      </c>
      <c r="U1776" s="1">
        <v>43635</v>
      </c>
      <c r="V1776" s="2" t="s">
        <v>42</v>
      </c>
      <c r="W1776" s="1">
        <f>fNotasFiscais[[#This Row],[Data da Coleta]]+fNotasFiscais[[#This Row],[Prazo Contratado]]</f>
        <v>43634</v>
      </c>
      <c r="X1776" s="3">
        <f>IF(fNotasFiscais[[#This Row],[Data da Entrega]]&gt;fNotasFiscais[[#This Row],[Data Contratada]],0,1)</f>
        <v>0</v>
      </c>
      <c r="Y1776" s="3">
        <f>IF(fNotasFiscais[[#This Row],[Ocorrência]]="",1,0)</f>
        <v>0</v>
      </c>
      <c r="Z1776" s="2">
        <f>fNotasFiscais[[#This Row],[On Time]]*fNotasFiscais[[#This Row],[In Full]]</f>
        <v>0</v>
      </c>
      <c r="AA1776">
        <f>IF(fNotasFiscais[[#This Row],[Nota Fiscal]]&lt;&gt;"",1,0)</f>
        <v>1</v>
      </c>
    </row>
    <row r="1777" spans="1:27" x14ac:dyDescent="0.25">
      <c r="A1777" s="1">
        <v>43627</v>
      </c>
      <c r="B1777">
        <v>12186</v>
      </c>
      <c r="C1777" s="2" t="s">
        <v>31</v>
      </c>
      <c r="D1777" s="2" t="s">
        <v>32</v>
      </c>
      <c r="E1777" s="2" t="s">
        <v>33</v>
      </c>
      <c r="F1777">
        <v>4023</v>
      </c>
      <c r="G1777" s="2" t="s">
        <v>88</v>
      </c>
      <c r="H1777" s="2" t="s">
        <v>78</v>
      </c>
      <c r="I1777" s="2" t="s">
        <v>39</v>
      </c>
      <c r="J1777" s="2" t="s">
        <v>28</v>
      </c>
      <c r="K1777" s="2" t="s">
        <v>39</v>
      </c>
      <c r="L1777">
        <v>1189.75</v>
      </c>
      <c r="M1777">
        <v>3</v>
      </c>
      <c r="N1777">
        <v>40.26</v>
      </c>
      <c r="O1777">
        <v>6500948</v>
      </c>
      <c r="P1777" s="2" t="s">
        <v>29</v>
      </c>
      <c r="Q1777" s="2" t="s">
        <v>23</v>
      </c>
      <c r="R1777" s="2" t="s">
        <v>30</v>
      </c>
      <c r="S1777">
        <v>1</v>
      </c>
      <c r="T1777" s="1">
        <v>43628</v>
      </c>
      <c r="U1777" s="1">
        <v>43629</v>
      </c>
      <c r="V1777" s="2"/>
      <c r="W1777" s="1">
        <f>fNotasFiscais[[#This Row],[Data da Coleta]]+fNotasFiscais[[#This Row],[Prazo Contratado]]</f>
        <v>43629</v>
      </c>
      <c r="X1777" s="3">
        <f>IF(fNotasFiscais[[#This Row],[Data da Entrega]]&gt;fNotasFiscais[[#This Row],[Data Contratada]],0,1)</f>
        <v>1</v>
      </c>
      <c r="Y1777" s="3">
        <f>IF(fNotasFiscais[[#This Row],[Ocorrência]]="",1,0)</f>
        <v>1</v>
      </c>
      <c r="Z1777" s="2">
        <f>fNotasFiscais[[#This Row],[On Time]]*fNotasFiscais[[#This Row],[In Full]]</f>
        <v>1</v>
      </c>
      <c r="AA1777">
        <f>IF(fNotasFiscais[[#This Row],[Nota Fiscal]]&lt;&gt;"",1,0)</f>
        <v>1</v>
      </c>
    </row>
    <row r="1778" spans="1:27" x14ac:dyDescent="0.25">
      <c r="A1778" s="1">
        <v>43627</v>
      </c>
      <c r="B1778">
        <v>12187</v>
      </c>
      <c r="C1778" s="2" t="s">
        <v>40</v>
      </c>
      <c r="D1778" s="2" t="s">
        <v>41</v>
      </c>
      <c r="E1778" s="2" t="s">
        <v>33</v>
      </c>
      <c r="F1778">
        <v>4022</v>
      </c>
      <c r="G1778" s="2" t="s">
        <v>86</v>
      </c>
      <c r="H1778" s="2" t="s">
        <v>87</v>
      </c>
      <c r="I1778" s="2" t="s">
        <v>27</v>
      </c>
      <c r="J1778" s="2" t="s">
        <v>28</v>
      </c>
      <c r="K1778" s="2" t="s">
        <v>27</v>
      </c>
      <c r="L1778">
        <v>2589.75</v>
      </c>
      <c r="M1778">
        <v>1</v>
      </c>
      <c r="N1778">
        <v>8.9999999999999993E-3</v>
      </c>
      <c r="O1778">
        <v>6500948</v>
      </c>
      <c r="P1778" s="2" t="s">
        <v>29</v>
      </c>
      <c r="Q1778" s="2" t="s">
        <v>23</v>
      </c>
      <c r="R1778" s="2" t="s">
        <v>30</v>
      </c>
      <c r="S1778">
        <v>1</v>
      </c>
      <c r="T1778" s="1">
        <v>43628</v>
      </c>
      <c r="U1778" s="1">
        <v>43632</v>
      </c>
      <c r="V1778" s="2"/>
      <c r="W1778" s="1">
        <f>fNotasFiscais[[#This Row],[Data da Coleta]]+fNotasFiscais[[#This Row],[Prazo Contratado]]</f>
        <v>43629</v>
      </c>
      <c r="X1778" s="3">
        <f>IF(fNotasFiscais[[#This Row],[Data da Entrega]]&gt;fNotasFiscais[[#This Row],[Data Contratada]],0,1)</f>
        <v>0</v>
      </c>
      <c r="Y1778" s="3">
        <f>IF(fNotasFiscais[[#This Row],[Ocorrência]]="",1,0)</f>
        <v>1</v>
      </c>
      <c r="Z1778" s="2">
        <f>fNotasFiscais[[#This Row],[On Time]]*fNotasFiscais[[#This Row],[In Full]]</f>
        <v>0</v>
      </c>
      <c r="AA1778">
        <f>IF(fNotasFiscais[[#This Row],[Nota Fiscal]]&lt;&gt;"",1,0)</f>
        <v>1</v>
      </c>
    </row>
    <row r="1779" spans="1:27" x14ac:dyDescent="0.25">
      <c r="A1779" s="1">
        <v>43627</v>
      </c>
      <c r="B1779">
        <v>12188</v>
      </c>
      <c r="C1779" s="2" t="s">
        <v>52</v>
      </c>
      <c r="D1779" s="2" t="s">
        <v>53</v>
      </c>
      <c r="E1779" s="2" t="s">
        <v>33</v>
      </c>
      <c r="F1779">
        <v>4022</v>
      </c>
      <c r="G1779" s="2" t="s">
        <v>86</v>
      </c>
      <c r="H1779" s="2" t="s">
        <v>87</v>
      </c>
      <c r="I1779" s="2" t="s">
        <v>27</v>
      </c>
      <c r="J1779" s="2" t="s">
        <v>28</v>
      </c>
      <c r="K1779" s="2" t="s">
        <v>27</v>
      </c>
      <c r="L1779">
        <v>352.55</v>
      </c>
      <c r="M1779">
        <v>4</v>
      </c>
      <c r="N1779">
        <v>15.03</v>
      </c>
      <c r="O1779">
        <v>6500948</v>
      </c>
      <c r="P1779" s="2" t="s">
        <v>29</v>
      </c>
      <c r="Q1779" s="2" t="s">
        <v>23</v>
      </c>
      <c r="R1779" s="2" t="s">
        <v>30</v>
      </c>
      <c r="S1779">
        <v>1</v>
      </c>
      <c r="T1779" s="1">
        <v>43628</v>
      </c>
      <c r="U1779" s="1">
        <v>43633</v>
      </c>
      <c r="V1779" s="2"/>
      <c r="W1779" s="1">
        <f>fNotasFiscais[[#This Row],[Data da Coleta]]+fNotasFiscais[[#This Row],[Prazo Contratado]]</f>
        <v>43629</v>
      </c>
      <c r="X1779" s="3">
        <f>IF(fNotasFiscais[[#This Row],[Data da Entrega]]&gt;fNotasFiscais[[#This Row],[Data Contratada]],0,1)</f>
        <v>0</v>
      </c>
      <c r="Y1779" s="3">
        <f>IF(fNotasFiscais[[#This Row],[Ocorrência]]="",1,0)</f>
        <v>1</v>
      </c>
      <c r="Z1779" s="2">
        <f>fNotasFiscais[[#This Row],[On Time]]*fNotasFiscais[[#This Row],[In Full]]</f>
        <v>0</v>
      </c>
      <c r="AA1779">
        <f>IF(fNotasFiscais[[#This Row],[Nota Fiscal]]&lt;&gt;"",1,0)</f>
        <v>1</v>
      </c>
    </row>
    <row r="1780" spans="1:27" x14ac:dyDescent="0.25">
      <c r="A1780" s="1">
        <v>43628</v>
      </c>
      <c r="B1780">
        <v>12189</v>
      </c>
      <c r="C1780" s="2" t="s">
        <v>40</v>
      </c>
      <c r="D1780" s="2" t="s">
        <v>41</v>
      </c>
      <c r="E1780" s="2" t="s">
        <v>33</v>
      </c>
      <c r="F1780">
        <v>4049</v>
      </c>
      <c r="G1780" s="2" t="s">
        <v>118</v>
      </c>
      <c r="H1780" s="2" t="s">
        <v>97</v>
      </c>
      <c r="I1780" s="2" t="s">
        <v>48</v>
      </c>
      <c r="J1780" s="2" t="s">
        <v>49</v>
      </c>
      <c r="K1780" s="2" t="s">
        <v>48</v>
      </c>
      <c r="L1780">
        <v>2880.44</v>
      </c>
      <c r="M1780">
        <v>1</v>
      </c>
      <c r="N1780">
        <v>1.1200000000000001</v>
      </c>
      <c r="O1780">
        <v>6100231</v>
      </c>
      <c r="P1780" s="2" t="s">
        <v>50</v>
      </c>
      <c r="Q1780" s="2" t="s">
        <v>51</v>
      </c>
      <c r="R1780" s="2" t="s">
        <v>30</v>
      </c>
      <c r="S1780">
        <v>5</v>
      </c>
      <c r="T1780" s="1">
        <v>43629</v>
      </c>
      <c r="U1780" s="1">
        <v>43633</v>
      </c>
      <c r="V1780" s="2" t="s">
        <v>57</v>
      </c>
      <c r="W1780" s="1">
        <f>fNotasFiscais[[#This Row],[Data da Coleta]]+fNotasFiscais[[#This Row],[Prazo Contratado]]</f>
        <v>43634</v>
      </c>
      <c r="X1780" s="3">
        <f>IF(fNotasFiscais[[#This Row],[Data da Entrega]]&gt;fNotasFiscais[[#This Row],[Data Contratada]],0,1)</f>
        <v>1</v>
      </c>
      <c r="Y1780" s="3">
        <f>IF(fNotasFiscais[[#This Row],[Ocorrência]]="",1,0)</f>
        <v>0</v>
      </c>
      <c r="Z1780" s="2">
        <f>fNotasFiscais[[#This Row],[On Time]]*fNotasFiscais[[#This Row],[In Full]]</f>
        <v>0</v>
      </c>
      <c r="AA1780">
        <f>IF(fNotasFiscais[[#This Row],[Nota Fiscal]]&lt;&gt;"",1,0)</f>
        <v>1</v>
      </c>
    </row>
    <row r="1781" spans="1:27" x14ac:dyDescent="0.25">
      <c r="A1781" s="1">
        <v>43628</v>
      </c>
      <c r="B1781">
        <v>12190</v>
      </c>
      <c r="C1781" s="2" t="s">
        <v>22</v>
      </c>
      <c r="D1781" s="2" t="s">
        <v>23</v>
      </c>
      <c r="E1781" s="2" t="s">
        <v>24</v>
      </c>
      <c r="F1781">
        <v>4035</v>
      </c>
      <c r="G1781" s="2" t="s">
        <v>111</v>
      </c>
      <c r="H1781" s="2" t="s">
        <v>47</v>
      </c>
      <c r="I1781" s="2" t="s">
        <v>48</v>
      </c>
      <c r="J1781" s="2" t="s">
        <v>49</v>
      </c>
      <c r="K1781" s="2" t="s">
        <v>48</v>
      </c>
      <c r="L1781">
        <v>25.63</v>
      </c>
      <c r="M1781">
        <v>1</v>
      </c>
      <c r="N1781">
        <v>0.112</v>
      </c>
      <c r="O1781">
        <v>6100231</v>
      </c>
      <c r="P1781" s="2" t="s">
        <v>50</v>
      </c>
      <c r="Q1781" s="2" t="s">
        <v>51</v>
      </c>
      <c r="R1781" s="2" t="s">
        <v>30</v>
      </c>
      <c r="S1781">
        <v>6</v>
      </c>
      <c r="T1781" s="1">
        <v>43629</v>
      </c>
      <c r="U1781" s="1">
        <v>43636</v>
      </c>
      <c r="V1781" s="2"/>
      <c r="W1781" s="1">
        <f>fNotasFiscais[[#This Row],[Data da Coleta]]+fNotasFiscais[[#This Row],[Prazo Contratado]]</f>
        <v>43635</v>
      </c>
      <c r="X1781" s="3">
        <f>IF(fNotasFiscais[[#This Row],[Data da Entrega]]&gt;fNotasFiscais[[#This Row],[Data Contratada]],0,1)</f>
        <v>0</v>
      </c>
      <c r="Y1781" s="3">
        <f>IF(fNotasFiscais[[#This Row],[Ocorrência]]="",1,0)</f>
        <v>1</v>
      </c>
      <c r="Z1781" s="2">
        <f>fNotasFiscais[[#This Row],[On Time]]*fNotasFiscais[[#This Row],[In Full]]</f>
        <v>0</v>
      </c>
      <c r="AA1781">
        <f>IF(fNotasFiscais[[#This Row],[Nota Fiscal]]&lt;&gt;"",1,0)</f>
        <v>1</v>
      </c>
    </row>
    <row r="1782" spans="1:27" x14ac:dyDescent="0.25">
      <c r="A1782" s="1">
        <v>43628</v>
      </c>
      <c r="B1782">
        <v>12191</v>
      </c>
      <c r="C1782" s="2" t="s">
        <v>52</v>
      </c>
      <c r="D1782" s="2" t="s">
        <v>53</v>
      </c>
      <c r="E1782" s="2" t="s">
        <v>33</v>
      </c>
      <c r="F1782">
        <v>4049</v>
      </c>
      <c r="G1782" s="2" t="s">
        <v>118</v>
      </c>
      <c r="H1782" s="2" t="s">
        <v>97</v>
      </c>
      <c r="I1782" s="2" t="s">
        <v>48</v>
      </c>
      <c r="J1782" s="2" t="s">
        <v>49</v>
      </c>
      <c r="K1782" s="2" t="s">
        <v>48</v>
      </c>
      <c r="L1782">
        <v>2770.17</v>
      </c>
      <c r="M1782">
        <v>5</v>
      </c>
      <c r="N1782">
        <v>19.855</v>
      </c>
      <c r="O1782">
        <v>6100231</v>
      </c>
      <c r="P1782" s="2" t="s">
        <v>50</v>
      </c>
      <c r="Q1782" s="2" t="s">
        <v>51</v>
      </c>
      <c r="R1782" s="2" t="s">
        <v>30</v>
      </c>
      <c r="S1782">
        <v>5</v>
      </c>
      <c r="T1782" s="1">
        <v>43629</v>
      </c>
      <c r="U1782" s="1">
        <v>43633</v>
      </c>
      <c r="V1782" s="2"/>
      <c r="W1782" s="1">
        <f>fNotasFiscais[[#This Row],[Data da Coleta]]+fNotasFiscais[[#This Row],[Prazo Contratado]]</f>
        <v>43634</v>
      </c>
      <c r="X1782" s="3">
        <f>IF(fNotasFiscais[[#This Row],[Data da Entrega]]&gt;fNotasFiscais[[#This Row],[Data Contratada]],0,1)</f>
        <v>1</v>
      </c>
      <c r="Y1782" s="3">
        <f>IF(fNotasFiscais[[#This Row],[Ocorrência]]="",1,0)</f>
        <v>1</v>
      </c>
      <c r="Z1782" s="2">
        <f>fNotasFiscais[[#This Row],[On Time]]*fNotasFiscais[[#This Row],[In Full]]</f>
        <v>1</v>
      </c>
      <c r="AA1782">
        <f>IF(fNotasFiscais[[#This Row],[Nota Fiscal]]&lt;&gt;"",1,0)</f>
        <v>1</v>
      </c>
    </row>
    <row r="1783" spans="1:27" x14ac:dyDescent="0.25">
      <c r="A1783" s="1">
        <v>43628</v>
      </c>
      <c r="B1783">
        <v>12192</v>
      </c>
      <c r="C1783" s="2" t="s">
        <v>34</v>
      </c>
      <c r="D1783" s="2" t="s">
        <v>35</v>
      </c>
      <c r="E1783" s="2" t="s">
        <v>36</v>
      </c>
      <c r="F1783">
        <v>4049</v>
      </c>
      <c r="G1783" s="2" t="s">
        <v>118</v>
      </c>
      <c r="H1783" s="2" t="s">
        <v>97</v>
      </c>
      <c r="I1783" s="2" t="s">
        <v>48</v>
      </c>
      <c r="J1783" s="2" t="s">
        <v>49</v>
      </c>
      <c r="K1783" s="2" t="s">
        <v>48</v>
      </c>
      <c r="L1783">
        <v>80.260000000000005</v>
      </c>
      <c r="M1783">
        <v>1</v>
      </c>
      <c r="N1783">
        <v>1.1200000000000001</v>
      </c>
      <c r="O1783">
        <v>6100231</v>
      </c>
      <c r="P1783" s="2" t="s">
        <v>50</v>
      </c>
      <c r="Q1783" s="2" t="s">
        <v>51</v>
      </c>
      <c r="R1783" s="2" t="s">
        <v>30</v>
      </c>
      <c r="S1783">
        <v>5</v>
      </c>
      <c r="T1783" s="1">
        <v>43629</v>
      </c>
      <c r="U1783" s="1">
        <v>43637</v>
      </c>
      <c r="V1783" s="2"/>
      <c r="W1783" s="1">
        <f>fNotasFiscais[[#This Row],[Data da Coleta]]+fNotasFiscais[[#This Row],[Prazo Contratado]]</f>
        <v>43634</v>
      </c>
      <c r="X1783" s="3">
        <f>IF(fNotasFiscais[[#This Row],[Data da Entrega]]&gt;fNotasFiscais[[#This Row],[Data Contratada]],0,1)</f>
        <v>0</v>
      </c>
      <c r="Y1783" s="3">
        <f>IF(fNotasFiscais[[#This Row],[Ocorrência]]="",1,0)</f>
        <v>1</v>
      </c>
      <c r="Z1783" s="2">
        <f>fNotasFiscais[[#This Row],[On Time]]*fNotasFiscais[[#This Row],[In Full]]</f>
        <v>0</v>
      </c>
      <c r="AA1783">
        <f>IF(fNotasFiscais[[#This Row],[Nota Fiscal]]&lt;&gt;"",1,0)</f>
        <v>1</v>
      </c>
    </row>
    <row r="1784" spans="1:27" x14ac:dyDescent="0.25">
      <c r="A1784" s="1">
        <v>43628</v>
      </c>
      <c r="B1784">
        <v>12193</v>
      </c>
      <c r="C1784" s="2" t="s">
        <v>52</v>
      </c>
      <c r="D1784" s="2" t="s">
        <v>53</v>
      </c>
      <c r="E1784" s="2" t="s">
        <v>33</v>
      </c>
      <c r="F1784">
        <v>4035</v>
      </c>
      <c r="G1784" s="2" t="s">
        <v>111</v>
      </c>
      <c r="H1784" s="2" t="s">
        <v>47</v>
      </c>
      <c r="I1784" s="2" t="s">
        <v>48</v>
      </c>
      <c r="J1784" s="2" t="s">
        <v>49</v>
      </c>
      <c r="K1784" s="2" t="s">
        <v>48</v>
      </c>
      <c r="L1784">
        <v>3079.3</v>
      </c>
      <c r="M1784">
        <v>3</v>
      </c>
      <c r="N1784">
        <v>43.447000000000003</v>
      </c>
      <c r="O1784">
        <v>6100231</v>
      </c>
      <c r="P1784" s="2" t="s">
        <v>50</v>
      </c>
      <c r="Q1784" s="2" t="s">
        <v>51</v>
      </c>
      <c r="R1784" s="2" t="s">
        <v>30</v>
      </c>
      <c r="S1784">
        <v>4</v>
      </c>
      <c r="T1784" s="1">
        <v>43629</v>
      </c>
      <c r="U1784" s="1">
        <v>43632</v>
      </c>
      <c r="V1784" s="2"/>
      <c r="W1784" s="1">
        <f>fNotasFiscais[[#This Row],[Data da Coleta]]+fNotasFiscais[[#This Row],[Prazo Contratado]]</f>
        <v>43633</v>
      </c>
      <c r="X1784" s="3">
        <f>IF(fNotasFiscais[[#This Row],[Data da Entrega]]&gt;fNotasFiscais[[#This Row],[Data Contratada]],0,1)</f>
        <v>1</v>
      </c>
      <c r="Y1784" s="3">
        <f>IF(fNotasFiscais[[#This Row],[Ocorrência]]="",1,0)</f>
        <v>1</v>
      </c>
      <c r="Z1784" s="2">
        <f>fNotasFiscais[[#This Row],[On Time]]*fNotasFiscais[[#This Row],[In Full]]</f>
        <v>1</v>
      </c>
      <c r="AA1784">
        <f>IF(fNotasFiscais[[#This Row],[Nota Fiscal]]&lt;&gt;"",1,0)</f>
        <v>1</v>
      </c>
    </row>
    <row r="1785" spans="1:27" x14ac:dyDescent="0.25">
      <c r="A1785" s="1">
        <v>43628</v>
      </c>
      <c r="B1785">
        <v>12194</v>
      </c>
      <c r="C1785" s="2" t="s">
        <v>40</v>
      </c>
      <c r="D1785" s="2" t="s">
        <v>41</v>
      </c>
      <c r="E1785" s="2" t="s">
        <v>33</v>
      </c>
      <c r="F1785">
        <v>4049</v>
      </c>
      <c r="G1785" s="2" t="s">
        <v>118</v>
      </c>
      <c r="H1785" s="2" t="s">
        <v>97</v>
      </c>
      <c r="I1785" s="2" t="s">
        <v>48</v>
      </c>
      <c r="J1785" s="2" t="s">
        <v>49</v>
      </c>
      <c r="K1785" s="2" t="s">
        <v>48</v>
      </c>
      <c r="L1785">
        <v>238.63</v>
      </c>
      <c r="M1785">
        <v>1</v>
      </c>
      <c r="N1785">
        <v>1.1200000000000001</v>
      </c>
      <c r="O1785">
        <v>6100231</v>
      </c>
      <c r="P1785" s="2" t="s">
        <v>50</v>
      </c>
      <c r="Q1785" s="2" t="s">
        <v>51</v>
      </c>
      <c r="R1785" s="2" t="s">
        <v>30</v>
      </c>
      <c r="S1785">
        <v>12</v>
      </c>
      <c r="T1785" s="1">
        <v>43629</v>
      </c>
      <c r="U1785" s="1">
        <v>43632</v>
      </c>
      <c r="V1785" s="2"/>
      <c r="W1785" s="1">
        <f>fNotasFiscais[[#This Row],[Data da Coleta]]+fNotasFiscais[[#This Row],[Prazo Contratado]]</f>
        <v>43641</v>
      </c>
      <c r="X1785" s="3">
        <f>IF(fNotasFiscais[[#This Row],[Data da Entrega]]&gt;fNotasFiscais[[#This Row],[Data Contratada]],0,1)</f>
        <v>1</v>
      </c>
      <c r="Y1785" s="3">
        <f>IF(fNotasFiscais[[#This Row],[Ocorrência]]="",1,0)</f>
        <v>1</v>
      </c>
      <c r="Z1785" s="2">
        <f>fNotasFiscais[[#This Row],[On Time]]*fNotasFiscais[[#This Row],[In Full]]</f>
        <v>1</v>
      </c>
      <c r="AA1785">
        <f>IF(fNotasFiscais[[#This Row],[Nota Fiscal]]&lt;&gt;"",1,0)</f>
        <v>1</v>
      </c>
    </row>
    <row r="1786" spans="1:27" x14ac:dyDescent="0.25">
      <c r="A1786" s="1">
        <v>43628</v>
      </c>
      <c r="B1786">
        <v>12195</v>
      </c>
      <c r="C1786" s="2" t="s">
        <v>31</v>
      </c>
      <c r="D1786" s="2" t="s">
        <v>32</v>
      </c>
      <c r="E1786" s="2" t="s">
        <v>33</v>
      </c>
      <c r="F1786">
        <v>4035</v>
      </c>
      <c r="G1786" s="2" t="s">
        <v>111</v>
      </c>
      <c r="H1786" s="2" t="s">
        <v>47</v>
      </c>
      <c r="I1786" s="2" t="s">
        <v>48</v>
      </c>
      <c r="J1786" s="2" t="s">
        <v>49</v>
      </c>
      <c r="K1786" s="2" t="s">
        <v>48</v>
      </c>
      <c r="L1786">
        <v>2843.19</v>
      </c>
      <c r="M1786">
        <v>1</v>
      </c>
      <c r="N1786">
        <v>1.1200000000000001</v>
      </c>
      <c r="O1786">
        <v>6100231</v>
      </c>
      <c r="P1786" s="2" t="s">
        <v>50</v>
      </c>
      <c r="Q1786" s="2" t="s">
        <v>51</v>
      </c>
      <c r="R1786" s="2" t="s">
        <v>30</v>
      </c>
      <c r="S1786">
        <v>11</v>
      </c>
      <c r="T1786" s="1">
        <v>43629</v>
      </c>
      <c r="U1786" s="1">
        <v>43636</v>
      </c>
      <c r="V1786" s="2"/>
      <c r="W1786" s="1">
        <f>fNotasFiscais[[#This Row],[Data da Coleta]]+fNotasFiscais[[#This Row],[Prazo Contratado]]</f>
        <v>43640</v>
      </c>
      <c r="X1786" s="3">
        <f>IF(fNotasFiscais[[#This Row],[Data da Entrega]]&gt;fNotasFiscais[[#This Row],[Data Contratada]],0,1)</f>
        <v>1</v>
      </c>
      <c r="Y1786" s="3">
        <f>IF(fNotasFiscais[[#This Row],[Ocorrência]]="",1,0)</f>
        <v>1</v>
      </c>
      <c r="Z1786" s="2">
        <f>fNotasFiscais[[#This Row],[On Time]]*fNotasFiscais[[#This Row],[In Full]]</f>
        <v>1</v>
      </c>
      <c r="AA1786">
        <f>IF(fNotasFiscais[[#This Row],[Nota Fiscal]]&lt;&gt;"",1,0)</f>
        <v>1</v>
      </c>
    </row>
    <row r="1787" spans="1:27" x14ac:dyDescent="0.25">
      <c r="A1787" s="1">
        <v>43628</v>
      </c>
      <c r="B1787">
        <v>12196</v>
      </c>
      <c r="C1787" s="2" t="s">
        <v>54</v>
      </c>
      <c r="D1787" s="2" t="s">
        <v>55</v>
      </c>
      <c r="E1787" s="2" t="s">
        <v>56</v>
      </c>
      <c r="F1787">
        <v>4049</v>
      </c>
      <c r="G1787" s="2" t="s">
        <v>118</v>
      </c>
      <c r="H1787" s="2" t="s">
        <v>97</v>
      </c>
      <c r="I1787" s="2" t="s">
        <v>48</v>
      </c>
      <c r="J1787" s="2" t="s">
        <v>49</v>
      </c>
      <c r="K1787" s="2" t="s">
        <v>48</v>
      </c>
      <c r="L1787">
        <v>1524.66</v>
      </c>
      <c r="M1787">
        <v>2</v>
      </c>
      <c r="N1787">
        <v>11.44</v>
      </c>
      <c r="O1787">
        <v>6100231</v>
      </c>
      <c r="P1787" s="2" t="s">
        <v>50</v>
      </c>
      <c r="Q1787" s="2" t="s">
        <v>51</v>
      </c>
      <c r="R1787" s="2" t="s">
        <v>30</v>
      </c>
      <c r="S1787">
        <v>12</v>
      </c>
      <c r="T1787" s="1">
        <v>43629</v>
      </c>
      <c r="U1787" s="1">
        <v>43639</v>
      </c>
      <c r="V1787" s="2"/>
      <c r="W1787" s="1">
        <f>fNotasFiscais[[#This Row],[Data da Coleta]]+fNotasFiscais[[#This Row],[Prazo Contratado]]</f>
        <v>43641</v>
      </c>
      <c r="X1787" s="3">
        <f>IF(fNotasFiscais[[#This Row],[Data da Entrega]]&gt;fNotasFiscais[[#This Row],[Data Contratada]],0,1)</f>
        <v>1</v>
      </c>
      <c r="Y1787" s="3">
        <f>IF(fNotasFiscais[[#This Row],[Ocorrência]]="",1,0)</f>
        <v>1</v>
      </c>
      <c r="Z1787" s="2">
        <f>fNotasFiscais[[#This Row],[On Time]]*fNotasFiscais[[#This Row],[In Full]]</f>
        <v>1</v>
      </c>
      <c r="AA1787">
        <f>IF(fNotasFiscais[[#This Row],[Nota Fiscal]]&lt;&gt;"",1,0)</f>
        <v>1</v>
      </c>
    </row>
    <row r="1788" spans="1:27" x14ac:dyDescent="0.25">
      <c r="A1788" s="1">
        <v>43628</v>
      </c>
      <c r="B1788">
        <v>12197</v>
      </c>
      <c r="C1788" s="2" t="s">
        <v>40</v>
      </c>
      <c r="D1788" s="2" t="s">
        <v>41</v>
      </c>
      <c r="E1788" s="2" t="s">
        <v>33</v>
      </c>
      <c r="F1788">
        <v>4049</v>
      </c>
      <c r="G1788" s="2" t="s">
        <v>118</v>
      </c>
      <c r="H1788" s="2" t="s">
        <v>97</v>
      </c>
      <c r="I1788" s="2" t="s">
        <v>48</v>
      </c>
      <c r="J1788" s="2" t="s">
        <v>49</v>
      </c>
      <c r="K1788" s="2" t="s">
        <v>48</v>
      </c>
      <c r="L1788">
        <v>1638.44</v>
      </c>
      <c r="M1788">
        <v>4</v>
      </c>
      <c r="N1788">
        <v>13.255000000000001</v>
      </c>
      <c r="O1788">
        <v>6100231</v>
      </c>
      <c r="P1788" s="2" t="s">
        <v>50</v>
      </c>
      <c r="Q1788" s="2" t="s">
        <v>51</v>
      </c>
      <c r="R1788" s="2" t="s">
        <v>30</v>
      </c>
      <c r="S1788">
        <v>7</v>
      </c>
      <c r="T1788" s="1">
        <v>43629</v>
      </c>
      <c r="U1788" s="1">
        <v>43631</v>
      </c>
      <c r="V1788" s="2"/>
      <c r="W1788" s="1">
        <f>fNotasFiscais[[#This Row],[Data da Coleta]]+fNotasFiscais[[#This Row],[Prazo Contratado]]</f>
        <v>43636</v>
      </c>
      <c r="X1788" s="3">
        <f>IF(fNotasFiscais[[#This Row],[Data da Entrega]]&gt;fNotasFiscais[[#This Row],[Data Contratada]],0,1)</f>
        <v>1</v>
      </c>
      <c r="Y1788" s="3">
        <f>IF(fNotasFiscais[[#This Row],[Ocorrência]]="",1,0)</f>
        <v>1</v>
      </c>
      <c r="Z1788" s="2">
        <f>fNotasFiscais[[#This Row],[On Time]]*fNotasFiscais[[#This Row],[In Full]]</f>
        <v>1</v>
      </c>
      <c r="AA1788">
        <f>IF(fNotasFiscais[[#This Row],[Nota Fiscal]]&lt;&gt;"",1,0)</f>
        <v>1</v>
      </c>
    </row>
    <row r="1789" spans="1:27" x14ac:dyDescent="0.25">
      <c r="A1789" s="1">
        <v>43628</v>
      </c>
      <c r="B1789">
        <v>12198</v>
      </c>
      <c r="C1789" s="2" t="s">
        <v>34</v>
      </c>
      <c r="D1789" s="2" t="s">
        <v>35</v>
      </c>
      <c r="E1789" s="2" t="s">
        <v>36</v>
      </c>
      <c r="F1789">
        <v>4049</v>
      </c>
      <c r="G1789" s="2" t="s">
        <v>118</v>
      </c>
      <c r="H1789" s="2" t="s">
        <v>97</v>
      </c>
      <c r="I1789" s="2" t="s">
        <v>48</v>
      </c>
      <c r="J1789" s="2" t="s">
        <v>49</v>
      </c>
      <c r="K1789" s="2" t="s">
        <v>48</v>
      </c>
      <c r="L1789">
        <v>771.29</v>
      </c>
      <c r="M1789">
        <v>7</v>
      </c>
      <c r="N1789">
        <v>19.669</v>
      </c>
      <c r="O1789">
        <v>6100231</v>
      </c>
      <c r="P1789" s="2" t="s">
        <v>50</v>
      </c>
      <c r="Q1789" s="2" t="s">
        <v>51</v>
      </c>
      <c r="R1789" s="2" t="s">
        <v>30</v>
      </c>
      <c r="S1789">
        <v>10</v>
      </c>
      <c r="T1789" s="1">
        <v>43629</v>
      </c>
      <c r="U1789" s="1">
        <v>43630</v>
      </c>
      <c r="V1789" s="2"/>
      <c r="W1789" s="1">
        <f>fNotasFiscais[[#This Row],[Data da Coleta]]+fNotasFiscais[[#This Row],[Prazo Contratado]]</f>
        <v>43639</v>
      </c>
      <c r="X1789" s="3">
        <f>IF(fNotasFiscais[[#This Row],[Data da Entrega]]&gt;fNotasFiscais[[#This Row],[Data Contratada]],0,1)</f>
        <v>1</v>
      </c>
      <c r="Y1789" s="3">
        <f>IF(fNotasFiscais[[#This Row],[Ocorrência]]="",1,0)</f>
        <v>1</v>
      </c>
      <c r="Z1789" s="2">
        <f>fNotasFiscais[[#This Row],[On Time]]*fNotasFiscais[[#This Row],[In Full]]</f>
        <v>1</v>
      </c>
      <c r="AA1789">
        <f>IF(fNotasFiscais[[#This Row],[Nota Fiscal]]&lt;&gt;"",1,0)</f>
        <v>1</v>
      </c>
    </row>
    <row r="1790" spans="1:27" x14ac:dyDescent="0.25">
      <c r="A1790" s="1">
        <v>43628</v>
      </c>
      <c r="B1790">
        <v>12199</v>
      </c>
      <c r="C1790" s="2" t="s">
        <v>22</v>
      </c>
      <c r="D1790" s="2" t="s">
        <v>23</v>
      </c>
      <c r="E1790" s="2" t="s">
        <v>24</v>
      </c>
      <c r="F1790">
        <v>4049</v>
      </c>
      <c r="G1790" s="2" t="s">
        <v>118</v>
      </c>
      <c r="H1790" s="2" t="s">
        <v>97</v>
      </c>
      <c r="I1790" s="2" t="s">
        <v>48</v>
      </c>
      <c r="J1790" s="2" t="s">
        <v>49</v>
      </c>
      <c r="K1790" s="2" t="s">
        <v>48</v>
      </c>
      <c r="L1790">
        <v>2269.46</v>
      </c>
      <c r="M1790">
        <v>1</v>
      </c>
      <c r="N1790">
        <v>1.1200000000000001</v>
      </c>
      <c r="O1790">
        <v>6100231</v>
      </c>
      <c r="P1790" s="2" t="s">
        <v>50</v>
      </c>
      <c r="Q1790" s="2" t="s">
        <v>51</v>
      </c>
      <c r="R1790" s="2" t="s">
        <v>30</v>
      </c>
      <c r="S1790">
        <v>12</v>
      </c>
      <c r="T1790" s="1">
        <v>43629</v>
      </c>
      <c r="U1790" s="1">
        <v>43630</v>
      </c>
      <c r="V1790" s="2"/>
      <c r="W1790" s="1">
        <f>fNotasFiscais[[#This Row],[Data da Coleta]]+fNotasFiscais[[#This Row],[Prazo Contratado]]</f>
        <v>43641</v>
      </c>
      <c r="X1790" s="3">
        <f>IF(fNotasFiscais[[#This Row],[Data da Entrega]]&gt;fNotasFiscais[[#This Row],[Data Contratada]],0,1)</f>
        <v>1</v>
      </c>
      <c r="Y1790" s="3">
        <f>IF(fNotasFiscais[[#This Row],[Ocorrência]]="",1,0)</f>
        <v>1</v>
      </c>
      <c r="Z1790" s="2">
        <f>fNotasFiscais[[#This Row],[On Time]]*fNotasFiscais[[#This Row],[In Full]]</f>
        <v>1</v>
      </c>
      <c r="AA1790">
        <f>IF(fNotasFiscais[[#This Row],[Nota Fiscal]]&lt;&gt;"",1,0)</f>
        <v>1</v>
      </c>
    </row>
    <row r="1791" spans="1:27" x14ac:dyDescent="0.25">
      <c r="A1791" s="1">
        <v>43628</v>
      </c>
      <c r="B1791">
        <v>12200</v>
      </c>
      <c r="C1791" s="2" t="s">
        <v>34</v>
      </c>
      <c r="D1791" s="2" t="s">
        <v>35</v>
      </c>
      <c r="E1791" s="2" t="s">
        <v>36</v>
      </c>
      <c r="F1791">
        <v>4049</v>
      </c>
      <c r="G1791" s="2" t="s">
        <v>118</v>
      </c>
      <c r="H1791" s="2" t="s">
        <v>97</v>
      </c>
      <c r="I1791" s="2" t="s">
        <v>48</v>
      </c>
      <c r="J1791" s="2" t="s">
        <v>49</v>
      </c>
      <c r="K1791" s="2" t="s">
        <v>48</v>
      </c>
      <c r="L1791">
        <v>951.94</v>
      </c>
      <c r="M1791">
        <v>1</v>
      </c>
      <c r="N1791">
        <v>1.1200000000000001</v>
      </c>
      <c r="O1791">
        <v>6100231</v>
      </c>
      <c r="P1791" s="2" t="s">
        <v>50</v>
      </c>
      <c r="Q1791" s="2" t="s">
        <v>51</v>
      </c>
      <c r="R1791" s="2" t="s">
        <v>30</v>
      </c>
      <c r="S1791">
        <v>8</v>
      </c>
      <c r="T1791" s="1">
        <v>43629</v>
      </c>
      <c r="U1791" s="1">
        <v>43633</v>
      </c>
      <c r="V1791" s="2"/>
      <c r="W1791" s="1">
        <f>fNotasFiscais[[#This Row],[Data da Coleta]]+fNotasFiscais[[#This Row],[Prazo Contratado]]</f>
        <v>43637</v>
      </c>
      <c r="X1791" s="3">
        <f>IF(fNotasFiscais[[#This Row],[Data da Entrega]]&gt;fNotasFiscais[[#This Row],[Data Contratada]],0,1)</f>
        <v>1</v>
      </c>
      <c r="Y1791" s="3">
        <f>IF(fNotasFiscais[[#This Row],[Ocorrência]]="",1,0)</f>
        <v>1</v>
      </c>
      <c r="Z1791" s="2">
        <f>fNotasFiscais[[#This Row],[On Time]]*fNotasFiscais[[#This Row],[In Full]]</f>
        <v>1</v>
      </c>
      <c r="AA1791">
        <f>IF(fNotasFiscais[[#This Row],[Nota Fiscal]]&lt;&gt;"",1,0)</f>
        <v>1</v>
      </c>
    </row>
    <row r="1792" spans="1:27" x14ac:dyDescent="0.25">
      <c r="A1792" s="1">
        <v>43628</v>
      </c>
      <c r="B1792">
        <v>12201</v>
      </c>
      <c r="C1792" s="2" t="s">
        <v>52</v>
      </c>
      <c r="D1792" s="2" t="s">
        <v>53</v>
      </c>
      <c r="E1792" s="2" t="s">
        <v>33</v>
      </c>
      <c r="F1792">
        <v>4049</v>
      </c>
      <c r="G1792" s="2" t="s">
        <v>118</v>
      </c>
      <c r="H1792" s="2" t="s">
        <v>97</v>
      </c>
      <c r="I1792" s="2" t="s">
        <v>48</v>
      </c>
      <c r="J1792" s="2" t="s">
        <v>49</v>
      </c>
      <c r="K1792" s="2" t="s">
        <v>48</v>
      </c>
      <c r="L1792">
        <v>11995.68</v>
      </c>
      <c r="M1792">
        <v>20</v>
      </c>
      <c r="N1792">
        <v>103.41800000000001</v>
      </c>
      <c r="O1792">
        <v>6100231</v>
      </c>
      <c r="P1792" s="2" t="s">
        <v>50</v>
      </c>
      <c r="Q1792" s="2" t="s">
        <v>51</v>
      </c>
      <c r="R1792" s="2" t="s">
        <v>30</v>
      </c>
      <c r="S1792">
        <v>9</v>
      </c>
      <c r="T1792" s="1">
        <v>43629</v>
      </c>
      <c r="U1792" s="1">
        <v>43634</v>
      </c>
      <c r="V1792" s="2"/>
      <c r="W1792" s="1">
        <f>fNotasFiscais[[#This Row],[Data da Coleta]]+fNotasFiscais[[#This Row],[Prazo Contratado]]</f>
        <v>43638</v>
      </c>
      <c r="X1792" s="3">
        <f>IF(fNotasFiscais[[#This Row],[Data da Entrega]]&gt;fNotasFiscais[[#This Row],[Data Contratada]],0,1)</f>
        <v>1</v>
      </c>
      <c r="Y1792" s="3">
        <f>IF(fNotasFiscais[[#This Row],[Ocorrência]]="",1,0)</f>
        <v>1</v>
      </c>
      <c r="Z1792" s="2">
        <f>fNotasFiscais[[#This Row],[On Time]]*fNotasFiscais[[#This Row],[In Full]]</f>
        <v>1</v>
      </c>
      <c r="AA1792">
        <f>IF(fNotasFiscais[[#This Row],[Nota Fiscal]]&lt;&gt;"",1,0)</f>
        <v>1</v>
      </c>
    </row>
    <row r="1793" spans="1:27" x14ac:dyDescent="0.25">
      <c r="A1793" s="1">
        <v>43629</v>
      </c>
      <c r="B1793">
        <v>12202</v>
      </c>
      <c r="C1793" s="2" t="s">
        <v>31</v>
      </c>
      <c r="D1793" s="2" t="s">
        <v>32</v>
      </c>
      <c r="E1793" s="2" t="s">
        <v>33</v>
      </c>
      <c r="F1793">
        <v>4033</v>
      </c>
      <c r="G1793" s="2" t="s">
        <v>109</v>
      </c>
      <c r="H1793" s="2" t="s">
        <v>51</v>
      </c>
      <c r="I1793" s="2" t="s">
        <v>73</v>
      </c>
      <c r="J1793" s="2" t="s">
        <v>49</v>
      </c>
      <c r="K1793" s="2" t="s">
        <v>73</v>
      </c>
      <c r="L1793">
        <v>1721.32</v>
      </c>
      <c r="M1793">
        <v>1</v>
      </c>
      <c r="N1793">
        <v>1.1200000000000001</v>
      </c>
      <c r="O1793">
        <v>6100231</v>
      </c>
      <c r="P1793" s="2" t="s">
        <v>50</v>
      </c>
      <c r="Q1793" s="2" t="s">
        <v>51</v>
      </c>
      <c r="R1793" s="2" t="s">
        <v>30</v>
      </c>
      <c r="S1793">
        <v>11</v>
      </c>
      <c r="T1793" s="1">
        <v>43630</v>
      </c>
      <c r="U1793" s="1">
        <v>43634</v>
      </c>
      <c r="V1793" s="2"/>
      <c r="W1793" s="1">
        <f>fNotasFiscais[[#This Row],[Data da Coleta]]+fNotasFiscais[[#This Row],[Prazo Contratado]]</f>
        <v>43641</v>
      </c>
      <c r="X1793" s="3">
        <f>IF(fNotasFiscais[[#This Row],[Data da Entrega]]&gt;fNotasFiscais[[#This Row],[Data Contratada]],0,1)</f>
        <v>1</v>
      </c>
      <c r="Y1793" s="3">
        <f>IF(fNotasFiscais[[#This Row],[Ocorrência]]="",1,0)</f>
        <v>1</v>
      </c>
      <c r="Z1793" s="2">
        <f>fNotasFiscais[[#This Row],[On Time]]*fNotasFiscais[[#This Row],[In Full]]</f>
        <v>1</v>
      </c>
      <c r="AA1793">
        <f>IF(fNotasFiscais[[#This Row],[Nota Fiscal]]&lt;&gt;"",1,0)</f>
        <v>1</v>
      </c>
    </row>
    <row r="1794" spans="1:27" x14ac:dyDescent="0.25">
      <c r="A1794" s="1">
        <v>43629</v>
      </c>
      <c r="B1794">
        <v>12203</v>
      </c>
      <c r="C1794" s="2" t="s">
        <v>54</v>
      </c>
      <c r="D1794" s="2" t="s">
        <v>55</v>
      </c>
      <c r="E1794" s="2" t="s">
        <v>56</v>
      </c>
      <c r="F1794">
        <v>4156</v>
      </c>
      <c r="G1794" s="2" t="s">
        <v>239</v>
      </c>
      <c r="H1794" s="2" t="s">
        <v>165</v>
      </c>
      <c r="I1794" s="2" t="s">
        <v>24</v>
      </c>
      <c r="J1794" s="2" t="s">
        <v>28</v>
      </c>
      <c r="K1794" s="2" t="s">
        <v>24</v>
      </c>
      <c r="L1794">
        <v>869.76</v>
      </c>
      <c r="M1794">
        <v>1</v>
      </c>
      <c r="N1794">
        <v>14.177</v>
      </c>
      <c r="O1794">
        <v>6500948</v>
      </c>
      <c r="P1794" s="2" t="s">
        <v>29</v>
      </c>
      <c r="Q1794" s="2" t="s">
        <v>23</v>
      </c>
      <c r="R1794" s="2" t="s">
        <v>30</v>
      </c>
      <c r="S1794">
        <v>11</v>
      </c>
      <c r="T1794" s="1">
        <v>43630</v>
      </c>
      <c r="U1794" s="1">
        <v>43633</v>
      </c>
      <c r="V1794" s="2"/>
      <c r="W1794" s="1">
        <f>fNotasFiscais[[#This Row],[Data da Coleta]]+fNotasFiscais[[#This Row],[Prazo Contratado]]</f>
        <v>43641</v>
      </c>
      <c r="X1794" s="3">
        <f>IF(fNotasFiscais[[#This Row],[Data da Entrega]]&gt;fNotasFiscais[[#This Row],[Data Contratada]],0,1)</f>
        <v>1</v>
      </c>
      <c r="Y1794" s="3">
        <f>IF(fNotasFiscais[[#This Row],[Ocorrência]]="",1,0)</f>
        <v>1</v>
      </c>
      <c r="Z1794" s="2">
        <f>fNotasFiscais[[#This Row],[On Time]]*fNotasFiscais[[#This Row],[In Full]]</f>
        <v>1</v>
      </c>
      <c r="AA1794">
        <f>IF(fNotasFiscais[[#This Row],[Nota Fiscal]]&lt;&gt;"",1,0)</f>
        <v>1</v>
      </c>
    </row>
    <row r="1795" spans="1:27" x14ac:dyDescent="0.25">
      <c r="A1795" s="1">
        <v>43629</v>
      </c>
      <c r="B1795">
        <v>12204</v>
      </c>
      <c r="C1795" s="2" t="s">
        <v>43</v>
      </c>
      <c r="D1795" s="2" t="s">
        <v>44</v>
      </c>
      <c r="E1795" s="2" t="s">
        <v>45</v>
      </c>
      <c r="F1795">
        <v>4166</v>
      </c>
      <c r="G1795" s="2" t="s">
        <v>249</v>
      </c>
      <c r="H1795" s="2" t="s">
        <v>173</v>
      </c>
      <c r="I1795" s="2" t="s">
        <v>174</v>
      </c>
      <c r="J1795" s="2" t="s">
        <v>175</v>
      </c>
      <c r="K1795" s="2" t="s">
        <v>174</v>
      </c>
      <c r="L1795">
        <v>1779.17</v>
      </c>
      <c r="M1795">
        <v>6</v>
      </c>
      <c r="N1795">
        <v>10.505000000000001</v>
      </c>
      <c r="O1795">
        <v>6700091</v>
      </c>
      <c r="P1795" s="2" t="s">
        <v>176</v>
      </c>
      <c r="Q1795" s="2" t="s">
        <v>173</v>
      </c>
      <c r="R1795" s="2" t="s">
        <v>30</v>
      </c>
      <c r="S1795">
        <v>3</v>
      </c>
      <c r="T1795" s="1">
        <v>43630</v>
      </c>
      <c r="U1795" s="1">
        <v>43637</v>
      </c>
      <c r="V1795" s="2"/>
      <c r="W1795" s="1">
        <f>fNotasFiscais[[#This Row],[Data da Coleta]]+fNotasFiscais[[#This Row],[Prazo Contratado]]</f>
        <v>43633</v>
      </c>
      <c r="X1795" s="3">
        <f>IF(fNotasFiscais[[#This Row],[Data da Entrega]]&gt;fNotasFiscais[[#This Row],[Data Contratada]],0,1)</f>
        <v>0</v>
      </c>
      <c r="Y1795" s="3">
        <f>IF(fNotasFiscais[[#This Row],[Ocorrência]]="",1,0)</f>
        <v>1</v>
      </c>
      <c r="Z1795" s="2">
        <f>fNotasFiscais[[#This Row],[On Time]]*fNotasFiscais[[#This Row],[In Full]]</f>
        <v>0</v>
      </c>
      <c r="AA1795">
        <f>IF(fNotasFiscais[[#This Row],[Nota Fiscal]]&lt;&gt;"",1,0)</f>
        <v>1</v>
      </c>
    </row>
    <row r="1796" spans="1:27" x14ac:dyDescent="0.25">
      <c r="A1796" s="1">
        <v>43629</v>
      </c>
      <c r="B1796">
        <v>12205</v>
      </c>
      <c r="C1796" s="2" t="s">
        <v>52</v>
      </c>
      <c r="D1796" s="2" t="s">
        <v>53</v>
      </c>
      <c r="E1796" s="2" t="s">
        <v>33</v>
      </c>
      <c r="F1796">
        <v>4157</v>
      </c>
      <c r="G1796" s="2" t="s">
        <v>240</v>
      </c>
      <c r="H1796" s="2" t="s">
        <v>35</v>
      </c>
      <c r="I1796" s="2" t="s">
        <v>36</v>
      </c>
      <c r="J1796" s="2" t="s">
        <v>60</v>
      </c>
      <c r="K1796" s="2" t="s">
        <v>36</v>
      </c>
      <c r="L1796">
        <v>15.44</v>
      </c>
      <c r="M1796">
        <v>1</v>
      </c>
      <c r="N1796">
        <v>1.1200000000000001</v>
      </c>
      <c r="O1796">
        <v>6600879</v>
      </c>
      <c r="P1796" s="2" t="s">
        <v>61</v>
      </c>
      <c r="Q1796" s="2" t="s">
        <v>35</v>
      </c>
      <c r="R1796" s="2" t="s">
        <v>30</v>
      </c>
      <c r="S1796">
        <v>4</v>
      </c>
      <c r="T1796" s="1">
        <v>43630</v>
      </c>
      <c r="U1796" s="1">
        <v>43639</v>
      </c>
      <c r="V1796" s="2"/>
      <c r="W1796" s="1">
        <f>fNotasFiscais[[#This Row],[Data da Coleta]]+fNotasFiscais[[#This Row],[Prazo Contratado]]</f>
        <v>43634</v>
      </c>
      <c r="X1796" s="3">
        <f>IF(fNotasFiscais[[#This Row],[Data da Entrega]]&gt;fNotasFiscais[[#This Row],[Data Contratada]],0,1)</f>
        <v>0</v>
      </c>
      <c r="Y1796" s="3">
        <f>IF(fNotasFiscais[[#This Row],[Ocorrência]]="",1,0)</f>
        <v>1</v>
      </c>
      <c r="Z1796" s="2">
        <f>fNotasFiscais[[#This Row],[On Time]]*fNotasFiscais[[#This Row],[In Full]]</f>
        <v>0</v>
      </c>
      <c r="AA1796">
        <f>IF(fNotasFiscais[[#This Row],[Nota Fiscal]]&lt;&gt;"",1,0)</f>
        <v>1</v>
      </c>
    </row>
    <row r="1797" spans="1:27" x14ac:dyDescent="0.25">
      <c r="A1797" s="1">
        <v>43629</v>
      </c>
      <c r="B1797">
        <v>12206</v>
      </c>
      <c r="C1797" s="2" t="s">
        <v>40</v>
      </c>
      <c r="D1797" s="2" t="s">
        <v>41</v>
      </c>
      <c r="E1797" s="2" t="s">
        <v>33</v>
      </c>
      <c r="F1797">
        <v>4154</v>
      </c>
      <c r="G1797" s="2" t="s">
        <v>237</v>
      </c>
      <c r="H1797" s="2" t="s">
        <v>167</v>
      </c>
      <c r="I1797" s="2" t="s">
        <v>168</v>
      </c>
      <c r="J1797" s="2" t="s">
        <v>169</v>
      </c>
      <c r="K1797" s="2" t="s">
        <v>168</v>
      </c>
      <c r="L1797">
        <v>544.78</v>
      </c>
      <c r="M1797">
        <v>1</v>
      </c>
      <c r="N1797">
        <v>1.1200000000000001</v>
      </c>
      <c r="O1797">
        <v>6900304</v>
      </c>
      <c r="P1797" s="2" t="s">
        <v>170</v>
      </c>
      <c r="Q1797" s="2" t="s">
        <v>171</v>
      </c>
      <c r="R1797" s="2" t="s">
        <v>30</v>
      </c>
      <c r="S1797">
        <v>3</v>
      </c>
      <c r="T1797" s="1">
        <v>43630</v>
      </c>
      <c r="U1797" s="1">
        <v>43632</v>
      </c>
      <c r="V1797" s="2"/>
      <c r="W1797" s="1">
        <f>fNotasFiscais[[#This Row],[Data da Coleta]]+fNotasFiscais[[#This Row],[Prazo Contratado]]</f>
        <v>43633</v>
      </c>
      <c r="X1797" s="3">
        <f>IF(fNotasFiscais[[#This Row],[Data da Entrega]]&gt;fNotasFiscais[[#This Row],[Data Contratada]],0,1)</f>
        <v>1</v>
      </c>
      <c r="Y1797" s="3">
        <f>IF(fNotasFiscais[[#This Row],[Ocorrência]]="",1,0)</f>
        <v>1</v>
      </c>
      <c r="Z1797" s="2">
        <f>fNotasFiscais[[#This Row],[On Time]]*fNotasFiscais[[#This Row],[In Full]]</f>
        <v>1</v>
      </c>
      <c r="AA1797">
        <f>IF(fNotasFiscais[[#This Row],[Nota Fiscal]]&lt;&gt;"",1,0)</f>
        <v>1</v>
      </c>
    </row>
    <row r="1798" spans="1:27" x14ac:dyDescent="0.25">
      <c r="A1798" s="1">
        <v>43629</v>
      </c>
      <c r="B1798">
        <v>12207</v>
      </c>
      <c r="C1798" s="2" t="s">
        <v>54</v>
      </c>
      <c r="D1798" s="2" t="s">
        <v>55</v>
      </c>
      <c r="E1798" s="2" t="s">
        <v>56</v>
      </c>
      <c r="F1798">
        <v>4173</v>
      </c>
      <c r="G1798" s="2" t="s">
        <v>256</v>
      </c>
      <c r="H1798" s="2" t="s">
        <v>35</v>
      </c>
      <c r="I1798" s="2" t="s">
        <v>36</v>
      </c>
      <c r="J1798" s="2" t="s">
        <v>60</v>
      </c>
      <c r="K1798" s="2" t="s">
        <v>36</v>
      </c>
      <c r="L1798">
        <v>9699.61</v>
      </c>
      <c r="M1798">
        <v>16</v>
      </c>
      <c r="N1798">
        <v>172.97300000000001</v>
      </c>
      <c r="O1798">
        <v>6600879</v>
      </c>
      <c r="P1798" s="2" t="s">
        <v>61</v>
      </c>
      <c r="Q1798" s="2" t="s">
        <v>35</v>
      </c>
      <c r="R1798" s="2" t="s">
        <v>30</v>
      </c>
      <c r="S1798">
        <v>12</v>
      </c>
      <c r="T1798" s="1">
        <v>43630</v>
      </c>
      <c r="U1798" s="1">
        <v>43637</v>
      </c>
      <c r="V1798" s="2"/>
      <c r="W1798" s="1">
        <f>fNotasFiscais[[#This Row],[Data da Coleta]]+fNotasFiscais[[#This Row],[Prazo Contratado]]</f>
        <v>43642</v>
      </c>
      <c r="X1798" s="3">
        <f>IF(fNotasFiscais[[#This Row],[Data da Entrega]]&gt;fNotasFiscais[[#This Row],[Data Contratada]],0,1)</f>
        <v>1</v>
      </c>
      <c r="Y1798" s="3">
        <f>IF(fNotasFiscais[[#This Row],[Ocorrência]]="",1,0)</f>
        <v>1</v>
      </c>
      <c r="Z1798" s="2">
        <f>fNotasFiscais[[#This Row],[On Time]]*fNotasFiscais[[#This Row],[In Full]]</f>
        <v>1</v>
      </c>
      <c r="AA1798">
        <f>IF(fNotasFiscais[[#This Row],[Nota Fiscal]]&lt;&gt;"",1,0)</f>
        <v>1</v>
      </c>
    </row>
    <row r="1799" spans="1:27" x14ac:dyDescent="0.25">
      <c r="A1799" s="1">
        <v>43629</v>
      </c>
      <c r="B1799">
        <v>12208</v>
      </c>
      <c r="C1799" s="2" t="s">
        <v>34</v>
      </c>
      <c r="D1799" s="2" t="s">
        <v>35</v>
      </c>
      <c r="E1799" s="2" t="s">
        <v>36</v>
      </c>
      <c r="F1799">
        <v>4136</v>
      </c>
      <c r="G1799" s="2" t="s">
        <v>219</v>
      </c>
      <c r="H1799" s="2" t="s">
        <v>35</v>
      </c>
      <c r="I1799" s="2" t="s">
        <v>36</v>
      </c>
      <c r="J1799" s="2" t="s">
        <v>60</v>
      </c>
      <c r="K1799" s="2" t="s">
        <v>36</v>
      </c>
      <c r="L1799">
        <v>1269.8</v>
      </c>
      <c r="M1799">
        <v>1</v>
      </c>
      <c r="N1799">
        <v>1.1200000000000001</v>
      </c>
      <c r="O1799">
        <v>6600879</v>
      </c>
      <c r="P1799" s="2" t="s">
        <v>61</v>
      </c>
      <c r="Q1799" s="2" t="s">
        <v>35</v>
      </c>
      <c r="R1799" s="2" t="s">
        <v>30</v>
      </c>
      <c r="S1799">
        <v>10</v>
      </c>
      <c r="T1799" s="1">
        <v>43630</v>
      </c>
      <c r="U1799" s="1">
        <v>43632</v>
      </c>
      <c r="V1799" s="2"/>
      <c r="W1799" s="1">
        <f>fNotasFiscais[[#This Row],[Data da Coleta]]+fNotasFiscais[[#This Row],[Prazo Contratado]]</f>
        <v>43640</v>
      </c>
      <c r="X1799" s="3">
        <f>IF(fNotasFiscais[[#This Row],[Data da Entrega]]&gt;fNotasFiscais[[#This Row],[Data Contratada]],0,1)</f>
        <v>1</v>
      </c>
      <c r="Y1799" s="3">
        <f>IF(fNotasFiscais[[#This Row],[Ocorrência]]="",1,0)</f>
        <v>1</v>
      </c>
      <c r="Z1799" s="2">
        <f>fNotasFiscais[[#This Row],[On Time]]*fNotasFiscais[[#This Row],[In Full]]</f>
        <v>1</v>
      </c>
      <c r="AA1799">
        <f>IF(fNotasFiscais[[#This Row],[Nota Fiscal]]&lt;&gt;"",1,0)</f>
        <v>1</v>
      </c>
    </row>
    <row r="1800" spans="1:27" x14ac:dyDescent="0.25">
      <c r="A1800" s="1">
        <v>43629</v>
      </c>
      <c r="B1800">
        <v>12209</v>
      </c>
      <c r="C1800" s="2" t="s">
        <v>34</v>
      </c>
      <c r="D1800" s="2" t="s">
        <v>35</v>
      </c>
      <c r="E1800" s="2" t="s">
        <v>36</v>
      </c>
      <c r="F1800">
        <v>4084</v>
      </c>
      <c r="G1800" s="2" t="s">
        <v>155</v>
      </c>
      <c r="H1800" s="2" t="s">
        <v>149</v>
      </c>
      <c r="I1800" s="2" t="s">
        <v>33</v>
      </c>
      <c r="J1800" s="2" t="s">
        <v>60</v>
      </c>
      <c r="K1800" s="2" t="s">
        <v>33</v>
      </c>
      <c r="L1800">
        <v>2632.04</v>
      </c>
      <c r="M1800">
        <v>7</v>
      </c>
      <c r="N1800">
        <v>93.94</v>
      </c>
      <c r="O1800">
        <v>6400835</v>
      </c>
      <c r="P1800" s="2" t="s">
        <v>130</v>
      </c>
      <c r="Q1800" s="2" t="s">
        <v>131</v>
      </c>
      <c r="R1800" s="2" t="s">
        <v>30</v>
      </c>
      <c r="S1800">
        <v>12</v>
      </c>
      <c r="T1800" s="1">
        <v>43630</v>
      </c>
      <c r="U1800" s="1">
        <v>43639</v>
      </c>
      <c r="V1800" s="2"/>
      <c r="W1800" s="1">
        <f>fNotasFiscais[[#This Row],[Data da Coleta]]+fNotasFiscais[[#This Row],[Prazo Contratado]]</f>
        <v>43642</v>
      </c>
      <c r="X1800" s="3">
        <f>IF(fNotasFiscais[[#This Row],[Data da Entrega]]&gt;fNotasFiscais[[#This Row],[Data Contratada]],0,1)</f>
        <v>1</v>
      </c>
      <c r="Y1800" s="3">
        <f>IF(fNotasFiscais[[#This Row],[Ocorrência]]="",1,0)</f>
        <v>1</v>
      </c>
      <c r="Z1800" s="2">
        <f>fNotasFiscais[[#This Row],[On Time]]*fNotasFiscais[[#This Row],[In Full]]</f>
        <v>1</v>
      </c>
      <c r="AA1800">
        <f>IF(fNotasFiscais[[#This Row],[Nota Fiscal]]&lt;&gt;"",1,0)</f>
        <v>1</v>
      </c>
    </row>
    <row r="1801" spans="1:27" x14ac:dyDescent="0.25">
      <c r="A1801" s="1">
        <v>43629</v>
      </c>
      <c r="B1801">
        <v>12210</v>
      </c>
      <c r="C1801" s="2" t="s">
        <v>43</v>
      </c>
      <c r="D1801" s="2" t="s">
        <v>44</v>
      </c>
      <c r="E1801" s="2" t="s">
        <v>45</v>
      </c>
      <c r="F1801">
        <v>4132</v>
      </c>
      <c r="G1801" s="2" t="s">
        <v>215</v>
      </c>
      <c r="H1801" s="2" t="s">
        <v>183</v>
      </c>
      <c r="I1801" s="2" t="s">
        <v>33</v>
      </c>
      <c r="J1801" s="2" t="s">
        <v>60</v>
      </c>
      <c r="K1801" s="2" t="s">
        <v>33</v>
      </c>
      <c r="L1801">
        <v>1886.37</v>
      </c>
      <c r="M1801">
        <v>2</v>
      </c>
      <c r="N1801">
        <v>1.8</v>
      </c>
      <c r="O1801">
        <v>6400835</v>
      </c>
      <c r="P1801" s="2" t="s">
        <v>130</v>
      </c>
      <c r="Q1801" s="2" t="s">
        <v>131</v>
      </c>
      <c r="R1801" s="2" t="s">
        <v>30</v>
      </c>
      <c r="S1801">
        <v>6</v>
      </c>
      <c r="T1801" s="1">
        <v>43630</v>
      </c>
      <c r="U1801" s="1">
        <v>43634</v>
      </c>
      <c r="V1801" s="2"/>
      <c r="W1801" s="1">
        <f>fNotasFiscais[[#This Row],[Data da Coleta]]+fNotasFiscais[[#This Row],[Prazo Contratado]]</f>
        <v>43636</v>
      </c>
      <c r="X1801" s="3">
        <f>IF(fNotasFiscais[[#This Row],[Data da Entrega]]&gt;fNotasFiscais[[#This Row],[Data Contratada]],0,1)</f>
        <v>1</v>
      </c>
      <c r="Y1801" s="3">
        <f>IF(fNotasFiscais[[#This Row],[Ocorrência]]="",1,0)</f>
        <v>1</v>
      </c>
      <c r="Z1801" s="2">
        <f>fNotasFiscais[[#This Row],[On Time]]*fNotasFiscais[[#This Row],[In Full]]</f>
        <v>1</v>
      </c>
      <c r="AA1801">
        <f>IF(fNotasFiscais[[#This Row],[Nota Fiscal]]&lt;&gt;"",1,0)</f>
        <v>1</v>
      </c>
    </row>
    <row r="1802" spans="1:27" x14ac:dyDescent="0.25">
      <c r="A1802" s="1">
        <v>43629</v>
      </c>
      <c r="B1802">
        <v>12211</v>
      </c>
      <c r="C1802" s="2" t="s">
        <v>43</v>
      </c>
      <c r="D1802" s="2" t="s">
        <v>44</v>
      </c>
      <c r="E1802" s="2" t="s">
        <v>45</v>
      </c>
      <c r="F1802">
        <v>4142</v>
      </c>
      <c r="G1802" s="2" t="s">
        <v>225</v>
      </c>
      <c r="H1802" s="2" t="s">
        <v>173</v>
      </c>
      <c r="I1802" s="2" t="s">
        <v>174</v>
      </c>
      <c r="J1802" s="2" t="s">
        <v>175</v>
      </c>
      <c r="K1802" s="2" t="s">
        <v>174</v>
      </c>
      <c r="L1802">
        <v>401.92</v>
      </c>
      <c r="M1802">
        <v>1</v>
      </c>
      <c r="N1802">
        <v>8.1000000000000003E-2</v>
      </c>
      <c r="O1802">
        <v>6700091</v>
      </c>
      <c r="P1802" s="2" t="s">
        <v>176</v>
      </c>
      <c r="Q1802" s="2" t="s">
        <v>173</v>
      </c>
      <c r="R1802" s="2" t="s">
        <v>30</v>
      </c>
      <c r="S1802">
        <v>5</v>
      </c>
      <c r="T1802" s="1">
        <v>43630</v>
      </c>
      <c r="U1802" s="1">
        <v>43635</v>
      </c>
      <c r="V1802" s="2"/>
      <c r="W1802" s="1">
        <f>fNotasFiscais[[#This Row],[Data da Coleta]]+fNotasFiscais[[#This Row],[Prazo Contratado]]</f>
        <v>43635</v>
      </c>
      <c r="X1802" s="3">
        <f>IF(fNotasFiscais[[#This Row],[Data da Entrega]]&gt;fNotasFiscais[[#This Row],[Data Contratada]],0,1)</f>
        <v>1</v>
      </c>
      <c r="Y1802" s="3">
        <f>IF(fNotasFiscais[[#This Row],[Ocorrência]]="",1,0)</f>
        <v>1</v>
      </c>
      <c r="Z1802" s="2">
        <f>fNotasFiscais[[#This Row],[On Time]]*fNotasFiscais[[#This Row],[In Full]]</f>
        <v>1</v>
      </c>
      <c r="AA1802">
        <f>IF(fNotasFiscais[[#This Row],[Nota Fiscal]]&lt;&gt;"",1,0)</f>
        <v>1</v>
      </c>
    </row>
    <row r="1803" spans="1:27" x14ac:dyDescent="0.25">
      <c r="A1803" s="1">
        <v>43629</v>
      </c>
      <c r="B1803">
        <v>12212</v>
      </c>
      <c r="C1803" s="2" t="s">
        <v>31</v>
      </c>
      <c r="D1803" s="2" t="s">
        <v>32</v>
      </c>
      <c r="E1803" s="2" t="s">
        <v>33</v>
      </c>
      <c r="F1803">
        <v>4023</v>
      </c>
      <c r="G1803" s="2" t="s">
        <v>88</v>
      </c>
      <c r="H1803" s="2" t="s">
        <v>78</v>
      </c>
      <c r="I1803" s="2" t="s">
        <v>39</v>
      </c>
      <c r="J1803" s="2" t="s">
        <v>28</v>
      </c>
      <c r="K1803" s="2" t="s">
        <v>39</v>
      </c>
      <c r="L1803">
        <v>290.89</v>
      </c>
      <c r="M1803">
        <v>8</v>
      </c>
      <c r="N1803">
        <v>14.266999999999999</v>
      </c>
      <c r="O1803">
        <v>6500948</v>
      </c>
      <c r="P1803" s="2" t="s">
        <v>29</v>
      </c>
      <c r="Q1803" s="2" t="s">
        <v>23</v>
      </c>
      <c r="R1803" s="2" t="s">
        <v>30</v>
      </c>
      <c r="S1803">
        <v>11</v>
      </c>
      <c r="T1803" s="1">
        <v>43630</v>
      </c>
      <c r="U1803" s="1">
        <v>43632</v>
      </c>
      <c r="V1803" s="2"/>
      <c r="W1803" s="1">
        <f>fNotasFiscais[[#This Row],[Data da Coleta]]+fNotasFiscais[[#This Row],[Prazo Contratado]]</f>
        <v>43641</v>
      </c>
      <c r="X1803" s="3">
        <f>IF(fNotasFiscais[[#This Row],[Data da Entrega]]&gt;fNotasFiscais[[#This Row],[Data Contratada]],0,1)</f>
        <v>1</v>
      </c>
      <c r="Y1803" s="3">
        <f>IF(fNotasFiscais[[#This Row],[Ocorrência]]="",1,0)</f>
        <v>1</v>
      </c>
      <c r="Z1803" s="2">
        <f>fNotasFiscais[[#This Row],[On Time]]*fNotasFiscais[[#This Row],[In Full]]</f>
        <v>1</v>
      </c>
      <c r="AA1803">
        <f>IF(fNotasFiscais[[#This Row],[Nota Fiscal]]&lt;&gt;"",1,0)</f>
        <v>1</v>
      </c>
    </row>
    <row r="1804" spans="1:27" x14ac:dyDescent="0.25">
      <c r="A1804" s="1">
        <v>43629</v>
      </c>
      <c r="B1804">
        <v>12213</v>
      </c>
      <c r="C1804" s="2" t="s">
        <v>34</v>
      </c>
      <c r="D1804" s="2" t="s">
        <v>35</v>
      </c>
      <c r="E1804" s="2" t="s">
        <v>36</v>
      </c>
      <c r="F1804">
        <v>4100</v>
      </c>
      <c r="G1804" s="2" t="s">
        <v>182</v>
      </c>
      <c r="H1804" s="2" t="s">
        <v>183</v>
      </c>
      <c r="I1804" s="2" t="s">
        <v>33</v>
      </c>
      <c r="J1804" s="2" t="s">
        <v>60</v>
      </c>
      <c r="K1804" s="2" t="s">
        <v>33</v>
      </c>
      <c r="L1804">
        <v>802.47</v>
      </c>
      <c r="M1804">
        <v>1</v>
      </c>
      <c r="N1804">
        <v>1.1200000000000001</v>
      </c>
      <c r="O1804">
        <v>6400835</v>
      </c>
      <c r="P1804" s="2" t="s">
        <v>130</v>
      </c>
      <c r="Q1804" s="2" t="s">
        <v>131</v>
      </c>
      <c r="R1804" s="2" t="s">
        <v>30</v>
      </c>
      <c r="S1804">
        <v>11</v>
      </c>
      <c r="T1804" s="1">
        <v>43630</v>
      </c>
      <c r="U1804" s="1">
        <v>43638</v>
      </c>
      <c r="V1804" s="2"/>
      <c r="W1804" s="1">
        <f>fNotasFiscais[[#This Row],[Data da Coleta]]+fNotasFiscais[[#This Row],[Prazo Contratado]]</f>
        <v>43641</v>
      </c>
      <c r="X1804" s="3">
        <f>IF(fNotasFiscais[[#This Row],[Data da Entrega]]&gt;fNotasFiscais[[#This Row],[Data Contratada]],0,1)</f>
        <v>1</v>
      </c>
      <c r="Y1804" s="3">
        <f>IF(fNotasFiscais[[#This Row],[Ocorrência]]="",1,0)</f>
        <v>1</v>
      </c>
      <c r="Z1804" s="2">
        <f>fNotasFiscais[[#This Row],[On Time]]*fNotasFiscais[[#This Row],[In Full]]</f>
        <v>1</v>
      </c>
      <c r="AA1804">
        <f>IF(fNotasFiscais[[#This Row],[Nota Fiscal]]&lt;&gt;"",1,0)</f>
        <v>1</v>
      </c>
    </row>
    <row r="1805" spans="1:27" x14ac:dyDescent="0.25">
      <c r="A1805" s="1">
        <v>43629</v>
      </c>
      <c r="B1805">
        <v>12214</v>
      </c>
      <c r="C1805" s="2" t="s">
        <v>54</v>
      </c>
      <c r="D1805" s="2" t="s">
        <v>55</v>
      </c>
      <c r="E1805" s="2" t="s">
        <v>56</v>
      </c>
      <c r="F1805">
        <v>4022</v>
      </c>
      <c r="G1805" s="2" t="s">
        <v>86</v>
      </c>
      <c r="H1805" s="2" t="s">
        <v>87</v>
      </c>
      <c r="I1805" s="2" t="s">
        <v>27</v>
      </c>
      <c r="J1805" s="2" t="s">
        <v>28</v>
      </c>
      <c r="K1805" s="2" t="s">
        <v>27</v>
      </c>
      <c r="L1805">
        <v>3710.91</v>
      </c>
      <c r="M1805">
        <v>1</v>
      </c>
      <c r="N1805">
        <v>1.1200000000000001</v>
      </c>
      <c r="O1805">
        <v>6500948</v>
      </c>
      <c r="P1805" s="2" t="s">
        <v>29</v>
      </c>
      <c r="Q1805" s="2" t="s">
        <v>23</v>
      </c>
      <c r="R1805" s="2" t="s">
        <v>30</v>
      </c>
      <c r="S1805">
        <v>11</v>
      </c>
      <c r="T1805" s="1">
        <v>43630</v>
      </c>
      <c r="U1805" s="1">
        <v>43639</v>
      </c>
      <c r="V1805" s="2"/>
      <c r="W1805" s="1">
        <f>fNotasFiscais[[#This Row],[Data da Coleta]]+fNotasFiscais[[#This Row],[Prazo Contratado]]</f>
        <v>43641</v>
      </c>
      <c r="X1805" s="3">
        <f>IF(fNotasFiscais[[#This Row],[Data da Entrega]]&gt;fNotasFiscais[[#This Row],[Data Contratada]],0,1)</f>
        <v>1</v>
      </c>
      <c r="Y1805" s="3">
        <f>IF(fNotasFiscais[[#This Row],[Ocorrência]]="",1,0)</f>
        <v>1</v>
      </c>
      <c r="Z1805" s="2">
        <f>fNotasFiscais[[#This Row],[On Time]]*fNotasFiscais[[#This Row],[In Full]]</f>
        <v>1</v>
      </c>
      <c r="AA1805">
        <f>IF(fNotasFiscais[[#This Row],[Nota Fiscal]]&lt;&gt;"",1,0)</f>
        <v>1</v>
      </c>
    </row>
    <row r="1806" spans="1:27" x14ac:dyDescent="0.25">
      <c r="A1806" s="1">
        <v>43629</v>
      </c>
      <c r="B1806">
        <v>12215</v>
      </c>
      <c r="C1806" s="2" t="s">
        <v>43</v>
      </c>
      <c r="D1806" s="2" t="s">
        <v>44</v>
      </c>
      <c r="E1806" s="2" t="s">
        <v>45</v>
      </c>
      <c r="F1806">
        <v>4032</v>
      </c>
      <c r="G1806" s="2" t="s">
        <v>108</v>
      </c>
      <c r="H1806" s="2" t="s">
        <v>51</v>
      </c>
      <c r="I1806" s="2" t="s">
        <v>73</v>
      </c>
      <c r="J1806" s="2" t="s">
        <v>49</v>
      </c>
      <c r="K1806" s="2" t="s">
        <v>73</v>
      </c>
      <c r="L1806">
        <v>3340.76</v>
      </c>
      <c r="M1806">
        <v>7</v>
      </c>
      <c r="N1806">
        <v>36.51</v>
      </c>
      <c r="O1806">
        <v>6100231</v>
      </c>
      <c r="P1806" s="2" t="s">
        <v>50</v>
      </c>
      <c r="Q1806" s="2" t="s">
        <v>51</v>
      </c>
      <c r="R1806" s="2" t="s">
        <v>30</v>
      </c>
      <c r="S1806">
        <v>1</v>
      </c>
      <c r="T1806" s="1">
        <v>43630</v>
      </c>
      <c r="U1806" s="1">
        <v>43633</v>
      </c>
      <c r="V1806" s="2"/>
      <c r="W1806" s="1">
        <f>fNotasFiscais[[#This Row],[Data da Coleta]]+fNotasFiscais[[#This Row],[Prazo Contratado]]</f>
        <v>43631</v>
      </c>
      <c r="X1806" s="3">
        <f>IF(fNotasFiscais[[#This Row],[Data da Entrega]]&gt;fNotasFiscais[[#This Row],[Data Contratada]],0,1)</f>
        <v>0</v>
      </c>
      <c r="Y1806" s="3">
        <f>IF(fNotasFiscais[[#This Row],[Ocorrência]]="",1,0)</f>
        <v>1</v>
      </c>
      <c r="Z1806" s="2">
        <f>fNotasFiscais[[#This Row],[On Time]]*fNotasFiscais[[#This Row],[In Full]]</f>
        <v>0</v>
      </c>
      <c r="AA1806">
        <f>IF(fNotasFiscais[[#This Row],[Nota Fiscal]]&lt;&gt;"",1,0)</f>
        <v>1</v>
      </c>
    </row>
    <row r="1807" spans="1:27" x14ac:dyDescent="0.25">
      <c r="A1807" s="1">
        <v>43629</v>
      </c>
      <c r="B1807">
        <v>12216</v>
      </c>
      <c r="C1807" s="2" t="s">
        <v>34</v>
      </c>
      <c r="D1807" s="2" t="s">
        <v>35</v>
      </c>
      <c r="E1807" s="2" t="s">
        <v>36</v>
      </c>
      <c r="F1807">
        <v>4032</v>
      </c>
      <c r="G1807" s="2" t="s">
        <v>108</v>
      </c>
      <c r="H1807" s="2" t="s">
        <v>51</v>
      </c>
      <c r="I1807" s="2" t="s">
        <v>73</v>
      </c>
      <c r="J1807" s="2" t="s">
        <v>49</v>
      </c>
      <c r="K1807" s="2" t="s">
        <v>73</v>
      </c>
      <c r="L1807">
        <v>4765.47</v>
      </c>
      <c r="M1807">
        <v>8</v>
      </c>
      <c r="N1807">
        <v>161.053</v>
      </c>
      <c r="O1807">
        <v>6100231</v>
      </c>
      <c r="P1807" s="2" t="s">
        <v>50</v>
      </c>
      <c r="Q1807" s="2" t="s">
        <v>51</v>
      </c>
      <c r="R1807" s="2" t="s">
        <v>30</v>
      </c>
      <c r="S1807">
        <v>2</v>
      </c>
      <c r="T1807" s="1">
        <v>43630</v>
      </c>
      <c r="U1807" s="1">
        <v>43636</v>
      </c>
      <c r="V1807" s="2" t="s">
        <v>57</v>
      </c>
      <c r="W1807" s="1">
        <f>fNotasFiscais[[#This Row],[Data da Coleta]]+fNotasFiscais[[#This Row],[Prazo Contratado]]</f>
        <v>43632</v>
      </c>
      <c r="X1807" s="3">
        <f>IF(fNotasFiscais[[#This Row],[Data da Entrega]]&gt;fNotasFiscais[[#This Row],[Data Contratada]],0,1)</f>
        <v>0</v>
      </c>
      <c r="Y1807" s="3">
        <f>IF(fNotasFiscais[[#This Row],[Ocorrência]]="",1,0)</f>
        <v>0</v>
      </c>
      <c r="Z1807" s="2">
        <f>fNotasFiscais[[#This Row],[On Time]]*fNotasFiscais[[#This Row],[In Full]]</f>
        <v>0</v>
      </c>
      <c r="AA1807">
        <f>IF(fNotasFiscais[[#This Row],[Nota Fiscal]]&lt;&gt;"",1,0)</f>
        <v>1</v>
      </c>
    </row>
    <row r="1808" spans="1:27" x14ac:dyDescent="0.25">
      <c r="A1808" s="1">
        <v>43630</v>
      </c>
      <c r="B1808">
        <v>12217</v>
      </c>
      <c r="C1808" s="2" t="s">
        <v>52</v>
      </c>
      <c r="D1808" s="2" t="s">
        <v>53</v>
      </c>
      <c r="E1808" s="2" t="s">
        <v>33</v>
      </c>
      <c r="F1808">
        <v>4156</v>
      </c>
      <c r="G1808" s="2" t="s">
        <v>239</v>
      </c>
      <c r="H1808" s="2" t="s">
        <v>165</v>
      </c>
      <c r="I1808" s="2" t="s">
        <v>24</v>
      </c>
      <c r="J1808" s="2" t="s">
        <v>28</v>
      </c>
      <c r="K1808" s="2" t="s">
        <v>24</v>
      </c>
      <c r="L1808">
        <v>307.88</v>
      </c>
      <c r="M1808">
        <v>1</v>
      </c>
      <c r="N1808">
        <v>1.1000000000000001</v>
      </c>
      <c r="O1808">
        <v>6500948</v>
      </c>
      <c r="P1808" s="2" t="s">
        <v>29</v>
      </c>
      <c r="Q1808" s="2" t="s">
        <v>23</v>
      </c>
      <c r="R1808" s="2" t="s">
        <v>30</v>
      </c>
      <c r="S1808">
        <v>12</v>
      </c>
      <c r="T1808" s="1">
        <v>43631</v>
      </c>
      <c r="U1808" s="1">
        <v>43635</v>
      </c>
      <c r="V1808" s="2"/>
      <c r="W1808" s="1">
        <f>fNotasFiscais[[#This Row],[Data da Coleta]]+fNotasFiscais[[#This Row],[Prazo Contratado]]</f>
        <v>43643</v>
      </c>
      <c r="X1808" s="3">
        <f>IF(fNotasFiscais[[#This Row],[Data da Entrega]]&gt;fNotasFiscais[[#This Row],[Data Contratada]],0,1)</f>
        <v>1</v>
      </c>
      <c r="Y1808" s="3">
        <f>IF(fNotasFiscais[[#This Row],[Ocorrência]]="",1,0)</f>
        <v>1</v>
      </c>
      <c r="Z1808" s="2">
        <f>fNotasFiscais[[#This Row],[On Time]]*fNotasFiscais[[#This Row],[In Full]]</f>
        <v>1</v>
      </c>
      <c r="AA1808">
        <f>IF(fNotasFiscais[[#This Row],[Nota Fiscal]]&lt;&gt;"",1,0)</f>
        <v>1</v>
      </c>
    </row>
    <row r="1809" spans="1:27" x14ac:dyDescent="0.25">
      <c r="A1809" s="1">
        <v>43630</v>
      </c>
      <c r="B1809">
        <v>12218</v>
      </c>
      <c r="C1809" s="2" t="s">
        <v>22</v>
      </c>
      <c r="D1809" s="2" t="s">
        <v>23</v>
      </c>
      <c r="E1809" s="2" t="s">
        <v>24</v>
      </c>
      <c r="F1809">
        <v>4069</v>
      </c>
      <c r="G1809" s="2" t="s">
        <v>135</v>
      </c>
      <c r="H1809" s="2" t="s">
        <v>47</v>
      </c>
      <c r="I1809" s="2" t="s">
        <v>48</v>
      </c>
      <c r="J1809" s="2" t="s">
        <v>49</v>
      </c>
      <c r="K1809" s="2" t="s">
        <v>48</v>
      </c>
      <c r="L1809">
        <v>637.42999999999995</v>
      </c>
      <c r="M1809">
        <v>1</v>
      </c>
      <c r="N1809">
        <v>7.9749999999999996</v>
      </c>
      <c r="O1809">
        <v>6100231</v>
      </c>
      <c r="P1809" s="2" t="s">
        <v>50</v>
      </c>
      <c r="Q1809" s="2" t="s">
        <v>51</v>
      </c>
      <c r="R1809" s="2" t="s">
        <v>30</v>
      </c>
      <c r="S1809">
        <v>2</v>
      </c>
      <c r="T1809" s="1">
        <v>43631</v>
      </c>
      <c r="U1809" s="1">
        <v>43632</v>
      </c>
      <c r="V1809" s="2"/>
      <c r="W1809" s="1">
        <f>fNotasFiscais[[#This Row],[Data da Coleta]]+fNotasFiscais[[#This Row],[Prazo Contratado]]</f>
        <v>43633</v>
      </c>
      <c r="X1809" s="3">
        <f>IF(fNotasFiscais[[#This Row],[Data da Entrega]]&gt;fNotasFiscais[[#This Row],[Data Contratada]],0,1)</f>
        <v>1</v>
      </c>
      <c r="Y1809" s="3">
        <f>IF(fNotasFiscais[[#This Row],[Ocorrência]]="",1,0)</f>
        <v>1</v>
      </c>
      <c r="Z1809" s="2">
        <f>fNotasFiscais[[#This Row],[On Time]]*fNotasFiscais[[#This Row],[In Full]]</f>
        <v>1</v>
      </c>
      <c r="AA1809">
        <f>IF(fNotasFiscais[[#This Row],[Nota Fiscal]]&lt;&gt;"",1,0)</f>
        <v>1</v>
      </c>
    </row>
    <row r="1810" spans="1:27" x14ac:dyDescent="0.25">
      <c r="A1810" s="1">
        <v>43633</v>
      </c>
      <c r="B1810">
        <v>12219</v>
      </c>
      <c r="C1810" s="2" t="s">
        <v>31</v>
      </c>
      <c r="D1810" s="2" t="s">
        <v>32</v>
      </c>
      <c r="E1810" s="2" t="s">
        <v>33</v>
      </c>
      <c r="F1810">
        <v>4168</v>
      </c>
      <c r="G1810" s="2" t="s">
        <v>251</v>
      </c>
      <c r="H1810" s="2" t="s">
        <v>183</v>
      </c>
      <c r="I1810" s="2" t="s">
        <v>33</v>
      </c>
      <c r="J1810" s="2" t="s">
        <v>60</v>
      </c>
      <c r="K1810" s="2" t="s">
        <v>33</v>
      </c>
      <c r="L1810">
        <v>988.95</v>
      </c>
      <c r="M1810">
        <v>1</v>
      </c>
      <c r="N1810">
        <v>0.44</v>
      </c>
      <c r="O1810">
        <v>6400835</v>
      </c>
      <c r="P1810" s="2" t="s">
        <v>130</v>
      </c>
      <c r="Q1810" s="2" t="s">
        <v>131</v>
      </c>
      <c r="R1810" s="2" t="s">
        <v>30</v>
      </c>
      <c r="S1810">
        <v>5</v>
      </c>
      <c r="T1810" s="1">
        <v>43634</v>
      </c>
      <c r="U1810" s="1">
        <v>43643</v>
      </c>
      <c r="V1810" s="2"/>
      <c r="W1810" s="1">
        <f>fNotasFiscais[[#This Row],[Data da Coleta]]+fNotasFiscais[[#This Row],[Prazo Contratado]]</f>
        <v>43639</v>
      </c>
      <c r="X1810" s="3">
        <f>IF(fNotasFiscais[[#This Row],[Data da Entrega]]&gt;fNotasFiscais[[#This Row],[Data Contratada]],0,1)</f>
        <v>0</v>
      </c>
      <c r="Y1810" s="3">
        <f>IF(fNotasFiscais[[#This Row],[Ocorrência]]="",1,0)</f>
        <v>1</v>
      </c>
      <c r="Z1810" s="2">
        <f>fNotasFiscais[[#This Row],[On Time]]*fNotasFiscais[[#This Row],[In Full]]</f>
        <v>0</v>
      </c>
      <c r="AA1810">
        <f>IF(fNotasFiscais[[#This Row],[Nota Fiscal]]&lt;&gt;"",1,0)</f>
        <v>1</v>
      </c>
    </row>
    <row r="1811" spans="1:27" x14ac:dyDescent="0.25">
      <c r="A1811" s="1">
        <v>43633</v>
      </c>
      <c r="B1811">
        <v>12220</v>
      </c>
      <c r="C1811" s="2" t="s">
        <v>52</v>
      </c>
      <c r="D1811" s="2" t="s">
        <v>53</v>
      </c>
      <c r="E1811" s="2" t="s">
        <v>33</v>
      </c>
      <c r="F1811">
        <v>4165</v>
      </c>
      <c r="G1811" s="2" t="s">
        <v>248</v>
      </c>
      <c r="H1811" s="2" t="s">
        <v>167</v>
      </c>
      <c r="I1811" s="2" t="s">
        <v>168</v>
      </c>
      <c r="J1811" s="2" t="s">
        <v>169</v>
      </c>
      <c r="K1811" s="2" t="s">
        <v>168</v>
      </c>
      <c r="L1811">
        <v>597.1</v>
      </c>
      <c r="M1811">
        <v>1</v>
      </c>
      <c r="N1811">
        <v>22</v>
      </c>
      <c r="O1811">
        <v>6900304</v>
      </c>
      <c r="P1811" s="2" t="s">
        <v>170</v>
      </c>
      <c r="Q1811" s="2" t="s">
        <v>171</v>
      </c>
      <c r="R1811" s="2" t="s">
        <v>30</v>
      </c>
      <c r="S1811">
        <v>2</v>
      </c>
      <c r="T1811" s="1">
        <v>43634</v>
      </c>
      <c r="U1811" s="1">
        <v>43639</v>
      </c>
      <c r="V1811" s="2"/>
      <c r="W1811" s="1">
        <f>fNotasFiscais[[#This Row],[Data da Coleta]]+fNotasFiscais[[#This Row],[Prazo Contratado]]</f>
        <v>43636</v>
      </c>
      <c r="X1811" s="3">
        <f>IF(fNotasFiscais[[#This Row],[Data da Entrega]]&gt;fNotasFiscais[[#This Row],[Data Contratada]],0,1)</f>
        <v>0</v>
      </c>
      <c r="Y1811" s="3">
        <f>IF(fNotasFiscais[[#This Row],[Ocorrência]]="",1,0)</f>
        <v>1</v>
      </c>
      <c r="Z1811" s="2">
        <f>fNotasFiscais[[#This Row],[On Time]]*fNotasFiscais[[#This Row],[In Full]]</f>
        <v>0</v>
      </c>
      <c r="AA1811">
        <f>IF(fNotasFiscais[[#This Row],[Nota Fiscal]]&lt;&gt;"",1,0)</f>
        <v>1</v>
      </c>
    </row>
    <row r="1812" spans="1:27" x14ac:dyDescent="0.25">
      <c r="A1812" s="1">
        <v>43633</v>
      </c>
      <c r="B1812">
        <v>12221</v>
      </c>
      <c r="C1812" s="2" t="s">
        <v>40</v>
      </c>
      <c r="D1812" s="2" t="s">
        <v>41</v>
      </c>
      <c r="E1812" s="2" t="s">
        <v>33</v>
      </c>
      <c r="F1812">
        <v>4133</v>
      </c>
      <c r="G1812" s="2" t="s">
        <v>216</v>
      </c>
      <c r="H1812" s="2" t="s">
        <v>35</v>
      </c>
      <c r="I1812" s="2" t="s">
        <v>36</v>
      </c>
      <c r="J1812" s="2" t="s">
        <v>60</v>
      </c>
      <c r="K1812" s="2" t="s">
        <v>36</v>
      </c>
      <c r="L1812">
        <v>1106.5899999999999</v>
      </c>
      <c r="M1812">
        <v>2</v>
      </c>
      <c r="N1812">
        <v>23.672000000000001</v>
      </c>
      <c r="O1812">
        <v>6600879</v>
      </c>
      <c r="P1812" s="2" t="s">
        <v>61</v>
      </c>
      <c r="Q1812" s="2" t="s">
        <v>35</v>
      </c>
      <c r="R1812" s="2" t="s">
        <v>30</v>
      </c>
      <c r="S1812">
        <v>5</v>
      </c>
      <c r="T1812" s="1">
        <v>43634</v>
      </c>
      <c r="U1812" s="1">
        <v>43642</v>
      </c>
      <c r="V1812" s="2" t="s">
        <v>57</v>
      </c>
      <c r="W1812" s="1">
        <f>fNotasFiscais[[#This Row],[Data da Coleta]]+fNotasFiscais[[#This Row],[Prazo Contratado]]</f>
        <v>43639</v>
      </c>
      <c r="X1812" s="3">
        <f>IF(fNotasFiscais[[#This Row],[Data da Entrega]]&gt;fNotasFiscais[[#This Row],[Data Contratada]],0,1)</f>
        <v>0</v>
      </c>
      <c r="Y1812" s="3">
        <f>IF(fNotasFiscais[[#This Row],[Ocorrência]]="",1,0)</f>
        <v>0</v>
      </c>
      <c r="Z1812" s="2">
        <f>fNotasFiscais[[#This Row],[On Time]]*fNotasFiscais[[#This Row],[In Full]]</f>
        <v>0</v>
      </c>
      <c r="AA1812">
        <f>IF(fNotasFiscais[[#This Row],[Nota Fiscal]]&lt;&gt;"",1,0)</f>
        <v>1</v>
      </c>
    </row>
    <row r="1813" spans="1:27" x14ac:dyDescent="0.25">
      <c r="A1813" s="1">
        <v>43633</v>
      </c>
      <c r="B1813">
        <v>12222</v>
      </c>
      <c r="C1813" s="2" t="s">
        <v>40</v>
      </c>
      <c r="D1813" s="2" t="s">
        <v>41</v>
      </c>
      <c r="E1813" s="2" t="s">
        <v>33</v>
      </c>
      <c r="F1813">
        <v>4143</v>
      </c>
      <c r="G1813" s="2" t="s">
        <v>226</v>
      </c>
      <c r="H1813" s="2" t="s">
        <v>173</v>
      </c>
      <c r="I1813" s="2" t="s">
        <v>174</v>
      </c>
      <c r="J1813" s="2" t="s">
        <v>175</v>
      </c>
      <c r="K1813" s="2" t="s">
        <v>174</v>
      </c>
      <c r="L1813">
        <v>164.49</v>
      </c>
      <c r="M1813">
        <v>1</v>
      </c>
      <c r="N1813">
        <v>0.99</v>
      </c>
      <c r="O1813">
        <v>6700091</v>
      </c>
      <c r="P1813" s="2" t="s">
        <v>176</v>
      </c>
      <c r="Q1813" s="2" t="s">
        <v>173</v>
      </c>
      <c r="R1813" s="2" t="s">
        <v>30</v>
      </c>
      <c r="S1813">
        <v>6</v>
      </c>
      <c r="T1813" s="1">
        <v>43634</v>
      </c>
      <c r="U1813" s="1">
        <v>43638</v>
      </c>
      <c r="V1813" s="2"/>
      <c r="W1813" s="1">
        <f>fNotasFiscais[[#This Row],[Data da Coleta]]+fNotasFiscais[[#This Row],[Prazo Contratado]]</f>
        <v>43640</v>
      </c>
      <c r="X1813" s="3">
        <f>IF(fNotasFiscais[[#This Row],[Data da Entrega]]&gt;fNotasFiscais[[#This Row],[Data Contratada]],0,1)</f>
        <v>1</v>
      </c>
      <c r="Y1813" s="3">
        <f>IF(fNotasFiscais[[#This Row],[Ocorrência]]="",1,0)</f>
        <v>1</v>
      </c>
      <c r="Z1813" s="2">
        <f>fNotasFiscais[[#This Row],[On Time]]*fNotasFiscais[[#This Row],[In Full]]</f>
        <v>1</v>
      </c>
      <c r="AA1813">
        <f>IF(fNotasFiscais[[#This Row],[Nota Fiscal]]&lt;&gt;"",1,0)</f>
        <v>1</v>
      </c>
    </row>
    <row r="1814" spans="1:27" x14ac:dyDescent="0.25">
      <c r="A1814" s="1">
        <v>43633</v>
      </c>
      <c r="B1814">
        <v>12223</v>
      </c>
      <c r="C1814" s="2" t="s">
        <v>43</v>
      </c>
      <c r="D1814" s="2" t="s">
        <v>44</v>
      </c>
      <c r="E1814" s="2" t="s">
        <v>45</v>
      </c>
      <c r="F1814">
        <v>4162</v>
      </c>
      <c r="G1814" s="2" t="s">
        <v>245</v>
      </c>
      <c r="H1814" s="2" t="s">
        <v>167</v>
      </c>
      <c r="I1814" s="2" t="s">
        <v>168</v>
      </c>
      <c r="J1814" s="2" t="s">
        <v>169</v>
      </c>
      <c r="K1814" s="2" t="s">
        <v>168</v>
      </c>
      <c r="L1814">
        <v>544.58000000000004</v>
      </c>
      <c r="M1814">
        <v>1</v>
      </c>
      <c r="N1814">
        <v>1.76</v>
      </c>
      <c r="O1814">
        <v>6900304</v>
      </c>
      <c r="P1814" s="2" t="s">
        <v>170</v>
      </c>
      <c r="Q1814" s="2" t="s">
        <v>171</v>
      </c>
      <c r="R1814" s="2" t="s">
        <v>30</v>
      </c>
      <c r="S1814">
        <v>4</v>
      </c>
      <c r="T1814" s="1">
        <v>43634</v>
      </c>
      <c r="U1814" s="1">
        <v>43640</v>
      </c>
      <c r="V1814" s="2"/>
      <c r="W1814" s="1">
        <f>fNotasFiscais[[#This Row],[Data da Coleta]]+fNotasFiscais[[#This Row],[Prazo Contratado]]</f>
        <v>43638</v>
      </c>
      <c r="X1814" s="3">
        <f>IF(fNotasFiscais[[#This Row],[Data da Entrega]]&gt;fNotasFiscais[[#This Row],[Data Contratada]],0,1)</f>
        <v>0</v>
      </c>
      <c r="Y1814" s="3">
        <f>IF(fNotasFiscais[[#This Row],[Ocorrência]]="",1,0)</f>
        <v>1</v>
      </c>
      <c r="Z1814" s="2">
        <f>fNotasFiscais[[#This Row],[On Time]]*fNotasFiscais[[#This Row],[In Full]]</f>
        <v>0</v>
      </c>
      <c r="AA1814">
        <f>IF(fNotasFiscais[[#This Row],[Nota Fiscal]]&lt;&gt;"",1,0)</f>
        <v>1</v>
      </c>
    </row>
    <row r="1815" spans="1:27" x14ac:dyDescent="0.25">
      <c r="A1815" s="1">
        <v>43633</v>
      </c>
      <c r="B1815">
        <v>12224</v>
      </c>
      <c r="C1815" s="2" t="s">
        <v>43</v>
      </c>
      <c r="D1815" s="2" t="s">
        <v>44</v>
      </c>
      <c r="E1815" s="2" t="s">
        <v>45</v>
      </c>
      <c r="F1815">
        <v>4056</v>
      </c>
      <c r="G1815" s="2" t="s">
        <v>119</v>
      </c>
      <c r="H1815" s="2" t="s">
        <v>51</v>
      </c>
      <c r="I1815" s="2" t="s">
        <v>73</v>
      </c>
      <c r="J1815" s="2" t="s">
        <v>49</v>
      </c>
      <c r="K1815" s="2" t="s">
        <v>73</v>
      </c>
      <c r="L1815">
        <v>7271.28</v>
      </c>
      <c r="M1815">
        <v>7</v>
      </c>
      <c r="N1815">
        <v>19.052</v>
      </c>
      <c r="O1815">
        <v>6100231</v>
      </c>
      <c r="P1815" s="2" t="s">
        <v>50</v>
      </c>
      <c r="Q1815" s="2" t="s">
        <v>51</v>
      </c>
      <c r="R1815" s="2" t="s">
        <v>30</v>
      </c>
      <c r="S1815">
        <v>12</v>
      </c>
      <c r="T1815" s="1">
        <v>43634</v>
      </c>
      <c r="U1815" s="1">
        <v>43643</v>
      </c>
      <c r="V1815" s="2"/>
      <c r="W1815" s="1">
        <f>fNotasFiscais[[#This Row],[Data da Coleta]]+fNotasFiscais[[#This Row],[Prazo Contratado]]</f>
        <v>43646</v>
      </c>
      <c r="X1815" s="3">
        <f>IF(fNotasFiscais[[#This Row],[Data da Entrega]]&gt;fNotasFiscais[[#This Row],[Data Contratada]],0,1)</f>
        <v>1</v>
      </c>
      <c r="Y1815" s="3">
        <f>IF(fNotasFiscais[[#This Row],[Ocorrência]]="",1,0)</f>
        <v>1</v>
      </c>
      <c r="Z1815" s="2">
        <f>fNotasFiscais[[#This Row],[On Time]]*fNotasFiscais[[#This Row],[In Full]]</f>
        <v>1</v>
      </c>
      <c r="AA1815">
        <f>IF(fNotasFiscais[[#This Row],[Nota Fiscal]]&lt;&gt;"",1,0)</f>
        <v>1</v>
      </c>
    </row>
    <row r="1816" spans="1:27" x14ac:dyDescent="0.25">
      <c r="A1816" s="1">
        <v>43633</v>
      </c>
      <c r="B1816">
        <v>12225</v>
      </c>
      <c r="C1816" s="2" t="s">
        <v>34</v>
      </c>
      <c r="D1816" s="2" t="s">
        <v>35</v>
      </c>
      <c r="E1816" s="2" t="s">
        <v>36</v>
      </c>
      <c r="F1816">
        <v>4056</v>
      </c>
      <c r="G1816" s="2" t="s">
        <v>119</v>
      </c>
      <c r="H1816" s="2" t="s">
        <v>51</v>
      </c>
      <c r="I1816" s="2" t="s">
        <v>73</v>
      </c>
      <c r="J1816" s="2" t="s">
        <v>49</v>
      </c>
      <c r="K1816" s="2" t="s">
        <v>73</v>
      </c>
      <c r="L1816">
        <v>2347.48</v>
      </c>
      <c r="M1816">
        <v>3</v>
      </c>
      <c r="N1816">
        <v>4.774</v>
      </c>
      <c r="O1816">
        <v>6100231</v>
      </c>
      <c r="P1816" s="2" t="s">
        <v>50</v>
      </c>
      <c r="Q1816" s="2" t="s">
        <v>51</v>
      </c>
      <c r="R1816" s="2" t="s">
        <v>30</v>
      </c>
      <c r="S1816">
        <v>7</v>
      </c>
      <c r="T1816" s="1">
        <v>43634</v>
      </c>
      <c r="U1816" s="1">
        <v>43639</v>
      </c>
      <c r="V1816" s="2"/>
      <c r="W1816" s="1">
        <f>fNotasFiscais[[#This Row],[Data da Coleta]]+fNotasFiscais[[#This Row],[Prazo Contratado]]</f>
        <v>43641</v>
      </c>
      <c r="X1816" s="3">
        <f>IF(fNotasFiscais[[#This Row],[Data da Entrega]]&gt;fNotasFiscais[[#This Row],[Data Contratada]],0,1)</f>
        <v>1</v>
      </c>
      <c r="Y1816" s="3">
        <f>IF(fNotasFiscais[[#This Row],[Ocorrência]]="",1,0)</f>
        <v>1</v>
      </c>
      <c r="Z1816" s="2">
        <f>fNotasFiscais[[#This Row],[On Time]]*fNotasFiscais[[#This Row],[In Full]]</f>
        <v>1</v>
      </c>
      <c r="AA1816">
        <f>IF(fNotasFiscais[[#This Row],[Nota Fiscal]]&lt;&gt;"",1,0)</f>
        <v>1</v>
      </c>
    </row>
    <row r="1817" spans="1:27" x14ac:dyDescent="0.25">
      <c r="A1817" s="1">
        <v>43633</v>
      </c>
      <c r="B1817">
        <v>12226</v>
      </c>
      <c r="C1817" s="2" t="s">
        <v>22</v>
      </c>
      <c r="D1817" s="2" t="s">
        <v>23</v>
      </c>
      <c r="E1817" s="2" t="s">
        <v>24</v>
      </c>
      <c r="F1817">
        <v>4056</v>
      </c>
      <c r="G1817" s="2" t="s">
        <v>119</v>
      </c>
      <c r="H1817" s="2" t="s">
        <v>51</v>
      </c>
      <c r="I1817" s="2" t="s">
        <v>73</v>
      </c>
      <c r="J1817" s="2" t="s">
        <v>49</v>
      </c>
      <c r="K1817" s="2" t="s">
        <v>73</v>
      </c>
      <c r="L1817">
        <v>3232.27</v>
      </c>
      <c r="M1817">
        <v>2</v>
      </c>
      <c r="N1817">
        <v>6.82</v>
      </c>
      <c r="O1817">
        <v>6100231</v>
      </c>
      <c r="P1817" s="2" t="s">
        <v>50</v>
      </c>
      <c r="Q1817" s="2" t="s">
        <v>51</v>
      </c>
      <c r="R1817" s="2" t="s">
        <v>30</v>
      </c>
      <c r="S1817">
        <v>4</v>
      </c>
      <c r="T1817" s="1">
        <v>43634</v>
      </c>
      <c r="U1817" s="1">
        <v>43640</v>
      </c>
      <c r="V1817" s="2"/>
      <c r="W1817" s="1">
        <f>fNotasFiscais[[#This Row],[Data da Coleta]]+fNotasFiscais[[#This Row],[Prazo Contratado]]</f>
        <v>43638</v>
      </c>
      <c r="X1817" s="3">
        <f>IF(fNotasFiscais[[#This Row],[Data da Entrega]]&gt;fNotasFiscais[[#This Row],[Data Contratada]],0,1)</f>
        <v>0</v>
      </c>
      <c r="Y1817" s="3">
        <f>IF(fNotasFiscais[[#This Row],[Ocorrência]]="",1,0)</f>
        <v>1</v>
      </c>
      <c r="Z1817" s="2">
        <f>fNotasFiscais[[#This Row],[On Time]]*fNotasFiscais[[#This Row],[In Full]]</f>
        <v>0</v>
      </c>
      <c r="AA1817">
        <f>IF(fNotasFiscais[[#This Row],[Nota Fiscal]]&lt;&gt;"",1,0)</f>
        <v>1</v>
      </c>
    </row>
    <row r="1818" spans="1:27" x14ac:dyDescent="0.25">
      <c r="A1818" s="1">
        <v>43633</v>
      </c>
      <c r="B1818">
        <v>12227</v>
      </c>
      <c r="C1818" s="2" t="s">
        <v>43</v>
      </c>
      <c r="D1818" s="2" t="s">
        <v>44</v>
      </c>
      <c r="E1818" s="2" t="s">
        <v>45</v>
      </c>
      <c r="F1818">
        <v>4056</v>
      </c>
      <c r="G1818" s="2" t="s">
        <v>119</v>
      </c>
      <c r="H1818" s="2" t="s">
        <v>51</v>
      </c>
      <c r="I1818" s="2" t="s">
        <v>73</v>
      </c>
      <c r="J1818" s="2" t="s">
        <v>49</v>
      </c>
      <c r="K1818" s="2" t="s">
        <v>73</v>
      </c>
      <c r="L1818">
        <v>660.65</v>
      </c>
      <c r="M1818">
        <v>1</v>
      </c>
      <c r="N1818">
        <v>2.202</v>
      </c>
      <c r="O1818">
        <v>6100231</v>
      </c>
      <c r="P1818" s="2" t="s">
        <v>50</v>
      </c>
      <c r="Q1818" s="2" t="s">
        <v>51</v>
      </c>
      <c r="R1818" s="2" t="s">
        <v>30</v>
      </c>
      <c r="S1818">
        <v>12</v>
      </c>
      <c r="T1818" s="1">
        <v>43634</v>
      </c>
      <c r="U1818" s="1">
        <v>43639</v>
      </c>
      <c r="V1818" s="2"/>
      <c r="W1818" s="1">
        <f>fNotasFiscais[[#This Row],[Data da Coleta]]+fNotasFiscais[[#This Row],[Prazo Contratado]]</f>
        <v>43646</v>
      </c>
      <c r="X1818" s="3">
        <f>IF(fNotasFiscais[[#This Row],[Data da Entrega]]&gt;fNotasFiscais[[#This Row],[Data Contratada]],0,1)</f>
        <v>1</v>
      </c>
      <c r="Y1818" s="3">
        <f>IF(fNotasFiscais[[#This Row],[Ocorrência]]="",1,0)</f>
        <v>1</v>
      </c>
      <c r="Z1818" s="2">
        <f>fNotasFiscais[[#This Row],[On Time]]*fNotasFiscais[[#This Row],[In Full]]</f>
        <v>1</v>
      </c>
      <c r="AA1818">
        <f>IF(fNotasFiscais[[#This Row],[Nota Fiscal]]&lt;&gt;"",1,0)</f>
        <v>1</v>
      </c>
    </row>
    <row r="1819" spans="1:27" x14ac:dyDescent="0.25">
      <c r="A1819" s="1">
        <v>43633</v>
      </c>
      <c r="B1819">
        <v>12228</v>
      </c>
      <c r="C1819" s="2" t="s">
        <v>54</v>
      </c>
      <c r="D1819" s="2" t="s">
        <v>55</v>
      </c>
      <c r="E1819" s="2" t="s">
        <v>56</v>
      </c>
      <c r="F1819">
        <v>4056</v>
      </c>
      <c r="G1819" s="2" t="s">
        <v>119</v>
      </c>
      <c r="H1819" s="2" t="s">
        <v>51</v>
      </c>
      <c r="I1819" s="2" t="s">
        <v>73</v>
      </c>
      <c r="J1819" s="2" t="s">
        <v>49</v>
      </c>
      <c r="K1819" s="2" t="s">
        <v>73</v>
      </c>
      <c r="L1819">
        <v>199.94</v>
      </c>
      <c r="M1819">
        <v>1</v>
      </c>
      <c r="N1819">
        <v>0.378</v>
      </c>
      <c r="O1819">
        <v>6100231</v>
      </c>
      <c r="P1819" s="2" t="s">
        <v>50</v>
      </c>
      <c r="Q1819" s="2" t="s">
        <v>51</v>
      </c>
      <c r="R1819" s="2" t="s">
        <v>30</v>
      </c>
      <c r="S1819">
        <v>2</v>
      </c>
      <c r="T1819" s="1">
        <v>43634</v>
      </c>
      <c r="U1819" s="1">
        <v>43644</v>
      </c>
      <c r="V1819" s="2"/>
      <c r="W1819" s="1">
        <f>fNotasFiscais[[#This Row],[Data da Coleta]]+fNotasFiscais[[#This Row],[Prazo Contratado]]</f>
        <v>43636</v>
      </c>
      <c r="X1819" s="3">
        <f>IF(fNotasFiscais[[#This Row],[Data da Entrega]]&gt;fNotasFiscais[[#This Row],[Data Contratada]],0,1)</f>
        <v>0</v>
      </c>
      <c r="Y1819" s="3">
        <f>IF(fNotasFiscais[[#This Row],[Ocorrência]]="",1,0)</f>
        <v>1</v>
      </c>
      <c r="Z1819" s="2">
        <f>fNotasFiscais[[#This Row],[On Time]]*fNotasFiscais[[#This Row],[In Full]]</f>
        <v>0</v>
      </c>
      <c r="AA1819">
        <f>IF(fNotasFiscais[[#This Row],[Nota Fiscal]]&lt;&gt;"",1,0)</f>
        <v>1</v>
      </c>
    </row>
    <row r="1820" spans="1:27" x14ac:dyDescent="0.25">
      <c r="A1820" s="1">
        <v>43633</v>
      </c>
      <c r="B1820">
        <v>12229</v>
      </c>
      <c r="C1820" s="2" t="s">
        <v>52</v>
      </c>
      <c r="D1820" s="2" t="s">
        <v>53</v>
      </c>
      <c r="E1820" s="2" t="s">
        <v>33</v>
      </c>
      <c r="F1820">
        <v>4056</v>
      </c>
      <c r="G1820" s="2" t="s">
        <v>119</v>
      </c>
      <c r="H1820" s="2" t="s">
        <v>51</v>
      </c>
      <c r="I1820" s="2" t="s">
        <v>73</v>
      </c>
      <c r="J1820" s="2" t="s">
        <v>49</v>
      </c>
      <c r="K1820" s="2" t="s">
        <v>73</v>
      </c>
      <c r="L1820">
        <v>1495.29</v>
      </c>
      <c r="M1820">
        <v>11</v>
      </c>
      <c r="N1820">
        <v>6.9930000000000003</v>
      </c>
      <c r="O1820">
        <v>6100231</v>
      </c>
      <c r="P1820" s="2" t="s">
        <v>50</v>
      </c>
      <c r="Q1820" s="2" t="s">
        <v>51</v>
      </c>
      <c r="R1820" s="2" t="s">
        <v>30</v>
      </c>
      <c r="S1820">
        <v>10</v>
      </c>
      <c r="T1820" s="1">
        <v>43634</v>
      </c>
      <c r="U1820" s="1">
        <v>43642</v>
      </c>
      <c r="V1820" s="2"/>
      <c r="W1820" s="1">
        <f>fNotasFiscais[[#This Row],[Data da Coleta]]+fNotasFiscais[[#This Row],[Prazo Contratado]]</f>
        <v>43644</v>
      </c>
      <c r="X1820" s="3">
        <f>IF(fNotasFiscais[[#This Row],[Data da Entrega]]&gt;fNotasFiscais[[#This Row],[Data Contratada]],0,1)</f>
        <v>1</v>
      </c>
      <c r="Y1820" s="3">
        <f>IF(fNotasFiscais[[#This Row],[Ocorrência]]="",1,0)</f>
        <v>1</v>
      </c>
      <c r="Z1820" s="2">
        <f>fNotasFiscais[[#This Row],[On Time]]*fNotasFiscais[[#This Row],[In Full]]</f>
        <v>1</v>
      </c>
      <c r="AA1820">
        <f>IF(fNotasFiscais[[#This Row],[Nota Fiscal]]&lt;&gt;"",1,0)</f>
        <v>1</v>
      </c>
    </row>
    <row r="1821" spans="1:27" x14ac:dyDescent="0.25">
      <c r="A1821" s="1">
        <v>43634</v>
      </c>
      <c r="B1821">
        <v>12230</v>
      </c>
      <c r="C1821" s="2" t="s">
        <v>31</v>
      </c>
      <c r="D1821" s="2" t="s">
        <v>32</v>
      </c>
      <c r="E1821" s="2" t="s">
        <v>33</v>
      </c>
      <c r="F1821">
        <v>4014</v>
      </c>
      <c r="G1821" s="2" t="s">
        <v>58</v>
      </c>
      <c r="H1821" s="2" t="s">
        <v>59</v>
      </c>
      <c r="I1821" s="2" t="s">
        <v>36</v>
      </c>
      <c r="J1821" s="2" t="s">
        <v>60</v>
      </c>
      <c r="K1821" s="2" t="s">
        <v>36</v>
      </c>
      <c r="L1821">
        <v>972.76</v>
      </c>
      <c r="M1821">
        <v>1</v>
      </c>
      <c r="N1821">
        <v>4.95</v>
      </c>
      <c r="O1821">
        <v>6600879</v>
      </c>
      <c r="P1821" s="2" t="s">
        <v>61</v>
      </c>
      <c r="Q1821" s="2" t="s">
        <v>35</v>
      </c>
      <c r="R1821" s="2" t="s">
        <v>30</v>
      </c>
      <c r="S1821">
        <v>11</v>
      </c>
      <c r="T1821" s="1">
        <v>43635</v>
      </c>
      <c r="U1821" s="1">
        <v>43644</v>
      </c>
      <c r="V1821" s="2"/>
      <c r="W1821" s="1">
        <f>fNotasFiscais[[#This Row],[Data da Coleta]]+fNotasFiscais[[#This Row],[Prazo Contratado]]</f>
        <v>43646</v>
      </c>
      <c r="X1821" s="3">
        <f>IF(fNotasFiscais[[#This Row],[Data da Entrega]]&gt;fNotasFiscais[[#This Row],[Data Contratada]],0,1)</f>
        <v>1</v>
      </c>
      <c r="Y1821" s="3">
        <f>IF(fNotasFiscais[[#This Row],[Ocorrência]]="",1,0)</f>
        <v>1</v>
      </c>
      <c r="Z1821" s="2">
        <f>fNotasFiscais[[#This Row],[On Time]]*fNotasFiscais[[#This Row],[In Full]]</f>
        <v>1</v>
      </c>
      <c r="AA1821">
        <f>IF(fNotasFiscais[[#This Row],[Nota Fiscal]]&lt;&gt;"",1,0)</f>
        <v>1</v>
      </c>
    </row>
    <row r="1822" spans="1:27" x14ac:dyDescent="0.25">
      <c r="A1822" s="1">
        <v>43634</v>
      </c>
      <c r="B1822">
        <v>12231</v>
      </c>
      <c r="C1822" s="2" t="s">
        <v>31</v>
      </c>
      <c r="D1822" s="2" t="s">
        <v>32</v>
      </c>
      <c r="E1822" s="2" t="s">
        <v>33</v>
      </c>
      <c r="F1822">
        <v>4111</v>
      </c>
      <c r="G1822" s="2" t="s">
        <v>194</v>
      </c>
      <c r="H1822" s="2" t="s">
        <v>32</v>
      </c>
      <c r="I1822" s="2" t="s">
        <v>33</v>
      </c>
      <c r="J1822" s="2" t="s">
        <v>60</v>
      </c>
      <c r="K1822" s="2" t="s">
        <v>33</v>
      </c>
      <c r="L1822">
        <v>900</v>
      </c>
      <c r="M1822">
        <v>1</v>
      </c>
      <c r="N1822">
        <v>2.9359999999999999</v>
      </c>
      <c r="O1822">
        <v>6400835</v>
      </c>
      <c r="P1822" s="2" t="s">
        <v>130</v>
      </c>
      <c r="Q1822" s="2" t="s">
        <v>131</v>
      </c>
      <c r="R1822" s="2" t="s">
        <v>30</v>
      </c>
      <c r="S1822">
        <v>4</v>
      </c>
      <c r="T1822" s="1">
        <v>43635</v>
      </c>
      <c r="U1822" s="1">
        <v>43642</v>
      </c>
      <c r="V1822" s="2"/>
      <c r="W1822" s="1">
        <f>fNotasFiscais[[#This Row],[Data da Coleta]]+fNotasFiscais[[#This Row],[Prazo Contratado]]</f>
        <v>43639</v>
      </c>
      <c r="X1822" s="3">
        <f>IF(fNotasFiscais[[#This Row],[Data da Entrega]]&gt;fNotasFiscais[[#This Row],[Data Contratada]],0,1)</f>
        <v>0</v>
      </c>
      <c r="Y1822" s="3">
        <f>IF(fNotasFiscais[[#This Row],[Ocorrência]]="",1,0)</f>
        <v>1</v>
      </c>
      <c r="Z1822" s="2">
        <f>fNotasFiscais[[#This Row],[On Time]]*fNotasFiscais[[#This Row],[In Full]]</f>
        <v>0</v>
      </c>
      <c r="AA1822">
        <f>IF(fNotasFiscais[[#This Row],[Nota Fiscal]]&lt;&gt;"",1,0)</f>
        <v>1</v>
      </c>
    </row>
    <row r="1823" spans="1:27" x14ac:dyDescent="0.25">
      <c r="A1823" s="1">
        <v>43634</v>
      </c>
      <c r="B1823">
        <v>12232</v>
      </c>
      <c r="C1823" s="2" t="s">
        <v>22</v>
      </c>
      <c r="D1823" s="2" t="s">
        <v>23</v>
      </c>
      <c r="E1823" s="2" t="s">
        <v>24</v>
      </c>
      <c r="F1823">
        <v>4048</v>
      </c>
      <c r="G1823" s="2" t="s">
        <v>126</v>
      </c>
      <c r="H1823" s="2" t="s">
        <v>47</v>
      </c>
      <c r="I1823" s="2" t="s">
        <v>48</v>
      </c>
      <c r="J1823" s="2" t="s">
        <v>49</v>
      </c>
      <c r="K1823" s="2" t="s">
        <v>48</v>
      </c>
      <c r="L1823">
        <v>69.98</v>
      </c>
      <c r="M1823">
        <v>1</v>
      </c>
      <c r="N1823">
        <v>0.187</v>
      </c>
      <c r="O1823">
        <v>6100231</v>
      </c>
      <c r="P1823" s="2" t="s">
        <v>50</v>
      </c>
      <c r="Q1823" s="2" t="s">
        <v>51</v>
      </c>
      <c r="R1823" s="2" t="s">
        <v>30</v>
      </c>
      <c r="S1823">
        <v>9</v>
      </c>
      <c r="T1823" s="1">
        <v>43635</v>
      </c>
      <c r="U1823" s="1">
        <v>43636</v>
      </c>
      <c r="V1823" s="2"/>
      <c r="W1823" s="1">
        <f>fNotasFiscais[[#This Row],[Data da Coleta]]+fNotasFiscais[[#This Row],[Prazo Contratado]]</f>
        <v>43644</v>
      </c>
      <c r="X1823" s="3">
        <f>IF(fNotasFiscais[[#This Row],[Data da Entrega]]&gt;fNotasFiscais[[#This Row],[Data Contratada]],0,1)</f>
        <v>1</v>
      </c>
      <c r="Y1823" s="3">
        <f>IF(fNotasFiscais[[#This Row],[Ocorrência]]="",1,0)</f>
        <v>1</v>
      </c>
      <c r="Z1823" s="2">
        <f>fNotasFiscais[[#This Row],[On Time]]*fNotasFiscais[[#This Row],[In Full]]</f>
        <v>1</v>
      </c>
      <c r="AA1823">
        <f>IF(fNotasFiscais[[#This Row],[Nota Fiscal]]&lt;&gt;"",1,0)</f>
        <v>1</v>
      </c>
    </row>
    <row r="1824" spans="1:27" x14ac:dyDescent="0.25">
      <c r="A1824" s="1">
        <v>43634</v>
      </c>
      <c r="B1824">
        <v>12233</v>
      </c>
      <c r="C1824" s="2" t="s">
        <v>43</v>
      </c>
      <c r="D1824" s="2" t="s">
        <v>44</v>
      </c>
      <c r="E1824" s="2" t="s">
        <v>45</v>
      </c>
      <c r="F1824">
        <v>4107</v>
      </c>
      <c r="G1824" s="2" t="s">
        <v>190</v>
      </c>
      <c r="H1824" s="2" t="s">
        <v>173</v>
      </c>
      <c r="I1824" s="2" t="s">
        <v>174</v>
      </c>
      <c r="J1824" s="2" t="s">
        <v>175</v>
      </c>
      <c r="K1824" s="2" t="s">
        <v>174</v>
      </c>
      <c r="L1824">
        <v>1728.13</v>
      </c>
      <c r="M1824">
        <v>1</v>
      </c>
      <c r="N1824">
        <v>3.41</v>
      </c>
      <c r="O1824">
        <v>6700091</v>
      </c>
      <c r="P1824" s="2" t="s">
        <v>176</v>
      </c>
      <c r="Q1824" s="2" t="s">
        <v>173</v>
      </c>
      <c r="R1824" s="2" t="s">
        <v>30</v>
      </c>
      <c r="S1824">
        <v>4</v>
      </c>
      <c r="T1824" s="1">
        <v>43635</v>
      </c>
      <c r="U1824" s="1">
        <v>43643</v>
      </c>
      <c r="V1824" s="2"/>
      <c r="W1824" s="1">
        <f>fNotasFiscais[[#This Row],[Data da Coleta]]+fNotasFiscais[[#This Row],[Prazo Contratado]]</f>
        <v>43639</v>
      </c>
      <c r="X1824" s="3">
        <f>IF(fNotasFiscais[[#This Row],[Data da Entrega]]&gt;fNotasFiscais[[#This Row],[Data Contratada]],0,1)</f>
        <v>0</v>
      </c>
      <c r="Y1824" s="3">
        <f>IF(fNotasFiscais[[#This Row],[Ocorrência]]="",1,0)</f>
        <v>1</v>
      </c>
      <c r="Z1824" s="2">
        <f>fNotasFiscais[[#This Row],[On Time]]*fNotasFiscais[[#This Row],[In Full]]</f>
        <v>0</v>
      </c>
      <c r="AA1824">
        <f>IF(fNotasFiscais[[#This Row],[Nota Fiscal]]&lt;&gt;"",1,0)</f>
        <v>1</v>
      </c>
    </row>
    <row r="1825" spans="1:27" x14ac:dyDescent="0.25">
      <c r="A1825" s="1">
        <v>43634</v>
      </c>
      <c r="B1825">
        <v>12234</v>
      </c>
      <c r="C1825" s="2" t="s">
        <v>40</v>
      </c>
      <c r="D1825" s="2" t="s">
        <v>41</v>
      </c>
      <c r="E1825" s="2" t="s">
        <v>33</v>
      </c>
      <c r="F1825">
        <v>4109</v>
      </c>
      <c r="G1825" s="2" t="s">
        <v>192</v>
      </c>
      <c r="H1825" s="2" t="s">
        <v>167</v>
      </c>
      <c r="I1825" s="2" t="s">
        <v>168</v>
      </c>
      <c r="J1825" s="2" t="s">
        <v>169</v>
      </c>
      <c r="K1825" s="2" t="s">
        <v>168</v>
      </c>
      <c r="L1825">
        <v>2327.67</v>
      </c>
      <c r="M1825">
        <v>3</v>
      </c>
      <c r="N1825">
        <v>5.9729999999999999</v>
      </c>
      <c r="O1825">
        <v>6900304</v>
      </c>
      <c r="P1825" s="2" t="s">
        <v>170</v>
      </c>
      <c r="Q1825" s="2" t="s">
        <v>171</v>
      </c>
      <c r="R1825" s="2" t="s">
        <v>30</v>
      </c>
      <c r="S1825">
        <v>11</v>
      </c>
      <c r="T1825" s="1">
        <v>43635</v>
      </c>
      <c r="U1825" s="1">
        <v>43644</v>
      </c>
      <c r="V1825" s="2"/>
      <c r="W1825" s="1">
        <f>fNotasFiscais[[#This Row],[Data da Coleta]]+fNotasFiscais[[#This Row],[Prazo Contratado]]</f>
        <v>43646</v>
      </c>
      <c r="X1825" s="3">
        <f>IF(fNotasFiscais[[#This Row],[Data da Entrega]]&gt;fNotasFiscais[[#This Row],[Data Contratada]],0,1)</f>
        <v>1</v>
      </c>
      <c r="Y1825" s="3">
        <f>IF(fNotasFiscais[[#This Row],[Ocorrência]]="",1,0)</f>
        <v>1</v>
      </c>
      <c r="Z1825" s="2">
        <f>fNotasFiscais[[#This Row],[On Time]]*fNotasFiscais[[#This Row],[In Full]]</f>
        <v>1</v>
      </c>
      <c r="AA1825">
        <f>IF(fNotasFiscais[[#This Row],[Nota Fiscal]]&lt;&gt;"",1,0)</f>
        <v>1</v>
      </c>
    </row>
    <row r="1826" spans="1:27" x14ac:dyDescent="0.25">
      <c r="A1826" s="1">
        <v>43634</v>
      </c>
      <c r="B1826">
        <v>12235</v>
      </c>
      <c r="C1826" s="2" t="s">
        <v>22</v>
      </c>
      <c r="D1826" s="2" t="s">
        <v>23</v>
      </c>
      <c r="E1826" s="2" t="s">
        <v>24</v>
      </c>
      <c r="F1826">
        <v>4066</v>
      </c>
      <c r="G1826" s="2" t="s">
        <v>132</v>
      </c>
      <c r="H1826" s="2" t="s">
        <v>47</v>
      </c>
      <c r="I1826" s="2" t="s">
        <v>48</v>
      </c>
      <c r="J1826" s="2" t="s">
        <v>49</v>
      </c>
      <c r="K1826" s="2" t="s">
        <v>48</v>
      </c>
      <c r="L1826">
        <v>1375.36</v>
      </c>
      <c r="M1826">
        <v>2</v>
      </c>
      <c r="N1826">
        <v>8.14</v>
      </c>
      <c r="O1826">
        <v>6100231</v>
      </c>
      <c r="P1826" s="2" t="s">
        <v>50</v>
      </c>
      <c r="Q1826" s="2" t="s">
        <v>51</v>
      </c>
      <c r="R1826" s="2" t="s">
        <v>30</v>
      </c>
      <c r="S1826">
        <v>9</v>
      </c>
      <c r="T1826" s="1">
        <v>43635</v>
      </c>
      <c r="U1826" s="1">
        <v>43637</v>
      </c>
      <c r="V1826" s="2"/>
      <c r="W1826" s="1">
        <f>fNotasFiscais[[#This Row],[Data da Coleta]]+fNotasFiscais[[#This Row],[Prazo Contratado]]</f>
        <v>43644</v>
      </c>
      <c r="X1826" s="3">
        <f>IF(fNotasFiscais[[#This Row],[Data da Entrega]]&gt;fNotasFiscais[[#This Row],[Data Contratada]],0,1)</f>
        <v>1</v>
      </c>
      <c r="Y1826" s="3">
        <f>IF(fNotasFiscais[[#This Row],[Ocorrência]]="",1,0)</f>
        <v>1</v>
      </c>
      <c r="Z1826" s="2">
        <f>fNotasFiscais[[#This Row],[On Time]]*fNotasFiscais[[#This Row],[In Full]]</f>
        <v>1</v>
      </c>
      <c r="AA1826">
        <f>IF(fNotasFiscais[[#This Row],[Nota Fiscal]]&lt;&gt;"",1,0)</f>
        <v>1</v>
      </c>
    </row>
    <row r="1827" spans="1:27" x14ac:dyDescent="0.25">
      <c r="A1827" s="1">
        <v>43634</v>
      </c>
      <c r="B1827">
        <v>12236</v>
      </c>
      <c r="C1827" s="2" t="s">
        <v>40</v>
      </c>
      <c r="D1827" s="2" t="s">
        <v>41</v>
      </c>
      <c r="E1827" s="2" t="s">
        <v>33</v>
      </c>
      <c r="F1827">
        <v>4174</v>
      </c>
      <c r="G1827" s="2" t="s">
        <v>257</v>
      </c>
      <c r="H1827" s="2" t="s">
        <v>173</v>
      </c>
      <c r="I1827" s="2" t="s">
        <v>174</v>
      </c>
      <c r="J1827" s="2" t="s">
        <v>175</v>
      </c>
      <c r="K1827" s="2" t="s">
        <v>174</v>
      </c>
      <c r="L1827">
        <v>5997.93</v>
      </c>
      <c r="M1827">
        <v>4</v>
      </c>
      <c r="N1827">
        <v>52.362000000000002</v>
      </c>
      <c r="O1827">
        <v>6700091</v>
      </c>
      <c r="P1827" s="2" t="s">
        <v>176</v>
      </c>
      <c r="Q1827" s="2" t="s">
        <v>173</v>
      </c>
      <c r="R1827" s="2" t="s">
        <v>30</v>
      </c>
      <c r="S1827">
        <v>8</v>
      </c>
      <c r="T1827" s="1">
        <v>43635</v>
      </c>
      <c r="U1827" s="1">
        <v>43644</v>
      </c>
      <c r="V1827" s="2"/>
      <c r="W1827" s="1">
        <f>fNotasFiscais[[#This Row],[Data da Coleta]]+fNotasFiscais[[#This Row],[Prazo Contratado]]</f>
        <v>43643</v>
      </c>
      <c r="X1827" s="3">
        <f>IF(fNotasFiscais[[#This Row],[Data da Entrega]]&gt;fNotasFiscais[[#This Row],[Data Contratada]],0,1)</f>
        <v>0</v>
      </c>
      <c r="Y1827" s="3">
        <f>IF(fNotasFiscais[[#This Row],[Ocorrência]]="",1,0)</f>
        <v>1</v>
      </c>
      <c r="Z1827" s="2">
        <f>fNotasFiscais[[#This Row],[On Time]]*fNotasFiscais[[#This Row],[In Full]]</f>
        <v>0</v>
      </c>
      <c r="AA1827">
        <f>IF(fNotasFiscais[[#This Row],[Nota Fiscal]]&lt;&gt;"",1,0)</f>
        <v>1</v>
      </c>
    </row>
    <row r="1828" spans="1:27" x14ac:dyDescent="0.25">
      <c r="A1828" s="1">
        <v>43634</v>
      </c>
      <c r="B1828">
        <v>12237</v>
      </c>
      <c r="C1828" s="2" t="s">
        <v>31</v>
      </c>
      <c r="D1828" s="2" t="s">
        <v>32</v>
      </c>
      <c r="E1828" s="2" t="s">
        <v>33</v>
      </c>
      <c r="F1828">
        <v>4175</v>
      </c>
      <c r="G1828" s="2" t="s">
        <v>258</v>
      </c>
      <c r="H1828" s="2" t="s">
        <v>35</v>
      </c>
      <c r="I1828" s="2" t="s">
        <v>36</v>
      </c>
      <c r="J1828" s="2" t="s">
        <v>60</v>
      </c>
      <c r="K1828" s="2" t="s">
        <v>36</v>
      </c>
      <c r="L1828">
        <v>1064.28</v>
      </c>
      <c r="M1828">
        <v>1</v>
      </c>
      <c r="N1828">
        <v>2.4750000000000001</v>
      </c>
      <c r="O1828">
        <v>6600879</v>
      </c>
      <c r="P1828" s="2" t="s">
        <v>61</v>
      </c>
      <c r="Q1828" s="2" t="s">
        <v>35</v>
      </c>
      <c r="R1828" s="2" t="s">
        <v>30</v>
      </c>
      <c r="S1828">
        <v>3</v>
      </c>
      <c r="T1828" s="1">
        <v>43635</v>
      </c>
      <c r="U1828" s="1">
        <v>43641</v>
      </c>
      <c r="V1828" s="2"/>
      <c r="W1828" s="1">
        <f>fNotasFiscais[[#This Row],[Data da Coleta]]+fNotasFiscais[[#This Row],[Prazo Contratado]]</f>
        <v>43638</v>
      </c>
      <c r="X1828" s="3">
        <f>IF(fNotasFiscais[[#This Row],[Data da Entrega]]&gt;fNotasFiscais[[#This Row],[Data Contratada]],0,1)</f>
        <v>0</v>
      </c>
      <c r="Y1828" s="3">
        <f>IF(fNotasFiscais[[#This Row],[Ocorrência]]="",1,0)</f>
        <v>1</v>
      </c>
      <c r="Z1828" s="2">
        <f>fNotasFiscais[[#This Row],[On Time]]*fNotasFiscais[[#This Row],[In Full]]</f>
        <v>0</v>
      </c>
      <c r="AA1828">
        <f>IF(fNotasFiscais[[#This Row],[Nota Fiscal]]&lt;&gt;"",1,0)</f>
        <v>1</v>
      </c>
    </row>
    <row r="1829" spans="1:27" x14ac:dyDescent="0.25">
      <c r="A1829" s="1">
        <v>43634</v>
      </c>
      <c r="B1829">
        <v>12238</v>
      </c>
      <c r="C1829" s="2" t="s">
        <v>31</v>
      </c>
      <c r="D1829" s="2" t="s">
        <v>32</v>
      </c>
      <c r="E1829" s="2" t="s">
        <v>33</v>
      </c>
      <c r="F1829">
        <v>4176</v>
      </c>
      <c r="G1829" s="2" t="s">
        <v>259</v>
      </c>
      <c r="H1829" s="2" t="s">
        <v>165</v>
      </c>
      <c r="I1829" s="2" t="s">
        <v>24</v>
      </c>
      <c r="J1829" s="2" t="s">
        <v>28</v>
      </c>
      <c r="K1829" s="2" t="s">
        <v>24</v>
      </c>
      <c r="L1829">
        <v>3.45</v>
      </c>
      <c r="M1829">
        <v>2</v>
      </c>
      <c r="N1829">
        <v>69.328999999999994</v>
      </c>
      <c r="O1829">
        <v>6500948</v>
      </c>
      <c r="P1829" s="2" t="s">
        <v>29</v>
      </c>
      <c r="Q1829" s="2" t="s">
        <v>23</v>
      </c>
      <c r="R1829" s="2" t="s">
        <v>30</v>
      </c>
      <c r="S1829">
        <v>8</v>
      </c>
      <c r="T1829" s="1">
        <v>43635</v>
      </c>
      <c r="U1829" s="1">
        <v>43639</v>
      </c>
      <c r="V1829" s="2"/>
      <c r="W1829" s="1">
        <f>fNotasFiscais[[#This Row],[Data da Coleta]]+fNotasFiscais[[#This Row],[Prazo Contratado]]</f>
        <v>43643</v>
      </c>
      <c r="X1829" s="3">
        <f>IF(fNotasFiscais[[#This Row],[Data da Entrega]]&gt;fNotasFiscais[[#This Row],[Data Contratada]],0,1)</f>
        <v>1</v>
      </c>
      <c r="Y1829" s="3">
        <f>IF(fNotasFiscais[[#This Row],[Ocorrência]]="",1,0)</f>
        <v>1</v>
      </c>
      <c r="Z1829" s="2">
        <f>fNotasFiscais[[#This Row],[On Time]]*fNotasFiscais[[#This Row],[In Full]]</f>
        <v>1</v>
      </c>
      <c r="AA1829">
        <f>IF(fNotasFiscais[[#This Row],[Nota Fiscal]]&lt;&gt;"",1,0)</f>
        <v>1</v>
      </c>
    </row>
    <row r="1830" spans="1:27" x14ac:dyDescent="0.25">
      <c r="A1830" s="1">
        <v>43634</v>
      </c>
      <c r="B1830">
        <v>12239</v>
      </c>
      <c r="C1830" s="2" t="s">
        <v>31</v>
      </c>
      <c r="D1830" s="2" t="s">
        <v>32</v>
      </c>
      <c r="E1830" s="2" t="s">
        <v>33</v>
      </c>
      <c r="F1830">
        <v>4177</v>
      </c>
      <c r="G1830" s="2" t="s">
        <v>260</v>
      </c>
      <c r="H1830" s="2" t="s">
        <v>35</v>
      </c>
      <c r="I1830" s="2" t="s">
        <v>36</v>
      </c>
      <c r="J1830" s="2" t="s">
        <v>60</v>
      </c>
      <c r="K1830" s="2" t="s">
        <v>36</v>
      </c>
      <c r="L1830">
        <v>10066.34</v>
      </c>
      <c r="M1830">
        <v>1</v>
      </c>
      <c r="N1830">
        <v>1.1200000000000001</v>
      </c>
      <c r="O1830">
        <v>6600879</v>
      </c>
      <c r="P1830" s="2" t="s">
        <v>61</v>
      </c>
      <c r="Q1830" s="2" t="s">
        <v>35</v>
      </c>
      <c r="R1830" s="2" t="s">
        <v>30</v>
      </c>
      <c r="S1830">
        <v>3</v>
      </c>
      <c r="T1830" s="1">
        <v>43635</v>
      </c>
      <c r="U1830" s="1">
        <v>43636</v>
      </c>
      <c r="V1830" s="2"/>
      <c r="W1830" s="1">
        <f>fNotasFiscais[[#This Row],[Data da Coleta]]+fNotasFiscais[[#This Row],[Prazo Contratado]]</f>
        <v>43638</v>
      </c>
      <c r="X1830" s="3">
        <f>IF(fNotasFiscais[[#This Row],[Data da Entrega]]&gt;fNotasFiscais[[#This Row],[Data Contratada]],0,1)</f>
        <v>1</v>
      </c>
      <c r="Y1830" s="3">
        <f>IF(fNotasFiscais[[#This Row],[Ocorrência]]="",1,0)</f>
        <v>1</v>
      </c>
      <c r="Z1830" s="2">
        <f>fNotasFiscais[[#This Row],[On Time]]*fNotasFiscais[[#This Row],[In Full]]</f>
        <v>1</v>
      </c>
      <c r="AA1830">
        <f>IF(fNotasFiscais[[#This Row],[Nota Fiscal]]&lt;&gt;"",1,0)</f>
        <v>1</v>
      </c>
    </row>
    <row r="1831" spans="1:27" x14ac:dyDescent="0.25">
      <c r="A1831" s="1">
        <v>43634</v>
      </c>
      <c r="B1831">
        <v>12240</v>
      </c>
      <c r="C1831" s="2" t="s">
        <v>43</v>
      </c>
      <c r="D1831" s="2" t="s">
        <v>44</v>
      </c>
      <c r="E1831" s="2" t="s">
        <v>45</v>
      </c>
      <c r="F1831">
        <v>4178</v>
      </c>
      <c r="G1831" s="2" t="s">
        <v>261</v>
      </c>
      <c r="H1831" s="2" t="s">
        <v>44</v>
      </c>
      <c r="I1831" s="2" t="s">
        <v>45</v>
      </c>
      <c r="J1831" s="2" t="s">
        <v>60</v>
      </c>
      <c r="K1831" s="2" t="s">
        <v>45</v>
      </c>
      <c r="L1831">
        <v>984.16</v>
      </c>
      <c r="M1831">
        <v>2</v>
      </c>
      <c r="N1831">
        <v>1.101</v>
      </c>
      <c r="O1831">
        <v>6140092</v>
      </c>
      <c r="P1831" s="2" t="s">
        <v>137</v>
      </c>
      <c r="Q1831" s="2" t="s">
        <v>138</v>
      </c>
      <c r="R1831" s="2" t="s">
        <v>30</v>
      </c>
      <c r="S1831">
        <v>10</v>
      </c>
      <c r="T1831" s="1">
        <v>43635</v>
      </c>
      <c r="U1831" s="1">
        <v>43638</v>
      </c>
      <c r="V1831" s="2"/>
      <c r="W1831" s="1">
        <f>fNotasFiscais[[#This Row],[Data da Coleta]]+fNotasFiscais[[#This Row],[Prazo Contratado]]</f>
        <v>43645</v>
      </c>
      <c r="X1831" s="3">
        <f>IF(fNotasFiscais[[#This Row],[Data da Entrega]]&gt;fNotasFiscais[[#This Row],[Data Contratada]],0,1)</f>
        <v>1</v>
      </c>
      <c r="Y1831" s="3">
        <f>IF(fNotasFiscais[[#This Row],[Ocorrência]]="",1,0)</f>
        <v>1</v>
      </c>
      <c r="Z1831" s="2">
        <f>fNotasFiscais[[#This Row],[On Time]]*fNotasFiscais[[#This Row],[In Full]]</f>
        <v>1</v>
      </c>
      <c r="AA1831">
        <f>IF(fNotasFiscais[[#This Row],[Nota Fiscal]]&lt;&gt;"",1,0)</f>
        <v>1</v>
      </c>
    </row>
    <row r="1832" spans="1:27" x14ac:dyDescent="0.25">
      <c r="A1832" s="1">
        <v>43634</v>
      </c>
      <c r="B1832">
        <v>12241</v>
      </c>
      <c r="C1832" s="2" t="s">
        <v>40</v>
      </c>
      <c r="D1832" s="2" t="s">
        <v>41</v>
      </c>
      <c r="E1832" s="2" t="s">
        <v>33</v>
      </c>
      <c r="F1832">
        <v>4179</v>
      </c>
      <c r="G1832" s="2" t="s">
        <v>262</v>
      </c>
      <c r="H1832" s="2" t="s">
        <v>32</v>
      </c>
      <c r="I1832" s="2" t="s">
        <v>33</v>
      </c>
      <c r="J1832" s="2" t="s">
        <v>60</v>
      </c>
      <c r="K1832" s="2" t="s">
        <v>33</v>
      </c>
      <c r="L1832">
        <v>676.92</v>
      </c>
      <c r="M1832">
        <v>1</v>
      </c>
      <c r="N1832">
        <v>2.64</v>
      </c>
      <c r="O1832">
        <v>6400835</v>
      </c>
      <c r="P1832" s="2" t="s">
        <v>130</v>
      </c>
      <c r="Q1832" s="2" t="s">
        <v>131</v>
      </c>
      <c r="R1832" s="2" t="s">
        <v>30</v>
      </c>
      <c r="S1832">
        <v>10</v>
      </c>
      <c r="T1832" s="1">
        <v>43635</v>
      </c>
      <c r="U1832" s="1">
        <v>43644</v>
      </c>
      <c r="V1832" s="2"/>
      <c r="W1832" s="1">
        <f>fNotasFiscais[[#This Row],[Data da Coleta]]+fNotasFiscais[[#This Row],[Prazo Contratado]]</f>
        <v>43645</v>
      </c>
      <c r="X1832" s="3">
        <f>IF(fNotasFiscais[[#This Row],[Data da Entrega]]&gt;fNotasFiscais[[#This Row],[Data Contratada]],0,1)</f>
        <v>1</v>
      </c>
      <c r="Y1832" s="3">
        <f>IF(fNotasFiscais[[#This Row],[Ocorrência]]="",1,0)</f>
        <v>1</v>
      </c>
      <c r="Z1832" s="2">
        <f>fNotasFiscais[[#This Row],[On Time]]*fNotasFiscais[[#This Row],[In Full]]</f>
        <v>1</v>
      </c>
      <c r="AA1832">
        <f>IF(fNotasFiscais[[#This Row],[Nota Fiscal]]&lt;&gt;"",1,0)</f>
        <v>1</v>
      </c>
    </row>
    <row r="1833" spans="1:27" x14ac:dyDescent="0.25">
      <c r="A1833" s="1">
        <v>43634</v>
      </c>
      <c r="B1833">
        <v>12242</v>
      </c>
      <c r="C1833" s="2" t="s">
        <v>31</v>
      </c>
      <c r="D1833" s="2" t="s">
        <v>32</v>
      </c>
      <c r="E1833" s="2" t="s">
        <v>33</v>
      </c>
      <c r="F1833">
        <v>4180</v>
      </c>
      <c r="G1833" s="2" t="s">
        <v>263</v>
      </c>
      <c r="H1833" s="2" t="s">
        <v>44</v>
      </c>
      <c r="I1833" s="2" t="s">
        <v>45</v>
      </c>
      <c r="J1833" s="2" t="s">
        <v>60</v>
      </c>
      <c r="K1833" s="2" t="s">
        <v>45</v>
      </c>
      <c r="L1833">
        <v>1802.63</v>
      </c>
      <c r="M1833">
        <v>5</v>
      </c>
      <c r="N1833">
        <v>23.507000000000001</v>
      </c>
      <c r="O1833">
        <v>6140092</v>
      </c>
      <c r="P1833" s="2" t="s">
        <v>137</v>
      </c>
      <c r="Q1833" s="2" t="s">
        <v>138</v>
      </c>
      <c r="R1833" s="2" t="s">
        <v>30</v>
      </c>
      <c r="S1833">
        <v>11</v>
      </c>
      <c r="T1833" s="1">
        <v>43635</v>
      </c>
      <c r="U1833" s="1">
        <v>43641</v>
      </c>
      <c r="V1833" s="2" t="s">
        <v>57</v>
      </c>
      <c r="W1833" s="1">
        <f>fNotasFiscais[[#This Row],[Data da Coleta]]+fNotasFiscais[[#This Row],[Prazo Contratado]]</f>
        <v>43646</v>
      </c>
      <c r="X1833" s="3">
        <f>IF(fNotasFiscais[[#This Row],[Data da Entrega]]&gt;fNotasFiscais[[#This Row],[Data Contratada]],0,1)</f>
        <v>1</v>
      </c>
      <c r="Y1833" s="3">
        <f>IF(fNotasFiscais[[#This Row],[Ocorrência]]="",1,0)</f>
        <v>0</v>
      </c>
      <c r="Z1833" s="2">
        <f>fNotasFiscais[[#This Row],[On Time]]*fNotasFiscais[[#This Row],[In Full]]</f>
        <v>0</v>
      </c>
      <c r="AA1833">
        <f>IF(fNotasFiscais[[#This Row],[Nota Fiscal]]&lt;&gt;"",1,0)</f>
        <v>1</v>
      </c>
    </row>
    <row r="1834" spans="1:27" x14ac:dyDescent="0.25">
      <c r="A1834" s="1">
        <v>43634</v>
      </c>
      <c r="B1834">
        <v>12243</v>
      </c>
      <c r="C1834" s="2" t="s">
        <v>31</v>
      </c>
      <c r="D1834" s="2" t="s">
        <v>32</v>
      </c>
      <c r="E1834" s="2" t="s">
        <v>33</v>
      </c>
      <c r="F1834">
        <v>4181</v>
      </c>
      <c r="G1834" s="2" t="s">
        <v>264</v>
      </c>
      <c r="H1834" s="2" t="s">
        <v>44</v>
      </c>
      <c r="I1834" s="2" t="s">
        <v>45</v>
      </c>
      <c r="J1834" s="2" t="s">
        <v>60</v>
      </c>
      <c r="K1834" s="2" t="s">
        <v>45</v>
      </c>
      <c r="L1834">
        <v>663.13</v>
      </c>
      <c r="M1834">
        <v>2</v>
      </c>
      <c r="N1834">
        <v>1.3640000000000001</v>
      </c>
      <c r="O1834">
        <v>6140092</v>
      </c>
      <c r="P1834" s="2" t="s">
        <v>137</v>
      </c>
      <c r="Q1834" s="2" t="s">
        <v>138</v>
      </c>
      <c r="R1834" s="2" t="s">
        <v>30</v>
      </c>
      <c r="S1834">
        <v>10</v>
      </c>
      <c r="T1834" s="1">
        <v>43635</v>
      </c>
      <c r="U1834" s="1">
        <v>43645</v>
      </c>
      <c r="V1834" s="2"/>
      <c r="W1834" s="1">
        <f>fNotasFiscais[[#This Row],[Data da Coleta]]+fNotasFiscais[[#This Row],[Prazo Contratado]]</f>
        <v>43645</v>
      </c>
      <c r="X1834" s="3">
        <f>IF(fNotasFiscais[[#This Row],[Data da Entrega]]&gt;fNotasFiscais[[#This Row],[Data Contratada]],0,1)</f>
        <v>1</v>
      </c>
      <c r="Y1834" s="3">
        <f>IF(fNotasFiscais[[#This Row],[Ocorrência]]="",1,0)</f>
        <v>1</v>
      </c>
      <c r="Z1834" s="2">
        <f>fNotasFiscais[[#This Row],[On Time]]*fNotasFiscais[[#This Row],[In Full]]</f>
        <v>1</v>
      </c>
      <c r="AA1834">
        <f>IF(fNotasFiscais[[#This Row],[Nota Fiscal]]&lt;&gt;"",1,0)</f>
        <v>1</v>
      </c>
    </row>
    <row r="1835" spans="1:27" x14ac:dyDescent="0.25">
      <c r="A1835" s="1">
        <v>43635</v>
      </c>
      <c r="B1835">
        <v>12244</v>
      </c>
      <c r="C1835" s="2" t="s">
        <v>54</v>
      </c>
      <c r="D1835" s="2" t="s">
        <v>55</v>
      </c>
      <c r="E1835" s="2" t="s">
        <v>56</v>
      </c>
      <c r="F1835">
        <v>4182</v>
      </c>
      <c r="G1835" s="2" t="s">
        <v>265</v>
      </c>
      <c r="H1835" s="2" t="s">
        <v>32</v>
      </c>
      <c r="I1835" s="2" t="s">
        <v>33</v>
      </c>
      <c r="J1835" s="2" t="s">
        <v>60</v>
      </c>
      <c r="K1835" s="2" t="s">
        <v>33</v>
      </c>
      <c r="L1835">
        <v>809.63</v>
      </c>
      <c r="M1835">
        <v>2</v>
      </c>
      <c r="N1835">
        <v>16.5</v>
      </c>
      <c r="O1835">
        <v>6400835</v>
      </c>
      <c r="P1835" s="2" t="s">
        <v>130</v>
      </c>
      <c r="Q1835" s="2" t="s">
        <v>131</v>
      </c>
      <c r="R1835" s="2" t="s">
        <v>30</v>
      </c>
      <c r="S1835">
        <v>7</v>
      </c>
      <c r="T1835" s="1">
        <v>43635</v>
      </c>
      <c r="U1835" s="1">
        <v>43644</v>
      </c>
      <c r="V1835" s="2"/>
      <c r="W1835" s="1">
        <f>fNotasFiscais[[#This Row],[Data da Coleta]]+fNotasFiscais[[#This Row],[Prazo Contratado]]</f>
        <v>43642</v>
      </c>
      <c r="X1835" s="3">
        <f>IF(fNotasFiscais[[#This Row],[Data da Entrega]]&gt;fNotasFiscais[[#This Row],[Data Contratada]],0,1)</f>
        <v>0</v>
      </c>
      <c r="Y1835" s="3">
        <f>IF(fNotasFiscais[[#This Row],[Ocorrência]]="",1,0)</f>
        <v>1</v>
      </c>
      <c r="Z1835" s="2">
        <f>fNotasFiscais[[#This Row],[On Time]]*fNotasFiscais[[#This Row],[In Full]]</f>
        <v>0</v>
      </c>
      <c r="AA1835">
        <f>IF(fNotasFiscais[[#This Row],[Nota Fiscal]]&lt;&gt;"",1,0)</f>
        <v>1</v>
      </c>
    </row>
    <row r="1836" spans="1:27" x14ac:dyDescent="0.25">
      <c r="A1836" s="1">
        <v>43635</v>
      </c>
      <c r="B1836">
        <v>12245</v>
      </c>
      <c r="C1836" s="2" t="s">
        <v>52</v>
      </c>
      <c r="D1836" s="2" t="s">
        <v>53</v>
      </c>
      <c r="E1836" s="2" t="s">
        <v>33</v>
      </c>
      <c r="F1836">
        <v>4108</v>
      </c>
      <c r="G1836" s="2" t="s">
        <v>191</v>
      </c>
      <c r="H1836" s="2" t="s">
        <v>44</v>
      </c>
      <c r="I1836" s="2" t="s">
        <v>45</v>
      </c>
      <c r="J1836" s="2" t="s">
        <v>60</v>
      </c>
      <c r="K1836" s="2" t="s">
        <v>45</v>
      </c>
      <c r="L1836">
        <v>3301.39</v>
      </c>
      <c r="M1836">
        <v>2</v>
      </c>
      <c r="N1836">
        <v>6.82</v>
      </c>
      <c r="O1836">
        <v>6140092</v>
      </c>
      <c r="P1836" s="2" t="s">
        <v>137</v>
      </c>
      <c r="Q1836" s="2" t="s">
        <v>138</v>
      </c>
      <c r="R1836" s="2" t="s">
        <v>30</v>
      </c>
      <c r="S1836">
        <v>12</v>
      </c>
      <c r="T1836" s="1">
        <v>43635</v>
      </c>
      <c r="U1836" s="1">
        <v>43643</v>
      </c>
      <c r="V1836" s="2"/>
      <c r="W1836" s="1">
        <f>fNotasFiscais[[#This Row],[Data da Coleta]]+fNotasFiscais[[#This Row],[Prazo Contratado]]</f>
        <v>43647</v>
      </c>
      <c r="X1836" s="3">
        <f>IF(fNotasFiscais[[#This Row],[Data da Entrega]]&gt;fNotasFiscais[[#This Row],[Data Contratada]],0,1)</f>
        <v>1</v>
      </c>
      <c r="Y1836" s="3">
        <f>IF(fNotasFiscais[[#This Row],[Ocorrência]]="",1,0)</f>
        <v>1</v>
      </c>
      <c r="Z1836" s="2">
        <f>fNotasFiscais[[#This Row],[On Time]]*fNotasFiscais[[#This Row],[In Full]]</f>
        <v>1</v>
      </c>
      <c r="AA1836">
        <f>IF(fNotasFiscais[[#This Row],[Nota Fiscal]]&lt;&gt;"",1,0)</f>
        <v>1</v>
      </c>
    </row>
    <row r="1837" spans="1:27" x14ac:dyDescent="0.25">
      <c r="A1837" s="1">
        <v>43635</v>
      </c>
      <c r="B1837">
        <v>12246</v>
      </c>
      <c r="C1837" s="2" t="s">
        <v>34</v>
      </c>
      <c r="D1837" s="2" t="s">
        <v>35</v>
      </c>
      <c r="E1837" s="2" t="s">
        <v>36</v>
      </c>
      <c r="F1837">
        <v>4183</v>
      </c>
      <c r="G1837" s="2" t="s">
        <v>266</v>
      </c>
      <c r="H1837" s="2" t="s">
        <v>35</v>
      </c>
      <c r="I1837" s="2" t="s">
        <v>36</v>
      </c>
      <c r="J1837" s="2" t="s">
        <v>60</v>
      </c>
      <c r="K1837" s="2" t="s">
        <v>36</v>
      </c>
      <c r="L1837">
        <v>7174.41</v>
      </c>
      <c r="M1837">
        <v>24</v>
      </c>
      <c r="N1837">
        <v>73.92</v>
      </c>
      <c r="O1837">
        <v>6600879</v>
      </c>
      <c r="P1837" s="2" t="s">
        <v>61</v>
      </c>
      <c r="Q1837" s="2" t="s">
        <v>35</v>
      </c>
      <c r="R1837" s="2" t="s">
        <v>30</v>
      </c>
      <c r="S1837">
        <v>12</v>
      </c>
      <c r="T1837" s="1">
        <v>43635</v>
      </c>
      <c r="U1837" s="1">
        <v>43636</v>
      </c>
      <c r="V1837" s="2"/>
      <c r="W1837" s="1">
        <f>fNotasFiscais[[#This Row],[Data da Coleta]]+fNotasFiscais[[#This Row],[Prazo Contratado]]</f>
        <v>43647</v>
      </c>
      <c r="X1837" s="3">
        <f>IF(fNotasFiscais[[#This Row],[Data da Entrega]]&gt;fNotasFiscais[[#This Row],[Data Contratada]],0,1)</f>
        <v>1</v>
      </c>
      <c r="Y1837" s="3">
        <f>IF(fNotasFiscais[[#This Row],[Ocorrência]]="",1,0)</f>
        <v>1</v>
      </c>
      <c r="Z1837" s="2">
        <f>fNotasFiscais[[#This Row],[On Time]]*fNotasFiscais[[#This Row],[In Full]]</f>
        <v>1</v>
      </c>
      <c r="AA1837">
        <f>IF(fNotasFiscais[[#This Row],[Nota Fiscal]]&lt;&gt;"",1,0)</f>
        <v>1</v>
      </c>
    </row>
    <row r="1838" spans="1:27" x14ac:dyDescent="0.25">
      <c r="A1838" s="1">
        <v>43635</v>
      </c>
      <c r="B1838">
        <v>12247</v>
      </c>
      <c r="C1838" s="2" t="s">
        <v>22</v>
      </c>
      <c r="D1838" s="2" t="s">
        <v>23</v>
      </c>
      <c r="E1838" s="2" t="s">
        <v>24</v>
      </c>
      <c r="F1838">
        <v>4099</v>
      </c>
      <c r="G1838" s="2" t="s">
        <v>181</v>
      </c>
      <c r="H1838" s="2" t="s">
        <v>165</v>
      </c>
      <c r="I1838" s="2" t="s">
        <v>24</v>
      </c>
      <c r="J1838" s="2" t="s">
        <v>28</v>
      </c>
      <c r="K1838" s="2" t="s">
        <v>24</v>
      </c>
      <c r="L1838">
        <v>54.85</v>
      </c>
      <c r="M1838">
        <v>1</v>
      </c>
      <c r="N1838">
        <v>4.84</v>
      </c>
      <c r="O1838">
        <v>6500948</v>
      </c>
      <c r="P1838" s="2" t="s">
        <v>29</v>
      </c>
      <c r="Q1838" s="2" t="s">
        <v>23</v>
      </c>
      <c r="R1838" s="2" t="s">
        <v>30</v>
      </c>
      <c r="S1838">
        <v>7</v>
      </c>
      <c r="T1838" s="1">
        <v>43635</v>
      </c>
      <c r="U1838" s="1">
        <v>43639</v>
      </c>
      <c r="V1838" s="2"/>
      <c r="W1838" s="1">
        <f>fNotasFiscais[[#This Row],[Data da Coleta]]+fNotasFiscais[[#This Row],[Prazo Contratado]]</f>
        <v>43642</v>
      </c>
      <c r="X1838" s="3">
        <f>IF(fNotasFiscais[[#This Row],[Data da Entrega]]&gt;fNotasFiscais[[#This Row],[Data Contratada]],0,1)</f>
        <v>1</v>
      </c>
      <c r="Y1838" s="3">
        <f>IF(fNotasFiscais[[#This Row],[Ocorrência]]="",1,0)</f>
        <v>1</v>
      </c>
      <c r="Z1838" s="2">
        <f>fNotasFiscais[[#This Row],[On Time]]*fNotasFiscais[[#This Row],[In Full]]</f>
        <v>1</v>
      </c>
      <c r="AA1838">
        <f>IF(fNotasFiscais[[#This Row],[Nota Fiscal]]&lt;&gt;"",1,0)</f>
        <v>1</v>
      </c>
    </row>
    <row r="1839" spans="1:27" x14ac:dyDescent="0.25">
      <c r="A1839" s="1">
        <v>43635</v>
      </c>
      <c r="B1839">
        <v>12248</v>
      </c>
      <c r="C1839" s="2" t="s">
        <v>52</v>
      </c>
      <c r="D1839" s="2" t="s">
        <v>53</v>
      </c>
      <c r="E1839" s="2" t="s">
        <v>33</v>
      </c>
      <c r="F1839">
        <v>4184</v>
      </c>
      <c r="G1839" s="2" t="s">
        <v>267</v>
      </c>
      <c r="H1839" s="2" t="s">
        <v>173</v>
      </c>
      <c r="I1839" s="2" t="s">
        <v>174</v>
      </c>
      <c r="J1839" s="2" t="s">
        <v>175</v>
      </c>
      <c r="K1839" s="2" t="s">
        <v>174</v>
      </c>
      <c r="L1839">
        <v>972.93</v>
      </c>
      <c r="M1839">
        <v>3</v>
      </c>
      <c r="N1839">
        <v>2.0459999999999998</v>
      </c>
      <c r="O1839">
        <v>6700091</v>
      </c>
      <c r="P1839" s="2" t="s">
        <v>176</v>
      </c>
      <c r="Q1839" s="2" t="s">
        <v>173</v>
      </c>
      <c r="R1839" s="2" t="s">
        <v>30</v>
      </c>
      <c r="S1839">
        <v>7</v>
      </c>
      <c r="T1839" s="1">
        <v>43635</v>
      </c>
      <c r="U1839" s="1">
        <v>43643</v>
      </c>
      <c r="V1839" s="2"/>
      <c r="W1839" s="1">
        <f>fNotasFiscais[[#This Row],[Data da Coleta]]+fNotasFiscais[[#This Row],[Prazo Contratado]]</f>
        <v>43642</v>
      </c>
      <c r="X1839" s="3">
        <f>IF(fNotasFiscais[[#This Row],[Data da Entrega]]&gt;fNotasFiscais[[#This Row],[Data Contratada]],0,1)</f>
        <v>0</v>
      </c>
      <c r="Y1839" s="3">
        <f>IF(fNotasFiscais[[#This Row],[Ocorrência]]="",1,0)</f>
        <v>1</v>
      </c>
      <c r="Z1839" s="2">
        <f>fNotasFiscais[[#This Row],[On Time]]*fNotasFiscais[[#This Row],[In Full]]</f>
        <v>0</v>
      </c>
      <c r="AA1839">
        <f>IF(fNotasFiscais[[#This Row],[Nota Fiscal]]&lt;&gt;"",1,0)</f>
        <v>1</v>
      </c>
    </row>
    <row r="1840" spans="1:27" x14ac:dyDescent="0.25">
      <c r="A1840" s="1">
        <v>43635</v>
      </c>
      <c r="B1840">
        <v>12249</v>
      </c>
      <c r="C1840" s="2" t="s">
        <v>31</v>
      </c>
      <c r="D1840" s="2" t="s">
        <v>32</v>
      </c>
      <c r="E1840" s="2" t="s">
        <v>33</v>
      </c>
      <c r="F1840">
        <v>4128</v>
      </c>
      <c r="G1840" s="2" t="s">
        <v>211</v>
      </c>
      <c r="H1840" s="2" t="s">
        <v>167</v>
      </c>
      <c r="I1840" s="2" t="s">
        <v>168</v>
      </c>
      <c r="J1840" s="2" t="s">
        <v>169</v>
      </c>
      <c r="K1840" s="2" t="s">
        <v>168</v>
      </c>
      <c r="L1840">
        <v>987.27</v>
      </c>
      <c r="M1840">
        <v>3</v>
      </c>
      <c r="N1840">
        <v>2.0459999999999998</v>
      </c>
      <c r="O1840">
        <v>6900304</v>
      </c>
      <c r="P1840" s="2" t="s">
        <v>170</v>
      </c>
      <c r="Q1840" s="2" t="s">
        <v>171</v>
      </c>
      <c r="R1840" s="2" t="s">
        <v>30</v>
      </c>
      <c r="S1840">
        <v>4</v>
      </c>
      <c r="T1840" s="1">
        <v>43635</v>
      </c>
      <c r="U1840" s="1">
        <v>43641</v>
      </c>
      <c r="V1840" s="2"/>
      <c r="W1840" s="1">
        <f>fNotasFiscais[[#This Row],[Data da Coleta]]+fNotasFiscais[[#This Row],[Prazo Contratado]]</f>
        <v>43639</v>
      </c>
      <c r="X1840" s="3">
        <f>IF(fNotasFiscais[[#This Row],[Data da Entrega]]&gt;fNotasFiscais[[#This Row],[Data Contratada]],0,1)</f>
        <v>0</v>
      </c>
      <c r="Y1840" s="3">
        <f>IF(fNotasFiscais[[#This Row],[Ocorrência]]="",1,0)</f>
        <v>1</v>
      </c>
      <c r="Z1840" s="2">
        <f>fNotasFiscais[[#This Row],[On Time]]*fNotasFiscais[[#This Row],[In Full]]</f>
        <v>0</v>
      </c>
      <c r="AA1840">
        <f>IF(fNotasFiscais[[#This Row],[Nota Fiscal]]&lt;&gt;"",1,0)</f>
        <v>1</v>
      </c>
    </row>
    <row r="1841" spans="1:27" x14ac:dyDescent="0.25">
      <c r="A1841" s="1">
        <v>43636</v>
      </c>
      <c r="B1841">
        <v>12250</v>
      </c>
      <c r="C1841" s="2" t="s">
        <v>22</v>
      </c>
      <c r="D1841" s="2" t="s">
        <v>23</v>
      </c>
      <c r="E1841" s="2" t="s">
        <v>24</v>
      </c>
      <c r="F1841">
        <v>4017</v>
      </c>
      <c r="G1841" s="2" t="s">
        <v>74</v>
      </c>
      <c r="H1841" s="2" t="s">
        <v>75</v>
      </c>
      <c r="I1841" s="2" t="s">
        <v>39</v>
      </c>
      <c r="J1841" s="2" t="s">
        <v>28</v>
      </c>
      <c r="K1841" s="2" t="s">
        <v>39</v>
      </c>
      <c r="L1841">
        <v>2592.66</v>
      </c>
      <c r="M1841">
        <v>8</v>
      </c>
      <c r="N1841">
        <v>7.4139999999999997</v>
      </c>
      <c r="O1841">
        <v>6500948</v>
      </c>
      <c r="P1841" s="2" t="s">
        <v>29</v>
      </c>
      <c r="Q1841" s="2" t="s">
        <v>23</v>
      </c>
      <c r="R1841" s="2" t="s">
        <v>30</v>
      </c>
      <c r="S1841">
        <v>2</v>
      </c>
      <c r="T1841" s="1">
        <v>43636</v>
      </c>
      <c r="U1841" s="1">
        <v>43646</v>
      </c>
      <c r="V1841" s="2" t="s">
        <v>57</v>
      </c>
      <c r="W1841" s="1">
        <f>fNotasFiscais[[#This Row],[Data da Coleta]]+fNotasFiscais[[#This Row],[Prazo Contratado]]</f>
        <v>43638</v>
      </c>
      <c r="X1841" s="3">
        <f>IF(fNotasFiscais[[#This Row],[Data da Entrega]]&gt;fNotasFiscais[[#This Row],[Data Contratada]],0,1)</f>
        <v>0</v>
      </c>
      <c r="Y1841" s="3">
        <f>IF(fNotasFiscais[[#This Row],[Ocorrência]]="",1,0)</f>
        <v>0</v>
      </c>
      <c r="Z1841" s="2">
        <f>fNotasFiscais[[#This Row],[On Time]]*fNotasFiscais[[#This Row],[In Full]]</f>
        <v>0</v>
      </c>
      <c r="AA1841">
        <f>IF(fNotasFiscais[[#This Row],[Nota Fiscal]]&lt;&gt;"",1,0)</f>
        <v>1</v>
      </c>
    </row>
    <row r="1842" spans="1:27" x14ac:dyDescent="0.25">
      <c r="A1842" s="1">
        <v>43636</v>
      </c>
      <c r="B1842">
        <v>12251</v>
      </c>
      <c r="C1842" s="2" t="s">
        <v>54</v>
      </c>
      <c r="D1842" s="2" t="s">
        <v>55</v>
      </c>
      <c r="E1842" s="2" t="s">
        <v>56</v>
      </c>
      <c r="F1842">
        <v>4185</v>
      </c>
      <c r="G1842" s="2" t="s">
        <v>268</v>
      </c>
      <c r="H1842" s="2" t="s">
        <v>173</v>
      </c>
      <c r="I1842" s="2" t="s">
        <v>174</v>
      </c>
      <c r="J1842" s="2" t="s">
        <v>175</v>
      </c>
      <c r="K1842" s="2" t="s">
        <v>174</v>
      </c>
      <c r="L1842">
        <v>995.57</v>
      </c>
      <c r="M1842">
        <v>3</v>
      </c>
      <c r="N1842">
        <v>2.0459999999999998</v>
      </c>
      <c r="O1842">
        <v>6700091</v>
      </c>
      <c r="P1842" s="2" t="s">
        <v>176</v>
      </c>
      <c r="Q1842" s="2" t="s">
        <v>173</v>
      </c>
      <c r="R1842" s="2" t="s">
        <v>30</v>
      </c>
      <c r="S1842">
        <v>6</v>
      </c>
      <c r="T1842" s="1">
        <v>43636</v>
      </c>
      <c r="U1842" s="1">
        <v>43637</v>
      </c>
      <c r="V1842" s="2" t="s">
        <v>42</v>
      </c>
      <c r="W1842" s="1">
        <f>fNotasFiscais[[#This Row],[Data da Coleta]]+fNotasFiscais[[#This Row],[Prazo Contratado]]</f>
        <v>43642</v>
      </c>
      <c r="X1842" s="3">
        <f>IF(fNotasFiscais[[#This Row],[Data da Entrega]]&gt;fNotasFiscais[[#This Row],[Data Contratada]],0,1)</f>
        <v>1</v>
      </c>
      <c r="Y1842" s="3">
        <f>IF(fNotasFiscais[[#This Row],[Ocorrência]]="",1,0)</f>
        <v>0</v>
      </c>
      <c r="Z1842" s="2">
        <f>fNotasFiscais[[#This Row],[On Time]]*fNotasFiscais[[#This Row],[In Full]]</f>
        <v>0</v>
      </c>
      <c r="AA1842">
        <f>IF(fNotasFiscais[[#This Row],[Nota Fiscal]]&lt;&gt;"",1,0)</f>
        <v>1</v>
      </c>
    </row>
    <row r="1843" spans="1:27" x14ac:dyDescent="0.25">
      <c r="A1843" s="1">
        <v>43636</v>
      </c>
      <c r="B1843">
        <v>12252</v>
      </c>
      <c r="C1843" s="2" t="s">
        <v>54</v>
      </c>
      <c r="D1843" s="2" t="s">
        <v>55</v>
      </c>
      <c r="E1843" s="2" t="s">
        <v>56</v>
      </c>
      <c r="F1843">
        <v>4186</v>
      </c>
      <c r="G1843" s="2" t="s">
        <v>269</v>
      </c>
      <c r="H1843" s="2" t="s">
        <v>32</v>
      </c>
      <c r="I1843" s="2" t="s">
        <v>33</v>
      </c>
      <c r="J1843" s="2" t="s">
        <v>60</v>
      </c>
      <c r="K1843" s="2" t="s">
        <v>33</v>
      </c>
      <c r="L1843">
        <v>8370.1299999999992</v>
      </c>
      <c r="M1843">
        <v>28</v>
      </c>
      <c r="N1843">
        <v>86.24</v>
      </c>
      <c r="O1843">
        <v>6400835</v>
      </c>
      <c r="P1843" s="2" t="s">
        <v>130</v>
      </c>
      <c r="Q1843" s="2" t="s">
        <v>131</v>
      </c>
      <c r="R1843" s="2" t="s">
        <v>30</v>
      </c>
      <c r="S1843">
        <v>1</v>
      </c>
      <c r="T1843" s="1">
        <v>43636</v>
      </c>
      <c r="U1843" s="1">
        <v>43646</v>
      </c>
      <c r="V1843" s="2"/>
      <c r="W1843" s="1">
        <f>fNotasFiscais[[#This Row],[Data da Coleta]]+fNotasFiscais[[#This Row],[Prazo Contratado]]</f>
        <v>43637</v>
      </c>
      <c r="X1843" s="3">
        <f>IF(fNotasFiscais[[#This Row],[Data da Entrega]]&gt;fNotasFiscais[[#This Row],[Data Contratada]],0,1)</f>
        <v>0</v>
      </c>
      <c r="Y1843" s="3">
        <f>IF(fNotasFiscais[[#This Row],[Ocorrência]]="",1,0)</f>
        <v>1</v>
      </c>
      <c r="Z1843" s="2">
        <f>fNotasFiscais[[#This Row],[On Time]]*fNotasFiscais[[#This Row],[In Full]]</f>
        <v>0</v>
      </c>
      <c r="AA1843">
        <f>IF(fNotasFiscais[[#This Row],[Nota Fiscal]]&lt;&gt;"",1,0)</f>
        <v>1</v>
      </c>
    </row>
    <row r="1844" spans="1:27" x14ac:dyDescent="0.25">
      <c r="A1844" s="1">
        <v>43636</v>
      </c>
      <c r="B1844">
        <v>12253</v>
      </c>
      <c r="C1844" s="2" t="s">
        <v>31</v>
      </c>
      <c r="D1844" s="2" t="s">
        <v>32</v>
      </c>
      <c r="E1844" s="2" t="s">
        <v>33</v>
      </c>
      <c r="F1844">
        <v>4187</v>
      </c>
      <c r="G1844" s="2" t="s">
        <v>270</v>
      </c>
      <c r="H1844" s="2" t="s">
        <v>35</v>
      </c>
      <c r="I1844" s="2" t="s">
        <v>36</v>
      </c>
      <c r="J1844" s="2" t="s">
        <v>60</v>
      </c>
      <c r="K1844" s="2" t="s">
        <v>36</v>
      </c>
      <c r="L1844">
        <v>512.53</v>
      </c>
      <c r="M1844">
        <v>1</v>
      </c>
      <c r="N1844">
        <v>1.54</v>
      </c>
      <c r="O1844">
        <v>6600879</v>
      </c>
      <c r="P1844" s="2" t="s">
        <v>61</v>
      </c>
      <c r="Q1844" s="2" t="s">
        <v>35</v>
      </c>
      <c r="R1844" s="2" t="s">
        <v>30</v>
      </c>
      <c r="S1844">
        <v>3</v>
      </c>
      <c r="T1844" s="1">
        <v>43636</v>
      </c>
      <c r="U1844" s="1">
        <v>43644</v>
      </c>
      <c r="V1844" s="2"/>
      <c r="W1844" s="1">
        <f>fNotasFiscais[[#This Row],[Data da Coleta]]+fNotasFiscais[[#This Row],[Prazo Contratado]]</f>
        <v>43639</v>
      </c>
      <c r="X1844" s="3">
        <f>IF(fNotasFiscais[[#This Row],[Data da Entrega]]&gt;fNotasFiscais[[#This Row],[Data Contratada]],0,1)</f>
        <v>0</v>
      </c>
      <c r="Y1844" s="3">
        <f>IF(fNotasFiscais[[#This Row],[Ocorrência]]="",1,0)</f>
        <v>1</v>
      </c>
      <c r="Z1844" s="2">
        <f>fNotasFiscais[[#This Row],[On Time]]*fNotasFiscais[[#This Row],[In Full]]</f>
        <v>0</v>
      </c>
      <c r="AA1844">
        <f>IF(fNotasFiscais[[#This Row],[Nota Fiscal]]&lt;&gt;"",1,0)</f>
        <v>1</v>
      </c>
    </row>
    <row r="1845" spans="1:27" x14ac:dyDescent="0.25">
      <c r="A1845" s="1">
        <v>43636</v>
      </c>
      <c r="B1845">
        <v>12254</v>
      </c>
      <c r="C1845" s="2" t="s">
        <v>40</v>
      </c>
      <c r="D1845" s="2" t="s">
        <v>41</v>
      </c>
      <c r="E1845" s="2" t="s">
        <v>33</v>
      </c>
      <c r="F1845">
        <v>4128</v>
      </c>
      <c r="G1845" s="2" t="s">
        <v>211</v>
      </c>
      <c r="H1845" s="2" t="s">
        <v>167</v>
      </c>
      <c r="I1845" s="2" t="s">
        <v>168</v>
      </c>
      <c r="J1845" s="2" t="s">
        <v>169</v>
      </c>
      <c r="K1845" s="2" t="s">
        <v>168</v>
      </c>
      <c r="L1845">
        <v>964.49</v>
      </c>
      <c r="M1845">
        <v>3</v>
      </c>
      <c r="N1845">
        <v>2.0459999999999998</v>
      </c>
      <c r="O1845">
        <v>6900304</v>
      </c>
      <c r="P1845" s="2" t="s">
        <v>170</v>
      </c>
      <c r="Q1845" s="2" t="s">
        <v>171</v>
      </c>
      <c r="R1845" s="2" t="s">
        <v>30</v>
      </c>
      <c r="S1845">
        <v>6</v>
      </c>
      <c r="T1845" s="1">
        <v>43636</v>
      </c>
      <c r="U1845" s="1">
        <v>43642</v>
      </c>
      <c r="V1845" s="2"/>
      <c r="W1845" s="1">
        <f>fNotasFiscais[[#This Row],[Data da Coleta]]+fNotasFiscais[[#This Row],[Prazo Contratado]]</f>
        <v>43642</v>
      </c>
      <c r="X1845" s="3">
        <f>IF(fNotasFiscais[[#This Row],[Data da Entrega]]&gt;fNotasFiscais[[#This Row],[Data Contratada]],0,1)</f>
        <v>1</v>
      </c>
      <c r="Y1845" s="3">
        <f>IF(fNotasFiscais[[#This Row],[Ocorrência]]="",1,0)</f>
        <v>1</v>
      </c>
      <c r="Z1845" s="2">
        <f>fNotasFiscais[[#This Row],[On Time]]*fNotasFiscais[[#This Row],[In Full]]</f>
        <v>1</v>
      </c>
      <c r="AA1845">
        <f>IF(fNotasFiscais[[#This Row],[Nota Fiscal]]&lt;&gt;"",1,0)</f>
        <v>1</v>
      </c>
    </row>
    <row r="1846" spans="1:27" x14ac:dyDescent="0.25">
      <c r="A1846" s="1">
        <v>43636</v>
      </c>
      <c r="B1846">
        <v>12255</v>
      </c>
      <c r="C1846" s="2" t="s">
        <v>43</v>
      </c>
      <c r="D1846" s="2" t="s">
        <v>44</v>
      </c>
      <c r="E1846" s="2" t="s">
        <v>45</v>
      </c>
      <c r="F1846">
        <v>4128</v>
      </c>
      <c r="G1846" s="2" t="s">
        <v>211</v>
      </c>
      <c r="H1846" s="2" t="s">
        <v>167</v>
      </c>
      <c r="I1846" s="2" t="s">
        <v>168</v>
      </c>
      <c r="J1846" s="2" t="s">
        <v>169</v>
      </c>
      <c r="K1846" s="2" t="s">
        <v>168</v>
      </c>
      <c r="L1846">
        <v>2343.1799999999998</v>
      </c>
      <c r="M1846">
        <v>7</v>
      </c>
      <c r="N1846">
        <v>4.774</v>
      </c>
      <c r="O1846">
        <v>6900304</v>
      </c>
      <c r="P1846" s="2" t="s">
        <v>170</v>
      </c>
      <c r="Q1846" s="2" t="s">
        <v>171</v>
      </c>
      <c r="R1846" s="2" t="s">
        <v>30</v>
      </c>
      <c r="S1846">
        <v>3</v>
      </c>
      <c r="T1846" s="1">
        <v>43636</v>
      </c>
      <c r="U1846" s="1">
        <v>43642</v>
      </c>
      <c r="V1846" s="2"/>
      <c r="W1846" s="1">
        <f>fNotasFiscais[[#This Row],[Data da Coleta]]+fNotasFiscais[[#This Row],[Prazo Contratado]]</f>
        <v>43639</v>
      </c>
      <c r="X1846" s="3">
        <f>IF(fNotasFiscais[[#This Row],[Data da Entrega]]&gt;fNotasFiscais[[#This Row],[Data Contratada]],0,1)</f>
        <v>0</v>
      </c>
      <c r="Y1846" s="3">
        <f>IF(fNotasFiscais[[#This Row],[Ocorrência]]="",1,0)</f>
        <v>1</v>
      </c>
      <c r="Z1846" s="2">
        <f>fNotasFiscais[[#This Row],[On Time]]*fNotasFiscais[[#This Row],[In Full]]</f>
        <v>0</v>
      </c>
      <c r="AA1846">
        <f>IF(fNotasFiscais[[#This Row],[Nota Fiscal]]&lt;&gt;"",1,0)</f>
        <v>1</v>
      </c>
    </row>
    <row r="1847" spans="1:27" x14ac:dyDescent="0.25">
      <c r="A1847" s="1">
        <v>43637</v>
      </c>
      <c r="B1847">
        <v>12256</v>
      </c>
      <c r="C1847" s="2" t="s">
        <v>31</v>
      </c>
      <c r="D1847" s="2" t="s">
        <v>32</v>
      </c>
      <c r="E1847" s="2" t="s">
        <v>33</v>
      </c>
      <c r="F1847">
        <v>4172</v>
      </c>
      <c r="G1847" s="2" t="s">
        <v>255</v>
      </c>
      <c r="H1847" s="2" t="s">
        <v>183</v>
      </c>
      <c r="I1847" s="2" t="s">
        <v>33</v>
      </c>
      <c r="J1847" s="2" t="s">
        <v>60</v>
      </c>
      <c r="K1847" s="2" t="s">
        <v>33</v>
      </c>
      <c r="L1847">
        <v>969.36</v>
      </c>
      <c r="M1847">
        <v>3</v>
      </c>
      <c r="N1847">
        <v>2.0459999999999998</v>
      </c>
      <c r="O1847">
        <v>6400835</v>
      </c>
      <c r="P1847" s="2" t="s">
        <v>130</v>
      </c>
      <c r="Q1847" s="2" t="s">
        <v>131</v>
      </c>
      <c r="R1847" s="2" t="s">
        <v>30</v>
      </c>
      <c r="S1847">
        <v>2</v>
      </c>
      <c r="T1847" s="1">
        <v>43637</v>
      </c>
      <c r="U1847" s="1">
        <v>43647</v>
      </c>
      <c r="V1847" s="2" t="s">
        <v>42</v>
      </c>
      <c r="W1847" s="1">
        <f>fNotasFiscais[[#This Row],[Data da Coleta]]+fNotasFiscais[[#This Row],[Prazo Contratado]]</f>
        <v>43639</v>
      </c>
      <c r="X1847" s="3">
        <f>IF(fNotasFiscais[[#This Row],[Data da Entrega]]&gt;fNotasFiscais[[#This Row],[Data Contratada]],0,1)</f>
        <v>0</v>
      </c>
      <c r="Y1847" s="3">
        <f>IF(fNotasFiscais[[#This Row],[Ocorrência]]="",1,0)</f>
        <v>0</v>
      </c>
      <c r="Z1847" s="2">
        <f>fNotasFiscais[[#This Row],[On Time]]*fNotasFiscais[[#This Row],[In Full]]</f>
        <v>0</v>
      </c>
      <c r="AA1847">
        <f>IF(fNotasFiscais[[#This Row],[Nota Fiscal]]&lt;&gt;"",1,0)</f>
        <v>1</v>
      </c>
    </row>
    <row r="1848" spans="1:27" x14ac:dyDescent="0.25">
      <c r="A1848" s="1">
        <v>43637</v>
      </c>
      <c r="B1848">
        <v>12257</v>
      </c>
      <c r="C1848" s="2" t="s">
        <v>22</v>
      </c>
      <c r="D1848" s="2" t="s">
        <v>23</v>
      </c>
      <c r="E1848" s="2" t="s">
        <v>24</v>
      </c>
      <c r="F1848">
        <v>4033</v>
      </c>
      <c r="G1848" s="2" t="s">
        <v>109</v>
      </c>
      <c r="H1848" s="2" t="s">
        <v>51</v>
      </c>
      <c r="I1848" s="2" t="s">
        <v>73</v>
      </c>
      <c r="J1848" s="2" t="s">
        <v>49</v>
      </c>
      <c r="K1848" s="2" t="s">
        <v>73</v>
      </c>
      <c r="L1848">
        <v>1329.7</v>
      </c>
      <c r="M1848">
        <v>4</v>
      </c>
      <c r="N1848">
        <v>2.7280000000000002</v>
      </c>
      <c r="O1848">
        <v>6100231</v>
      </c>
      <c r="P1848" s="2" t="s">
        <v>50</v>
      </c>
      <c r="Q1848" s="2" t="s">
        <v>51</v>
      </c>
      <c r="R1848" s="2" t="s">
        <v>30</v>
      </c>
      <c r="S1848">
        <v>5</v>
      </c>
      <c r="T1848" s="1">
        <v>43637</v>
      </c>
      <c r="U1848" s="1">
        <v>43646</v>
      </c>
      <c r="V1848" s="2"/>
      <c r="W1848" s="1">
        <f>fNotasFiscais[[#This Row],[Data da Coleta]]+fNotasFiscais[[#This Row],[Prazo Contratado]]</f>
        <v>43642</v>
      </c>
      <c r="X1848" s="3">
        <f>IF(fNotasFiscais[[#This Row],[Data da Entrega]]&gt;fNotasFiscais[[#This Row],[Data Contratada]],0,1)</f>
        <v>0</v>
      </c>
      <c r="Y1848" s="3">
        <f>IF(fNotasFiscais[[#This Row],[Ocorrência]]="",1,0)</f>
        <v>1</v>
      </c>
      <c r="Z1848" s="2">
        <f>fNotasFiscais[[#This Row],[On Time]]*fNotasFiscais[[#This Row],[In Full]]</f>
        <v>0</v>
      </c>
      <c r="AA1848">
        <f>IF(fNotasFiscais[[#This Row],[Nota Fiscal]]&lt;&gt;"",1,0)</f>
        <v>1</v>
      </c>
    </row>
    <row r="1849" spans="1:27" x14ac:dyDescent="0.25">
      <c r="A1849" s="1">
        <v>43637</v>
      </c>
      <c r="B1849">
        <v>12258</v>
      </c>
      <c r="C1849" s="2" t="s">
        <v>52</v>
      </c>
      <c r="D1849" s="2" t="s">
        <v>53</v>
      </c>
      <c r="E1849" s="2" t="s">
        <v>33</v>
      </c>
      <c r="F1849">
        <v>4112</v>
      </c>
      <c r="G1849" s="2" t="s">
        <v>195</v>
      </c>
      <c r="H1849" s="2" t="s">
        <v>35</v>
      </c>
      <c r="I1849" s="2" t="s">
        <v>36</v>
      </c>
      <c r="J1849" s="2" t="s">
        <v>60</v>
      </c>
      <c r="K1849" s="2" t="s">
        <v>36</v>
      </c>
      <c r="L1849">
        <v>5677.73</v>
      </c>
      <c r="M1849">
        <v>6</v>
      </c>
      <c r="N1849">
        <v>11.593999999999999</v>
      </c>
      <c r="O1849">
        <v>6600879</v>
      </c>
      <c r="P1849" s="2" t="s">
        <v>61</v>
      </c>
      <c r="Q1849" s="2" t="s">
        <v>35</v>
      </c>
      <c r="R1849" s="2" t="s">
        <v>30</v>
      </c>
      <c r="S1849">
        <v>5</v>
      </c>
      <c r="T1849" s="1">
        <v>43637</v>
      </c>
      <c r="U1849" s="1">
        <v>43642</v>
      </c>
      <c r="V1849" s="2"/>
      <c r="W1849" s="1">
        <f>fNotasFiscais[[#This Row],[Data da Coleta]]+fNotasFiscais[[#This Row],[Prazo Contratado]]</f>
        <v>43642</v>
      </c>
      <c r="X1849" s="3">
        <f>IF(fNotasFiscais[[#This Row],[Data da Entrega]]&gt;fNotasFiscais[[#This Row],[Data Contratada]],0,1)</f>
        <v>1</v>
      </c>
      <c r="Y1849" s="3">
        <f>IF(fNotasFiscais[[#This Row],[Ocorrência]]="",1,0)</f>
        <v>1</v>
      </c>
      <c r="Z1849" s="2">
        <f>fNotasFiscais[[#This Row],[On Time]]*fNotasFiscais[[#This Row],[In Full]]</f>
        <v>1</v>
      </c>
      <c r="AA1849">
        <f>IF(fNotasFiscais[[#This Row],[Nota Fiscal]]&lt;&gt;"",1,0)</f>
        <v>1</v>
      </c>
    </row>
    <row r="1850" spans="1:27" x14ac:dyDescent="0.25">
      <c r="A1850" s="1">
        <v>43637</v>
      </c>
      <c r="B1850">
        <v>12259</v>
      </c>
      <c r="C1850" s="2" t="s">
        <v>31</v>
      </c>
      <c r="D1850" s="2" t="s">
        <v>32</v>
      </c>
      <c r="E1850" s="2" t="s">
        <v>33</v>
      </c>
      <c r="F1850">
        <v>4148</v>
      </c>
      <c r="G1850" s="2" t="s">
        <v>231</v>
      </c>
      <c r="H1850" s="2" t="s">
        <v>32</v>
      </c>
      <c r="I1850" s="2" t="s">
        <v>33</v>
      </c>
      <c r="J1850" s="2" t="s">
        <v>60</v>
      </c>
      <c r="K1850" s="2" t="s">
        <v>33</v>
      </c>
      <c r="L1850">
        <v>2985.11</v>
      </c>
      <c r="M1850">
        <v>6</v>
      </c>
      <c r="N1850">
        <v>6.1379999999999999</v>
      </c>
      <c r="O1850">
        <v>6400835</v>
      </c>
      <c r="P1850" s="2" t="s">
        <v>130</v>
      </c>
      <c r="Q1850" s="2" t="s">
        <v>131</v>
      </c>
      <c r="R1850" s="2" t="s">
        <v>62</v>
      </c>
      <c r="S1850">
        <v>8</v>
      </c>
      <c r="T1850" s="1">
        <v>43637</v>
      </c>
      <c r="U1850" s="1">
        <v>43640</v>
      </c>
      <c r="V1850" s="2"/>
      <c r="W1850" s="1">
        <f>fNotasFiscais[[#This Row],[Data da Coleta]]+fNotasFiscais[[#This Row],[Prazo Contratado]]</f>
        <v>43645</v>
      </c>
      <c r="X1850" s="3">
        <f>IF(fNotasFiscais[[#This Row],[Data da Entrega]]&gt;fNotasFiscais[[#This Row],[Data Contratada]],0,1)</f>
        <v>1</v>
      </c>
      <c r="Y1850" s="3">
        <f>IF(fNotasFiscais[[#This Row],[Ocorrência]]="",1,0)</f>
        <v>1</v>
      </c>
      <c r="Z1850" s="2">
        <f>fNotasFiscais[[#This Row],[On Time]]*fNotasFiscais[[#This Row],[In Full]]</f>
        <v>1</v>
      </c>
      <c r="AA1850">
        <f>IF(fNotasFiscais[[#This Row],[Nota Fiscal]]&lt;&gt;"",1,0)</f>
        <v>1</v>
      </c>
    </row>
    <row r="1851" spans="1:27" x14ac:dyDescent="0.25">
      <c r="A1851" s="1">
        <v>43637</v>
      </c>
      <c r="B1851">
        <v>12260</v>
      </c>
      <c r="C1851" s="2" t="s">
        <v>52</v>
      </c>
      <c r="D1851" s="2" t="s">
        <v>53</v>
      </c>
      <c r="E1851" s="2" t="s">
        <v>33</v>
      </c>
      <c r="F1851">
        <v>4188</v>
      </c>
      <c r="G1851" s="2" t="s">
        <v>271</v>
      </c>
      <c r="H1851" s="2" t="s">
        <v>35</v>
      </c>
      <c r="I1851" s="2" t="s">
        <v>36</v>
      </c>
      <c r="J1851" s="2" t="s">
        <v>60</v>
      </c>
      <c r="K1851" s="2" t="s">
        <v>36</v>
      </c>
      <c r="L1851">
        <v>646.24</v>
      </c>
      <c r="M1851">
        <v>2</v>
      </c>
      <c r="N1851">
        <v>1.3640000000000001</v>
      </c>
      <c r="O1851">
        <v>6600879</v>
      </c>
      <c r="P1851" s="2" t="s">
        <v>61</v>
      </c>
      <c r="Q1851" s="2" t="s">
        <v>35</v>
      </c>
      <c r="R1851" s="2" t="s">
        <v>30</v>
      </c>
      <c r="S1851">
        <v>9</v>
      </c>
      <c r="T1851" s="1">
        <v>43637</v>
      </c>
      <c r="U1851" s="1">
        <v>43639</v>
      </c>
      <c r="V1851" s="2"/>
      <c r="W1851" s="1">
        <f>fNotasFiscais[[#This Row],[Data da Coleta]]+fNotasFiscais[[#This Row],[Prazo Contratado]]</f>
        <v>43646</v>
      </c>
      <c r="X1851" s="3">
        <f>IF(fNotasFiscais[[#This Row],[Data da Entrega]]&gt;fNotasFiscais[[#This Row],[Data Contratada]],0,1)</f>
        <v>1</v>
      </c>
      <c r="Y1851" s="3">
        <f>IF(fNotasFiscais[[#This Row],[Ocorrência]]="",1,0)</f>
        <v>1</v>
      </c>
      <c r="Z1851" s="2">
        <f>fNotasFiscais[[#This Row],[On Time]]*fNotasFiscais[[#This Row],[In Full]]</f>
        <v>1</v>
      </c>
      <c r="AA1851">
        <f>IF(fNotasFiscais[[#This Row],[Nota Fiscal]]&lt;&gt;"",1,0)</f>
        <v>1</v>
      </c>
    </row>
    <row r="1852" spans="1:27" x14ac:dyDescent="0.25">
      <c r="A1852" s="1">
        <v>43637</v>
      </c>
      <c r="B1852">
        <v>12261</v>
      </c>
      <c r="C1852" s="2" t="s">
        <v>40</v>
      </c>
      <c r="D1852" s="2" t="s">
        <v>41</v>
      </c>
      <c r="E1852" s="2" t="s">
        <v>33</v>
      </c>
      <c r="F1852">
        <v>4189</v>
      </c>
      <c r="G1852" s="2" t="s">
        <v>272</v>
      </c>
      <c r="H1852" s="2" t="s">
        <v>165</v>
      </c>
      <c r="I1852" s="2" t="s">
        <v>24</v>
      </c>
      <c r="J1852" s="2" t="s">
        <v>28</v>
      </c>
      <c r="K1852" s="2" t="s">
        <v>24</v>
      </c>
      <c r="L1852">
        <v>987.27</v>
      </c>
      <c r="M1852">
        <v>3</v>
      </c>
      <c r="N1852">
        <v>2.0459999999999998</v>
      </c>
      <c r="O1852">
        <v>6500948</v>
      </c>
      <c r="P1852" s="2" t="s">
        <v>29</v>
      </c>
      <c r="Q1852" s="2" t="s">
        <v>23</v>
      </c>
      <c r="R1852" s="2" t="s">
        <v>30</v>
      </c>
      <c r="S1852">
        <v>7</v>
      </c>
      <c r="T1852" s="1">
        <v>43637</v>
      </c>
      <c r="U1852" s="1">
        <v>43644</v>
      </c>
      <c r="V1852" s="2" t="s">
        <v>42</v>
      </c>
      <c r="W1852" s="1">
        <f>fNotasFiscais[[#This Row],[Data da Coleta]]+fNotasFiscais[[#This Row],[Prazo Contratado]]</f>
        <v>43644</v>
      </c>
      <c r="X1852" s="3">
        <f>IF(fNotasFiscais[[#This Row],[Data da Entrega]]&gt;fNotasFiscais[[#This Row],[Data Contratada]],0,1)</f>
        <v>1</v>
      </c>
      <c r="Y1852" s="3">
        <f>IF(fNotasFiscais[[#This Row],[Ocorrência]]="",1,0)</f>
        <v>0</v>
      </c>
      <c r="Z1852" s="2">
        <f>fNotasFiscais[[#This Row],[On Time]]*fNotasFiscais[[#This Row],[In Full]]</f>
        <v>0</v>
      </c>
      <c r="AA1852">
        <f>IF(fNotasFiscais[[#This Row],[Nota Fiscal]]&lt;&gt;"",1,0)</f>
        <v>1</v>
      </c>
    </row>
    <row r="1853" spans="1:27" x14ac:dyDescent="0.25">
      <c r="A1853" s="1">
        <v>43637</v>
      </c>
      <c r="B1853">
        <v>12262</v>
      </c>
      <c r="C1853" s="2" t="s">
        <v>34</v>
      </c>
      <c r="D1853" s="2" t="s">
        <v>35</v>
      </c>
      <c r="E1853" s="2" t="s">
        <v>36</v>
      </c>
      <c r="F1853">
        <v>4128</v>
      </c>
      <c r="G1853" s="2" t="s">
        <v>211</v>
      </c>
      <c r="H1853" s="2" t="s">
        <v>167</v>
      </c>
      <c r="I1853" s="2" t="s">
        <v>168</v>
      </c>
      <c r="J1853" s="2" t="s">
        <v>169</v>
      </c>
      <c r="K1853" s="2" t="s">
        <v>168</v>
      </c>
      <c r="L1853">
        <v>2121.27</v>
      </c>
      <c r="M1853">
        <v>2</v>
      </c>
      <c r="N1853">
        <v>9.57</v>
      </c>
      <c r="O1853">
        <v>6900304</v>
      </c>
      <c r="P1853" s="2" t="s">
        <v>170</v>
      </c>
      <c r="Q1853" s="2" t="s">
        <v>171</v>
      </c>
      <c r="R1853" s="2" t="s">
        <v>30</v>
      </c>
      <c r="S1853">
        <v>4</v>
      </c>
      <c r="T1853" s="1">
        <v>43637</v>
      </c>
      <c r="U1853" s="1">
        <v>43643</v>
      </c>
      <c r="V1853" s="2"/>
      <c r="W1853" s="1">
        <f>fNotasFiscais[[#This Row],[Data da Coleta]]+fNotasFiscais[[#This Row],[Prazo Contratado]]</f>
        <v>43641</v>
      </c>
      <c r="X1853" s="3">
        <f>IF(fNotasFiscais[[#This Row],[Data da Entrega]]&gt;fNotasFiscais[[#This Row],[Data Contratada]],0,1)</f>
        <v>0</v>
      </c>
      <c r="Y1853" s="3">
        <f>IF(fNotasFiscais[[#This Row],[Ocorrência]]="",1,0)</f>
        <v>1</v>
      </c>
      <c r="Z1853" s="2">
        <f>fNotasFiscais[[#This Row],[On Time]]*fNotasFiscais[[#This Row],[In Full]]</f>
        <v>0</v>
      </c>
      <c r="AA1853">
        <f>IF(fNotasFiscais[[#This Row],[Nota Fiscal]]&lt;&gt;"",1,0)</f>
        <v>1</v>
      </c>
    </row>
    <row r="1854" spans="1:27" x14ac:dyDescent="0.25">
      <c r="A1854" s="1">
        <v>43637</v>
      </c>
      <c r="B1854">
        <v>12263</v>
      </c>
      <c r="C1854" s="2" t="s">
        <v>34</v>
      </c>
      <c r="D1854" s="2" t="s">
        <v>35</v>
      </c>
      <c r="E1854" s="2" t="s">
        <v>36</v>
      </c>
      <c r="F1854">
        <v>4013</v>
      </c>
      <c r="G1854" s="2" t="s">
        <v>37</v>
      </c>
      <c r="H1854" s="2" t="s">
        <v>38</v>
      </c>
      <c r="I1854" s="2" t="s">
        <v>39</v>
      </c>
      <c r="J1854" s="2" t="s">
        <v>28</v>
      </c>
      <c r="K1854" s="2" t="s">
        <v>39</v>
      </c>
      <c r="L1854">
        <v>892.45</v>
      </c>
      <c r="M1854">
        <v>7</v>
      </c>
      <c r="N1854">
        <v>7.569</v>
      </c>
      <c r="O1854">
        <v>6500948</v>
      </c>
      <c r="P1854" s="2" t="s">
        <v>29</v>
      </c>
      <c r="Q1854" s="2" t="s">
        <v>23</v>
      </c>
      <c r="R1854" s="2" t="s">
        <v>30</v>
      </c>
      <c r="S1854">
        <v>6</v>
      </c>
      <c r="T1854" s="1">
        <v>43637</v>
      </c>
      <c r="U1854" s="1">
        <v>43645</v>
      </c>
      <c r="V1854" s="2"/>
      <c r="W1854" s="1">
        <f>fNotasFiscais[[#This Row],[Data da Coleta]]+fNotasFiscais[[#This Row],[Prazo Contratado]]</f>
        <v>43643</v>
      </c>
      <c r="X1854" s="3">
        <f>IF(fNotasFiscais[[#This Row],[Data da Entrega]]&gt;fNotasFiscais[[#This Row],[Data Contratada]],0,1)</f>
        <v>0</v>
      </c>
      <c r="Y1854" s="3">
        <f>IF(fNotasFiscais[[#This Row],[Ocorrência]]="",1,0)</f>
        <v>1</v>
      </c>
      <c r="Z1854" s="2">
        <f>fNotasFiscais[[#This Row],[On Time]]*fNotasFiscais[[#This Row],[In Full]]</f>
        <v>0</v>
      </c>
      <c r="AA1854">
        <f>IF(fNotasFiscais[[#This Row],[Nota Fiscal]]&lt;&gt;"",1,0)</f>
        <v>1</v>
      </c>
    </row>
    <row r="1855" spans="1:27" x14ac:dyDescent="0.25">
      <c r="A1855" s="1">
        <v>43637</v>
      </c>
      <c r="B1855">
        <v>12264</v>
      </c>
      <c r="C1855" s="2" t="s">
        <v>54</v>
      </c>
      <c r="D1855" s="2" t="s">
        <v>55</v>
      </c>
      <c r="E1855" s="2" t="s">
        <v>56</v>
      </c>
      <c r="F1855">
        <v>4013</v>
      </c>
      <c r="G1855" s="2" t="s">
        <v>37</v>
      </c>
      <c r="H1855" s="2" t="s">
        <v>38</v>
      </c>
      <c r="I1855" s="2" t="s">
        <v>39</v>
      </c>
      <c r="J1855" s="2" t="s">
        <v>28</v>
      </c>
      <c r="K1855" s="2" t="s">
        <v>39</v>
      </c>
      <c r="L1855">
        <v>589.22</v>
      </c>
      <c r="M1855">
        <v>1</v>
      </c>
      <c r="N1855">
        <v>1.98</v>
      </c>
      <c r="O1855">
        <v>6500948</v>
      </c>
      <c r="P1855" s="2" t="s">
        <v>29</v>
      </c>
      <c r="Q1855" s="2" t="s">
        <v>23</v>
      </c>
      <c r="R1855" s="2" t="s">
        <v>30</v>
      </c>
      <c r="S1855">
        <v>9</v>
      </c>
      <c r="T1855" s="1">
        <v>43637</v>
      </c>
      <c r="U1855" s="1">
        <v>43647</v>
      </c>
      <c r="V1855" s="2"/>
      <c r="W1855" s="1">
        <f>fNotasFiscais[[#This Row],[Data da Coleta]]+fNotasFiscais[[#This Row],[Prazo Contratado]]</f>
        <v>43646</v>
      </c>
      <c r="X1855" s="3">
        <f>IF(fNotasFiscais[[#This Row],[Data da Entrega]]&gt;fNotasFiscais[[#This Row],[Data Contratada]],0,1)</f>
        <v>0</v>
      </c>
      <c r="Y1855" s="3">
        <f>IF(fNotasFiscais[[#This Row],[Ocorrência]]="",1,0)</f>
        <v>1</v>
      </c>
      <c r="Z1855" s="2">
        <f>fNotasFiscais[[#This Row],[On Time]]*fNotasFiscais[[#This Row],[In Full]]</f>
        <v>0</v>
      </c>
      <c r="AA1855">
        <f>IF(fNotasFiscais[[#This Row],[Nota Fiscal]]&lt;&gt;"",1,0)</f>
        <v>1</v>
      </c>
    </row>
    <row r="1856" spans="1:27" x14ac:dyDescent="0.25">
      <c r="A1856" s="1">
        <v>43638</v>
      </c>
      <c r="B1856">
        <v>12265</v>
      </c>
      <c r="C1856" s="2" t="s">
        <v>40</v>
      </c>
      <c r="D1856" s="2" t="s">
        <v>41</v>
      </c>
      <c r="E1856" s="2" t="s">
        <v>33</v>
      </c>
      <c r="F1856">
        <v>4040</v>
      </c>
      <c r="G1856" s="2" t="s">
        <v>117</v>
      </c>
      <c r="H1856" s="2" t="s">
        <v>47</v>
      </c>
      <c r="I1856" s="2" t="s">
        <v>48</v>
      </c>
      <c r="J1856" s="2" t="s">
        <v>49</v>
      </c>
      <c r="K1856" s="2" t="s">
        <v>48</v>
      </c>
      <c r="L1856">
        <v>592.05999999999995</v>
      </c>
      <c r="M1856">
        <v>1</v>
      </c>
      <c r="N1856">
        <v>1.98</v>
      </c>
      <c r="O1856">
        <v>6100231</v>
      </c>
      <c r="P1856" s="2" t="s">
        <v>50</v>
      </c>
      <c r="Q1856" s="2" t="s">
        <v>51</v>
      </c>
      <c r="R1856" s="2" t="s">
        <v>30</v>
      </c>
      <c r="S1856">
        <v>6</v>
      </c>
      <c r="T1856" s="1">
        <v>43638</v>
      </c>
      <c r="U1856" s="1">
        <v>43645</v>
      </c>
      <c r="V1856" s="2"/>
      <c r="W1856" s="1">
        <f>fNotasFiscais[[#This Row],[Data da Coleta]]+fNotasFiscais[[#This Row],[Prazo Contratado]]</f>
        <v>43644</v>
      </c>
      <c r="X1856" s="3">
        <f>IF(fNotasFiscais[[#This Row],[Data da Entrega]]&gt;fNotasFiscais[[#This Row],[Data Contratada]],0,1)</f>
        <v>0</v>
      </c>
      <c r="Y1856" s="3">
        <f>IF(fNotasFiscais[[#This Row],[Ocorrência]]="",1,0)</f>
        <v>1</v>
      </c>
      <c r="Z1856" s="2">
        <f>fNotasFiscais[[#This Row],[On Time]]*fNotasFiscais[[#This Row],[In Full]]</f>
        <v>0</v>
      </c>
      <c r="AA1856">
        <f>IF(fNotasFiscais[[#This Row],[Nota Fiscal]]&lt;&gt;"",1,0)</f>
        <v>1</v>
      </c>
    </row>
    <row r="1857" spans="1:27" x14ac:dyDescent="0.25">
      <c r="A1857" s="1">
        <v>43638</v>
      </c>
      <c r="B1857">
        <v>12266</v>
      </c>
      <c r="C1857" s="2" t="s">
        <v>43</v>
      </c>
      <c r="D1857" s="2" t="s">
        <v>44</v>
      </c>
      <c r="E1857" s="2" t="s">
        <v>45</v>
      </c>
      <c r="F1857">
        <v>4027</v>
      </c>
      <c r="G1857" s="2" t="s">
        <v>93</v>
      </c>
      <c r="H1857" s="2" t="s">
        <v>91</v>
      </c>
      <c r="I1857" s="2" t="s">
        <v>24</v>
      </c>
      <c r="J1857" s="2" t="s">
        <v>28</v>
      </c>
      <c r="K1857" s="2" t="s">
        <v>24</v>
      </c>
      <c r="L1857">
        <v>741.9</v>
      </c>
      <c r="M1857">
        <v>1</v>
      </c>
      <c r="N1857">
        <v>6.024</v>
      </c>
      <c r="O1857">
        <v>6500948</v>
      </c>
      <c r="P1857" s="2" t="s">
        <v>29</v>
      </c>
      <c r="Q1857" s="2" t="s">
        <v>23</v>
      </c>
      <c r="R1857" s="2" t="s">
        <v>30</v>
      </c>
      <c r="S1857">
        <v>3</v>
      </c>
      <c r="T1857" s="1">
        <v>43638</v>
      </c>
      <c r="U1857" s="1">
        <v>43645</v>
      </c>
      <c r="V1857" s="2"/>
      <c r="W1857" s="1">
        <f>fNotasFiscais[[#This Row],[Data da Coleta]]+fNotasFiscais[[#This Row],[Prazo Contratado]]</f>
        <v>43641</v>
      </c>
      <c r="X1857" s="3">
        <f>IF(fNotasFiscais[[#This Row],[Data da Entrega]]&gt;fNotasFiscais[[#This Row],[Data Contratada]],0,1)</f>
        <v>0</v>
      </c>
      <c r="Y1857" s="3">
        <f>IF(fNotasFiscais[[#This Row],[Ocorrência]]="",1,0)</f>
        <v>1</v>
      </c>
      <c r="Z1857" s="2">
        <f>fNotasFiscais[[#This Row],[On Time]]*fNotasFiscais[[#This Row],[In Full]]</f>
        <v>0</v>
      </c>
      <c r="AA1857">
        <f>IF(fNotasFiscais[[#This Row],[Nota Fiscal]]&lt;&gt;"",1,0)</f>
        <v>1</v>
      </c>
    </row>
    <row r="1858" spans="1:27" x14ac:dyDescent="0.25">
      <c r="A1858" s="1">
        <v>43638</v>
      </c>
      <c r="B1858">
        <v>12267</v>
      </c>
      <c r="C1858" s="2" t="s">
        <v>34</v>
      </c>
      <c r="D1858" s="2" t="s">
        <v>35</v>
      </c>
      <c r="E1858" s="2" t="s">
        <v>36</v>
      </c>
      <c r="F1858">
        <v>4028</v>
      </c>
      <c r="G1858" s="2" t="s">
        <v>95</v>
      </c>
      <c r="H1858" s="2" t="s">
        <v>26</v>
      </c>
      <c r="I1858" s="2" t="s">
        <v>27</v>
      </c>
      <c r="J1858" s="2" t="s">
        <v>28</v>
      </c>
      <c r="K1858" s="2" t="s">
        <v>27</v>
      </c>
      <c r="L1858">
        <v>1300.29</v>
      </c>
      <c r="M1858">
        <v>1</v>
      </c>
      <c r="N1858">
        <v>3.96</v>
      </c>
      <c r="O1858">
        <v>6500948</v>
      </c>
      <c r="P1858" s="2" t="s">
        <v>29</v>
      </c>
      <c r="Q1858" s="2" t="s">
        <v>23</v>
      </c>
      <c r="R1858" s="2" t="s">
        <v>30</v>
      </c>
      <c r="S1858">
        <v>12</v>
      </c>
      <c r="T1858" s="1">
        <v>43638</v>
      </c>
      <c r="U1858" s="1">
        <v>43648</v>
      </c>
      <c r="V1858" s="2"/>
      <c r="W1858" s="1">
        <f>fNotasFiscais[[#This Row],[Data da Coleta]]+fNotasFiscais[[#This Row],[Prazo Contratado]]</f>
        <v>43650</v>
      </c>
      <c r="X1858" s="3">
        <f>IF(fNotasFiscais[[#This Row],[Data da Entrega]]&gt;fNotasFiscais[[#This Row],[Data Contratada]],0,1)</f>
        <v>1</v>
      </c>
      <c r="Y1858" s="3">
        <f>IF(fNotasFiscais[[#This Row],[Ocorrência]]="",1,0)</f>
        <v>1</v>
      </c>
      <c r="Z1858" s="2">
        <f>fNotasFiscais[[#This Row],[On Time]]*fNotasFiscais[[#This Row],[In Full]]</f>
        <v>1</v>
      </c>
      <c r="AA1858">
        <f>IF(fNotasFiscais[[#This Row],[Nota Fiscal]]&lt;&gt;"",1,0)</f>
        <v>1</v>
      </c>
    </row>
    <row r="1859" spans="1:27" x14ac:dyDescent="0.25">
      <c r="A1859" s="1">
        <v>43638</v>
      </c>
      <c r="B1859">
        <v>12268</v>
      </c>
      <c r="C1859" s="2" t="s">
        <v>34</v>
      </c>
      <c r="D1859" s="2" t="s">
        <v>35</v>
      </c>
      <c r="E1859" s="2" t="s">
        <v>36</v>
      </c>
      <c r="F1859">
        <v>4040</v>
      </c>
      <c r="G1859" s="2" t="s">
        <v>117</v>
      </c>
      <c r="H1859" s="2" t="s">
        <v>47</v>
      </c>
      <c r="I1859" s="2" t="s">
        <v>48</v>
      </c>
      <c r="J1859" s="2" t="s">
        <v>49</v>
      </c>
      <c r="K1859" s="2" t="s">
        <v>48</v>
      </c>
      <c r="L1859">
        <v>162.69999999999999</v>
      </c>
      <c r="M1859">
        <v>1</v>
      </c>
      <c r="N1859">
        <v>0.34699999999999998</v>
      </c>
      <c r="O1859">
        <v>6100231</v>
      </c>
      <c r="P1859" s="2" t="s">
        <v>50</v>
      </c>
      <c r="Q1859" s="2" t="s">
        <v>51</v>
      </c>
      <c r="R1859" s="2" t="s">
        <v>30</v>
      </c>
      <c r="S1859">
        <v>9</v>
      </c>
      <c r="T1859" s="1">
        <v>43638</v>
      </c>
      <c r="U1859" s="1">
        <v>43643</v>
      </c>
      <c r="V1859" s="2"/>
      <c r="W1859" s="1">
        <f>fNotasFiscais[[#This Row],[Data da Coleta]]+fNotasFiscais[[#This Row],[Prazo Contratado]]</f>
        <v>43647</v>
      </c>
      <c r="X1859" s="3">
        <f>IF(fNotasFiscais[[#This Row],[Data da Entrega]]&gt;fNotasFiscais[[#This Row],[Data Contratada]],0,1)</f>
        <v>1</v>
      </c>
      <c r="Y1859" s="3">
        <f>IF(fNotasFiscais[[#This Row],[Ocorrência]]="",1,0)</f>
        <v>1</v>
      </c>
      <c r="Z1859" s="2">
        <f>fNotasFiscais[[#This Row],[On Time]]*fNotasFiscais[[#This Row],[In Full]]</f>
        <v>1</v>
      </c>
      <c r="AA1859">
        <f>IF(fNotasFiscais[[#This Row],[Nota Fiscal]]&lt;&gt;"",1,0)</f>
        <v>1</v>
      </c>
    </row>
    <row r="1860" spans="1:27" x14ac:dyDescent="0.25">
      <c r="A1860" s="1">
        <v>43638</v>
      </c>
      <c r="B1860">
        <v>12269</v>
      </c>
      <c r="C1860" s="2" t="s">
        <v>40</v>
      </c>
      <c r="D1860" s="2" t="s">
        <v>41</v>
      </c>
      <c r="E1860" s="2" t="s">
        <v>33</v>
      </c>
      <c r="F1860">
        <v>4027</v>
      </c>
      <c r="G1860" s="2" t="s">
        <v>93</v>
      </c>
      <c r="H1860" s="2" t="s">
        <v>91</v>
      </c>
      <c r="I1860" s="2" t="s">
        <v>24</v>
      </c>
      <c r="J1860" s="2" t="s">
        <v>28</v>
      </c>
      <c r="K1860" s="2" t="s">
        <v>24</v>
      </c>
      <c r="L1860">
        <v>796.06</v>
      </c>
      <c r="M1860">
        <v>4</v>
      </c>
      <c r="N1860">
        <v>21.04</v>
      </c>
      <c r="O1860">
        <v>6500948</v>
      </c>
      <c r="P1860" s="2" t="s">
        <v>29</v>
      </c>
      <c r="Q1860" s="2" t="s">
        <v>23</v>
      </c>
      <c r="R1860" s="2" t="s">
        <v>30</v>
      </c>
      <c r="S1860">
        <v>11</v>
      </c>
      <c r="T1860" s="1">
        <v>43638</v>
      </c>
      <c r="U1860" s="1">
        <v>43642</v>
      </c>
      <c r="V1860" s="2"/>
      <c r="W1860" s="1">
        <f>fNotasFiscais[[#This Row],[Data da Coleta]]+fNotasFiscais[[#This Row],[Prazo Contratado]]</f>
        <v>43649</v>
      </c>
      <c r="X1860" s="3">
        <f>IF(fNotasFiscais[[#This Row],[Data da Entrega]]&gt;fNotasFiscais[[#This Row],[Data Contratada]],0,1)</f>
        <v>1</v>
      </c>
      <c r="Y1860" s="3">
        <f>IF(fNotasFiscais[[#This Row],[Ocorrência]]="",1,0)</f>
        <v>1</v>
      </c>
      <c r="Z1860" s="2">
        <f>fNotasFiscais[[#This Row],[On Time]]*fNotasFiscais[[#This Row],[In Full]]</f>
        <v>1</v>
      </c>
      <c r="AA1860">
        <f>IF(fNotasFiscais[[#This Row],[Nota Fiscal]]&lt;&gt;"",1,0)</f>
        <v>1</v>
      </c>
    </row>
    <row r="1861" spans="1:27" x14ac:dyDescent="0.25">
      <c r="A1861" s="1">
        <v>43638</v>
      </c>
      <c r="B1861">
        <v>12270</v>
      </c>
      <c r="C1861" s="2" t="s">
        <v>31</v>
      </c>
      <c r="D1861" s="2" t="s">
        <v>32</v>
      </c>
      <c r="E1861" s="2" t="s">
        <v>33</v>
      </c>
      <c r="F1861">
        <v>4028</v>
      </c>
      <c r="G1861" s="2" t="s">
        <v>95</v>
      </c>
      <c r="H1861" s="2" t="s">
        <v>26</v>
      </c>
      <c r="I1861" s="2" t="s">
        <v>27</v>
      </c>
      <c r="J1861" s="2" t="s">
        <v>28</v>
      </c>
      <c r="K1861" s="2" t="s">
        <v>27</v>
      </c>
      <c r="L1861">
        <v>1962.91</v>
      </c>
      <c r="M1861">
        <v>1</v>
      </c>
      <c r="N1861">
        <v>3.718</v>
      </c>
      <c r="O1861">
        <v>6500948</v>
      </c>
      <c r="P1861" s="2" t="s">
        <v>29</v>
      </c>
      <c r="Q1861" s="2" t="s">
        <v>23</v>
      </c>
      <c r="R1861" s="2" t="s">
        <v>30</v>
      </c>
      <c r="S1861">
        <v>12</v>
      </c>
      <c r="T1861" s="1">
        <v>43638</v>
      </c>
      <c r="U1861" s="1">
        <v>43639</v>
      </c>
      <c r="V1861" s="2"/>
      <c r="W1861" s="1">
        <f>fNotasFiscais[[#This Row],[Data da Coleta]]+fNotasFiscais[[#This Row],[Prazo Contratado]]</f>
        <v>43650</v>
      </c>
      <c r="X1861" s="3">
        <f>IF(fNotasFiscais[[#This Row],[Data da Entrega]]&gt;fNotasFiscais[[#This Row],[Data Contratada]],0,1)</f>
        <v>1</v>
      </c>
      <c r="Y1861" s="3">
        <f>IF(fNotasFiscais[[#This Row],[Ocorrência]]="",1,0)</f>
        <v>1</v>
      </c>
      <c r="Z1861" s="2">
        <f>fNotasFiscais[[#This Row],[On Time]]*fNotasFiscais[[#This Row],[In Full]]</f>
        <v>1</v>
      </c>
      <c r="AA1861">
        <f>IF(fNotasFiscais[[#This Row],[Nota Fiscal]]&lt;&gt;"",1,0)</f>
        <v>1</v>
      </c>
    </row>
    <row r="1862" spans="1:27" x14ac:dyDescent="0.25">
      <c r="A1862" s="1">
        <v>43638</v>
      </c>
      <c r="B1862">
        <v>12271</v>
      </c>
      <c r="C1862" s="2" t="s">
        <v>31</v>
      </c>
      <c r="D1862" s="2" t="s">
        <v>32</v>
      </c>
      <c r="E1862" s="2" t="s">
        <v>33</v>
      </c>
      <c r="F1862">
        <v>4032</v>
      </c>
      <c r="G1862" s="2" t="s">
        <v>108</v>
      </c>
      <c r="H1862" s="2" t="s">
        <v>51</v>
      </c>
      <c r="I1862" s="2" t="s">
        <v>73</v>
      </c>
      <c r="J1862" s="2" t="s">
        <v>49</v>
      </c>
      <c r="K1862" s="2" t="s">
        <v>73</v>
      </c>
      <c r="L1862">
        <v>1279.21</v>
      </c>
      <c r="M1862">
        <v>3</v>
      </c>
      <c r="N1862">
        <v>1.595</v>
      </c>
      <c r="O1862">
        <v>6100231</v>
      </c>
      <c r="P1862" s="2" t="s">
        <v>50</v>
      </c>
      <c r="Q1862" s="2" t="s">
        <v>51</v>
      </c>
      <c r="R1862" s="2" t="s">
        <v>30</v>
      </c>
      <c r="S1862">
        <v>10</v>
      </c>
      <c r="T1862" s="1">
        <v>43638</v>
      </c>
      <c r="U1862" s="1">
        <v>43642</v>
      </c>
      <c r="V1862" s="2" t="s">
        <v>57</v>
      </c>
      <c r="W1862" s="1">
        <f>fNotasFiscais[[#This Row],[Data da Coleta]]+fNotasFiscais[[#This Row],[Prazo Contratado]]</f>
        <v>43648</v>
      </c>
      <c r="X1862" s="3">
        <f>IF(fNotasFiscais[[#This Row],[Data da Entrega]]&gt;fNotasFiscais[[#This Row],[Data Contratada]],0,1)</f>
        <v>1</v>
      </c>
      <c r="Y1862" s="3">
        <f>IF(fNotasFiscais[[#This Row],[Ocorrência]]="",1,0)</f>
        <v>0</v>
      </c>
      <c r="Z1862" s="2">
        <f>fNotasFiscais[[#This Row],[On Time]]*fNotasFiscais[[#This Row],[In Full]]</f>
        <v>0</v>
      </c>
      <c r="AA1862">
        <f>IF(fNotasFiscais[[#This Row],[Nota Fiscal]]&lt;&gt;"",1,0)</f>
        <v>1</v>
      </c>
    </row>
    <row r="1863" spans="1:27" x14ac:dyDescent="0.25">
      <c r="A1863" s="1">
        <v>43641</v>
      </c>
      <c r="B1863">
        <v>12272</v>
      </c>
      <c r="C1863" s="2" t="s">
        <v>52</v>
      </c>
      <c r="D1863" s="2" t="s">
        <v>53</v>
      </c>
      <c r="E1863" s="2" t="s">
        <v>33</v>
      </c>
      <c r="F1863">
        <v>4068</v>
      </c>
      <c r="G1863" s="2" t="s">
        <v>63</v>
      </c>
      <c r="H1863" s="2" t="s">
        <v>64</v>
      </c>
      <c r="I1863" s="2" t="s">
        <v>65</v>
      </c>
      <c r="J1863" s="2" t="s">
        <v>49</v>
      </c>
      <c r="K1863" s="2" t="s">
        <v>65</v>
      </c>
      <c r="L1863">
        <v>658</v>
      </c>
      <c r="M1863">
        <v>4</v>
      </c>
      <c r="N1863">
        <v>3.96</v>
      </c>
      <c r="O1863">
        <v>6100231</v>
      </c>
      <c r="P1863" s="2" t="s">
        <v>50</v>
      </c>
      <c r="Q1863" s="2" t="s">
        <v>51</v>
      </c>
      <c r="R1863" s="2" t="s">
        <v>30</v>
      </c>
      <c r="S1863">
        <v>8</v>
      </c>
      <c r="T1863" s="1">
        <v>43641</v>
      </c>
      <c r="U1863" s="1">
        <v>43649</v>
      </c>
      <c r="V1863" s="2"/>
      <c r="W1863" s="1">
        <f>fNotasFiscais[[#This Row],[Data da Coleta]]+fNotasFiscais[[#This Row],[Prazo Contratado]]</f>
        <v>43649</v>
      </c>
      <c r="X1863" s="3">
        <f>IF(fNotasFiscais[[#This Row],[Data da Entrega]]&gt;fNotasFiscais[[#This Row],[Data Contratada]],0,1)</f>
        <v>1</v>
      </c>
      <c r="Y1863" s="3">
        <f>IF(fNotasFiscais[[#This Row],[Ocorrência]]="",1,0)</f>
        <v>1</v>
      </c>
      <c r="Z1863" s="2">
        <f>fNotasFiscais[[#This Row],[On Time]]*fNotasFiscais[[#This Row],[In Full]]</f>
        <v>1</v>
      </c>
      <c r="AA1863">
        <f>IF(fNotasFiscais[[#This Row],[Nota Fiscal]]&lt;&gt;"",1,0)</f>
        <v>1</v>
      </c>
    </row>
    <row r="1864" spans="1:27" x14ac:dyDescent="0.25">
      <c r="A1864" s="1">
        <v>43641</v>
      </c>
      <c r="B1864">
        <v>12273</v>
      </c>
      <c r="C1864" s="2" t="s">
        <v>43</v>
      </c>
      <c r="D1864" s="2" t="s">
        <v>44</v>
      </c>
      <c r="E1864" s="2" t="s">
        <v>45</v>
      </c>
      <c r="F1864">
        <v>4060</v>
      </c>
      <c r="G1864" s="2" t="s">
        <v>134</v>
      </c>
      <c r="H1864" s="2" t="s">
        <v>115</v>
      </c>
      <c r="I1864" s="2" t="s">
        <v>107</v>
      </c>
      <c r="J1864" s="2" t="s">
        <v>49</v>
      </c>
      <c r="K1864" s="2" t="s">
        <v>107</v>
      </c>
      <c r="L1864">
        <v>298.62</v>
      </c>
      <c r="M1864">
        <v>1</v>
      </c>
      <c r="N1864">
        <v>12.461</v>
      </c>
      <c r="O1864">
        <v>6100231</v>
      </c>
      <c r="P1864" s="2" t="s">
        <v>50</v>
      </c>
      <c r="Q1864" s="2" t="s">
        <v>51</v>
      </c>
      <c r="R1864" s="2" t="s">
        <v>30</v>
      </c>
      <c r="S1864">
        <v>12</v>
      </c>
      <c r="T1864" s="1">
        <v>43641</v>
      </c>
      <c r="U1864" s="1">
        <v>43649</v>
      </c>
      <c r="V1864" s="2"/>
      <c r="W1864" s="1">
        <f>fNotasFiscais[[#This Row],[Data da Coleta]]+fNotasFiscais[[#This Row],[Prazo Contratado]]</f>
        <v>43653</v>
      </c>
      <c r="X1864" s="3">
        <f>IF(fNotasFiscais[[#This Row],[Data da Entrega]]&gt;fNotasFiscais[[#This Row],[Data Contratada]],0,1)</f>
        <v>1</v>
      </c>
      <c r="Y1864" s="3">
        <f>IF(fNotasFiscais[[#This Row],[Ocorrência]]="",1,0)</f>
        <v>1</v>
      </c>
      <c r="Z1864" s="2">
        <f>fNotasFiscais[[#This Row],[On Time]]*fNotasFiscais[[#This Row],[In Full]]</f>
        <v>1</v>
      </c>
      <c r="AA1864">
        <f>IF(fNotasFiscais[[#This Row],[Nota Fiscal]]&lt;&gt;"",1,0)</f>
        <v>1</v>
      </c>
    </row>
    <row r="1865" spans="1:27" x14ac:dyDescent="0.25">
      <c r="A1865" s="1">
        <v>43641</v>
      </c>
      <c r="B1865">
        <v>12274</v>
      </c>
      <c r="C1865" s="2" t="s">
        <v>22</v>
      </c>
      <c r="D1865" s="2" t="s">
        <v>23</v>
      </c>
      <c r="E1865" s="2" t="s">
        <v>24</v>
      </c>
      <c r="F1865">
        <v>4044</v>
      </c>
      <c r="G1865" s="2" t="s">
        <v>123</v>
      </c>
      <c r="H1865" s="2" t="s">
        <v>35</v>
      </c>
      <c r="I1865" s="2" t="s">
        <v>36</v>
      </c>
      <c r="J1865" s="2" t="s">
        <v>60</v>
      </c>
      <c r="K1865" s="2" t="s">
        <v>36</v>
      </c>
      <c r="L1865">
        <v>503.41</v>
      </c>
      <c r="M1865">
        <v>1</v>
      </c>
      <c r="N1865">
        <v>11.167</v>
      </c>
      <c r="O1865">
        <v>6600879</v>
      </c>
      <c r="P1865" s="2" t="s">
        <v>61</v>
      </c>
      <c r="Q1865" s="2" t="s">
        <v>35</v>
      </c>
      <c r="R1865" s="2" t="s">
        <v>30</v>
      </c>
      <c r="S1865">
        <v>10</v>
      </c>
      <c r="T1865" s="1">
        <v>43641</v>
      </c>
      <c r="U1865" s="1">
        <v>43650</v>
      </c>
      <c r="V1865" s="2"/>
      <c r="W1865" s="1">
        <f>fNotasFiscais[[#This Row],[Data da Coleta]]+fNotasFiscais[[#This Row],[Prazo Contratado]]</f>
        <v>43651</v>
      </c>
      <c r="X1865" s="3">
        <f>IF(fNotasFiscais[[#This Row],[Data da Entrega]]&gt;fNotasFiscais[[#This Row],[Data Contratada]],0,1)</f>
        <v>1</v>
      </c>
      <c r="Y1865" s="3">
        <f>IF(fNotasFiscais[[#This Row],[Ocorrência]]="",1,0)</f>
        <v>1</v>
      </c>
      <c r="Z1865" s="2">
        <f>fNotasFiscais[[#This Row],[On Time]]*fNotasFiscais[[#This Row],[In Full]]</f>
        <v>1</v>
      </c>
      <c r="AA1865">
        <f>IF(fNotasFiscais[[#This Row],[Nota Fiscal]]&lt;&gt;"",1,0)</f>
        <v>1</v>
      </c>
    </row>
    <row r="1866" spans="1:27" x14ac:dyDescent="0.25">
      <c r="A1866" s="1">
        <v>43641</v>
      </c>
      <c r="B1866">
        <v>12275</v>
      </c>
      <c r="C1866" s="2" t="s">
        <v>40</v>
      </c>
      <c r="D1866" s="2" t="s">
        <v>41</v>
      </c>
      <c r="E1866" s="2" t="s">
        <v>33</v>
      </c>
      <c r="F1866">
        <v>4045</v>
      </c>
      <c r="G1866" s="2" t="s">
        <v>124</v>
      </c>
      <c r="H1866" s="2" t="s">
        <v>35</v>
      </c>
      <c r="I1866" s="2" t="s">
        <v>36</v>
      </c>
      <c r="J1866" s="2" t="s">
        <v>60</v>
      </c>
      <c r="K1866" s="2" t="s">
        <v>36</v>
      </c>
      <c r="L1866">
        <v>5675.34</v>
      </c>
      <c r="M1866">
        <v>9</v>
      </c>
      <c r="N1866">
        <v>36.442999999999998</v>
      </c>
      <c r="O1866">
        <v>6600879</v>
      </c>
      <c r="P1866" s="2" t="s">
        <v>61</v>
      </c>
      <c r="Q1866" s="2" t="s">
        <v>35</v>
      </c>
      <c r="R1866" s="2" t="s">
        <v>30</v>
      </c>
      <c r="S1866">
        <v>8</v>
      </c>
      <c r="T1866" s="1">
        <v>43641</v>
      </c>
      <c r="U1866" s="1">
        <v>43644</v>
      </c>
      <c r="V1866" s="2"/>
      <c r="W1866" s="1">
        <f>fNotasFiscais[[#This Row],[Data da Coleta]]+fNotasFiscais[[#This Row],[Prazo Contratado]]</f>
        <v>43649</v>
      </c>
      <c r="X1866" s="3">
        <f>IF(fNotasFiscais[[#This Row],[Data da Entrega]]&gt;fNotasFiscais[[#This Row],[Data Contratada]],0,1)</f>
        <v>1</v>
      </c>
      <c r="Y1866" s="3">
        <f>IF(fNotasFiscais[[#This Row],[Ocorrência]]="",1,0)</f>
        <v>1</v>
      </c>
      <c r="Z1866" s="2">
        <f>fNotasFiscais[[#This Row],[On Time]]*fNotasFiscais[[#This Row],[In Full]]</f>
        <v>1</v>
      </c>
      <c r="AA1866">
        <f>IF(fNotasFiscais[[#This Row],[Nota Fiscal]]&lt;&gt;"",1,0)</f>
        <v>1</v>
      </c>
    </row>
    <row r="1867" spans="1:27" x14ac:dyDescent="0.25">
      <c r="A1867" s="1">
        <v>43641</v>
      </c>
      <c r="B1867">
        <v>12276</v>
      </c>
      <c r="C1867" s="2" t="s">
        <v>52</v>
      </c>
      <c r="D1867" s="2" t="s">
        <v>53</v>
      </c>
      <c r="E1867" s="2" t="s">
        <v>33</v>
      </c>
      <c r="F1867">
        <v>4044</v>
      </c>
      <c r="G1867" s="2" t="s">
        <v>123</v>
      </c>
      <c r="H1867" s="2" t="s">
        <v>35</v>
      </c>
      <c r="I1867" s="2" t="s">
        <v>36</v>
      </c>
      <c r="J1867" s="2" t="s">
        <v>60</v>
      </c>
      <c r="K1867" s="2" t="s">
        <v>36</v>
      </c>
      <c r="L1867">
        <v>13608.22</v>
      </c>
      <c r="M1867">
        <v>16</v>
      </c>
      <c r="N1867">
        <v>98.32</v>
      </c>
      <c r="O1867">
        <v>6600879</v>
      </c>
      <c r="P1867" s="2" t="s">
        <v>61</v>
      </c>
      <c r="Q1867" s="2" t="s">
        <v>35</v>
      </c>
      <c r="R1867" s="2" t="s">
        <v>30</v>
      </c>
      <c r="S1867">
        <v>1</v>
      </c>
      <c r="T1867" s="1">
        <v>43641</v>
      </c>
      <c r="U1867" s="1">
        <v>43642</v>
      </c>
      <c r="V1867" s="2"/>
      <c r="W1867" s="1">
        <f>fNotasFiscais[[#This Row],[Data da Coleta]]+fNotasFiscais[[#This Row],[Prazo Contratado]]</f>
        <v>43642</v>
      </c>
      <c r="X1867" s="3">
        <f>IF(fNotasFiscais[[#This Row],[Data da Entrega]]&gt;fNotasFiscais[[#This Row],[Data Contratada]],0,1)</f>
        <v>1</v>
      </c>
      <c r="Y1867" s="3">
        <f>IF(fNotasFiscais[[#This Row],[Ocorrência]]="",1,0)</f>
        <v>1</v>
      </c>
      <c r="Z1867" s="2">
        <f>fNotasFiscais[[#This Row],[On Time]]*fNotasFiscais[[#This Row],[In Full]]</f>
        <v>1</v>
      </c>
      <c r="AA1867">
        <f>IF(fNotasFiscais[[#This Row],[Nota Fiscal]]&lt;&gt;"",1,0)</f>
        <v>1</v>
      </c>
    </row>
    <row r="1868" spans="1:27" x14ac:dyDescent="0.25">
      <c r="A1868" s="1">
        <v>43641</v>
      </c>
      <c r="B1868">
        <v>12277</v>
      </c>
      <c r="C1868" s="2" t="s">
        <v>34</v>
      </c>
      <c r="D1868" s="2" t="s">
        <v>35</v>
      </c>
      <c r="E1868" s="2" t="s">
        <v>36</v>
      </c>
      <c r="F1868">
        <v>4045</v>
      </c>
      <c r="G1868" s="2" t="s">
        <v>124</v>
      </c>
      <c r="H1868" s="2" t="s">
        <v>35</v>
      </c>
      <c r="I1868" s="2" t="s">
        <v>36</v>
      </c>
      <c r="J1868" s="2" t="s">
        <v>60</v>
      </c>
      <c r="K1868" s="2" t="s">
        <v>36</v>
      </c>
      <c r="L1868">
        <v>4837.1099999999997</v>
      </c>
      <c r="M1868">
        <v>8</v>
      </c>
      <c r="N1868">
        <v>26.347999999999999</v>
      </c>
      <c r="O1868">
        <v>6600879</v>
      </c>
      <c r="P1868" s="2" t="s">
        <v>61</v>
      </c>
      <c r="Q1868" s="2" t="s">
        <v>35</v>
      </c>
      <c r="R1868" s="2" t="s">
        <v>30</v>
      </c>
      <c r="S1868">
        <v>7</v>
      </c>
      <c r="T1868" s="1">
        <v>43641</v>
      </c>
      <c r="U1868" s="1">
        <v>43650</v>
      </c>
      <c r="V1868" s="2"/>
      <c r="W1868" s="1">
        <f>fNotasFiscais[[#This Row],[Data da Coleta]]+fNotasFiscais[[#This Row],[Prazo Contratado]]</f>
        <v>43648</v>
      </c>
      <c r="X1868" s="3">
        <f>IF(fNotasFiscais[[#This Row],[Data da Entrega]]&gt;fNotasFiscais[[#This Row],[Data Contratada]],0,1)</f>
        <v>0</v>
      </c>
      <c r="Y1868" s="3">
        <f>IF(fNotasFiscais[[#This Row],[Ocorrência]]="",1,0)</f>
        <v>1</v>
      </c>
      <c r="Z1868" s="2">
        <f>fNotasFiscais[[#This Row],[On Time]]*fNotasFiscais[[#This Row],[In Full]]</f>
        <v>0</v>
      </c>
      <c r="AA1868">
        <f>IF(fNotasFiscais[[#This Row],[Nota Fiscal]]&lt;&gt;"",1,0)</f>
        <v>1</v>
      </c>
    </row>
    <row r="1869" spans="1:27" x14ac:dyDescent="0.25">
      <c r="A1869" s="1">
        <v>43641</v>
      </c>
      <c r="B1869">
        <v>12278</v>
      </c>
      <c r="C1869" s="2" t="s">
        <v>34</v>
      </c>
      <c r="D1869" s="2" t="s">
        <v>35</v>
      </c>
      <c r="E1869" s="2" t="s">
        <v>36</v>
      </c>
      <c r="F1869">
        <v>4044</v>
      </c>
      <c r="G1869" s="2" t="s">
        <v>123</v>
      </c>
      <c r="H1869" s="2" t="s">
        <v>35</v>
      </c>
      <c r="I1869" s="2" t="s">
        <v>36</v>
      </c>
      <c r="J1869" s="2" t="s">
        <v>60</v>
      </c>
      <c r="K1869" s="2" t="s">
        <v>36</v>
      </c>
      <c r="L1869">
        <v>8536.61</v>
      </c>
      <c r="M1869">
        <v>19</v>
      </c>
      <c r="N1869">
        <v>25.071000000000002</v>
      </c>
      <c r="O1869">
        <v>6600879</v>
      </c>
      <c r="P1869" s="2" t="s">
        <v>61</v>
      </c>
      <c r="Q1869" s="2" t="s">
        <v>35</v>
      </c>
      <c r="R1869" s="2" t="s">
        <v>30</v>
      </c>
      <c r="S1869">
        <v>2</v>
      </c>
      <c r="T1869" s="1">
        <v>43641</v>
      </c>
      <c r="U1869" s="1">
        <v>43650</v>
      </c>
      <c r="V1869" s="2"/>
      <c r="W1869" s="1">
        <f>fNotasFiscais[[#This Row],[Data da Coleta]]+fNotasFiscais[[#This Row],[Prazo Contratado]]</f>
        <v>43643</v>
      </c>
      <c r="X1869" s="3">
        <f>IF(fNotasFiscais[[#This Row],[Data da Entrega]]&gt;fNotasFiscais[[#This Row],[Data Contratada]],0,1)</f>
        <v>0</v>
      </c>
      <c r="Y1869" s="3">
        <f>IF(fNotasFiscais[[#This Row],[Ocorrência]]="",1,0)</f>
        <v>1</v>
      </c>
      <c r="Z1869" s="2">
        <f>fNotasFiscais[[#This Row],[On Time]]*fNotasFiscais[[#This Row],[In Full]]</f>
        <v>0</v>
      </c>
      <c r="AA1869">
        <f>IF(fNotasFiscais[[#This Row],[Nota Fiscal]]&lt;&gt;"",1,0)</f>
        <v>1</v>
      </c>
    </row>
    <row r="1870" spans="1:27" x14ac:dyDescent="0.25">
      <c r="A1870" s="1">
        <v>43641</v>
      </c>
      <c r="B1870">
        <v>12279</v>
      </c>
      <c r="C1870" s="2" t="s">
        <v>34</v>
      </c>
      <c r="D1870" s="2" t="s">
        <v>35</v>
      </c>
      <c r="E1870" s="2" t="s">
        <v>36</v>
      </c>
      <c r="F1870">
        <v>4045</v>
      </c>
      <c r="G1870" s="2" t="s">
        <v>124</v>
      </c>
      <c r="H1870" s="2" t="s">
        <v>35</v>
      </c>
      <c r="I1870" s="2" t="s">
        <v>36</v>
      </c>
      <c r="J1870" s="2" t="s">
        <v>60</v>
      </c>
      <c r="K1870" s="2" t="s">
        <v>36</v>
      </c>
      <c r="L1870">
        <v>656.27</v>
      </c>
      <c r="M1870">
        <v>2</v>
      </c>
      <c r="N1870">
        <v>5.4649999999999999</v>
      </c>
      <c r="O1870">
        <v>6600879</v>
      </c>
      <c r="P1870" s="2" t="s">
        <v>61</v>
      </c>
      <c r="Q1870" s="2" t="s">
        <v>35</v>
      </c>
      <c r="R1870" s="2" t="s">
        <v>30</v>
      </c>
      <c r="S1870">
        <v>8</v>
      </c>
      <c r="T1870" s="1">
        <v>43641</v>
      </c>
      <c r="U1870" s="1">
        <v>43651</v>
      </c>
      <c r="V1870" s="2"/>
      <c r="W1870" s="1">
        <f>fNotasFiscais[[#This Row],[Data da Coleta]]+fNotasFiscais[[#This Row],[Prazo Contratado]]</f>
        <v>43649</v>
      </c>
      <c r="X1870" s="3">
        <f>IF(fNotasFiscais[[#This Row],[Data da Entrega]]&gt;fNotasFiscais[[#This Row],[Data Contratada]],0,1)</f>
        <v>0</v>
      </c>
      <c r="Y1870" s="3">
        <f>IF(fNotasFiscais[[#This Row],[Ocorrência]]="",1,0)</f>
        <v>1</v>
      </c>
      <c r="Z1870" s="2">
        <f>fNotasFiscais[[#This Row],[On Time]]*fNotasFiscais[[#This Row],[In Full]]</f>
        <v>0</v>
      </c>
      <c r="AA1870">
        <f>IF(fNotasFiscais[[#This Row],[Nota Fiscal]]&lt;&gt;"",1,0)</f>
        <v>1</v>
      </c>
    </row>
    <row r="1871" spans="1:27" x14ac:dyDescent="0.25">
      <c r="A1871" s="1">
        <v>43641</v>
      </c>
      <c r="B1871">
        <v>12280</v>
      </c>
      <c r="C1871" s="2" t="s">
        <v>43</v>
      </c>
      <c r="D1871" s="2" t="s">
        <v>44</v>
      </c>
      <c r="E1871" s="2" t="s">
        <v>45</v>
      </c>
      <c r="F1871">
        <v>4044</v>
      </c>
      <c r="G1871" s="2" t="s">
        <v>123</v>
      </c>
      <c r="H1871" s="2" t="s">
        <v>35</v>
      </c>
      <c r="I1871" s="2" t="s">
        <v>36</v>
      </c>
      <c r="J1871" s="2" t="s">
        <v>60</v>
      </c>
      <c r="K1871" s="2" t="s">
        <v>36</v>
      </c>
      <c r="L1871">
        <v>1142.1199999999999</v>
      </c>
      <c r="M1871">
        <v>1</v>
      </c>
      <c r="N1871">
        <v>1.1200000000000001</v>
      </c>
      <c r="O1871">
        <v>6600879</v>
      </c>
      <c r="P1871" s="2" t="s">
        <v>61</v>
      </c>
      <c r="Q1871" s="2" t="s">
        <v>35</v>
      </c>
      <c r="R1871" s="2" t="s">
        <v>30</v>
      </c>
      <c r="S1871">
        <v>12</v>
      </c>
      <c r="T1871" s="1">
        <v>43641</v>
      </c>
      <c r="U1871" s="1">
        <v>43646</v>
      </c>
      <c r="V1871" s="2"/>
      <c r="W1871" s="1">
        <f>fNotasFiscais[[#This Row],[Data da Coleta]]+fNotasFiscais[[#This Row],[Prazo Contratado]]</f>
        <v>43653</v>
      </c>
      <c r="X1871" s="3">
        <f>IF(fNotasFiscais[[#This Row],[Data da Entrega]]&gt;fNotasFiscais[[#This Row],[Data Contratada]],0,1)</f>
        <v>1</v>
      </c>
      <c r="Y1871" s="3">
        <f>IF(fNotasFiscais[[#This Row],[Ocorrência]]="",1,0)</f>
        <v>1</v>
      </c>
      <c r="Z1871" s="2">
        <f>fNotasFiscais[[#This Row],[On Time]]*fNotasFiscais[[#This Row],[In Full]]</f>
        <v>1</v>
      </c>
      <c r="AA1871">
        <f>IF(fNotasFiscais[[#This Row],[Nota Fiscal]]&lt;&gt;"",1,0)</f>
        <v>1</v>
      </c>
    </row>
    <row r="1872" spans="1:27" x14ac:dyDescent="0.25">
      <c r="A1872" s="1">
        <v>43641</v>
      </c>
      <c r="B1872">
        <v>12281</v>
      </c>
      <c r="C1872" s="2" t="s">
        <v>31</v>
      </c>
      <c r="D1872" s="2" t="s">
        <v>32</v>
      </c>
      <c r="E1872" s="2" t="s">
        <v>33</v>
      </c>
      <c r="F1872">
        <v>4045</v>
      </c>
      <c r="G1872" s="2" t="s">
        <v>124</v>
      </c>
      <c r="H1872" s="2" t="s">
        <v>35</v>
      </c>
      <c r="I1872" s="2" t="s">
        <v>36</v>
      </c>
      <c r="J1872" s="2" t="s">
        <v>60</v>
      </c>
      <c r="K1872" s="2" t="s">
        <v>36</v>
      </c>
      <c r="L1872">
        <v>3301.77</v>
      </c>
      <c r="M1872">
        <v>17</v>
      </c>
      <c r="N1872">
        <v>66.885999999999996</v>
      </c>
      <c r="O1872">
        <v>6600879</v>
      </c>
      <c r="P1872" s="2" t="s">
        <v>61</v>
      </c>
      <c r="Q1872" s="2" t="s">
        <v>35</v>
      </c>
      <c r="R1872" s="2" t="s">
        <v>30</v>
      </c>
      <c r="S1872">
        <v>3</v>
      </c>
      <c r="T1872" s="1">
        <v>43641</v>
      </c>
      <c r="U1872" s="1">
        <v>43646</v>
      </c>
      <c r="V1872" s="2"/>
      <c r="W1872" s="1">
        <f>fNotasFiscais[[#This Row],[Data da Coleta]]+fNotasFiscais[[#This Row],[Prazo Contratado]]</f>
        <v>43644</v>
      </c>
      <c r="X1872" s="3">
        <f>IF(fNotasFiscais[[#This Row],[Data da Entrega]]&gt;fNotasFiscais[[#This Row],[Data Contratada]],0,1)</f>
        <v>0</v>
      </c>
      <c r="Y1872" s="3">
        <f>IF(fNotasFiscais[[#This Row],[Ocorrência]]="",1,0)</f>
        <v>1</v>
      </c>
      <c r="Z1872" s="2">
        <f>fNotasFiscais[[#This Row],[On Time]]*fNotasFiscais[[#This Row],[In Full]]</f>
        <v>0</v>
      </c>
      <c r="AA1872">
        <f>IF(fNotasFiscais[[#This Row],[Nota Fiscal]]&lt;&gt;"",1,0)</f>
        <v>1</v>
      </c>
    </row>
    <row r="1873" spans="1:27" x14ac:dyDescent="0.25">
      <c r="A1873" s="1">
        <v>43641</v>
      </c>
      <c r="B1873">
        <v>12282</v>
      </c>
      <c r="C1873" s="2" t="s">
        <v>54</v>
      </c>
      <c r="D1873" s="2" t="s">
        <v>55</v>
      </c>
      <c r="E1873" s="2" t="s">
        <v>56</v>
      </c>
      <c r="F1873">
        <v>4044</v>
      </c>
      <c r="G1873" s="2" t="s">
        <v>123</v>
      </c>
      <c r="H1873" s="2" t="s">
        <v>35</v>
      </c>
      <c r="I1873" s="2" t="s">
        <v>36</v>
      </c>
      <c r="J1873" s="2" t="s">
        <v>60</v>
      </c>
      <c r="K1873" s="2" t="s">
        <v>36</v>
      </c>
      <c r="L1873">
        <v>5286.43</v>
      </c>
      <c r="M1873">
        <v>1</v>
      </c>
      <c r="N1873">
        <v>1.1200000000000001</v>
      </c>
      <c r="O1873">
        <v>6600879</v>
      </c>
      <c r="P1873" s="2" t="s">
        <v>61</v>
      </c>
      <c r="Q1873" s="2" t="s">
        <v>35</v>
      </c>
      <c r="R1873" s="2" t="s">
        <v>30</v>
      </c>
      <c r="S1873">
        <v>2</v>
      </c>
      <c r="T1873" s="1">
        <v>43641</v>
      </c>
      <c r="U1873" s="1">
        <v>43647</v>
      </c>
      <c r="V1873" s="2"/>
      <c r="W1873" s="1">
        <f>fNotasFiscais[[#This Row],[Data da Coleta]]+fNotasFiscais[[#This Row],[Prazo Contratado]]</f>
        <v>43643</v>
      </c>
      <c r="X1873" s="3">
        <f>IF(fNotasFiscais[[#This Row],[Data da Entrega]]&gt;fNotasFiscais[[#This Row],[Data Contratada]],0,1)</f>
        <v>0</v>
      </c>
      <c r="Y1873" s="3">
        <f>IF(fNotasFiscais[[#This Row],[Ocorrência]]="",1,0)</f>
        <v>1</v>
      </c>
      <c r="Z1873" s="2">
        <f>fNotasFiscais[[#This Row],[On Time]]*fNotasFiscais[[#This Row],[In Full]]</f>
        <v>0</v>
      </c>
      <c r="AA1873">
        <f>IF(fNotasFiscais[[#This Row],[Nota Fiscal]]&lt;&gt;"",1,0)</f>
        <v>1</v>
      </c>
    </row>
    <row r="1874" spans="1:27" x14ac:dyDescent="0.25">
      <c r="A1874" s="1">
        <v>43641</v>
      </c>
      <c r="B1874">
        <v>12283</v>
      </c>
      <c r="C1874" s="2" t="s">
        <v>40</v>
      </c>
      <c r="D1874" s="2" t="s">
        <v>41</v>
      </c>
      <c r="E1874" s="2" t="s">
        <v>33</v>
      </c>
      <c r="F1874">
        <v>4045</v>
      </c>
      <c r="G1874" s="2" t="s">
        <v>124</v>
      </c>
      <c r="H1874" s="2" t="s">
        <v>35</v>
      </c>
      <c r="I1874" s="2" t="s">
        <v>36</v>
      </c>
      <c r="J1874" s="2" t="s">
        <v>60</v>
      </c>
      <c r="K1874" s="2" t="s">
        <v>36</v>
      </c>
      <c r="L1874">
        <v>3087</v>
      </c>
      <c r="M1874">
        <v>6</v>
      </c>
      <c r="N1874">
        <v>17.870999999999999</v>
      </c>
      <c r="O1874">
        <v>6600879</v>
      </c>
      <c r="P1874" s="2" t="s">
        <v>61</v>
      </c>
      <c r="Q1874" s="2" t="s">
        <v>35</v>
      </c>
      <c r="R1874" s="2" t="s">
        <v>30</v>
      </c>
      <c r="S1874">
        <v>2</v>
      </c>
      <c r="T1874" s="1">
        <v>43641</v>
      </c>
      <c r="U1874" s="1">
        <v>43646</v>
      </c>
      <c r="V1874" s="2"/>
      <c r="W1874" s="1">
        <f>fNotasFiscais[[#This Row],[Data da Coleta]]+fNotasFiscais[[#This Row],[Prazo Contratado]]</f>
        <v>43643</v>
      </c>
      <c r="X1874" s="3">
        <f>IF(fNotasFiscais[[#This Row],[Data da Entrega]]&gt;fNotasFiscais[[#This Row],[Data Contratada]],0,1)</f>
        <v>0</v>
      </c>
      <c r="Y1874" s="3">
        <f>IF(fNotasFiscais[[#This Row],[Ocorrência]]="",1,0)</f>
        <v>1</v>
      </c>
      <c r="Z1874" s="2">
        <f>fNotasFiscais[[#This Row],[On Time]]*fNotasFiscais[[#This Row],[In Full]]</f>
        <v>0</v>
      </c>
      <c r="AA1874">
        <f>IF(fNotasFiscais[[#This Row],[Nota Fiscal]]&lt;&gt;"",1,0)</f>
        <v>1</v>
      </c>
    </row>
    <row r="1875" spans="1:27" x14ac:dyDescent="0.25">
      <c r="A1875" s="1">
        <v>43642</v>
      </c>
      <c r="B1875">
        <v>12284</v>
      </c>
      <c r="C1875" s="2" t="s">
        <v>22</v>
      </c>
      <c r="D1875" s="2" t="s">
        <v>23</v>
      </c>
      <c r="E1875" s="2" t="s">
        <v>24</v>
      </c>
      <c r="F1875">
        <v>4084</v>
      </c>
      <c r="G1875" s="2" t="s">
        <v>155</v>
      </c>
      <c r="H1875" s="2" t="s">
        <v>149</v>
      </c>
      <c r="I1875" s="2" t="s">
        <v>33</v>
      </c>
      <c r="J1875" s="2" t="s">
        <v>60</v>
      </c>
      <c r="K1875" s="2" t="s">
        <v>33</v>
      </c>
      <c r="L1875">
        <v>3096.62</v>
      </c>
      <c r="M1875">
        <v>4</v>
      </c>
      <c r="N1875">
        <v>22.88</v>
      </c>
      <c r="O1875">
        <v>6400835</v>
      </c>
      <c r="P1875" s="2" t="s">
        <v>130</v>
      </c>
      <c r="Q1875" s="2" t="s">
        <v>131</v>
      </c>
      <c r="R1875" s="2" t="s">
        <v>30</v>
      </c>
      <c r="S1875">
        <v>10</v>
      </c>
      <c r="T1875" s="1">
        <v>43642</v>
      </c>
      <c r="U1875" s="1">
        <v>43645</v>
      </c>
      <c r="V1875" s="2"/>
      <c r="W1875" s="1">
        <f>fNotasFiscais[[#This Row],[Data da Coleta]]+fNotasFiscais[[#This Row],[Prazo Contratado]]</f>
        <v>43652</v>
      </c>
      <c r="X1875" s="3">
        <f>IF(fNotasFiscais[[#This Row],[Data da Entrega]]&gt;fNotasFiscais[[#This Row],[Data Contratada]],0,1)</f>
        <v>1</v>
      </c>
      <c r="Y1875" s="3">
        <f>IF(fNotasFiscais[[#This Row],[Ocorrência]]="",1,0)</f>
        <v>1</v>
      </c>
      <c r="Z1875" s="2">
        <f>fNotasFiscais[[#This Row],[On Time]]*fNotasFiscais[[#This Row],[In Full]]</f>
        <v>1</v>
      </c>
      <c r="AA1875">
        <f>IF(fNotasFiscais[[#This Row],[Nota Fiscal]]&lt;&gt;"",1,0)</f>
        <v>1</v>
      </c>
    </row>
    <row r="1876" spans="1:27" x14ac:dyDescent="0.25">
      <c r="A1876" s="1">
        <v>43642</v>
      </c>
      <c r="B1876">
        <v>12285</v>
      </c>
      <c r="C1876" s="2" t="s">
        <v>52</v>
      </c>
      <c r="D1876" s="2" t="s">
        <v>53</v>
      </c>
      <c r="E1876" s="2" t="s">
        <v>33</v>
      </c>
      <c r="F1876">
        <v>4148</v>
      </c>
      <c r="G1876" s="2" t="s">
        <v>231</v>
      </c>
      <c r="H1876" s="2" t="s">
        <v>32</v>
      </c>
      <c r="I1876" s="2" t="s">
        <v>33</v>
      </c>
      <c r="J1876" s="2" t="s">
        <v>60</v>
      </c>
      <c r="K1876" s="2" t="s">
        <v>33</v>
      </c>
      <c r="L1876">
        <v>1288.79</v>
      </c>
      <c r="M1876">
        <v>2</v>
      </c>
      <c r="N1876">
        <v>9.4600000000000009</v>
      </c>
      <c r="O1876">
        <v>6400835</v>
      </c>
      <c r="P1876" s="2" t="s">
        <v>130</v>
      </c>
      <c r="Q1876" s="2" t="s">
        <v>131</v>
      </c>
      <c r="R1876" s="2" t="s">
        <v>30</v>
      </c>
      <c r="S1876">
        <v>4</v>
      </c>
      <c r="T1876" s="1">
        <v>43642</v>
      </c>
      <c r="U1876" s="1">
        <v>43649</v>
      </c>
      <c r="V1876" s="2"/>
      <c r="W1876" s="1">
        <f>fNotasFiscais[[#This Row],[Data da Coleta]]+fNotasFiscais[[#This Row],[Prazo Contratado]]</f>
        <v>43646</v>
      </c>
      <c r="X1876" s="3">
        <f>IF(fNotasFiscais[[#This Row],[Data da Entrega]]&gt;fNotasFiscais[[#This Row],[Data Contratada]],0,1)</f>
        <v>0</v>
      </c>
      <c r="Y1876" s="3">
        <f>IF(fNotasFiscais[[#This Row],[Ocorrência]]="",1,0)</f>
        <v>1</v>
      </c>
      <c r="Z1876" s="2">
        <f>fNotasFiscais[[#This Row],[On Time]]*fNotasFiscais[[#This Row],[In Full]]</f>
        <v>0</v>
      </c>
      <c r="AA1876">
        <f>IF(fNotasFiscais[[#This Row],[Nota Fiscal]]&lt;&gt;"",1,0)</f>
        <v>1</v>
      </c>
    </row>
    <row r="1877" spans="1:27" x14ac:dyDescent="0.25">
      <c r="A1877" s="1">
        <v>43642</v>
      </c>
      <c r="B1877">
        <v>12286</v>
      </c>
      <c r="C1877" s="2" t="s">
        <v>31</v>
      </c>
      <c r="D1877" s="2" t="s">
        <v>32</v>
      </c>
      <c r="E1877" s="2" t="s">
        <v>33</v>
      </c>
      <c r="F1877">
        <v>4145</v>
      </c>
      <c r="G1877" s="2" t="s">
        <v>228</v>
      </c>
      <c r="H1877" s="2" t="s">
        <v>165</v>
      </c>
      <c r="I1877" s="2" t="s">
        <v>24</v>
      </c>
      <c r="J1877" s="2" t="s">
        <v>28</v>
      </c>
      <c r="K1877" s="2" t="s">
        <v>24</v>
      </c>
      <c r="L1877">
        <v>650.83000000000004</v>
      </c>
      <c r="M1877">
        <v>1</v>
      </c>
      <c r="N1877">
        <v>0.63600000000000001</v>
      </c>
      <c r="O1877">
        <v>6500948</v>
      </c>
      <c r="P1877" s="2" t="s">
        <v>29</v>
      </c>
      <c r="Q1877" s="2" t="s">
        <v>23</v>
      </c>
      <c r="R1877" s="2" t="s">
        <v>30</v>
      </c>
      <c r="S1877">
        <v>10</v>
      </c>
      <c r="T1877" s="1">
        <v>43642</v>
      </c>
      <c r="U1877" s="1">
        <v>43647</v>
      </c>
      <c r="V1877" s="2"/>
      <c r="W1877" s="1">
        <f>fNotasFiscais[[#This Row],[Data da Coleta]]+fNotasFiscais[[#This Row],[Prazo Contratado]]</f>
        <v>43652</v>
      </c>
      <c r="X1877" s="3">
        <f>IF(fNotasFiscais[[#This Row],[Data da Entrega]]&gt;fNotasFiscais[[#This Row],[Data Contratada]],0,1)</f>
        <v>1</v>
      </c>
      <c r="Y1877" s="3">
        <f>IF(fNotasFiscais[[#This Row],[Ocorrência]]="",1,0)</f>
        <v>1</v>
      </c>
      <c r="Z1877" s="2">
        <f>fNotasFiscais[[#This Row],[On Time]]*fNotasFiscais[[#This Row],[In Full]]</f>
        <v>1</v>
      </c>
      <c r="AA1877">
        <f>IF(fNotasFiscais[[#This Row],[Nota Fiscal]]&lt;&gt;"",1,0)</f>
        <v>1</v>
      </c>
    </row>
    <row r="1878" spans="1:27" x14ac:dyDescent="0.25">
      <c r="A1878" s="1">
        <v>43642</v>
      </c>
      <c r="B1878">
        <v>12287</v>
      </c>
      <c r="C1878" s="2" t="s">
        <v>52</v>
      </c>
      <c r="D1878" s="2" t="s">
        <v>53</v>
      </c>
      <c r="E1878" s="2" t="s">
        <v>33</v>
      </c>
      <c r="F1878">
        <v>4154</v>
      </c>
      <c r="G1878" s="2" t="s">
        <v>237</v>
      </c>
      <c r="H1878" s="2" t="s">
        <v>167</v>
      </c>
      <c r="I1878" s="2" t="s">
        <v>168</v>
      </c>
      <c r="J1878" s="2" t="s">
        <v>169</v>
      </c>
      <c r="K1878" s="2" t="s">
        <v>168</v>
      </c>
      <c r="L1878">
        <v>2402.96</v>
      </c>
      <c r="M1878">
        <v>4</v>
      </c>
      <c r="N1878">
        <v>12.837999999999999</v>
      </c>
      <c r="O1878">
        <v>6900304</v>
      </c>
      <c r="P1878" s="2" t="s">
        <v>170</v>
      </c>
      <c r="Q1878" s="2" t="s">
        <v>171</v>
      </c>
      <c r="R1878" s="2" t="s">
        <v>30</v>
      </c>
      <c r="S1878">
        <v>12</v>
      </c>
      <c r="T1878" s="1">
        <v>43642</v>
      </c>
      <c r="U1878" s="1">
        <v>43647</v>
      </c>
      <c r="V1878" s="2"/>
      <c r="W1878" s="1">
        <f>fNotasFiscais[[#This Row],[Data da Coleta]]+fNotasFiscais[[#This Row],[Prazo Contratado]]</f>
        <v>43654</v>
      </c>
      <c r="X1878" s="3">
        <f>IF(fNotasFiscais[[#This Row],[Data da Entrega]]&gt;fNotasFiscais[[#This Row],[Data Contratada]],0,1)</f>
        <v>1</v>
      </c>
      <c r="Y1878" s="3">
        <f>IF(fNotasFiscais[[#This Row],[Ocorrência]]="",1,0)</f>
        <v>1</v>
      </c>
      <c r="Z1878" s="2">
        <f>fNotasFiscais[[#This Row],[On Time]]*fNotasFiscais[[#This Row],[In Full]]</f>
        <v>1</v>
      </c>
      <c r="AA1878">
        <f>IF(fNotasFiscais[[#This Row],[Nota Fiscal]]&lt;&gt;"",1,0)</f>
        <v>1</v>
      </c>
    </row>
    <row r="1879" spans="1:27" x14ac:dyDescent="0.25">
      <c r="A1879" s="1">
        <v>43643</v>
      </c>
      <c r="B1879">
        <v>12288</v>
      </c>
      <c r="C1879" s="2" t="s">
        <v>34</v>
      </c>
      <c r="D1879" s="2" t="s">
        <v>35</v>
      </c>
      <c r="E1879" s="2" t="s">
        <v>36</v>
      </c>
      <c r="F1879">
        <v>4056</v>
      </c>
      <c r="G1879" s="2" t="s">
        <v>119</v>
      </c>
      <c r="H1879" s="2" t="s">
        <v>51</v>
      </c>
      <c r="I1879" s="2" t="s">
        <v>73</v>
      </c>
      <c r="J1879" s="2" t="s">
        <v>49</v>
      </c>
      <c r="K1879" s="2" t="s">
        <v>73</v>
      </c>
      <c r="L1879">
        <v>4335.01</v>
      </c>
      <c r="M1879">
        <v>4</v>
      </c>
      <c r="N1879">
        <v>36.447000000000003</v>
      </c>
      <c r="O1879">
        <v>6100231</v>
      </c>
      <c r="P1879" s="2" t="s">
        <v>50</v>
      </c>
      <c r="Q1879" s="2" t="s">
        <v>51</v>
      </c>
      <c r="R1879" s="2" t="s">
        <v>30</v>
      </c>
      <c r="S1879">
        <v>8</v>
      </c>
      <c r="T1879" s="1">
        <v>43643</v>
      </c>
      <c r="U1879" s="1">
        <v>43645</v>
      </c>
      <c r="V1879" s="2"/>
      <c r="W1879" s="1">
        <f>fNotasFiscais[[#This Row],[Data da Coleta]]+fNotasFiscais[[#This Row],[Prazo Contratado]]</f>
        <v>43651</v>
      </c>
      <c r="X1879" s="3">
        <f>IF(fNotasFiscais[[#This Row],[Data da Entrega]]&gt;fNotasFiscais[[#This Row],[Data Contratada]],0,1)</f>
        <v>1</v>
      </c>
      <c r="Y1879" s="3">
        <f>IF(fNotasFiscais[[#This Row],[Ocorrência]]="",1,0)</f>
        <v>1</v>
      </c>
      <c r="Z1879" s="2">
        <f>fNotasFiscais[[#This Row],[On Time]]*fNotasFiscais[[#This Row],[In Full]]</f>
        <v>1</v>
      </c>
      <c r="AA1879">
        <f>IF(fNotasFiscais[[#This Row],[Nota Fiscal]]&lt;&gt;"",1,0)</f>
        <v>1</v>
      </c>
    </row>
    <row r="1880" spans="1:27" x14ac:dyDescent="0.25">
      <c r="A1880" s="1">
        <v>43643</v>
      </c>
      <c r="B1880">
        <v>12289</v>
      </c>
      <c r="C1880" s="2" t="s">
        <v>43</v>
      </c>
      <c r="D1880" s="2" t="s">
        <v>44</v>
      </c>
      <c r="E1880" s="2" t="s">
        <v>45</v>
      </c>
      <c r="F1880">
        <v>4056</v>
      </c>
      <c r="G1880" s="2" t="s">
        <v>119</v>
      </c>
      <c r="H1880" s="2" t="s">
        <v>51</v>
      </c>
      <c r="I1880" s="2" t="s">
        <v>73</v>
      </c>
      <c r="J1880" s="2" t="s">
        <v>49</v>
      </c>
      <c r="K1880" s="2" t="s">
        <v>73</v>
      </c>
      <c r="L1880">
        <v>1056.99</v>
      </c>
      <c r="M1880">
        <v>1</v>
      </c>
      <c r="N1880">
        <v>1.544</v>
      </c>
      <c r="O1880">
        <v>6100231</v>
      </c>
      <c r="P1880" s="2" t="s">
        <v>50</v>
      </c>
      <c r="Q1880" s="2" t="s">
        <v>51</v>
      </c>
      <c r="R1880" s="2" t="s">
        <v>30</v>
      </c>
      <c r="S1880">
        <v>11</v>
      </c>
      <c r="T1880" s="1">
        <v>43643</v>
      </c>
      <c r="U1880" s="1">
        <v>43651</v>
      </c>
      <c r="V1880" s="2"/>
      <c r="W1880" s="1">
        <f>fNotasFiscais[[#This Row],[Data da Coleta]]+fNotasFiscais[[#This Row],[Prazo Contratado]]</f>
        <v>43654</v>
      </c>
      <c r="X1880" s="3">
        <f>IF(fNotasFiscais[[#This Row],[Data da Entrega]]&gt;fNotasFiscais[[#This Row],[Data Contratada]],0,1)</f>
        <v>1</v>
      </c>
      <c r="Y1880" s="3">
        <f>IF(fNotasFiscais[[#This Row],[Ocorrência]]="",1,0)</f>
        <v>1</v>
      </c>
      <c r="Z1880" s="2">
        <f>fNotasFiscais[[#This Row],[On Time]]*fNotasFiscais[[#This Row],[In Full]]</f>
        <v>1</v>
      </c>
      <c r="AA1880">
        <f>IF(fNotasFiscais[[#This Row],[Nota Fiscal]]&lt;&gt;"",1,0)</f>
        <v>1</v>
      </c>
    </row>
    <row r="1881" spans="1:27" x14ac:dyDescent="0.25">
      <c r="A1881" s="1">
        <v>43643</v>
      </c>
      <c r="B1881">
        <v>12290</v>
      </c>
      <c r="C1881" s="2" t="s">
        <v>43</v>
      </c>
      <c r="D1881" s="2" t="s">
        <v>44</v>
      </c>
      <c r="E1881" s="2" t="s">
        <v>45</v>
      </c>
      <c r="F1881">
        <v>4022</v>
      </c>
      <c r="G1881" s="2" t="s">
        <v>86</v>
      </c>
      <c r="H1881" s="2" t="s">
        <v>87</v>
      </c>
      <c r="I1881" s="2" t="s">
        <v>27</v>
      </c>
      <c r="J1881" s="2" t="s">
        <v>28</v>
      </c>
      <c r="K1881" s="2" t="s">
        <v>27</v>
      </c>
      <c r="L1881">
        <v>543.71</v>
      </c>
      <c r="M1881">
        <v>2</v>
      </c>
      <c r="N1881">
        <v>2.2000000000000002</v>
      </c>
      <c r="O1881">
        <v>6500948</v>
      </c>
      <c r="P1881" s="2" t="s">
        <v>29</v>
      </c>
      <c r="Q1881" s="2" t="s">
        <v>23</v>
      </c>
      <c r="R1881" s="2" t="s">
        <v>30</v>
      </c>
      <c r="S1881">
        <v>5</v>
      </c>
      <c r="T1881" s="1">
        <v>43643</v>
      </c>
      <c r="U1881" s="1">
        <v>43653</v>
      </c>
      <c r="V1881" s="2"/>
      <c r="W1881" s="1">
        <f>fNotasFiscais[[#This Row],[Data da Coleta]]+fNotasFiscais[[#This Row],[Prazo Contratado]]</f>
        <v>43648</v>
      </c>
      <c r="X1881" s="3">
        <f>IF(fNotasFiscais[[#This Row],[Data da Entrega]]&gt;fNotasFiscais[[#This Row],[Data Contratada]],0,1)</f>
        <v>0</v>
      </c>
      <c r="Y1881" s="3">
        <f>IF(fNotasFiscais[[#This Row],[Ocorrência]]="",1,0)</f>
        <v>1</v>
      </c>
      <c r="Z1881" s="2">
        <f>fNotasFiscais[[#This Row],[On Time]]*fNotasFiscais[[#This Row],[In Full]]</f>
        <v>0</v>
      </c>
      <c r="AA1881">
        <f>IF(fNotasFiscais[[#This Row],[Nota Fiscal]]&lt;&gt;"",1,0)</f>
        <v>1</v>
      </c>
    </row>
    <row r="1882" spans="1:27" x14ac:dyDescent="0.25">
      <c r="A1882" s="1">
        <v>43643</v>
      </c>
      <c r="B1882">
        <v>12291</v>
      </c>
      <c r="C1882" s="2" t="s">
        <v>34</v>
      </c>
      <c r="D1882" s="2" t="s">
        <v>35</v>
      </c>
      <c r="E1882" s="2" t="s">
        <v>36</v>
      </c>
      <c r="F1882">
        <v>4022</v>
      </c>
      <c r="G1882" s="2" t="s">
        <v>86</v>
      </c>
      <c r="H1882" s="2" t="s">
        <v>87</v>
      </c>
      <c r="I1882" s="2" t="s">
        <v>27</v>
      </c>
      <c r="J1882" s="2" t="s">
        <v>28</v>
      </c>
      <c r="K1882" s="2" t="s">
        <v>27</v>
      </c>
      <c r="L1882">
        <v>2896.52</v>
      </c>
      <c r="M1882">
        <v>4</v>
      </c>
      <c r="N1882">
        <v>19.221</v>
      </c>
      <c r="O1882">
        <v>6500948</v>
      </c>
      <c r="P1882" s="2" t="s">
        <v>29</v>
      </c>
      <c r="Q1882" s="2" t="s">
        <v>23</v>
      </c>
      <c r="R1882" s="2" t="s">
        <v>30</v>
      </c>
      <c r="S1882">
        <v>7</v>
      </c>
      <c r="T1882" s="1">
        <v>43643</v>
      </c>
      <c r="U1882" s="1">
        <v>43646</v>
      </c>
      <c r="V1882" s="2"/>
      <c r="W1882" s="1">
        <f>fNotasFiscais[[#This Row],[Data da Coleta]]+fNotasFiscais[[#This Row],[Prazo Contratado]]</f>
        <v>43650</v>
      </c>
      <c r="X1882" s="3">
        <f>IF(fNotasFiscais[[#This Row],[Data da Entrega]]&gt;fNotasFiscais[[#This Row],[Data Contratada]],0,1)</f>
        <v>1</v>
      </c>
      <c r="Y1882" s="3">
        <f>IF(fNotasFiscais[[#This Row],[Ocorrência]]="",1,0)</f>
        <v>1</v>
      </c>
      <c r="Z1882" s="2">
        <f>fNotasFiscais[[#This Row],[On Time]]*fNotasFiscais[[#This Row],[In Full]]</f>
        <v>1</v>
      </c>
      <c r="AA1882">
        <f>IF(fNotasFiscais[[#This Row],[Nota Fiscal]]&lt;&gt;"",1,0)</f>
        <v>1</v>
      </c>
    </row>
    <row r="1883" spans="1:27" x14ac:dyDescent="0.25">
      <c r="A1883" s="1">
        <v>43643</v>
      </c>
      <c r="B1883">
        <v>12292</v>
      </c>
      <c r="C1883" s="2" t="s">
        <v>31</v>
      </c>
      <c r="D1883" s="2" t="s">
        <v>32</v>
      </c>
      <c r="E1883" s="2" t="s">
        <v>33</v>
      </c>
      <c r="F1883">
        <v>4056</v>
      </c>
      <c r="G1883" s="2" t="s">
        <v>119</v>
      </c>
      <c r="H1883" s="2" t="s">
        <v>51</v>
      </c>
      <c r="I1883" s="2" t="s">
        <v>73</v>
      </c>
      <c r="J1883" s="2" t="s">
        <v>49</v>
      </c>
      <c r="K1883" s="2" t="s">
        <v>73</v>
      </c>
      <c r="L1883">
        <v>3979.99</v>
      </c>
      <c r="M1883">
        <v>1</v>
      </c>
      <c r="N1883">
        <v>11.66</v>
      </c>
      <c r="O1883">
        <v>6100231</v>
      </c>
      <c r="P1883" s="2" t="s">
        <v>50</v>
      </c>
      <c r="Q1883" s="2" t="s">
        <v>51</v>
      </c>
      <c r="R1883" s="2" t="s">
        <v>30</v>
      </c>
      <c r="S1883">
        <v>4</v>
      </c>
      <c r="T1883" s="1">
        <v>43643</v>
      </c>
      <c r="U1883" s="1">
        <v>43644</v>
      </c>
      <c r="V1883" s="2"/>
      <c r="W1883" s="1">
        <f>fNotasFiscais[[#This Row],[Data da Coleta]]+fNotasFiscais[[#This Row],[Prazo Contratado]]</f>
        <v>43647</v>
      </c>
      <c r="X1883" s="3">
        <f>IF(fNotasFiscais[[#This Row],[Data da Entrega]]&gt;fNotasFiscais[[#This Row],[Data Contratada]],0,1)</f>
        <v>1</v>
      </c>
      <c r="Y1883" s="3">
        <f>IF(fNotasFiscais[[#This Row],[Ocorrência]]="",1,0)</f>
        <v>1</v>
      </c>
      <c r="Z1883" s="2">
        <f>fNotasFiscais[[#This Row],[On Time]]*fNotasFiscais[[#This Row],[In Full]]</f>
        <v>1</v>
      </c>
      <c r="AA1883">
        <f>IF(fNotasFiscais[[#This Row],[Nota Fiscal]]&lt;&gt;"",1,0)</f>
        <v>1</v>
      </c>
    </row>
    <row r="1884" spans="1:27" x14ac:dyDescent="0.25">
      <c r="A1884" s="1">
        <v>43644</v>
      </c>
      <c r="B1884">
        <v>12293</v>
      </c>
      <c r="C1884" s="2" t="s">
        <v>22</v>
      </c>
      <c r="D1884" s="2" t="s">
        <v>23</v>
      </c>
      <c r="E1884" s="2" t="s">
        <v>24</v>
      </c>
      <c r="F1884">
        <v>4190</v>
      </c>
      <c r="G1884" s="2" t="s">
        <v>273</v>
      </c>
      <c r="H1884" s="2" t="s">
        <v>35</v>
      </c>
      <c r="I1884" s="2" t="s">
        <v>36</v>
      </c>
      <c r="J1884" s="2" t="s">
        <v>60</v>
      </c>
      <c r="K1884" s="2" t="s">
        <v>36</v>
      </c>
      <c r="L1884">
        <v>5963.16</v>
      </c>
      <c r="M1884">
        <v>14</v>
      </c>
      <c r="N1884">
        <v>20.364999999999998</v>
      </c>
      <c r="O1884">
        <v>6600879</v>
      </c>
      <c r="P1884" s="2" t="s">
        <v>61</v>
      </c>
      <c r="Q1884" s="2" t="s">
        <v>35</v>
      </c>
      <c r="R1884" s="2" t="s">
        <v>30</v>
      </c>
      <c r="S1884">
        <v>12</v>
      </c>
      <c r="T1884" s="1">
        <v>43644</v>
      </c>
      <c r="U1884" s="1">
        <v>43650</v>
      </c>
      <c r="V1884" s="2"/>
      <c r="W1884" s="1">
        <f>fNotasFiscais[[#This Row],[Data da Coleta]]+fNotasFiscais[[#This Row],[Prazo Contratado]]</f>
        <v>43656</v>
      </c>
      <c r="X1884" s="3">
        <f>IF(fNotasFiscais[[#This Row],[Data da Entrega]]&gt;fNotasFiscais[[#This Row],[Data Contratada]],0,1)</f>
        <v>1</v>
      </c>
      <c r="Y1884" s="3">
        <f>IF(fNotasFiscais[[#This Row],[Ocorrência]]="",1,0)</f>
        <v>1</v>
      </c>
      <c r="Z1884" s="2">
        <f>fNotasFiscais[[#This Row],[On Time]]*fNotasFiscais[[#This Row],[In Full]]</f>
        <v>1</v>
      </c>
      <c r="AA1884">
        <f>IF(fNotasFiscais[[#This Row],[Nota Fiscal]]&lt;&gt;"",1,0)</f>
        <v>1</v>
      </c>
    </row>
    <row r="1885" spans="1:27" x14ac:dyDescent="0.25">
      <c r="A1885" s="1">
        <v>43644</v>
      </c>
      <c r="B1885">
        <v>12294</v>
      </c>
      <c r="C1885" s="2" t="s">
        <v>22</v>
      </c>
      <c r="D1885" s="2" t="s">
        <v>23</v>
      </c>
      <c r="E1885" s="2" t="s">
        <v>24</v>
      </c>
      <c r="F1885">
        <v>4032</v>
      </c>
      <c r="G1885" s="2" t="s">
        <v>108</v>
      </c>
      <c r="H1885" s="2" t="s">
        <v>51</v>
      </c>
      <c r="I1885" s="2" t="s">
        <v>73</v>
      </c>
      <c r="J1885" s="2" t="s">
        <v>49</v>
      </c>
      <c r="K1885" s="2" t="s">
        <v>73</v>
      </c>
      <c r="L1885">
        <v>869.51</v>
      </c>
      <c r="M1885">
        <v>2</v>
      </c>
      <c r="N1885">
        <v>14.634</v>
      </c>
      <c r="O1885">
        <v>6100231</v>
      </c>
      <c r="P1885" s="2" t="s">
        <v>50</v>
      </c>
      <c r="Q1885" s="2" t="s">
        <v>51</v>
      </c>
      <c r="R1885" s="2" t="s">
        <v>30</v>
      </c>
      <c r="S1885">
        <v>4</v>
      </c>
      <c r="T1885" s="1">
        <v>43644</v>
      </c>
      <c r="U1885" s="1">
        <v>43647</v>
      </c>
      <c r="V1885" s="2"/>
      <c r="W1885" s="1">
        <f>fNotasFiscais[[#This Row],[Data da Coleta]]+fNotasFiscais[[#This Row],[Prazo Contratado]]</f>
        <v>43648</v>
      </c>
      <c r="X1885" s="3">
        <f>IF(fNotasFiscais[[#This Row],[Data da Entrega]]&gt;fNotasFiscais[[#This Row],[Data Contratada]],0,1)</f>
        <v>1</v>
      </c>
      <c r="Y1885" s="3">
        <f>IF(fNotasFiscais[[#This Row],[Ocorrência]]="",1,0)</f>
        <v>1</v>
      </c>
      <c r="Z1885" s="2">
        <f>fNotasFiscais[[#This Row],[On Time]]*fNotasFiscais[[#This Row],[In Full]]</f>
        <v>1</v>
      </c>
      <c r="AA1885">
        <f>IF(fNotasFiscais[[#This Row],[Nota Fiscal]]&lt;&gt;"",1,0)</f>
        <v>1</v>
      </c>
    </row>
    <row r="1886" spans="1:27" x14ac:dyDescent="0.25">
      <c r="A1886" s="1">
        <v>43645</v>
      </c>
      <c r="B1886">
        <v>12295</v>
      </c>
      <c r="C1886" s="2" t="s">
        <v>31</v>
      </c>
      <c r="D1886" s="2" t="s">
        <v>32</v>
      </c>
      <c r="E1886" s="2" t="s">
        <v>33</v>
      </c>
      <c r="F1886">
        <v>4157</v>
      </c>
      <c r="G1886" s="2" t="s">
        <v>240</v>
      </c>
      <c r="H1886" s="2" t="s">
        <v>35</v>
      </c>
      <c r="I1886" s="2" t="s">
        <v>36</v>
      </c>
      <c r="J1886" s="2" t="s">
        <v>60</v>
      </c>
      <c r="K1886" s="2" t="s">
        <v>36</v>
      </c>
      <c r="L1886">
        <v>4693.57</v>
      </c>
      <c r="M1886">
        <v>4</v>
      </c>
      <c r="N1886">
        <v>17.056000000000001</v>
      </c>
      <c r="O1886">
        <v>6600879</v>
      </c>
      <c r="P1886" s="2" t="s">
        <v>61</v>
      </c>
      <c r="Q1886" s="2" t="s">
        <v>35</v>
      </c>
      <c r="R1886" s="2" t="s">
        <v>30</v>
      </c>
      <c r="S1886">
        <v>12</v>
      </c>
      <c r="T1886" s="1">
        <v>43645</v>
      </c>
      <c r="U1886" s="1">
        <v>43653</v>
      </c>
      <c r="V1886" s="2"/>
      <c r="W1886" s="1">
        <f>fNotasFiscais[[#This Row],[Data da Coleta]]+fNotasFiscais[[#This Row],[Prazo Contratado]]</f>
        <v>43657</v>
      </c>
      <c r="X1886" s="3">
        <f>IF(fNotasFiscais[[#This Row],[Data da Entrega]]&gt;fNotasFiscais[[#This Row],[Data Contratada]],0,1)</f>
        <v>1</v>
      </c>
      <c r="Y1886" s="3">
        <f>IF(fNotasFiscais[[#This Row],[Ocorrência]]="",1,0)</f>
        <v>1</v>
      </c>
      <c r="Z1886" s="2">
        <f>fNotasFiscais[[#This Row],[On Time]]*fNotasFiscais[[#This Row],[In Full]]</f>
        <v>1</v>
      </c>
      <c r="AA1886">
        <f>IF(fNotasFiscais[[#This Row],[Nota Fiscal]]&lt;&gt;"",1,0)</f>
        <v>1</v>
      </c>
    </row>
    <row r="1887" spans="1:27" x14ac:dyDescent="0.25">
      <c r="A1887" s="1">
        <v>43645</v>
      </c>
      <c r="B1887">
        <v>12296</v>
      </c>
      <c r="C1887" s="2" t="s">
        <v>22</v>
      </c>
      <c r="D1887" s="2" t="s">
        <v>23</v>
      </c>
      <c r="E1887" s="2" t="s">
        <v>24</v>
      </c>
      <c r="F1887">
        <v>4173</v>
      </c>
      <c r="G1887" s="2" t="s">
        <v>256</v>
      </c>
      <c r="H1887" s="2" t="s">
        <v>35</v>
      </c>
      <c r="I1887" s="2" t="s">
        <v>36</v>
      </c>
      <c r="J1887" s="2" t="s">
        <v>60</v>
      </c>
      <c r="K1887" s="2" t="s">
        <v>36</v>
      </c>
      <c r="L1887">
        <v>12047.18</v>
      </c>
      <c r="M1887">
        <v>18</v>
      </c>
      <c r="N1887">
        <v>106.042</v>
      </c>
      <c r="O1887">
        <v>6600879</v>
      </c>
      <c r="P1887" s="2" t="s">
        <v>61</v>
      </c>
      <c r="Q1887" s="2" t="s">
        <v>35</v>
      </c>
      <c r="R1887" s="2" t="s">
        <v>30</v>
      </c>
      <c r="S1887">
        <v>4</v>
      </c>
      <c r="T1887" s="1">
        <v>43645</v>
      </c>
      <c r="U1887" s="1">
        <v>43655</v>
      </c>
      <c r="V1887" s="2"/>
      <c r="W1887" s="1">
        <f>fNotasFiscais[[#This Row],[Data da Coleta]]+fNotasFiscais[[#This Row],[Prazo Contratado]]</f>
        <v>43649</v>
      </c>
      <c r="X1887" s="3">
        <f>IF(fNotasFiscais[[#This Row],[Data da Entrega]]&gt;fNotasFiscais[[#This Row],[Data Contratada]],0,1)</f>
        <v>0</v>
      </c>
      <c r="Y1887" s="3">
        <f>IF(fNotasFiscais[[#This Row],[Ocorrência]]="",1,0)</f>
        <v>1</v>
      </c>
      <c r="Z1887" s="2">
        <f>fNotasFiscais[[#This Row],[On Time]]*fNotasFiscais[[#This Row],[In Full]]</f>
        <v>0</v>
      </c>
      <c r="AA1887">
        <f>IF(fNotasFiscais[[#This Row],[Nota Fiscal]]&lt;&gt;"",1,0)</f>
        <v>1</v>
      </c>
    </row>
    <row r="1888" spans="1:27" x14ac:dyDescent="0.25">
      <c r="A1888" s="1">
        <v>43645</v>
      </c>
      <c r="B1888">
        <v>12297</v>
      </c>
      <c r="C1888" s="2" t="s">
        <v>40</v>
      </c>
      <c r="D1888" s="2" t="s">
        <v>41</v>
      </c>
      <c r="E1888" s="2" t="s">
        <v>33</v>
      </c>
      <c r="F1888">
        <v>4173</v>
      </c>
      <c r="G1888" s="2" t="s">
        <v>256</v>
      </c>
      <c r="H1888" s="2" t="s">
        <v>35</v>
      </c>
      <c r="I1888" s="2" t="s">
        <v>36</v>
      </c>
      <c r="J1888" s="2" t="s">
        <v>60</v>
      </c>
      <c r="K1888" s="2" t="s">
        <v>36</v>
      </c>
      <c r="L1888">
        <v>3268.05</v>
      </c>
      <c r="M1888">
        <v>6</v>
      </c>
      <c r="N1888">
        <v>12.074999999999999</v>
      </c>
      <c r="O1888">
        <v>6600879</v>
      </c>
      <c r="P1888" s="2" t="s">
        <v>61</v>
      </c>
      <c r="Q1888" s="2" t="s">
        <v>35</v>
      </c>
      <c r="R1888" s="2" t="s">
        <v>30</v>
      </c>
      <c r="S1888">
        <v>7</v>
      </c>
      <c r="T1888" s="1">
        <v>43645</v>
      </c>
      <c r="U1888" s="1">
        <v>43646</v>
      </c>
      <c r="V1888" s="2"/>
      <c r="W1888" s="1">
        <f>fNotasFiscais[[#This Row],[Data da Coleta]]+fNotasFiscais[[#This Row],[Prazo Contratado]]</f>
        <v>43652</v>
      </c>
      <c r="X1888" s="3">
        <f>IF(fNotasFiscais[[#This Row],[Data da Entrega]]&gt;fNotasFiscais[[#This Row],[Data Contratada]],0,1)</f>
        <v>1</v>
      </c>
      <c r="Y1888" s="3">
        <f>IF(fNotasFiscais[[#This Row],[Ocorrência]]="",1,0)</f>
        <v>1</v>
      </c>
      <c r="Z1888" s="2">
        <f>fNotasFiscais[[#This Row],[On Time]]*fNotasFiscais[[#This Row],[In Full]]</f>
        <v>1</v>
      </c>
      <c r="AA1888">
        <f>IF(fNotasFiscais[[#This Row],[Nota Fiscal]]&lt;&gt;"",1,0)</f>
        <v>1</v>
      </c>
    </row>
    <row r="1889" spans="1:27" x14ac:dyDescent="0.25">
      <c r="A1889" s="1">
        <v>43645</v>
      </c>
      <c r="B1889">
        <v>12298</v>
      </c>
      <c r="C1889" s="2" t="s">
        <v>52</v>
      </c>
      <c r="D1889" s="2" t="s">
        <v>53</v>
      </c>
      <c r="E1889" s="2" t="s">
        <v>33</v>
      </c>
      <c r="F1889">
        <v>4191</v>
      </c>
      <c r="G1889" s="2" t="s">
        <v>274</v>
      </c>
      <c r="H1889" s="2" t="s">
        <v>173</v>
      </c>
      <c r="I1889" s="2" t="s">
        <v>174</v>
      </c>
      <c r="J1889" s="2" t="s">
        <v>175</v>
      </c>
      <c r="K1889" s="2" t="s">
        <v>174</v>
      </c>
      <c r="L1889">
        <v>1038.6400000000001</v>
      </c>
      <c r="M1889">
        <v>1</v>
      </c>
      <c r="N1889">
        <v>1.1200000000000001</v>
      </c>
      <c r="O1889">
        <v>6700091</v>
      </c>
      <c r="P1889" s="2" t="s">
        <v>176</v>
      </c>
      <c r="Q1889" s="2" t="s">
        <v>173</v>
      </c>
      <c r="R1889" s="2" t="s">
        <v>30</v>
      </c>
      <c r="S1889">
        <v>10</v>
      </c>
      <c r="T1889" s="1">
        <v>43645</v>
      </c>
      <c r="U1889" s="1">
        <v>43647</v>
      </c>
      <c r="V1889" s="2" t="s">
        <v>42</v>
      </c>
      <c r="W1889" s="1">
        <f>fNotasFiscais[[#This Row],[Data da Coleta]]+fNotasFiscais[[#This Row],[Prazo Contratado]]</f>
        <v>43655</v>
      </c>
      <c r="X1889" s="3">
        <f>IF(fNotasFiscais[[#This Row],[Data da Entrega]]&gt;fNotasFiscais[[#This Row],[Data Contratada]],0,1)</f>
        <v>1</v>
      </c>
      <c r="Y1889" s="3">
        <f>IF(fNotasFiscais[[#This Row],[Ocorrência]]="",1,0)</f>
        <v>0</v>
      </c>
      <c r="Z1889" s="2">
        <f>fNotasFiscais[[#This Row],[On Time]]*fNotasFiscais[[#This Row],[In Full]]</f>
        <v>0</v>
      </c>
      <c r="AA1889">
        <f>IF(fNotasFiscais[[#This Row],[Nota Fiscal]]&lt;&gt;"",1,0)</f>
        <v>1</v>
      </c>
    </row>
    <row r="1890" spans="1:27" x14ac:dyDescent="0.25">
      <c r="A1890" s="1">
        <v>43645</v>
      </c>
      <c r="B1890">
        <v>12299</v>
      </c>
      <c r="C1890" s="2" t="s">
        <v>54</v>
      </c>
      <c r="D1890" s="2" t="s">
        <v>55</v>
      </c>
      <c r="E1890" s="2" t="s">
        <v>56</v>
      </c>
      <c r="F1890">
        <v>4012</v>
      </c>
      <c r="G1890" s="2" t="s">
        <v>25</v>
      </c>
      <c r="H1890" s="2" t="s">
        <v>26</v>
      </c>
      <c r="I1890" s="2" t="s">
        <v>27</v>
      </c>
      <c r="J1890" s="2" t="s">
        <v>28</v>
      </c>
      <c r="K1890" s="2" t="s">
        <v>27</v>
      </c>
      <c r="L1890">
        <v>5707.74</v>
      </c>
      <c r="M1890">
        <v>6</v>
      </c>
      <c r="N1890">
        <v>9.266</v>
      </c>
      <c r="O1890">
        <v>6500948</v>
      </c>
      <c r="P1890" s="2" t="s">
        <v>29</v>
      </c>
      <c r="Q1890" s="2" t="s">
        <v>23</v>
      </c>
      <c r="R1890" s="2" t="s">
        <v>30</v>
      </c>
      <c r="S1890">
        <v>5</v>
      </c>
      <c r="T1890" s="1">
        <v>43645</v>
      </c>
      <c r="U1890" s="1">
        <v>43655</v>
      </c>
      <c r="V1890" s="2"/>
      <c r="W1890" s="1">
        <f>fNotasFiscais[[#This Row],[Data da Coleta]]+fNotasFiscais[[#This Row],[Prazo Contratado]]</f>
        <v>43650</v>
      </c>
      <c r="X1890" s="3">
        <f>IF(fNotasFiscais[[#This Row],[Data da Entrega]]&gt;fNotasFiscais[[#This Row],[Data Contratada]],0,1)</f>
        <v>0</v>
      </c>
      <c r="Y1890" s="3">
        <f>IF(fNotasFiscais[[#This Row],[Ocorrência]]="",1,0)</f>
        <v>1</v>
      </c>
      <c r="Z1890" s="2">
        <f>fNotasFiscais[[#This Row],[On Time]]*fNotasFiscais[[#This Row],[In Full]]</f>
        <v>0</v>
      </c>
      <c r="AA1890">
        <f>IF(fNotasFiscais[[#This Row],[Nota Fiscal]]&lt;&gt;"",1,0)</f>
        <v>1</v>
      </c>
    </row>
    <row r="1891" spans="1:27" x14ac:dyDescent="0.25">
      <c r="A1891" s="1">
        <v>43645</v>
      </c>
      <c r="B1891">
        <v>12300</v>
      </c>
      <c r="C1891" s="2" t="s">
        <v>43</v>
      </c>
      <c r="D1891" s="2" t="s">
        <v>44</v>
      </c>
      <c r="E1891" s="2" t="s">
        <v>45</v>
      </c>
      <c r="F1891">
        <v>4014</v>
      </c>
      <c r="G1891" s="2" t="s">
        <v>58</v>
      </c>
      <c r="H1891" s="2" t="s">
        <v>59</v>
      </c>
      <c r="I1891" s="2" t="s">
        <v>36</v>
      </c>
      <c r="J1891" s="2" t="s">
        <v>60</v>
      </c>
      <c r="K1891" s="2" t="s">
        <v>36</v>
      </c>
      <c r="L1891">
        <v>100.87</v>
      </c>
      <c r="M1891">
        <v>1</v>
      </c>
      <c r="N1891">
        <v>0.27500000000000002</v>
      </c>
      <c r="O1891">
        <v>6600879</v>
      </c>
      <c r="P1891" s="2" t="s">
        <v>61</v>
      </c>
      <c r="Q1891" s="2" t="s">
        <v>35</v>
      </c>
      <c r="R1891" s="2" t="s">
        <v>30</v>
      </c>
      <c r="S1891">
        <v>9</v>
      </c>
      <c r="T1891" s="1">
        <v>43645</v>
      </c>
      <c r="U1891" s="1">
        <v>43650</v>
      </c>
      <c r="V1891" s="2"/>
      <c r="W1891" s="1">
        <f>fNotasFiscais[[#This Row],[Data da Coleta]]+fNotasFiscais[[#This Row],[Prazo Contratado]]</f>
        <v>43654</v>
      </c>
      <c r="X1891" s="3">
        <f>IF(fNotasFiscais[[#This Row],[Data da Entrega]]&gt;fNotasFiscais[[#This Row],[Data Contratada]],0,1)</f>
        <v>1</v>
      </c>
      <c r="Y1891" s="3">
        <f>IF(fNotasFiscais[[#This Row],[Ocorrência]]="",1,0)</f>
        <v>1</v>
      </c>
      <c r="Z1891" s="2">
        <f>fNotasFiscais[[#This Row],[On Time]]*fNotasFiscais[[#This Row],[In Full]]</f>
        <v>1</v>
      </c>
      <c r="AA1891">
        <f>IF(fNotasFiscais[[#This Row],[Nota Fiscal]]&lt;&gt;"",1,0)</f>
        <v>1</v>
      </c>
    </row>
    <row r="1892" spans="1:27" x14ac:dyDescent="0.25">
      <c r="A1892" s="1">
        <v>43645</v>
      </c>
      <c r="B1892">
        <v>12301</v>
      </c>
      <c r="C1892" s="2" t="s">
        <v>40</v>
      </c>
      <c r="D1892" s="2" t="s">
        <v>41</v>
      </c>
      <c r="E1892" s="2" t="s">
        <v>33</v>
      </c>
      <c r="F1892">
        <v>4014</v>
      </c>
      <c r="G1892" s="2" t="s">
        <v>58</v>
      </c>
      <c r="H1892" s="2" t="s">
        <v>59</v>
      </c>
      <c r="I1892" s="2" t="s">
        <v>36</v>
      </c>
      <c r="J1892" s="2" t="s">
        <v>60</v>
      </c>
      <c r="K1892" s="2" t="s">
        <v>36</v>
      </c>
      <c r="L1892">
        <v>1474.18</v>
      </c>
      <c r="M1892">
        <v>4</v>
      </c>
      <c r="N1892">
        <v>8.0389999999999997</v>
      </c>
      <c r="O1892">
        <v>6600879</v>
      </c>
      <c r="P1892" s="2" t="s">
        <v>61</v>
      </c>
      <c r="Q1892" s="2" t="s">
        <v>35</v>
      </c>
      <c r="R1892" s="2" t="s">
        <v>30</v>
      </c>
      <c r="S1892">
        <v>11</v>
      </c>
      <c r="T1892" s="1">
        <v>43645</v>
      </c>
      <c r="U1892" s="1">
        <v>43649</v>
      </c>
      <c r="V1892" s="2"/>
      <c r="W1892" s="1">
        <f>fNotasFiscais[[#This Row],[Data da Coleta]]+fNotasFiscais[[#This Row],[Prazo Contratado]]</f>
        <v>43656</v>
      </c>
      <c r="X1892" s="3">
        <f>IF(fNotasFiscais[[#This Row],[Data da Entrega]]&gt;fNotasFiscais[[#This Row],[Data Contratada]],0,1)</f>
        <v>1</v>
      </c>
      <c r="Y1892" s="3">
        <f>IF(fNotasFiscais[[#This Row],[Ocorrência]]="",1,0)</f>
        <v>1</v>
      </c>
      <c r="Z1892" s="2">
        <f>fNotasFiscais[[#This Row],[On Time]]*fNotasFiscais[[#This Row],[In Full]]</f>
        <v>1</v>
      </c>
      <c r="AA1892">
        <f>IF(fNotasFiscais[[#This Row],[Nota Fiscal]]&lt;&gt;"",1,0)</f>
        <v>1</v>
      </c>
    </row>
    <row r="1893" spans="1:27" x14ac:dyDescent="0.25">
      <c r="A1893" s="1">
        <v>43645</v>
      </c>
      <c r="B1893">
        <v>12302</v>
      </c>
      <c r="C1893" s="2" t="s">
        <v>52</v>
      </c>
      <c r="D1893" s="2" t="s">
        <v>53</v>
      </c>
      <c r="E1893" s="2" t="s">
        <v>33</v>
      </c>
      <c r="F1893">
        <v>4014</v>
      </c>
      <c r="G1893" s="2" t="s">
        <v>58</v>
      </c>
      <c r="H1893" s="2" t="s">
        <v>59</v>
      </c>
      <c r="I1893" s="2" t="s">
        <v>36</v>
      </c>
      <c r="J1893" s="2" t="s">
        <v>60</v>
      </c>
      <c r="K1893" s="2" t="s">
        <v>36</v>
      </c>
      <c r="L1893">
        <v>2238.0500000000002</v>
      </c>
      <c r="M1893">
        <v>1</v>
      </c>
      <c r="N1893">
        <v>1.1200000000000001</v>
      </c>
      <c r="O1893">
        <v>6600879</v>
      </c>
      <c r="P1893" s="2" t="s">
        <v>61</v>
      </c>
      <c r="Q1893" s="2" t="s">
        <v>35</v>
      </c>
      <c r="R1893" s="2" t="s">
        <v>30</v>
      </c>
      <c r="S1893">
        <v>4</v>
      </c>
      <c r="T1893" s="1">
        <v>43645</v>
      </c>
      <c r="U1893" s="1">
        <v>43649</v>
      </c>
      <c r="V1893" s="2" t="s">
        <v>42</v>
      </c>
      <c r="W1893" s="1">
        <f>fNotasFiscais[[#This Row],[Data da Coleta]]+fNotasFiscais[[#This Row],[Prazo Contratado]]</f>
        <v>43649</v>
      </c>
      <c r="X1893" s="3">
        <f>IF(fNotasFiscais[[#This Row],[Data da Entrega]]&gt;fNotasFiscais[[#This Row],[Data Contratada]],0,1)</f>
        <v>1</v>
      </c>
      <c r="Y1893" s="3">
        <f>IF(fNotasFiscais[[#This Row],[Ocorrência]]="",1,0)</f>
        <v>0</v>
      </c>
      <c r="Z1893" s="2">
        <f>fNotasFiscais[[#This Row],[On Time]]*fNotasFiscais[[#This Row],[In Full]]</f>
        <v>0</v>
      </c>
      <c r="AA1893">
        <f>IF(fNotasFiscais[[#This Row],[Nota Fiscal]]&lt;&gt;"",1,0)</f>
        <v>1</v>
      </c>
    </row>
    <row r="1894" spans="1:27" x14ac:dyDescent="0.25">
      <c r="A1894" s="1">
        <v>43645</v>
      </c>
      <c r="B1894">
        <v>12303</v>
      </c>
      <c r="C1894" s="2" t="s">
        <v>22</v>
      </c>
      <c r="D1894" s="2" t="s">
        <v>23</v>
      </c>
      <c r="E1894" s="2" t="s">
        <v>24</v>
      </c>
      <c r="F1894">
        <v>4014</v>
      </c>
      <c r="G1894" s="2" t="s">
        <v>58</v>
      </c>
      <c r="H1894" s="2" t="s">
        <v>59</v>
      </c>
      <c r="I1894" s="2" t="s">
        <v>36</v>
      </c>
      <c r="J1894" s="2" t="s">
        <v>60</v>
      </c>
      <c r="K1894" s="2" t="s">
        <v>36</v>
      </c>
      <c r="L1894">
        <v>3295.6</v>
      </c>
      <c r="M1894">
        <v>5</v>
      </c>
      <c r="N1894">
        <v>32.518000000000001</v>
      </c>
      <c r="O1894">
        <v>6600879</v>
      </c>
      <c r="P1894" s="2" t="s">
        <v>61</v>
      </c>
      <c r="Q1894" s="2" t="s">
        <v>35</v>
      </c>
      <c r="R1894" s="2" t="s">
        <v>30</v>
      </c>
      <c r="S1894">
        <v>11</v>
      </c>
      <c r="T1894" s="1">
        <v>43645</v>
      </c>
      <c r="U1894" s="1">
        <v>43649</v>
      </c>
      <c r="V1894" s="2"/>
      <c r="W1894" s="1">
        <f>fNotasFiscais[[#This Row],[Data da Coleta]]+fNotasFiscais[[#This Row],[Prazo Contratado]]</f>
        <v>43656</v>
      </c>
      <c r="X1894" s="3">
        <f>IF(fNotasFiscais[[#This Row],[Data da Entrega]]&gt;fNotasFiscais[[#This Row],[Data Contratada]],0,1)</f>
        <v>1</v>
      </c>
      <c r="Y1894" s="3">
        <f>IF(fNotasFiscais[[#This Row],[Ocorrência]]="",1,0)</f>
        <v>1</v>
      </c>
      <c r="Z1894" s="2">
        <f>fNotasFiscais[[#This Row],[On Time]]*fNotasFiscais[[#This Row],[In Full]]</f>
        <v>1</v>
      </c>
      <c r="AA1894">
        <f>IF(fNotasFiscais[[#This Row],[Nota Fiscal]]&lt;&gt;"",1,0)</f>
        <v>1</v>
      </c>
    </row>
    <row r="1895" spans="1:27" x14ac:dyDescent="0.25">
      <c r="A1895" s="1">
        <v>43646</v>
      </c>
      <c r="B1895">
        <v>12304</v>
      </c>
      <c r="C1895" s="2" t="s">
        <v>40</v>
      </c>
      <c r="D1895" s="2" t="s">
        <v>41</v>
      </c>
      <c r="E1895" s="2" t="s">
        <v>33</v>
      </c>
      <c r="F1895">
        <v>4013</v>
      </c>
      <c r="G1895" s="2" t="s">
        <v>37</v>
      </c>
      <c r="H1895" s="2" t="s">
        <v>38</v>
      </c>
      <c r="I1895" s="2" t="s">
        <v>39</v>
      </c>
      <c r="J1895" s="2" t="s">
        <v>28</v>
      </c>
      <c r="K1895" s="2" t="s">
        <v>39</v>
      </c>
      <c r="L1895">
        <v>5348.69</v>
      </c>
      <c r="M1895">
        <v>6</v>
      </c>
      <c r="N1895">
        <v>35.002000000000002</v>
      </c>
      <c r="O1895">
        <v>6500948</v>
      </c>
      <c r="P1895" s="2" t="s">
        <v>29</v>
      </c>
      <c r="Q1895" s="2" t="s">
        <v>23</v>
      </c>
      <c r="R1895" s="2" t="s">
        <v>30</v>
      </c>
      <c r="S1895">
        <v>5</v>
      </c>
      <c r="T1895" s="1">
        <v>43646</v>
      </c>
      <c r="U1895" s="1">
        <v>43655</v>
      </c>
      <c r="V1895" s="2" t="s">
        <v>42</v>
      </c>
      <c r="W1895" s="1">
        <f>fNotasFiscais[[#This Row],[Data da Coleta]]+fNotasFiscais[[#This Row],[Prazo Contratado]]</f>
        <v>43651</v>
      </c>
      <c r="X1895" s="3">
        <f>IF(fNotasFiscais[[#This Row],[Data da Entrega]]&gt;fNotasFiscais[[#This Row],[Data Contratada]],0,1)</f>
        <v>0</v>
      </c>
      <c r="Y1895" s="3">
        <f>IF(fNotasFiscais[[#This Row],[Ocorrência]]="",1,0)</f>
        <v>0</v>
      </c>
      <c r="Z1895" s="2">
        <f>fNotasFiscais[[#This Row],[On Time]]*fNotasFiscais[[#This Row],[In Full]]</f>
        <v>0</v>
      </c>
      <c r="AA1895">
        <f>IF(fNotasFiscais[[#This Row],[Nota Fiscal]]&lt;&gt;"",1,0)</f>
        <v>1</v>
      </c>
    </row>
    <row r="1896" spans="1:27" x14ac:dyDescent="0.25">
      <c r="A1896" s="1">
        <v>43646</v>
      </c>
      <c r="B1896">
        <v>12305</v>
      </c>
      <c r="C1896" s="2" t="s">
        <v>54</v>
      </c>
      <c r="D1896" s="2" t="s">
        <v>55</v>
      </c>
      <c r="E1896" s="2" t="s">
        <v>56</v>
      </c>
      <c r="F1896">
        <v>4034</v>
      </c>
      <c r="G1896" s="2" t="s">
        <v>110</v>
      </c>
      <c r="H1896" s="2" t="s">
        <v>51</v>
      </c>
      <c r="I1896" s="2" t="s">
        <v>73</v>
      </c>
      <c r="J1896" s="2" t="s">
        <v>49</v>
      </c>
      <c r="K1896" s="2" t="s">
        <v>73</v>
      </c>
      <c r="L1896">
        <v>353.06</v>
      </c>
      <c r="M1896">
        <v>1</v>
      </c>
      <c r="N1896">
        <v>4.4039999999999999</v>
      </c>
      <c r="O1896">
        <v>6100231</v>
      </c>
      <c r="P1896" s="2" t="s">
        <v>50</v>
      </c>
      <c r="Q1896" s="2" t="s">
        <v>51</v>
      </c>
      <c r="R1896" s="2" t="s">
        <v>30</v>
      </c>
      <c r="S1896">
        <v>12</v>
      </c>
      <c r="T1896" s="1">
        <v>43646</v>
      </c>
      <c r="U1896" s="1">
        <v>43652</v>
      </c>
      <c r="V1896" s="2"/>
      <c r="W1896" s="1">
        <f>fNotasFiscais[[#This Row],[Data da Coleta]]+fNotasFiscais[[#This Row],[Prazo Contratado]]</f>
        <v>43658</v>
      </c>
      <c r="X1896" s="3">
        <f>IF(fNotasFiscais[[#This Row],[Data da Entrega]]&gt;fNotasFiscais[[#This Row],[Data Contratada]],0,1)</f>
        <v>1</v>
      </c>
      <c r="Y1896" s="3">
        <f>IF(fNotasFiscais[[#This Row],[Ocorrência]]="",1,0)</f>
        <v>1</v>
      </c>
      <c r="Z1896" s="2">
        <f>fNotasFiscais[[#This Row],[On Time]]*fNotasFiscais[[#This Row],[In Full]]</f>
        <v>1</v>
      </c>
      <c r="AA1896">
        <f>IF(fNotasFiscais[[#This Row],[Nota Fiscal]]&lt;&gt;"",1,0)</f>
        <v>1</v>
      </c>
    </row>
    <row r="1897" spans="1:27" x14ac:dyDescent="0.25">
      <c r="A1897" s="1">
        <v>43646</v>
      </c>
      <c r="B1897">
        <v>12306</v>
      </c>
      <c r="C1897" s="2" t="s">
        <v>40</v>
      </c>
      <c r="D1897" s="2" t="s">
        <v>41</v>
      </c>
      <c r="E1897" s="2" t="s">
        <v>33</v>
      </c>
      <c r="F1897">
        <v>4034</v>
      </c>
      <c r="G1897" s="2" t="s">
        <v>110</v>
      </c>
      <c r="H1897" s="2" t="s">
        <v>51</v>
      </c>
      <c r="I1897" s="2" t="s">
        <v>73</v>
      </c>
      <c r="J1897" s="2" t="s">
        <v>49</v>
      </c>
      <c r="K1897" s="2" t="s">
        <v>73</v>
      </c>
      <c r="L1897">
        <v>6477.98</v>
      </c>
      <c r="M1897">
        <v>10</v>
      </c>
      <c r="N1897">
        <v>76.254999999999995</v>
      </c>
      <c r="O1897">
        <v>6100231</v>
      </c>
      <c r="P1897" s="2" t="s">
        <v>50</v>
      </c>
      <c r="Q1897" s="2" t="s">
        <v>51</v>
      </c>
      <c r="R1897" s="2" t="s">
        <v>30</v>
      </c>
      <c r="S1897">
        <v>5</v>
      </c>
      <c r="T1897" s="1">
        <v>43646</v>
      </c>
      <c r="U1897" s="1">
        <v>43652</v>
      </c>
      <c r="V1897" s="2"/>
      <c r="W1897" s="1">
        <f>fNotasFiscais[[#This Row],[Data da Coleta]]+fNotasFiscais[[#This Row],[Prazo Contratado]]</f>
        <v>43651</v>
      </c>
      <c r="X1897" s="3">
        <f>IF(fNotasFiscais[[#This Row],[Data da Entrega]]&gt;fNotasFiscais[[#This Row],[Data Contratada]],0,1)</f>
        <v>0</v>
      </c>
      <c r="Y1897" s="3">
        <f>IF(fNotasFiscais[[#This Row],[Ocorrência]]="",1,0)</f>
        <v>1</v>
      </c>
      <c r="Z1897" s="2">
        <f>fNotasFiscais[[#This Row],[On Time]]*fNotasFiscais[[#This Row],[In Full]]</f>
        <v>0</v>
      </c>
      <c r="AA1897">
        <f>IF(fNotasFiscais[[#This Row],[Nota Fiscal]]&lt;&gt;"",1,0)</f>
        <v>1</v>
      </c>
    </row>
    <row r="1898" spans="1:27" x14ac:dyDescent="0.25">
      <c r="A1898" s="1">
        <v>43646</v>
      </c>
      <c r="B1898">
        <v>12307</v>
      </c>
      <c r="C1898" s="2" t="s">
        <v>52</v>
      </c>
      <c r="D1898" s="2" t="s">
        <v>53</v>
      </c>
      <c r="E1898" s="2" t="s">
        <v>33</v>
      </c>
      <c r="F1898">
        <v>4013</v>
      </c>
      <c r="G1898" s="2" t="s">
        <v>37</v>
      </c>
      <c r="H1898" s="2" t="s">
        <v>38</v>
      </c>
      <c r="I1898" s="2" t="s">
        <v>39</v>
      </c>
      <c r="J1898" s="2" t="s">
        <v>28</v>
      </c>
      <c r="K1898" s="2" t="s">
        <v>39</v>
      </c>
      <c r="L1898">
        <v>219.4</v>
      </c>
      <c r="M1898">
        <v>1</v>
      </c>
      <c r="N1898">
        <v>1.1200000000000001</v>
      </c>
      <c r="O1898">
        <v>6500948</v>
      </c>
      <c r="P1898" s="2" t="s">
        <v>29</v>
      </c>
      <c r="Q1898" s="2" t="s">
        <v>23</v>
      </c>
      <c r="R1898" s="2" t="s">
        <v>30</v>
      </c>
      <c r="S1898">
        <v>9</v>
      </c>
      <c r="T1898" s="1">
        <v>43646</v>
      </c>
      <c r="U1898" s="1">
        <v>43647</v>
      </c>
      <c r="V1898" s="2"/>
      <c r="W1898" s="1">
        <f>fNotasFiscais[[#This Row],[Data da Coleta]]+fNotasFiscais[[#This Row],[Prazo Contratado]]</f>
        <v>43655</v>
      </c>
      <c r="X1898" s="3">
        <f>IF(fNotasFiscais[[#This Row],[Data da Entrega]]&gt;fNotasFiscais[[#This Row],[Data Contratada]],0,1)</f>
        <v>1</v>
      </c>
      <c r="Y1898" s="3">
        <f>IF(fNotasFiscais[[#This Row],[Ocorrência]]="",1,0)</f>
        <v>1</v>
      </c>
      <c r="Z1898" s="2">
        <f>fNotasFiscais[[#This Row],[On Time]]*fNotasFiscais[[#This Row],[In Full]]</f>
        <v>1</v>
      </c>
      <c r="AA1898">
        <f>IF(fNotasFiscais[[#This Row],[Nota Fiscal]]&lt;&gt;"",1,0)</f>
        <v>1</v>
      </c>
    </row>
    <row r="1899" spans="1:27" x14ac:dyDescent="0.25">
      <c r="A1899" s="1">
        <v>43646</v>
      </c>
      <c r="B1899">
        <v>12308</v>
      </c>
      <c r="C1899" s="2" t="s">
        <v>52</v>
      </c>
      <c r="D1899" s="2" t="s">
        <v>53</v>
      </c>
      <c r="E1899" s="2" t="s">
        <v>33</v>
      </c>
      <c r="F1899">
        <v>4119</v>
      </c>
      <c r="G1899" s="2" t="s">
        <v>202</v>
      </c>
      <c r="H1899" s="2" t="s">
        <v>167</v>
      </c>
      <c r="I1899" s="2" t="s">
        <v>168</v>
      </c>
      <c r="J1899" s="2" t="s">
        <v>169</v>
      </c>
      <c r="K1899" s="2" t="s">
        <v>168</v>
      </c>
      <c r="L1899">
        <v>342.17</v>
      </c>
      <c r="M1899">
        <v>1</v>
      </c>
      <c r="N1899">
        <v>4.4039999999999999</v>
      </c>
      <c r="O1899">
        <v>6900304</v>
      </c>
      <c r="P1899" s="2" t="s">
        <v>170</v>
      </c>
      <c r="Q1899" s="2" t="s">
        <v>171</v>
      </c>
      <c r="R1899" s="2" t="s">
        <v>30</v>
      </c>
      <c r="S1899">
        <v>1</v>
      </c>
      <c r="T1899" s="1">
        <v>43646</v>
      </c>
      <c r="U1899" s="1">
        <v>43653</v>
      </c>
      <c r="V1899" s="2"/>
      <c r="W1899" s="1">
        <f>fNotasFiscais[[#This Row],[Data da Coleta]]+fNotasFiscais[[#This Row],[Prazo Contratado]]</f>
        <v>43647</v>
      </c>
      <c r="X1899" s="3">
        <f>IF(fNotasFiscais[[#This Row],[Data da Entrega]]&gt;fNotasFiscais[[#This Row],[Data Contratada]],0,1)</f>
        <v>0</v>
      </c>
      <c r="Y1899" s="3">
        <f>IF(fNotasFiscais[[#This Row],[Ocorrência]]="",1,0)</f>
        <v>1</v>
      </c>
      <c r="Z1899" s="2">
        <f>fNotasFiscais[[#This Row],[On Time]]*fNotasFiscais[[#This Row],[In Full]]</f>
        <v>0</v>
      </c>
      <c r="AA1899">
        <f>IF(fNotasFiscais[[#This Row],[Nota Fiscal]]&lt;&gt;"",1,0)</f>
        <v>1</v>
      </c>
    </row>
    <row r="1900" spans="1:27" x14ac:dyDescent="0.25">
      <c r="A1900" s="1">
        <v>43646</v>
      </c>
      <c r="B1900">
        <v>12309</v>
      </c>
      <c r="C1900" s="2" t="s">
        <v>40</v>
      </c>
      <c r="D1900" s="2" t="s">
        <v>41</v>
      </c>
      <c r="E1900" s="2" t="s">
        <v>33</v>
      </c>
      <c r="F1900">
        <v>4013</v>
      </c>
      <c r="G1900" s="2" t="s">
        <v>37</v>
      </c>
      <c r="H1900" s="2" t="s">
        <v>38</v>
      </c>
      <c r="I1900" s="2" t="s">
        <v>39</v>
      </c>
      <c r="J1900" s="2" t="s">
        <v>28</v>
      </c>
      <c r="K1900" s="2" t="s">
        <v>39</v>
      </c>
      <c r="L1900">
        <v>1307.45</v>
      </c>
      <c r="M1900">
        <v>4</v>
      </c>
      <c r="N1900">
        <v>4.6390000000000002</v>
      </c>
      <c r="O1900">
        <v>6500948</v>
      </c>
      <c r="P1900" s="2" t="s">
        <v>29</v>
      </c>
      <c r="Q1900" s="2" t="s">
        <v>23</v>
      </c>
      <c r="R1900" s="2" t="s">
        <v>30</v>
      </c>
      <c r="S1900">
        <v>11</v>
      </c>
      <c r="T1900" s="1">
        <v>43646</v>
      </c>
      <c r="U1900" s="1">
        <v>43653</v>
      </c>
      <c r="V1900" s="2"/>
      <c r="W1900" s="1">
        <f>fNotasFiscais[[#This Row],[Data da Coleta]]+fNotasFiscais[[#This Row],[Prazo Contratado]]</f>
        <v>43657</v>
      </c>
      <c r="X1900" s="3">
        <f>IF(fNotasFiscais[[#This Row],[Data da Entrega]]&gt;fNotasFiscais[[#This Row],[Data Contratada]],0,1)</f>
        <v>1</v>
      </c>
      <c r="Y1900" s="3">
        <f>IF(fNotasFiscais[[#This Row],[Ocorrência]]="",1,0)</f>
        <v>1</v>
      </c>
      <c r="Z1900" s="2">
        <f>fNotasFiscais[[#This Row],[On Time]]*fNotasFiscais[[#This Row],[In Full]]</f>
        <v>1</v>
      </c>
      <c r="AA1900">
        <f>IF(fNotasFiscais[[#This Row],[Nota Fiscal]]&lt;&gt;"",1,0)</f>
        <v>1</v>
      </c>
    </row>
    <row r="1901" spans="1:27" x14ac:dyDescent="0.25">
      <c r="A1901" s="1">
        <v>43646</v>
      </c>
      <c r="B1901">
        <v>12310</v>
      </c>
      <c r="C1901" s="2" t="s">
        <v>31</v>
      </c>
      <c r="D1901" s="2" t="s">
        <v>32</v>
      </c>
      <c r="E1901" s="2" t="s">
        <v>33</v>
      </c>
      <c r="F1901">
        <v>4119</v>
      </c>
      <c r="G1901" s="2" t="s">
        <v>202</v>
      </c>
      <c r="H1901" s="2" t="s">
        <v>167</v>
      </c>
      <c r="I1901" s="2" t="s">
        <v>168</v>
      </c>
      <c r="J1901" s="2" t="s">
        <v>169</v>
      </c>
      <c r="K1901" s="2" t="s">
        <v>168</v>
      </c>
      <c r="L1901">
        <v>960.54</v>
      </c>
      <c r="M1901">
        <v>1</v>
      </c>
      <c r="N1901">
        <v>6.6</v>
      </c>
      <c r="O1901">
        <v>6900304</v>
      </c>
      <c r="P1901" s="2" t="s">
        <v>170</v>
      </c>
      <c r="Q1901" s="2" t="s">
        <v>171</v>
      </c>
      <c r="R1901" s="2" t="s">
        <v>30</v>
      </c>
      <c r="S1901">
        <v>3</v>
      </c>
      <c r="T1901" s="1">
        <v>43646</v>
      </c>
      <c r="U1901" s="1">
        <v>43652</v>
      </c>
      <c r="V1901" s="2"/>
      <c r="W1901" s="1">
        <f>fNotasFiscais[[#This Row],[Data da Coleta]]+fNotasFiscais[[#This Row],[Prazo Contratado]]</f>
        <v>43649</v>
      </c>
      <c r="X1901" s="3">
        <f>IF(fNotasFiscais[[#This Row],[Data da Entrega]]&gt;fNotasFiscais[[#This Row],[Data Contratada]],0,1)</f>
        <v>0</v>
      </c>
      <c r="Y1901" s="3">
        <f>IF(fNotasFiscais[[#This Row],[Ocorrência]]="",1,0)</f>
        <v>1</v>
      </c>
      <c r="Z1901" s="2">
        <f>fNotasFiscais[[#This Row],[On Time]]*fNotasFiscais[[#This Row],[In Full]]</f>
        <v>0</v>
      </c>
      <c r="AA1901">
        <f>IF(fNotasFiscais[[#This Row],[Nota Fiscal]]&lt;&gt;"",1,0)</f>
        <v>1</v>
      </c>
    </row>
    <row r="1902" spans="1:27" x14ac:dyDescent="0.25">
      <c r="A1902" s="1">
        <v>43646</v>
      </c>
      <c r="B1902">
        <v>12311</v>
      </c>
      <c r="C1902" s="2" t="s">
        <v>40</v>
      </c>
      <c r="D1902" s="2" t="s">
        <v>41</v>
      </c>
      <c r="E1902" s="2" t="s">
        <v>33</v>
      </c>
      <c r="F1902">
        <v>4119</v>
      </c>
      <c r="G1902" s="2" t="s">
        <v>202</v>
      </c>
      <c r="H1902" s="2" t="s">
        <v>167</v>
      </c>
      <c r="I1902" s="2" t="s">
        <v>168</v>
      </c>
      <c r="J1902" s="2" t="s">
        <v>169</v>
      </c>
      <c r="K1902" s="2" t="s">
        <v>168</v>
      </c>
      <c r="L1902">
        <v>362.48</v>
      </c>
      <c r="M1902">
        <v>3</v>
      </c>
      <c r="N1902">
        <v>7.0990000000000002</v>
      </c>
      <c r="O1902">
        <v>6900304</v>
      </c>
      <c r="P1902" s="2" t="s">
        <v>170</v>
      </c>
      <c r="Q1902" s="2" t="s">
        <v>171</v>
      </c>
      <c r="R1902" s="2" t="s">
        <v>30</v>
      </c>
      <c r="S1902">
        <v>5</v>
      </c>
      <c r="T1902" s="1">
        <v>43646</v>
      </c>
      <c r="U1902" s="1">
        <v>43652</v>
      </c>
      <c r="V1902" s="2"/>
      <c r="W1902" s="1">
        <f>fNotasFiscais[[#This Row],[Data da Coleta]]+fNotasFiscais[[#This Row],[Prazo Contratado]]</f>
        <v>43651</v>
      </c>
      <c r="X1902" s="3">
        <f>IF(fNotasFiscais[[#This Row],[Data da Entrega]]&gt;fNotasFiscais[[#This Row],[Data Contratada]],0,1)</f>
        <v>0</v>
      </c>
      <c r="Y1902" s="3">
        <f>IF(fNotasFiscais[[#This Row],[Ocorrência]]="",1,0)</f>
        <v>1</v>
      </c>
      <c r="Z1902" s="2">
        <f>fNotasFiscais[[#This Row],[On Time]]*fNotasFiscais[[#This Row],[In Full]]</f>
        <v>0</v>
      </c>
      <c r="AA1902">
        <f>IF(fNotasFiscais[[#This Row],[Nota Fiscal]]&lt;&gt;"",1,0)</f>
        <v>1</v>
      </c>
    </row>
    <row r="1903" spans="1:27" x14ac:dyDescent="0.25">
      <c r="A1903" s="1">
        <v>43646</v>
      </c>
      <c r="B1903">
        <v>12312</v>
      </c>
      <c r="C1903" s="2" t="s">
        <v>52</v>
      </c>
      <c r="D1903" s="2" t="s">
        <v>53</v>
      </c>
      <c r="E1903" s="2" t="s">
        <v>33</v>
      </c>
      <c r="F1903">
        <v>4119</v>
      </c>
      <c r="G1903" s="2" t="s">
        <v>202</v>
      </c>
      <c r="H1903" s="2" t="s">
        <v>167</v>
      </c>
      <c r="I1903" s="2" t="s">
        <v>168</v>
      </c>
      <c r="J1903" s="2" t="s">
        <v>169</v>
      </c>
      <c r="K1903" s="2" t="s">
        <v>168</v>
      </c>
      <c r="L1903">
        <v>1058.8699999999999</v>
      </c>
      <c r="M1903">
        <v>1</v>
      </c>
      <c r="N1903">
        <v>1.1200000000000001</v>
      </c>
      <c r="O1903">
        <v>6900304</v>
      </c>
      <c r="P1903" s="2" t="s">
        <v>170</v>
      </c>
      <c r="Q1903" s="2" t="s">
        <v>171</v>
      </c>
      <c r="R1903" s="2" t="s">
        <v>30</v>
      </c>
      <c r="S1903">
        <v>6</v>
      </c>
      <c r="T1903" s="1">
        <v>43646</v>
      </c>
      <c r="U1903" s="1">
        <v>43650</v>
      </c>
      <c r="V1903" s="2"/>
      <c r="W1903" s="1">
        <f>fNotasFiscais[[#This Row],[Data da Coleta]]+fNotasFiscais[[#This Row],[Prazo Contratado]]</f>
        <v>43652</v>
      </c>
      <c r="X1903" s="3">
        <f>IF(fNotasFiscais[[#This Row],[Data da Entrega]]&gt;fNotasFiscais[[#This Row],[Data Contratada]],0,1)</f>
        <v>1</v>
      </c>
      <c r="Y1903" s="3">
        <f>IF(fNotasFiscais[[#This Row],[Ocorrência]]="",1,0)</f>
        <v>1</v>
      </c>
      <c r="Z1903" s="2">
        <f>fNotasFiscais[[#This Row],[On Time]]*fNotasFiscais[[#This Row],[In Full]]</f>
        <v>1</v>
      </c>
      <c r="AA1903">
        <f>IF(fNotasFiscais[[#This Row],[Nota Fiscal]]&lt;&gt;"",1,0)</f>
        <v>1</v>
      </c>
    </row>
    <row r="1904" spans="1:27" x14ac:dyDescent="0.25">
      <c r="A1904" s="1">
        <v>43646</v>
      </c>
      <c r="B1904">
        <v>12313</v>
      </c>
      <c r="C1904" s="2" t="s">
        <v>43</v>
      </c>
      <c r="D1904" s="2" t="s">
        <v>44</v>
      </c>
      <c r="E1904" s="2" t="s">
        <v>45</v>
      </c>
      <c r="F1904">
        <v>4119</v>
      </c>
      <c r="G1904" s="2" t="s">
        <v>202</v>
      </c>
      <c r="H1904" s="2" t="s">
        <v>167</v>
      </c>
      <c r="I1904" s="2" t="s">
        <v>168</v>
      </c>
      <c r="J1904" s="2" t="s">
        <v>169</v>
      </c>
      <c r="K1904" s="2" t="s">
        <v>168</v>
      </c>
      <c r="L1904">
        <v>729.11</v>
      </c>
      <c r="M1904">
        <v>2</v>
      </c>
      <c r="N1904">
        <v>2.75</v>
      </c>
      <c r="O1904">
        <v>6900304</v>
      </c>
      <c r="P1904" s="2" t="s">
        <v>170</v>
      </c>
      <c r="Q1904" s="2" t="s">
        <v>171</v>
      </c>
      <c r="R1904" s="2" t="s">
        <v>30</v>
      </c>
      <c r="S1904">
        <v>7</v>
      </c>
      <c r="T1904" s="1">
        <v>43646</v>
      </c>
      <c r="U1904" s="1">
        <v>43651</v>
      </c>
      <c r="V1904" s="2"/>
      <c r="W1904" s="1">
        <f>fNotasFiscais[[#This Row],[Data da Coleta]]+fNotasFiscais[[#This Row],[Prazo Contratado]]</f>
        <v>43653</v>
      </c>
      <c r="X1904" s="3">
        <f>IF(fNotasFiscais[[#This Row],[Data da Entrega]]&gt;fNotasFiscais[[#This Row],[Data Contratada]],0,1)</f>
        <v>1</v>
      </c>
      <c r="Y1904" s="3">
        <f>IF(fNotasFiscais[[#This Row],[Ocorrência]]="",1,0)</f>
        <v>1</v>
      </c>
      <c r="Z1904" s="2">
        <f>fNotasFiscais[[#This Row],[On Time]]*fNotasFiscais[[#This Row],[In Full]]</f>
        <v>1</v>
      </c>
      <c r="AA1904">
        <f>IF(fNotasFiscais[[#This Row],[Nota Fiscal]]&lt;&gt;"",1,0)</f>
        <v>1</v>
      </c>
    </row>
    <row r="1905" spans="1:27" x14ac:dyDescent="0.25">
      <c r="A1905" s="1">
        <v>43648</v>
      </c>
      <c r="B1905">
        <v>12314</v>
      </c>
      <c r="C1905" s="2" t="s">
        <v>40</v>
      </c>
      <c r="D1905" s="2" t="s">
        <v>41</v>
      </c>
      <c r="E1905" s="2" t="s">
        <v>33</v>
      </c>
      <c r="F1905">
        <v>4143</v>
      </c>
      <c r="G1905" s="2" t="s">
        <v>226</v>
      </c>
      <c r="H1905" s="2" t="s">
        <v>173</v>
      </c>
      <c r="I1905" s="2" t="s">
        <v>174</v>
      </c>
      <c r="J1905" s="2" t="s">
        <v>175</v>
      </c>
      <c r="K1905" s="2" t="s">
        <v>174</v>
      </c>
      <c r="L1905">
        <v>842.2</v>
      </c>
      <c r="M1905">
        <v>1</v>
      </c>
      <c r="N1905">
        <v>1.804</v>
      </c>
      <c r="O1905">
        <v>6700091</v>
      </c>
      <c r="P1905" s="2" t="s">
        <v>176</v>
      </c>
      <c r="Q1905" s="2" t="s">
        <v>173</v>
      </c>
      <c r="R1905" s="2" t="s">
        <v>30</v>
      </c>
      <c r="S1905">
        <v>4</v>
      </c>
      <c r="T1905" s="1">
        <v>43648</v>
      </c>
      <c r="U1905" s="1">
        <v>43651</v>
      </c>
      <c r="V1905" s="2"/>
      <c r="W1905" s="1">
        <f>fNotasFiscais[[#This Row],[Data da Coleta]]+fNotasFiscais[[#This Row],[Prazo Contratado]]</f>
        <v>43652</v>
      </c>
      <c r="X1905" s="3">
        <f>IF(fNotasFiscais[[#This Row],[Data da Entrega]]&gt;fNotasFiscais[[#This Row],[Data Contratada]],0,1)</f>
        <v>1</v>
      </c>
      <c r="Y1905" s="3">
        <f>IF(fNotasFiscais[[#This Row],[Ocorrência]]="",1,0)</f>
        <v>1</v>
      </c>
      <c r="Z1905" s="2">
        <f>fNotasFiscais[[#This Row],[On Time]]*fNotasFiscais[[#This Row],[In Full]]</f>
        <v>1</v>
      </c>
      <c r="AA1905">
        <f>IF(fNotasFiscais[[#This Row],[Nota Fiscal]]&lt;&gt;"",1,0)</f>
        <v>1</v>
      </c>
    </row>
    <row r="1906" spans="1:27" x14ac:dyDescent="0.25">
      <c r="A1906" s="1">
        <v>43648</v>
      </c>
      <c r="B1906">
        <v>12315</v>
      </c>
      <c r="C1906" s="2" t="s">
        <v>43</v>
      </c>
      <c r="D1906" s="2" t="s">
        <v>44</v>
      </c>
      <c r="E1906" s="2" t="s">
        <v>45</v>
      </c>
      <c r="F1906">
        <v>4148</v>
      </c>
      <c r="G1906" s="2" t="s">
        <v>231</v>
      </c>
      <c r="H1906" s="2" t="s">
        <v>32</v>
      </c>
      <c r="I1906" s="2" t="s">
        <v>33</v>
      </c>
      <c r="J1906" s="2" t="s">
        <v>60</v>
      </c>
      <c r="K1906" s="2" t="s">
        <v>33</v>
      </c>
      <c r="L1906">
        <v>1372.89</v>
      </c>
      <c r="M1906">
        <v>2</v>
      </c>
      <c r="N1906">
        <v>9.1189999999999998</v>
      </c>
      <c r="O1906">
        <v>6400835</v>
      </c>
      <c r="P1906" s="2" t="s">
        <v>130</v>
      </c>
      <c r="Q1906" s="2" t="s">
        <v>131</v>
      </c>
      <c r="R1906" s="2" t="s">
        <v>30</v>
      </c>
      <c r="S1906">
        <v>1</v>
      </c>
      <c r="T1906" s="1">
        <v>43648</v>
      </c>
      <c r="U1906" s="1">
        <v>43650</v>
      </c>
      <c r="V1906" s="2"/>
      <c r="W1906" s="1">
        <f>fNotasFiscais[[#This Row],[Data da Coleta]]+fNotasFiscais[[#This Row],[Prazo Contratado]]</f>
        <v>43649</v>
      </c>
      <c r="X1906" s="3">
        <f>IF(fNotasFiscais[[#This Row],[Data da Entrega]]&gt;fNotasFiscais[[#This Row],[Data Contratada]],0,1)</f>
        <v>0</v>
      </c>
      <c r="Y1906" s="3">
        <f>IF(fNotasFiscais[[#This Row],[Ocorrência]]="",1,0)</f>
        <v>1</v>
      </c>
      <c r="Z1906" s="2">
        <f>fNotasFiscais[[#This Row],[On Time]]*fNotasFiscais[[#This Row],[In Full]]</f>
        <v>0</v>
      </c>
      <c r="AA1906">
        <f>IF(fNotasFiscais[[#This Row],[Nota Fiscal]]&lt;&gt;"",1,0)</f>
        <v>1</v>
      </c>
    </row>
    <row r="1907" spans="1:27" x14ac:dyDescent="0.25">
      <c r="A1907" s="1">
        <v>43648</v>
      </c>
      <c r="B1907">
        <v>12316</v>
      </c>
      <c r="C1907" s="2" t="s">
        <v>52</v>
      </c>
      <c r="D1907" s="2" t="s">
        <v>53</v>
      </c>
      <c r="E1907" s="2" t="s">
        <v>33</v>
      </c>
      <c r="F1907">
        <v>4173</v>
      </c>
      <c r="G1907" s="2" t="s">
        <v>256</v>
      </c>
      <c r="H1907" s="2" t="s">
        <v>35</v>
      </c>
      <c r="I1907" s="2" t="s">
        <v>36</v>
      </c>
      <c r="J1907" s="2" t="s">
        <v>60</v>
      </c>
      <c r="K1907" s="2" t="s">
        <v>36</v>
      </c>
      <c r="L1907">
        <v>2418.65</v>
      </c>
      <c r="M1907">
        <v>1</v>
      </c>
      <c r="N1907">
        <v>6.2590000000000003</v>
      </c>
      <c r="O1907">
        <v>6600879</v>
      </c>
      <c r="P1907" s="2" t="s">
        <v>61</v>
      </c>
      <c r="Q1907" s="2" t="s">
        <v>35</v>
      </c>
      <c r="R1907" s="2" t="s">
        <v>30</v>
      </c>
      <c r="S1907">
        <v>11</v>
      </c>
      <c r="T1907" s="1">
        <v>43648</v>
      </c>
      <c r="U1907" s="1">
        <v>43654</v>
      </c>
      <c r="V1907" s="2"/>
      <c r="W1907" s="1">
        <f>fNotasFiscais[[#This Row],[Data da Coleta]]+fNotasFiscais[[#This Row],[Prazo Contratado]]</f>
        <v>43659</v>
      </c>
      <c r="X1907" s="3">
        <f>IF(fNotasFiscais[[#This Row],[Data da Entrega]]&gt;fNotasFiscais[[#This Row],[Data Contratada]],0,1)</f>
        <v>1</v>
      </c>
      <c r="Y1907" s="3">
        <f>IF(fNotasFiscais[[#This Row],[Ocorrência]]="",1,0)</f>
        <v>1</v>
      </c>
      <c r="Z1907" s="2">
        <f>fNotasFiscais[[#This Row],[On Time]]*fNotasFiscais[[#This Row],[In Full]]</f>
        <v>1</v>
      </c>
      <c r="AA1907">
        <f>IF(fNotasFiscais[[#This Row],[Nota Fiscal]]&lt;&gt;"",1,0)</f>
        <v>1</v>
      </c>
    </row>
    <row r="1908" spans="1:27" x14ac:dyDescent="0.25">
      <c r="A1908" s="1">
        <v>43648</v>
      </c>
      <c r="B1908">
        <v>12317</v>
      </c>
      <c r="C1908" s="2" t="s">
        <v>31</v>
      </c>
      <c r="D1908" s="2" t="s">
        <v>32</v>
      </c>
      <c r="E1908" s="2" t="s">
        <v>33</v>
      </c>
      <c r="F1908">
        <v>4192</v>
      </c>
      <c r="G1908" s="2" t="s">
        <v>275</v>
      </c>
      <c r="H1908" s="2" t="s">
        <v>35</v>
      </c>
      <c r="I1908" s="2" t="s">
        <v>36</v>
      </c>
      <c r="J1908" s="2" t="s">
        <v>60</v>
      </c>
      <c r="K1908" s="2" t="s">
        <v>36</v>
      </c>
      <c r="L1908">
        <v>317.76</v>
      </c>
      <c r="M1908">
        <v>3</v>
      </c>
      <c r="N1908">
        <v>8.8960000000000008</v>
      </c>
      <c r="O1908">
        <v>6600879</v>
      </c>
      <c r="P1908" s="2" t="s">
        <v>61</v>
      </c>
      <c r="Q1908" s="2" t="s">
        <v>35</v>
      </c>
      <c r="R1908" s="2" t="s">
        <v>62</v>
      </c>
      <c r="S1908">
        <v>1</v>
      </c>
      <c r="T1908" s="1">
        <v>43648</v>
      </c>
      <c r="U1908" s="1">
        <v>43651</v>
      </c>
      <c r="V1908" s="2"/>
      <c r="W1908" s="1">
        <f>fNotasFiscais[[#This Row],[Data da Coleta]]+fNotasFiscais[[#This Row],[Prazo Contratado]]</f>
        <v>43649</v>
      </c>
      <c r="X1908" s="3">
        <f>IF(fNotasFiscais[[#This Row],[Data da Entrega]]&gt;fNotasFiscais[[#This Row],[Data Contratada]],0,1)</f>
        <v>0</v>
      </c>
      <c r="Y1908" s="3">
        <f>IF(fNotasFiscais[[#This Row],[Ocorrência]]="",1,0)</f>
        <v>1</v>
      </c>
      <c r="Z1908" s="2">
        <f>fNotasFiscais[[#This Row],[On Time]]*fNotasFiscais[[#This Row],[In Full]]</f>
        <v>0</v>
      </c>
      <c r="AA1908">
        <f>IF(fNotasFiscais[[#This Row],[Nota Fiscal]]&lt;&gt;"",1,0)</f>
        <v>1</v>
      </c>
    </row>
    <row r="1909" spans="1:27" x14ac:dyDescent="0.25">
      <c r="A1909" s="1">
        <v>43649</v>
      </c>
      <c r="B1909">
        <v>12318</v>
      </c>
      <c r="C1909" s="2" t="s">
        <v>31</v>
      </c>
      <c r="D1909" s="2" t="s">
        <v>32</v>
      </c>
      <c r="E1909" s="2" t="s">
        <v>33</v>
      </c>
      <c r="F1909">
        <v>4193</v>
      </c>
      <c r="G1909" s="2" t="s">
        <v>276</v>
      </c>
      <c r="H1909" s="2" t="s">
        <v>32</v>
      </c>
      <c r="I1909" s="2" t="s">
        <v>33</v>
      </c>
      <c r="J1909" s="2" t="s">
        <v>60</v>
      </c>
      <c r="K1909" s="2" t="s">
        <v>33</v>
      </c>
      <c r="L1909">
        <v>1166.49</v>
      </c>
      <c r="M1909">
        <v>1</v>
      </c>
      <c r="N1909">
        <v>1.1200000000000001</v>
      </c>
      <c r="O1909">
        <v>6400835</v>
      </c>
      <c r="P1909" s="2" t="s">
        <v>130</v>
      </c>
      <c r="Q1909" s="2" t="s">
        <v>131</v>
      </c>
      <c r="R1909" s="2" t="s">
        <v>30</v>
      </c>
      <c r="S1909">
        <v>11</v>
      </c>
      <c r="T1909" s="1">
        <v>43649</v>
      </c>
      <c r="U1909" s="1">
        <v>43652</v>
      </c>
      <c r="V1909" s="2"/>
      <c r="W1909" s="1">
        <f>fNotasFiscais[[#This Row],[Data da Coleta]]+fNotasFiscais[[#This Row],[Prazo Contratado]]</f>
        <v>43660</v>
      </c>
      <c r="X1909" s="3">
        <f>IF(fNotasFiscais[[#This Row],[Data da Entrega]]&gt;fNotasFiscais[[#This Row],[Data Contratada]],0,1)</f>
        <v>1</v>
      </c>
      <c r="Y1909" s="3">
        <f>IF(fNotasFiscais[[#This Row],[Ocorrência]]="",1,0)</f>
        <v>1</v>
      </c>
      <c r="Z1909" s="2">
        <f>fNotasFiscais[[#This Row],[On Time]]*fNotasFiscais[[#This Row],[In Full]]</f>
        <v>1</v>
      </c>
      <c r="AA1909">
        <f>IF(fNotasFiscais[[#This Row],[Nota Fiscal]]&lt;&gt;"",1,0)</f>
        <v>1</v>
      </c>
    </row>
    <row r="1910" spans="1:27" x14ac:dyDescent="0.25">
      <c r="A1910" s="1">
        <v>43649</v>
      </c>
      <c r="B1910">
        <v>12319</v>
      </c>
      <c r="C1910" s="2" t="s">
        <v>40</v>
      </c>
      <c r="D1910" s="2" t="s">
        <v>41</v>
      </c>
      <c r="E1910" s="2" t="s">
        <v>33</v>
      </c>
      <c r="F1910">
        <v>4155</v>
      </c>
      <c r="G1910" s="2" t="s">
        <v>238</v>
      </c>
      <c r="H1910" s="2" t="s">
        <v>32</v>
      </c>
      <c r="I1910" s="2" t="s">
        <v>33</v>
      </c>
      <c r="J1910" s="2" t="s">
        <v>60</v>
      </c>
      <c r="K1910" s="2" t="s">
        <v>33</v>
      </c>
      <c r="L1910">
        <v>1229.42</v>
      </c>
      <c r="M1910">
        <v>2</v>
      </c>
      <c r="N1910">
        <v>9.4909999999999997</v>
      </c>
      <c r="O1910">
        <v>6400835</v>
      </c>
      <c r="P1910" s="2" t="s">
        <v>130</v>
      </c>
      <c r="Q1910" s="2" t="s">
        <v>131</v>
      </c>
      <c r="R1910" s="2" t="s">
        <v>30</v>
      </c>
      <c r="S1910">
        <v>2</v>
      </c>
      <c r="T1910" s="1">
        <v>43649</v>
      </c>
      <c r="U1910" s="1">
        <v>43650</v>
      </c>
      <c r="V1910" s="2"/>
      <c r="W1910" s="1">
        <f>fNotasFiscais[[#This Row],[Data da Coleta]]+fNotasFiscais[[#This Row],[Prazo Contratado]]</f>
        <v>43651</v>
      </c>
      <c r="X1910" s="3">
        <f>IF(fNotasFiscais[[#This Row],[Data da Entrega]]&gt;fNotasFiscais[[#This Row],[Data Contratada]],0,1)</f>
        <v>1</v>
      </c>
      <c r="Y1910" s="3">
        <f>IF(fNotasFiscais[[#This Row],[Ocorrência]]="",1,0)</f>
        <v>1</v>
      </c>
      <c r="Z1910" s="2">
        <f>fNotasFiscais[[#This Row],[On Time]]*fNotasFiscais[[#This Row],[In Full]]</f>
        <v>1</v>
      </c>
      <c r="AA1910">
        <f>IF(fNotasFiscais[[#This Row],[Nota Fiscal]]&lt;&gt;"",1,0)</f>
        <v>1</v>
      </c>
    </row>
    <row r="1911" spans="1:27" x14ac:dyDescent="0.25">
      <c r="A1911" s="1">
        <v>43649</v>
      </c>
      <c r="B1911">
        <v>12320</v>
      </c>
      <c r="C1911" s="2" t="s">
        <v>22</v>
      </c>
      <c r="D1911" s="2" t="s">
        <v>23</v>
      </c>
      <c r="E1911" s="2" t="s">
        <v>24</v>
      </c>
      <c r="F1911">
        <v>4156</v>
      </c>
      <c r="G1911" s="2" t="s">
        <v>239</v>
      </c>
      <c r="H1911" s="2" t="s">
        <v>165</v>
      </c>
      <c r="I1911" s="2" t="s">
        <v>24</v>
      </c>
      <c r="J1911" s="2" t="s">
        <v>28</v>
      </c>
      <c r="K1911" s="2" t="s">
        <v>24</v>
      </c>
      <c r="L1911">
        <v>196.18</v>
      </c>
      <c r="M1911">
        <v>1</v>
      </c>
      <c r="N1911">
        <v>1.1200000000000001</v>
      </c>
      <c r="O1911">
        <v>6500948</v>
      </c>
      <c r="P1911" s="2" t="s">
        <v>29</v>
      </c>
      <c r="Q1911" s="2" t="s">
        <v>23</v>
      </c>
      <c r="R1911" s="2" t="s">
        <v>30</v>
      </c>
      <c r="S1911">
        <v>8</v>
      </c>
      <c r="T1911" s="1">
        <v>43649</v>
      </c>
      <c r="U1911" s="1">
        <v>43650</v>
      </c>
      <c r="V1911" s="2"/>
      <c r="W1911" s="1">
        <f>fNotasFiscais[[#This Row],[Data da Coleta]]+fNotasFiscais[[#This Row],[Prazo Contratado]]</f>
        <v>43657</v>
      </c>
      <c r="X1911" s="3">
        <f>IF(fNotasFiscais[[#This Row],[Data da Entrega]]&gt;fNotasFiscais[[#This Row],[Data Contratada]],0,1)</f>
        <v>1</v>
      </c>
      <c r="Y1911" s="3">
        <f>IF(fNotasFiscais[[#This Row],[Ocorrência]]="",1,0)</f>
        <v>1</v>
      </c>
      <c r="Z1911" s="2">
        <f>fNotasFiscais[[#This Row],[On Time]]*fNotasFiscais[[#This Row],[In Full]]</f>
        <v>1</v>
      </c>
      <c r="AA1911">
        <f>IF(fNotasFiscais[[#This Row],[Nota Fiscal]]&lt;&gt;"",1,0)</f>
        <v>1</v>
      </c>
    </row>
    <row r="1912" spans="1:27" x14ac:dyDescent="0.25">
      <c r="A1912" s="1">
        <v>43649</v>
      </c>
      <c r="B1912">
        <v>12321</v>
      </c>
      <c r="C1912" s="2" t="s">
        <v>43</v>
      </c>
      <c r="D1912" s="2" t="s">
        <v>44</v>
      </c>
      <c r="E1912" s="2" t="s">
        <v>45</v>
      </c>
      <c r="F1912">
        <v>4165</v>
      </c>
      <c r="G1912" s="2" t="s">
        <v>248</v>
      </c>
      <c r="H1912" s="2" t="s">
        <v>167</v>
      </c>
      <c r="I1912" s="2" t="s">
        <v>168</v>
      </c>
      <c r="J1912" s="2" t="s">
        <v>169</v>
      </c>
      <c r="K1912" s="2" t="s">
        <v>168</v>
      </c>
      <c r="L1912">
        <v>3343.04</v>
      </c>
      <c r="M1912">
        <v>3</v>
      </c>
      <c r="N1912">
        <v>20.827000000000002</v>
      </c>
      <c r="O1912">
        <v>6900304</v>
      </c>
      <c r="P1912" s="2" t="s">
        <v>170</v>
      </c>
      <c r="Q1912" s="2" t="s">
        <v>171</v>
      </c>
      <c r="R1912" s="2" t="s">
        <v>30</v>
      </c>
      <c r="S1912">
        <v>3</v>
      </c>
      <c r="T1912" s="1">
        <v>43649</v>
      </c>
      <c r="U1912" s="1">
        <v>43650</v>
      </c>
      <c r="V1912" s="2"/>
      <c r="W1912" s="1">
        <f>fNotasFiscais[[#This Row],[Data da Coleta]]+fNotasFiscais[[#This Row],[Prazo Contratado]]</f>
        <v>43652</v>
      </c>
      <c r="X1912" s="3">
        <f>IF(fNotasFiscais[[#This Row],[Data da Entrega]]&gt;fNotasFiscais[[#This Row],[Data Contratada]],0,1)</f>
        <v>1</v>
      </c>
      <c r="Y1912" s="3">
        <f>IF(fNotasFiscais[[#This Row],[Ocorrência]]="",1,0)</f>
        <v>1</v>
      </c>
      <c r="Z1912" s="2">
        <f>fNotasFiscais[[#This Row],[On Time]]*fNotasFiscais[[#This Row],[In Full]]</f>
        <v>1</v>
      </c>
      <c r="AA1912">
        <f>IF(fNotasFiscais[[#This Row],[Nota Fiscal]]&lt;&gt;"",1,0)</f>
        <v>1</v>
      </c>
    </row>
    <row r="1913" spans="1:27" x14ac:dyDescent="0.25">
      <c r="A1913" s="1">
        <v>43649</v>
      </c>
      <c r="B1913">
        <v>12322</v>
      </c>
      <c r="C1913" s="2" t="s">
        <v>54</v>
      </c>
      <c r="D1913" s="2" t="s">
        <v>55</v>
      </c>
      <c r="E1913" s="2" t="s">
        <v>56</v>
      </c>
      <c r="F1913">
        <v>4137</v>
      </c>
      <c r="G1913" s="2" t="s">
        <v>220</v>
      </c>
      <c r="H1913" s="2" t="s">
        <v>32</v>
      </c>
      <c r="I1913" s="2" t="s">
        <v>33</v>
      </c>
      <c r="J1913" s="2" t="s">
        <v>60</v>
      </c>
      <c r="K1913" s="2" t="s">
        <v>33</v>
      </c>
      <c r="L1913">
        <v>780.79</v>
      </c>
      <c r="M1913">
        <v>1</v>
      </c>
      <c r="N1913">
        <v>4.3999999999999997E-2</v>
      </c>
      <c r="O1913">
        <v>6400835</v>
      </c>
      <c r="P1913" s="2" t="s">
        <v>130</v>
      </c>
      <c r="Q1913" s="2" t="s">
        <v>131</v>
      </c>
      <c r="R1913" s="2" t="s">
        <v>30</v>
      </c>
      <c r="S1913">
        <v>8</v>
      </c>
      <c r="T1913" s="1">
        <v>43649</v>
      </c>
      <c r="U1913" s="1">
        <v>43659</v>
      </c>
      <c r="V1913" s="2"/>
      <c r="W1913" s="1">
        <f>fNotasFiscais[[#This Row],[Data da Coleta]]+fNotasFiscais[[#This Row],[Prazo Contratado]]</f>
        <v>43657</v>
      </c>
      <c r="X1913" s="3">
        <f>IF(fNotasFiscais[[#This Row],[Data da Entrega]]&gt;fNotasFiscais[[#This Row],[Data Contratada]],0,1)</f>
        <v>0</v>
      </c>
      <c r="Y1913" s="3">
        <f>IF(fNotasFiscais[[#This Row],[Ocorrência]]="",1,0)</f>
        <v>1</v>
      </c>
      <c r="Z1913" s="2">
        <f>fNotasFiscais[[#This Row],[On Time]]*fNotasFiscais[[#This Row],[In Full]]</f>
        <v>0</v>
      </c>
      <c r="AA1913">
        <f>IF(fNotasFiscais[[#This Row],[Nota Fiscal]]&lt;&gt;"",1,0)</f>
        <v>1</v>
      </c>
    </row>
    <row r="1914" spans="1:27" x14ac:dyDescent="0.25">
      <c r="A1914" s="1">
        <v>43649</v>
      </c>
      <c r="B1914">
        <v>12323</v>
      </c>
      <c r="C1914" s="2" t="s">
        <v>22</v>
      </c>
      <c r="D1914" s="2" t="s">
        <v>23</v>
      </c>
      <c r="E1914" s="2" t="s">
        <v>24</v>
      </c>
      <c r="F1914">
        <v>4144</v>
      </c>
      <c r="G1914" s="2" t="s">
        <v>227</v>
      </c>
      <c r="H1914" s="2" t="s">
        <v>183</v>
      </c>
      <c r="I1914" s="2" t="s">
        <v>33</v>
      </c>
      <c r="J1914" s="2" t="s">
        <v>60</v>
      </c>
      <c r="K1914" s="2" t="s">
        <v>33</v>
      </c>
      <c r="L1914">
        <v>234.16</v>
      </c>
      <c r="M1914">
        <v>1</v>
      </c>
      <c r="N1914">
        <v>0.91900000000000004</v>
      </c>
      <c r="O1914">
        <v>6400835</v>
      </c>
      <c r="P1914" s="2" t="s">
        <v>130</v>
      </c>
      <c r="Q1914" s="2" t="s">
        <v>131</v>
      </c>
      <c r="R1914" s="2" t="s">
        <v>30</v>
      </c>
      <c r="S1914">
        <v>5</v>
      </c>
      <c r="T1914" s="1">
        <v>43649</v>
      </c>
      <c r="U1914" s="1">
        <v>43659</v>
      </c>
      <c r="V1914" s="2"/>
      <c r="W1914" s="1">
        <f>fNotasFiscais[[#This Row],[Data da Coleta]]+fNotasFiscais[[#This Row],[Prazo Contratado]]</f>
        <v>43654</v>
      </c>
      <c r="X1914" s="3">
        <f>IF(fNotasFiscais[[#This Row],[Data da Entrega]]&gt;fNotasFiscais[[#This Row],[Data Contratada]],0,1)</f>
        <v>0</v>
      </c>
      <c r="Y1914" s="3">
        <f>IF(fNotasFiscais[[#This Row],[Ocorrência]]="",1,0)</f>
        <v>1</v>
      </c>
      <c r="Z1914" s="2">
        <f>fNotasFiscais[[#This Row],[On Time]]*fNotasFiscais[[#This Row],[In Full]]</f>
        <v>0</v>
      </c>
      <c r="AA1914">
        <f>IF(fNotasFiscais[[#This Row],[Nota Fiscal]]&lt;&gt;"",1,0)</f>
        <v>1</v>
      </c>
    </row>
    <row r="1915" spans="1:27" x14ac:dyDescent="0.25">
      <c r="A1915" s="1">
        <v>43649</v>
      </c>
      <c r="B1915">
        <v>12324</v>
      </c>
      <c r="C1915" s="2" t="s">
        <v>52</v>
      </c>
      <c r="D1915" s="2" t="s">
        <v>53</v>
      </c>
      <c r="E1915" s="2" t="s">
        <v>33</v>
      </c>
      <c r="F1915">
        <v>4161</v>
      </c>
      <c r="G1915" s="2" t="s">
        <v>244</v>
      </c>
      <c r="H1915" s="2" t="s">
        <v>167</v>
      </c>
      <c r="I1915" s="2" t="s">
        <v>168</v>
      </c>
      <c r="J1915" s="2" t="s">
        <v>169</v>
      </c>
      <c r="K1915" s="2" t="s">
        <v>168</v>
      </c>
      <c r="L1915">
        <v>842.2</v>
      </c>
      <c r="M1915">
        <v>1</v>
      </c>
      <c r="N1915">
        <v>1.804</v>
      </c>
      <c r="O1915">
        <v>6900304</v>
      </c>
      <c r="P1915" s="2" t="s">
        <v>170</v>
      </c>
      <c r="Q1915" s="2" t="s">
        <v>171</v>
      </c>
      <c r="R1915" s="2" t="s">
        <v>30</v>
      </c>
      <c r="S1915">
        <v>7</v>
      </c>
      <c r="T1915" s="1">
        <v>43649</v>
      </c>
      <c r="U1915" s="1">
        <v>43659</v>
      </c>
      <c r="V1915" s="2"/>
      <c r="W1915" s="1">
        <f>fNotasFiscais[[#This Row],[Data da Coleta]]+fNotasFiscais[[#This Row],[Prazo Contratado]]</f>
        <v>43656</v>
      </c>
      <c r="X1915" s="3">
        <f>IF(fNotasFiscais[[#This Row],[Data da Entrega]]&gt;fNotasFiscais[[#This Row],[Data Contratada]],0,1)</f>
        <v>0</v>
      </c>
      <c r="Y1915" s="3">
        <f>IF(fNotasFiscais[[#This Row],[Ocorrência]]="",1,0)</f>
        <v>1</v>
      </c>
      <c r="Z1915" s="2">
        <f>fNotasFiscais[[#This Row],[On Time]]*fNotasFiscais[[#This Row],[In Full]]</f>
        <v>0</v>
      </c>
      <c r="AA1915">
        <f>IF(fNotasFiscais[[#This Row],[Nota Fiscal]]&lt;&gt;"",1,0)</f>
        <v>1</v>
      </c>
    </row>
    <row r="1916" spans="1:27" x14ac:dyDescent="0.25">
      <c r="A1916" s="1">
        <v>43649</v>
      </c>
      <c r="B1916">
        <v>12325</v>
      </c>
      <c r="C1916" s="2" t="s">
        <v>54</v>
      </c>
      <c r="D1916" s="2" t="s">
        <v>55</v>
      </c>
      <c r="E1916" s="2" t="s">
        <v>56</v>
      </c>
      <c r="F1916">
        <v>4194</v>
      </c>
      <c r="G1916" s="2" t="s">
        <v>277</v>
      </c>
      <c r="H1916" s="2" t="s">
        <v>173</v>
      </c>
      <c r="I1916" s="2" t="s">
        <v>174</v>
      </c>
      <c r="J1916" s="2" t="s">
        <v>175</v>
      </c>
      <c r="K1916" s="2" t="s">
        <v>174</v>
      </c>
      <c r="L1916">
        <v>1176.01</v>
      </c>
      <c r="M1916">
        <v>1</v>
      </c>
      <c r="N1916">
        <v>17.16</v>
      </c>
      <c r="O1916">
        <v>6700091</v>
      </c>
      <c r="P1916" s="2" t="s">
        <v>176</v>
      </c>
      <c r="Q1916" s="2" t="s">
        <v>173</v>
      </c>
      <c r="R1916" s="2" t="s">
        <v>30</v>
      </c>
      <c r="S1916">
        <v>4</v>
      </c>
      <c r="T1916" s="1">
        <v>43649</v>
      </c>
      <c r="U1916" s="1">
        <v>43652</v>
      </c>
      <c r="V1916" s="2"/>
      <c r="W1916" s="1">
        <f>fNotasFiscais[[#This Row],[Data da Coleta]]+fNotasFiscais[[#This Row],[Prazo Contratado]]</f>
        <v>43653</v>
      </c>
      <c r="X1916" s="3">
        <f>IF(fNotasFiscais[[#This Row],[Data da Entrega]]&gt;fNotasFiscais[[#This Row],[Data Contratada]],0,1)</f>
        <v>1</v>
      </c>
      <c r="Y1916" s="3">
        <f>IF(fNotasFiscais[[#This Row],[Ocorrência]]="",1,0)</f>
        <v>1</v>
      </c>
      <c r="Z1916" s="2">
        <f>fNotasFiscais[[#This Row],[On Time]]*fNotasFiscais[[#This Row],[In Full]]</f>
        <v>1</v>
      </c>
      <c r="AA1916">
        <f>IF(fNotasFiscais[[#This Row],[Nota Fiscal]]&lt;&gt;"",1,0)</f>
        <v>1</v>
      </c>
    </row>
    <row r="1917" spans="1:27" x14ac:dyDescent="0.25">
      <c r="A1917" s="1">
        <v>43649</v>
      </c>
      <c r="B1917">
        <v>12326</v>
      </c>
      <c r="C1917" s="2" t="s">
        <v>52</v>
      </c>
      <c r="D1917" s="2" t="s">
        <v>53</v>
      </c>
      <c r="E1917" s="2" t="s">
        <v>33</v>
      </c>
      <c r="F1917">
        <v>4068</v>
      </c>
      <c r="G1917" s="2" t="s">
        <v>63</v>
      </c>
      <c r="H1917" s="2" t="s">
        <v>64</v>
      </c>
      <c r="I1917" s="2" t="s">
        <v>65</v>
      </c>
      <c r="J1917" s="2" t="s">
        <v>49</v>
      </c>
      <c r="K1917" s="2" t="s">
        <v>65</v>
      </c>
      <c r="L1917">
        <v>623.22</v>
      </c>
      <c r="M1917">
        <v>1</v>
      </c>
      <c r="N1917">
        <v>0.77600000000000002</v>
      </c>
      <c r="O1917">
        <v>6100231</v>
      </c>
      <c r="P1917" s="2" t="s">
        <v>50</v>
      </c>
      <c r="Q1917" s="2" t="s">
        <v>51</v>
      </c>
      <c r="R1917" s="2" t="s">
        <v>30</v>
      </c>
      <c r="S1917">
        <v>10</v>
      </c>
      <c r="T1917" s="1">
        <v>43649</v>
      </c>
      <c r="U1917" s="1">
        <v>43652</v>
      </c>
      <c r="V1917" s="2"/>
      <c r="W1917" s="1">
        <f>fNotasFiscais[[#This Row],[Data da Coleta]]+fNotasFiscais[[#This Row],[Prazo Contratado]]</f>
        <v>43659</v>
      </c>
      <c r="X1917" s="3">
        <f>IF(fNotasFiscais[[#This Row],[Data da Entrega]]&gt;fNotasFiscais[[#This Row],[Data Contratada]],0,1)</f>
        <v>1</v>
      </c>
      <c r="Y1917" s="3">
        <f>IF(fNotasFiscais[[#This Row],[Ocorrência]]="",1,0)</f>
        <v>1</v>
      </c>
      <c r="Z1917" s="2">
        <f>fNotasFiscais[[#This Row],[On Time]]*fNotasFiscais[[#This Row],[In Full]]</f>
        <v>1</v>
      </c>
      <c r="AA1917">
        <f>IF(fNotasFiscais[[#This Row],[Nota Fiscal]]&lt;&gt;"",1,0)</f>
        <v>1</v>
      </c>
    </row>
    <row r="1918" spans="1:27" x14ac:dyDescent="0.25">
      <c r="A1918" s="1">
        <v>43649</v>
      </c>
      <c r="B1918">
        <v>12327</v>
      </c>
      <c r="C1918" s="2" t="s">
        <v>43</v>
      </c>
      <c r="D1918" s="2" t="s">
        <v>44</v>
      </c>
      <c r="E1918" s="2" t="s">
        <v>45</v>
      </c>
      <c r="F1918">
        <v>4068</v>
      </c>
      <c r="G1918" s="2" t="s">
        <v>63</v>
      </c>
      <c r="H1918" s="2" t="s">
        <v>64</v>
      </c>
      <c r="I1918" s="2" t="s">
        <v>65</v>
      </c>
      <c r="J1918" s="2" t="s">
        <v>49</v>
      </c>
      <c r="K1918" s="2" t="s">
        <v>65</v>
      </c>
      <c r="L1918">
        <v>990.31</v>
      </c>
      <c r="M1918">
        <v>1</v>
      </c>
      <c r="N1918">
        <v>15.18</v>
      </c>
      <c r="O1918">
        <v>6100231</v>
      </c>
      <c r="P1918" s="2" t="s">
        <v>50</v>
      </c>
      <c r="Q1918" s="2" t="s">
        <v>51</v>
      </c>
      <c r="R1918" s="2" t="s">
        <v>30</v>
      </c>
      <c r="S1918">
        <v>1</v>
      </c>
      <c r="T1918" s="1">
        <v>43649</v>
      </c>
      <c r="U1918" s="1">
        <v>43656</v>
      </c>
      <c r="V1918" s="2"/>
      <c r="W1918" s="1">
        <f>fNotasFiscais[[#This Row],[Data da Coleta]]+fNotasFiscais[[#This Row],[Prazo Contratado]]</f>
        <v>43650</v>
      </c>
      <c r="X1918" s="3">
        <f>IF(fNotasFiscais[[#This Row],[Data da Entrega]]&gt;fNotasFiscais[[#This Row],[Data Contratada]],0,1)</f>
        <v>0</v>
      </c>
      <c r="Y1918" s="3">
        <f>IF(fNotasFiscais[[#This Row],[Ocorrência]]="",1,0)</f>
        <v>1</v>
      </c>
      <c r="Z1918" s="2">
        <f>fNotasFiscais[[#This Row],[On Time]]*fNotasFiscais[[#This Row],[In Full]]</f>
        <v>0</v>
      </c>
      <c r="AA1918">
        <f>IF(fNotasFiscais[[#This Row],[Nota Fiscal]]&lt;&gt;"",1,0)</f>
        <v>1</v>
      </c>
    </row>
    <row r="1919" spans="1:27" x14ac:dyDescent="0.25">
      <c r="A1919" s="1">
        <v>43650</v>
      </c>
      <c r="B1919">
        <v>12328</v>
      </c>
      <c r="C1919" s="2" t="s">
        <v>40</v>
      </c>
      <c r="D1919" s="2" t="s">
        <v>41</v>
      </c>
      <c r="E1919" s="2" t="s">
        <v>33</v>
      </c>
      <c r="F1919">
        <v>4164</v>
      </c>
      <c r="G1919" s="2" t="s">
        <v>247</v>
      </c>
      <c r="H1919" s="2" t="s">
        <v>165</v>
      </c>
      <c r="I1919" s="2" t="s">
        <v>24</v>
      </c>
      <c r="J1919" s="2" t="s">
        <v>28</v>
      </c>
      <c r="K1919" s="2" t="s">
        <v>24</v>
      </c>
      <c r="L1919">
        <v>1097.8499999999999</v>
      </c>
      <c r="M1919">
        <v>2</v>
      </c>
      <c r="N1919">
        <v>3.5720000000000001</v>
      </c>
      <c r="O1919">
        <v>6500948</v>
      </c>
      <c r="P1919" s="2" t="s">
        <v>29</v>
      </c>
      <c r="Q1919" s="2" t="s">
        <v>23</v>
      </c>
      <c r="R1919" s="2" t="s">
        <v>30</v>
      </c>
      <c r="S1919">
        <v>9</v>
      </c>
      <c r="T1919" s="1">
        <v>43650</v>
      </c>
      <c r="U1919" s="1">
        <v>43652</v>
      </c>
      <c r="V1919" s="2"/>
      <c r="W1919" s="1">
        <f>fNotasFiscais[[#This Row],[Data da Coleta]]+fNotasFiscais[[#This Row],[Prazo Contratado]]</f>
        <v>43659</v>
      </c>
      <c r="X1919" s="3">
        <f>IF(fNotasFiscais[[#This Row],[Data da Entrega]]&gt;fNotasFiscais[[#This Row],[Data Contratada]],0,1)</f>
        <v>1</v>
      </c>
      <c r="Y1919" s="3">
        <f>IF(fNotasFiscais[[#This Row],[Ocorrência]]="",1,0)</f>
        <v>1</v>
      </c>
      <c r="Z1919" s="2">
        <f>fNotasFiscais[[#This Row],[On Time]]*fNotasFiscais[[#This Row],[In Full]]</f>
        <v>1</v>
      </c>
      <c r="AA1919">
        <f>IF(fNotasFiscais[[#This Row],[Nota Fiscal]]&lt;&gt;"",1,0)</f>
        <v>1</v>
      </c>
    </row>
    <row r="1920" spans="1:27" x14ac:dyDescent="0.25">
      <c r="A1920" s="1">
        <v>43652</v>
      </c>
      <c r="B1920">
        <v>12329</v>
      </c>
      <c r="C1920" s="2" t="s">
        <v>34</v>
      </c>
      <c r="D1920" s="2" t="s">
        <v>35</v>
      </c>
      <c r="E1920" s="2" t="s">
        <v>36</v>
      </c>
      <c r="F1920">
        <v>4068</v>
      </c>
      <c r="G1920" s="2" t="s">
        <v>63</v>
      </c>
      <c r="H1920" s="2" t="s">
        <v>64</v>
      </c>
      <c r="I1920" s="2" t="s">
        <v>65</v>
      </c>
      <c r="J1920" s="2" t="s">
        <v>49</v>
      </c>
      <c r="K1920" s="2" t="s">
        <v>65</v>
      </c>
      <c r="L1920">
        <v>2326.69</v>
      </c>
      <c r="M1920">
        <v>4</v>
      </c>
      <c r="N1920">
        <v>9.68</v>
      </c>
      <c r="O1920">
        <v>6100231</v>
      </c>
      <c r="P1920" s="2" t="s">
        <v>50</v>
      </c>
      <c r="Q1920" s="2" t="s">
        <v>51</v>
      </c>
      <c r="R1920" s="2" t="s">
        <v>30</v>
      </c>
      <c r="S1920">
        <v>1</v>
      </c>
      <c r="T1920" s="1">
        <v>43652</v>
      </c>
      <c r="U1920" s="1">
        <v>43660</v>
      </c>
      <c r="V1920" s="2"/>
      <c r="W1920" s="1">
        <f>fNotasFiscais[[#This Row],[Data da Coleta]]+fNotasFiscais[[#This Row],[Prazo Contratado]]</f>
        <v>43653</v>
      </c>
      <c r="X1920" s="3">
        <f>IF(fNotasFiscais[[#This Row],[Data da Entrega]]&gt;fNotasFiscais[[#This Row],[Data Contratada]],0,1)</f>
        <v>0</v>
      </c>
      <c r="Y1920" s="3">
        <f>IF(fNotasFiscais[[#This Row],[Ocorrência]]="",1,0)</f>
        <v>1</v>
      </c>
      <c r="Z1920" s="2">
        <f>fNotasFiscais[[#This Row],[On Time]]*fNotasFiscais[[#This Row],[In Full]]</f>
        <v>0</v>
      </c>
      <c r="AA1920">
        <f>IF(fNotasFiscais[[#This Row],[Nota Fiscal]]&lt;&gt;"",1,0)</f>
        <v>1</v>
      </c>
    </row>
    <row r="1921" spans="1:27" x14ac:dyDescent="0.25">
      <c r="A1921" s="1">
        <v>43652</v>
      </c>
      <c r="B1921">
        <v>12330</v>
      </c>
      <c r="C1921" s="2" t="s">
        <v>22</v>
      </c>
      <c r="D1921" s="2" t="s">
        <v>23</v>
      </c>
      <c r="E1921" s="2" t="s">
        <v>24</v>
      </c>
      <c r="F1921">
        <v>4128</v>
      </c>
      <c r="G1921" s="2" t="s">
        <v>211</v>
      </c>
      <c r="H1921" s="2" t="s">
        <v>167</v>
      </c>
      <c r="I1921" s="2" t="s">
        <v>168</v>
      </c>
      <c r="J1921" s="2" t="s">
        <v>169</v>
      </c>
      <c r="K1921" s="2" t="s">
        <v>168</v>
      </c>
      <c r="L1921">
        <v>886.74</v>
      </c>
      <c r="M1921">
        <v>2</v>
      </c>
      <c r="N1921">
        <v>1.266</v>
      </c>
      <c r="O1921">
        <v>6900304</v>
      </c>
      <c r="P1921" s="2" t="s">
        <v>170</v>
      </c>
      <c r="Q1921" s="2" t="s">
        <v>171</v>
      </c>
      <c r="R1921" s="2" t="s">
        <v>30</v>
      </c>
      <c r="S1921">
        <v>9</v>
      </c>
      <c r="T1921" s="1">
        <v>43652</v>
      </c>
      <c r="U1921" s="1">
        <v>43654</v>
      </c>
      <c r="V1921" s="2"/>
      <c r="W1921" s="1">
        <f>fNotasFiscais[[#This Row],[Data da Coleta]]+fNotasFiscais[[#This Row],[Prazo Contratado]]</f>
        <v>43661</v>
      </c>
      <c r="X1921" s="3">
        <f>IF(fNotasFiscais[[#This Row],[Data da Entrega]]&gt;fNotasFiscais[[#This Row],[Data Contratada]],0,1)</f>
        <v>1</v>
      </c>
      <c r="Y1921" s="3">
        <f>IF(fNotasFiscais[[#This Row],[Ocorrência]]="",1,0)</f>
        <v>1</v>
      </c>
      <c r="Z1921" s="2">
        <f>fNotasFiscais[[#This Row],[On Time]]*fNotasFiscais[[#This Row],[In Full]]</f>
        <v>1</v>
      </c>
      <c r="AA1921">
        <f>IF(fNotasFiscais[[#This Row],[Nota Fiscal]]&lt;&gt;"",1,0)</f>
        <v>1</v>
      </c>
    </row>
    <row r="1922" spans="1:27" x14ac:dyDescent="0.25">
      <c r="A1922" s="1">
        <v>43652</v>
      </c>
      <c r="B1922">
        <v>12331</v>
      </c>
      <c r="C1922" s="2" t="s">
        <v>31</v>
      </c>
      <c r="D1922" s="2" t="s">
        <v>32</v>
      </c>
      <c r="E1922" s="2" t="s">
        <v>33</v>
      </c>
      <c r="F1922">
        <v>4126</v>
      </c>
      <c r="G1922" s="2" t="s">
        <v>209</v>
      </c>
      <c r="H1922" s="2" t="s">
        <v>35</v>
      </c>
      <c r="I1922" s="2" t="s">
        <v>36</v>
      </c>
      <c r="J1922" s="2" t="s">
        <v>60</v>
      </c>
      <c r="K1922" s="2" t="s">
        <v>36</v>
      </c>
      <c r="L1922">
        <v>260.64999999999998</v>
      </c>
      <c r="M1922">
        <v>4</v>
      </c>
      <c r="N1922">
        <v>33.317999999999998</v>
      </c>
      <c r="O1922">
        <v>6600879</v>
      </c>
      <c r="P1922" s="2" t="s">
        <v>61</v>
      </c>
      <c r="Q1922" s="2" t="s">
        <v>35</v>
      </c>
      <c r="R1922" s="2" t="s">
        <v>30</v>
      </c>
      <c r="S1922">
        <v>5</v>
      </c>
      <c r="T1922" s="1">
        <v>43652</v>
      </c>
      <c r="U1922" s="1">
        <v>43661</v>
      </c>
      <c r="V1922" s="2"/>
      <c r="W1922" s="1">
        <f>fNotasFiscais[[#This Row],[Data da Coleta]]+fNotasFiscais[[#This Row],[Prazo Contratado]]</f>
        <v>43657</v>
      </c>
      <c r="X1922" s="3">
        <f>IF(fNotasFiscais[[#This Row],[Data da Entrega]]&gt;fNotasFiscais[[#This Row],[Data Contratada]],0,1)</f>
        <v>0</v>
      </c>
      <c r="Y1922" s="3">
        <f>IF(fNotasFiscais[[#This Row],[Ocorrência]]="",1,0)</f>
        <v>1</v>
      </c>
      <c r="Z1922" s="2">
        <f>fNotasFiscais[[#This Row],[On Time]]*fNotasFiscais[[#This Row],[In Full]]</f>
        <v>0</v>
      </c>
      <c r="AA1922">
        <f>IF(fNotasFiscais[[#This Row],[Nota Fiscal]]&lt;&gt;"",1,0)</f>
        <v>1</v>
      </c>
    </row>
    <row r="1923" spans="1:27" x14ac:dyDescent="0.25">
      <c r="A1923" s="1">
        <v>43652</v>
      </c>
      <c r="B1923">
        <v>12332</v>
      </c>
      <c r="C1923" s="2" t="s">
        <v>22</v>
      </c>
      <c r="D1923" s="2" t="s">
        <v>23</v>
      </c>
      <c r="E1923" s="2" t="s">
        <v>24</v>
      </c>
      <c r="F1923">
        <v>4126</v>
      </c>
      <c r="G1923" s="2" t="s">
        <v>209</v>
      </c>
      <c r="H1923" s="2" t="s">
        <v>35</v>
      </c>
      <c r="I1923" s="2" t="s">
        <v>36</v>
      </c>
      <c r="J1923" s="2" t="s">
        <v>60</v>
      </c>
      <c r="K1923" s="2" t="s">
        <v>36</v>
      </c>
      <c r="L1923">
        <v>1215.3599999999999</v>
      </c>
      <c r="M1923">
        <v>1</v>
      </c>
      <c r="N1923">
        <v>1.1200000000000001</v>
      </c>
      <c r="O1923">
        <v>6600879</v>
      </c>
      <c r="P1923" s="2" t="s">
        <v>61</v>
      </c>
      <c r="Q1923" s="2" t="s">
        <v>35</v>
      </c>
      <c r="R1923" s="2" t="s">
        <v>30</v>
      </c>
      <c r="S1923">
        <v>8</v>
      </c>
      <c r="T1923" s="1">
        <v>43652</v>
      </c>
      <c r="U1923" s="1">
        <v>43658</v>
      </c>
      <c r="V1923" s="2"/>
      <c r="W1923" s="1">
        <f>fNotasFiscais[[#This Row],[Data da Coleta]]+fNotasFiscais[[#This Row],[Prazo Contratado]]</f>
        <v>43660</v>
      </c>
      <c r="X1923" s="3">
        <f>IF(fNotasFiscais[[#This Row],[Data da Entrega]]&gt;fNotasFiscais[[#This Row],[Data Contratada]],0,1)</f>
        <v>1</v>
      </c>
      <c r="Y1923" s="3">
        <f>IF(fNotasFiscais[[#This Row],[Ocorrência]]="",1,0)</f>
        <v>1</v>
      </c>
      <c r="Z1923" s="2">
        <f>fNotasFiscais[[#This Row],[On Time]]*fNotasFiscais[[#This Row],[In Full]]</f>
        <v>1</v>
      </c>
      <c r="AA1923">
        <f>IF(fNotasFiscais[[#This Row],[Nota Fiscal]]&lt;&gt;"",1,0)</f>
        <v>1</v>
      </c>
    </row>
    <row r="1924" spans="1:27" x14ac:dyDescent="0.25">
      <c r="A1924" s="1">
        <v>43655</v>
      </c>
      <c r="B1924">
        <v>12333</v>
      </c>
      <c r="C1924" s="2" t="s">
        <v>40</v>
      </c>
      <c r="D1924" s="2" t="s">
        <v>41</v>
      </c>
      <c r="E1924" s="2" t="s">
        <v>33</v>
      </c>
      <c r="F1924">
        <v>4166</v>
      </c>
      <c r="G1924" s="2" t="s">
        <v>249</v>
      </c>
      <c r="H1924" s="2" t="s">
        <v>173</v>
      </c>
      <c r="I1924" s="2" t="s">
        <v>174</v>
      </c>
      <c r="J1924" s="2" t="s">
        <v>175</v>
      </c>
      <c r="K1924" s="2" t="s">
        <v>174</v>
      </c>
      <c r="L1924">
        <v>1368.22</v>
      </c>
      <c r="M1924">
        <v>2</v>
      </c>
      <c r="N1924">
        <v>12.414999999999999</v>
      </c>
      <c r="O1924">
        <v>6700091</v>
      </c>
      <c r="P1924" s="2" t="s">
        <v>176</v>
      </c>
      <c r="Q1924" s="2" t="s">
        <v>173</v>
      </c>
      <c r="R1924" s="2" t="s">
        <v>30</v>
      </c>
      <c r="S1924">
        <v>9</v>
      </c>
      <c r="T1924" s="1">
        <v>43655</v>
      </c>
      <c r="U1924" s="1">
        <v>43661</v>
      </c>
      <c r="V1924" s="2"/>
      <c r="W1924" s="1">
        <f>fNotasFiscais[[#This Row],[Data da Coleta]]+fNotasFiscais[[#This Row],[Prazo Contratado]]</f>
        <v>43664</v>
      </c>
      <c r="X1924" s="3">
        <f>IF(fNotasFiscais[[#This Row],[Data da Entrega]]&gt;fNotasFiscais[[#This Row],[Data Contratada]],0,1)</f>
        <v>1</v>
      </c>
      <c r="Y1924" s="3">
        <f>IF(fNotasFiscais[[#This Row],[Ocorrência]]="",1,0)</f>
        <v>1</v>
      </c>
      <c r="Z1924" s="2">
        <f>fNotasFiscais[[#This Row],[On Time]]*fNotasFiscais[[#This Row],[In Full]]</f>
        <v>1</v>
      </c>
      <c r="AA1924">
        <f>IF(fNotasFiscais[[#This Row],[Nota Fiscal]]&lt;&gt;"",1,0)</f>
        <v>1</v>
      </c>
    </row>
    <row r="1925" spans="1:27" x14ac:dyDescent="0.25">
      <c r="A1925" s="1">
        <v>43656</v>
      </c>
      <c r="B1925">
        <v>12334</v>
      </c>
      <c r="C1925" s="2" t="s">
        <v>52</v>
      </c>
      <c r="D1925" s="2" t="s">
        <v>53</v>
      </c>
      <c r="E1925" s="2" t="s">
        <v>33</v>
      </c>
      <c r="F1925">
        <v>4171</v>
      </c>
      <c r="G1925" s="2" t="s">
        <v>254</v>
      </c>
      <c r="H1925" s="2" t="s">
        <v>173</v>
      </c>
      <c r="I1925" s="2" t="s">
        <v>174</v>
      </c>
      <c r="J1925" s="2" t="s">
        <v>175</v>
      </c>
      <c r="K1925" s="2" t="s">
        <v>174</v>
      </c>
      <c r="L1925">
        <v>83.06</v>
      </c>
      <c r="M1925">
        <v>1</v>
      </c>
      <c r="N1925">
        <v>0.45900000000000002</v>
      </c>
      <c r="O1925">
        <v>6700091</v>
      </c>
      <c r="P1925" s="2" t="s">
        <v>176</v>
      </c>
      <c r="Q1925" s="2" t="s">
        <v>173</v>
      </c>
      <c r="R1925" s="2" t="s">
        <v>30</v>
      </c>
      <c r="S1925">
        <v>6</v>
      </c>
      <c r="T1925" s="1">
        <v>43656</v>
      </c>
      <c r="U1925" s="1">
        <v>43665</v>
      </c>
      <c r="V1925" s="2"/>
      <c r="W1925" s="1">
        <f>fNotasFiscais[[#This Row],[Data da Coleta]]+fNotasFiscais[[#This Row],[Prazo Contratado]]</f>
        <v>43662</v>
      </c>
      <c r="X1925" s="3">
        <f>IF(fNotasFiscais[[#This Row],[Data da Entrega]]&gt;fNotasFiscais[[#This Row],[Data Contratada]],0,1)</f>
        <v>0</v>
      </c>
      <c r="Y1925" s="3">
        <f>IF(fNotasFiscais[[#This Row],[Ocorrência]]="",1,0)</f>
        <v>1</v>
      </c>
      <c r="Z1925" s="2">
        <f>fNotasFiscais[[#This Row],[On Time]]*fNotasFiscais[[#This Row],[In Full]]</f>
        <v>0</v>
      </c>
      <c r="AA1925">
        <f>IF(fNotasFiscais[[#This Row],[Nota Fiscal]]&lt;&gt;"",1,0)</f>
        <v>1</v>
      </c>
    </row>
    <row r="1926" spans="1:27" x14ac:dyDescent="0.25">
      <c r="A1926" s="1">
        <v>43656</v>
      </c>
      <c r="B1926">
        <v>12335</v>
      </c>
      <c r="C1926" s="2" t="s">
        <v>22</v>
      </c>
      <c r="D1926" s="2" t="s">
        <v>23</v>
      </c>
      <c r="E1926" s="2" t="s">
        <v>24</v>
      </c>
      <c r="F1926">
        <v>4147</v>
      </c>
      <c r="G1926" s="2" t="s">
        <v>230</v>
      </c>
      <c r="H1926" s="2" t="s">
        <v>35</v>
      </c>
      <c r="I1926" s="2" t="s">
        <v>36</v>
      </c>
      <c r="J1926" s="2" t="s">
        <v>60</v>
      </c>
      <c r="K1926" s="2" t="s">
        <v>36</v>
      </c>
      <c r="L1926">
        <v>2563.16</v>
      </c>
      <c r="M1926">
        <v>15</v>
      </c>
      <c r="N1926">
        <v>61.148000000000003</v>
      </c>
      <c r="O1926">
        <v>6600879</v>
      </c>
      <c r="P1926" s="2" t="s">
        <v>61</v>
      </c>
      <c r="Q1926" s="2" t="s">
        <v>35</v>
      </c>
      <c r="R1926" s="2" t="s">
        <v>30</v>
      </c>
      <c r="S1926">
        <v>3</v>
      </c>
      <c r="T1926" s="1">
        <v>43656</v>
      </c>
      <c r="U1926" s="1">
        <v>43661</v>
      </c>
      <c r="V1926" s="2"/>
      <c r="W1926" s="1">
        <f>fNotasFiscais[[#This Row],[Data da Coleta]]+fNotasFiscais[[#This Row],[Prazo Contratado]]</f>
        <v>43659</v>
      </c>
      <c r="X1926" s="3">
        <f>IF(fNotasFiscais[[#This Row],[Data da Entrega]]&gt;fNotasFiscais[[#This Row],[Data Contratada]],0,1)</f>
        <v>0</v>
      </c>
      <c r="Y1926" s="3">
        <f>IF(fNotasFiscais[[#This Row],[Ocorrência]]="",1,0)</f>
        <v>1</v>
      </c>
      <c r="Z1926" s="2">
        <f>fNotasFiscais[[#This Row],[On Time]]*fNotasFiscais[[#This Row],[In Full]]</f>
        <v>0</v>
      </c>
      <c r="AA1926">
        <f>IF(fNotasFiscais[[#This Row],[Nota Fiscal]]&lt;&gt;"",1,0)</f>
        <v>1</v>
      </c>
    </row>
    <row r="1927" spans="1:27" x14ac:dyDescent="0.25">
      <c r="A1927" s="1">
        <v>43656</v>
      </c>
      <c r="B1927">
        <v>12336</v>
      </c>
      <c r="C1927" s="2" t="s">
        <v>34</v>
      </c>
      <c r="D1927" s="2" t="s">
        <v>35</v>
      </c>
      <c r="E1927" s="2" t="s">
        <v>36</v>
      </c>
      <c r="F1927">
        <v>4194</v>
      </c>
      <c r="G1927" s="2" t="s">
        <v>277</v>
      </c>
      <c r="H1927" s="2" t="s">
        <v>173</v>
      </c>
      <c r="I1927" s="2" t="s">
        <v>174</v>
      </c>
      <c r="J1927" s="2" t="s">
        <v>175</v>
      </c>
      <c r="K1927" s="2" t="s">
        <v>174</v>
      </c>
      <c r="L1927">
        <v>7613.6</v>
      </c>
      <c r="M1927">
        <v>1</v>
      </c>
      <c r="N1927">
        <v>1.1200000000000001</v>
      </c>
      <c r="O1927">
        <v>6700091</v>
      </c>
      <c r="P1927" s="2" t="s">
        <v>176</v>
      </c>
      <c r="Q1927" s="2" t="s">
        <v>173</v>
      </c>
      <c r="R1927" s="2" t="s">
        <v>30</v>
      </c>
      <c r="S1927">
        <v>5</v>
      </c>
      <c r="T1927" s="1">
        <v>43656</v>
      </c>
      <c r="U1927" s="1">
        <v>43666</v>
      </c>
      <c r="V1927" s="2"/>
      <c r="W1927" s="1">
        <f>fNotasFiscais[[#This Row],[Data da Coleta]]+fNotasFiscais[[#This Row],[Prazo Contratado]]</f>
        <v>43661</v>
      </c>
      <c r="X1927" s="3">
        <f>IF(fNotasFiscais[[#This Row],[Data da Entrega]]&gt;fNotasFiscais[[#This Row],[Data Contratada]],0,1)</f>
        <v>0</v>
      </c>
      <c r="Y1927" s="3">
        <f>IF(fNotasFiscais[[#This Row],[Ocorrência]]="",1,0)</f>
        <v>1</v>
      </c>
      <c r="Z1927" s="2">
        <f>fNotasFiscais[[#This Row],[On Time]]*fNotasFiscais[[#This Row],[In Full]]</f>
        <v>0</v>
      </c>
      <c r="AA1927">
        <f>IF(fNotasFiscais[[#This Row],[Nota Fiscal]]&lt;&gt;"",1,0)</f>
        <v>1</v>
      </c>
    </row>
    <row r="1928" spans="1:27" x14ac:dyDescent="0.25">
      <c r="A1928" s="1">
        <v>43656</v>
      </c>
      <c r="B1928">
        <v>12337</v>
      </c>
      <c r="C1928" s="2" t="s">
        <v>31</v>
      </c>
      <c r="D1928" s="2" t="s">
        <v>32</v>
      </c>
      <c r="E1928" s="2" t="s">
        <v>33</v>
      </c>
      <c r="F1928">
        <v>4069</v>
      </c>
      <c r="G1928" s="2" t="s">
        <v>135</v>
      </c>
      <c r="H1928" s="2" t="s">
        <v>47</v>
      </c>
      <c r="I1928" s="2" t="s">
        <v>48</v>
      </c>
      <c r="J1928" s="2" t="s">
        <v>49</v>
      </c>
      <c r="K1928" s="2" t="s">
        <v>48</v>
      </c>
      <c r="L1928">
        <v>602.82000000000005</v>
      </c>
      <c r="M1928">
        <v>1</v>
      </c>
      <c r="N1928">
        <v>3.6629999999999998</v>
      </c>
      <c r="O1928">
        <v>6100231</v>
      </c>
      <c r="P1928" s="2" t="s">
        <v>50</v>
      </c>
      <c r="Q1928" s="2" t="s">
        <v>51</v>
      </c>
      <c r="R1928" s="2" t="s">
        <v>30</v>
      </c>
      <c r="S1928">
        <v>12</v>
      </c>
      <c r="T1928" s="1">
        <v>43656</v>
      </c>
      <c r="U1928" s="1">
        <v>43666</v>
      </c>
      <c r="V1928" s="2"/>
      <c r="W1928" s="1">
        <f>fNotasFiscais[[#This Row],[Data da Coleta]]+fNotasFiscais[[#This Row],[Prazo Contratado]]</f>
        <v>43668</v>
      </c>
      <c r="X1928" s="3">
        <f>IF(fNotasFiscais[[#This Row],[Data da Entrega]]&gt;fNotasFiscais[[#This Row],[Data Contratada]],0,1)</f>
        <v>1</v>
      </c>
      <c r="Y1928" s="3">
        <f>IF(fNotasFiscais[[#This Row],[Ocorrência]]="",1,0)</f>
        <v>1</v>
      </c>
      <c r="Z1928" s="2">
        <f>fNotasFiscais[[#This Row],[On Time]]*fNotasFiscais[[#This Row],[In Full]]</f>
        <v>1</v>
      </c>
      <c r="AA1928">
        <f>IF(fNotasFiscais[[#This Row],[Nota Fiscal]]&lt;&gt;"",1,0)</f>
        <v>1</v>
      </c>
    </row>
    <row r="1929" spans="1:27" x14ac:dyDescent="0.25">
      <c r="A1929" s="1">
        <v>43656</v>
      </c>
      <c r="B1929">
        <v>12338</v>
      </c>
      <c r="C1929" s="2" t="s">
        <v>22</v>
      </c>
      <c r="D1929" s="2" t="s">
        <v>23</v>
      </c>
      <c r="E1929" s="2" t="s">
        <v>24</v>
      </c>
      <c r="F1929">
        <v>4056</v>
      </c>
      <c r="G1929" s="2" t="s">
        <v>119</v>
      </c>
      <c r="H1929" s="2" t="s">
        <v>51</v>
      </c>
      <c r="I1929" s="2" t="s">
        <v>73</v>
      </c>
      <c r="J1929" s="2" t="s">
        <v>49</v>
      </c>
      <c r="K1929" s="2" t="s">
        <v>73</v>
      </c>
      <c r="L1929">
        <v>325.83999999999997</v>
      </c>
      <c r="M1929">
        <v>1</v>
      </c>
      <c r="N1929">
        <v>2.202</v>
      </c>
      <c r="O1929">
        <v>6100231</v>
      </c>
      <c r="P1929" s="2" t="s">
        <v>50</v>
      </c>
      <c r="Q1929" s="2" t="s">
        <v>51</v>
      </c>
      <c r="R1929" s="2" t="s">
        <v>30</v>
      </c>
      <c r="S1929">
        <v>5</v>
      </c>
      <c r="T1929" s="1">
        <v>43656</v>
      </c>
      <c r="U1929" s="1">
        <v>43666</v>
      </c>
      <c r="V1929" s="2" t="s">
        <v>42</v>
      </c>
      <c r="W1929" s="1">
        <f>fNotasFiscais[[#This Row],[Data da Coleta]]+fNotasFiscais[[#This Row],[Prazo Contratado]]</f>
        <v>43661</v>
      </c>
      <c r="X1929" s="3">
        <f>IF(fNotasFiscais[[#This Row],[Data da Entrega]]&gt;fNotasFiscais[[#This Row],[Data Contratada]],0,1)</f>
        <v>0</v>
      </c>
      <c r="Y1929" s="3">
        <f>IF(fNotasFiscais[[#This Row],[Ocorrência]]="",1,0)</f>
        <v>0</v>
      </c>
      <c r="Z1929" s="2">
        <f>fNotasFiscais[[#This Row],[On Time]]*fNotasFiscais[[#This Row],[In Full]]</f>
        <v>0</v>
      </c>
      <c r="AA1929">
        <f>IF(fNotasFiscais[[#This Row],[Nota Fiscal]]&lt;&gt;"",1,0)</f>
        <v>1</v>
      </c>
    </row>
    <row r="1930" spans="1:27" x14ac:dyDescent="0.25">
      <c r="A1930" s="1">
        <v>43656</v>
      </c>
      <c r="B1930">
        <v>12339</v>
      </c>
      <c r="C1930" s="2" t="s">
        <v>52</v>
      </c>
      <c r="D1930" s="2" t="s">
        <v>53</v>
      </c>
      <c r="E1930" s="2" t="s">
        <v>33</v>
      </c>
      <c r="F1930">
        <v>4056</v>
      </c>
      <c r="G1930" s="2" t="s">
        <v>119</v>
      </c>
      <c r="H1930" s="2" t="s">
        <v>51</v>
      </c>
      <c r="I1930" s="2" t="s">
        <v>73</v>
      </c>
      <c r="J1930" s="2" t="s">
        <v>49</v>
      </c>
      <c r="K1930" s="2" t="s">
        <v>73</v>
      </c>
      <c r="L1930">
        <v>2340.04</v>
      </c>
      <c r="M1930">
        <v>4</v>
      </c>
      <c r="N1930">
        <v>6.6</v>
      </c>
      <c r="O1930">
        <v>6100231</v>
      </c>
      <c r="P1930" s="2" t="s">
        <v>50</v>
      </c>
      <c r="Q1930" s="2" t="s">
        <v>51</v>
      </c>
      <c r="R1930" s="2" t="s">
        <v>30</v>
      </c>
      <c r="S1930">
        <v>12</v>
      </c>
      <c r="T1930" s="1">
        <v>43656</v>
      </c>
      <c r="U1930" s="1">
        <v>43666</v>
      </c>
      <c r="V1930" s="2"/>
      <c r="W1930" s="1">
        <f>fNotasFiscais[[#This Row],[Data da Coleta]]+fNotasFiscais[[#This Row],[Prazo Contratado]]</f>
        <v>43668</v>
      </c>
      <c r="X1930" s="3">
        <f>IF(fNotasFiscais[[#This Row],[Data da Entrega]]&gt;fNotasFiscais[[#This Row],[Data Contratada]],0,1)</f>
        <v>1</v>
      </c>
      <c r="Y1930" s="3">
        <f>IF(fNotasFiscais[[#This Row],[Ocorrência]]="",1,0)</f>
        <v>1</v>
      </c>
      <c r="Z1930" s="2">
        <f>fNotasFiscais[[#This Row],[On Time]]*fNotasFiscais[[#This Row],[In Full]]</f>
        <v>1</v>
      </c>
      <c r="AA1930">
        <f>IF(fNotasFiscais[[#This Row],[Nota Fiscal]]&lt;&gt;"",1,0)</f>
        <v>1</v>
      </c>
    </row>
    <row r="1931" spans="1:27" x14ac:dyDescent="0.25">
      <c r="A1931" s="1">
        <v>43656</v>
      </c>
      <c r="B1931">
        <v>12340</v>
      </c>
      <c r="C1931" s="2" t="s">
        <v>22</v>
      </c>
      <c r="D1931" s="2" t="s">
        <v>23</v>
      </c>
      <c r="E1931" s="2" t="s">
        <v>24</v>
      </c>
      <c r="F1931">
        <v>4056</v>
      </c>
      <c r="G1931" s="2" t="s">
        <v>119</v>
      </c>
      <c r="H1931" s="2" t="s">
        <v>51</v>
      </c>
      <c r="I1931" s="2" t="s">
        <v>73</v>
      </c>
      <c r="J1931" s="2" t="s">
        <v>49</v>
      </c>
      <c r="K1931" s="2" t="s">
        <v>73</v>
      </c>
      <c r="L1931">
        <v>1688.49</v>
      </c>
      <c r="M1931">
        <v>1</v>
      </c>
      <c r="N1931">
        <v>11.11</v>
      </c>
      <c r="O1931">
        <v>6100231</v>
      </c>
      <c r="P1931" s="2" t="s">
        <v>50</v>
      </c>
      <c r="Q1931" s="2" t="s">
        <v>51</v>
      </c>
      <c r="R1931" s="2" t="s">
        <v>30</v>
      </c>
      <c r="S1931">
        <v>4</v>
      </c>
      <c r="T1931" s="1">
        <v>43656</v>
      </c>
      <c r="U1931" s="1">
        <v>43659</v>
      </c>
      <c r="V1931" s="2"/>
      <c r="W1931" s="1">
        <f>fNotasFiscais[[#This Row],[Data da Coleta]]+fNotasFiscais[[#This Row],[Prazo Contratado]]</f>
        <v>43660</v>
      </c>
      <c r="X1931" s="3">
        <f>IF(fNotasFiscais[[#This Row],[Data da Entrega]]&gt;fNotasFiscais[[#This Row],[Data Contratada]],0,1)</f>
        <v>1</v>
      </c>
      <c r="Y1931" s="3">
        <f>IF(fNotasFiscais[[#This Row],[Ocorrência]]="",1,0)</f>
        <v>1</v>
      </c>
      <c r="Z1931" s="2">
        <f>fNotasFiscais[[#This Row],[On Time]]*fNotasFiscais[[#This Row],[In Full]]</f>
        <v>1</v>
      </c>
      <c r="AA1931">
        <f>IF(fNotasFiscais[[#This Row],[Nota Fiscal]]&lt;&gt;"",1,0)</f>
        <v>1</v>
      </c>
    </row>
    <row r="1932" spans="1:27" x14ac:dyDescent="0.25">
      <c r="A1932" s="1">
        <v>43656</v>
      </c>
      <c r="B1932">
        <v>12341</v>
      </c>
      <c r="C1932" s="2" t="s">
        <v>54</v>
      </c>
      <c r="D1932" s="2" t="s">
        <v>55</v>
      </c>
      <c r="E1932" s="2" t="s">
        <v>56</v>
      </c>
      <c r="F1932">
        <v>4056</v>
      </c>
      <c r="G1932" s="2" t="s">
        <v>119</v>
      </c>
      <c r="H1932" s="2" t="s">
        <v>51</v>
      </c>
      <c r="I1932" s="2" t="s">
        <v>73</v>
      </c>
      <c r="J1932" s="2" t="s">
        <v>49</v>
      </c>
      <c r="K1932" s="2" t="s">
        <v>73</v>
      </c>
      <c r="L1932">
        <v>1056.99</v>
      </c>
      <c r="M1932">
        <v>1</v>
      </c>
      <c r="N1932">
        <v>1.5549999999999999</v>
      </c>
      <c r="O1932">
        <v>6100231</v>
      </c>
      <c r="P1932" s="2" t="s">
        <v>50</v>
      </c>
      <c r="Q1932" s="2" t="s">
        <v>51</v>
      </c>
      <c r="R1932" s="2" t="s">
        <v>30</v>
      </c>
      <c r="S1932">
        <v>6</v>
      </c>
      <c r="T1932" s="1">
        <v>43656</v>
      </c>
      <c r="U1932" s="1">
        <v>43658</v>
      </c>
      <c r="V1932" s="2"/>
      <c r="W1932" s="1">
        <f>fNotasFiscais[[#This Row],[Data da Coleta]]+fNotasFiscais[[#This Row],[Prazo Contratado]]</f>
        <v>43662</v>
      </c>
      <c r="X1932" s="3">
        <f>IF(fNotasFiscais[[#This Row],[Data da Entrega]]&gt;fNotasFiscais[[#This Row],[Data Contratada]],0,1)</f>
        <v>1</v>
      </c>
      <c r="Y1932" s="3">
        <f>IF(fNotasFiscais[[#This Row],[Ocorrência]]="",1,0)</f>
        <v>1</v>
      </c>
      <c r="Z1932" s="2">
        <f>fNotasFiscais[[#This Row],[On Time]]*fNotasFiscais[[#This Row],[In Full]]</f>
        <v>1</v>
      </c>
      <c r="AA1932">
        <f>IF(fNotasFiscais[[#This Row],[Nota Fiscal]]&lt;&gt;"",1,0)</f>
        <v>1</v>
      </c>
    </row>
    <row r="1933" spans="1:27" x14ac:dyDescent="0.25">
      <c r="A1933" s="1">
        <v>43656</v>
      </c>
      <c r="B1933">
        <v>12342</v>
      </c>
      <c r="C1933" s="2" t="s">
        <v>54</v>
      </c>
      <c r="D1933" s="2" t="s">
        <v>55</v>
      </c>
      <c r="E1933" s="2" t="s">
        <v>56</v>
      </c>
      <c r="F1933">
        <v>4056</v>
      </c>
      <c r="G1933" s="2" t="s">
        <v>119</v>
      </c>
      <c r="H1933" s="2" t="s">
        <v>51</v>
      </c>
      <c r="I1933" s="2" t="s">
        <v>73</v>
      </c>
      <c r="J1933" s="2" t="s">
        <v>49</v>
      </c>
      <c r="K1933" s="2" t="s">
        <v>73</v>
      </c>
      <c r="L1933">
        <v>480.47</v>
      </c>
      <c r="M1933">
        <v>2</v>
      </c>
      <c r="N1933">
        <v>1.637</v>
      </c>
      <c r="O1933">
        <v>6100231</v>
      </c>
      <c r="P1933" s="2" t="s">
        <v>50</v>
      </c>
      <c r="Q1933" s="2" t="s">
        <v>51</v>
      </c>
      <c r="R1933" s="2" t="s">
        <v>30</v>
      </c>
      <c r="S1933">
        <v>3</v>
      </c>
      <c r="T1933" s="1">
        <v>43656</v>
      </c>
      <c r="U1933" s="1">
        <v>43658</v>
      </c>
      <c r="V1933" s="2" t="s">
        <v>42</v>
      </c>
      <c r="W1933" s="1">
        <f>fNotasFiscais[[#This Row],[Data da Coleta]]+fNotasFiscais[[#This Row],[Prazo Contratado]]</f>
        <v>43659</v>
      </c>
      <c r="X1933" s="3">
        <f>IF(fNotasFiscais[[#This Row],[Data da Entrega]]&gt;fNotasFiscais[[#This Row],[Data Contratada]],0,1)</f>
        <v>1</v>
      </c>
      <c r="Y1933" s="3">
        <f>IF(fNotasFiscais[[#This Row],[Ocorrência]]="",1,0)</f>
        <v>0</v>
      </c>
      <c r="Z1933" s="2">
        <f>fNotasFiscais[[#This Row],[On Time]]*fNotasFiscais[[#This Row],[In Full]]</f>
        <v>0</v>
      </c>
      <c r="AA1933">
        <f>IF(fNotasFiscais[[#This Row],[Nota Fiscal]]&lt;&gt;"",1,0)</f>
        <v>1</v>
      </c>
    </row>
    <row r="1934" spans="1:27" x14ac:dyDescent="0.25">
      <c r="A1934" s="1">
        <v>43656</v>
      </c>
      <c r="B1934">
        <v>12343</v>
      </c>
      <c r="C1934" s="2" t="s">
        <v>43</v>
      </c>
      <c r="D1934" s="2" t="s">
        <v>44</v>
      </c>
      <c r="E1934" s="2" t="s">
        <v>45</v>
      </c>
      <c r="F1934">
        <v>4056</v>
      </c>
      <c r="G1934" s="2" t="s">
        <v>119</v>
      </c>
      <c r="H1934" s="2" t="s">
        <v>51</v>
      </c>
      <c r="I1934" s="2" t="s">
        <v>73</v>
      </c>
      <c r="J1934" s="2" t="s">
        <v>49</v>
      </c>
      <c r="K1934" s="2" t="s">
        <v>73</v>
      </c>
      <c r="L1934">
        <v>664.69</v>
      </c>
      <c r="M1934">
        <v>1</v>
      </c>
      <c r="N1934">
        <v>9.5079999999999991</v>
      </c>
      <c r="O1934">
        <v>6100231</v>
      </c>
      <c r="P1934" s="2" t="s">
        <v>50</v>
      </c>
      <c r="Q1934" s="2" t="s">
        <v>51</v>
      </c>
      <c r="R1934" s="2" t="s">
        <v>30</v>
      </c>
      <c r="S1934">
        <v>4</v>
      </c>
      <c r="T1934" s="1">
        <v>43656</v>
      </c>
      <c r="U1934" s="1">
        <v>43664</v>
      </c>
      <c r="V1934" s="2"/>
      <c r="W1934" s="1">
        <f>fNotasFiscais[[#This Row],[Data da Coleta]]+fNotasFiscais[[#This Row],[Prazo Contratado]]</f>
        <v>43660</v>
      </c>
      <c r="X1934" s="3">
        <f>IF(fNotasFiscais[[#This Row],[Data da Entrega]]&gt;fNotasFiscais[[#This Row],[Data Contratada]],0,1)</f>
        <v>0</v>
      </c>
      <c r="Y1934" s="3">
        <f>IF(fNotasFiscais[[#This Row],[Ocorrência]]="",1,0)</f>
        <v>1</v>
      </c>
      <c r="Z1934" s="2">
        <f>fNotasFiscais[[#This Row],[On Time]]*fNotasFiscais[[#This Row],[In Full]]</f>
        <v>0</v>
      </c>
      <c r="AA1934">
        <f>IF(fNotasFiscais[[#This Row],[Nota Fiscal]]&lt;&gt;"",1,0)</f>
        <v>1</v>
      </c>
    </row>
    <row r="1935" spans="1:27" x14ac:dyDescent="0.25">
      <c r="A1935" s="1">
        <v>43657</v>
      </c>
      <c r="B1935">
        <v>12344</v>
      </c>
      <c r="C1935" s="2" t="s">
        <v>40</v>
      </c>
      <c r="D1935" s="2" t="s">
        <v>41</v>
      </c>
      <c r="E1935" s="2" t="s">
        <v>33</v>
      </c>
      <c r="F1935">
        <v>4132</v>
      </c>
      <c r="G1935" s="2" t="s">
        <v>215</v>
      </c>
      <c r="H1935" s="2" t="s">
        <v>183</v>
      </c>
      <c r="I1935" s="2" t="s">
        <v>33</v>
      </c>
      <c r="J1935" s="2" t="s">
        <v>60</v>
      </c>
      <c r="K1935" s="2" t="s">
        <v>33</v>
      </c>
      <c r="L1935">
        <v>403.58</v>
      </c>
      <c r="M1935">
        <v>1</v>
      </c>
      <c r="N1935">
        <v>0.749</v>
      </c>
      <c r="O1935">
        <v>6400835</v>
      </c>
      <c r="P1935" s="2" t="s">
        <v>130</v>
      </c>
      <c r="Q1935" s="2" t="s">
        <v>131</v>
      </c>
      <c r="R1935" s="2" t="s">
        <v>30</v>
      </c>
      <c r="S1935">
        <v>5</v>
      </c>
      <c r="T1935" s="1">
        <v>43657</v>
      </c>
      <c r="U1935" s="1">
        <v>43661</v>
      </c>
      <c r="V1935" s="2" t="s">
        <v>42</v>
      </c>
      <c r="W1935" s="1">
        <f>fNotasFiscais[[#This Row],[Data da Coleta]]+fNotasFiscais[[#This Row],[Prazo Contratado]]</f>
        <v>43662</v>
      </c>
      <c r="X1935" s="3">
        <f>IF(fNotasFiscais[[#This Row],[Data da Entrega]]&gt;fNotasFiscais[[#This Row],[Data Contratada]],0,1)</f>
        <v>1</v>
      </c>
      <c r="Y1935" s="3">
        <f>IF(fNotasFiscais[[#This Row],[Ocorrência]]="",1,0)</f>
        <v>0</v>
      </c>
      <c r="Z1935" s="2">
        <f>fNotasFiscais[[#This Row],[On Time]]*fNotasFiscais[[#This Row],[In Full]]</f>
        <v>0</v>
      </c>
      <c r="AA1935">
        <f>IF(fNotasFiscais[[#This Row],[Nota Fiscal]]&lt;&gt;"",1,0)</f>
        <v>1</v>
      </c>
    </row>
    <row r="1936" spans="1:27" x14ac:dyDescent="0.25">
      <c r="A1936" s="1">
        <v>43657</v>
      </c>
      <c r="B1936">
        <v>12345</v>
      </c>
      <c r="C1936" s="2" t="s">
        <v>34</v>
      </c>
      <c r="D1936" s="2" t="s">
        <v>35</v>
      </c>
      <c r="E1936" s="2" t="s">
        <v>36</v>
      </c>
      <c r="F1936">
        <v>4133</v>
      </c>
      <c r="G1936" s="2" t="s">
        <v>216</v>
      </c>
      <c r="H1936" s="2" t="s">
        <v>35</v>
      </c>
      <c r="I1936" s="2" t="s">
        <v>36</v>
      </c>
      <c r="J1936" s="2" t="s">
        <v>60</v>
      </c>
      <c r="K1936" s="2" t="s">
        <v>36</v>
      </c>
      <c r="L1936">
        <v>3995.34</v>
      </c>
      <c r="M1936">
        <v>5</v>
      </c>
      <c r="N1936">
        <v>21.533999999999999</v>
      </c>
      <c r="O1936">
        <v>6600879</v>
      </c>
      <c r="P1936" s="2" t="s">
        <v>61</v>
      </c>
      <c r="Q1936" s="2" t="s">
        <v>35</v>
      </c>
      <c r="R1936" s="2" t="s">
        <v>30</v>
      </c>
      <c r="S1936">
        <v>3</v>
      </c>
      <c r="T1936" s="1">
        <v>43657</v>
      </c>
      <c r="U1936" s="1">
        <v>43662</v>
      </c>
      <c r="V1936" s="2"/>
      <c r="W1936" s="1">
        <f>fNotasFiscais[[#This Row],[Data da Coleta]]+fNotasFiscais[[#This Row],[Prazo Contratado]]</f>
        <v>43660</v>
      </c>
      <c r="X1936" s="3">
        <f>IF(fNotasFiscais[[#This Row],[Data da Entrega]]&gt;fNotasFiscais[[#This Row],[Data Contratada]],0,1)</f>
        <v>0</v>
      </c>
      <c r="Y1936" s="3">
        <f>IF(fNotasFiscais[[#This Row],[Ocorrência]]="",1,0)</f>
        <v>1</v>
      </c>
      <c r="Z1936" s="2">
        <f>fNotasFiscais[[#This Row],[On Time]]*fNotasFiscais[[#This Row],[In Full]]</f>
        <v>0</v>
      </c>
      <c r="AA1936">
        <f>IF(fNotasFiscais[[#This Row],[Nota Fiscal]]&lt;&gt;"",1,0)</f>
        <v>1</v>
      </c>
    </row>
    <row r="1937" spans="1:27" x14ac:dyDescent="0.25">
      <c r="A1937" s="1">
        <v>43657</v>
      </c>
      <c r="B1937">
        <v>12346</v>
      </c>
      <c r="C1937" s="2" t="s">
        <v>52</v>
      </c>
      <c r="D1937" s="2" t="s">
        <v>53</v>
      </c>
      <c r="E1937" s="2" t="s">
        <v>33</v>
      </c>
      <c r="F1937">
        <v>4159</v>
      </c>
      <c r="G1937" s="2" t="s">
        <v>242</v>
      </c>
      <c r="H1937" s="2" t="s">
        <v>173</v>
      </c>
      <c r="I1937" s="2" t="s">
        <v>174</v>
      </c>
      <c r="J1937" s="2" t="s">
        <v>175</v>
      </c>
      <c r="K1937" s="2" t="s">
        <v>174</v>
      </c>
      <c r="L1937">
        <v>7317.74</v>
      </c>
      <c r="M1937">
        <v>8</v>
      </c>
      <c r="N1937">
        <v>77.744</v>
      </c>
      <c r="O1937">
        <v>6700091</v>
      </c>
      <c r="P1937" s="2" t="s">
        <v>176</v>
      </c>
      <c r="Q1937" s="2" t="s">
        <v>173</v>
      </c>
      <c r="R1937" s="2" t="s">
        <v>30</v>
      </c>
      <c r="S1937">
        <v>11</v>
      </c>
      <c r="T1937" s="1">
        <v>43657</v>
      </c>
      <c r="U1937" s="1">
        <v>43663</v>
      </c>
      <c r="V1937" s="2"/>
      <c r="W1937" s="1">
        <f>fNotasFiscais[[#This Row],[Data da Coleta]]+fNotasFiscais[[#This Row],[Prazo Contratado]]</f>
        <v>43668</v>
      </c>
      <c r="X1937" s="3">
        <f>IF(fNotasFiscais[[#This Row],[Data da Entrega]]&gt;fNotasFiscais[[#This Row],[Data Contratada]],0,1)</f>
        <v>1</v>
      </c>
      <c r="Y1937" s="3">
        <f>IF(fNotasFiscais[[#This Row],[Ocorrência]]="",1,0)</f>
        <v>1</v>
      </c>
      <c r="Z1937" s="2">
        <f>fNotasFiscais[[#This Row],[On Time]]*fNotasFiscais[[#This Row],[In Full]]</f>
        <v>1</v>
      </c>
      <c r="AA1937">
        <f>IF(fNotasFiscais[[#This Row],[Nota Fiscal]]&lt;&gt;"",1,0)</f>
        <v>1</v>
      </c>
    </row>
    <row r="1938" spans="1:27" x14ac:dyDescent="0.25">
      <c r="A1938" s="1">
        <v>43657</v>
      </c>
      <c r="B1938">
        <v>12347</v>
      </c>
      <c r="C1938" s="2" t="s">
        <v>22</v>
      </c>
      <c r="D1938" s="2" t="s">
        <v>23</v>
      </c>
      <c r="E1938" s="2" t="s">
        <v>24</v>
      </c>
      <c r="F1938">
        <v>4148</v>
      </c>
      <c r="G1938" s="2" t="s">
        <v>231</v>
      </c>
      <c r="H1938" s="2" t="s">
        <v>32</v>
      </c>
      <c r="I1938" s="2" t="s">
        <v>33</v>
      </c>
      <c r="J1938" s="2" t="s">
        <v>60</v>
      </c>
      <c r="K1938" s="2" t="s">
        <v>33</v>
      </c>
      <c r="L1938">
        <v>376.82</v>
      </c>
      <c r="M1938">
        <v>1</v>
      </c>
      <c r="N1938">
        <v>0.67500000000000004</v>
      </c>
      <c r="O1938">
        <v>6400835</v>
      </c>
      <c r="P1938" s="2" t="s">
        <v>130</v>
      </c>
      <c r="Q1938" s="2" t="s">
        <v>131</v>
      </c>
      <c r="R1938" s="2" t="s">
        <v>30</v>
      </c>
      <c r="S1938">
        <v>6</v>
      </c>
      <c r="T1938" s="1">
        <v>43657</v>
      </c>
      <c r="U1938" s="1">
        <v>43667</v>
      </c>
      <c r="V1938" s="2"/>
      <c r="W1938" s="1">
        <f>fNotasFiscais[[#This Row],[Data da Coleta]]+fNotasFiscais[[#This Row],[Prazo Contratado]]</f>
        <v>43663</v>
      </c>
      <c r="X1938" s="3">
        <f>IF(fNotasFiscais[[#This Row],[Data da Entrega]]&gt;fNotasFiscais[[#This Row],[Data Contratada]],0,1)</f>
        <v>0</v>
      </c>
      <c r="Y1938" s="3">
        <f>IF(fNotasFiscais[[#This Row],[Ocorrência]]="",1,0)</f>
        <v>1</v>
      </c>
      <c r="Z1938" s="2">
        <f>fNotasFiscais[[#This Row],[On Time]]*fNotasFiscais[[#This Row],[In Full]]</f>
        <v>0</v>
      </c>
      <c r="AA1938">
        <f>IF(fNotasFiscais[[#This Row],[Nota Fiscal]]&lt;&gt;"",1,0)</f>
        <v>1</v>
      </c>
    </row>
    <row r="1939" spans="1:27" x14ac:dyDescent="0.25">
      <c r="A1939" s="1">
        <v>43657</v>
      </c>
      <c r="B1939">
        <v>12348</v>
      </c>
      <c r="C1939" s="2" t="s">
        <v>54</v>
      </c>
      <c r="D1939" s="2" t="s">
        <v>55</v>
      </c>
      <c r="E1939" s="2" t="s">
        <v>56</v>
      </c>
      <c r="F1939">
        <v>4147</v>
      </c>
      <c r="G1939" s="2" t="s">
        <v>230</v>
      </c>
      <c r="H1939" s="2" t="s">
        <v>35</v>
      </c>
      <c r="I1939" s="2" t="s">
        <v>36</v>
      </c>
      <c r="J1939" s="2" t="s">
        <v>60</v>
      </c>
      <c r="K1939" s="2" t="s">
        <v>36</v>
      </c>
      <c r="L1939">
        <v>7470</v>
      </c>
      <c r="M1939">
        <v>14</v>
      </c>
      <c r="N1939">
        <v>48.654000000000003</v>
      </c>
      <c r="O1939">
        <v>6600879</v>
      </c>
      <c r="P1939" s="2" t="s">
        <v>61</v>
      </c>
      <c r="Q1939" s="2" t="s">
        <v>35</v>
      </c>
      <c r="R1939" s="2" t="s">
        <v>30</v>
      </c>
      <c r="S1939">
        <v>9</v>
      </c>
      <c r="T1939" s="1">
        <v>43657</v>
      </c>
      <c r="U1939" s="1">
        <v>43661</v>
      </c>
      <c r="V1939" s="2"/>
      <c r="W1939" s="1">
        <f>fNotasFiscais[[#This Row],[Data da Coleta]]+fNotasFiscais[[#This Row],[Prazo Contratado]]</f>
        <v>43666</v>
      </c>
      <c r="X1939" s="3">
        <f>IF(fNotasFiscais[[#This Row],[Data da Entrega]]&gt;fNotasFiscais[[#This Row],[Data Contratada]],0,1)</f>
        <v>1</v>
      </c>
      <c r="Y1939" s="3">
        <f>IF(fNotasFiscais[[#This Row],[Ocorrência]]="",1,0)</f>
        <v>1</v>
      </c>
      <c r="Z1939" s="2">
        <f>fNotasFiscais[[#This Row],[On Time]]*fNotasFiscais[[#This Row],[In Full]]</f>
        <v>1</v>
      </c>
      <c r="AA1939">
        <f>IF(fNotasFiscais[[#This Row],[Nota Fiscal]]&lt;&gt;"",1,0)</f>
        <v>1</v>
      </c>
    </row>
    <row r="1940" spans="1:27" x14ac:dyDescent="0.25">
      <c r="A1940" s="1">
        <v>43657</v>
      </c>
      <c r="B1940">
        <v>12349</v>
      </c>
      <c r="C1940" s="2" t="s">
        <v>31</v>
      </c>
      <c r="D1940" s="2" t="s">
        <v>32</v>
      </c>
      <c r="E1940" s="2" t="s">
        <v>33</v>
      </c>
      <c r="F1940">
        <v>4060</v>
      </c>
      <c r="G1940" s="2" t="s">
        <v>134</v>
      </c>
      <c r="H1940" s="2" t="s">
        <v>115</v>
      </c>
      <c r="I1940" s="2" t="s">
        <v>107</v>
      </c>
      <c r="J1940" s="2" t="s">
        <v>49</v>
      </c>
      <c r="K1940" s="2" t="s">
        <v>107</v>
      </c>
      <c r="L1940">
        <v>232.32</v>
      </c>
      <c r="M1940">
        <v>5</v>
      </c>
      <c r="N1940">
        <v>21.948</v>
      </c>
      <c r="O1940">
        <v>6100231</v>
      </c>
      <c r="P1940" s="2" t="s">
        <v>50</v>
      </c>
      <c r="Q1940" s="2" t="s">
        <v>51</v>
      </c>
      <c r="R1940" s="2" t="s">
        <v>30</v>
      </c>
      <c r="S1940">
        <v>7</v>
      </c>
      <c r="T1940" s="1">
        <v>43657</v>
      </c>
      <c r="U1940" s="1">
        <v>43660</v>
      </c>
      <c r="V1940" s="2"/>
      <c r="W1940" s="1">
        <f>fNotasFiscais[[#This Row],[Data da Coleta]]+fNotasFiscais[[#This Row],[Prazo Contratado]]</f>
        <v>43664</v>
      </c>
      <c r="X1940" s="3">
        <f>IF(fNotasFiscais[[#This Row],[Data da Entrega]]&gt;fNotasFiscais[[#This Row],[Data Contratada]],0,1)</f>
        <v>1</v>
      </c>
      <c r="Y1940" s="3">
        <f>IF(fNotasFiscais[[#This Row],[Ocorrência]]="",1,0)</f>
        <v>1</v>
      </c>
      <c r="Z1940" s="2">
        <f>fNotasFiscais[[#This Row],[On Time]]*fNotasFiscais[[#This Row],[In Full]]</f>
        <v>1</v>
      </c>
      <c r="AA1940">
        <f>IF(fNotasFiscais[[#This Row],[Nota Fiscal]]&lt;&gt;"",1,0)</f>
        <v>1</v>
      </c>
    </row>
    <row r="1941" spans="1:27" x14ac:dyDescent="0.25">
      <c r="A1941" s="1">
        <v>43657</v>
      </c>
      <c r="B1941">
        <v>12350</v>
      </c>
      <c r="C1941" s="2" t="s">
        <v>43</v>
      </c>
      <c r="D1941" s="2" t="s">
        <v>44</v>
      </c>
      <c r="E1941" s="2" t="s">
        <v>45</v>
      </c>
      <c r="F1941">
        <v>4126</v>
      </c>
      <c r="G1941" s="2" t="s">
        <v>209</v>
      </c>
      <c r="H1941" s="2" t="s">
        <v>35</v>
      </c>
      <c r="I1941" s="2" t="s">
        <v>36</v>
      </c>
      <c r="J1941" s="2" t="s">
        <v>60</v>
      </c>
      <c r="K1941" s="2" t="s">
        <v>36</v>
      </c>
      <c r="L1941">
        <v>1609.76</v>
      </c>
      <c r="M1941">
        <v>1</v>
      </c>
      <c r="N1941">
        <v>1.1200000000000001</v>
      </c>
      <c r="O1941">
        <v>6600879</v>
      </c>
      <c r="P1941" s="2" t="s">
        <v>61</v>
      </c>
      <c r="Q1941" s="2" t="s">
        <v>35</v>
      </c>
      <c r="R1941" s="2" t="s">
        <v>30</v>
      </c>
      <c r="S1941">
        <v>6</v>
      </c>
      <c r="T1941" s="1">
        <v>43657</v>
      </c>
      <c r="U1941" s="1">
        <v>43662</v>
      </c>
      <c r="V1941" s="2"/>
      <c r="W1941" s="1">
        <f>fNotasFiscais[[#This Row],[Data da Coleta]]+fNotasFiscais[[#This Row],[Prazo Contratado]]</f>
        <v>43663</v>
      </c>
      <c r="X1941" s="3">
        <f>IF(fNotasFiscais[[#This Row],[Data da Entrega]]&gt;fNotasFiscais[[#This Row],[Data Contratada]],0,1)</f>
        <v>1</v>
      </c>
      <c r="Y1941" s="3">
        <f>IF(fNotasFiscais[[#This Row],[Ocorrência]]="",1,0)</f>
        <v>1</v>
      </c>
      <c r="Z1941" s="2">
        <f>fNotasFiscais[[#This Row],[On Time]]*fNotasFiscais[[#This Row],[In Full]]</f>
        <v>1</v>
      </c>
      <c r="AA1941">
        <f>IF(fNotasFiscais[[#This Row],[Nota Fiscal]]&lt;&gt;"",1,0)</f>
        <v>1</v>
      </c>
    </row>
    <row r="1942" spans="1:27" x14ac:dyDescent="0.25">
      <c r="A1942" s="1">
        <v>43658</v>
      </c>
      <c r="B1942">
        <v>12351</v>
      </c>
      <c r="C1942" s="2" t="s">
        <v>31</v>
      </c>
      <c r="D1942" s="2" t="s">
        <v>32</v>
      </c>
      <c r="E1942" s="2" t="s">
        <v>33</v>
      </c>
      <c r="F1942">
        <v>4195</v>
      </c>
      <c r="G1942" s="2" t="s">
        <v>278</v>
      </c>
      <c r="H1942" s="2" t="s">
        <v>173</v>
      </c>
      <c r="I1942" s="2" t="s">
        <v>174</v>
      </c>
      <c r="J1942" s="2" t="s">
        <v>175</v>
      </c>
      <c r="K1942" s="2" t="s">
        <v>174</v>
      </c>
      <c r="L1942">
        <v>1419.03</v>
      </c>
      <c r="M1942">
        <v>1</v>
      </c>
      <c r="N1942">
        <v>1.1200000000000001</v>
      </c>
      <c r="O1942">
        <v>6700091</v>
      </c>
      <c r="P1942" s="2" t="s">
        <v>176</v>
      </c>
      <c r="Q1942" s="2" t="s">
        <v>173</v>
      </c>
      <c r="R1942" s="2" t="s">
        <v>30</v>
      </c>
      <c r="S1942">
        <v>11</v>
      </c>
      <c r="T1942" s="1">
        <v>43658</v>
      </c>
      <c r="U1942" s="1">
        <v>43668</v>
      </c>
      <c r="V1942" s="2"/>
      <c r="W1942" s="1">
        <f>fNotasFiscais[[#This Row],[Data da Coleta]]+fNotasFiscais[[#This Row],[Prazo Contratado]]</f>
        <v>43669</v>
      </c>
      <c r="X1942" s="3">
        <f>IF(fNotasFiscais[[#This Row],[Data da Entrega]]&gt;fNotasFiscais[[#This Row],[Data Contratada]],0,1)</f>
        <v>1</v>
      </c>
      <c r="Y1942" s="3">
        <f>IF(fNotasFiscais[[#This Row],[Ocorrência]]="",1,0)</f>
        <v>1</v>
      </c>
      <c r="Z1942" s="2">
        <f>fNotasFiscais[[#This Row],[On Time]]*fNotasFiscais[[#This Row],[In Full]]</f>
        <v>1</v>
      </c>
      <c r="AA1942">
        <f>IF(fNotasFiscais[[#This Row],[Nota Fiscal]]&lt;&gt;"",1,0)</f>
        <v>1</v>
      </c>
    </row>
    <row r="1943" spans="1:27" x14ac:dyDescent="0.25">
      <c r="A1943" s="1">
        <v>43658</v>
      </c>
      <c r="B1943">
        <v>12352</v>
      </c>
      <c r="C1943" s="2" t="s">
        <v>52</v>
      </c>
      <c r="D1943" s="2" t="s">
        <v>53</v>
      </c>
      <c r="E1943" s="2" t="s">
        <v>33</v>
      </c>
      <c r="F1943">
        <v>4128</v>
      </c>
      <c r="G1943" s="2" t="s">
        <v>211</v>
      </c>
      <c r="H1943" s="2" t="s">
        <v>167</v>
      </c>
      <c r="I1943" s="2" t="s">
        <v>168</v>
      </c>
      <c r="J1943" s="2" t="s">
        <v>169</v>
      </c>
      <c r="K1943" s="2" t="s">
        <v>168</v>
      </c>
      <c r="L1943">
        <v>6030.46</v>
      </c>
      <c r="M1943">
        <v>7</v>
      </c>
      <c r="N1943">
        <v>14.012</v>
      </c>
      <c r="O1943">
        <v>6900304</v>
      </c>
      <c r="P1943" s="2" t="s">
        <v>170</v>
      </c>
      <c r="Q1943" s="2" t="s">
        <v>171</v>
      </c>
      <c r="R1943" s="2" t="s">
        <v>30</v>
      </c>
      <c r="S1943">
        <v>8</v>
      </c>
      <c r="T1943" s="1">
        <v>43658</v>
      </c>
      <c r="U1943" s="1">
        <v>43668</v>
      </c>
      <c r="V1943" s="2"/>
      <c r="W1943" s="1">
        <f>fNotasFiscais[[#This Row],[Data da Coleta]]+fNotasFiscais[[#This Row],[Prazo Contratado]]</f>
        <v>43666</v>
      </c>
      <c r="X1943" s="3">
        <f>IF(fNotasFiscais[[#This Row],[Data da Entrega]]&gt;fNotasFiscais[[#This Row],[Data Contratada]],0,1)</f>
        <v>0</v>
      </c>
      <c r="Y1943" s="3">
        <f>IF(fNotasFiscais[[#This Row],[Ocorrência]]="",1,0)</f>
        <v>1</v>
      </c>
      <c r="Z1943" s="2">
        <f>fNotasFiscais[[#This Row],[On Time]]*fNotasFiscais[[#This Row],[In Full]]</f>
        <v>0</v>
      </c>
      <c r="AA1943">
        <f>IF(fNotasFiscais[[#This Row],[Nota Fiscal]]&lt;&gt;"",1,0)</f>
        <v>1</v>
      </c>
    </row>
    <row r="1944" spans="1:27" x14ac:dyDescent="0.25">
      <c r="A1944" s="1">
        <v>43659</v>
      </c>
      <c r="B1944">
        <v>12353</v>
      </c>
      <c r="C1944" s="2" t="s">
        <v>54</v>
      </c>
      <c r="D1944" s="2" t="s">
        <v>55</v>
      </c>
      <c r="E1944" s="2" t="s">
        <v>56</v>
      </c>
      <c r="F1944">
        <v>4165</v>
      </c>
      <c r="G1944" s="2" t="s">
        <v>248</v>
      </c>
      <c r="H1944" s="2" t="s">
        <v>167</v>
      </c>
      <c r="I1944" s="2" t="s">
        <v>168</v>
      </c>
      <c r="J1944" s="2" t="s">
        <v>169</v>
      </c>
      <c r="K1944" s="2" t="s">
        <v>168</v>
      </c>
      <c r="L1944">
        <v>332.3</v>
      </c>
      <c r="M1944">
        <v>2</v>
      </c>
      <c r="N1944">
        <v>0.81100000000000005</v>
      </c>
      <c r="O1944">
        <v>6900304</v>
      </c>
      <c r="P1944" s="2" t="s">
        <v>170</v>
      </c>
      <c r="Q1944" s="2" t="s">
        <v>171</v>
      </c>
      <c r="R1944" s="2" t="s">
        <v>30</v>
      </c>
      <c r="S1944">
        <v>8</v>
      </c>
      <c r="T1944" s="1">
        <v>43659</v>
      </c>
      <c r="U1944" s="1">
        <v>43668</v>
      </c>
      <c r="V1944" s="2" t="s">
        <v>57</v>
      </c>
      <c r="W1944" s="1">
        <f>fNotasFiscais[[#This Row],[Data da Coleta]]+fNotasFiscais[[#This Row],[Prazo Contratado]]</f>
        <v>43667</v>
      </c>
      <c r="X1944" s="3">
        <f>IF(fNotasFiscais[[#This Row],[Data da Entrega]]&gt;fNotasFiscais[[#This Row],[Data Contratada]],0,1)</f>
        <v>0</v>
      </c>
      <c r="Y1944" s="3">
        <f>IF(fNotasFiscais[[#This Row],[Ocorrência]]="",1,0)</f>
        <v>0</v>
      </c>
      <c r="Z1944" s="2">
        <f>fNotasFiscais[[#This Row],[On Time]]*fNotasFiscais[[#This Row],[In Full]]</f>
        <v>0</v>
      </c>
      <c r="AA1944">
        <f>IF(fNotasFiscais[[#This Row],[Nota Fiscal]]&lt;&gt;"",1,0)</f>
        <v>1</v>
      </c>
    </row>
    <row r="1945" spans="1:27" x14ac:dyDescent="0.25">
      <c r="A1945" s="1">
        <v>43659</v>
      </c>
      <c r="B1945">
        <v>12354</v>
      </c>
      <c r="C1945" s="2" t="s">
        <v>31</v>
      </c>
      <c r="D1945" s="2" t="s">
        <v>32</v>
      </c>
      <c r="E1945" s="2" t="s">
        <v>33</v>
      </c>
      <c r="F1945">
        <v>4196</v>
      </c>
      <c r="G1945" s="2" t="s">
        <v>279</v>
      </c>
      <c r="H1945" s="2" t="s">
        <v>173</v>
      </c>
      <c r="I1945" s="2" t="s">
        <v>174</v>
      </c>
      <c r="J1945" s="2" t="s">
        <v>175</v>
      </c>
      <c r="K1945" s="2" t="s">
        <v>174</v>
      </c>
      <c r="L1945">
        <v>1654.39</v>
      </c>
      <c r="M1945">
        <v>2</v>
      </c>
      <c r="N1945">
        <v>9.1920000000000002</v>
      </c>
      <c r="O1945">
        <v>6700091</v>
      </c>
      <c r="P1945" s="2" t="s">
        <v>176</v>
      </c>
      <c r="Q1945" s="2" t="s">
        <v>173</v>
      </c>
      <c r="R1945" s="2" t="s">
        <v>30</v>
      </c>
      <c r="S1945">
        <v>10</v>
      </c>
      <c r="T1945" s="1">
        <v>43659</v>
      </c>
      <c r="U1945" s="1">
        <v>43666</v>
      </c>
      <c r="V1945" s="2"/>
      <c r="W1945" s="1">
        <f>fNotasFiscais[[#This Row],[Data da Coleta]]+fNotasFiscais[[#This Row],[Prazo Contratado]]</f>
        <v>43669</v>
      </c>
      <c r="X1945" s="3">
        <f>IF(fNotasFiscais[[#This Row],[Data da Entrega]]&gt;fNotasFiscais[[#This Row],[Data Contratada]],0,1)</f>
        <v>1</v>
      </c>
      <c r="Y1945" s="3">
        <f>IF(fNotasFiscais[[#This Row],[Ocorrência]]="",1,0)</f>
        <v>1</v>
      </c>
      <c r="Z1945" s="2">
        <f>fNotasFiscais[[#This Row],[On Time]]*fNotasFiscais[[#This Row],[In Full]]</f>
        <v>1</v>
      </c>
      <c r="AA1945">
        <f>IF(fNotasFiscais[[#This Row],[Nota Fiscal]]&lt;&gt;"",1,0)</f>
        <v>1</v>
      </c>
    </row>
    <row r="1946" spans="1:27" x14ac:dyDescent="0.25">
      <c r="A1946" s="1">
        <v>43659</v>
      </c>
      <c r="B1946">
        <v>12355</v>
      </c>
      <c r="C1946" s="2" t="s">
        <v>31</v>
      </c>
      <c r="D1946" s="2" t="s">
        <v>32</v>
      </c>
      <c r="E1946" s="2" t="s">
        <v>33</v>
      </c>
      <c r="F1946">
        <v>4153</v>
      </c>
      <c r="G1946" s="2" t="s">
        <v>236</v>
      </c>
      <c r="H1946" s="2" t="s">
        <v>44</v>
      </c>
      <c r="I1946" s="2" t="s">
        <v>45</v>
      </c>
      <c r="J1946" s="2" t="s">
        <v>60</v>
      </c>
      <c r="K1946" s="2" t="s">
        <v>45</v>
      </c>
      <c r="L1946">
        <v>214.24</v>
      </c>
      <c r="M1946">
        <v>1</v>
      </c>
      <c r="N1946">
        <v>1.1220000000000001</v>
      </c>
      <c r="O1946">
        <v>6140092</v>
      </c>
      <c r="P1946" s="2" t="s">
        <v>137</v>
      </c>
      <c r="Q1946" s="2" t="s">
        <v>138</v>
      </c>
      <c r="R1946" s="2" t="s">
        <v>30</v>
      </c>
      <c r="S1946">
        <v>6</v>
      </c>
      <c r="T1946" s="1">
        <v>43659</v>
      </c>
      <c r="U1946" s="1">
        <v>43669</v>
      </c>
      <c r="V1946" s="2"/>
      <c r="W1946" s="1">
        <f>fNotasFiscais[[#This Row],[Data da Coleta]]+fNotasFiscais[[#This Row],[Prazo Contratado]]</f>
        <v>43665</v>
      </c>
      <c r="X1946" s="3">
        <f>IF(fNotasFiscais[[#This Row],[Data da Entrega]]&gt;fNotasFiscais[[#This Row],[Data Contratada]],0,1)</f>
        <v>0</v>
      </c>
      <c r="Y1946" s="3">
        <f>IF(fNotasFiscais[[#This Row],[Ocorrência]]="",1,0)</f>
        <v>1</v>
      </c>
      <c r="Z1946" s="2">
        <f>fNotasFiscais[[#This Row],[On Time]]*fNotasFiscais[[#This Row],[In Full]]</f>
        <v>0</v>
      </c>
      <c r="AA1946">
        <f>IF(fNotasFiscais[[#This Row],[Nota Fiscal]]&lt;&gt;"",1,0)</f>
        <v>1</v>
      </c>
    </row>
    <row r="1947" spans="1:27" x14ac:dyDescent="0.25">
      <c r="A1947" s="1">
        <v>43659</v>
      </c>
      <c r="B1947">
        <v>12356</v>
      </c>
      <c r="C1947" s="2" t="s">
        <v>34</v>
      </c>
      <c r="D1947" s="2" t="s">
        <v>35</v>
      </c>
      <c r="E1947" s="2" t="s">
        <v>36</v>
      </c>
      <c r="F1947">
        <v>4023</v>
      </c>
      <c r="G1947" s="2" t="s">
        <v>88</v>
      </c>
      <c r="H1947" s="2" t="s">
        <v>78</v>
      </c>
      <c r="I1947" s="2" t="s">
        <v>39</v>
      </c>
      <c r="J1947" s="2" t="s">
        <v>28</v>
      </c>
      <c r="K1947" s="2" t="s">
        <v>39</v>
      </c>
      <c r="L1947">
        <v>457.57</v>
      </c>
      <c r="M1947">
        <v>1</v>
      </c>
      <c r="N1947">
        <v>0.51700000000000002</v>
      </c>
      <c r="O1947">
        <v>6500948</v>
      </c>
      <c r="P1947" s="2" t="s">
        <v>29</v>
      </c>
      <c r="Q1947" s="2" t="s">
        <v>23</v>
      </c>
      <c r="R1947" s="2" t="s">
        <v>30</v>
      </c>
      <c r="S1947">
        <v>4</v>
      </c>
      <c r="T1947" s="1">
        <v>43659</v>
      </c>
      <c r="U1947" s="1">
        <v>43660</v>
      </c>
      <c r="V1947" s="2"/>
      <c r="W1947" s="1">
        <f>fNotasFiscais[[#This Row],[Data da Coleta]]+fNotasFiscais[[#This Row],[Prazo Contratado]]</f>
        <v>43663</v>
      </c>
      <c r="X1947" s="3">
        <f>IF(fNotasFiscais[[#This Row],[Data da Entrega]]&gt;fNotasFiscais[[#This Row],[Data Contratada]],0,1)</f>
        <v>1</v>
      </c>
      <c r="Y1947" s="3">
        <f>IF(fNotasFiscais[[#This Row],[Ocorrência]]="",1,0)</f>
        <v>1</v>
      </c>
      <c r="Z1947" s="2">
        <f>fNotasFiscais[[#This Row],[On Time]]*fNotasFiscais[[#This Row],[In Full]]</f>
        <v>1</v>
      </c>
      <c r="AA1947">
        <f>IF(fNotasFiscais[[#This Row],[Nota Fiscal]]&lt;&gt;"",1,0)</f>
        <v>1</v>
      </c>
    </row>
    <row r="1948" spans="1:27" x14ac:dyDescent="0.25">
      <c r="A1948" s="1">
        <v>43659</v>
      </c>
      <c r="B1948">
        <v>12357</v>
      </c>
      <c r="C1948" s="2" t="s">
        <v>34</v>
      </c>
      <c r="D1948" s="2" t="s">
        <v>35</v>
      </c>
      <c r="E1948" s="2" t="s">
        <v>36</v>
      </c>
      <c r="F1948">
        <v>4022</v>
      </c>
      <c r="G1948" s="2" t="s">
        <v>86</v>
      </c>
      <c r="H1948" s="2" t="s">
        <v>87</v>
      </c>
      <c r="I1948" s="2" t="s">
        <v>27</v>
      </c>
      <c r="J1948" s="2" t="s">
        <v>28</v>
      </c>
      <c r="K1948" s="2" t="s">
        <v>27</v>
      </c>
      <c r="L1948">
        <v>3777.43</v>
      </c>
      <c r="M1948">
        <v>7</v>
      </c>
      <c r="N1948">
        <v>12.738</v>
      </c>
      <c r="O1948">
        <v>6500948</v>
      </c>
      <c r="P1948" s="2" t="s">
        <v>29</v>
      </c>
      <c r="Q1948" s="2" t="s">
        <v>23</v>
      </c>
      <c r="R1948" s="2" t="s">
        <v>30</v>
      </c>
      <c r="S1948">
        <v>4</v>
      </c>
      <c r="T1948" s="1">
        <v>43659</v>
      </c>
      <c r="U1948" s="1">
        <v>43663</v>
      </c>
      <c r="V1948" s="2"/>
      <c r="W1948" s="1">
        <f>fNotasFiscais[[#This Row],[Data da Coleta]]+fNotasFiscais[[#This Row],[Prazo Contratado]]</f>
        <v>43663</v>
      </c>
      <c r="X1948" s="3">
        <f>IF(fNotasFiscais[[#This Row],[Data da Entrega]]&gt;fNotasFiscais[[#This Row],[Data Contratada]],0,1)</f>
        <v>1</v>
      </c>
      <c r="Y1948" s="3">
        <f>IF(fNotasFiscais[[#This Row],[Ocorrência]]="",1,0)</f>
        <v>1</v>
      </c>
      <c r="Z1948" s="2">
        <f>fNotasFiscais[[#This Row],[On Time]]*fNotasFiscais[[#This Row],[In Full]]</f>
        <v>1</v>
      </c>
      <c r="AA1948">
        <f>IF(fNotasFiscais[[#This Row],[Nota Fiscal]]&lt;&gt;"",1,0)</f>
        <v>1</v>
      </c>
    </row>
    <row r="1949" spans="1:27" x14ac:dyDescent="0.25">
      <c r="A1949" s="1">
        <v>43659</v>
      </c>
      <c r="B1949">
        <v>12358</v>
      </c>
      <c r="C1949" s="2" t="s">
        <v>22</v>
      </c>
      <c r="D1949" s="2" t="s">
        <v>23</v>
      </c>
      <c r="E1949" s="2" t="s">
        <v>24</v>
      </c>
      <c r="F1949">
        <v>4022</v>
      </c>
      <c r="G1949" s="2" t="s">
        <v>86</v>
      </c>
      <c r="H1949" s="2" t="s">
        <v>87</v>
      </c>
      <c r="I1949" s="2" t="s">
        <v>27</v>
      </c>
      <c r="J1949" s="2" t="s">
        <v>28</v>
      </c>
      <c r="K1949" s="2" t="s">
        <v>27</v>
      </c>
      <c r="L1949">
        <v>3406.54</v>
      </c>
      <c r="M1949">
        <v>8</v>
      </c>
      <c r="N1949">
        <v>16.657</v>
      </c>
      <c r="O1949">
        <v>6500948</v>
      </c>
      <c r="P1949" s="2" t="s">
        <v>29</v>
      </c>
      <c r="Q1949" s="2" t="s">
        <v>23</v>
      </c>
      <c r="R1949" s="2" t="s">
        <v>30</v>
      </c>
      <c r="S1949">
        <v>4</v>
      </c>
      <c r="T1949" s="1">
        <v>43659</v>
      </c>
      <c r="U1949" s="1">
        <v>43668</v>
      </c>
      <c r="V1949" s="2"/>
      <c r="W1949" s="1">
        <f>fNotasFiscais[[#This Row],[Data da Coleta]]+fNotasFiscais[[#This Row],[Prazo Contratado]]</f>
        <v>43663</v>
      </c>
      <c r="X1949" s="3">
        <f>IF(fNotasFiscais[[#This Row],[Data da Entrega]]&gt;fNotasFiscais[[#This Row],[Data Contratada]],0,1)</f>
        <v>0</v>
      </c>
      <c r="Y1949" s="3">
        <f>IF(fNotasFiscais[[#This Row],[Ocorrência]]="",1,0)</f>
        <v>1</v>
      </c>
      <c r="Z1949" s="2">
        <f>fNotasFiscais[[#This Row],[On Time]]*fNotasFiscais[[#This Row],[In Full]]</f>
        <v>0</v>
      </c>
      <c r="AA1949">
        <f>IF(fNotasFiscais[[#This Row],[Nota Fiscal]]&lt;&gt;"",1,0)</f>
        <v>1</v>
      </c>
    </row>
    <row r="1950" spans="1:27" x14ac:dyDescent="0.25">
      <c r="A1950" s="1">
        <v>43659</v>
      </c>
      <c r="B1950">
        <v>12359</v>
      </c>
      <c r="C1950" s="2" t="s">
        <v>22</v>
      </c>
      <c r="D1950" s="2" t="s">
        <v>23</v>
      </c>
      <c r="E1950" s="2" t="s">
        <v>24</v>
      </c>
      <c r="F1950">
        <v>4126</v>
      </c>
      <c r="G1950" s="2" t="s">
        <v>209</v>
      </c>
      <c r="H1950" s="2" t="s">
        <v>35</v>
      </c>
      <c r="I1950" s="2" t="s">
        <v>36</v>
      </c>
      <c r="J1950" s="2" t="s">
        <v>60</v>
      </c>
      <c r="K1950" s="2" t="s">
        <v>36</v>
      </c>
      <c r="L1950">
        <v>89.97</v>
      </c>
      <c r="M1950">
        <v>1</v>
      </c>
      <c r="N1950">
        <v>0.38300000000000001</v>
      </c>
      <c r="O1950">
        <v>6600879</v>
      </c>
      <c r="P1950" s="2" t="s">
        <v>61</v>
      </c>
      <c r="Q1950" s="2" t="s">
        <v>35</v>
      </c>
      <c r="R1950" s="2" t="s">
        <v>30</v>
      </c>
      <c r="S1950">
        <v>2</v>
      </c>
      <c r="T1950" s="1">
        <v>43659</v>
      </c>
      <c r="U1950" s="1">
        <v>43666</v>
      </c>
      <c r="V1950" s="2" t="s">
        <v>57</v>
      </c>
      <c r="W1950" s="1">
        <f>fNotasFiscais[[#This Row],[Data da Coleta]]+fNotasFiscais[[#This Row],[Prazo Contratado]]</f>
        <v>43661</v>
      </c>
      <c r="X1950" s="3">
        <f>IF(fNotasFiscais[[#This Row],[Data da Entrega]]&gt;fNotasFiscais[[#This Row],[Data Contratada]],0,1)</f>
        <v>0</v>
      </c>
      <c r="Y1950" s="3">
        <f>IF(fNotasFiscais[[#This Row],[Ocorrência]]="",1,0)</f>
        <v>0</v>
      </c>
      <c r="Z1950" s="2">
        <f>fNotasFiscais[[#This Row],[On Time]]*fNotasFiscais[[#This Row],[In Full]]</f>
        <v>0</v>
      </c>
      <c r="AA1950">
        <f>IF(fNotasFiscais[[#This Row],[Nota Fiscal]]&lt;&gt;"",1,0)</f>
        <v>1</v>
      </c>
    </row>
    <row r="1951" spans="1:27" x14ac:dyDescent="0.25">
      <c r="A1951" s="1">
        <v>43659</v>
      </c>
      <c r="B1951">
        <v>12360</v>
      </c>
      <c r="C1951" s="2" t="s">
        <v>31</v>
      </c>
      <c r="D1951" s="2" t="s">
        <v>32</v>
      </c>
      <c r="E1951" s="2" t="s">
        <v>33</v>
      </c>
      <c r="F1951">
        <v>4126</v>
      </c>
      <c r="G1951" s="2" t="s">
        <v>209</v>
      </c>
      <c r="H1951" s="2" t="s">
        <v>35</v>
      </c>
      <c r="I1951" s="2" t="s">
        <v>36</v>
      </c>
      <c r="J1951" s="2" t="s">
        <v>60</v>
      </c>
      <c r="K1951" s="2" t="s">
        <v>36</v>
      </c>
      <c r="L1951">
        <v>353.06</v>
      </c>
      <c r="M1951">
        <v>1</v>
      </c>
      <c r="N1951">
        <v>4.6790000000000003</v>
      </c>
      <c r="O1951">
        <v>6600879</v>
      </c>
      <c r="P1951" s="2" t="s">
        <v>61</v>
      </c>
      <c r="Q1951" s="2" t="s">
        <v>35</v>
      </c>
      <c r="R1951" s="2" t="s">
        <v>30</v>
      </c>
      <c r="S1951">
        <v>4</v>
      </c>
      <c r="T1951" s="1">
        <v>43659</v>
      </c>
      <c r="U1951" s="1">
        <v>43660</v>
      </c>
      <c r="V1951" s="2"/>
      <c r="W1951" s="1">
        <f>fNotasFiscais[[#This Row],[Data da Coleta]]+fNotasFiscais[[#This Row],[Prazo Contratado]]</f>
        <v>43663</v>
      </c>
      <c r="X1951" s="3">
        <f>IF(fNotasFiscais[[#This Row],[Data da Entrega]]&gt;fNotasFiscais[[#This Row],[Data Contratada]],0,1)</f>
        <v>1</v>
      </c>
      <c r="Y1951" s="3">
        <f>IF(fNotasFiscais[[#This Row],[Ocorrência]]="",1,0)</f>
        <v>1</v>
      </c>
      <c r="Z1951" s="2">
        <f>fNotasFiscais[[#This Row],[On Time]]*fNotasFiscais[[#This Row],[In Full]]</f>
        <v>1</v>
      </c>
      <c r="AA1951">
        <f>IF(fNotasFiscais[[#This Row],[Nota Fiscal]]&lt;&gt;"",1,0)</f>
        <v>1</v>
      </c>
    </row>
    <row r="1952" spans="1:27" x14ac:dyDescent="0.25">
      <c r="A1952" s="1">
        <v>43662</v>
      </c>
      <c r="B1952">
        <v>12361</v>
      </c>
      <c r="C1952" s="2" t="s">
        <v>43</v>
      </c>
      <c r="D1952" s="2" t="s">
        <v>44</v>
      </c>
      <c r="E1952" s="2" t="s">
        <v>45</v>
      </c>
      <c r="F1952">
        <v>4162</v>
      </c>
      <c r="G1952" s="2" t="s">
        <v>245</v>
      </c>
      <c r="H1952" s="2" t="s">
        <v>167</v>
      </c>
      <c r="I1952" s="2" t="s">
        <v>168</v>
      </c>
      <c r="J1952" s="2" t="s">
        <v>169</v>
      </c>
      <c r="K1952" s="2" t="s">
        <v>168</v>
      </c>
      <c r="L1952">
        <v>1188.26</v>
      </c>
      <c r="M1952">
        <v>2</v>
      </c>
      <c r="N1952">
        <v>3.3</v>
      </c>
      <c r="O1952">
        <v>6900304</v>
      </c>
      <c r="P1952" s="2" t="s">
        <v>170</v>
      </c>
      <c r="Q1952" s="2" t="s">
        <v>171</v>
      </c>
      <c r="R1952" s="2" t="s">
        <v>30</v>
      </c>
      <c r="S1952">
        <v>12</v>
      </c>
      <c r="T1952" s="1">
        <v>43662</v>
      </c>
      <c r="U1952" s="1">
        <v>43665</v>
      </c>
      <c r="V1952" s="2"/>
      <c r="W1952" s="1">
        <f>fNotasFiscais[[#This Row],[Data da Coleta]]+fNotasFiscais[[#This Row],[Prazo Contratado]]</f>
        <v>43674</v>
      </c>
      <c r="X1952" s="3">
        <f>IF(fNotasFiscais[[#This Row],[Data da Entrega]]&gt;fNotasFiscais[[#This Row],[Data Contratada]],0,1)</f>
        <v>1</v>
      </c>
      <c r="Y1952" s="3">
        <f>IF(fNotasFiscais[[#This Row],[Ocorrência]]="",1,0)</f>
        <v>1</v>
      </c>
      <c r="Z1952" s="2">
        <f>fNotasFiscais[[#This Row],[On Time]]*fNotasFiscais[[#This Row],[In Full]]</f>
        <v>1</v>
      </c>
      <c r="AA1952">
        <f>IF(fNotasFiscais[[#This Row],[Nota Fiscal]]&lt;&gt;"",1,0)</f>
        <v>1</v>
      </c>
    </row>
    <row r="1953" spans="1:27" x14ac:dyDescent="0.25">
      <c r="A1953" s="1">
        <v>43662</v>
      </c>
      <c r="B1953">
        <v>12362</v>
      </c>
      <c r="C1953" s="2" t="s">
        <v>34</v>
      </c>
      <c r="D1953" s="2" t="s">
        <v>35</v>
      </c>
      <c r="E1953" s="2" t="s">
        <v>36</v>
      </c>
      <c r="F1953">
        <v>4102</v>
      </c>
      <c r="G1953" s="2" t="s">
        <v>185</v>
      </c>
      <c r="H1953" s="2" t="s">
        <v>173</v>
      </c>
      <c r="I1953" s="2" t="s">
        <v>174</v>
      </c>
      <c r="J1953" s="2" t="s">
        <v>175</v>
      </c>
      <c r="K1953" s="2" t="s">
        <v>174</v>
      </c>
      <c r="L1953">
        <v>393.24</v>
      </c>
      <c r="M1953">
        <v>1</v>
      </c>
      <c r="N1953">
        <v>0.44</v>
      </c>
      <c r="O1953">
        <v>6700091</v>
      </c>
      <c r="P1953" s="2" t="s">
        <v>176</v>
      </c>
      <c r="Q1953" s="2" t="s">
        <v>173</v>
      </c>
      <c r="R1953" s="2" t="s">
        <v>30</v>
      </c>
      <c r="S1953">
        <v>6</v>
      </c>
      <c r="T1953" s="1">
        <v>43662</v>
      </c>
      <c r="U1953" s="1">
        <v>43666</v>
      </c>
      <c r="V1953" s="2"/>
      <c r="W1953" s="1">
        <f>fNotasFiscais[[#This Row],[Data da Coleta]]+fNotasFiscais[[#This Row],[Prazo Contratado]]</f>
        <v>43668</v>
      </c>
      <c r="X1953" s="3">
        <f>IF(fNotasFiscais[[#This Row],[Data da Entrega]]&gt;fNotasFiscais[[#This Row],[Data Contratada]],0,1)</f>
        <v>1</v>
      </c>
      <c r="Y1953" s="3">
        <f>IF(fNotasFiscais[[#This Row],[Ocorrência]]="",1,0)</f>
        <v>1</v>
      </c>
      <c r="Z1953" s="2">
        <f>fNotasFiscais[[#This Row],[On Time]]*fNotasFiscais[[#This Row],[In Full]]</f>
        <v>1</v>
      </c>
      <c r="AA1953">
        <f>IF(fNotasFiscais[[#This Row],[Nota Fiscal]]&lt;&gt;"",1,0)</f>
        <v>1</v>
      </c>
    </row>
    <row r="1954" spans="1:27" x14ac:dyDescent="0.25">
      <c r="A1954" s="1">
        <v>43662</v>
      </c>
      <c r="B1954">
        <v>12363</v>
      </c>
      <c r="C1954" s="2" t="s">
        <v>52</v>
      </c>
      <c r="D1954" s="2" t="s">
        <v>53</v>
      </c>
      <c r="E1954" s="2" t="s">
        <v>33</v>
      </c>
      <c r="F1954">
        <v>4197</v>
      </c>
      <c r="G1954" s="2" t="s">
        <v>280</v>
      </c>
      <c r="H1954" s="2" t="s">
        <v>32</v>
      </c>
      <c r="I1954" s="2" t="s">
        <v>33</v>
      </c>
      <c r="J1954" s="2" t="s">
        <v>60</v>
      </c>
      <c r="K1954" s="2" t="s">
        <v>33</v>
      </c>
      <c r="L1954">
        <v>1948.44</v>
      </c>
      <c r="M1954">
        <v>3</v>
      </c>
      <c r="N1954">
        <v>10.78</v>
      </c>
      <c r="O1954">
        <v>6400835</v>
      </c>
      <c r="P1954" s="2" t="s">
        <v>130</v>
      </c>
      <c r="Q1954" s="2" t="s">
        <v>131</v>
      </c>
      <c r="R1954" s="2" t="s">
        <v>30</v>
      </c>
      <c r="S1954">
        <v>2</v>
      </c>
      <c r="T1954" s="1">
        <v>43662</v>
      </c>
      <c r="U1954" s="1">
        <v>43667</v>
      </c>
      <c r="V1954" s="2"/>
      <c r="W1954" s="1">
        <f>fNotasFiscais[[#This Row],[Data da Coleta]]+fNotasFiscais[[#This Row],[Prazo Contratado]]</f>
        <v>43664</v>
      </c>
      <c r="X1954" s="3">
        <f>IF(fNotasFiscais[[#This Row],[Data da Entrega]]&gt;fNotasFiscais[[#This Row],[Data Contratada]],0,1)</f>
        <v>0</v>
      </c>
      <c r="Y1954" s="3">
        <f>IF(fNotasFiscais[[#This Row],[Ocorrência]]="",1,0)</f>
        <v>1</v>
      </c>
      <c r="Z1954" s="2">
        <f>fNotasFiscais[[#This Row],[On Time]]*fNotasFiscais[[#This Row],[In Full]]</f>
        <v>0</v>
      </c>
      <c r="AA1954">
        <f>IF(fNotasFiscais[[#This Row],[Nota Fiscal]]&lt;&gt;"",1,0)</f>
        <v>1</v>
      </c>
    </row>
    <row r="1955" spans="1:27" x14ac:dyDescent="0.25">
      <c r="A1955" s="1">
        <v>43662</v>
      </c>
      <c r="B1955">
        <v>12364</v>
      </c>
      <c r="C1955" s="2" t="s">
        <v>52</v>
      </c>
      <c r="D1955" s="2" t="s">
        <v>53</v>
      </c>
      <c r="E1955" s="2" t="s">
        <v>33</v>
      </c>
      <c r="F1955">
        <v>4198</v>
      </c>
      <c r="G1955" s="2" t="s">
        <v>281</v>
      </c>
      <c r="H1955" s="2" t="s">
        <v>173</v>
      </c>
      <c r="I1955" s="2" t="s">
        <v>174</v>
      </c>
      <c r="J1955" s="2" t="s">
        <v>175</v>
      </c>
      <c r="K1955" s="2" t="s">
        <v>174</v>
      </c>
      <c r="L1955">
        <v>51.35</v>
      </c>
      <c r="M1955">
        <v>1</v>
      </c>
      <c r="N1955">
        <v>0.32100000000000001</v>
      </c>
      <c r="O1955">
        <v>6700091</v>
      </c>
      <c r="P1955" s="2" t="s">
        <v>176</v>
      </c>
      <c r="Q1955" s="2" t="s">
        <v>173</v>
      </c>
      <c r="R1955" s="2" t="s">
        <v>30</v>
      </c>
      <c r="S1955">
        <v>5</v>
      </c>
      <c r="T1955" s="1">
        <v>43662</v>
      </c>
      <c r="U1955" s="1">
        <v>43664</v>
      </c>
      <c r="V1955" s="2" t="s">
        <v>42</v>
      </c>
      <c r="W1955" s="1">
        <f>fNotasFiscais[[#This Row],[Data da Coleta]]+fNotasFiscais[[#This Row],[Prazo Contratado]]</f>
        <v>43667</v>
      </c>
      <c r="X1955" s="3">
        <f>IF(fNotasFiscais[[#This Row],[Data da Entrega]]&gt;fNotasFiscais[[#This Row],[Data Contratada]],0,1)</f>
        <v>1</v>
      </c>
      <c r="Y1955" s="3">
        <f>IF(fNotasFiscais[[#This Row],[Ocorrência]]="",1,0)</f>
        <v>0</v>
      </c>
      <c r="Z1955" s="2">
        <f>fNotasFiscais[[#This Row],[On Time]]*fNotasFiscais[[#This Row],[In Full]]</f>
        <v>0</v>
      </c>
      <c r="AA1955">
        <f>IF(fNotasFiscais[[#This Row],[Nota Fiscal]]&lt;&gt;"",1,0)</f>
        <v>1</v>
      </c>
    </row>
    <row r="1956" spans="1:27" x14ac:dyDescent="0.25">
      <c r="A1956" s="1">
        <v>43662</v>
      </c>
      <c r="B1956">
        <v>12365</v>
      </c>
      <c r="C1956" s="2" t="s">
        <v>43</v>
      </c>
      <c r="D1956" s="2" t="s">
        <v>44</v>
      </c>
      <c r="E1956" s="2" t="s">
        <v>45</v>
      </c>
      <c r="F1956">
        <v>4114</v>
      </c>
      <c r="G1956" s="2" t="s">
        <v>197</v>
      </c>
      <c r="H1956" s="2" t="s">
        <v>44</v>
      </c>
      <c r="I1956" s="2" t="s">
        <v>45</v>
      </c>
      <c r="J1956" s="2" t="s">
        <v>60</v>
      </c>
      <c r="K1956" s="2" t="s">
        <v>45</v>
      </c>
      <c r="L1956">
        <v>951.12</v>
      </c>
      <c r="M1956">
        <v>3</v>
      </c>
      <c r="N1956">
        <v>8.6389999999999993</v>
      </c>
      <c r="O1956">
        <v>6140092</v>
      </c>
      <c r="P1956" s="2" t="s">
        <v>137</v>
      </c>
      <c r="Q1956" s="2" t="s">
        <v>138</v>
      </c>
      <c r="R1956" s="2" t="s">
        <v>30</v>
      </c>
      <c r="S1956">
        <v>3</v>
      </c>
      <c r="T1956" s="1">
        <v>43662</v>
      </c>
      <c r="U1956" s="1">
        <v>43668</v>
      </c>
      <c r="V1956" s="2"/>
      <c r="W1956" s="1">
        <f>fNotasFiscais[[#This Row],[Data da Coleta]]+fNotasFiscais[[#This Row],[Prazo Contratado]]</f>
        <v>43665</v>
      </c>
      <c r="X1956" s="3">
        <f>IF(fNotasFiscais[[#This Row],[Data da Entrega]]&gt;fNotasFiscais[[#This Row],[Data Contratada]],0,1)</f>
        <v>0</v>
      </c>
      <c r="Y1956" s="3">
        <f>IF(fNotasFiscais[[#This Row],[Ocorrência]]="",1,0)</f>
        <v>1</v>
      </c>
      <c r="Z1956" s="2">
        <f>fNotasFiscais[[#This Row],[On Time]]*fNotasFiscais[[#This Row],[In Full]]</f>
        <v>0</v>
      </c>
      <c r="AA1956">
        <f>IF(fNotasFiscais[[#This Row],[Nota Fiscal]]&lt;&gt;"",1,0)</f>
        <v>1</v>
      </c>
    </row>
    <row r="1957" spans="1:27" x14ac:dyDescent="0.25">
      <c r="A1957" s="1">
        <v>43662</v>
      </c>
      <c r="B1957">
        <v>12366</v>
      </c>
      <c r="C1957" s="2" t="s">
        <v>43</v>
      </c>
      <c r="D1957" s="2" t="s">
        <v>44</v>
      </c>
      <c r="E1957" s="2" t="s">
        <v>45</v>
      </c>
      <c r="F1957">
        <v>4199</v>
      </c>
      <c r="G1957" s="2" t="s">
        <v>282</v>
      </c>
      <c r="H1957" s="2" t="s">
        <v>183</v>
      </c>
      <c r="I1957" s="2" t="s">
        <v>33</v>
      </c>
      <c r="J1957" s="2" t="s">
        <v>60</v>
      </c>
      <c r="K1957" s="2" t="s">
        <v>33</v>
      </c>
      <c r="L1957">
        <v>2209.8000000000002</v>
      </c>
      <c r="M1957">
        <v>3</v>
      </c>
      <c r="N1957">
        <v>15.500999999999999</v>
      </c>
      <c r="O1957">
        <v>6400835</v>
      </c>
      <c r="P1957" s="2" t="s">
        <v>130</v>
      </c>
      <c r="Q1957" s="2" t="s">
        <v>131</v>
      </c>
      <c r="R1957" s="2" t="s">
        <v>30</v>
      </c>
      <c r="S1957">
        <v>7</v>
      </c>
      <c r="T1957" s="1">
        <v>43662</v>
      </c>
      <c r="U1957" s="1">
        <v>43669</v>
      </c>
      <c r="V1957" s="2"/>
      <c r="W1957" s="1">
        <f>fNotasFiscais[[#This Row],[Data da Coleta]]+fNotasFiscais[[#This Row],[Prazo Contratado]]</f>
        <v>43669</v>
      </c>
      <c r="X1957" s="3">
        <f>IF(fNotasFiscais[[#This Row],[Data da Entrega]]&gt;fNotasFiscais[[#This Row],[Data Contratada]],0,1)</f>
        <v>1</v>
      </c>
      <c r="Y1957" s="3">
        <f>IF(fNotasFiscais[[#This Row],[Ocorrência]]="",1,0)</f>
        <v>1</v>
      </c>
      <c r="Z1957" s="2">
        <f>fNotasFiscais[[#This Row],[On Time]]*fNotasFiscais[[#This Row],[In Full]]</f>
        <v>1</v>
      </c>
      <c r="AA1957">
        <f>IF(fNotasFiscais[[#This Row],[Nota Fiscal]]&lt;&gt;"",1,0)</f>
        <v>1</v>
      </c>
    </row>
    <row r="1958" spans="1:27" x14ac:dyDescent="0.25">
      <c r="A1958" s="1">
        <v>43662</v>
      </c>
      <c r="B1958">
        <v>12367</v>
      </c>
      <c r="C1958" s="2" t="s">
        <v>34</v>
      </c>
      <c r="D1958" s="2" t="s">
        <v>35</v>
      </c>
      <c r="E1958" s="2" t="s">
        <v>36</v>
      </c>
      <c r="F1958">
        <v>4200</v>
      </c>
      <c r="G1958" s="2" t="s">
        <v>283</v>
      </c>
      <c r="H1958" s="2" t="s">
        <v>173</v>
      </c>
      <c r="I1958" s="2" t="s">
        <v>174</v>
      </c>
      <c r="J1958" s="2" t="s">
        <v>175</v>
      </c>
      <c r="K1958" s="2" t="s">
        <v>174</v>
      </c>
      <c r="L1958">
        <v>1718.32</v>
      </c>
      <c r="M1958">
        <v>4</v>
      </c>
      <c r="N1958">
        <v>8.6859999999999999</v>
      </c>
      <c r="O1958">
        <v>6700091</v>
      </c>
      <c r="P1958" s="2" t="s">
        <v>176</v>
      </c>
      <c r="Q1958" s="2" t="s">
        <v>173</v>
      </c>
      <c r="R1958" s="2" t="s">
        <v>30</v>
      </c>
      <c r="S1958">
        <v>7</v>
      </c>
      <c r="T1958" s="1">
        <v>43662</v>
      </c>
      <c r="U1958" s="1">
        <v>43667</v>
      </c>
      <c r="V1958" s="2" t="s">
        <v>42</v>
      </c>
      <c r="W1958" s="1">
        <f>fNotasFiscais[[#This Row],[Data da Coleta]]+fNotasFiscais[[#This Row],[Prazo Contratado]]</f>
        <v>43669</v>
      </c>
      <c r="X1958" s="3">
        <f>IF(fNotasFiscais[[#This Row],[Data da Entrega]]&gt;fNotasFiscais[[#This Row],[Data Contratada]],0,1)</f>
        <v>1</v>
      </c>
      <c r="Y1958" s="3">
        <f>IF(fNotasFiscais[[#This Row],[Ocorrência]]="",1,0)</f>
        <v>0</v>
      </c>
      <c r="Z1958" s="2">
        <f>fNotasFiscais[[#This Row],[On Time]]*fNotasFiscais[[#This Row],[In Full]]</f>
        <v>0</v>
      </c>
      <c r="AA1958">
        <f>IF(fNotasFiscais[[#This Row],[Nota Fiscal]]&lt;&gt;"",1,0)</f>
        <v>1</v>
      </c>
    </row>
    <row r="1959" spans="1:27" x14ac:dyDescent="0.25">
      <c r="A1959" s="1">
        <v>43662</v>
      </c>
      <c r="B1959">
        <v>12368</v>
      </c>
      <c r="C1959" s="2" t="s">
        <v>40</v>
      </c>
      <c r="D1959" s="2" t="s">
        <v>41</v>
      </c>
      <c r="E1959" s="2" t="s">
        <v>33</v>
      </c>
      <c r="F1959">
        <v>4201</v>
      </c>
      <c r="G1959" s="2" t="s">
        <v>284</v>
      </c>
      <c r="H1959" s="2" t="s">
        <v>32</v>
      </c>
      <c r="I1959" s="2" t="s">
        <v>33</v>
      </c>
      <c r="J1959" s="2" t="s">
        <v>60</v>
      </c>
      <c r="K1959" s="2" t="s">
        <v>33</v>
      </c>
      <c r="L1959">
        <v>321.02</v>
      </c>
      <c r="M1959">
        <v>1</v>
      </c>
      <c r="N1959">
        <v>1.1200000000000001</v>
      </c>
      <c r="O1959">
        <v>6400835</v>
      </c>
      <c r="P1959" s="2" t="s">
        <v>130</v>
      </c>
      <c r="Q1959" s="2" t="s">
        <v>131</v>
      </c>
      <c r="R1959" s="2" t="s">
        <v>30</v>
      </c>
      <c r="S1959">
        <v>8</v>
      </c>
      <c r="T1959" s="1">
        <v>43662</v>
      </c>
      <c r="U1959" s="1">
        <v>43666</v>
      </c>
      <c r="V1959" s="2"/>
      <c r="W1959" s="1">
        <f>fNotasFiscais[[#This Row],[Data da Coleta]]+fNotasFiscais[[#This Row],[Prazo Contratado]]</f>
        <v>43670</v>
      </c>
      <c r="X1959" s="3">
        <f>IF(fNotasFiscais[[#This Row],[Data da Entrega]]&gt;fNotasFiscais[[#This Row],[Data Contratada]],0,1)</f>
        <v>1</v>
      </c>
      <c r="Y1959" s="3">
        <f>IF(fNotasFiscais[[#This Row],[Ocorrência]]="",1,0)</f>
        <v>1</v>
      </c>
      <c r="Z1959" s="2">
        <f>fNotasFiscais[[#This Row],[On Time]]*fNotasFiscais[[#This Row],[In Full]]</f>
        <v>1</v>
      </c>
      <c r="AA1959">
        <f>IF(fNotasFiscais[[#This Row],[Nota Fiscal]]&lt;&gt;"",1,0)</f>
        <v>1</v>
      </c>
    </row>
    <row r="1960" spans="1:27" x14ac:dyDescent="0.25">
      <c r="A1960" s="1">
        <v>43662</v>
      </c>
      <c r="B1960">
        <v>12369</v>
      </c>
      <c r="C1960" s="2" t="s">
        <v>40</v>
      </c>
      <c r="D1960" s="2" t="s">
        <v>41</v>
      </c>
      <c r="E1960" s="2" t="s">
        <v>33</v>
      </c>
      <c r="F1960">
        <v>4202</v>
      </c>
      <c r="G1960" s="2" t="s">
        <v>285</v>
      </c>
      <c r="H1960" s="2" t="s">
        <v>44</v>
      </c>
      <c r="I1960" s="2" t="s">
        <v>45</v>
      </c>
      <c r="J1960" s="2" t="s">
        <v>60</v>
      </c>
      <c r="K1960" s="2" t="s">
        <v>45</v>
      </c>
      <c r="L1960">
        <v>1057.18</v>
      </c>
      <c r="M1960">
        <v>2</v>
      </c>
      <c r="N1960">
        <v>2.536</v>
      </c>
      <c r="O1960">
        <v>6140092</v>
      </c>
      <c r="P1960" s="2" t="s">
        <v>137</v>
      </c>
      <c r="Q1960" s="2" t="s">
        <v>138</v>
      </c>
      <c r="R1960" s="2" t="s">
        <v>30</v>
      </c>
      <c r="S1960">
        <v>12</v>
      </c>
      <c r="T1960" s="1">
        <v>43662</v>
      </c>
      <c r="U1960" s="1">
        <v>43663</v>
      </c>
      <c r="V1960" s="2" t="s">
        <v>42</v>
      </c>
      <c r="W1960" s="1">
        <f>fNotasFiscais[[#This Row],[Data da Coleta]]+fNotasFiscais[[#This Row],[Prazo Contratado]]</f>
        <v>43674</v>
      </c>
      <c r="X1960" s="3">
        <f>IF(fNotasFiscais[[#This Row],[Data da Entrega]]&gt;fNotasFiscais[[#This Row],[Data Contratada]],0,1)</f>
        <v>1</v>
      </c>
      <c r="Y1960" s="3">
        <f>IF(fNotasFiscais[[#This Row],[Ocorrência]]="",1,0)</f>
        <v>0</v>
      </c>
      <c r="Z1960" s="2">
        <f>fNotasFiscais[[#This Row],[On Time]]*fNotasFiscais[[#This Row],[In Full]]</f>
        <v>0</v>
      </c>
      <c r="AA1960">
        <f>IF(fNotasFiscais[[#This Row],[Nota Fiscal]]&lt;&gt;"",1,0)</f>
        <v>1</v>
      </c>
    </row>
    <row r="1961" spans="1:27" x14ac:dyDescent="0.25">
      <c r="A1961" s="1">
        <v>43662</v>
      </c>
      <c r="B1961">
        <v>12370</v>
      </c>
      <c r="C1961" s="2" t="s">
        <v>40</v>
      </c>
      <c r="D1961" s="2" t="s">
        <v>41</v>
      </c>
      <c r="E1961" s="2" t="s">
        <v>33</v>
      </c>
      <c r="F1961">
        <v>4203</v>
      </c>
      <c r="G1961" s="2" t="s">
        <v>286</v>
      </c>
      <c r="H1961" s="2" t="s">
        <v>173</v>
      </c>
      <c r="I1961" s="2" t="s">
        <v>174</v>
      </c>
      <c r="J1961" s="2" t="s">
        <v>175</v>
      </c>
      <c r="K1961" s="2" t="s">
        <v>174</v>
      </c>
      <c r="L1961">
        <v>107.3</v>
      </c>
      <c r="M1961">
        <v>1</v>
      </c>
      <c r="N1961">
        <v>0.121</v>
      </c>
      <c r="O1961">
        <v>6700091</v>
      </c>
      <c r="P1961" s="2" t="s">
        <v>176</v>
      </c>
      <c r="Q1961" s="2" t="s">
        <v>173</v>
      </c>
      <c r="R1961" s="2" t="s">
        <v>30</v>
      </c>
      <c r="S1961">
        <v>4</v>
      </c>
      <c r="T1961" s="1">
        <v>43662</v>
      </c>
      <c r="U1961" s="1">
        <v>43663</v>
      </c>
      <c r="V1961" s="2"/>
      <c r="W1961" s="1">
        <f>fNotasFiscais[[#This Row],[Data da Coleta]]+fNotasFiscais[[#This Row],[Prazo Contratado]]</f>
        <v>43666</v>
      </c>
      <c r="X1961" s="3">
        <f>IF(fNotasFiscais[[#This Row],[Data da Entrega]]&gt;fNotasFiscais[[#This Row],[Data Contratada]],0,1)</f>
        <v>1</v>
      </c>
      <c r="Y1961" s="3">
        <f>IF(fNotasFiscais[[#This Row],[Ocorrência]]="",1,0)</f>
        <v>1</v>
      </c>
      <c r="Z1961" s="2">
        <f>fNotasFiscais[[#This Row],[On Time]]*fNotasFiscais[[#This Row],[In Full]]</f>
        <v>1</v>
      </c>
      <c r="AA1961">
        <f>IF(fNotasFiscais[[#This Row],[Nota Fiscal]]&lt;&gt;"",1,0)</f>
        <v>1</v>
      </c>
    </row>
    <row r="1962" spans="1:27" x14ac:dyDescent="0.25">
      <c r="A1962" s="1">
        <v>43662</v>
      </c>
      <c r="B1962">
        <v>12371</v>
      </c>
      <c r="C1962" s="2" t="s">
        <v>54</v>
      </c>
      <c r="D1962" s="2" t="s">
        <v>55</v>
      </c>
      <c r="E1962" s="2" t="s">
        <v>56</v>
      </c>
      <c r="F1962">
        <v>4068</v>
      </c>
      <c r="G1962" s="2" t="s">
        <v>63</v>
      </c>
      <c r="H1962" s="2" t="s">
        <v>64</v>
      </c>
      <c r="I1962" s="2" t="s">
        <v>65</v>
      </c>
      <c r="J1962" s="2" t="s">
        <v>49</v>
      </c>
      <c r="K1962" s="2" t="s">
        <v>65</v>
      </c>
      <c r="L1962">
        <v>413.79</v>
      </c>
      <c r="M1962">
        <v>1</v>
      </c>
      <c r="N1962">
        <v>0.44</v>
      </c>
      <c r="O1962">
        <v>6100231</v>
      </c>
      <c r="P1962" s="2" t="s">
        <v>50</v>
      </c>
      <c r="Q1962" s="2" t="s">
        <v>51</v>
      </c>
      <c r="R1962" s="2" t="s">
        <v>30</v>
      </c>
      <c r="S1962">
        <v>11</v>
      </c>
      <c r="T1962" s="1">
        <v>43662</v>
      </c>
      <c r="U1962" s="1">
        <v>43666</v>
      </c>
      <c r="V1962" s="2"/>
      <c r="W1962" s="1">
        <f>fNotasFiscais[[#This Row],[Data da Coleta]]+fNotasFiscais[[#This Row],[Prazo Contratado]]</f>
        <v>43673</v>
      </c>
      <c r="X1962" s="3">
        <f>IF(fNotasFiscais[[#This Row],[Data da Entrega]]&gt;fNotasFiscais[[#This Row],[Data Contratada]],0,1)</f>
        <v>1</v>
      </c>
      <c r="Y1962" s="3">
        <f>IF(fNotasFiscais[[#This Row],[Ocorrência]]="",1,0)</f>
        <v>1</v>
      </c>
      <c r="Z1962" s="2">
        <f>fNotasFiscais[[#This Row],[On Time]]*fNotasFiscais[[#This Row],[In Full]]</f>
        <v>1</v>
      </c>
      <c r="AA1962">
        <f>IF(fNotasFiscais[[#This Row],[Nota Fiscal]]&lt;&gt;"",1,0)</f>
        <v>1</v>
      </c>
    </row>
    <row r="1963" spans="1:27" x14ac:dyDescent="0.25">
      <c r="A1963" s="1">
        <v>43662</v>
      </c>
      <c r="B1963">
        <v>12372</v>
      </c>
      <c r="C1963" s="2" t="s">
        <v>22</v>
      </c>
      <c r="D1963" s="2" t="s">
        <v>23</v>
      </c>
      <c r="E1963" s="2" t="s">
        <v>24</v>
      </c>
      <c r="F1963">
        <v>4204</v>
      </c>
      <c r="G1963" s="2" t="s">
        <v>287</v>
      </c>
      <c r="H1963" s="2" t="s">
        <v>165</v>
      </c>
      <c r="I1963" s="2" t="s">
        <v>24</v>
      </c>
      <c r="J1963" s="2" t="s">
        <v>28</v>
      </c>
      <c r="K1963" s="2" t="s">
        <v>24</v>
      </c>
      <c r="L1963">
        <v>1751.99</v>
      </c>
      <c r="M1963">
        <v>2</v>
      </c>
      <c r="N1963">
        <v>15.956</v>
      </c>
      <c r="O1963">
        <v>6500948</v>
      </c>
      <c r="P1963" s="2" t="s">
        <v>29</v>
      </c>
      <c r="Q1963" s="2" t="s">
        <v>23</v>
      </c>
      <c r="R1963" s="2" t="s">
        <v>30</v>
      </c>
      <c r="S1963">
        <v>4</v>
      </c>
      <c r="T1963" s="1">
        <v>43662</v>
      </c>
      <c r="U1963" s="1">
        <v>43669</v>
      </c>
      <c r="V1963" s="2"/>
      <c r="W1963" s="1">
        <f>fNotasFiscais[[#This Row],[Data da Coleta]]+fNotasFiscais[[#This Row],[Prazo Contratado]]</f>
        <v>43666</v>
      </c>
      <c r="X1963" s="3">
        <f>IF(fNotasFiscais[[#This Row],[Data da Entrega]]&gt;fNotasFiscais[[#This Row],[Data Contratada]],0,1)</f>
        <v>0</v>
      </c>
      <c r="Y1963" s="3">
        <f>IF(fNotasFiscais[[#This Row],[Ocorrência]]="",1,0)</f>
        <v>1</v>
      </c>
      <c r="Z1963" s="2">
        <f>fNotasFiscais[[#This Row],[On Time]]*fNotasFiscais[[#This Row],[In Full]]</f>
        <v>0</v>
      </c>
      <c r="AA1963">
        <f>IF(fNotasFiscais[[#This Row],[Nota Fiscal]]&lt;&gt;"",1,0)</f>
        <v>1</v>
      </c>
    </row>
    <row r="1964" spans="1:27" x14ac:dyDescent="0.25">
      <c r="A1964" s="1">
        <v>43662</v>
      </c>
      <c r="B1964">
        <v>12373</v>
      </c>
      <c r="C1964" s="2" t="s">
        <v>40</v>
      </c>
      <c r="D1964" s="2" t="s">
        <v>41</v>
      </c>
      <c r="E1964" s="2" t="s">
        <v>33</v>
      </c>
      <c r="F1964">
        <v>4126</v>
      </c>
      <c r="G1964" s="2" t="s">
        <v>209</v>
      </c>
      <c r="H1964" s="2" t="s">
        <v>35</v>
      </c>
      <c r="I1964" s="2" t="s">
        <v>36</v>
      </c>
      <c r="J1964" s="2" t="s">
        <v>60</v>
      </c>
      <c r="K1964" s="2" t="s">
        <v>36</v>
      </c>
      <c r="L1964">
        <v>2632.65</v>
      </c>
      <c r="M1964">
        <v>4</v>
      </c>
      <c r="N1964">
        <v>3.851</v>
      </c>
      <c r="O1964">
        <v>6600879</v>
      </c>
      <c r="P1964" s="2" t="s">
        <v>61</v>
      </c>
      <c r="Q1964" s="2" t="s">
        <v>35</v>
      </c>
      <c r="R1964" s="2" t="s">
        <v>30</v>
      </c>
      <c r="S1964">
        <v>1</v>
      </c>
      <c r="T1964" s="1">
        <v>43662</v>
      </c>
      <c r="U1964" s="1">
        <v>43666</v>
      </c>
      <c r="V1964" s="2"/>
      <c r="W1964" s="1">
        <f>fNotasFiscais[[#This Row],[Data da Coleta]]+fNotasFiscais[[#This Row],[Prazo Contratado]]</f>
        <v>43663</v>
      </c>
      <c r="X1964" s="3">
        <f>IF(fNotasFiscais[[#This Row],[Data da Entrega]]&gt;fNotasFiscais[[#This Row],[Data Contratada]],0,1)</f>
        <v>0</v>
      </c>
      <c r="Y1964" s="3">
        <f>IF(fNotasFiscais[[#This Row],[Ocorrência]]="",1,0)</f>
        <v>1</v>
      </c>
      <c r="Z1964" s="2">
        <f>fNotasFiscais[[#This Row],[On Time]]*fNotasFiscais[[#This Row],[In Full]]</f>
        <v>0</v>
      </c>
      <c r="AA1964">
        <f>IF(fNotasFiscais[[#This Row],[Nota Fiscal]]&lt;&gt;"",1,0)</f>
        <v>1</v>
      </c>
    </row>
    <row r="1965" spans="1:27" x14ac:dyDescent="0.25">
      <c r="A1965" s="1">
        <v>43664</v>
      </c>
      <c r="B1965">
        <v>12374</v>
      </c>
      <c r="C1965" s="2" t="s">
        <v>54</v>
      </c>
      <c r="D1965" s="2" t="s">
        <v>55</v>
      </c>
      <c r="E1965" s="2" t="s">
        <v>56</v>
      </c>
      <c r="F1965">
        <v>4172</v>
      </c>
      <c r="G1965" s="2" t="s">
        <v>255</v>
      </c>
      <c r="H1965" s="2" t="s">
        <v>183</v>
      </c>
      <c r="I1965" s="2" t="s">
        <v>33</v>
      </c>
      <c r="J1965" s="2" t="s">
        <v>60</v>
      </c>
      <c r="K1965" s="2" t="s">
        <v>33</v>
      </c>
      <c r="L1965">
        <v>648.19000000000005</v>
      </c>
      <c r="M1965">
        <v>1</v>
      </c>
      <c r="N1965">
        <v>1.3560000000000001</v>
      </c>
      <c r="O1965">
        <v>6400835</v>
      </c>
      <c r="P1965" s="2" t="s">
        <v>130</v>
      </c>
      <c r="Q1965" s="2" t="s">
        <v>131</v>
      </c>
      <c r="R1965" s="2" t="s">
        <v>30</v>
      </c>
      <c r="S1965">
        <v>12</v>
      </c>
      <c r="T1965" s="1">
        <v>43664</v>
      </c>
      <c r="U1965" s="1">
        <v>43668</v>
      </c>
      <c r="V1965" s="2"/>
      <c r="W1965" s="1">
        <f>fNotasFiscais[[#This Row],[Data da Coleta]]+fNotasFiscais[[#This Row],[Prazo Contratado]]</f>
        <v>43676</v>
      </c>
      <c r="X1965" s="3">
        <f>IF(fNotasFiscais[[#This Row],[Data da Entrega]]&gt;fNotasFiscais[[#This Row],[Data Contratada]],0,1)</f>
        <v>1</v>
      </c>
      <c r="Y1965" s="3">
        <f>IF(fNotasFiscais[[#This Row],[Ocorrência]]="",1,0)</f>
        <v>1</v>
      </c>
      <c r="Z1965" s="2">
        <f>fNotasFiscais[[#This Row],[On Time]]*fNotasFiscais[[#This Row],[In Full]]</f>
        <v>1</v>
      </c>
      <c r="AA1965">
        <f>IF(fNotasFiscais[[#This Row],[Nota Fiscal]]&lt;&gt;"",1,0)</f>
        <v>1</v>
      </c>
    </row>
    <row r="1966" spans="1:27" x14ac:dyDescent="0.25">
      <c r="A1966" s="1">
        <v>43664</v>
      </c>
      <c r="B1966">
        <v>12375</v>
      </c>
      <c r="C1966" s="2" t="s">
        <v>40</v>
      </c>
      <c r="D1966" s="2" t="s">
        <v>41</v>
      </c>
      <c r="E1966" s="2" t="s">
        <v>33</v>
      </c>
      <c r="F1966">
        <v>4205</v>
      </c>
      <c r="G1966" s="2" t="s">
        <v>288</v>
      </c>
      <c r="H1966" s="2" t="s">
        <v>35</v>
      </c>
      <c r="I1966" s="2" t="s">
        <v>36</v>
      </c>
      <c r="J1966" s="2" t="s">
        <v>60</v>
      </c>
      <c r="K1966" s="2" t="s">
        <v>36</v>
      </c>
      <c r="L1966">
        <v>517.14</v>
      </c>
      <c r="M1966">
        <v>2</v>
      </c>
      <c r="N1966">
        <v>4.4000000000000004</v>
      </c>
      <c r="O1966">
        <v>6600879</v>
      </c>
      <c r="P1966" s="2" t="s">
        <v>61</v>
      </c>
      <c r="Q1966" s="2" t="s">
        <v>35</v>
      </c>
      <c r="R1966" s="2" t="s">
        <v>30</v>
      </c>
      <c r="S1966">
        <v>3</v>
      </c>
      <c r="T1966" s="1">
        <v>43664</v>
      </c>
      <c r="U1966" s="1">
        <v>43674</v>
      </c>
      <c r="V1966" s="2"/>
      <c r="W1966" s="1">
        <f>fNotasFiscais[[#This Row],[Data da Coleta]]+fNotasFiscais[[#This Row],[Prazo Contratado]]</f>
        <v>43667</v>
      </c>
      <c r="X1966" s="3">
        <f>IF(fNotasFiscais[[#This Row],[Data da Entrega]]&gt;fNotasFiscais[[#This Row],[Data Contratada]],0,1)</f>
        <v>0</v>
      </c>
      <c r="Y1966" s="3">
        <f>IF(fNotasFiscais[[#This Row],[Ocorrência]]="",1,0)</f>
        <v>1</v>
      </c>
      <c r="Z1966" s="2">
        <f>fNotasFiscais[[#This Row],[On Time]]*fNotasFiscais[[#This Row],[In Full]]</f>
        <v>0</v>
      </c>
      <c r="AA1966">
        <f>IF(fNotasFiscais[[#This Row],[Nota Fiscal]]&lt;&gt;"",1,0)</f>
        <v>1</v>
      </c>
    </row>
    <row r="1967" spans="1:27" x14ac:dyDescent="0.25">
      <c r="A1967" s="1">
        <v>43664</v>
      </c>
      <c r="B1967">
        <v>12376</v>
      </c>
      <c r="C1967" s="2" t="s">
        <v>22</v>
      </c>
      <c r="D1967" s="2" t="s">
        <v>23</v>
      </c>
      <c r="E1967" s="2" t="s">
        <v>24</v>
      </c>
      <c r="F1967">
        <v>4156</v>
      </c>
      <c r="G1967" s="2" t="s">
        <v>239</v>
      </c>
      <c r="H1967" s="2" t="s">
        <v>165</v>
      </c>
      <c r="I1967" s="2" t="s">
        <v>24</v>
      </c>
      <c r="J1967" s="2" t="s">
        <v>28</v>
      </c>
      <c r="K1967" s="2" t="s">
        <v>24</v>
      </c>
      <c r="L1967">
        <v>873.92</v>
      </c>
      <c r="M1967">
        <v>1</v>
      </c>
      <c r="N1967">
        <v>1.76</v>
      </c>
      <c r="O1967">
        <v>6500948</v>
      </c>
      <c r="P1967" s="2" t="s">
        <v>29</v>
      </c>
      <c r="Q1967" s="2" t="s">
        <v>23</v>
      </c>
      <c r="R1967" s="2" t="s">
        <v>30</v>
      </c>
      <c r="S1967">
        <v>7</v>
      </c>
      <c r="T1967" s="1">
        <v>43664</v>
      </c>
      <c r="U1967" s="1">
        <v>43669</v>
      </c>
      <c r="V1967" s="2"/>
      <c r="W1967" s="1">
        <f>fNotasFiscais[[#This Row],[Data da Coleta]]+fNotasFiscais[[#This Row],[Prazo Contratado]]</f>
        <v>43671</v>
      </c>
      <c r="X1967" s="3">
        <f>IF(fNotasFiscais[[#This Row],[Data da Entrega]]&gt;fNotasFiscais[[#This Row],[Data Contratada]],0,1)</f>
        <v>1</v>
      </c>
      <c r="Y1967" s="3">
        <f>IF(fNotasFiscais[[#This Row],[Ocorrência]]="",1,0)</f>
        <v>1</v>
      </c>
      <c r="Z1967" s="2">
        <f>fNotasFiscais[[#This Row],[On Time]]*fNotasFiscais[[#This Row],[In Full]]</f>
        <v>1</v>
      </c>
      <c r="AA1967">
        <f>IF(fNotasFiscais[[#This Row],[Nota Fiscal]]&lt;&gt;"",1,0)</f>
        <v>1</v>
      </c>
    </row>
    <row r="1968" spans="1:27" x14ac:dyDescent="0.25">
      <c r="A1968" s="1">
        <v>43664</v>
      </c>
      <c r="B1968">
        <v>12377</v>
      </c>
      <c r="C1968" s="2" t="s">
        <v>54</v>
      </c>
      <c r="D1968" s="2" t="s">
        <v>55</v>
      </c>
      <c r="E1968" s="2" t="s">
        <v>56</v>
      </c>
      <c r="F1968">
        <v>4128</v>
      </c>
      <c r="G1968" s="2" t="s">
        <v>211</v>
      </c>
      <c r="H1968" s="2" t="s">
        <v>167</v>
      </c>
      <c r="I1968" s="2" t="s">
        <v>168</v>
      </c>
      <c r="J1968" s="2" t="s">
        <v>169</v>
      </c>
      <c r="K1968" s="2" t="s">
        <v>168</v>
      </c>
      <c r="L1968">
        <v>81.88</v>
      </c>
      <c r="M1968">
        <v>1</v>
      </c>
      <c r="N1968">
        <v>0.66</v>
      </c>
      <c r="O1968">
        <v>6900304</v>
      </c>
      <c r="P1968" s="2" t="s">
        <v>170</v>
      </c>
      <c r="Q1968" s="2" t="s">
        <v>171</v>
      </c>
      <c r="R1968" s="2" t="s">
        <v>30</v>
      </c>
      <c r="S1968">
        <v>8</v>
      </c>
      <c r="T1968" s="1">
        <v>43664</v>
      </c>
      <c r="U1968" s="1">
        <v>43669</v>
      </c>
      <c r="V1968" s="2"/>
      <c r="W1968" s="1">
        <f>fNotasFiscais[[#This Row],[Data da Coleta]]+fNotasFiscais[[#This Row],[Prazo Contratado]]</f>
        <v>43672</v>
      </c>
      <c r="X1968" s="3">
        <f>IF(fNotasFiscais[[#This Row],[Data da Entrega]]&gt;fNotasFiscais[[#This Row],[Data Contratada]],0,1)</f>
        <v>1</v>
      </c>
      <c r="Y1968" s="3">
        <f>IF(fNotasFiscais[[#This Row],[Ocorrência]]="",1,0)</f>
        <v>1</v>
      </c>
      <c r="Z1968" s="2">
        <f>fNotasFiscais[[#This Row],[On Time]]*fNotasFiscais[[#This Row],[In Full]]</f>
        <v>1</v>
      </c>
      <c r="AA1968">
        <f>IF(fNotasFiscais[[#This Row],[Nota Fiscal]]&lt;&gt;"",1,0)</f>
        <v>1</v>
      </c>
    </row>
    <row r="1969" spans="1:27" x14ac:dyDescent="0.25">
      <c r="A1969" s="1">
        <v>43664</v>
      </c>
      <c r="B1969">
        <v>12378</v>
      </c>
      <c r="C1969" s="2" t="s">
        <v>22</v>
      </c>
      <c r="D1969" s="2" t="s">
        <v>23</v>
      </c>
      <c r="E1969" s="2" t="s">
        <v>24</v>
      </c>
      <c r="F1969">
        <v>4126</v>
      </c>
      <c r="G1969" s="2" t="s">
        <v>209</v>
      </c>
      <c r="H1969" s="2" t="s">
        <v>35</v>
      </c>
      <c r="I1969" s="2" t="s">
        <v>36</v>
      </c>
      <c r="J1969" s="2" t="s">
        <v>60</v>
      </c>
      <c r="K1969" s="2" t="s">
        <v>36</v>
      </c>
      <c r="L1969">
        <v>189.02</v>
      </c>
      <c r="M1969">
        <v>1</v>
      </c>
      <c r="N1969">
        <v>6.5990000000000002</v>
      </c>
      <c r="O1969">
        <v>6600879</v>
      </c>
      <c r="P1969" s="2" t="s">
        <v>61</v>
      </c>
      <c r="Q1969" s="2" t="s">
        <v>35</v>
      </c>
      <c r="R1969" s="2" t="s">
        <v>30</v>
      </c>
      <c r="S1969">
        <v>1</v>
      </c>
      <c r="T1969" s="1">
        <v>43664</v>
      </c>
      <c r="U1969" s="1">
        <v>43674</v>
      </c>
      <c r="V1969" s="2"/>
      <c r="W1969" s="1">
        <f>fNotasFiscais[[#This Row],[Data da Coleta]]+fNotasFiscais[[#This Row],[Prazo Contratado]]</f>
        <v>43665</v>
      </c>
      <c r="X1969" s="3">
        <f>IF(fNotasFiscais[[#This Row],[Data da Entrega]]&gt;fNotasFiscais[[#This Row],[Data Contratada]],0,1)</f>
        <v>0</v>
      </c>
      <c r="Y1969" s="3">
        <f>IF(fNotasFiscais[[#This Row],[Ocorrência]]="",1,0)</f>
        <v>1</v>
      </c>
      <c r="Z1969" s="2">
        <f>fNotasFiscais[[#This Row],[On Time]]*fNotasFiscais[[#This Row],[In Full]]</f>
        <v>0</v>
      </c>
      <c r="AA1969">
        <f>IF(fNotasFiscais[[#This Row],[Nota Fiscal]]&lt;&gt;"",1,0)</f>
        <v>1</v>
      </c>
    </row>
    <row r="1970" spans="1:27" x14ac:dyDescent="0.25">
      <c r="A1970" s="1">
        <v>43665</v>
      </c>
      <c r="B1970">
        <v>12379</v>
      </c>
      <c r="C1970" s="2" t="s">
        <v>31</v>
      </c>
      <c r="D1970" s="2" t="s">
        <v>32</v>
      </c>
      <c r="E1970" s="2" t="s">
        <v>33</v>
      </c>
      <c r="F1970">
        <v>4013</v>
      </c>
      <c r="G1970" s="2" t="s">
        <v>37</v>
      </c>
      <c r="H1970" s="2" t="s">
        <v>38</v>
      </c>
      <c r="I1970" s="2" t="s">
        <v>39</v>
      </c>
      <c r="J1970" s="2" t="s">
        <v>28</v>
      </c>
      <c r="K1970" s="2" t="s">
        <v>39</v>
      </c>
      <c r="L1970">
        <v>2375.5</v>
      </c>
      <c r="M1970">
        <v>3</v>
      </c>
      <c r="N1970">
        <v>17.216000000000001</v>
      </c>
      <c r="O1970">
        <v>6500948</v>
      </c>
      <c r="P1970" s="2" t="s">
        <v>29</v>
      </c>
      <c r="Q1970" s="2" t="s">
        <v>23</v>
      </c>
      <c r="R1970" s="2" t="s">
        <v>30</v>
      </c>
      <c r="S1970">
        <v>3</v>
      </c>
      <c r="T1970" s="1">
        <v>43665</v>
      </c>
      <c r="U1970" s="1">
        <v>43674</v>
      </c>
      <c r="V1970" s="2"/>
      <c r="W1970" s="1">
        <f>fNotasFiscais[[#This Row],[Data da Coleta]]+fNotasFiscais[[#This Row],[Prazo Contratado]]</f>
        <v>43668</v>
      </c>
      <c r="X1970" s="3">
        <f>IF(fNotasFiscais[[#This Row],[Data da Entrega]]&gt;fNotasFiscais[[#This Row],[Data Contratada]],0,1)</f>
        <v>0</v>
      </c>
      <c r="Y1970" s="3">
        <f>IF(fNotasFiscais[[#This Row],[Ocorrência]]="",1,0)</f>
        <v>1</v>
      </c>
      <c r="Z1970" s="2">
        <f>fNotasFiscais[[#This Row],[On Time]]*fNotasFiscais[[#This Row],[In Full]]</f>
        <v>0</v>
      </c>
      <c r="AA1970">
        <f>IF(fNotasFiscais[[#This Row],[Nota Fiscal]]&lt;&gt;"",1,0)</f>
        <v>1</v>
      </c>
    </row>
    <row r="1971" spans="1:27" x14ac:dyDescent="0.25">
      <c r="A1971" s="1">
        <v>43665</v>
      </c>
      <c r="B1971">
        <v>12380</v>
      </c>
      <c r="C1971" s="2" t="s">
        <v>31</v>
      </c>
      <c r="D1971" s="2" t="s">
        <v>32</v>
      </c>
      <c r="E1971" s="2" t="s">
        <v>33</v>
      </c>
      <c r="F1971">
        <v>4013</v>
      </c>
      <c r="G1971" s="2" t="s">
        <v>37</v>
      </c>
      <c r="H1971" s="2" t="s">
        <v>38</v>
      </c>
      <c r="I1971" s="2" t="s">
        <v>39</v>
      </c>
      <c r="J1971" s="2" t="s">
        <v>28</v>
      </c>
      <c r="K1971" s="2" t="s">
        <v>39</v>
      </c>
      <c r="L1971">
        <v>501.63</v>
      </c>
      <c r="M1971">
        <v>1</v>
      </c>
      <c r="N1971">
        <v>0.27500000000000002</v>
      </c>
      <c r="O1971">
        <v>6500948</v>
      </c>
      <c r="P1971" s="2" t="s">
        <v>29</v>
      </c>
      <c r="Q1971" s="2" t="s">
        <v>23</v>
      </c>
      <c r="R1971" s="2" t="s">
        <v>30</v>
      </c>
      <c r="S1971">
        <v>7</v>
      </c>
      <c r="T1971" s="1">
        <v>43665</v>
      </c>
      <c r="U1971" s="1">
        <v>43670</v>
      </c>
      <c r="V1971" s="2"/>
      <c r="W1971" s="1">
        <f>fNotasFiscais[[#This Row],[Data da Coleta]]+fNotasFiscais[[#This Row],[Prazo Contratado]]</f>
        <v>43672</v>
      </c>
      <c r="X1971" s="3">
        <f>IF(fNotasFiscais[[#This Row],[Data da Entrega]]&gt;fNotasFiscais[[#This Row],[Data Contratada]],0,1)</f>
        <v>1</v>
      </c>
      <c r="Y1971" s="3">
        <f>IF(fNotasFiscais[[#This Row],[Ocorrência]]="",1,0)</f>
        <v>1</v>
      </c>
      <c r="Z1971" s="2">
        <f>fNotasFiscais[[#This Row],[On Time]]*fNotasFiscais[[#This Row],[In Full]]</f>
        <v>1</v>
      </c>
      <c r="AA1971">
        <f>IF(fNotasFiscais[[#This Row],[Nota Fiscal]]&lt;&gt;"",1,0)</f>
        <v>1</v>
      </c>
    </row>
    <row r="1972" spans="1:27" x14ac:dyDescent="0.25">
      <c r="A1972" s="1">
        <v>43665</v>
      </c>
      <c r="B1972">
        <v>12381</v>
      </c>
      <c r="C1972" s="2" t="s">
        <v>40</v>
      </c>
      <c r="D1972" s="2" t="s">
        <v>41</v>
      </c>
      <c r="E1972" s="2" t="s">
        <v>33</v>
      </c>
      <c r="F1972">
        <v>4018</v>
      </c>
      <c r="G1972" s="2" t="s">
        <v>77</v>
      </c>
      <c r="H1972" s="2" t="s">
        <v>78</v>
      </c>
      <c r="I1972" s="2" t="s">
        <v>39</v>
      </c>
      <c r="J1972" s="2" t="s">
        <v>28</v>
      </c>
      <c r="K1972" s="2" t="s">
        <v>39</v>
      </c>
      <c r="L1972">
        <v>1018.64</v>
      </c>
      <c r="M1972">
        <v>1</v>
      </c>
      <c r="N1972">
        <v>9.35</v>
      </c>
      <c r="O1972">
        <v>6500948</v>
      </c>
      <c r="P1972" s="2" t="s">
        <v>29</v>
      </c>
      <c r="Q1972" s="2" t="s">
        <v>23</v>
      </c>
      <c r="R1972" s="2" t="s">
        <v>30</v>
      </c>
      <c r="S1972">
        <v>6</v>
      </c>
      <c r="T1972" s="1">
        <v>43665</v>
      </c>
      <c r="U1972" s="1">
        <v>43673</v>
      </c>
      <c r="V1972" s="2"/>
      <c r="W1972" s="1">
        <f>fNotasFiscais[[#This Row],[Data da Coleta]]+fNotasFiscais[[#This Row],[Prazo Contratado]]</f>
        <v>43671</v>
      </c>
      <c r="X1972" s="3">
        <f>IF(fNotasFiscais[[#This Row],[Data da Entrega]]&gt;fNotasFiscais[[#This Row],[Data Contratada]],0,1)</f>
        <v>0</v>
      </c>
      <c r="Y1972" s="3">
        <f>IF(fNotasFiscais[[#This Row],[Ocorrência]]="",1,0)</f>
        <v>1</v>
      </c>
      <c r="Z1972" s="2">
        <f>fNotasFiscais[[#This Row],[On Time]]*fNotasFiscais[[#This Row],[In Full]]</f>
        <v>0</v>
      </c>
      <c r="AA1972">
        <f>IF(fNotasFiscais[[#This Row],[Nota Fiscal]]&lt;&gt;"",1,0)</f>
        <v>1</v>
      </c>
    </row>
    <row r="1973" spans="1:27" x14ac:dyDescent="0.25">
      <c r="A1973" s="1">
        <v>43665</v>
      </c>
      <c r="B1973">
        <v>12382</v>
      </c>
      <c r="C1973" s="2" t="s">
        <v>43</v>
      </c>
      <c r="D1973" s="2" t="s">
        <v>44</v>
      </c>
      <c r="E1973" s="2" t="s">
        <v>45</v>
      </c>
      <c r="F1973">
        <v>4018</v>
      </c>
      <c r="G1973" s="2" t="s">
        <v>77</v>
      </c>
      <c r="H1973" s="2" t="s">
        <v>78</v>
      </c>
      <c r="I1973" s="2" t="s">
        <v>39</v>
      </c>
      <c r="J1973" s="2" t="s">
        <v>28</v>
      </c>
      <c r="K1973" s="2" t="s">
        <v>39</v>
      </c>
      <c r="L1973">
        <v>6107.18</v>
      </c>
      <c r="M1973">
        <v>13</v>
      </c>
      <c r="N1973">
        <v>35.137</v>
      </c>
      <c r="O1973">
        <v>6500948</v>
      </c>
      <c r="P1973" s="2" t="s">
        <v>29</v>
      </c>
      <c r="Q1973" s="2" t="s">
        <v>23</v>
      </c>
      <c r="R1973" s="2" t="s">
        <v>30</v>
      </c>
      <c r="S1973">
        <v>3</v>
      </c>
      <c r="T1973" s="1">
        <v>43665</v>
      </c>
      <c r="U1973" s="1">
        <v>43673</v>
      </c>
      <c r="V1973" s="2" t="s">
        <v>57</v>
      </c>
      <c r="W1973" s="1">
        <f>fNotasFiscais[[#This Row],[Data da Coleta]]+fNotasFiscais[[#This Row],[Prazo Contratado]]</f>
        <v>43668</v>
      </c>
      <c r="X1973" s="3">
        <f>IF(fNotasFiscais[[#This Row],[Data da Entrega]]&gt;fNotasFiscais[[#This Row],[Data Contratada]],0,1)</f>
        <v>0</v>
      </c>
      <c r="Y1973" s="3">
        <f>IF(fNotasFiscais[[#This Row],[Ocorrência]]="",1,0)</f>
        <v>0</v>
      </c>
      <c r="Z1973" s="2">
        <f>fNotasFiscais[[#This Row],[On Time]]*fNotasFiscais[[#This Row],[In Full]]</f>
        <v>0</v>
      </c>
      <c r="AA1973">
        <f>IF(fNotasFiscais[[#This Row],[Nota Fiscal]]&lt;&gt;"",1,0)</f>
        <v>1</v>
      </c>
    </row>
    <row r="1974" spans="1:27" x14ac:dyDescent="0.25">
      <c r="A1974" s="1">
        <v>43665</v>
      </c>
      <c r="B1974">
        <v>12383</v>
      </c>
      <c r="C1974" s="2" t="s">
        <v>40</v>
      </c>
      <c r="D1974" s="2" t="s">
        <v>41</v>
      </c>
      <c r="E1974" s="2" t="s">
        <v>33</v>
      </c>
      <c r="F1974">
        <v>4064</v>
      </c>
      <c r="G1974" s="2" t="s">
        <v>128</v>
      </c>
      <c r="H1974" s="2" t="s">
        <v>129</v>
      </c>
      <c r="I1974" s="2" t="s">
        <v>33</v>
      </c>
      <c r="J1974" s="2" t="s">
        <v>60</v>
      </c>
      <c r="K1974" s="2" t="s">
        <v>33</v>
      </c>
      <c r="L1974">
        <v>634.04999999999995</v>
      </c>
      <c r="M1974">
        <v>1</v>
      </c>
      <c r="N1974">
        <v>0.38600000000000001</v>
      </c>
      <c r="O1974">
        <v>6400835</v>
      </c>
      <c r="P1974" s="2" t="s">
        <v>130</v>
      </c>
      <c r="Q1974" s="2" t="s">
        <v>131</v>
      </c>
      <c r="R1974" s="2" t="s">
        <v>30</v>
      </c>
      <c r="S1974">
        <v>6</v>
      </c>
      <c r="T1974" s="1">
        <v>43665</v>
      </c>
      <c r="U1974" s="1">
        <v>43667</v>
      </c>
      <c r="V1974" s="2"/>
      <c r="W1974" s="1">
        <f>fNotasFiscais[[#This Row],[Data da Coleta]]+fNotasFiscais[[#This Row],[Prazo Contratado]]</f>
        <v>43671</v>
      </c>
      <c r="X1974" s="3">
        <f>IF(fNotasFiscais[[#This Row],[Data da Entrega]]&gt;fNotasFiscais[[#This Row],[Data Contratada]],0,1)</f>
        <v>1</v>
      </c>
      <c r="Y1974" s="3">
        <f>IF(fNotasFiscais[[#This Row],[Ocorrência]]="",1,0)</f>
        <v>1</v>
      </c>
      <c r="Z1974" s="2">
        <f>fNotasFiscais[[#This Row],[On Time]]*fNotasFiscais[[#This Row],[In Full]]</f>
        <v>1</v>
      </c>
      <c r="AA1974">
        <f>IF(fNotasFiscais[[#This Row],[Nota Fiscal]]&lt;&gt;"",1,0)</f>
        <v>1</v>
      </c>
    </row>
    <row r="1975" spans="1:27" x14ac:dyDescent="0.25">
      <c r="A1975" s="1">
        <v>43665</v>
      </c>
      <c r="B1975">
        <v>12384</v>
      </c>
      <c r="C1975" s="2" t="s">
        <v>43</v>
      </c>
      <c r="D1975" s="2" t="s">
        <v>44</v>
      </c>
      <c r="E1975" s="2" t="s">
        <v>45</v>
      </c>
      <c r="F1975">
        <v>4064</v>
      </c>
      <c r="G1975" s="2" t="s">
        <v>128</v>
      </c>
      <c r="H1975" s="2" t="s">
        <v>129</v>
      </c>
      <c r="I1975" s="2" t="s">
        <v>33</v>
      </c>
      <c r="J1975" s="2" t="s">
        <v>60</v>
      </c>
      <c r="K1975" s="2" t="s">
        <v>33</v>
      </c>
      <c r="L1975">
        <v>1052.76</v>
      </c>
      <c r="M1975">
        <v>5</v>
      </c>
      <c r="N1975">
        <v>13.856</v>
      </c>
      <c r="O1975">
        <v>6400835</v>
      </c>
      <c r="P1975" s="2" t="s">
        <v>130</v>
      </c>
      <c r="Q1975" s="2" t="s">
        <v>131</v>
      </c>
      <c r="R1975" s="2" t="s">
        <v>30</v>
      </c>
      <c r="S1975">
        <v>7</v>
      </c>
      <c r="T1975" s="1">
        <v>43665</v>
      </c>
      <c r="U1975" s="1">
        <v>43675</v>
      </c>
      <c r="V1975" s="2"/>
      <c r="W1975" s="1">
        <f>fNotasFiscais[[#This Row],[Data da Coleta]]+fNotasFiscais[[#This Row],[Prazo Contratado]]</f>
        <v>43672</v>
      </c>
      <c r="X1975" s="3">
        <f>IF(fNotasFiscais[[#This Row],[Data da Entrega]]&gt;fNotasFiscais[[#This Row],[Data Contratada]],0,1)</f>
        <v>0</v>
      </c>
      <c r="Y1975" s="3">
        <f>IF(fNotasFiscais[[#This Row],[Ocorrência]]="",1,0)</f>
        <v>1</v>
      </c>
      <c r="Z1975" s="2">
        <f>fNotasFiscais[[#This Row],[On Time]]*fNotasFiscais[[#This Row],[In Full]]</f>
        <v>0</v>
      </c>
      <c r="AA1975">
        <f>IF(fNotasFiscais[[#This Row],[Nota Fiscal]]&lt;&gt;"",1,0)</f>
        <v>1</v>
      </c>
    </row>
    <row r="1976" spans="1:27" x14ac:dyDescent="0.25">
      <c r="A1976" s="1">
        <v>43665</v>
      </c>
      <c r="B1976">
        <v>12385</v>
      </c>
      <c r="C1976" s="2" t="s">
        <v>52</v>
      </c>
      <c r="D1976" s="2" t="s">
        <v>53</v>
      </c>
      <c r="E1976" s="2" t="s">
        <v>33</v>
      </c>
      <c r="F1976">
        <v>4064</v>
      </c>
      <c r="G1976" s="2" t="s">
        <v>128</v>
      </c>
      <c r="H1976" s="2" t="s">
        <v>129</v>
      </c>
      <c r="I1976" s="2" t="s">
        <v>33</v>
      </c>
      <c r="J1976" s="2" t="s">
        <v>60</v>
      </c>
      <c r="K1976" s="2" t="s">
        <v>33</v>
      </c>
      <c r="L1976">
        <v>797.89</v>
      </c>
      <c r="M1976">
        <v>1</v>
      </c>
      <c r="N1976">
        <v>1.1200000000000001</v>
      </c>
      <c r="O1976">
        <v>6400835</v>
      </c>
      <c r="P1976" s="2" t="s">
        <v>130</v>
      </c>
      <c r="Q1976" s="2" t="s">
        <v>131</v>
      </c>
      <c r="R1976" s="2" t="s">
        <v>30</v>
      </c>
      <c r="S1976">
        <v>3</v>
      </c>
      <c r="T1976" s="1">
        <v>43665</v>
      </c>
      <c r="U1976" s="1">
        <v>43672</v>
      </c>
      <c r="V1976" s="2"/>
      <c r="W1976" s="1">
        <f>fNotasFiscais[[#This Row],[Data da Coleta]]+fNotasFiscais[[#This Row],[Prazo Contratado]]</f>
        <v>43668</v>
      </c>
      <c r="X1976" s="3">
        <f>IF(fNotasFiscais[[#This Row],[Data da Entrega]]&gt;fNotasFiscais[[#This Row],[Data Contratada]],0,1)</f>
        <v>0</v>
      </c>
      <c r="Y1976" s="3">
        <f>IF(fNotasFiscais[[#This Row],[Ocorrência]]="",1,0)</f>
        <v>1</v>
      </c>
      <c r="Z1976" s="2">
        <f>fNotasFiscais[[#This Row],[On Time]]*fNotasFiscais[[#This Row],[In Full]]</f>
        <v>0</v>
      </c>
      <c r="AA1976">
        <f>IF(fNotasFiscais[[#This Row],[Nota Fiscal]]&lt;&gt;"",1,0)</f>
        <v>1</v>
      </c>
    </row>
    <row r="1977" spans="1:27" x14ac:dyDescent="0.25">
      <c r="A1977" s="1">
        <v>43665</v>
      </c>
      <c r="B1977">
        <v>12386</v>
      </c>
      <c r="C1977" s="2" t="s">
        <v>22</v>
      </c>
      <c r="D1977" s="2" t="s">
        <v>23</v>
      </c>
      <c r="E1977" s="2" t="s">
        <v>24</v>
      </c>
      <c r="F1977">
        <v>4064</v>
      </c>
      <c r="G1977" s="2" t="s">
        <v>128</v>
      </c>
      <c r="H1977" s="2" t="s">
        <v>129</v>
      </c>
      <c r="I1977" s="2" t="s">
        <v>33</v>
      </c>
      <c r="J1977" s="2" t="s">
        <v>60</v>
      </c>
      <c r="K1977" s="2" t="s">
        <v>33</v>
      </c>
      <c r="L1977">
        <v>1539.47</v>
      </c>
      <c r="M1977">
        <v>2</v>
      </c>
      <c r="N1977">
        <v>1.2050000000000001</v>
      </c>
      <c r="O1977">
        <v>6400835</v>
      </c>
      <c r="P1977" s="2" t="s">
        <v>130</v>
      </c>
      <c r="Q1977" s="2" t="s">
        <v>131</v>
      </c>
      <c r="R1977" s="2" t="s">
        <v>30</v>
      </c>
      <c r="S1977">
        <v>10</v>
      </c>
      <c r="T1977" s="1">
        <v>43665</v>
      </c>
      <c r="U1977" s="1">
        <v>43672</v>
      </c>
      <c r="V1977" s="2"/>
      <c r="W1977" s="1">
        <f>fNotasFiscais[[#This Row],[Data da Coleta]]+fNotasFiscais[[#This Row],[Prazo Contratado]]</f>
        <v>43675</v>
      </c>
      <c r="X1977" s="3">
        <f>IF(fNotasFiscais[[#This Row],[Data da Entrega]]&gt;fNotasFiscais[[#This Row],[Data Contratada]],0,1)</f>
        <v>1</v>
      </c>
      <c r="Y1977" s="3">
        <f>IF(fNotasFiscais[[#This Row],[Ocorrência]]="",1,0)</f>
        <v>1</v>
      </c>
      <c r="Z1977" s="2">
        <f>fNotasFiscais[[#This Row],[On Time]]*fNotasFiscais[[#This Row],[In Full]]</f>
        <v>1</v>
      </c>
      <c r="AA1977">
        <f>IF(fNotasFiscais[[#This Row],[Nota Fiscal]]&lt;&gt;"",1,0)</f>
        <v>1</v>
      </c>
    </row>
    <row r="1978" spans="1:27" x14ac:dyDescent="0.25">
      <c r="A1978" s="1">
        <v>43665</v>
      </c>
      <c r="B1978">
        <v>12387</v>
      </c>
      <c r="C1978" s="2" t="s">
        <v>40</v>
      </c>
      <c r="D1978" s="2" t="s">
        <v>41</v>
      </c>
      <c r="E1978" s="2" t="s">
        <v>33</v>
      </c>
      <c r="F1978">
        <v>4064</v>
      </c>
      <c r="G1978" s="2" t="s">
        <v>128</v>
      </c>
      <c r="H1978" s="2" t="s">
        <v>129</v>
      </c>
      <c r="I1978" s="2" t="s">
        <v>33</v>
      </c>
      <c r="J1978" s="2" t="s">
        <v>60</v>
      </c>
      <c r="K1978" s="2" t="s">
        <v>33</v>
      </c>
      <c r="L1978">
        <v>2212.31</v>
      </c>
      <c r="M1978">
        <v>3</v>
      </c>
      <c r="N1978">
        <v>12.65</v>
      </c>
      <c r="O1978">
        <v>6400835</v>
      </c>
      <c r="P1978" s="2" t="s">
        <v>130</v>
      </c>
      <c r="Q1978" s="2" t="s">
        <v>131</v>
      </c>
      <c r="R1978" s="2" t="s">
        <v>30</v>
      </c>
      <c r="S1978">
        <v>10</v>
      </c>
      <c r="T1978" s="1">
        <v>43665</v>
      </c>
      <c r="U1978" s="1">
        <v>43670</v>
      </c>
      <c r="V1978" s="2"/>
      <c r="W1978" s="1">
        <f>fNotasFiscais[[#This Row],[Data da Coleta]]+fNotasFiscais[[#This Row],[Prazo Contratado]]</f>
        <v>43675</v>
      </c>
      <c r="X1978" s="3">
        <f>IF(fNotasFiscais[[#This Row],[Data da Entrega]]&gt;fNotasFiscais[[#This Row],[Data Contratada]],0,1)</f>
        <v>1</v>
      </c>
      <c r="Y1978" s="3">
        <f>IF(fNotasFiscais[[#This Row],[Ocorrência]]="",1,0)</f>
        <v>1</v>
      </c>
      <c r="Z1978" s="2">
        <f>fNotasFiscais[[#This Row],[On Time]]*fNotasFiscais[[#This Row],[In Full]]</f>
        <v>1</v>
      </c>
      <c r="AA1978">
        <f>IF(fNotasFiscais[[#This Row],[Nota Fiscal]]&lt;&gt;"",1,0)</f>
        <v>1</v>
      </c>
    </row>
    <row r="1979" spans="1:27" x14ac:dyDescent="0.25">
      <c r="A1979" s="1">
        <v>43665</v>
      </c>
      <c r="B1979">
        <v>12388</v>
      </c>
      <c r="C1979" s="2" t="s">
        <v>40</v>
      </c>
      <c r="D1979" s="2" t="s">
        <v>41</v>
      </c>
      <c r="E1979" s="2" t="s">
        <v>33</v>
      </c>
      <c r="F1979">
        <v>4064</v>
      </c>
      <c r="G1979" s="2" t="s">
        <v>128</v>
      </c>
      <c r="H1979" s="2" t="s">
        <v>129</v>
      </c>
      <c r="I1979" s="2" t="s">
        <v>33</v>
      </c>
      <c r="J1979" s="2" t="s">
        <v>60</v>
      </c>
      <c r="K1979" s="2" t="s">
        <v>33</v>
      </c>
      <c r="L1979">
        <v>828.72</v>
      </c>
      <c r="M1979">
        <v>1</v>
      </c>
      <c r="N1979">
        <v>7.5270000000000001</v>
      </c>
      <c r="O1979">
        <v>6400835</v>
      </c>
      <c r="P1979" s="2" t="s">
        <v>130</v>
      </c>
      <c r="Q1979" s="2" t="s">
        <v>131</v>
      </c>
      <c r="R1979" s="2" t="s">
        <v>30</v>
      </c>
      <c r="S1979">
        <v>2</v>
      </c>
      <c r="T1979" s="1">
        <v>43665</v>
      </c>
      <c r="U1979" s="1">
        <v>43672</v>
      </c>
      <c r="V1979" s="2"/>
      <c r="W1979" s="1">
        <f>fNotasFiscais[[#This Row],[Data da Coleta]]+fNotasFiscais[[#This Row],[Prazo Contratado]]</f>
        <v>43667</v>
      </c>
      <c r="X1979" s="3">
        <f>IF(fNotasFiscais[[#This Row],[Data da Entrega]]&gt;fNotasFiscais[[#This Row],[Data Contratada]],0,1)</f>
        <v>0</v>
      </c>
      <c r="Y1979" s="3">
        <f>IF(fNotasFiscais[[#This Row],[Ocorrência]]="",1,0)</f>
        <v>1</v>
      </c>
      <c r="Z1979" s="2">
        <f>fNotasFiscais[[#This Row],[On Time]]*fNotasFiscais[[#This Row],[In Full]]</f>
        <v>0</v>
      </c>
      <c r="AA1979">
        <f>IF(fNotasFiscais[[#This Row],[Nota Fiscal]]&lt;&gt;"",1,0)</f>
        <v>1</v>
      </c>
    </row>
    <row r="1980" spans="1:27" x14ac:dyDescent="0.25">
      <c r="A1980" s="1">
        <v>43665</v>
      </c>
      <c r="B1980">
        <v>12389</v>
      </c>
      <c r="C1980" s="2" t="s">
        <v>22</v>
      </c>
      <c r="D1980" s="2" t="s">
        <v>23</v>
      </c>
      <c r="E1980" s="2" t="s">
        <v>24</v>
      </c>
      <c r="F1980">
        <v>4064</v>
      </c>
      <c r="G1980" s="2" t="s">
        <v>128</v>
      </c>
      <c r="H1980" s="2" t="s">
        <v>129</v>
      </c>
      <c r="I1980" s="2" t="s">
        <v>33</v>
      </c>
      <c r="J1980" s="2" t="s">
        <v>60</v>
      </c>
      <c r="K1980" s="2" t="s">
        <v>33</v>
      </c>
      <c r="L1980">
        <v>585.01</v>
      </c>
      <c r="M1980">
        <v>1</v>
      </c>
      <c r="N1980">
        <v>1.65</v>
      </c>
      <c r="O1980">
        <v>6400835</v>
      </c>
      <c r="P1980" s="2" t="s">
        <v>130</v>
      </c>
      <c r="Q1980" s="2" t="s">
        <v>131</v>
      </c>
      <c r="R1980" s="2" t="s">
        <v>30</v>
      </c>
      <c r="S1980">
        <v>12</v>
      </c>
      <c r="T1980" s="1">
        <v>43665</v>
      </c>
      <c r="U1980" s="1">
        <v>43674</v>
      </c>
      <c r="V1980" s="2"/>
      <c r="W1980" s="1">
        <f>fNotasFiscais[[#This Row],[Data da Coleta]]+fNotasFiscais[[#This Row],[Prazo Contratado]]</f>
        <v>43677</v>
      </c>
      <c r="X1980" s="3">
        <f>IF(fNotasFiscais[[#This Row],[Data da Entrega]]&gt;fNotasFiscais[[#This Row],[Data Contratada]],0,1)</f>
        <v>1</v>
      </c>
      <c r="Y1980" s="3">
        <f>IF(fNotasFiscais[[#This Row],[Ocorrência]]="",1,0)</f>
        <v>1</v>
      </c>
      <c r="Z1980" s="2">
        <f>fNotasFiscais[[#This Row],[On Time]]*fNotasFiscais[[#This Row],[In Full]]</f>
        <v>1</v>
      </c>
      <c r="AA1980">
        <f>IF(fNotasFiscais[[#This Row],[Nota Fiscal]]&lt;&gt;"",1,0)</f>
        <v>1</v>
      </c>
    </row>
    <row r="1981" spans="1:27" x14ac:dyDescent="0.25">
      <c r="A1981" s="1">
        <v>43665</v>
      </c>
      <c r="B1981">
        <v>12390</v>
      </c>
      <c r="C1981" s="2" t="s">
        <v>40</v>
      </c>
      <c r="D1981" s="2" t="s">
        <v>41</v>
      </c>
      <c r="E1981" s="2" t="s">
        <v>33</v>
      </c>
      <c r="F1981">
        <v>4064</v>
      </c>
      <c r="G1981" s="2" t="s">
        <v>128</v>
      </c>
      <c r="H1981" s="2" t="s">
        <v>129</v>
      </c>
      <c r="I1981" s="2" t="s">
        <v>33</v>
      </c>
      <c r="J1981" s="2" t="s">
        <v>60</v>
      </c>
      <c r="K1981" s="2" t="s">
        <v>33</v>
      </c>
      <c r="L1981">
        <v>1728.75</v>
      </c>
      <c r="M1981">
        <v>2</v>
      </c>
      <c r="N1981">
        <v>12.32</v>
      </c>
      <c r="O1981">
        <v>6400835</v>
      </c>
      <c r="P1981" s="2" t="s">
        <v>130</v>
      </c>
      <c r="Q1981" s="2" t="s">
        <v>131</v>
      </c>
      <c r="R1981" s="2" t="s">
        <v>30</v>
      </c>
      <c r="S1981">
        <v>4</v>
      </c>
      <c r="T1981" s="1">
        <v>43665</v>
      </c>
      <c r="U1981" s="1">
        <v>43669</v>
      </c>
      <c r="V1981" s="2"/>
      <c r="W1981" s="1">
        <f>fNotasFiscais[[#This Row],[Data da Coleta]]+fNotasFiscais[[#This Row],[Prazo Contratado]]</f>
        <v>43669</v>
      </c>
      <c r="X1981" s="3">
        <f>IF(fNotasFiscais[[#This Row],[Data da Entrega]]&gt;fNotasFiscais[[#This Row],[Data Contratada]],0,1)</f>
        <v>1</v>
      </c>
      <c r="Y1981" s="3">
        <f>IF(fNotasFiscais[[#This Row],[Ocorrência]]="",1,0)</f>
        <v>1</v>
      </c>
      <c r="Z1981" s="2">
        <f>fNotasFiscais[[#This Row],[On Time]]*fNotasFiscais[[#This Row],[In Full]]</f>
        <v>1</v>
      </c>
      <c r="AA1981">
        <f>IF(fNotasFiscais[[#This Row],[Nota Fiscal]]&lt;&gt;"",1,0)</f>
        <v>1</v>
      </c>
    </row>
    <row r="1982" spans="1:27" x14ac:dyDescent="0.25">
      <c r="A1982" s="1">
        <v>43665</v>
      </c>
      <c r="B1982">
        <v>12391</v>
      </c>
      <c r="C1982" s="2" t="s">
        <v>52</v>
      </c>
      <c r="D1982" s="2" t="s">
        <v>53</v>
      </c>
      <c r="E1982" s="2" t="s">
        <v>33</v>
      </c>
      <c r="F1982">
        <v>4064</v>
      </c>
      <c r="G1982" s="2" t="s">
        <v>128</v>
      </c>
      <c r="H1982" s="2" t="s">
        <v>129</v>
      </c>
      <c r="I1982" s="2" t="s">
        <v>33</v>
      </c>
      <c r="J1982" s="2" t="s">
        <v>60</v>
      </c>
      <c r="K1982" s="2" t="s">
        <v>33</v>
      </c>
      <c r="L1982">
        <v>8232.0300000000007</v>
      </c>
      <c r="M1982">
        <v>16</v>
      </c>
      <c r="N1982">
        <v>35.664000000000001</v>
      </c>
      <c r="O1982">
        <v>6400835</v>
      </c>
      <c r="P1982" s="2" t="s">
        <v>130</v>
      </c>
      <c r="Q1982" s="2" t="s">
        <v>131</v>
      </c>
      <c r="R1982" s="2" t="s">
        <v>30</v>
      </c>
      <c r="S1982">
        <v>6</v>
      </c>
      <c r="T1982" s="1">
        <v>43665</v>
      </c>
      <c r="U1982" s="1">
        <v>43675</v>
      </c>
      <c r="V1982" s="2"/>
      <c r="W1982" s="1">
        <f>fNotasFiscais[[#This Row],[Data da Coleta]]+fNotasFiscais[[#This Row],[Prazo Contratado]]</f>
        <v>43671</v>
      </c>
      <c r="X1982" s="3">
        <f>IF(fNotasFiscais[[#This Row],[Data da Entrega]]&gt;fNotasFiscais[[#This Row],[Data Contratada]],0,1)</f>
        <v>0</v>
      </c>
      <c r="Y1982" s="3">
        <f>IF(fNotasFiscais[[#This Row],[Ocorrência]]="",1,0)</f>
        <v>1</v>
      </c>
      <c r="Z1982" s="2">
        <f>fNotasFiscais[[#This Row],[On Time]]*fNotasFiscais[[#This Row],[In Full]]</f>
        <v>0</v>
      </c>
      <c r="AA1982">
        <f>IF(fNotasFiscais[[#This Row],[Nota Fiscal]]&lt;&gt;"",1,0)</f>
        <v>1</v>
      </c>
    </row>
    <row r="1983" spans="1:27" x14ac:dyDescent="0.25">
      <c r="A1983" s="1">
        <v>43665</v>
      </c>
      <c r="B1983">
        <v>12392</v>
      </c>
      <c r="C1983" s="2" t="s">
        <v>34</v>
      </c>
      <c r="D1983" s="2" t="s">
        <v>35</v>
      </c>
      <c r="E1983" s="2" t="s">
        <v>36</v>
      </c>
      <c r="F1983">
        <v>4064</v>
      </c>
      <c r="G1983" s="2" t="s">
        <v>128</v>
      </c>
      <c r="H1983" s="2" t="s">
        <v>129</v>
      </c>
      <c r="I1983" s="2" t="s">
        <v>33</v>
      </c>
      <c r="J1983" s="2" t="s">
        <v>60</v>
      </c>
      <c r="K1983" s="2" t="s">
        <v>33</v>
      </c>
      <c r="L1983">
        <v>3368.83</v>
      </c>
      <c r="M1983">
        <v>5</v>
      </c>
      <c r="N1983">
        <v>24.443999999999999</v>
      </c>
      <c r="O1983">
        <v>6400835</v>
      </c>
      <c r="P1983" s="2" t="s">
        <v>130</v>
      </c>
      <c r="Q1983" s="2" t="s">
        <v>131</v>
      </c>
      <c r="R1983" s="2" t="s">
        <v>30</v>
      </c>
      <c r="S1983">
        <v>12</v>
      </c>
      <c r="T1983" s="1">
        <v>43665</v>
      </c>
      <c r="U1983" s="1">
        <v>43670</v>
      </c>
      <c r="V1983" s="2" t="s">
        <v>57</v>
      </c>
      <c r="W1983" s="1">
        <f>fNotasFiscais[[#This Row],[Data da Coleta]]+fNotasFiscais[[#This Row],[Prazo Contratado]]</f>
        <v>43677</v>
      </c>
      <c r="X1983" s="3">
        <f>IF(fNotasFiscais[[#This Row],[Data da Entrega]]&gt;fNotasFiscais[[#This Row],[Data Contratada]],0,1)</f>
        <v>1</v>
      </c>
      <c r="Y1983" s="3">
        <f>IF(fNotasFiscais[[#This Row],[Ocorrência]]="",1,0)</f>
        <v>0</v>
      </c>
      <c r="Z1983" s="2">
        <f>fNotasFiscais[[#This Row],[On Time]]*fNotasFiscais[[#This Row],[In Full]]</f>
        <v>0</v>
      </c>
      <c r="AA1983">
        <f>IF(fNotasFiscais[[#This Row],[Nota Fiscal]]&lt;&gt;"",1,0)</f>
        <v>1</v>
      </c>
    </row>
    <row r="1984" spans="1:27" x14ac:dyDescent="0.25">
      <c r="A1984" s="1">
        <v>43666</v>
      </c>
      <c r="B1984">
        <v>12393</v>
      </c>
      <c r="C1984" s="2" t="s">
        <v>52</v>
      </c>
      <c r="D1984" s="2" t="s">
        <v>53</v>
      </c>
      <c r="E1984" s="2" t="s">
        <v>33</v>
      </c>
      <c r="F1984">
        <v>4128</v>
      </c>
      <c r="G1984" s="2" t="s">
        <v>211</v>
      </c>
      <c r="H1984" s="2" t="s">
        <v>167</v>
      </c>
      <c r="I1984" s="2" t="s">
        <v>168</v>
      </c>
      <c r="J1984" s="2" t="s">
        <v>169</v>
      </c>
      <c r="K1984" s="2" t="s">
        <v>168</v>
      </c>
      <c r="L1984">
        <v>769.3</v>
      </c>
      <c r="M1984">
        <v>2</v>
      </c>
      <c r="N1984">
        <v>8.7449999999999992</v>
      </c>
      <c r="O1984">
        <v>6900304</v>
      </c>
      <c r="P1984" s="2" t="s">
        <v>170</v>
      </c>
      <c r="Q1984" s="2" t="s">
        <v>171</v>
      </c>
      <c r="R1984" s="2" t="s">
        <v>30</v>
      </c>
      <c r="S1984">
        <v>5</v>
      </c>
      <c r="T1984" s="1">
        <v>43666</v>
      </c>
      <c r="U1984" s="1">
        <v>43668</v>
      </c>
      <c r="V1984" s="2"/>
      <c r="W1984" s="1">
        <f>fNotasFiscais[[#This Row],[Data da Coleta]]+fNotasFiscais[[#This Row],[Prazo Contratado]]</f>
        <v>43671</v>
      </c>
      <c r="X1984" s="3">
        <f>IF(fNotasFiscais[[#This Row],[Data da Entrega]]&gt;fNotasFiscais[[#This Row],[Data Contratada]],0,1)</f>
        <v>1</v>
      </c>
      <c r="Y1984" s="3">
        <f>IF(fNotasFiscais[[#This Row],[Ocorrência]]="",1,0)</f>
        <v>1</v>
      </c>
      <c r="Z1984" s="2">
        <f>fNotasFiscais[[#This Row],[On Time]]*fNotasFiscais[[#This Row],[In Full]]</f>
        <v>1</v>
      </c>
      <c r="AA1984">
        <f>IF(fNotasFiscais[[#This Row],[Nota Fiscal]]&lt;&gt;"",1,0)</f>
        <v>1</v>
      </c>
    </row>
    <row r="1985" spans="1:27" x14ac:dyDescent="0.25">
      <c r="A1985" s="1">
        <v>43666</v>
      </c>
      <c r="B1985">
        <v>12394</v>
      </c>
      <c r="C1985" s="2" t="s">
        <v>22</v>
      </c>
      <c r="D1985" s="2" t="s">
        <v>23</v>
      </c>
      <c r="E1985" s="2" t="s">
        <v>24</v>
      </c>
      <c r="F1985">
        <v>4022</v>
      </c>
      <c r="G1985" s="2" t="s">
        <v>86</v>
      </c>
      <c r="H1985" s="2" t="s">
        <v>87</v>
      </c>
      <c r="I1985" s="2" t="s">
        <v>27</v>
      </c>
      <c r="J1985" s="2" t="s">
        <v>28</v>
      </c>
      <c r="K1985" s="2" t="s">
        <v>27</v>
      </c>
      <c r="L1985">
        <v>686.75</v>
      </c>
      <c r="M1985">
        <v>1</v>
      </c>
      <c r="N1985">
        <v>7.5270000000000001</v>
      </c>
      <c r="O1985">
        <v>6500948</v>
      </c>
      <c r="P1985" s="2" t="s">
        <v>29</v>
      </c>
      <c r="Q1985" s="2" t="s">
        <v>23</v>
      </c>
      <c r="R1985" s="2" t="s">
        <v>30</v>
      </c>
      <c r="S1985">
        <v>8</v>
      </c>
      <c r="T1985" s="1">
        <v>43666</v>
      </c>
      <c r="U1985" s="1">
        <v>43676</v>
      </c>
      <c r="V1985" s="2"/>
      <c r="W1985" s="1">
        <f>fNotasFiscais[[#This Row],[Data da Coleta]]+fNotasFiscais[[#This Row],[Prazo Contratado]]</f>
        <v>43674</v>
      </c>
      <c r="X1985" s="3">
        <f>IF(fNotasFiscais[[#This Row],[Data da Entrega]]&gt;fNotasFiscais[[#This Row],[Data Contratada]],0,1)</f>
        <v>0</v>
      </c>
      <c r="Y1985" s="3">
        <f>IF(fNotasFiscais[[#This Row],[Ocorrência]]="",1,0)</f>
        <v>1</v>
      </c>
      <c r="Z1985" s="2">
        <f>fNotasFiscais[[#This Row],[On Time]]*fNotasFiscais[[#This Row],[In Full]]</f>
        <v>0</v>
      </c>
      <c r="AA1985">
        <f>IF(fNotasFiscais[[#This Row],[Nota Fiscal]]&lt;&gt;"",1,0)</f>
        <v>1</v>
      </c>
    </row>
    <row r="1986" spans="1:27" x14ac:dyDescent="0.25">
      <c r="A1986" s="1">
        <v>43669</v>
      </c>
      <c r="B1986">
        <v>12395</v>
      </c>
      <c r="C1986" s="2" t="s">
        <v>40</v>
      </c>
      <c r="D1986" s="2" t="s">
        <v>41</v>
      </c>
      <c r="E1986" s="2" t="s">
        <v>33</v>
      </c>
      <c r="F1986">
        <v>4206</v>
      </c>
      <c r="G1986" s="2" t="s">
        <v>289</v>
      </c>
      <c r="H1986" s="2" t="s">
        <v>183</v>
      </c>
      <c r="I1986" s="2" t="s">
        <v>33</v>
      </c>
      <c r="J1986" s="2" t="s">
        <v>60</v>
      </c>
      <c r="K1986" s="2" t="s">
        <v>33</v>
      </c>
      <c r="L1986">
        <v>90.47</v>
      </c>
      <c r="M1986">
        <v>1</v>
      </c>
      <c r="N1986">
        <v>1.43</v>
      </c>
      <c r="O1986">
        <v>6400835</v>
      </c>
      <c r="P1986" s="2" t="s">
        <v>130</v>
      </c>
      <c r="Q1986" s="2" t="s">
        <v>131</v>
      </c>
      <c r="R1986" s="2" t="s">
        <v>30</v>
      </c>
      <c r="S1986">
        <v>12</v>
      </c>
      <c r="T1986" s="1">
        <v>43669</v>
      </c>
      <c r="U1986" s="1">
        <v>43678</v>
      </c>
      <c r="V1986" s="2"/>
      <c r="W1986" s="1">
        <f>fNotasFiscais[[#This Row],[Data da Coleta]]+fNotasFiscais[[#This Row],[Prazo Contratado]]</f>
        <v>43681</v>
      </c>
      <c r="X1986" s="3">
        <f>IF(fNotasFiscais[[#This Row],[Data da Entrega]]&gt;fNotasFiscais[[#This Row],[Data Contratada]],0,1)</f>
        <v>1</v>
      </c>
      <c r="Y1986" s="3">
        <f>IF(fNotasFiscais[[#This Row],[Ocorrência]]="",1,0)</f>
        <v>1</v>
      </c>
      <c r="Z1986" s="2">
        <f>fNotasFiscais[[#This Row],[On Time]]*fNotasFiscais[[#This Row],[In Full]]</f>
        <v>1</v>
      </c>
      <c r="AA1986">
        <f>IF(fNotasFiscais[[#This Row],[Nota Fiscal]]&lt;&gt;"",1,0)</f>
        <v>1</v>
      </c>
    </row>
    <row r="1987" spans="1:27" x14ac:dyDescent="0.25">
      <c r="A1987" s="1">
        <v>43669</v>
      </c>
      <c r="B1987">
        <v>12396</v>
      </c>
      <c r="C1987" s="2" t="s">
        <v>43</v>
      </c>
      <c r="D1987" s="2" t="s">
        <v>44</v>
      </c>
      <c r="E1987" s="2" t="s">
        <v>45</v>
      </c>
      <c r="F1987">
        <v>4207</v>
      </c>
      <c r="G1987" s="2" t="s">
        <v>290</v>
      </c>
      <c r="H1987" s="2" t="s">
        <v>183</v>
      </c>
      <c r="I1987" s="2" t="s">
        <v>33</v>
      </c>
      <c r="J1987" s="2" t="s">
        <v>60</v>
      </c>
      <c r="K1987" s="2" t="s">
        <v>33</v>
      </c>
      <c r="L1987">
        <v>2109.58</v>
      </c>
      <c r="M1987">
        <v>2</v>
      </c>
      <c r="N1987">
        <v>18.7</v>
      </c>
      <c r="O1987">
        <v>6400835</v>
      </c>
      <c r="P1987" s="2" t="s">
        <v>130</v>
      </c>
      <c r="Q1987" s="2" t="s">
        <v>131</v>
      </c>
      <c r="R1987" s="2" t="s">
        <v>30</v>
      </c>
      <c r="S1987">
        <v>6</v>
      </c>
      <c r="T1987" s="1">
        <v>43669</v>
      </c>
      <c r="U1987" s="1">
        <v>43671</v>
      </c>
      <c r="V1987" s="2"/>
      <c r="W1987" s="1">
        <f>fNotasFiscais[[#This Row],[Data da Coleta]]+fNotasFiscais[[#This Row],[Prazo Contratado]]</f>
        <v>43675</v>
      </c>
      <c r="X1987" s="3">
        <f>IF(fNotasFiscais[[#This Row],[Data da Entrega]]&gt;fNotasFiscais[[#This Row],[Data Contratada]],0,1)</f>
        <v>1</v>
      </c>
      <c r="Y1987" s="3">
        <f>IF(fNotasFiscais[[#This Row],[Ocorrência]]="",1,0)</f>
        <v>1</v>
      </c>
      <c r="Z1987" s="2">
        <f>fNotasFiscais[[#This Row],[On Time]]*fNotasFiscais[[#This Row],[In Full]]</f>
        <v>1</v>
      </c>
      <c r="AA1987">
        <f>IF(fNotasFiscais[[#This Row],[Nota Fiscal]]&lt;&gt;"",1,0)</f>
        <v>1</v>
      </c>
    </row>
    <row r="1988" spans="1:27" x14ac:dyDescent="0.25">
      <c r="A1988" s="1">
        <v>43669</v>
      </c>
      <c r="B1988">
        <v>12397</v>
      </c>
      <c r="C1988" s="2" t="s">
        <v>54</v>
      </c>
      <c r="D1988" s="2" t="s">
        <v>55</v>
      </c>
      <c r="E1988" s="2" t="s">
        <v>56</v>
      </c>
      <c r="F1988">
        <v>4208</v>
      </c>
      <c r="G1988" s="2" t="s">
        <v>291</v>
      </c>
      <c r="H1988" s="2" t="s">
        <v>32</v>
      </c>
      <c r="I1988" s="2" t="s">
        <v>33</v>
      </c>
      <c r="J1988" s="2" t="s">
        <v>60</v>
      </c>
      <c r="K1988" s="2" t="s">
        <v>33</v>
      </c>
      <c r="L1988">
        <v>386.41</v>
      </c>
      <c r="M1988">
        <v>2</v>
      </c>
      <c r="N1988">
        <v>1.0449999999999999</v>
      </c>
      <c r="O1988">
        <v>6400835</v>
      </c>
      <c r="P1988" s="2" t="s">
        <v>130</v>
      </c>
      <c r="Q1988" s="2" t="s">
        <v>131</v>
      </c>
      <c r="R1988" s="2" t="s">
        <v>30</v>
      </c>
      <c r="S1988">
        <v>6</v>
      </c>
      <c r="T1988" s="1">
        <v>43669</v>
      </c>
      <c r="U1988" s="1">
        <v>43679</v>
      </c>
      <c r="V1988" s="2"/>
      <c r="W1988" s="1">
        <f>fNotasFiscais[[#This Row],[Data da Coleta]]+fNotasFiscais[[#This Row],[Prazo Contratado]]</f>
        <v>43675</v>
      </c>
      <c r="X1988" s="3">
        <f>IF(fNotasFiscais[[#This Row],[Data da Entrega]]&gt;fNotasFiscais[[#This Row],[Data Contratada]],0,1)</f>
        <v>0</v>
      </c>
      <c r="Y1988" s="3">
        <f>IF(fNotasFiscais[[#This Row],[Ocorrência]]="",1,0)</f>
        <v>1</v>
      </c>
      <c r="Z1988" s="2">
        <f>fNotasFiscais[[#This Row],[On Time]]*fNotasFiscais[[#This Row],[In Full]]</f>
        <v>0</v>
      </c>
      <c r="AA1988">
        <f>IF(fNotasFiscais[[#This Row],[Nota Fiscal]]&lt;&gt;"",1,0)</f>
        <v>1</v>
      </c>
    </row>
    <row r="1989" spans="1:27" x14ac:dyDescent="0.25">
      <c r="A1989" s="1">
        <v>43669</v>
      </c>
      <c r="B1989">
        <v>12398</v>
      </c>
      <c r="C1989" s="2" t="s">
        <v>40</v>
      </c>
      <c r="D1989" s="2" t="s">
        <v>41</v>
      </c>
      <c r="E1989" s="2" t="s">
        <v>33</v>
      </c>
      <c r="F1989">
        <v>4209</v>
      </c>
      <c r="G1989" s="2" t="s">
        <v>292</v>
      </c>
      <c r="H1989" s="2" t="s">
        <v>35</v>
      </c>
      <c r="I1989" s="2" t="s">
        <v>36</v>
      </c>
      <c r="J1989" s="2" t="s">
        <v>60</v>
      </c>
      <c r="K1989" s="2" t="s">
        <v>36</v>
      </c>
      <c r="L1989">
        <v>2851.4</v>
      </c>
      <c r="M1989">
        <v>4</v>
      </c>
      <c r="N1989">
        <v>16.39</v>
      </c>
      <c r="O1989">
        <v>6600879</v>
      </c>
      <c r="P1989" s="2" t="s">
        <v>61</v>
      </c>
      <c r="Q1989" s="2" t="s">
        <v>35</v>
      </c>
      <c r="R1989" s="2" t="s">
        <v>30</v>
      </c>
      <c r="S1989">
        <v>12</v>
      </c>
      <c r="T1989" s="1">
        <v>43669</v>
      </c>
      <c r="U1989" s="1">
        <v>43673</v>
      </c>
      <c r="V1989" s="2"/>
      <c r="W1989" s="1">
        <f>fNotasFiscais[[#This Row],[Data da Coleta]]+fNotasFiscais[[#This Row],[Prazo Contratado]]</f>
        <v>43681</v>
      </c>
      <c r="X1989" s="3">
        <f>IF(fNotasFiscais[[#This Row],[Data da Entrega]]&gt;fNotasFiscais[[#This Row],[Data Contratada]],0,1)</f>
        <v>1</v>
      </c>
      <c r="Y1989" s="3">
        <f>IF(fNotasFiscais[[#This Row],[Ocorrência]]="",1,0)</f>
        <v>1</v>
      </c>
      <c r="Z1989" s="2">
        <f>fNotasFiscais[[#This Row],[On Time]]*fNotasFiscais[[#This Row],[In Full]]</f>
        <v>1</v>
      </c>
      <c r="AA1989">
        <f>IF(fNotasFiscais[[#This Row],[Nota Fiscal]]&lt;&gt;"",1,0)</f>
        <v>1</v>
      </c>
    </row>
    <row r="1990" spans="1:27" x14ac:dyDescent="0.25">
      <c r="A1990" s="1">
        <v>43669</v>
      </c>
      <c r="B1990">
        <v>12399</v>
      </c>
      <c r="C1990" s="2" t="s">
        <v>40</v>
      </c>
      <c r="D1990" s="2" t="s">
        <v>41</v>
      </c>
      <c r="E1990" s="2" t="s">
        <v>33</v>
      </c>
      <c r="F1990">
        <v>4210</v>
      </c>
      <c r="G1990" s="2" t="s">
        <v>293</v>
      </c>
      <c r="H1990" s="2" t="s">
        <v>35</v>
      </c>
      <c r="I1990" s="2" t="s">
        <v>36</v>
      </c>
      <c r="J1990" s="2" t="s">
        <v>60</v>
      </c>
      <c r="K1990" s="2" t="s">
        <v>36</v>
      </c>
      <c r="L1990">
        <v>1129.71</v>
      </c>
      <c r="M1990">
        <v>1</v>
      </c>
      <c r="N1990">
        <v>15.18</v>
      </c>
      <c r="O1990">
        <v>6600879</v>
      </c>
      <c r="P1990" s="2" t="s">
        <v>61</v>
      </c>
      <c r="Q1990" s="2" t="s">
        <v>35</v>
      </c>
      <c r="R1990" s="2" t="s">
        <v>30</v>
      </c>
      <c r="S1990">
        <v>12</v>
      </c>
      <c r="T1990" s="1">
        <v>43669</v>
      </c>
      <c r="U1990" s="1">
        <v>43679</v>
      </c>
      <c r="V1990" s="2"/>
      <c r="W1990" s="1">
        <f>fNotasFiscais[[#This Row],[Data da Coleta]]+fNotasFiscais[[#This Row],[Prazo Contratado]]</f>
        <v>43681</v>
      </c>
      <c r="X1990" s="3">
        <f>IF(fNotasFiscais[[#This Row],[Data da Entrega]]&gt;fNotasFiscais[[#This Row],[Data Contratada]],0,1)</f>
        <v>1</v>
      </c>
      <c r="Y1990" s="3">
        <f>IF(fNotasFiscais[[#This Row],[Ocorrência]]="",1,0)</f>
        <v>1</v>
      </c>
      <c r="Z1990" s="2">
        <f>fNotasFiscais[[#This Row],[On Time]]*fNotasFiscais[[#This Row],[In Full]]</f>
        <v>1</v>
      </c>
      <c r="AA1990">
        <f>IF(fNotasFiscais[[#This Row],[Nota Fiscal]]&lt;&gt;"",1,0)</f>
        <v>1</v>
      </c>
    </row>
    <row r="1991" spans="1:27" x14ac:dyDescent="0.25">
      <c r="A1991" s="1">
        <v>43669</v>
      </c>
      <c r="B1991">
        <v>12400</v>
      </c>
      <c r="C1991" s="2" t="s">
        <v>43</v>
      </c>
      <c r="D1991" s="2" t="s">
        <v>44</v>
      </c>
      <c r="E1991" s="2" t="s">
        <v>45</v>
      </c>
      <c r="F1991">
        <v>4211</v>
      </c>
      <c r="G1991" s="2" t="s">
        <v>294</v>
      </c>
      <c r="H1991" s="2" t="s">
        <v>183</v>
      </c>
      <c r="I1991" s="2" t="s">
        <v>33</v>
      </c>
      <c r="J1991" s="2" t="s">
        <v>60</v>
      </c>
      <c r="K1991" s="2" t="s">
        <v>33</v>
      </c>
      <c r="L1991">
        <v>349.85</v>
      </c>
      <c r="M1991">
        <v>1</v>
      </c>
      <c r="N1991">
        <v>2.4750000000000001</v>
      </c>
      <c r="O1991">
        <v>6400835</v>
      </c>
      <c r="P1991" s="2" t="s">
        <v>130</v>
      </c>
      <c r="Q1991" s="2" t="s">
        <v>131</v>
      </c>
      <c r="R1991" s="2" t="s">
        <v>30</v>
      </c>
      <c r="S1991">
        <v>10</v>
      </c>
      <c r="T1991" s="1">
        <v>43669</v>
      </c>
      <c r="U1991" s="1">
        <v>43671</v>
      </c>
      <c r="V1991" s="2"/>
      <c r="W1991" s="1">
        <f>fNotasFiscais[[#This Row],[Data da Coleta]]+fNotasFiscais[[#This Row],[Prazo Contratado]]</f>
        <v>43679</v>
      </c>
      <c r="X1991" s="3">
        <f>IF(fNotasFiscais[[#This Row],[Data da Entrega]]&gt;fNotasFiscais[[#This Row],[Data Contratada]],0,1)</f>
        <v>1</v>
      </c>
      <c r="Y1991" s="3">
        <f>IF(fNotasFiscais[[#This Row],[Ocorrência]]="",1,0)</f>
        <v>1</v>
      </c>
      <c r="Z1991" s="2">
        <f>fNotasFiscais[[#This Row],[On Time]]*fNotasFiscais[[#This Row],[In Full]]</f>
        <v>1</v>
      </c>
      <c r="AA1991">
        <f>IF(fNotasFiscais[[#This Row],[Nota Fiscal]]&lt;&gt;"",1,0)</f>
        <v>1</v>
      </c>
    </row>
    <row r="1992" spans="1:27" x14ac:dyDescent="0.25">
      <c r="A1992" s="1">
        <v>43669</v>
      </c>
      <c r="B1992">
        <v>12401</v>
      </c>
      <c r="C1992" s="2" t="s">
        <v>54</v>
      </c>
      <c r="D1992" s="2" t="s">
        <v>55</v>
      </c>
      <c r="E1992" s="2" t="s">
        <v>56</v>
      </c>
      <c r="F1992">
        <v>4212</v>
      </c>
      <c r="G1992" s="2" t="s">
        <v>295</v>
      </c>
      <c r="H1992" s="2" t="s">
        <v>165</v>
      </c>
      <c r="I1992" s="2" t="s">
        <v>24</v>
      </c>
      <c r="J1992" s="2" t="s">
        <v>28</v>
      </c>
      <c r="K1992" s="2" t="s">
        <v>24</v>
      </c>
      <c r="L1992">
        <v>1619.96</v>
      </c>
      <c r="M1992">
        <v>2</v>
      </c>
      <c r="N1992">
        <v>16.940000000000001</v>
      </c>
      <c r="O1992">
        <v>6500948</v>
      </c>
      <c r="P1992" s="2" t="s">
        <v>29</v>
      </c>
      <c r="Q1992" s="2" t="s">
        <v>23</v>
      </c>
      <c r="R1992" s="2" t="s">
        <v>30</v>
      </c>
      <c r="S1992">
        <v>8</v>
      </c>
      <c r="T1992" s="1">
        <v>43669</v>
      </c>
      <c r="U1992" s="1">
        <v>43676</v>
      </c>
      <c r="V1992" s="2"/>
      <c r="W1992" s="1">
        <f>fNotasFiscais[[#This Row],[Data da Coleta]]+fNotasFiscais[[#This Row],[Prazo Contratado]]</f>
        <v>43677</v>
      </c>
      <c r="X1992" s="3">
        <f>IF(fNotasFiscais[[#This Row],[Data da Entrega]]&gt;fNotasFiscais[[#This Row],[Data Contratada]],0,1)</f>
        <v>1</v>
      </c>
      <c r="Y1992" s="3">
        <f>IF(fNotasFiscais[[#This Row],[Ocorrência]]="",1,0)</f>
        <v>1</v>
      </c>
      <c r="Z1992" s="2">
        <f>fNotasFiscais[[#This Row],[On Time]]*fNotasFiscais[[#This Row],[In Full]]</f>
        <v>1</v>
      </c>
      <c r="AA1992">
        <f>IF(fNotasFiscais[[#This Row],[Nota Fiscal]]&lt;&gt;"",1,0)</f>
        <v>1</v>
      </c>
    </row>
    <row r="1993" spans="1:27" x14ac:dyDescent="0.25">
      <c r="A1993" s="1">
        <v>43669</v>
      </c>
      <c r="B1993">
        <v>12402</v>
      </c>
      <c r="C1993" s="2" t="s">
        <v>31</v>
      </c>
      <c r="D1993" s="2" t="s">
        <v>32</v>
      </c>
      <c r="E1993" s="2" t="s">
        <v>33</v>
      </c>
      <c r="F1993">
        <v>4213</v>
      </c>
      <c r="G1993" s="2" t="s">
        <v>296</v>
      </c>
      <c r="H1993" s="2" t="s">
        <v>32</v>
      </c>
      <c r="I1993" s="2" t="s">
        <v>33</v>
      </c>
      <c r="J1993" s="2" t="s">
        <v>60</v>
      </c>
      <c r="K1993" s="2" t="s">
        <v>33</v>
      </c>
      <c r="L1993">
        <v>15588.63</v>
      </c>
      <c r="M1993">
        <v>6</v>
      </c>
      <c r="N1993">
        <v>83.305999999999997</v>
      </c>
      <c r="O1993">
        <v>6400835</v>
      </c>
      <c r="P1993" s="2" t="s">
        <v>130</v>
      </c>
      <c r="Q1993" s="2" t="s">
        <v>131</v>
      </c>
      <c r="R1993" s="2" t="s">
        <v>30</v>
      </c>
      <c r="S1993">
        <v>2</v>
      </c>
      <c r="T1993" s="1">
        <v>43669</v>
      </c>
      <c r="U1993" s="1">
        <v>43677</v>
      </c>
      <c r="V1993" s="2"/>
      <c r="W1993" s="1">
        <f>fNotasFiscais[[#This Row],[Data da Coleta]]+fNotasFiscais[[#This Row],[Prazo Contratado]]</f>
        <v>43671</v>
      </c>
      <c r="X1993" s="3">
        <f>IF(fNotasFiscais[[#This Row],[Data da Entrega]]&gt;fNotasFiscais[[#This Row],[Data Contratada]],0,1)</f>
        <v>0</v>
      </c>
      <c r="Y1993" s="3">
        <f>IF(fNotasFiscais[[#This Row],[Ocorrência]]="",1,0)</f>
        <v>1</v>
      </c>
      <c r="Z1993" s="2">
        <f>fNotasFiscais[[#This Row],[On Time]]*fNotasFiscais[[#This Row],[In Full]]</f>
        <v>0</v>
      </c>
      <c r="AA1993">
        <f>IF(fNotasFiscais[[#This Row],[Nota Fiscal]]&lt;&gt;"",1,0)</f>
        <v>1</v>
      </c>
    </row>
    <row r="1994" spans="1:27" x14ac:dyDescent="0.25">
      <c r="A1994" s="1">
        <v>43669</v>
      </c>
      <c r="B1994">
        <v>12403</v>
      </c>
      <c r="C1994" s="2" t="s">
        <v>31</v>
      </c>
      <c r="D1994" s="2" t="s">
        <v>32</v>
      </c>
      <c r="E1994" s="2" t="s">
        <v>33</v>
      </c>
      <c r="F1994">
        <v>4214</v>
      </c>
      <c r="G1994" s="2" t="s">
        <v>297</v>
      </c>
      <c r="H1994" s="2" t="s">
        <v>183</v>
      </c>
      <c r="I1994" s="2" t="s">
        <v>33</v>
      </c>
      <c r="J1994" s="2" t="s">
        <v>60</v>
      </c>
      <c r="K1994" s="2" t="s">
        <v>33</v>
      </c>
      <c r="L1994">
        <v>970.45</v>
      </c>
      <c r="M1994">
        <v>5</v>
      </c>
      <c r="N1994">
        <v>2.4790000000000001</v>
      </c>
      <c r="O1994">
        <v>6400835</v>
      </c>
      <c r="P1994" s="2" t="s">
        <v>130</v>
      </c>
      <c r="Q1994" s="2" t="s">
        <v>131</v>
      </c>
      <c r="R1994" s="2" t="s">
        <v>30</v>
      </c>
      <c r="S1994">
        <v>3</v>
      </c>
      <c r="T1994" s="1">
        <v>43669</v>
      </c>
      <c r="U1994" s="1">
        <v>43672</v>
      </c>
      <c r="V1994" s="2"/>
      <c r="W1994" s="1">
        <f>fNotasFiscais[[#This Row],[Data da Coleta]]+fNotasFiscais[[#This Row],[Prazo Contratado]]</f>
        <v>43672</v>
      </c>
      <c r="X1994" s="3">
        <f>IF(fNotasFiscais[[#This Row],[Data da Entrega]]&gt;fNotasFiscais[[#This Row],[Data Contratada]],0,1)</f>
        <v>1</v>
      </c>
      <c r="Y1994" s="3">
        <f>IF(fNotasFiscais[[#This Row],[Ocorrência]]="",1,0)</f>
        <v>1</v>
      </c>
      <c r="Z1994" s="2">
        <f>fNotasFiscais[[#This Row],[On Time]]*fNotasFiscais[[#This Row],[In Full]]</f>
        <v>1</v>
      </c>
      <c r="AA1994">
        <f>IF(fNotasFiscais[[#This Row],[Nota Fiscal]]&lt;&gt;"",1,0)</f>
        <v>1</v>
      </c>
    </row>
    <row r="1995" spans="1:27" x14ac:dyDescent="0.25">
      <c r="A1995" s="1">
        <v>43669</v>
      </c>
      <c r="B1995">
        <v>12404</v>
      </c>
      <c r="C1995" s="2" t="s">
        <v>22</v>
      </c>
      <c r="D1995" s="2" t="s">
        <v>23</v>
      </c>
      <c r="E1995" s="2" t="s">
        <v>24</v>
      </c>
      <c r="F1995">
        <v>4215</v>
      </c>
      <c r="G1995" s="2" t="s">
        <v>298</v>
      </c>
      <c r="H1995" s="2" t="s">
        <v>167</v>
      </c>
      <c r="I1995" s="2" t="s">
        <v>168</v>
      </c>
      <c r="J1995" s="2" t="s">
        <v>169</v>
      </c>
      <c r="K1995" s="2" t="s">
        <v>168</v>
      </c>
      <c r="L1995">
        <v>857.06</v>
      </c>
      <c r="M1995">
        <v>2</v>
      </c>
      <c r="N1995">
        <v>2.1230000000000002</v>
      </c>
      <c r="O1995">
        <v>6900304</v>
      </c>
      <c r="P1995" s="2" t="s">
        <v>170</v>
      </c>
      <c r="Q1995" s="2" t="s">
        <v>171</v>
      </c>
      <c r="R1995" s="2" t="s">
        <v>30</v>
      </c>
      <c r="S1995">
        <v>9</v>
      </c>
      <c r="T1995" s="1">
        <v>43669</v>
      </c>
      <c r="U1995" s="1">
        <v>43674</v>
      </c>
      <c r="V1995" s="2"/>
      <c r="W1995" s="1">
        <f>fNotasFiscais[[#This Row],[Data da Coleta]]+fNotasFiscais[[#This Row],[Prazo Contratado]]</f>
        <v>43678</v>
      </c>
      <c r="X1995" s="3">
        <f>IF(fNotasFiscais[[#This Row],[Data da Entrega]]&gt;fNotasFiscais[[#This Row],[Data Contratada]],0,1)</f>
        <v>1</v>
      </c>
      <c r="Y1995" s="3">
        <f>IF(fNotasFiscais[[#This Row],[Ocorrência]]="",1,0)</f>
        <v>1</v>
      </c>
      <c r="Z1995" s="2">
        <f>fNotasFiscais[[#This Row],[On Time]]*fNotasFiscais[[#This Row],[In Full]]</f>
        <v>1</v>
      </c>
      <c r="AA1995">
        <f>IF(fNotasFiscais[[#This Row],[Nota Fiscal]]&lt;&gt;"",1,0)</f>
        <v>1</v>
      </c>
    </row>
    <row r="1996" spans="1:27" x14ac:dyDescent="0.25">
      <c r="A1996" s="1">
        <v>43670</v>
      </c>
      <c r="B1996">
        <v>12405</v>
      </c>
      <c r="C1996" s="2" t="s">
        <v>22</v>
      </c>
      <c r="D1996" s="2" t="s">
        <v>23</v>
      </c>
      <c r="E1996" s="2" t="s">
        <v>24</v>
      </c>
      <c r="F1996">
        <v>4216</v>
      </c>
      <c r="G1996" s="2" t="s">
        <v>299</v>
      </c>
      <c r="H1996" s="2" t="s">
        <v>183</v>
      </c>
      <c r="I1996" s="2" t="s">
        <v>33</v>
      </c>
      <c r="J1996" s="2" t="s">
        <v>60</v>
      </c>
      <c r="K1996" s="2" t="s">
        <v>33</v>
      </c>
      <c r="L1996">
        <v>257.95999999999998</v>
      </c>
      <c r="M1996">
        <v>1</v>
      </c>
      <c r="N1996">
        <v>0.36299999999999999</v>
      </c>
      <c r="O1996">
        <v>6400835</v>
      </c>
      <c r="P1996" s="2" t="s">
        <v>130</v>
      </c>
      <c r="Q1996" s="2" t="s">
        <v>131</v>
      </c>
      <c r="R1996" s="2" t="s">
        <v>30</v>
      </c>
      <c r="S1996">
        <v>9</v>
      </c>
      <c r="T1996" s="1">
        <v>43670</v>
      </c>
      <c r="U1996" s="1">
        <v>43671</v>
      </c>
      <c r="V1996" s="2" t="s">
        <v>42</v>
      </c>
      <c r="W1996" s="1">
        <f>fNotasFiscais[[#This Row],[Data da Coleta]]+fNotasFiscais[[#This Row],[Prazo Contratado]]</f>
        <v>43679</v>
      </c>
      <c r="X1996" s="3">
        <f>IF(fNotasFiscais[[#This Row],[Data da Entrega]]&gt;fNotasFiscais[[#This Row],[Data Contratada]],0,1)</f>
        <v>1</v>
      </c>
      <c r="Y1996" s="3">
        <f>IF(fNotasFiscais[[#This Row],[Ocorrência]]="",1,0)</f>
        <v>0</v>
      </c>
      <c r="Z1996" s="2">
        <f>fNotasFiscais[[#This Row],[On Time]]*fNotasFiscais[[#This Row],[In Full]]</f>
        <v>0</v>
      </c>
      <c r="AA1996">
        <f>IF(fNotasFiscais[[#This Row],[Nota Fiscal]]&lt;&gt;"",1,0)</f>
        <v>1</v>
      </c>
    </row>
    <row r="1997" spans="1:27" x14ac:dyDescent="0.25">
      <c r="A1997" s="1">
        <v>43670</v>
      </c>
      <c r="B1997">
        <v>12406</v>
      </c>
      <c r="C1997" s="2" t="s">
        <v>34</v>
      </c>
      <c r="D1997" s="2" t="s">
        <v>35</v>
      </c>
      <c r="E1997" s="2" t="s">
        <v>36</v>
      </c>
      <c r="F1997">
        <v>4049</v>
      </c>
      <c r="G1997" s="2" t="s">
        <v>118</v>
      </c>
      <c r="H1997" s="2" t="s">
        <v>97</v>
      </c>
      <c r="I1997" s="2" t="s">
        <v>48</v>
      </c>
      <c r="J1997" s="2" t="s">
        <v>49</v>
      </c>
      <c r="K1997" s="2" t="s">
        <v>48</v>
      </c>
      <c r="L1997">
        <v>136.1</v>
      </c>
      <c r="M1997">
        <v>2</v>
      </c>
      <c r="N1997">
        <v>0.42599999999999999</v>
      </c>
      <c r="O1997">
        <v>6100231</v>
      </c>
      <c r="P1997" s="2" t="s">
        <v>50</v>
      </c>
      <c r="Q1997" s="2" t="s">
        <v>51</v>
      </c>
      <c r="R1997" s="2" t="s">
        <v>30</v>
      </c>
      <c r="S1997">
        <v>11</v>
      </c>
      <c r="T1997" s="1">
        <v>43670</v>
      </c>
      <c r="U1997" s="1">
        <v>43678</v>
      </c>
      <c r="V1997" s="2"/>
      <c r="W1997" s="1">
        <f>fNotasFiscais[[#This Row],[Data da Coleta]]+fNotasFiscais[[#This Row],[Prazo Contratado]]</f>
        <v>43681</v>
      </c>
      <c r="X1997" s="3">
        <f>IF(fNotasFiscais[[#This Row],[Data da Entrega]]&gt;fNotasFiscais[[#This Row],[Data Contratada]],0,1)</f>
        <v>1</v>
      </c>
      <c r="Y1997" s="3">
        <f>IF(fNotasFiscais[[#This Row],[Ocorrência]]="",1,0)</f>
        <v>1</v>
      </c>
      <c r="Z1997" s="2">
        <f>fNotasFiscais[[#This Row],[On Time]]*fNotasFiscais[[#This Row],[In Full]]</f>
        <v>1</v>
      </c>
      <c r="AA1997">
        <f>IF(fNotasFiscais[[#This Row],[Nota Fiscal]]&lt;&gt;"",1,0)</f>
        <v>1</v>
      </c>
    </row>
    <row r="1998" spans="1:27" x14ac:dyDescent="0.25">
      <c r="A1998" s="1">
        <v>43670</v>
      </c>
      <c r="B1998">
        <v>12407</v>
      </c>
      <c r="C1998" s="2" t="s">
        <v>43</v>
      </c>
      <c r="D1998" s="2" t="s">
        <v>44</v>
      </c>
      <c r="E1998" s="2" t="s">
        <v>45</v>
      </c>
      <c r="F1998">
        <v>4058</v>
      </c>
      <c r="G1998" s="2" t="s">
        <v>46</v>
      </c>
      <c r="H1998" s="2" t="s">
        <v>47</v>
      </c>
      <c r="I1998" s="2" t="s">
        <v>48</v>
      </c>
      <c r="J1998" s="2" t="s">
        <v>49</v>
      </c>
      <c r="K1998" s="2" t="s">
        <v>48</v>
      </c>
      <c r="L1998">
        <v>2845.12</v>
      </c>
      <c r="M1998">
        <v>2</v>
      </c>
      <c r="N1998">
        <v>24.2</v>
      </c>
      <c r="O1998">
        <v>6100231</v>
      </c>
      <c r="P1998" s="2" t="s">
        <v>50</v>
      </c>
      <c r="Q1998" s="2" t="s">
        <v>51</v>
      </c>
      <c r="R1998" s="2" t="s">
        <v>30</v>
      </c>
      <c r="S1998">
        <v>2</v>
      </c>
      <c r="T1998" s="1">
        <v>43670</v>
      </c>
      <c r="U1998" s="1">
        <v>43675</v>
      </c>
      <c r="V1998" s="2"/>
      <c r="W1998" s="1">
        <f>fNotasFiscais[[#This Row],[Data da Coleta]]+fNotasFiscais[[#This Row],[Prazo Contratado]]</f>
        <v>43672</v>
      </c>
      <c r="X1998" s="3">
        <f>IF(fNotasFiscais[[#This Row],[Data da Entrega]]&gt;fNotasFiscais[[#This Row],[Data Contratada]],0,1)</f>
        <v>0</v>
      </c>
      <c r="Y1998" s="3">
        <f>IF(fNotasFiscais[[#This Row],[Ocorrência]]="",1,0)</f>
        <v>1</v>
      </c>
      <c r="Z1998" s="2">
        <f>fNotasFiscais[[#This Row],[On Time]]*fNotasFiscais[[#This Row],[In Full]]</f>
        <v>0</v>
      </c>
      <c r="AA1998">
        <f>IF(fNotasFiscais[[#This Row],[Nota Fiscal]]&lt;&gt;"",1,0)</f>
        <v>1</v>
      </c>
    </row>
    <row r="1999" spans="1:27" x14ac:dyDescent="0.25">
      <c r="A1999" s="1">
        <v>43670</v>
      </c>
      <c r="B1999">
        <v>12408</v>
      </c>
      <c r="C1999" s="2" t="s">
        <v>52</v>
      </c>
      <c r="D1999" s="2" t="s">
        <v>53</v>
      </c>
      <c r="E1999" s="2" t="s">
        <v>33</v>
      </c>
      <c r="F1999">
        <v>4049</v>
      </c>
      <c r="G1999" s="2" t="s">
        <v>118</v>
      </c>
      <c r="H1999" s="2" t="s">
        <v>97</v>
      </c>
      <c r="I1999" s="2" t="s">
        <v>48</v>
      </c>
      <c r="J1999" s="2" t="s">
        <v>49</v>
      </c>
      <c r="K1999" s="2" t="s">
        <v>48</v>
      </c>
      <c r="L1999">
        <v>525.94000000000005</v>
      </c>
      <c r="M1999">
        <v>1</v>
      </c>
      <c r="N1999">
        <v>0.55400000000000005</v>
      </c>
      <c r="O1999">
        <v>6100231</v>
      </c>
      <c r="P1999" s="2" t="s">
        <v>50</v>
      </c>
      <c r="Q1999" s="2" t="s">
        <v>51</v>
      </c>
      <c r="R1999" s="2" t="s">
        <v>30</v>
      </c>
      <c r="S1999">
        <v>10</v>
      </c>
      <c r="T1999" s="1">
        <v>43670</v>
      </c>
      <c r="U1999" s="1">
        <v>43677</v>
      </c>
      <c r="V1999" s="2"/>
      <c r="W1999" s="1">
        <f>fNotasFiscais[[#This Row],[Data da Coleta]]+fNotasFiscais[[#This Row],[Prazo Contratado]]</f>
        <v>43680</v>
      </c>
      <c r="X1999" s="3">
        <f>IF(fNotasFiscais[[#This Row],[Data da Entrega]]&gt;fNotasFiscais[[#This Row],[Data Contratada]],0,1)</f>
        <v>1</v>
      </c>
      <c r="Y1999" s="3">
        <f>IF(fNotasFiscais[[#This Row],[Ocorrência]]="",1,0)</f>
        <v>1</v>
      </c>
      <c r="Z1999" s="2">
        <f>fNotasFiscais[[#This Row],[On Time]]*fNotasFiscais[[#This Row],[In Full]]</f>
        <v>1</v>
      </c>
      <c r="AA1999">
        <f>IF(fNotasFiscais[[#This Row],[Nota Fiscal]]&lt;&gt;"",1,0)</f>
        <v>1</v>
      </c>
    </row>
    <row r="2000" spans="1:27" x14ac:dyDescent="0.25">
      <c r="A2000" s="1">
        <v>43670</v>
      </c>
      <c r="B2000">
        <v>12409</v>
      </c>
      <c r="C2000" s="2" t="s">
        <v>31</v>
      </c>
      <c r="D2000" s="2" t="s">
        <v>32</v>
      </c>
      <c r="E2000" s="2" t="s">
        <v>33</v>
      </c>
      <c r="F2000">
        <v>4022</v>
      </c>
      <c r="G2000" s="2" t="s">
        <v>86</v>
      </c>
      <c r="H2000" s="2" t="s">
        <v>87</v>
      </c>
      <c r="I2000" s="2" t="s">
        <v>27</v>
      </c>
      <c r="J2000" s="2" t="s">
        <v>28</v>
      </c>
      <c r="K2000" s="2" t="s">
        <v>27</v>
      </c>
      <c r="L2000">
        <v>23.72</v>
      </c>
      <c r="M2000">
        <v>1</v>
      </c>
      <c r="N2000">
        <v>0.13800000000000001</v>
      </c>
      <c r="O2000">
        <v>6500948</v>
      </c>
      <c r="P2000" s="2" t="s">
        <v>29</v>
      </c>
      <c r="Q2000" s="2" t="s">
        <v>23</v>
      </c>
      <c r="R2000" s="2" t="s">
        <v>30</v>
      </c>
      <c r="S2000">
        <v>8</v>
      </c>
      <c r="T2000" s="1">
        <v>43670</v>
      </c>
      <c r="U2000" s="1">
        <v>43676</v>
      </c>
      <c r="V2000" s="2" t="s">
        <v>42</v>
      </c>
      <c r="W2000" s="1">
        <f>fNotasFiscais[[#This Row],[Data da Coleta]]+fNotasFiscais[[#This Row],[Prazo Contratado]]</f>
        <v>43678</v>
      </c>
      <c r="X2000" s="3">
        <f>IF(fNotasFiscais[[#This Row],[Data da Entrega]]&gt;fNotasFiscais[[#This Row],[Data Contratada]],0,1)</f>
        <v>1</v>
      </c>
      <c r="Y2000" s="3">
        <f>IF(fNotasFiscais[[#This Row],[Ocorrência]]="",1,0)</f>
        <v>0</v>
      </c>
      <c r="Z2000" s="2">
        <f>fNotasFiscais[[#This Row],[On Time]]*fNotasFiscais[[#This Row],[In Full]]</f>
        <v>0</v>
      </c>
      <c r="AA2000">
        <f>IF(fNotasFiscais[[#This Row],[Nota Fiscal]]&lt;&gt;"",1,0)</f>
        <v>1</v>
      </c>
    </row>
    <row r="2001" spans="1:27" x14ac:dyDescent="0.25">
      <c r="A2001" s="1">
        <v>43670</v>
      </c>
      <c r="B2001">
        <v>12410</v>
      </c>
      <c r="C2001" s="2" t="s">
        <v>54</v>
      </c>
      <c r="D2001" s="2" t="s">
        <v>55</v>
      </c>
      <c r="E2001" s="2" t="s">
        <v>56</v>
      </c>
      <c r="F2001">
        <v>4049</v>
      </c>
      <c r="G2001" s="2" t="s">
        <v>118</v>
      </c>
      <c r="H2001" s="2" t="s">
        <v>97</v>
      </c>
      <c r="I2001" s="2" t="s">
        <v>48</v>
      </c>
      <c r="J2001" s="2" t="s">
        <v>49</v>
      </c>
      <c r="K2001" s="2" t="s">
        <v>48</v>
      </c>
      <c r="L2001">
        <v>4553.7299999999996</v>
      </c>
      <c r="M2001">
        <v>5</v>
      </c>
      <c r="N2001">
        <v>27.763000000000002</v>
      </c>
      <c r="O2001">
        <v>6100231</v>
      </c>
      <c r="P2001" s="2" t="s">
        <v>50</v>
      </c>
      <c r="Q2001" s="2" t="s">
        <v>51</v>
      </c>
      <c r="R2001" s="2" t="s">
        <v>30</v>
      </c>
      <c r="S2001">
        <v>11</v>
      </c>
      <c r="T2001" s="1">
        <v>43670</v>
      </c>
      <c r="U2001" s="1">
        <v>43678</v>
      </c>
      <c r="V2001" s="2"/>
      <c r="W2001" s="1">
        <f>fNotasFiscais[[#This Row],[Data da Coleta]]+fNotasFiscais[[#This Row],[Prazo Contratado]]</f>
        <v>43681</v>
      </c>
      <c r="X2001" s="3">
        <f>IF(fNotasFiscais[[#This Row],[Data da Entrega]]&gt;fNotasFiscais[[#This Row],[Data Contratada]],0,1)</f>
        <v>1</v>
      </c>
      <c r="Y2001" s="3">
        <f>IF(fNotasFiscais[[#This Row],[Ocorrência]]="",1,0)</f>
        <v>1</v>
      </c>
      <c r="Z2001" s="2">
        <f>fNotasFiscais[[#This Row],[On Time]]*fNotasFiscais[[#This Row],[In Full]]</f>
        <v>1</v>
      </c>
      <c r="AA2001">
        <f>IF(fNotasFiscais[[#This Row],[Nota Fiscal]]&lt;&gt;"",1,0)</f>
        <v>1</v>
      </c>
    </row>
    <row r="2002" spans="1:27" x14ac:dyDescent="0.25">
      <c r="A2002" s="1">
        <v>43670</v>
      </c>
      <c r="B2002">
        <v>12411</v>
      </c>
      <c r="C2002" s="2" t="s">
        <v>52</v>
      </c>
      <c r="D2002" s="2" t="s">
        <v>53</v>
      </c>
      <c r="E2002" s="2" t="s">
        <v>33</v>
      </c>
      <c r="F2002">
        <v>4049</v>
      </c>
      <c r="G2002" s="2" t="s">
        <v>118</v>
      </c>
      <c r="H2002" s="2" t="s">
        <v>97</v>
      </c>
      <c r="I2002" s="2" t="s">
        <v>48</v>
      </c>
      <c r="J2002" s="2" t="s">
        <v>49</v>
      </c>
      <c r="K2002" s="2" t="s">
        <v>48</v>
      </c>
      <c r="L2002">
        <v>767.08</v>
      </c>
      <c r="M2002">
        <v>2</v>
      </c>
      <c r="N2002">
        <v>2.3540000000000001</v>
      </c>
      <c r="O2002">
        <v>6100231</v>
      </c>
      <c r="P2002" s="2" t="s">
        <v>50</v>
      </c>
      <c r="Q2002" s="2" t="s">
        <v>51</v>
      </c>
      <c r="R2002" s="2" t="s">
        <v>30</v>
      </c>
      <c r="S2002">
        <v>9</v>
      </c>
      <c r="T2002" s="1">
        <v>43670</v>
      </c>
      <c r="U2002" s="1">
        <v>43672</v>
      </c>
      <c r="V2002" s="2"/>
      <c r="W2002" s="1">
        <f>fNotasFiscais[[#This Row],[Data da Coleta]]+fNotasFiscais[[#This Row],[Prazo Contratado]]</f>
        <v>43679</v>
      </c>
      <c r="X2002" s="3">
        <f>IF(fNotasFiscais[[#This Row],[Data da Entrega]]&gt;fNotasFiscais[[#This Row],[Data Contratada]],0,1)</f>
        <v>1</v>
      </c>
      <c r="Y2002" s="3">
        <f>IF(fNotasFiscais[[#This Row],[Ocorrência]]="",1,0)</f>
        <v>1</v>
      </c>
      <c r="Z2002" s="2">
        <f>fNotasFiscais[[#This Row],[On Time]]*fNotasFiscais[[#This Row],[In Full]]</f>
        <v>1</v>
      </c>
      <c r="AA2002">
        <f>IF(fNotasFiscais[[#This Row],[Nota Fiscal]]&lt;&gt;"",1,0)</f>
        <v>1</v>
      </c>
    </row>
    <row r="2003" spans="1:27" x14ac:dyDescent="0.25">
      <c r="A2003" s="1">
        <v>43670</v>
      </c>
      <c r="B2003">
        <v>12412</v>
      </c>
      <c r="C2003" s="2" t="s">
        <v>54</v>
      </c>
      <c r="D2003" s="2" t="s">
        <v>55</v>
      </c>
      <c r="E2003" s="2" t="s">
        <v>56</v>
      </c>
      <c r="F2003">
        <v>4049</v>
      </c>
      <c r="G2003" s="2" t="s">
        <v>118</v>
      </c>
      <c r="H2003" s="2" t="s">
        <v>97</v>
      </c>
      <c r="I2003" s="2" t="s">
        <v>48</v>
      </c>
      <c r="J2003" s="2" t="s">
        <v>49</v>
      </c>
      <c r="K2003" s="2" t="s">
        <v>48</v>
      </c>
      <c r="L2003">
        <v>55.06</v>
      </c>
      <c r="M2003">
        <v>1</v>
      </c>
      <c r="N2003">
        <v>0.20399999999999999</v>
      </c>
      <c r="O2003">
        <v>6100231</v>
      </c>
      <c r="P2003" s="2" t="s">
        <v>50</v>
      </c>
      <c r="Q2003" s="2" t="s">
        <v>51</v>
      </c>
      <c r="R2003" s="2" t="s">
        <v>30</v>
      </c>
      <c r="S2003">
        <v>11</v>
      </c>
      <c r="T2003" s="1">
        <v>43670</v>
      </c>
      <c r="U2003" s="1">
        <v>43676</v>
      </c>
      <c r="V2003" s="2"/>
      <c r="W2003" s="1">
        <f>fNotasFiscais[[#This Row],[Data da Coleta]]+fNotasFiscais[[#This Row],[Prazo Contratado]]</f>
        <v>43681</v>
      </c>
      <c r="X2003" s="3">
        <f>IF(fNotasFiscais[[#This Row],[Data da Entrega]]&gt;fNotasFiscais[[#This Row],[Data Contratada]],0,1)</f>
        <v>1</v>
      </c>
      <c r="Y2003" s="3">
        <f>IF(fNotasFiscais[[#This Row],[Ocorrência]]="",1,0)</f>
        <v>1</v>
      </c>
      <c r="Z2003" s="2">
        <f>fNotasFiscais[[#This Row],[On Time]]*fNotasFiscais[[#This Row],[In Full]]</f>
        <v>1</v>
      </c>
      <c r="AA2003">
        <f>IF(fNotasFiscais[[#This Row],[Nota Fiscal]]&lt;&gt;"",1,0)</f>
        <v>1</v>
      </c>
    </row>
    <row r="2004" spans="1:27" x14ac:dyDescent="0.25">
      <c r="A2004" s="1">
        <v>43670</v>
      </c>
      <c r="B2004">
        <v>12413</v>
      </c>
      <c r="C2004" s="2" t="s">
        <v>40</v>
      </c>
      <c r="D2004" s="2" t="s">
        <v>41</v>
      </c>
      <c r="E2004" s="2" t="s">
        <v>33</v>
      </c>
      <c r="F2004">
        <v>4049</v>
      </c>
      <c r="G2004" s="2" t="s">
        <v>118</v>
      </c>
      <c r="H2004" s="2" t="s">
        <v>97</v>
      </c>
      <c r="I2004" s="2" t="s">
        <v>48</v>
      </c>
      <c r="J2004" s="2" t="s">
        <v>49</v>
      </c>
      <c r="K2004" s="2" t="s">
        <v>48</v>
      </c>
      <c r="L2004">
        <v>351.14</v>
      </c>
      <c r="M2004">
        <v>1</v>
      </c>
      <c r="N2004">
        <v>13.42</v>
      </c>
      <c r="O2004">
        <v>6100231</v>
      </c>
      <c r="P2004" s="2" t="s">
        <v>50</v>
      </c>
      <c r="Q2004" s="2" t="s">
        <v>51</v>
      </c>
      <c r="R2004" s="2" t="s">
        <v>30</v>
      </c>
      <c r="S2004">
        <v>9</v>
      </c>
      <c r="T2004" s="1">
        <v>43670</v>
      </c>
      <c r="U2004" s="1">
        <v>43672</v>
      </c>
      <c r="V2004" s="2" t="s">
        <v>42</v>
      </c>
      <c r="W2004" s="1">
        <f>fNotasFiscais[[#This Row],[Data da Coleta]]+fNotasFiscais[[#This Row],[Prazo Contratado]]</f>
        <v>43679</v>
      </c>
      <c r="X2004" s="3">
        <f>IF(fNotasFiscais[[#This Row],[Data da Entrega]]&gt;fNotasFiscais[[#This Row],[Data Contratada]],0,1)</f>
        <v>1</v>
      </c>
      <c r="Y2004" s="3">
        <f>IF(fNotasFiscais[[#This Row],[Ocorrência]]="",1,0)</f>
        <v>0</v>
      </c>
      <c r="Z2004" s="2">
        <f>fNotasFiscais[[#This Row],[On Time]]*fNotasFiscais[[#This Row],[In Full]]</f>
        <v>0</v>
      </c>
      <c r="AA2004">
        <f>IF(fNotasFiscais[[#This Row],[Nota Fiscal]]&lt;&gt;"",1,0)</f>
        <v>1</v>
      </c>
    </row>
    <row r="2005" spans="1:27" x14ac:dyDescent="0.25">
      <c r="A2005" s="1">
        <v>43670</v>
      </c>
      <c r="B2005">
        <v>12414</v>
      </c>
      <c r="C2005" s="2" t="s">
        <v>52</v>
      </c>
      <c r="D2005" s="2" t="s">
        <v>53</v>
      </c>
      <c r="E2005" s="2" t="s">
        <v>33</v>
      </c>
      <c r="F2005">
        <v>4049</v>
      </c>
      <c r="G2005" s="2" t="s">
        <v>118</v>
      </c>
      <c r="H2005" s="2" t="s">
        <v>97</v>
      </c>
      <c r="I2005" s="2" t="s">
        <v>48</v>
      </c>
      <c r="J2005" s="2" t="s">
        <v>49</v>
      </c>
      <c r="K2005" s="2" t="s">
        <v>48</v>
      </c>
      <c r="L2005">
        <v>176.43</v>
      </c>
      <c r="M2005">
        <v>3</v>
      </c>
      <c r="N2005">
        <v>0.19400000000000001</v>
      </c>
      <c r="O2005">
        <v>6100231</v>
      </c>
      <c r="P2005" s="2" t="s">
        <v>50</v>
      </c>
      <c r="Q2005" s="2" t="s">
        <v>51</v>
      </c>
      <c r="R2005" s="2" t="s">
        <v>30</v>
      </c>
      <c r="S2005">
        <v>1</v>
      </c>
      <c r="T2005" s="1">
        <v>43670</v>
      </c>
      <c r="U2005" s="1">
        <v>43675</v>
      </c>
      <c r="V2005" s="2"/>
      <c r="W2005" s="1">
        <f>fNotasFiscais[[#This Row],[Data da Coleta]]+fNotasFiscais[[#This Row],[Prazo Contratado]]</f>
        <v>43671</v>
      </c>
      <c r="X2005" s="3">
        <f>IF(fNotasFiscais[[#This Row],[Data da Entrega]]&gt;fNotasFiscais[[#This Row],[Data Contratada]],0,1)</f>
        <v>0</v>
      </c>
      <c r="Y2005" s="3">
        <f>IF(fNotasFiscais[[#This Row],[Ocorrência]]="",1,0)</f>
        <v>1</v>
      </c>
      <c r="Z2005" s="2">
        <f>fNotasFiscais[[#This Row],[On Time]]*fNotasFiscais[[#This Row],[In Full]]</f>
        <v>0</v>
      </c>
      <c r="AA2005">
        <f>IF(fNotasFiscais[[#This Row],[Nota Fiscal]]&lt;&gt;"",1,0)</f>
        <v>1</v>
      </c>
    </row>
    <row r="2006" spans="1:27" x14ac:dyDescent="0.25">
      <c r="A2006" s="1">
        <v>43670</v>
      </c>
      <c r="B2006">
        <v>12415</v>
      </c>
      <c r="C2006" s="2" t="s">
        <v>43</v>
      </c>
      <c r="D2006" s="2" t="s">
        <v>44</v>
      </c>
      <c r="E2006" s="2" t="s">
        <v>45</v>
      </c>
      <c r="F2006">
        <v>4049</v>
      </c>
      <c r="G2006" s="2" t="s">
        <v>118</v>
      </c>
      <c r="H2006" s="2" t="s">
        <v>97</v>
      </c>
      <c r="I2006" s="2" t="s">
        <v>48</v>
      </c>
      <c r="J2006" s="2" t="s">
        <v>49</v>
      </c>
      <c r="K2006" s="2" t="s">
        <v>48</v>
      </c>
      <c r="L2006">
        <v>103.95</v>
      </c>
      <c r="M2006">
        <v>1</v>
      </c>
      <c r="N2006">
        <v>3.5000000000000003E-2</v>
      </c>
      <c r="O2006">
        <v>6100231</v>
      </c>
      <c r="P2006" s="2" t="s">
        <v>50</v>
      </c>
      <c r="Q2006" s="2" t="s">
        <v>51</v>
      </c>
      <c r="R2006" s="2" t="s">
        <v>30</v>
      </c>
      <c r="S2006">
        <v>5</v>
      </c>
      <c r="T2006" s="1">
        <v>43670</v>
      </c>
      <c r="U2006" s="1">
        <v>43680</v>
      </c>
      <c r="V2006" s="2"/>
      <c r="W2006" s="1">
        <f>fNotasFiscais[[#This Row],[Data da Coleta]]+fNotasFiscais[[#This Row],[Prazo Contratado]]</f>
        <v>43675</v>
      </c>
      <c r="X2006" s="3">
        <f>IF(fNotasFiscais[[#This Row],[Data da Entrega]]&gt;fNotasFiscais[[#This Row],[Data Contratada]],0,1)</f>
        <v>0</v>
      </c>
      <c r="Y2006" s="3">
        <f>IF(fNotasFiscais[[#This Row],[Ocorrência]]="",1,0)</f>
        <v>1</v>
      </c>
      <c r="Z2006" s="2">
        <f>fNotasFiscais[[#This Row],[On Time]]*fNotasFiscais[[#This Row],[In Full]]</f>
        <v>0</v>
      </c>
      <c r="AA2006">
        <f>IF(fNotasFiscais[[#This Row],[Nota Fiscal]]&lt;&gt;"",1,0)</f>
        <v>1</v>
      </c>
    </row>
    <row r="2007" spans="1:27" x14ac:dyDescent="0.25">
      <c r="A2007" s="1">
        <v>43670</v>
      </c>
      <c r="B2007">
        <v>12416</v>
      </c>
      <c r="C2007" s="2" t="s">
        <v>40</v>
      </c>
      <c r="D2007" s="2" t="s">
        <v>41</v>
      </c>
      <c r="E2007" s="2" t="s">
        <v>33</v>
      </c>
      <c r="F2007">
        <v>4049</v>
      </c>
      <c r="G2007" s="2" t="s">
        <v>118</v>
      </c>
      <c r="H2007" s="2" t="s">
        <v>97</v>
      </c>
      <c r="I2007" s="2" t="s">
        <v>48</v>
      </c>
      <c r="J2007" s="2" t="s">
        <v>49</v>
      </c>
      <c r="K2007" s="2" t="s">
        <v>48</v>
      </c>
      <c r="L2007">
        <v>486.93</v>
      </c>
      <c r="M2007">
        <v>3</v>
      </c>
      <c r="N2007">
        <v>2.992</v>
      </c>
      <c r="O2007">
        <v>6100231</v>
      </c>
      <c r="P2007" s="2" t="s">
        <v>50</v>
      </c>
      <c r="Q2007" s="2" t="s">
        <v>51</v>
      </c>
      <c r="R2007" s="2" t="s">
        <v>30</v>
      </c>
      <c r="S2007">
        <v>2</v>
      </c>
      <c r="T2007" s="1">
        <v>43670</v>
      </c>
      <c r="U2007" s="1">
        <v>43673</v>
      </c>
      <c r="V2007" s="2"/>
      <c r="W2007" s="1">
        <f>fNotasFiscais[[#This Row],[Data da Coleta]]+fNotasFiscais[[#This Row],[Prazo Contratado]]</f>
        <v>43672</v>
      </c>
      <c r="X2007" s="3">
        <f>IF(fNotasFiscais[[#This Row],[Data da Entrega]]&gt;fNotasFiscais[[#This Row],[Data Contratada]],0,1)</f>
        <v>0</v>
      </c>
      <c r="Y2007" s="3">
        <f>IF(fNotasFiscais[[#This Row],[Ocorrência]]="",1,0)</f>
        <v>1</v>
      </c>
      <c r="Z2007" s="2">
        <f>fNotasFiscais[[#This Row],[On Time]]*fNotasFiscais[[#This Row],[In Full]]</f>
        <v>0</v>
      </c>
      <c r="AA2007">
        <f>IF(fNotasFiscais[[#This Row],[Nota Fiscal]]&lt;&gt;"",1,0)</f>
        <v>1</v>
      </c>
    </row>
    <row r="2008" spans="1:27" x14ac:dyDescent="0.25">
      <c r="A2008" s="1">
        <v>43670</v>
      </c>
      <c r="B2008">
        <v>12417</v>
      </c>
      <c r="C2008" s="2" t="s">
        <v>22</v>
      </c>
      <c r="D2008" s="2" t="s">
        <v>23</v>
      </c>
      <c r="E2008" s="2" t="s">
        <v>24</v>
      </c>
      <c r="F2008">
        <v>4049</v>
      </c>
      <c r="G2008" s="2" t="s">
        <v>118</v>
      </c>
      <c r="H2008" s="2" t="s">
        <v>97</v>
      </c>
      <c r="I2008" s="2" t="s">
        <v>48</v>
      </c>
      <c r="J2008" s="2" t="s">
        <v>49</v>
      </c>
      <c r="K2008" s="2" t="s">
        <v>48</v>
      </c>
      <c r="L2008">
        <v>259.38</v>
      </c>
      <c r="M2008">
        <v>1</v>
      </c>
      <c r="N2008">
        <v>0.16800000000000001</v>
      </c>
      <c r="O2008">
        <v>6100231</v>
      </c>
      <c r="P2008" s="2" t="s">
        <v>50</v>
      </c>
      <c r="Q2008" s="2" t="s">
        <v>51</v>
      </c>
      <c r="R2008" s="2" t="s">
        <v>30</v>
      </c>
      <c r="S2008">
        <v>4</v>
      </c>
      <c r="T2008" s="1">
        <v>43670</v>
      </c>
      <c r="U2008" s="1">
        <v>43677</v>
      </c>
      <c r="V2008" s="2"/>
      <c r="W2008" s="1">
        <f>fNotasFiscais[[#This Row],[Data da Coleta]]+fNotasFiscais[[#This Row],[Prazo Contratado]]</f>
        <v>43674</v>
      </c>
      <c r="X2008" s="3">
        <f>IF(fNotasFiscais[[#This Row],[Data da Entrega]]&gt;fNotasFiscais[[#This Row],[Data Contratada]],0,1)</f>
        <v>0</v>
      </c>
      <c r="Y2008" s="3">
        <f>IF(fNotasFiscais[[#This Row],[Ocorrência]]="",1,0)</f>
        <v>1</v>
      </c>
      <c r="Z2008" s="2">
        <f>fNotasFiscais[[#This Row],[On Time]]*fNotasFiscais[[#This Row],[In Full]]</f>
        <v>0</v>
      </c>
      <c r="AA2008">
        <f>IF(fNotasFiscais[[#This Row],[Nota Fiscal]]&lt;&gt;"",1,0)</f>
        <v>1</v>
      </c>
    </row>
    <row r="2009" spans="1:27" x14ac:dyDescent="0.25">
      <c r="A2009" s="1">
        <v>43671</v>
      </c>
      <c r="B2009">
        <v>12418</v>
      </c>
      <c r="C2009" s="2" t="s">
        <v>34</v>
      </c>
      <c r="D2009" s="2" t="s">
        <v>35</v>
      </c>
      <c r="E2009" s="2" t="s">
        <v>36</v>
      </c>
      <c r="F2009">
        <v>4024</v>
      </c>
      <c r="G2009" s="2" t="s">
        <v>89</v>
      </c>
      <c r="H2009" s="2" t="s">
        <v>23</v>
      </c>
      <c r="I2009" s="2" t="s">
        <v>24</v>
      </c>
      <c r="J2009" s="2" t="s">
        <v>28</v>
      </c>
      <c r="K2009" s="2" t="s">
        <v>24</v>
      </c>
      <c r="L2009">
        <v>212.5</v>
      </c>
      <c r="M2009">
        <v>1</v>
      </c>
      <c r="N2009">
        <v>5.57</v>
      </c>
      <c r="O2009">
        <v>6500948</v>
      </c>
      <c r="P2009" s="2" t="s">
        <v>29</v>
      </c>
      <c r="Q2009" s="2" t="s">
        <v>23</v>
      </c>
      <c r="R2009" s="2" t="s">
        <v>30</v>
      </c>
      <c r="S2009">
        <v>9</v>
      </c>
      <c r="T2009" s="1">
        <v>43671</v>
      </c>
      <c r="U2009" s="1">
        <v>43675</v>
      </c>
      <c r="V2009" s="2"/>
      <c r="W2009" s="1">
        <f>fNotasFiscais[[#This Row],[Data da Coleta]]+fNotasFiscais[[#This Row],[Prazo Contratado]]</f>
        <v>43680</v>
      </c>
      <c r="X2009" s="3">
        <f>IF(fNotasFiscais[[#This Row],[Data da Entrega]]&gt;fNotasFiscais[[#This Row],[Data Contratada]],0,1)</f>
        <v>1</v>
      </c>
      <c r="Y2009" s="3">
        <f>IF(fNotasFiscais[[#This Row],[Ocorrência]]="",1,0)</f>
        <v>1</v>
      </c>
      <c r="Z2009" s="2">
        <f>fNotasFiscais[[#This Row],[On Time]]*fNotasFiscais[[#This Row],[In Full]]</f>
        <v>1</v>
      </c>
      <c r="AA2009">
        <f>IF(fNotasFiscais[[#This Row],[Nota Fiscal]]&lt;&gt;"",1,0)</f>
        <v>1</v>
      </c>
    </row>
    <row r="2010" spans="1:27" x14ac:dyDescent="0.25">
      <c r="A2010" s="1">
        <v>43671</v>
      </c>
      <c r="B2010">
        <v>12419</v>
      </c>
      <c r="C2010" s="2" t="s">
        <v>22</v>
      </c>
      <c r="D2010" s="2" t="s">
        <v>23</v>
      </c>
      <c r="E2010" s="2" t="s">
        <v>24</v>
      </c>
      <c r="F2010">
        <v>4128</v>
      </c>
      <c r="G2010" s="2" t="s">
        <v>211</v>
      </c>
      <c r="H2010" s="2" t="s">
        <v>167</v>
      </c>
      <c r="I2010" s="2" t="s">
        <v>168</v>
      </c>
      <c r="J2010" s="2" t="s">
        <v>169</v>
      </c>
      <c r="K2010" s="2" t="s">
        <v>168</v>
      </c>
      <c r="L2010">
        <v>443.15</v>
      </c>
      <c r="M2010">
        <v>1</v>
      </c>
      <c r="N2010">
        <v>1.1200000000000001</v>
      </c>
      <c r="O2010">
        <v>6900304</v>
      </c>
      <c r="P2010" s="2" t="s">
        <v>170</v>
      </c>
      <c r="Q2010" s="2" t="s">
        <v>171</v>
      </c>
      <c r="R2010" s="2" t="s">
        <v>30</v>
      </c>
      <c r="S2010">
        <v>4</v>
      </c>
      <c r="T2010" s="1">
        <v>43671</v>
      </c>
      <c r="U2010" s="1">
        <v>43678</v>
      </c>
      <c r="V2010" s="2"/>
      <c r="W2010" s="1">
        <f>fNotasFiscais[[#This Row],[Data da Coleta]]+fNotasFiscais[[#This Row],[Prazo Contratado]]</f>
        <v>43675</v>
      </c>
      <c r="X2010" s="3">
        <f>IF(fNotasFiscais[[#This Row],[Data da Entrega]]&gt;fNotasFiscais[[#This Row],[Data Contratada]],0,1)</f>
        <v>0</v>
      </c>
      <c r="Y2010" s="3">
        <f>IF(fNotasFiscais[[#This Row],[Ocorrência]]="",1,0)</f>
        <v>1</v>
      </c>
      <c r="Z2010" s="2">
        <f>fNotasFiscais[[#This Row],[On Time]]*fNotasFiscais[[#This Row],[In Full]]</f>
        <v>0</v>
      </c>
      <c r="AA2010">
        <f>IF(fNotasFiscais[[#This Row],[Nota Fiscal]]&lt;&gt;"",1,0)</f>
        <v>1</v>
      </c>
    </row>
    <row r="2011" spans="1:27" x14ac:dyDescent="0.25">
      <c r="A2011" s="1">
        <v>43671</v>
      </c>
      <c r="B2011">
        <v>12420</v>
      </c>
      <c r="C2011" s="2" t="s">
        <v>22</v>
      </c>
      <c r="D2011" s="2" t="s">
        <v>23</v>
      </c>
      <c r="E2011" s="2" t="s">
        <v>24</v>
      </c>
      <c r="F2011">
        <v>4035</v>
      </c>
      <c r="G2011" s="2" t="s">
        <v>111</v>
      </c>
      <c r="H2011" s="2" t="s">
        <v>47</v>
      </c>
      <c r="I2011" s="2" t="s">
        <v>48</v>
      </c>
      <c r="J2011" s="2" t="s">
        <v>49</v>
      </c>
      <c r="K2011" s="2" t="s">
        <v>48</v>
      </c>
      <c r="L2011">
        <v>3121.39</v>
      </c>
      <c r="M2011">
        <v>4</v>
      </c>
      <c r="N2011">
        <v>17.593</v>
      </c>
      <c r="O2011">
        <v>6100231</v>
      </c>
      <c r="P2011" s="2" t="s">
        <v>50</v>
      </c>
      <c r="Q2011" s="2" t="s">
        <v>51</v>
      </c>
      <c r="R2011" s="2" t="s">
        <v>30</v>
      </c>
      <c r="S2011">
        <v>11</v>
      </c>
      <c r="T2011" s="1">
        <v>43671</v>
      </c>
      <c r="U2011" s="1">
        <v>43678</v>
      </c>
      <c r="V2011" s="2"/>
      <c r="W2011" s="1">
        <f>fNotasFiscais[[#This Row],[Data da Coleta]]+fNotasFiscais[[#This Row],[Prazo Contratado]]</f>
        <v>43682</v>
      </c>
      <c r="X2011" s="3">
        <f>IF(fNotasFiscais[[#This Row],[Data da Entrega]]&gt;fNotasFiscais[[#This Row],[Data Contratada]],0,1)</f>
        <v>1</v>
      </c>
      <c r="Y2011" s="3">
        <f>IF(fNotasFiscais[[#This Row],[Ocorrência]]="",1,0)</f>
        <v>1</v>
      </c>
      <c r="Z2011" s="2">
        <f>fNotasFiscais[[#This Row],[On Time]]*fNotasFiscais[[#This Row],[In Full]]</f>
        <v>1</v>
      </c>
      <c r="AA2011">
        <f>IF(fNotasFiscais[[#This Row],[Nota Fiscal]]&lt;&gt;"",1,0)</f>
        <v>1</v>
      </c>
    </row>
    <row r="2012" spans="1:27" x14ac:dyDescent="0.25">
      <c r="A2012" s="1">
        <v>43671</v>
      </c>
      <c r="B2012">
        <v>12421</v>
      </c>
      <c r="C2012" s="2" t="s">
        <v>40</v>
      </c>
      <c r="D2012" s="2" t="s">
        <v>41</v>
      </c>
      <c r="E2012" s="2" t="s">
        <v>33</v>
      </c>
      <c r="F2012">
        <v>4035</v>
      </c>
      <c r="G2012" s="2" t="s">
        <v>111</v>
      </c>
      <c r="H2012" s="2" t="s">
        <v>47</v>
      </c>
      <c r="I2012" s="2" t="s">
        <v>48</v>
      </c>
      <c r="J2012" s="2" t="s">
        <v>49</v>
      </c>
      <c r="K2012" s="2" t="s">
        <v>48</v>
      </c>
      <c r="L2012">
        <v>230.9</v>
      </c>
      <c r="M2012">
        <v>1</v>
      </c>
      <c r="N2012">
        <v>0.54300000000000004</v>
      </c>
      <c r="O2012">
        <v>6100231</v>
      </c>
      <c r="P2012" s="2" t="s">
        <v>50</v>
      </c>
      <c r="Q2012" s="2" t="s">
        <v>51</v>
      </c>
      <c r="R2012" s="2" t="s">
        <v>30</v>
      </c>
      <c r="S2012">
        <v>12</v>
      </c>
      <c r="T2012" s="1">
        <v>43671</v>
      </c>
      <c r="U2012" s="1">
        <v>43679</v>
      </c>
      <c r="V2012" s="2"/>
      <c r="W2012" s="1">
        <f>fNotasFiscais[[#This Row],[Data da Coleta]]+fNotasFiscais[[#This Row],[Prazo Contratado]]</f>
        <v>43683</v>
      </c>
      <c r="X2012" s="3">
        <f>IF(fNotasFiscais[[#This Row],[Data da Entrega]]&gt;fNotasFiscais[[#This Row],[Data Contratada]],0,1)</f>
        <v>1</v>
      </c>
      <c r="Y2012" s="3">
        <f>IF(fNotasFiscais[[#This Row],[Ocorrência]]="",1,0)</f>
        <v>1</v>
      </c>
      <c r="Z2012" s="2">
        <f>fNotasFiscais[[#This Row],[On Time]]*fNotasFiscais[[#This Row],[In Full]]</f>
        <v>1</v>
      </c>
      <c r="AA2012">
        <f>IF(fNotasFiscais[[#This Row],[Nota Fiscal]]&lt;&gt;"",1,0)</f>
        <v>1</v>
      </c>
    </row>
    <row r="2013" spans="1:27" x14ac:dyDescent="0.25">
      <c r="A2013" s="1">
        <v>43671</v>
      </c>
      <c r="B2013">
        <v>12422</v>
      </c>
      <c r="C2013" s="2" t="s">
        <v>22</v>
      </c>
      <c r="D2013" s="2" t="s">
        <v>23</v>
      </c>
      <c r="E2013" s="2" t="s">
        <v>24</v>
      </c>
      <c r="F2013">
        <v>4035</v>
      </c>
      <c r="G2013" s="2" t="s">
        <v>111</v>
      </c>
      <c r="H2013" s="2" t="s">
        <v>47</v>
      </c>
      <c r="I2013" s="2" t="s">
        <v>48</v>
      </c>
      <c r="J2013" s="2" t="s">
        <v>49</v>
      </c>
      <c r="K2013" s="2" t="s">
        <v>48</v>
      </c>
      <c r="L2013">
        <v>205.41</v>
      </c>
      <c r="M2013">
        <v>1</v>
      </c>
      <c r="N2013">
        <v>1.518</v>
      </c>
      <c r="O2013">
        <v>6100231</v>
      </c>
      <c r="P2013" s="2" t="s">
        <v>50</v>
      </c>
      <c r="Q2013" s="2" t="s">
        <v>51</v>
      </c>
      <c r="R2013" s="2" t="s">
        <v>30</v>
      </c>
      <c r="S2013">
        <v>2</v>
      </c>
      <c r="T2013" s="1">
        <v>43671</v>
      </c>
      <c r="U2013" s="1">
        <v>43680</v>
      </c>
      <c r="V2013" s="2"/>
      <c r="W2013" s="1">
        <f>fNotasFiscais[[#This Row],[Data da Coleta]]+fNotasFiscais[[#This Row],[Prazo Contratado]]</f>
        <v>43673</v>
      </c>
      <c r="X2013" s="3">
        <f>IF(fNotasFiscais[[#This Row],[Data da Entrega]]&gt;fNotasFiscais[[#This Row],[Data Contratada]],0,1)</f>
        <v>0</v>
      </c>
      <c r="Y2013" s="3">
        <f>IF(fNotasFiscais[[#This Row],[Ocorrência]]="",1,0)</f>
        <v>1</v>
      </c>
      <c r="Z2013" s="2">
        <f>fNotasFiscais[[#This Row],[On Time]]*fNotasFiscais[[#This Row],[In Full]]</f>
        <v>0</v>
      </c>
      <c r="AA2013">
        <f>IF(fNotasFiscais[[#This Row],[Nota Fiscal]]&lt;&gt;"",1,0)</f>
        <v>1</v>
      </c>
    </row>
    <row r="2014" spans="1:27" x14ac:dyDescent="0.25">
      <c r="A2014" s="1">
        <v>43672</v>
      </c>
      <c r="B2014">
        <v>12423</v>
      </c>
      <c r="C2014" s="2" t="s">
        <v>22</v>
      </c>
      <c r="D2014" s="2" t="s">
        <v>23</v>
      </c>
      <c r="E2014" s="2" t="s">
        <v>24</v>
      </c>
      <c r="F2014">
        <v>4100</v>
      </c>
      <c r="G2014" s="2" t="s">
        <v>182</v>
      </c>
      <c r="H2014" s="2" t="s">
        <v>183</v>
      </c>
      <c r="I2014" s="2" t="s">
        <v>33</v>
      </c>
      <c r="J2014" s="2" t="s">
        <v>60</v>
      </c>
      <c r="K2014" s="2" t="s">
        <v>33</v>
      </c>
      <c r="L2014">
        <v>639.63</v>
      </c>
      <c r="M2014">
        <v>1</v>
      </c>
      <c r="N2014">
        <v>1.1200000000000001</v>
      </c>
      <c r="O2014">
        <v>6400835</v>
      </c>
      <c r="P2014" s="2" t="s">
        <v>130</v>
      </c>
      <c r="Q2014" s="2" t="s">
        <v>131</v>
      </c>
      <c r="R2014" s="2" t="s">
        <v>30</v>
      </c>
      <c r="S2014">
        <v>10</v>
      </c>
      <c r="T2014" s="1">
        <v>43672</v>
      </c>
      <c r="U2014" s="1">
        <v>43673</v>
      </c>
      <c r="V2014" s="2"/>
      <c r="W2014" s="1">
        <f>fNotasFiscais[[#This Row],[Data da Coleta]]+fNotasFiscais[[#This Row],[Prazo Contratado]]</f>
        <v>43682</v>
      </c>
      <c r="X2014" s="3">
        <f>IF(fNotasFiscais[[#This Row],[Data da Entrega]]&gt;fNotasFiscais[[#This Row],[Data Contratada]],0,1)</f>
        <v>1</v>
      </c>
      <c r="Y2014" s="3">
        <f>IF(fNotasFiscais[[#This Row],[Ocorrência]]="",1,0)</f>
        <v>1</v>
      </c>
      <c r="Z2014" s="2">
        <f>fNotasFiscais[[#This Row],[On Time]]*fNotasFiscais[[#This Row],[In Full]]</f>
        <v>1</v>
      </c>
      <c r="AA2014">
        <f>IF(fNotasFiscais[[#This Row],[Nota Fiscal]]&lt;&gt;"",1,0)</f>
        <v>1</v>
      </c>
    </row>
    <row r="2015" spans="1:27" x14ac:dyDescent="0.25">
      <c r="A2015" s="1">
        <v>43673</v>
      </c>
      <c r="B2015">
        <v>12424</v>
      </c>
      <c r="C2015" s="2" t="s">
        <v>54</v>
      </c>
      <c r="D2015" s="2" t="s">
        <v>55</v>
      </c>
      <c r="E2015" s="2" t="s">
        <v>56</v>
      </c>
      <c r="F2015">
        <v>4157</v>
      </c>
      <c r="G2015" s="2" t="s">
        <v>240</v>
      </c>
      <c r="H2015" s="2" t="s">
        <v>35</v>
      </c>
      <c r="I2015" s="2" t="s">
        <v>36</v>
      </c>
      <c r="J2015" s="2" t="s">
        <v>60</v>
      </c>
      <c r="K2015" s="2" t="s">
        <v>36</v>
      </c>
      <c r="L2015">
        <v>259.38</v>
      </c>
      <c r="M2015">
        <v>1</v>
      </c>
      <c r="N2015">
        <v>0.16800000000000001</v>
      </c>
      <c r="O2015">
        <v>6600879</v>
      </c>
      <c r="P2015" s="2" t="s">
        <v>61</v>
      </c>
      <c r="Q2015" s="2" t="s">
        <v>35</v>
      </c>
      <c r="R2015" s="2" t="s">
        <v>30</v>
      </c>
      <c r="S2015">
        <v>5</v>
      </c>
      <c r="T2015" s="1">
        <v>43673</v>
      </c>
      <c r="U2015" s="1">
        <v>43674</v>
      </c>
      <c r="V2015" s="2"/>
      <c r="W2015" s="1">
        <f>fNotasFiscais[[#This Row],[Data da Coleta]]+fNotasFiscais[[#This Row],[Prazo Contratado]]</f>
        <v>43678</v>
      </c>
      <c r="X2015" s="3">
        <f>IF(fNotasFiscais[[#This Row],[Data da Entrega]]&gt;fNotasFiscais[[#This Row],[Data Contratada]],0,1)</f>
        <v>1</v>
      </c>
      <c r="Y2015" s="3">
        <f>IF(fNotasFiscais[[#This Row],[Ocorrência]]="",1,0)</f>
        <v>1</v>
      </c>
      <c r="Z2015" s="2">
        <f>fNotasFiscais[[#This Row],[On Time]]*fNotasFiscais[[#This Row],[In Full]]</f>
        <v>1</v>
      </c>
      <c r="AA2015">
        <f>IF(fNotasFiscais[[#This Row],[Nota Fiscal]]&lt;&gt;"",1,0)</f>
        <v>1</v>
      </c>
    </row>
    <row r="2016" spans="1:27" x14ac:dyDescent="0.25">
      <c r="A2016" s="1">
        <v>43673</v>
      </c>
      <c r="B2016">
        <v>12425</v>
      </c>
      <c r="C2016" s="2" t="s">
        <v>22</v>
      </c>
      <c r="D2016" s="2" t="s">
        <v>23</v>
      </c>
      <c r="E2016" s="2" t="s">
        <v>24</v>
      </c>
      <c r="F2016">
        <v>4196</v>
      </c>
      <c r="G2016" s="2" t="s">
        <v>279</v>
      </c>
      <c r="H2016" s="2" t="s">
        <v>173</v>
      </c>
      <c r="I2016" s="2" t="s">
        <v>174</v>
      </c>
      <c r="J2016" s="2" t="s">
        <v>175</v>
      </c>
      <c r="K2016" s="2" t="s">
        <v>174</v>
      </c>
      <c r="L2016">
        <v>1501.82</v>
      </c>
      <c r="M2016">
        <v>2</v>
      </c>
      <c r="N2016">
        <v>10.558999999999999</v>
      </c>
      <c r="O2016">
        <v>6700091</v>
      </c>
      <c r="P2016" s="2" t="s">
        <v>176</v>
      </c>
      <c r="Q2016" s="2" t="s">
        <v>173</v>
      </c>
      <c r="R2016" s="2" t="s">
        <v>30</v>
      </c>
      <c r="S2016">
        <v>1</v>
      </c>
      <c r="T2016" s="1">
        <v>43673</v>
      </c>
      <c r="U2016" s="1">
        <v>43680</v>
      </c>
      <c r="V2016" s="2"/>
      <c r="W2016" s="1">
        <f>fNotasFiscais[[#This Row],[Data da Coleta]]+fNotasFiscais[[#This Row],[Prazo Contratado]]</f>
        <v>43674</v>
      </c>
      <c r="X2016" s="3">
        <f>IF(fNotasFiscais[[#This Row],[Data da Entrega]]&gt;fNotasFiscais[[#This Row],[Data Contratada]],0,1)</f>
        <v>0</v>
      </c>
      <c r="Y2016" s="3">
        <f>IF(fNotasFiscais[[#This Row],[Ocorrência]]="",1,0)</f>
        <v>1</v>
      </c>
      <c r="Z2016" s="2">
        <f>fNotasFiscais[[#This Row],[On Time]]*fNotasFiscais[[#This Row],[In Full]]</f>
        <v>0</v>
      </c>
      <c r="AA2016">
        <f>IF(fNotasFiscais[[#This Row],[Nota Fiscal]]&lt;&gt;"",1,0)</f>
        <v>1</v>
      </c>
    </row>
    <row r="2017" spans="1:27" x14ac:dyDescent="0.25">
      <c r="A2017" s="1">
        <v>43673</v>
      </c>
      <c r="B2017">
        <v>12426</v>
      </c>
      <c r="C2017" s="2" t="s">
        <v>52</v>
      </c>
      <c r="D2017" s="2" t="s">
        <v>53</v>
      </c>
      <c r="E2017" s="2" t="s">
        <v>33</v>
      </c>
      <c r="F2017">
        <v>4128</v>
      </c>
      <c r="G2017" s="2" t="s">
        <v>211</v>
      </c>
      <c r="H2017" s="2" t="s">
        <v>167</v>
      </c>
      <c r="I2017" s="2" t="s">
        <v>168</v>
      </c>
      <c r="J2017" s="2" t="s">
        <v>169</v>
      </c>
      <c r="K2017" s="2" t="s">
        <v>168</v>
      </c>
      <c r="L2017">
        <v>85.81</v>
      </c>
      <c r="M2017">
        <v>1</v>
      </c>
      <c r="N2017">
        <v>1.1200000000000001</v>
      </c>
      <c r="O2017">
        <v>6900304</v>
      </c>
      <c r="P2017" s="2" t="s">
        <v>170</v>
      </c>
      <c r="Q2017" s="2" t="s">
        <v>171</v>
      </c>
      <c r="R2017" s="2" t="s">
        <v>30</v>
      </c>
      <c r="S2017">
        <v>2</v>
      </c>
      <c r="T2017" s="1">
        <v>43673</v>
      </c>
      <c r="U2017" s="1">
        <v>43674</v>
      </c>
      <c r="V2017" s="2"/>
      <c r="W2017" s="1">
        <f>fNotasFiscais[[#This Row],[Data da Coleta]]+fNotasFiscais[[#This Row],[Prazo Contratado]]</f>
        <v>43675</v>
      </c>
      <c r="X2017" s="3">
        <f>IF(fNotasFiscais[[#This Row],[Data da Entrega]]&gt;fNotasFiscais[[#This Row],[Data Contratada]],0,1)</f>
        <v>1</v>
      </c>
      <c r="Y2017" s="3">
        <f>IF(fNotasFiscais[[#This Row],[Ocorrência]]="",1,0)</f>
        <v>1</v>
      </c>
      <c r="Z2017" s="2">
        <f>fNotasFiscais[[#This Row],[On Time]]*fNotasFiscais[[#This Row],[In Full]]</f>
        <v>1</v>
      </c>
      <c r="AA2017">
        <f>IF(fNotasFiscais[[#This Row],[Nota Fiscal]]&lt;&gt;"",1,0)</f>
        <v>1</v>
      </c>
    </row>
    <row r="2018" spans="1:27" x14ac:dyDescent="0.25">
      <c r="A2018" s="1">
        <v>43676</v>
      </c>
      <c r="B2018">
        <v>12427</v>
      </c>
      <c r="C2018" s="2" t="s">
        <v>31</v>
      </c>
      <c r="D2018" s="2" t="s">
        <v>32</v>
      </c>
      <c r="E2018" s="2" t="s">
        <v>33</v>
      </c>
      <c r="F2018">
        <v>4166</v>
      </c>
      <c r="G2018" s="2" t="s">
        <v>249</v>
      </c>
      <c r="H2018" s="2" t="s">
        <v>173</v>
      </c>
      <c r="I2018" s="2" t="s">
        <v>174</v>
      </c>
      <c r="J2018" s="2" t="s">
        <v>175</v>
      </c>
      <c r="K2018" s="2" t="s">
        <v>174</v>
      </c>
      <c r="L2018">
        <v>969.43</v>
      </c>
      <c r="M2018">
        <v>1</v>
      </c>
      <c r="N2018">
        <v>1.302</v>
      </c>
      <c r="O2018">
        <v>6700091</v>
      </c>
      <c r="P2018" s="2" t="s">
        <v>176</v>
      </c>
      <c r="Q2018" s="2" t="s">
        <v>173</v>
      </c>
      <c r="R2018" s="2" t="s">
        <v>30</v>
      </c>
      <c r="S2018">
        <v>2</v>
      </c>
      <c r="T2018" s="1">
        <v>43676</v>
      </c>
      <c r="U2018" s="1">
        <v>43684</v>
      </c>
      <c r="V2018" s="2"/>
      <c r="W2018" s="1">
        <f>fNotasFiscais[[#This Row],[Data da Coleta]]+fNotasFiscais[[#This Row],[Prazo Contratado]]</f>
        <v>43678</v>
      </c>
      <c r="X2018" s="3">
        <f>IF(fNotasFiscais[[#This Row],[Data da Entrega]]&gt;fNotasFiscais[[#This Row],[Data Contratada]],0,1)</f>
        <v>0</v>
      </c>
      <c r="Y2018" s="3">
        <f>IF(fNotasFiscais[[#This Row],[Ocorrência]]="",1,0)</f>
        <v>1</v>
      </c>
      <c r="Z2018" s="2">
        <f>fNotasFiscais[[#This Row],[On Time]]*fNotasFiscais[[#This Row],[In Full]]</f>
        <v>0</v>
      </c>
      <c r="AA2018">
        <f>IF(fNotasFiscais[[#This Row],[Nota Fiscal]]&lt;&gt;"",1,0)</f>
        <v>1</v>
      </c>
    </row>
    <row r="2019" spans="1:27" x14ac:dyDescent="0.25">
      <c r="A2019" s="1">
        <v>43676</v>
      </c>
      <c r="B2019">
        <v>12428</v>
      </c>
      <c r="C2019" s="2" t="s">
        <v>52</v>
      </c>
      <c r="D2019" s="2" t="s">
        <v>53</v>
      </c>
      <c r="E2019" s="2" t="s">
        <v>33</v>
      </c>
      <c r="F2019">
        <v>4143</v>
      </c>
      <c r="G2019" s="2" t="s">
        <v>226</v>
      </c>
      <c r="H2019" s="2" t="s">
        <v>173</v>
      </c>
      <c r="I2019" s="2" t="s">
        <v>174</v>
      </c>
      <c r="J2019" s="2" t="s">
        <v>175</v>
      </c>
      <c r="K2019" s="2" t="s">
        <v>174</v>
      </c>
      <c r="L2019">
        <v>226.79</v>
      </c>
      <c r="M2019">
        <v>1</v>
      </c>
      <c r="N2019">
        <v>0.13800000000000001</v>
      </c>
      <c r="O2019">
        <v>6700091</v>
      </c>
      <c r="P2019" s="2" t="s">
        <v>176</v>
      </c>
      <c r="Q2019" s="2" t="s">
        <v>173</v>
      </c>
      <c r="R2019" s="2" t="s">
        <v>30</v>
      </c>
      <c r="S2019">
        <v>12</v>
      </c>
      <c r="T2019" s="1">
        <v>43676</v>
      </c>
      <c r="U2019" s="1">
        <v>43680</v>
      </c>
      <c r="V2019" s="2"/>
      <c r="W2019" s="1">
        <f>fNotasFiscais[[#This Row],[Data da Coleta]]+fNotasFiscais[[#This Row],[Prazo Contratado]]</f>
        <v>43688</v>
      </c>
      <c r="X2019" s="3">
        <f>IF(fNotasFiscais[[#This Row],[Data da Entrega]]&gt;fNotasFiscais[[#This Row],[Data Contratada]],0,1)</f>
        <v>1</v>
      </c>
      <c r="Y2019" s="3">
        <f>IF(fNotasFiscais[[#This Row],[Ocorrência]]="",1,0)</f>
        <v>1</v>
      </c>
      <c r="Z2019" s="2">
        <f>fNotasFiscais[[#This Row],[On Time]]*fNotasFiscais[[#This Row],[In Full]]</f>
        <v>1</v>
      </c>
      <c r="AA2019">
        <f>IF(fNotasFiscais[[#This Row],[Nota Fiscal]]&lt;&gt;"",1,0)</f>
        <v>1</v>
      </c>
    </row>
    <row r="2020" spans="1:27" x14ac:dyDescent="0.25">
      <c r="A2020" s="1">
        <v>43676</v>
      </c>
      <c r="B2020">
        <v>12429</v>
      </c>
      <c r="C2020" s="2" t="s">
        <v>34</v>
      </c>
      <c r="D2020" s="2" t="s">
        <v>35</v>
      </c>
      <c r="E2020" s="2" t="s">
        <v>36</v>
      </c>
      <c r="F2020">
        <v>4162</v>
      </c>
      <c r="G2020" s="2" t="s">
        <v>245</v>
      </c>
      <c r="H2020" s="2" t="s">
        <v>167</v>
      </c>
      <c r="I2020" s="2" t="s">
        <v>168</v>
      </c>
      <c r="J2020" s="2" t="s">
        <v>169</v>
      </c>
      <c r="K2020" s="2" t="s">
        <v>168</v>
      </c>
      <c r="L2020">
        <v>648.33000000000004</v>
      </c>
      <c r="M2020">
        <v>2</v>
      </c>
      <c r="N2020">
        <v>0.93300000000000005</v>
      </c>
      <c r="O2020">
        <v>6900304</v>
      </c>
      <c r="P2020" s="2" t="s">
        <v>170</v>
      </c>
      <c r="Q2020" s="2" t="s">
        <v>171</v>
      </c>
      <c r="R2020" s="2" t="s">
        <v>30</v>
      </c>
      <c r="S2020">
        <v>8</v>
      </c>
      <c r="T2020" s="1">
        <v>43676</v>
      </c>
      <c r="U2020" s="1">
        <v>43677</v>
      </c>
      <c r="V2020" s="2"/>
      <c r="W2020" s="1">
        <f>fNotasFiscais[[#This Row],[Data da Coleta]]+fNotasFiscais[[#This Row],[Prazo Contratado]]</f>
        <v>43684</v>
      </c>
      <c r="X2020" s="3">
        <f>IF(fNotasFiscais[[#This Row],[Data da Entrega]]&gt;fNotasFiscais[[#This Row],[Data Contratada]],0,1)</f>
        <v>1</v>
      </c>
      <c r="Y2020" s="3">
        <f>IF(fNotasFiscais[[#This Row],[Ocorrência]]="",1,0)</f>
        <v>1</v>
      </c>
      <c r="Z2020" s="2">
        <f>fNotasFiscais[[#This Row],[On Time]]*fNotasFiscais[[#This Row],[In Full]]</f>
        <v>1</v>
      </c>
      <c r="AA2020">
        <f>IF(fNotasFiscais[[#This Row],[Nota Fiscal]]&lt;&gt;"",1,0)</f>
        <v>1</v>
      </c>
    </row>
    <row r="2021" spans="1:27" x14ac:dyDescent="0.25">
      <c r="A2021" s="1">
        <v>43676</v>
      </c>
      <c r="B2021">
        <v>12430</v>
      </c>
      <c r="C2021" s="2" t="s">
        <v>40</v>
      </c>
      <c r="D2021" s="2" t="s">
        <v>41</v>
      </c>
      <c r="E2021" s="2" t="s">
        <v>33</v>
      </c>
      <c r="F2021">
        <v>4154</v>
      </c>
      <c r="G2021" s="2" t="s">
        <v>237</v>
      </c>
      <c r="H2021" s="2" t="s">
        <v>167</v>
      </c>
      <c r="I2021" s="2" t="s">
        <v>168</v>
      </c>
      <c r="J2021" s="2" t="s">
        <v>169</v>
      </c>
      <c r="K2021" s="2" t="s">
        <v>168</v>
      </c>
      <c r="L2021">
        <v>99.48</v>
      </c>
      <c r="M2021">
        <v>1</v>
      </c>
      <c r="N2021">
        <v>1.1200000000000001</v>
      </c>
      <c r="O2021">
        <v>6900304</v>
      </c>
      <c r="P2021" s="2" t="s">
        <v>170</v>
      </c>
      <c r="Q2021" s="2" t="s">
        <v>171</v>
      </c>
      <c r="R2021" s="2" t="s">
        <v>30</v>
      </c>
      <c r="S2021">
        <v>8</v>
      </c>
      <c r="T2021" s="1">
        <v>43676</v>
      </c>
      <c r="U2021" s="1">
        <v>43684</v>
      </c>
      <c r="V2021" s="2"/>
      <c r="W2021" s="1">
        <f>fNotasFiscais[[#This Row],[Data da Coleta]]+fNotasFiscais[[#This Row],[Prazo Contratado]]</f>
        <v>43684</v>
      </c>
      <c r="X2021" s="3">
        <f>IF(fNotasFiscais[[#This Row],[Data da Entrega]]&gt;fNotasFiscais[[#This Row],[Data Contratada]],0,1)</f>
        <v>1</v>
      </c>
      <c r="Y2021" s="3">
        <f>IF(fNotasFiscais[[#This Row],[Ocorrência]]="",1,0)</f>
        <v>1</v>
      </c>
      <c r="Z2021" s="2">
        <f>fNotasFiscais[[#This Row],[On Time]]*fNotasFiscais[[#This Row],[In Full]]</f>
        <v>1</v>
      </c>
      <c r="AA2021">
        <f>IF(fNotasFiscais[[#This Row],[Nota Fiscal]]&lt;&gt;"",1,0)</f>
        <v>1</v>
      </c>
    </row>
    <row r="2022" spans="1:27" x14ac:dyDescent="0.25">
      <c r="A2022" s="1">
        <v>43676</v>
      </c>
      <c r="B2022">
        <v>12431</v>
      </c>
      <c r="C2022" s="2" t="s">
        <v>54</v>
      </c>
      <c r="D2022" s="2" t="s">
        <v>55</v>
      </c>
      <c r="E2022" s="2" t="s">
        <v>56</v>
      </c>
      <c r="F2022">
        <v>4194</v>
      </c>
      <c r="G2022" s="2" t="s">
        <v>277</v>
      </c>
      <c r="H2022" s="2" t="s">
        <v>173</v>
      </c>
      <c r="I2022" s="2" t="s">
        <v>174</v>
      </c>
      <c r="J2022" s="2" t="s">
        <v>175</v>
      </c>
      <c r="K2022" s="2" t="s">
        <v>174</v>
      </c>
      <c r="L2022">
        <v>13731.6</v>
      </c>
      <c r="M2022">
        <v>7</v>
      </c>
      <c r="N2022">
        <v>57.35</v>
      </c>
      <c r="O2022">
        <v>6700091</v>
      </c>
      <c r="P2022" s="2" t="s">
        <v>176</v>
      </c>
      <c r="Q2022" s="2" t="s">
        <v>173</v>
      </c>
      <c r="R2022" s="2" t="s">
        <v>30</v>
      </c>
      <c r="S2022">
        <v>10</v>
      </c>
      <c r="T2022" s="1">
        <v>43676</v>
      </c>
      <c r="U2022" s="1">
        <v>43685</v>
      </c>
      <c r="V2022" s="2"/>
      <c r="W2022" s="1">
        <f>fNotasFiscais[[#This Row],[Data da Coleta]]+fNotasFiscais[[#This Row],[Prazo Contratado]]</f>
        <v>43686</v>
      </c>
      <c r="X2022" s="3">
        <f>IF(fNotasFiscais[[#This Row],[Data da Entrega]]&gt;fNotasFiscais[[#This Row],[Data Contratada]],0,1)</f>
        <v>1</v>
      </c>
      <c r="Y2022" s="3">
        <f>IF(fNotasFiscais[[#This Row],[Ocorrência]]="",1,0)</f>
        <v>1</v>
      </c>
      <c r="Z2022" s="2">
        <f>fNotasFiscais[[#This Row],[On Time]]*fNotasFiscais[[#This Row],[In Full]]</f>
        <v>1</v>
      </c>
      <c r="AA2022">
        <f>IF(fNotasFiscais[[#This Row],[Nota Fiscal]]&lt;&gt;"",1,0)</f>
        <v>1</v>
      </c>
    </row>
    <row r="2023" spans="1:27" x14ac:dyDescent="0.25">
      <c r="A2023" s="1">
        <v>43676</v>
      </c>
      <c r="B2023">
        <v>12432</v>
      </c>
      <c r="C2023" s="2" t="s">
        <v>34</v>
      </c>
      <c r="D2023" s="2" t="s">
        <v>35</v>
      </c>
      <c r="E2023" s="2" t="s">
        <v>36</v>
      </c>
      <c r="F2023">
        <v>4190</v>
      </c>
      <c r="G2023" s="2" t="s">
        <v>273</v>
      </c>
      <c r="H2023" s="2" t="s">
        <v>35</v>
      </c>
      <c r="I2023" s="2" t="s">
        <v>36</v>
      </c>
      <c r="J2023" s="2" t="s">
        <v>60</v>
      </c>
      <c r="K2023" s="2" t="s">
        <v>36</v>
      </c>
      <c r="L2023">
        <v>1854.69</v>
      </c>
      <c r="M2023">
        <v>3</v>
      </c>
      <c r="N2023">
        <v>3.4340000000000002</v>
      </c>
      <c r="O2023">
        <v>6600879</v>
      </c>
      <c r="P2023" s="2" t="s">
        <v>61</v>
      </c>
      <c r="Q2023" s="2" t="s">
        <v>35</v>
      </c>
      <c r="R2023" s="2" t="s">
        <v>30</v>
      </c>
      <c r="S2023">
        <v>6</v>
      </c>
      <c r="T2023" s="1">
        <v>43676</v>
      </c>
      <c r="U2023" s="1">
        <v>43678</v>
      </c>
      <c r="V2023" s="2"/>
      <c r="W2023" s="1">
        <f>fNotasFiscais[[#This Row],[Data da Coleta]]+fNotasFiscais[[#This Row],[Prazo Contratado]]</f>
        <v>43682</v>
      </c>
      <c r="X2023" s="3">
        <f>IF(fNotasFiscais[[#This Row],[Data da Entrega]]&gt;fNotasFiscais[[#This Row],[Data Contratada]],0,1)</f>
        <v>1</v>
      </c>
      <c r="Y2023" s="3">
        <f>IF(fNotasFiscais[[#This Row],[Ocorrência]]="",1,0)</f>
        <v>1</v>
      </c>
      <c r="Z2023" s="2">
        <f>fNotasFiscais[[#This Row],[On Time]]*fNotasFiscais[[#This Row],[In Full]]</f>
        <v>1</v>
      </c>
      <c r="AA2023">
        <f>IF(fNotasFiscais[[#This Row],[Nota Fiscal]]&lt;&gt;"",1,0)</f>
        <v>1</v>
      </c>
    </row>
    <row r="2024" spans="1:27" x14ac:dyDescent="0.25">
      <c r="A2024" s="1">
        <v>43676</v>
      </c>
      <c r="B2024">
        <v>12433</v>
      </c>
      <c r="C2024" s="2" t="s">
        <v>52</v>
      </c>
      <c r="D2024" s="2" t="s">
        <v>53</v>
      </c>
      <c r="E2024" s="2" t="s">
        <v>33</v>
      </c>
      <c r="F2024">
        <v>4068</v>
      </c>
      <c r="G2024" s="2" t="s">
        <v>63</v>
      </c>
      <c r="H2024" s="2" t="s">
        <v>64</v>
      </c>
      <c r="I2024" s="2" t="s">
        <v>65</v>
      </c>
      <c r="J2024" s="2" t="s">
        <v>49</v>
      </c>
      <c r="K2024" s="2" t="s">
        <v>65</v>
      </c>
      <c r="L2024">
        <v>288.73</v>
      </c>
      <c r="M2024">
        <v>1</v>
      </c>
      <c r="N2024">
        <v>1.1200000000000001</v>
      </c>
      <c r="O2024">
        <v>6100231</v>
      </c>
      <c r="P2024" s="2" t="s">
        <v>50</v>
      </c>
      <c r="Q2024" s="2" t="s">
        <v>51</v>
      </c>
      <c r="R2024" s="2" t="s">
        <v>30</v>
      </c>
      <c r="S2024">
        <v>11</v>
      </c>
      <c r="T2024" s="1">
        <v>43676</v>
      </c>
      <c r="U2024" s="1">
        <v>43677</v>
      </c>
      <c r="V2024" s="2"/>
      <c r="W2024" s="1">
        <f>fNotasFiscais[[#This Row],[Data da Coleta]]+fNotasFiscais[[#This Row],[Prazo Contratado]]</f>
        <v>43687</v>
      </c>
      <c r="X2024" s="3">
        <f>IF(fNotasFiscais[[#This Row],[Data da Entrega]]&gt;fNotasFiscais[[#This Row],[Data Contratada]],0,1)</f>
        <v>1</v>
      </c>
      <c r="Y2024" s="3">
        <f>IF(fNotasFiscais[[#This Row],[Ocorrência]]="",1,0)</f>
        <v>1</v>
      </c>
      <c r="Z2024" s="2">
        <f>fNotasFiscais[[#This Row],[On Time]]*fNotasFiscais[[#This Row],[In Full]]</f>
        <v>1</v>
      </c>
      <c r="AA2024">
        <f>IF(fNotasFiscais[[#This Row],[Nota Fiscal]]&lt;&gt;"",1,0)</f>
        <v>1</v>
      </c>
    </row>
    <row r="2025" spans="1:27" x14ac:dyDescent="0.25">
      <c r="A2025" s="1">
        <v>43676</v>
      </c>
      <c r="B2025">
        <v>12434</v>
      </c>
      <c r="C2025" s="2" t="s">
        <v>31</v>
      </c>
      <c r="D2025" s="2" t="s">
        <v>32</v>
      </c>
      <c r="E2025" s="2" t="s">
        <v>33</v>
      </c>
      <c r="F2025">
        <v>4023</v>
      </c>
      <c r="G2025" s="2" t="s">
        <v>88</v>
      </c>
      <c r="H2025" s="2" t="s">
        <v>78</v>
      </c>
      <c r="I2025" s="2" t="s">
        <v>39</v>
      </c>
      <c r="J2025" s="2" t="s">
        <v>28</v>
      </c>
      <c r="K2025" s="2" t="s">
        <v>39</v>
      </c>
      <c r="L2025">
        <v>13928.43</v>
      </c>
      <c r="M2025">
        <v>5</v>
      </c>
      <c r="N2025">
        <v>83.963999999999999</v>
      </c>
      <c r="O2025">
        <v>6500948</v>
      </c>
      <c r="P2025" s="2" t="s">
        <v>29</v>
      </c>
      <c r="Q2025" s="2" t="s">
        <v>23</v>
      </c>
      <c r="R2025" s="2" t="s">
        <v>30</v>
      </c>
      <c r="S2025">
        <v>3</v>
      </c>
      <c r="T2025" s="1">
        <v>43676</v>
      </c>
      <c r="U2025" s="1">
        <v>43679</v>
      </c>
      <c r="V2025" s="2"/>
      <c r="W2025" s="1">
        <f>fNotasFiscais[[#This Row],[Data da Coleta]]+fNotasFiscais[[#This Row],[Prazo Contratado]]</f>
        <v>43679</v>
      </c>
      <c r="X2025" s="3">
        <f>IF(fNotasFiscais[[#This Row],[Data da Entrega]]&gt;fNotasFiscais[[#This Row],[Data Contratada]],0,1)</f>
        <v>1</v>
      </c>
      <c r="Y2025" s="3">
        <f>IF(fNotasFiscais[[#This Row],[Ocorrência]]="",1,0)</f>
        <v>1</v>
      </c>
      <c r="Z2025" s="2">
        <f>fNotasFiscais[[#This Row],[On Time]]*fNotasFiscais[[#This Row],[In Full]]</f>
        <v>1</v>
      </c>
      <c r="AA2025">
        <f>IF(fNotasFiscais[[#This Row],[Nota Fiscal]]&lt;&gt;"",1,0)</f>
        <v>1</v>
      </c>
    </row>
    <row r="2026" spans="1:27" x14ac:dyDescent="0.25">
      <c r="A2026" s="1">
        <v>43676</v>
      </c>
      <c r="B2026">
        <v>12435</v>
      </c>
      <c r="C2026" s="2" t="s">
        <v>22</v>
      </c>
      <c r="D2026" s="2" t="s">
        <v>23</v>
      </c>
      <c r="E2026" s="2" t="s">
        <v>24</v>
      </c>
      <c r="F2026">
        <v>4013</v>
      </c>
      <c r="G2026" s="2" t="s">
        <v>37</v>
      </c>
      <c r="H2026" s="2" t="s">
        <v>38</v>
      </c>
      <c r="I2026" s="2" t="s">
        <v>39</v>
      </c>
      <c r="J2026" s="2" t="s">
        <v>28</v>
      </c>
      <c r="K2026" s="2" t="s">
        <v>39</v>
      </c>
      <c r="L2026">
        <v>11161.92</v>
      </c>
      <c r="M2026">
        <v>8</v>
      </c>
      <c r="N2026">
        <v>44.13</v>
      </c>
      <c r="O2026">
        <v>6500948</v>
      </c>
      <c r="P2026" s="2" t="s">
        <v>29</v>
      </c>
      <c r="Q2026" s="2" t="s">
        <v>23</v>
      </c>
      <c r="R2026" s="2" t="s">
        <v>30</v>
      </c>
      <c r="S2026">
        <v>5</v>
      </c>
      <c r="T2026" s="1">
        <v>43676</v>
      </c>
      <c r="U2026" s="1">
        <v>43681</v>
      </c>
      <c r="V2026" s="2"/>
      <c r="W2026" s="1">
        <f>fNotasFiscais[[#This Row],[Data da Coleta]]+fNotasFiscais[[#This Row],[Prazo Contratado]]</f>
        <v>43681</v>
      </c>
      <c r="X2026" s="3">
        <f>IF(fNotasFiscais[[#This Row],[Data da Entrega]]&gt;fNotasFiscais[[#This Row],[Data Contratada]],0,1)</f>
        <v>1</v>
      </c>
      <c r="Y2026" s="3">
        <f>IF(fNotasFiscais[[#This Row],[Ocorrência]]="",1,0)</f>
        <v>1</v>
      </c>
      <c r="Z2026" s="2">
        <f>fNotasFiscais[[#This Row],[On Time]]*fNotasFiscais[[#This Row],[In Full]]</f>
        <v>1</v>
      </c>
      <c r="AA2026">
        <f>IF(fNotasFiscais[[#This Row],[Nota Fiscal]]&lt;&gt;"",1,0)</f>
        <v>1</v>
      </c>
    </row>
    <row r="2027" spans="1:27" x14ac:dyDescent="0.25">
      <c r="A2027" s="1">
        <v>43676</v>
      </c>
      <c r="B2027">
        <v>12436</v>
      </c>
      <c r="C2027" s="2" t="s">
        <v>31</v>
      </c>
      <c r="D2027" s="2" t="s">
        <v>32</v>
      </c>
      <c r="E2027" s="2" t="s">
        <v>33</v>
      </c>
      <c r="F2027">
        <v>4041</v>
      </c>
      <c r="G2027" s="2" t="s">
        <v>83</v>
      </c>
      <c r="H2027" s="2" t="s">
        <v>51</v>
      </c>
      <c r="I2027" s="2" t="s">
        <v>73</v>
      </c>
      <c r="J2027" s="2" t="s">
        <v>49</v>
      </c>
      <c r="K2027" s="2" t="s">
        <v>73</v>
      </c>
      <c r="L2027">
        <v>3328.04</v>
      </c>
      <c r="M2027">
        <v>2</v>
      </c>
      <c r="N2027">
        <v>19.238</v>
      </c>
      <c r="O2027">
        <v>6100231</v>
      </c>
      <c r="P2027" s="2" t="s">
        <v>50</v>
      </c>
      <c r="Q2027" s="2" t="s">
        <v>51</v>
      </c>
      <c r="R2027" s="2" t="s">
        <v>30</v>
      </c>
      <c r="S2027">
        <v>12</v>
      </c>
      <c r="T2027" s="1">
        <v>43676</v>
      </c>
      <c r="U2027" s="1">
        <v>43683</v>
      </c>
      <c r="V2027" s="2"/>
      <c r="W2027" s="1">
        <f>fNotasFiscais[[#This Row],[Data da Coleta]]+fNotasFiscais[[#This Row],[Prazo Contratado]]</f>
        <v>43688</v>
      </c>
      <c r="X2027" s="3">
        <f>IF(fNotasFiscais[[#This Row],[Data da Entrega]]&gt;fNotasFiscais[[#This Row],[Data Contratada]],0,1)</f>
        <v>1</v>
      </c>
      <c r="Y2027" s="3">
        <f>IF(fNotasFiscais[[#This Row],[Ocorrência]]="",1,0)</f>
        <v>1</v>
      </c>
      <c r="Z2027" s="2">
        <f>fNotasFiscais[[#This Row],[On Time]]*fNotasFiscais[[#This Row],[In Full]]</f>
        <v>1</v>
      </c>
      <c r="AA2027">
        <f>IF(fNotasFiscais[[#This Row],[Nota Fiscal]]&lt;&gt;"",1,0)</f>
        <v>1</v>
      </c>
    </row>
    <row r="2028" spans="1:27" x14ac:dyDescent="0.25">
      <c r="A2028" s="1">
        <v>43676</v>
      </c>
      <c r="B2028">
        <v>12437</v>
      </c>
      <c r="C2028" s="2" t="s">
        <v>54</v>
      </c>
      <c r="D2028" s="2" t="s">
        <v>55</v>
      </c>
      <c r="E2028" s="2" t="s">
        <v>56</v>
      </c>
      <c r="F2028">
        <v>4044</v>
      </c>
      <c r="G2028" s="2" t="s">
        <v>123</v>
      </c>
      <c r="H2028" s="2" t="s">
        <v>35</v>
      </c>
      <c r="I2028" s="2" t="s">
        <v>36</v>
      </c>
      <c r="J2028" s="2" t="s">
        <v>60</v>
      </c>
      <c r="K2028" s="2" t="s">
        <v>36</v>
      </c>
      <c r="L2028">
        <v>215.1</v>
      </c>
      <c r="M2028">
        <v>1</v>
      </c>
      <c r="N2028">
        <v>0.42399999999999999</v>
      </c>
      <c r="O2028">
        <v>6600879</v>
      </c>
      <c r="P2028" s="2" t="s">
        <v>61</v>
      </c>
      <c r="Q2028" s="2" t="s">
        <v>35</v>
      </c>
      <c r="R2028" s="2" t="s">
        <v>30</v>
      </c>
      <c r="S2028">
        <v>1</v>
      </c>
      <c r="T2028" s="1">
        <v>43676</v>
      </c>
      <c r="U2028" s="1">
        <v>43681</v>
      </c>
      <c r="V2028" s="2"/>
      <c r="W2028" s="1">
        <f>fNotasFiscais[[#This Row],[Data da Coleta]]+fNotasFiscais[[#This Row],[Prazo Contratado]]</f>
        <v>43677</v>
      </c>
      <c r="X2028" s="3">
        <f>IF(fNotasFiscais[[#This Row],[Data da Entrega]]&gt;fNotasFiscais[[#This Row],[Data Contratada]],0,1)</f>
        <v>0</v>
      </c>
      <c r="Y2028" s="3">
        <f>IF(fNotasFiscais[[#This Row],[Ocorrência]]="",1,0)</f>
        <v>1</v>
      </c>
      <c r="Z2028" s="2">
        <f>fNotasFiscais[[#This Row],[On Time]]*fNotasFiscais[[#This Row],[In Full]]</f>
        <v>0</v>
      </c>
      <c r="AA2028">
        <f>IF(fNotasFiscais[[#This Row],[Nota Fiscal]]&lt;&gt;"",1,0)</f>
        <v>1</v>
      </c>
    </row>
    <row r="2029" spans="1:27" x14ac:dyDescent="0.25">
      <c r="A2029" s="1">
        <v>43676</v>
      </c>
      <c r="B2029">
        <v>12438</v>
      </c>
      <c r="C2029" s="2" t="s">
        <v>22</v>
      </c>
      <c r="D2029" s="2" t="s">
        <v>23</v>
      </c>
      <c r="E2029" s="2" t="s">
        <v>24</v>
      </c>
      <c r="F2029">
        <v>4045</v>
      </c>
      <c r="G2029" s="2" t="s">
        <v>124</v>
      </c>
      <c r="H2029" s="2" t="s">
        <v>35</v>
      </c>
      <c r="I2029" s="2" t="s">
        <v>36</v>
      </c>
      <c r="J2029" s="2" t="s">
        <v>60</v>
      </c>
      <c r="K2029" s="2" t="s">
        <v>36</v>
      </c>
      <c r="L2029">
        <v>797.14</v>
      </c>
      <c r="M2029">
        <v>1</v>
      </c>
      <c r="N2029">
        <v>1.1200000000000001</v>
      </c>
      <c r="O2029">
        <v>6600879</v>
      </c>
      <c r="P2029" s="2" t="s">
        <v>61</v>
      </c>
      <c r="Q2029" s="2" t="s">
        <v>35</v>
      </c>
      <c r="R2029" s="2" t="s">
        <v>30</v>
      </c>
      <c r="S2029">
        <v>11</v>
      </c>
      <c r="T2029" s="1">
        <v>43676</v>
      </c>
      <c r="U2029" s="1">
        <v>43681</v>
      </c>
      <c r="V2029" s="2"/>
      <c r="W2029" s="1">
        <f>fNotasFiscais[[#This Row],[Data da Coleta]]+fNotasFiscais[[#This Row],[Prazo Contratado]]</f>
        <v>43687</v>
      </c>
      <c r="X2029" s="3">
        <f>IF(fNotasFiscais[[#This Row],[Data da Entrega]]&gt;fNotasFiscais[[#This Row],[Data Contratada]],0,1)</f>
        <v>1</v>
      </c>
      <c r="Y2029" s="3">
        <f>IF(fNotasFiscais[[#This Row],[Ocorrência]]="",1,0)</f>
        <v>1</v>
      </c>
      <c r="Z2029" s="2">
        <f>fNotasFiscais[[#This Row],[On Time]]*fNotasFiscais[[#This Row],[In Full]]</f>
        <v>1</v>
      </c>
      <c r="AA2029">
        <f>IF(fNotasFiscais[[#This Row],[Nota Fiscal]]&lt;&gt;"",1,0)</f>
        <v>1</v>
      </c>
    </row>
    <row r="2030" spans="1:27" x14ac:dyDescent="0.25">
      <c r="A2030" s="1">
        <v>43676</v>
      </c>
      <c r="B2030">
        <v>12439</v>
      </c>
      <c r="C2030" s="2" t="s">
        <v>54</v>
      </c>
      <c r="D2030" s="2" t="s">
        <v>55</v>
      </c>
      <c r="E2030" s="2" t="s">
        <v>56</v>
      </c>
      <c r="F2030">
        <v>4044</v>
      </c>
      <c r="G2030" s="2" t="s">
        <v>123</v>
      </c>
      <c r="H2030" s="2" t="s">
        <v>35</v>
      </c>
      <c r="I2030" s="2" t="s">
        <v>36</v>
      </c>
      <c r="J2030" s="2" t="s">
        <v>60</v>
      </c>
      <c r="K2030" s="2" t="s">
        <v>36</v>
      </c>
      <c r="L2030">
        <v>891.18</v>
      </c>
      <c r="M2030">
        <v>3</v>
      </c>
      <c r="N2030">
        <v>2.536</v>
      </c>
      <c r="O2030">
        <v>6600879</v>
      </c>
      <c r="P2030" s="2" t="s">
        <v>61</v>
      </c>
      <c r="Q2030" s="2" t="s">
        <v>35</v>
      </c>
      <c r="R2030" s="2" t="s">
        <v>30</v>
      </c>
      <c r="S2030">
        <v>8</v>
      </c>
      <c r="T2030" s="1">
        <v>43676</v>
      </c>
      <c r="U2030" s="1">
        <v>43677</v>
      </c>
      <c r="V2030" s="2"/>
      <c r="W2030" s="1">
        <f>fNotasFiscais[[#This Row],[Data da Coleta]]+fNotasFiscais[[#This Row],[Prazo Contratado]]</f>
        <v>43684</v>
      </c>
      <c r="X2030" s="3">
        <f>IF(fNotasFiscais[[#This Row],[Data da Entrega]]&gt;fNotasFiscais[[#This Row],[Data Contratada]],0,1)</f>
        <v>1</v>
      </c>
      <c r="Y2030" s="3">
        <f>IF(fNotasFiscais[[#This Row],[Ocorrência]]="",1,0)</f>
        <v>1</v>
      </c>
      <c r="Z2030" s="2">
        <f>fNotasFiscais[[#This Row],[On Time]]*fNotasFiscais[[#This Row],[In Full]]</f>
        <v>1</v>
      </c>
      <c r="AA2030">
        <f>IF(fNotasFiscais[[#This Row],[Nota Fiscal]]&lt;&gt;"",1,0)</f>
        <v>1</v>
      </c>
    </row>
    <row r="2031" spans="1:27" x14ac:dyDescent="0.25">
      <c r="A2031" s="1">
        <v>43676</v>
      </c>
      <c r="B2031">
        <v>12440</v>
      </c>
      <c r="C2031" s="2" t="s">
        <v>52</v>
      </c>
      <c r="D2031" s="2" t="s">
        <v>53</v>
      </c>
      <c r="E2031" s="2" t="s">
        <v>33</v>
      </c>
      <c r="F2031">
        <v>4045</v>
      </c>
      <c r="G2031" s="2" t="s">
        <v>124</v>
      </c>
      <c r="H2031" s="2" t="s">
        <v>35</v>
      </c>
      <c r="I2031" s="2" t="s">
        <v>36</v>
      </c>
      <c r="J2031" s="2" t="s">
        <v>60</v>
      </c>
      <c r="K2031" s="2" t="s">
        <v>36</v>
      </c>
      <c r="L2031">
        <v>18849.939999999999</v>
      </c>
      <c r="M2031">
        <v>23</v>
      </c>
      <c r="N2031">
        <v>171.35400000000001</v>
      </c>
      <c r="O2031">
        <v>6600879</v>
      </c>
      <c r="P2031" s="2" t="s">
        <v>61</v>
      </c>
      <c r="Q2031" s="2" t="s">
        <v>35</v>
      </c>
      <c r="R2031" s="2" t="s">
        <v>30</v>
      </c>
      <c r="S2031">
        <v>2</v>
      </c>
      <c r="T2031" s="1">
        <v>43676</v>
      </c>
      <c r="U2031" s="1">
        <v>43681</v>
      </c>
      <c r="V2031" s="2"/>
      <c r="W2031" s="1">
        <f>fNotasFiscais[[#This Row],[Data da Coleta]]+fNotasFiscais[[#This Row],[Prazo Contratado]]</f>
        <v>43678</v>
      </c>
      <c r="X2031" s="3">
        <f>IF(fNotasFiscais[[#This Row],[Data da Entrega]]&gt;fNotasFiscais[[#This Row],[Data Contratada]],0,1)</f>
        <v>0</v>
      </c>
      <c r="Y2031" s="3">
        <f>IF(fNotasFiscais[[#This Row],[Ocorrência]]="",1,0)</f>
        <v>1</v>
      </c>
      <c r="Z2031" s="2">
        <f>fNotasFiscais[[#This Row],[On Time]]*fNotasFiscais[[#This Row],[In Full]]</f>
        <v>0</v>
      </c>
      <c r="AA2031">
        <f>IF(fNotasFiscais[[#This Row],[Nota Fiscal]]&lt;&gt;"",1,0)</f>
        <v>1</v>
      </c>
    </row>
    <row r="2032" spans="1:27" x14ac:dyDescent="0.25">
      <c r="A2032" s="1">
        <v>43676</v>
      </c>
      <c r="B2032">
        <v>12441</v>
      </c>
      <c r="C2032" s="2" t="s">
        <v>31</v>
      </c>
      <c r="D2032" s="2" t="s">
        <v>32</v>
      </c>
      <c r="E2032" s="2" t="s">
        <v>33</v>
      </c>
      <c r="F2032">
        <v>4041</v>
      </c>
      <c r="G2032" s="2" t="s">
        <v>83</v>
      </c>
      <c r="H2032" s="2" t="s">
        <v>51</v>
      </c>
      <c r="I2032" s="2" t="s">
        <v>73</v>
      </c>
      <c r="J2032" s="2" t="s">
        <v>49</v>
      </c>
      <c r="K2032" s="2" t="s">
        <v>73</v>
      </c>
      <c r="L2032">
        <v>13256.87</v>
      </c>
      <c r="M2032">
        <v>1</v>
      </c>
      <c r="N2032">
        <v>1.1200000000000001</v>
      </c>
      <c r="O2032">
        <v>6100231</v>
      </c>
      <c r="P2032" s="2" t="s">
        <v>50</v>
      </c>
      <c r="Q2032" s="2" t="s">
        <v>51</v>
      </c>
      <c r="R2032" s="2" t="s">
        <v>30</v>
      </c>
      <c r="S2032">
        <v>4</v>
      </c>
      <c r="T2032" s="1">
        <v>43676</v>
      </c>
      <c r="U2032" s="1">
        <v>43677</v>
      </c>
      <c r="V2032" s="2"/>
      <c r="W2032" s="1">
        <f>fNotasFiscais[[#This Row],[Data da Coleta]]+fNotasFiscais[[#This Row],[Prazo Contratado]]</f>
        <v>43680</v>
      </c>
      <c r="X2032" s="3">
        <f>IF(fNotasFiscais[[#This Row],[Data da Entrega]]&gt;fNotasFiscais[[#This Row],[Data Contratada]],0,1)</f>
        <v>1</v>
      </c>
      <c r="Y2032" s="3">
        <f>IF(fNotasFiscais[[#This Row],[Ocorrência]]="",1,0)</f>
        <v>1</v>
      </c>
      <c r="Z2032" s="2">
        <f>fNotasFiscais[[#This Row],[On Time]]*fNotasFiscais[[#This Row],[In Full]]</f>
        <v>1</v>
      </c>
      <c r="AA2032">
        <f>IF(fNotasFiscais[[#This Row],[Nota Fiscal]]&lt;&gt;"",1,0)</f>
        <v>1</v>
      </c>
    </row>
    <row r="2033" spans="1:27" x14ac:dyDescent="0.25">
      <c r="A2033" s="1">
        <v>43676</v>
      </c>
      <c r="B2033">
        <v>12442</v>
      </c>
      <c r="C2033" s="2" t="s">
        <v>52</v>
      </c>
      <c r="D2033" s="2" t="s">
        <v>53</v>
      </c>
      <c r="E2033" s="2" t="s">
        <v>33</v>
      </c>
      <c r="F2033">
        <v>4041</v>
      </c>
      <c r="G2033" s="2" t="s">
        <v>83</v>
      </c>
      <c r="H2033" s="2" t="s">
        <v>51</v>
      </c>
      <c r="I2033" s="2" t="s">
        <v>73</v>
      </c>
      <c r="J2033" s="2" t="s">
        <v>49</v>
      </c>
      <c r="K2033" s="2" t="s">
        <v>73</v>
      </c>
      <c r="L2033">
        <v>301.45999999999998</v>
      </c>
      <c r="M2033">
        <v>1</v>
      </c>
      <c r="N2033">
        <v>10.78</v>
      </c>
      <c r="O2033">
        <v>6100231</v>
      </c>
      <c r="P2033" s="2" t="s">
        <v>50</v>
      </c>
      <c r="Q2033" s="2" t="s">
        <v>51</v>
      </c>
      <c r="R2033" s="2" t="s">
        <v>30</v>
      </c>
      <c r="S2033">
        <v>9</v>
      </c>
      <c r="T2033" s="1">
        <v>43676</v>
      </c>
      <c r="U2033" s="1">
        <v>43678</v>
      </c>
      <c r="V2033" s="2" t="s">
        <v>57</v>
      </c>
      <c r="W2033" s="1">
        <f>fNotasFiscais[[#This Row],[Data da Coleta]]+fNotasFiscais[[#This Row],[Prazo Contratado]]</f>
        <v>43685</v>
      </c>
      <c r="X2033" s="3">
        <f>IF(fNotasFiscais[[#This Row],[Data da Entrega]]&gt;fNotasFiscais[[#This Row],[Data Contratada]],0,1)</f>
        <v>1</v>
      </c>
      <c r="Y2033" s="3">
        <f>IF(fNotasFiscais[[#This Row],[Ocorrência]]="",1,0)</f>
        <v>0</v>
      </c>
      <c r="Z2033" s="2">
        <f>fNotasFiscais[[#This Row],[On Time]]*fNotasFiscais[[#This Row],[In Full]]</f>
        <v>0</v>
      </c>
      <c r="AA2033">
        <f>IF(fNotasFiscais[[#This Row],[Nota Fiscal]]&lt;&gt;"",1,0)</f>
        <v>1</v>
      </c>
    </row>
    <row r="2034" spans="1:27" x14ac:dyDescent="0.25">
      <c r="A2034" s="1">
        <v>43676</v>
      </c>
      <c r="B2034">
        <v>12443</v>
      </c>
      <c r="C2034" s="2" t="s">
        <v>54</v>
      </c>
      <c r="D2034" s="2" t="s">
        <v>55</v>
      </c>
      <c r="E2034" s="2" t="s">
        <v>56</v>
      </c>
      <c r="F2034">
        <v>4044</v>
      </c>
      <c r="G2034" s="2" t="s">
        <v>123</v>
      </c>
      <c r="H2034" s="2" t="s">
        <v>35</v>
      </c>
      <c r="I2034" s="2" t="s">
        <v>36</v>
      </c>
      <c r="J2034" s="2" t="s">
        <v>60</v>
      </c>
      <c r="K2034" s="2" t="s">
        <v>36</v>
      </c>
      <c r="L2034">
        <v>1539.95</v>
      </c>
      <c r="M2034">
        <v>2</v>
      </c>
      <c r="N2034">
        <v>6.6319999999999997</v>
      </c>
      <c r="O2034">
        <v>6600879</v>
      </c>
      <c r="P2034" s="2" t="s">
        <v>61</v>
      </c>
      <c r="Q2034" s="2" t="s">
        <v>35</v>
      </c>
      <c r="R2034" s="2" t="s">
        <v>30</v>
      </c>
      <c r="S2034">
        <v>9</v>
      </c>
      <c r="T2034" s="1">
        <v>43676</v>
      </c>
      <c r="U2034" s="1">
        <v>43683</v>
      </c>
      <c r="V2034" s="2"/>
      <c r="W2034" s="1">
        <f>fNotasFiscais[[#This Row],[Data da Coleta]]+fNotasFiscais[[#This Row],[Prazo Contratado]]</f>
        <v>43685</v>
      </c>
      <c r="X2034" s="3">
        <f>IF(fNotasFiscais[[#This Row],[Data da Entrega]]&gt;fNotasFiscais[[#This Row],[Data Contratada]],0,1)</f>
        <v>1</v>
      </c>
      <c r="Y2034" s="3">
        <f>IF(fNotasFiscais[[#This Row],[Ocorrência]]="",1,0)</f>
        <v>1</v>
      </c>
      <c r="Z2034" s="2">
        <f>fNotasFiscais[[#This Row],[On Time]]*fNotasFiscais[[#This Row],[In Full]]</f>
        <v>1</v>
      </c>
      <c r="AA2034">
        <f>IF(fNotasFiscais[[#This Row],[Nota Fiscal]]&lt;&gt;"",1,0)</f>
        <v>1</v>
      </c>
    </row>
    <row r="2035" spans="1:27" x14ac:dyDescent="0.25">
      <c r="A2035" s="1">
        <v>43676</v>
      </c>
      <c r="B2035">
        <v>12444</v>
      </c>
      <c r="C2035" s="2" t="s">
        <v>54</v>
      </c>
      <c r="D2035" s="2" t="s">
        <v>55</v>
      </c>
      <c r="E2035" s="2" t="s">
        <v>56</v>
      </c>
      <c r="F2035">
        <v>4045</v>
      </c>
      <c r="G2035" s="2" t="s">
        <v>124</v>
      </c>
      <c r="H2035" s="2" t="s">
        <v>35</v>
      </c>
      <c r="I2035" s="2" t="s">
        <v>36</v>
      </c>
      <c r="J2035" s="2" t="s">
        <v>60</v>
      </c>
      <c r="K2035" s="2" t="s">
        <v>36</v>
      </c>
      <c r="L2035">
        <v>538.23</v>
      </c>
      <c r="M2035">
        <v>2</v>
      </c>
      <c r="N2035">
        <v>1.863</v>
      </c>
      <c r="O2035">
        <v>6600879</v>
      </c>
      <c r="P2035" s="2" t="s">
        <v>61</v>
      </c>
      <c r="Q2035" s="2" t="s">
        <v>35</v>
      </c>
      <c r="R2035" s="2" t="s">
        <v>30</v>
      </c>
      <c r="S2035">
        <v>8</v>
      </c>
      <c r="T2035" s="1">
        <v>43676</v>
      </c>
      <c r="U2035" s="1">
        <v>43679</v>
      </c>
      <c r="V2035" s="2"/>
      <c r="W2035" s="1">
        <f>fNotasFiscais[[#This Row],[Data da Coleta]]+fNotasFiscais[[#This Row],[Prazo Contratado]]</f>
        <v>43684</v>
      </c>
      <c r="X2035" s="3">
        <f>IF(fNotasFiscais[[#This Row],[Data da Entrega]]&gt;fNotasFiscais[[#This Row],[Data Contratada]],0,1)</f>
        <v>1</v>
      </c>
      <c r="Y2035" s="3">
        <f>IF(fNotasFiscais[[#This Row],[Ocorrência]]="",1,0)</f>
        <v>1</v>
      </c>
      <c r="Z2035" s="2">
        <f>fNotasFiscais[[#This Row],[On Time]]*fNotasFiscais[[#This Row],[In Full]]</f>
        <v>1</v>
      </c>
      <c r="AA2035">
        <f>IF(fNotasFiscais[[#This Row],[Nota Fiscal]]&lt;&gt;"",1,0)</f>
        <v>1</v>
      </c>
    </row>
    <row r="2036" spans="1:27" x14ac:dyDescent="0.25">
      <c r="A2036" s="1">
        <v>43676</v>
      </c>
      <c r="B2036">
        <v>12445</v>
      </c>
      <c r="C2036" s="2" t="s">
        <v>31</v>
      </c>
      <c r="D2036" s="2" t="s">
        <v>32</v>
      </c>
      <c r="E2036" s="2" t="s">
        <v>33</v>
      </c>
      <c r="F2036">
        <v>4044</v>
      </c>
      <c r="G2036" s="2" t="s">
        <v>123</v>
      </c>
      <c r="H2036" s="2" t="s">
        <v>35</v>
      </c>
      <c r="I2036" s="2" t="s">
        <v>36</v>
      </c>
      <c r="J2036" s="2" t="s">
        <v>60</v>
      </c>
      <c r="K2036" s="2" t="s">
        <v>36</v>
      </c>
      <c r="L2036">
        <v>123.2</v>
      </c>
      <c r="M2036">
        <v>1</v>
      </c>
      <c r="N2036">
        <v>0.38200000000000001</v>
      </c>
      <c r="O2036">
        <v>6600879</v>
      </c>
      <c r="P2036" s="2" t="s">
        <v>61</v>
      </c>
      <c r="Q2036" s="2" t="s">
        <v>35</v>
      </c>
      <c r="R2036" s="2" t="s">
        <v>30</v>
      </c>
      <c r="S2036">
        <v>7</v>
      </c>
      <c r="T2036" s="1">
        <v>43676</v>
      </c>
      <c r="U2036" s="1">
        <v>43677</v>
      </c>
      <c r="V2036" s="2" t="s">
        <v>42</v>
      </c>
      <c r="W2036" s="1">
        <f>fNotasFiscais[[#This Row],[Data da Coleta]]+fNotasFiscais[[#This Row],[Prazo Contratado]]</f>
        <v>43683</v>
      </c>
      <c r="X2036" s="3">
        <f>IF(fNotasFiscais[[#This Row],[Data da Entrega]]&gt;fNotasFiscais[[#This Row],[Data Contratada]],0,1)</f>
        <v>1</v>
      </c>
      <c r="Y2036" s="3">
        <f>IF(fNotasFiscais[[#This Row],[Ocorrência]]="",1,0)</f>
        <v>0</v>
      </c>
      <c r="Z2036" s="2">
        <f>fNotasFiscais[[#This Row],[On Time]]*fNotasFiscais[[#This Row],[In Full]]</f>
        <v>0</v>
      </c>
      <c r="AA2036">
        <f>IF(fNotasFiscais[[#This Row],[Nota Fiscal]]&lt;&gt;"",1,0)</f>
        <v>1</v>
      </c>
    </row>
    <row r="2037" spans="1:27" x14ac:dyDescent="0.25">
      <c r="A2037" s="1">
        <v>43676</v>
      </c>
      <c r="B2037">
        <v>12446</v>
      </c>
      <c r="C2037" s="2" t="s">
        <v>43</v>
      </c>
      <c r="D2037" s="2" t="s">
        <v>44</v>
      </c>
      <c r="E2037" s="2" t="s">
        <v>45</v>
      </c>
      <c r="F2037">
        <v>4045</v>
      </c>
      <c r="G2037" s="2" t="s">
        <v>124</v>
      </c>
      <c r="H2037" s="2" t="s">
        <v>35</v>
      </c>
      <c r="I2037" s="2" t="s">
        <v>36</v>
      </c>
      <c r="J2037" s="2" t="s">
        <v>60</v>
      </c>
      <c r="K2037" s="2" t="s">
        <v>36</v>
      </c>
      <c r="L2037">
        <v>5429.54</v>
      </c>
      <c r="M2037">
        <v>8</v>
      </c>
      <c r="N2037">
        <v>25.146999999999998</v>
      </c>
      <c r="O2037">
        <v>6600879</v>
      </c>
      <c r="P2037" s="2" t="s">
        <v>61</v>
      </c>
      <c r="Q2037" s="2" t="s">
        <v>35</v>
      </c>
      <c r="R2037" s="2" t="s">
        <v>30</v>
      </c>
      <c r="S2037">
        <v>3</v>
      </c>
      <c r="T2037" s="1">
        <v>43676</v>
      </c>
      <c r="U2037" s="1">
        <v>43682</v>
      </c>
      <c r="V2037" s="2"/>
      <c r="W2037" s="1">
        <f>fNotasFiscais[[#This Row],[Data da Coleta]]+fNotasFiscais[[#This Row],[Prazo Contratado]]</f>
        <v>43679</v>
      </c>
      <c r="X2037" s="3">
        <f>IF(fNotasFiscais[[#This Row],[Data da Entrega]]&gt;fNotasFiscais[[#This Row],[Data Contratada]],0,1)</f>
        <v>0</v>
      </c>
      <c r="Y2037" s="3">
        <f>IF(fNotasFiscais[[#This Row],[Ocorrência]]="",1,0)</f>
        <v>1</v>
      </c>
      <c r="Z2037" s="2">
        <f>fNotasFiscais[[#This Row],[On Time]]*fNotasFiscais[[#This Row],[In Full]]</f>
        <v>0</v>
      </c>
      <c r="AA2037">
        <f>IF(fNotasFiscais[[#This Row],[Nota Fiscal]]&lt;&gt;"",1,0)</f>
        <v>1</v>
      </c>
    </row>
    <row r="2038" spans="1:27" x14ac:dyDescent="0.25">
      <c r="A2038" s="1">
        <v>43676</v>
      </c>
      <c r="B2038">
        <v>12447</v>
      </c>
      <c r="C2038" s="2" t="s">
        <v>43</v>
      </c>
      <c r="D2038" s="2" t="s">
        <v>44</v>
      </c>
      <c r="E2038" s="2" t="s">
        <v>45</v>
      </c>
      <c r="F2038">
        <v>4041</v>
      </c>
      <c r="G2038" s="2" t="s">
        <v>83</v>
      </c>
      <c r="H2038" s="2" t="s">
        <v>51</v>
      </c>
      <c r="I2038" s="2" t="s">
        <v>73</v>
      </c>
      <c r="J2038" s="2" t="s">
        <v>49</v>
      </c>
      <c r="K2038" s="2" t="s">
        <v>73</v>
      </c>
      <c r="L2038">
        <v>888.6</v>
      </c>
      <c r="M2038">
        <v>2</v>
      </c>
      <c r="N2038">
        <v>5.5289999999999999</v>
      </c>
      <c r="O2038">
        <v>6100231</v>
      </c>
      <c r="P2038" s="2" t="s">
        <v>50</v>
      </c>
      <c r="Q2038" s="2" t="s">
        <v>51</v>
      </c>
      <c r="R2038" s="2" t="s">
        <v>30</v>
      </c>
      <c r="S2038">
        <v>12</v>
      </c>
      <c r="T2038" s="1">
        <v>43676</v>
      </c>
      <c r="U2038" s="1">
        <v>43679</v>
      </c>
      <c r="V2038" s="2"/>
      <c r="W2038" s="1">
        <f>fNotasFiscais[[#This Row],[Data da Coleta]]+fNotasFiscais[[#This Row],[Prazo Contratado]]</f>
        <v>43688</v>
      </c>
      <c r="X2038" s="3">
        <f>IF(fNotasFiscais[[#This Row],[Data da Entrega]]&gt;fNotasFiscais[[#This Row],[Data Contratada]],0,1)</f>
        <v>1</v>
      </c>
      <c r="Y2038" s="3">
        <f>IF(fNotasFiscais[[#This Row],[Ocorrência]]="",1,0)</f>
        <v>1</v>
      </c>
      <c r="Z2038" s="2">
        <f>fNotasFiscais[[#This Row],[On Time]]*fNotasFiscais[[#This Row],[In Full]]</f>
        <v>1</v>
      </c>
      <c r="AA2038">
        <f>IF(fNotasFiscais[[#This Row],[Nota Fiscal]]&lt;&gt;"",1,0)</f>
        <v>1</v>
      </c>
    </row>
    <row r="2039" spans="1:27" x14ac:dyDescent="0.25">
      <c r="A2039" s="1">
        <v>43676</v>
      </c>
      <c r="B2039">
        <v>12448</v>
      </c>
      <c r="C2039" s="2" t="s">
        <v>34</v>
      </c>
      <c r="D2039" s="2" t="s">
        <v>35</v>
      </c>
      <c r="E2039" s="2" t="s">
        <v>36</v>
      </c>
      <c r="F2039">
        <v>4045</v>
      </c>
      <c r="G2039" s="2" t="s">
        <v>124</v>
      </c>
      <c r="H2039" s="2" t="s">
        <v>35</v>
      </c>
      <c r="I2039" s="2" t="s">
        <v>36</v>
      </c>
      <c r="J2039" s="2" t="s">
        <v>60</v>
      </c>
      <c r="K2039" s="2" t="s">
        <v>36</v>
      </c>
      <c r="L2039">
        <v>538.88</v>
      </c>
      <c r="M2039">
        <v>2</v>
      </c>
      <c r="N2039">
        <v>1.095</v>
      </c>
      <c r="O2039">
        <v>6600879</v>
      </c>
      <c r="P2039" s="2" t="s">
        <v>61</v>
      </c>
      <c r="Q2039" s="2" t="s">
        <v>35</v>
      </c>
      <c r="R2039" s="2" t="s">
        <v>30</v>
      </c>
      <c r="S2039">
        <v>5</v>
      </c>
      <c r="T2039" s="1">
        <v>43676</v>
      </c>
      <c r="U2039" s="1">
        <v>43680</v>
      </c>
      <c r="V2039" s="2" t="s">
        <v>42</v>
      </c>
      <c r="W2039" s="1">
        <f>fNotasFiscais[[#This Row],[Data da Coleta]]+fNotasFiscais[[#This Row],[Prazo Contratado]]</f>
        <v>43681</v>
      </c>
      <c r="X2039" s="3">
        <f>IF(fNotasFiscais[[#This Row],[Data da Entrega]]&gt;fNotasFiscais[[#This Row],[Data Contratada]],0,1)</f>
        <v>1</v>
      </c>
      <c r="Y2039" s="3">
        <f>IF(fNotasFiscais[[#This Row],[Ocorrência]]="",1,0)</f>
        <v>0</v>
      </c>
      <c r="Z2039" s="2">
        <f>fNotasFiscais[[#This Row],[On Time]]*fNotasFiscais[[#This Row],[In Full]]</f>
        <v>0</v>
      </c>
      <c r="AA2039">
        <f>IF(fNotasFiscais[[#This Row],[Nota Fiscal]]&lt;&gt;"",1,0)</f>
        <v>1</v>
      </c>
    </row>
    <row r="2040" spans="1:27" x14ac:dyDescent="0.25">
      <c r="A2040" s="1">
        <v>43676</v>
      </c>
      <c r="B2040">
        <v>12449</v>
      </c>
      <c r="C2040" s="2" t="s">
        <v>22</v>
      </c>
      <c r="D2040" s="2" t="s">
        <v>23</v>
      </c>
      <c r="E2040" s="2" t="s">
        <v>24</v>
      </c>
      <c r="F2040">
        <v>4041</v>
      </c>
      <c r="G2040" s="2" t="s">
        <v>83</v>
      </c>
      <c r="H2040" s="2" t="s">
        <v>51</v>
      </c>
      <c r="I2040" s="2" t="s">
        <v>73</v>
      </c>
      <c r="J2040" s="2" t="s">
        <v>49</v>
      </c>
      <c r="K2040" s="2" t="s">
        <v>73</v>
      </c>
      <c r="L2040">
        <v>16029.32</v>
      </c>
      <c r="M2040">
        <v>4</v>
      </c>
      <c r="N2040">
        <v>39.042000000000002</v>
      </c>
      <c r="O2040">
        <v>6100231</v>
      </c>
      <c r="P2040" s="2" t="s">
        <v>50</v>
      </c>
      <c r="Q2040" s="2" t="s">
        <v>51</v>
      </c>
      <c r="R2040" s="2" t="s">
        <v>30</v>
      </c>
      <c r="S2040">
        <v>5</v>
      </c>
      <c r="T2040" s="1">
        <v>43676</v>
      </c>
      <c r="U2040" s="1">
        <v>43686</v>
      </c>
      <c r="V2040" s="2"/>
      <c r="W2040" s="1">
        <f>fNotasFiscais[[#This Row],[Data da Coleta]]+fNotasFiscais[[#This Row],[Prazo Contratado]]</f>
        <v>43681</v>
      </c>
      <c r="X2040" s="3">
        <f>IF(fNotasFiscais[[#This Row],[Data da Entrega]]&gt;fNotasFiscais[[#This Row],[Data Contratada]],0,1)</f>
        <v>0</v>
      </c>
      <c r="Y2040" s="3">
        <f>IF(fNotasFiscais[[#This Row],[Ocorrência]]="",1,0)</f>
        <v>1</v>
      </c>
      <c r="Z2040" s="2">
        <f>fNotasFiscais[[#This Row],[On Time]]*fNotasFiscais[[#This Row],[In Full]]</f>
        <v>0</v>
      </c>
      <c r="AA2040">
        <f>IF(fNotasFiscais[[#This Row],[Nota Fiscal]]&lt;&gt;"",1,0)</f>
        <v>1</v>
      </c>
    </row>
    <row r="2041" spans="1:27" x14ac:dyDescent="0.25">
      <c r="A2041" s="1">
        <v>43677</v>
      </c>
      <c r="B2041">
        <v>12450</v>
      </c>
      <c r="C2041" s="2" t="s">
        <v>22</v>
      </c>
      <c r="D2041" s="2" t="s">
        <v>23</v>
      </c>
      <c r="E2041" s="2" t="s">
        <v>24</v>
      </c>
      <c r="F2041">
        <v>4033</v>
      </c>
      <c r="G2041" s="2" t="s">
        <v>109</v>
      </c>
      <c r="H2041" s="2" t="s">
        <v>51</v>
      </c>
      <c r="I2041" s="2" t="s">
        <v>73</v>
      </c>
      <c r="J2041" s="2" t="s">
        <v>49</v>
      </c>
      <c r="K2041" s="2" t="s">
        <v>73</v>
      </c>
      <c r="L2041">
        <v>667.07</v>
      </c>
      <c r="M2041">
        <v>1</v>
      </c>
      <c r="N2041">
        <v>1.1200000000000001</v>
      </c>
      <c r="O2041">
        <v>6100231</v>
      </c>
      <c r="P2041" s="2" t="s">
        <v>50</v>
      </c>
      <c r="Q2041" s="2" t="s">
        <v>51</v>
      </c>
      <c r="R2041" s="2" t="s">
        <v>30</v>
      </c>
      <c r="S2041">
        <v>5</v>
      </c>
      <c r="T2041" s="1">
        <v>43677</v>
      </c>
      <c r="U2041" s="1">
        <v>43685</v>
      </c>
      <c r="V2041" s="2" t="s">
        <v>57</v>
      </c>
      <c r="W2041" s="1">
        <f>fNotasFiscais[[#This Row],[Data da Coleta]]+fNotasFiscais[[#This Row],[Prazo Contratado]]</f>
        <v>43682</v>
      </c>
      <c r="X2041" s="3">
        <f>IF(fNotasFiscais[[#This Row],[Data da Entrega]]&gt;fNotasFiscais[[#This Row],[Data Contratada]],0,1)</f>
        <v>0</v>
      </c>
      <c r="Y2041" s="3">
        <f>IF(fNotasFiscais[[#This Row],[Ocorrência]]="",1,0)</f>
        <v>0</v>
      </c>
      <c r="Z2041" s="2">
        <f>fNotasFiscais[[#This Row],[On Time]]*fNotasFiscais[[#This Row],[In Full]]</f>
        <v>0</v>
      </c>
      <c r="AA2041">
        <f>IF(fNotasFiscais[[#This Row],[Nota Fiscal]]&lt;&gt;"",1,0)</f>
        <v>1</v>
      </c>
    </row>
    <row r="2042" spans="1:27" x14ac:dyDescent="0.25">
      <c r="A2042" s="1">
        <v>43677</v>
      </c>
      <c r="B2042">
        <v>12451</v>
      </c>
      <c r="C2042" s="2" t="s">
        <v>43</v>
      </c>
      <c r="D2042" s="2" t="s">
        <v>44</v>
      </c>
      <c r="E2042" s="2" t="s">
        <v>45</v>
      </c>
      <c r="F2042">
        <v>4164</v>
      </c>
      <c r="G2042" s="2" t="s">
        <v>247</v>
      </c>
      <c r="H2042" s="2" t="s">
        <v>165</v>
      </c>
      <c r="I2042" s="2" t="s">
        <v>24</v>
      </c>
      <c r="J2042" s="2" t="s">
        <v>28</v>
      </c>
      <c r="K2042" s="2" t="s">
        <v>24</v>
      </c>
      <c r="L2042">
        <v>11919.3</v>
      </c>
      <c r="M2042">
        <v>12</v>
      </c>
      <c r="N2042">
        <v>54.061</v>
      </c>
      <c r="O2042">
        <v>6500948</v>
      </c>
      <c r="P2042" s="2" t="s">
        <v>29</v>
      </c>
      <c r="Q2042" s="2" t="s">
        <v>23</v>
      </c>
      <c r="R2042" s="2" t="s">
        <v>30</v>
      </c>
      <c r="S2042">
        <v>5</v>
      </c>
      <c r="T2042" s="1">
        <v>43677</v>
      </c>
      <c r="U2042" s="1">
        <v>43684</v>
      </c>
      <c r="V2042" s="2" t="s">
        <v>42</v>
      </c>
      <c r="W2042" s="1">
        <f>fNotasFiscais[[#This Row],[Data da Coleta]]+fNotasFiscais[[#This Row],[Prazo Contratado]]</f>
        <v>43682</v>
      </c>
      <c r="X2042" s="3">
        <f>IF(fNotasFiscais[[#This Row],[Data da Entrega]]&gt;fNotasFiscais[[#This Row],[Data Contratada]],0,1)</f>
        <v>0</v>
      </c>
      <c r="Y2042" s="3">
        <f>IF(fNotasFiscais[[#This Row],[Ocorrência]]="",1,0)</f>
        <v>0</v>
      </c>
      <c r="Z2042" s="2">
        <f>fNotasFiscais[[#This Row],[On Time]]*fNotasFiscais[[#This Row],[In Full]]</f>
        <v>0</v>
      </c>
      <c r="AA2042">
        <f>IF(fNotasFiscais[[#This Row],[Nota Fiscal]]&lt;&gt;"",1,0)</f>
        <v>1</v>
      </c>
    </row>
    <row r="2043" spans="1:27" x14ac:dyDescent="0.25">
      <c r="A2043" s="1">
        <v>43676</v>
      </c>
      <c r="B2043">
        <v>12452</v>
      </c>
      <c r="C2043" s="2" t="s">
        <v>54</v>
      </c>
      <c r="D2043" s="2" t="s">
        <v>55</v>
      </c>
      <c r="E2043" s="2" t="s">
        <v>56</v>
      </c>
      <c r="F2043">
        <v>4156</v>
      </c>
      <c r="G2043" s="2" t="s">
        <v>239</v>
      </c>
      <c r="H2043" s="2" t="s">
        <v>165</v>
      </c>
      <c r="I2043" s="2" t="s">
        <v>24</v>
      </c>
      <c r="J2043" s="2" t="s">
        <v>28</v>
      </c>
      <c r="K2043" s="2" t="s">
        <v>24</v>
      </c>
      <c r="L2043">
        <v>5860.02</v>
      </c>
      <c r="M2043">
        <v>3</v>
      </c>
      <c r="N2043">
        <v>18.117000000000001</v>
      </c>
      <c r="O2043">
        <v>6500948</v>
      </c>
      <c r="P2043" s="2" t="s">
        <v>29</v>
      </c>
      <c r="Q2043" s="2" t="s">
        <v>23</v>
      </c>
      <c r="R2043" s="2" t="s">
        <v>30</v>
      </c>
      <c r="S2043">
        <v>6</v>
      </c>
      <c r="T2043" s="1">
        <v>43677</v>
      </c>
      <c r="U2043" s="1">
        <v>43681</v>
      </c>
      <c r="V2043" s="2"/>
      <c r="W2043" s="1">
        <f>fNotasFiscais[[#This Row],[Data da Coleta]]+fNotasFiscais[[#This Row],[Prazo Contratado]]</f>
        <v>43683</v>
      </c>
      <c r="X2043" s="3">
        <f>IF(fNotasFiscais[[#This Row],[Data da Entrega]]&gt;fNotasFiscais[[#This Row],[Data Contratada]],0,1)</f>
        <v>1</v>
      </c>
      <c r="Y2043" s="3">
        <f>IF(fNotasFiscais[[#This Row],[Ocorrência]]="",1,0)</f>
        <v>1</v>
      </c>
      <c r="Z2043" s="2">
        <f>fNotasFiscais[[#This Row],[On Time]]*fNotasFiscais[[#This Row],[In Full]]</f>
        <v>1</v>
      </c>
      <c r="AA2043">
        <f>IF(fNotasFiscais[[#This Row],[Nota Fiscal]]&lt;&gt;"",1,0)</f>
        <v>1</v>
      </c>
    </row>
    <row r="2044" spans="1:27" x14ac:dyDescent="0.25">
      <c r="A2044" s="1">
        <v>43676</v>
      </c>
      <c r="B2044">
        <v>12453</v>
      </c>
      <c r="C2044" s="2" t="s">
        <v>22</v>
      </c>
      <c r="D2044" s="2" t="s">
        <v>23</v>
      </c>
      <c r="E2044" s="2" t="s">
        <v>24</v>
      </c>
      <c r="F2044">
        <v>4171</v>
      </c>
      <c r="G2044" s="2" t="s">
        <v>254</v>
      </c>
      <c r="H2044" s="2" t="s">
        <v>173</v>
      </c>
      <c r="I2044" s="2" t="s">
        <v>174</v>
      </c>
      <c r="J2044" s="2" t="s">
        <v>175</v>
      </c>
      <c r="K2044" s="2" t="s">
        <v>174</v>
      </c>
      <c r="L2044">
        <v>1924.94</v>
      </c>
      <c r="M2044">
        <v>1</v>
      </c>
      <c r="N2044">
        <v>1.1200000000000001</v>
      </c>
      <c r="O2044">
        <v>6700091</v>
      </c>
      <c r="P2044" s="2" t="s">
        <v>176</v>
      </c>
      <c r="Q2044" s="2" t="s">
        <v>173</v>
      </c>
      <c r="R2044" s="2" t="s">
        <v>30</v>
      </c>
      <c r="S2044">
        <v>8</v>
      </c>
      <c r="T2044" s="1">
        <v>43677</v>
      </c>
      <c r="U2044" s="1">
        <v>43684</v>
      </c>
      <c r="V2044" s="2"/>
      <c r="W2044" s="1">
        <f>fNotasFiscais[[#This Row],[Data da Coleta]]+fNotasFiscais[[#This Row],[Prazo Contratado]]</f>
        <v>43685</v>
      </c>
      <c r="X2044" s="3">
        <f>IF(fNotasFiscais[[#This Row],[Data da Entrega]]&gt;fNotasFiscais[[#This Row],[Data Contratada]],0,1)</f>
        <v>1</v>
      </c>
      <c r="Y2044" s="3">
        <f>IF(fNotasFiscais[[#This Row],[Ocorrência]]="",1,0)</f>
        <v>1</v>
      </c>
      <c r="Z2044" s="2">
        <f>fNotasFiscais[[#This Row],[On Time]]*fNotasFiscais[[#This Row],[In Full]]</f>
        <v>1</v>
      </c>
      <c r="AA2044">
        <f>IF(fNotasFiscais[[#This Row],[Nota Fiscal]]&lt;&gt;"",1,0)</f>
        <v>1</v>
      </c>
    </row>
    <row r="2045" spans="1:27" x14ac:dyDescent="0.25">
      <c r="A2045" s="1">
        <v>43676</v>
      </c>
      <c r="B2045">
        <v>12454</v>
      </c>
      <c r="C2045" s="2" t="s">
        <v>40</v>
      </c>
      <c r="D2045" s="2" t="s">
        <v>41</v>
      </c>
      <c r="E2045" s="2" t="s">
        <v>33</v>
      </c>
      <c r="F2045">
        <v>4136</v>
      </c>
      <c r="G2045" s="2" t="s">
        <v>219</v>
      </c>
      <c r="H2045" s="2" t="s">
        <v>35</v>
      </c>
      <c r="I2045" s="2" t="s">
        <v>36</v>
      </c>
      <c r="J2045" s="2" t="s">
        <v>60</v>
      </c>
      <c r="K2045" s="2" t="s">
        <v>36</v>
      </c>
      <c r="L2045">
        <v>175.77</v>
      </c>
      <c r="M2045">
        <v>1</v>
      </c>
      <c r="N2045">
        <v>1.1200000000000001</v>
      </c>
      <c r="O2045">
        <v>6600879</v>
      </c>
      <c r="P2045" s="2" t="s">
        <v>61</v>
      </c>
      <c r="Q2045" s="2" t="s">
        <v>35</v>
      </c>
      <c r="R2045" s="2" t="s">
        <v>30</v>
      </c>
      <c r="S2045">
        <v>11</v>
      </c>
      <c r="T2045" s="1">
        <v>43677</v>
      </c>
      <c r="U2045" s="1">
        <v>43682</v>
      </c>
      <c r="V2045" s="2" t="s">
        <v>42</v>
      </c>
      <c r="W2045" s="1">
        <f>fNotasFiscais[[#This Row],[Data da Coleta]]+fNotasFiscais[[#This Row],[Prazo Contratado]]</f>
        <v>43688</v>
      </c>
      <c r="X2045" s="3">
        <f>IF(fNotasFiscais[[#This Row],[Data da Entrega]]&gt;fNotasFiscais[[#This Row],[Data Contratada]],0,1)</f>
        <v>1</v>
      </c>
      <c r="Y2045" s="3">
        <f>IF(fNotasFiscais[[#This Row],[Ocorrência]]="",1,0)</f>
        <v>0</v>
      </c>
      <c r="Z2045" s="2">
        <f>fNotasFiscais[[#This Row],[On Time]]*fNotasFiscais[[#This Row],[In Full]]</f>
        <v>0</v>
      </c>
      <c r="AA2045">
        <f>IF(fNotasFiscais[[#This Row],[Nota Fiscal]]&lt;&gt;"",1,0)</f>
        <v>1</v>
      </c>
    </row>
    <row r="2046" spans="1:27" x14ac:dyDescent="0.25">
      <c r="A2046" s="1">
        <v>43676</v>
      </c>
      <c r="B2046">
        <v>12455</v>
      </c>
      <c r="C2046" s="2" t="s">
        <v>43</v>
      </c>
      <c r="D2046" s="2" t="s">
        <v>44</v>
      </c>
      <c r="E2046" s="2" t="s">
        <v>45</v>
      </c>
      <c r="F2046">
        <v>4161</v>
      </c>
      <c r="G2046" s="2" t="s">
        <v>244</v>
      </c>
      <c r="H2046" s="2" t="s">
        <v>167</v>
      </c>
      <c r="I2046" s="2" t="s">
        <v>168</v>
      </c>
      <c r="J2046" s="2" t="s">
        <v>169</v>
      </c>
      <c r="K2046" s="2" t="s">
        <v>168</v>
      </c>
      <c r="L2046">
        <v>2732.64</v>
      </c>
      <c r="M2046">
        <v>7</v>
      </c>
      <c r="N2046">
        <v>17.687000000000001</v>
      </c>
      <c r="O2046">
        <v>6900304</v>
      </c>
      <c r="P2046" s="2" t="s">
        <v>170</v>
      </c>
      <c r="Q2046" s="2" t="s">
        <v>171</v>
      </c>
      <c r="R2046" s="2" t="s">
        <v>30</v>
      </c>
      <c r="S2046">
        <v>9</v>
      </c>
      <c r="T2046" s="1">
        <v>43677</v>
      </c>
      <c r="U2046" s="1">
        <v>43680</v>
      </c>
      <c r="V2046" s="2"/>
      <c r="W2046" s="1">
        <f>fNotasFiscais[[#This Row],[Data da Coleta]]+fNotasFiscais[[#This Row],[Prazo Contratado]]</f>
        <v>43686</v>
      </c>
      <c r="X2046" s="3">
        <f>IF(fNotasFiscais[[#This Row],[Data da Entrega]]&gt;fNotasFiscais[[#This Row],[Data Contratada]],0,1)</f>
        <v>1</v>
      </c>
      <c r="Y2046" s="3">
        <f>IF(fNotasFiscais[[#This Row],[Ocorrência]]="",1,0)</f>
        <v>1</v>
      </c>
      <c r="Z2046" s="2">
        <f>fNotasFiscais[[#This Row],[On Time]]*fNotasFiscais[[#This Row],[In Full]]</f>
        <v>1</v>
      </c>
      <c r="AA2046">
        <f>IF(fNotasFiscais[[#This Row],[Nota Fiscal]]&lt;&gt;"",1,0)</f>
        <v>1</v>
      </c>
    </row>
    <row r="2047" spans="1:27" x14ac:dyDescent="0.25">
      <c r="A2047" s="1">
        <v>43676</v>
      </c>
      <c r="B2047">
        <v>12456</v>
      </c>
      <c r="C2047" s="2" t="s">
        <v>40</v>
      </c>
      <c r="D2047" s="2" t="s">
        <v>41</v>
      </c>
      <c r="E2047" s="2" t="s">
        <v>33</v>
      </c>
      <c r="F2047">
        <v>4034</v>
      </c>
      <c r="G2047" s="2" t="s">
        <v>110</v>
      </c>
      <c r="H2047" s="2" t="s">
        <v>51</v>
      </c>
      <c r="I2047" s="2" t="s">
        <v>73</v>
      </c>
      <c r="J2047" s="2" t="s">
        <v>49</v>
      </c>
      <c r="K2047" s="2" t="s">
        <v>73</v>
      </c>
      <c r="L2047">
        <v>63.44</v>
      </c>
      <c r="M2047">
        <v>1</v>
      </c>
      <c r="N2047">
        <v>1.1200000000000001</v>
      </c>
      <c r="O2047">
        <v>6100231</v>
      </c>
      <c r="P2047" s="2" t="s">
        <v>50</v>
      </c>
      <c r="Q2047" s="2" t="s">
        <v>51</v>
      </c>
      <c r="R2047" s="2" t="s">
        <v>30</v>
      </c>
      <c r="S2047">
        <v>5</v>
      </c>
      <c r="T2047" s="1">
        <v>43677</v>
      </c>
      <c r="U2047" s="1">
        <v>43685</v>
      </c>
      <c r="V2047" s="2"/>
      <c r="W2047" s="1">
        <f>fNotasFiscais[[#This Row],[Data da Coleta]]+fNotasFiscais[[#This Row],[Prazo Contratado]]</f>
        <v>43682</v>
      </c>
      <c r="X2047" s="3">
        <f>IF(fNotasFiscais[[#This Row],[Data da Entrega]]&gt;fNotasFiscais[[#This Row],[Data Contratada]],0,1)</f>
        <v>0</v>
      </c>
      <c r="Y2047" s="3">
        <f>IF(fNotasFiscais[[#This Row],[Ocorrência]]="",1,0)</f>
        <v>1</v>
      </c>
      <c r="Z2047" s="2">
        <f>fNotasFiscais[[#This Row],[On Time]]*fNotasFiscais[[#This Row],[In Full]]</f>
        <v>0</v>
      </c>
      <c r="AA2047">
        <f>IF(fNotasFiscais[[#This Row],[Nota Fiscal]]&lt;&gt;"",1,0)</f>
        <v>1</v>
      </c>
    </row>
    <row r="2048" spans="1:27" x14ac:dyDescent="0.25">
      <c r="A2048" s="1">
        <v>43676</v>
      </c>
      <c r="B2048">
        <v>12457</v>
      </c>
      <c r="C2048" s="2" t="s">
        <v>40</v>
      </c>
      <c r="D2048" s="2" t="s">
        <v>41</v>
      </c>
      <c r="E2048" s="2" t="s">
        <v>33</v>
      </c>
      <c r="F2048">
        <v>4126</v>
      </c>
      <c r="G2048" s="2" t="s">
        <v>209</v>
      </c>
      <c r="H2048" s="2" t="s">
        <v>35</v>
      </c>
      <c r="I2048" s="2" t="s">
        <v>36</v>
      </c>
      <c r="J2048" s="2" t="s">
        <v>60</v>
      </c>
      <c r="K2048" s="2" t="s">
        <v>36</v>
      </c>
      <c r="L2048">
        <v>300.23</v>
      </c>
      <c r="M2048">
        <v>2</v>
      </c>
      <c r="N2048">
        <v>1.111</v>
      </c>
      <c r="O2048">
        <v>6600879</v>
      </c>
      <c r="P2048" s="2" t="s">
        <v>61</v>
      </c>
      <c r="Q2048" s="2" t="s">
        <v>35</v>
      </c>
      <c r="R2048" s="2" t="s">
        <v>30</v>
      </c>
      <c r="S2048">
        <v>6</v>
      </c>
      <c r="T2048" s="1">
        <v>43677</v>
      </c>
      <c r="U2048" s="1">
        <v>43678</v>
      </c>
      <c r="V2048" s="2"/>
      <c r="W2048" s="1">
        <f>fNotasFiscais[[#This Row],[Data da Coleta]]+fNotasFiscais[[#This Row],[Prazo Contratado]]</f>
        <v>43683</v>
      </c>
      <c r="X2048" s="3">
        <f>IF(fNotasFiscais[[#This Row],[Data da Entrega]]&gt;fNotasFiscais[[#This Row],[Data Contratada]],0,1)</f>
        <v>1</v>
      </c>
      <c r="Y2048" s="3">
        <f>IF(fNotasFiscais[[#This Row],[Ocorrência]]="",1,0)</f>
        <v>1</v>
      </c>
      <c r="Z2048" s="2">
        <f>fNotasFiscais[[#This Row],[On Time]]*fNotasFiscais[[#This Row],[In Full]]</f>
        <v>1</v>
      </c>
      <c r="AA2048">
        <f>IF(fNotasFiscais[[#This Row],[Nota Fiscal]]&lt;&gt;"",1,0)</f>
        <v>1</v>
      </c>
    </row>
    <row r="2049" spans="1:27" x14ac:dyDescent="0.25">
      <c r="A2049" s="1">
        <v>43676</v>
      </c>
      <c r="B2049">
        <v>12458</v>
      </c>
      <c r="C2049" s="2" t="s">
        <v>40</v>
      </c>
      <c r="D2049" s="2" t="s">
        <v>41</v>
      </c>
      <c r="E2049" s="2" t="s">
        <v>33</v>
      </c>
      <c r="F2049">
        <v>4018</v>
      </c>
      <c r="G2049" s="2" t="s">
        <v>77</v>
      </c>
      <c r="H2049" s="2" t="s">
        <v>78</v>
      </c>
      <c r="I2049" s="2" t="s">
        <v>39</v>
      </c>
      <c r="J2049" s="2" t="s">
        <v>28</v>
      </c>
      <c r="K2049" s="2" t="s">
        <v>39</v>
      </c>
      <c r="L2049">
        <v>4284.82</v>
      </c>
      <c r="M2049">
        <v>3</v>
      </c>
      <c r="N2049">
        <v>11.634</v>
      </c>
      <c r="O2049">
        <v>6500948</v>
      </c>
      <c r="P2049" s="2" t="s">
        <v>29</v>
      </c>
      <c r="Q2049" s="2" t="s">
        <v>23</v>
      </c>
      <c r="R2049" s="2" t="s">
        <v>30</v>
      </c>
      <c r="S2049">
        <v>7</v>
      </c>
      <c r="T2049" s="1">
        <v>43677</v>
      </c>
      <c r="U2049" s="1">
        <v>43680</v>
      </c>
      <c r="V2049" s="2"/>
      <c r="W2049" s="1">
        <f>fNotasFiscais[[#This Row],[Data da Coleta]]+fNotasFiscais[[#This Row],[Prazo Contratado]]</f>
        <v>43684</v>
      </c>
      <c r="X2049" s="3">
        <f>IF(fNotasFiscais[[#This Row],[Data da Entrega]]&gt;fNotasFiscais[[#This Row],[Data Contratada]],0,1)</f>
        <v>1</v>
      </c>
      <c r="Y2049" s="3">
        <f>IF(fNotasFiscais[[#This Row],[Ocorrência]]="",1,0)</f>
        <v>1</v>
      </c>
      <c r="Z2049" s="2">
        <f>fNotasFiscais[[#This Row],[On Time]]*fNotasFiscais[[#This Row],[In Full]]</f>
        <v>1</v>
      </c>
      <c r="AA2049">
        <f>IF(fNotasFiscais[[#This Row],[Nota Fiscal]]&lt;&gt;"",1,0)</f>
        <v>1</v>
      </c>
    </row>
    <row r="2050" spans="1:27" x14ac:dyDescent="0.25">
      <c r="A2050" s="1">
        <v>43676</v>
      </c>
      <c r="B2050">
        <v>12459</v>
      </c>
      <c r="C2050" s="2" t="s">
        <v>34</v>
      </c>
      <c r="D2050" s="2" t="s">
        <v>35</v>
      </c>
      <c r="E2050" s="2" t="s">
        <v>36</v>
      </c>
      <c r="F2050">
        <v>4018</v>
      </c>
      <c r="G2050" s="2" t="s">
        <v>77</v>
      </c>
      <c r="H2050" s="2" t="s">
        <v>78</v>
      </c>
      <c r="I2050" s="2" t="s">
        <v>39</v>
      </c>
      <c r="J2050" s="2" t="s">
        <v>28</v>
      </c>
      <c r="K2050" s="2" t="s">
        <v>39</v>
      </c>
      <c r="L2050">
        <v>2861.02</v>
      </c>
      <c r="M2050">
        <v>3</v>
      </c>
      <c r="N2050">
        <v>7.8769999999999998</v>
      </c>
      <c r="O2050">
        <v>6500948</v>
      </c>
      <c r="P2050" s="2" t="s">
        <v>29</v>
      </c>
      <c r="Q2050" s="2" t="s">
        <v>23</v>
      </c>
      <c r="R2050" s="2" t="s">
        <v>30</v>
      </c>
      <c r="S2050">
        <v>2</v>
      </c>
      <c r="T2050" s="1">
        <v>43677</v>
      </c>
      <c r="U2050" s="1">
        <v>43687</v>
      </c>
      <c r="V2050" s="2"/>
      <c r="W2050" s="1">
        <f>fNotasFiscais[[#This Row],[Data da Coleta]]+fNotasFiscais[[#This Row],[Prazo Contratado]]</f>
        <v>43679</v>
      </c>
      <c r="X2050" s="3">
        <f>IF(fNotasFiscais[[#This Row],[Data da Entrega]]&gt;fNotasFiscais[[#This Row],[Data Contratada]],0,1)</f>
        <v>0</v>
      </c>
      <c r="Y2050" s="3">
        <f>IF(fNotasFiscais[[#This Row],[Ocorrência]]="",1,0)</f>
        <v>1</v>
      </c>
      <c r="Z2050" s="2">
        <f>fNotasFiscais[[#This Row],[On Time]]*fNotasFiscais[[#This Row],[In Full]]</f>
        <v>0</v>
      </c>
      <c r="AA2050">
        <f>IF(fNotasFiscais[[#This Row],[Nota Fiscal]]&lt;&gt;"",1,0)</f>
        <v>1</v>
      </c>
    </row>
    <row r="2051" spans="1:27" x14ac:dyDescent="0.25">
      <c r="A2051" s="1">
        <v>43676</v>
      </c>
      <c r="B2051">
        <v>12460</v>
      </c>
      <c r="C2051" s="2" t="s">
        <v>34</v>
      </c>
      <c r="D2051" s="2" t="s">
        <v>35</v>
      </c>
      <c r="E2051" s="2" t="s">
        <v>36</v>
      </c>
      <c r="F2051">
        <v>4056</v>
      </c>
      <c r="G2051" s="2" t="s">
        <v>119</v>
      </c>
      <c r="H2051" s="2" t="s">
        <v>51</v>
      </c>
      <c r="I2051" s="2" t="s">
        <v>73</v>
      </c>
      <c r="J2051" s="2" t="s">
        <v>49</v>
      </c>
      <c r="K2051" s="2" t="s">
        <v>73</v>
      </c>
      <c r="L2051">
        <v>252.39</v>
      </c>
      <c r="M2051">
        <v>2</v>
      </c>
      <c r="N2051">
        <v>0.54900000000000004</v>
      </c>
      <c r="O2051">
        <v>6100231</v>
      </c>
      <c r="P2051" s="2" t="s">
        <v>50</v>
      </c>
      <c r="Q2051" s="2" t="s">
        <v>51</v>
      </c>
      <c r="R2051" s="2" t="s">
        <v>30</v>
      </c>
      <c r="S2051">
        <v>2</v>
      </c>
      <c r="T2051" s="1">
        <v>43677</v>
      </c>
      <c r="U2051" s="1">
        <v>43678</v>
      </c>
      <c r="V2051" s="2"/>
      <c r="W2051" s="1">
        <f>fNotasFiscais[[#This Row],[Data da Coleta]]+fNotasFiscais[[#This Row],[Prazo Contratado]]</f>
        <v>43679</v>
      </c>
      <c r="X2051" s="3">
        <f>IF(fNotasFiscais[[#This Row],[Data da Entrega]]&gt;fNotasFiscais[[#This Row],[Data Contratada]],0,1)</f>
        <v>1</v>
      </c>
      <c r="Y2051" s="3">
        <f>IF(fNotasFiscais[[#This Row],[Ocorrência]]="",1,0)</f>
        <v>1</v>
      </c>
      <c r="Z2051" s="2">
        <f>fNotasFiscais[[#This Row],[On Time]]*fNotasFiscais[[#This Row],[In Full]]</f>
        <v>1</v>
      </c>
      <c r="AA2051">
        <f>IF(fNotasFiscais[[#This Row],[Nota Fiscal]]&lt;&gt;"",1,0)</f>
        <v>1</v>
      </c>
    </row>
    <row r="2052" spans="1:27" x14ac:dyDescent="0.25">
      <c r="A2052" s="1">
        <v>43676</v>
      </c>
      <c r="B2052">
        <v>12461</v>
      </c>
      <c r="C2052" s="2" t="s">
        <v>31</v>
      </c>
      <c r="D2052" s="2" t="s">
        <v>32</v>
      </c>
      <c r="E2052" s="2" t="s">
        <v>33</v>
      </c>
      <c r="F2052">
        <v>4056</v>
      </c>
      <c r="G2052" s="2" t="s">
        <v>119</v>
      </c>
      <c r="H2052" s="2" t="s">
        <v>51</v>
      </c>
      <c r="I2052" s="2" t="s">
        <v>73</v>
      </c>
      <c r="J2052" s="2" t="s">
        <v>49</v>
      </c>
      <c r="K2052" s="2" t="s">
        <v>73</v>
      </c>
      <c r="L2052">
        <v>1543.63</v>
      </c>
      <c r="M2052">
        <v>2</v>
      </c>
      <c r="N2052">
        <v>3.0009999999999999</v>
      </c>
      <c r="O2052">
        <v>6100231</v>
      </c>
      <c r="P2052" s="2" t="s">
        <v>50</v>
      </c>
      <c r="Q2052" s="2" t="s">
        <v>51</v>
      </c>
      <c r="R2052" s="2" t="s">
        <v>30</v>
      </c>
      <c r="S2052">
        <v>10</v>
      </c>
      <c r="T2052" s="1">
        <v>43677</v>
      </c>
      <c r="U2052" s="1">
        <v>43687</v>
      </c>
      <c r="V2052" s="2"/>
      <c r="W2052" s="1">
        <f>fNotasFiscais[[#This Row],[Data da Coleta]]+fNotasFiscais[[#This Row],[Prazo Contratado]]</f>
        <v>43687</v>
      </c>
      <c r="X2052" s="3">
        <f>IF(fNotasFiscais[[#This Row],[Data da Entrega]]&gt;fNotasFiscais[[#This Row],[Data Contratada]],0,1)</f>
        <v>1</v>
      </c>
      <c r="Y2052" s="3">
        <f>IF(fNotasFiscais[[#This Row],[Ocorrência]]="",1,0)</f>
        <v>1</v>
      </c>
      <c r="Z2052" s="2">
        <f>fNotasFiscais[[#This Row],[On Time]]*fNotasFiscais[[#This Row],[In Full]]</f>
        <v>1</v>
      </c>
      <c r="AA2052">
        <f>IF(fNotasFiscais[[#This Row],[Nota Fiscal]]&lt;&gt;"",1,0)</f>
        <v>1</v>
      </c>
    </row>
    <row r="2053" spans="1:27" x14ac:dyDescent="0.25">
      <c r="A2053" s="1">
        <v>43676</v>
      </c>
      <c r="B2053">
        <v>12462</v>
      </c>
      <c r="C2053" s="2" t="s">
        <v>52</v>
      </c>
      <c r="D2053" s="2" t="s">
        <v>53</v>
      </c>
      <c r="E2053" s="2" t="s">
        <v>33</v>
      </c>
      <c r="F2053">
        <v>4083</v>
      </c>
      <c r="G2053" s="2" t="s">
        <v>154</v>
      </c>
      <c r="H2053" s="2" t="s">
        <v>141</v>
      </c>
      <c r="I2053" s="2" t="s">
        <v>33</v>
      </c>
      <c r="J2053" s="2" t="s">
        <v>60</v>
      </c>
      <c r="K2053" s="2" t="s">
        <v>33</v>
      </c>
      <c r="L2053">
        <v>1906.61</v>
      </c>
      <c r="M2053">
        <v>5</v>
      </c>
      <c r="N2053">
        <v>67.099999999999994</v>
      </c>
      <c r="O2053">
        <v>6400835</v>
      </c>
      <c r="P2053" s="2" t="s">
        <v>130</v>
      </c>
      <c r="Q2053" s="2" t="s">
        <v>131</v>
      </c>
      <c r="R2053" s="2" t="s">
        <v>30</v>
      </c>
      <c r="S2053">
        <v>12</v>
      </c>
      <c r="T2053" s="1">
        <v>43677</v>
      </c>
      <c r="U2053" s="1">
        <v>43681</v>
      </c>
      <c r="V2053" s="2"/>
      <c r="W2053" s="1">
        <f>fNotasFiscais[[#This Row],[Data da Coleta]]+fNotasFiscais[[#This Row],[Prazo Contratado]]</f>
        <v>43689</v>
      </c>
      <c r="X2053" s="3">
        <f>IF(fNotasFiscais[[#This Row],[Data da Entrega]]&gt;fNotasFiscais[[#This Row],[Data Contratada]],0,1)</f>
        <v>1</v>
      </c>
      <c r="Y2053" s="3">
        <f>IF(fNotasFiscais[[#This Row],[Ocorrência]]="",1,0)</f>
        <v>1</v>
      </c>
      <c r="Z2053" s="2">
        <f>fNotasFiscais[[#This Row],[On Time]]*fNotasFiscais[[#This Row],[In Full]]</f>
        <v>1</v>
      </c>
      <c r="AA2053">
        <f>IF(fNotasFiscais[[#This Row],[Nota Fiscal]]&lt;&gt;"",1,0)</f>
        <v>1</v>
      </c>
    </row>
    <row r="2054" spans="1:27" x14ac:dyDescent="0.25">
      <c r="A2054" s="1">
        <v>43676</v>
      </c>
      <c r="B2054">
        <v>12463</v>
      </c>
      <c r="C2054" s="2" t="s">
        <v>52</v>
      </c>
      <c r="D2054" s="2" t="s">
        <v>53</v>
      </c>
      <c r="E2054" s="2" t="s">
        <v>33</v>
      </c>
      <c r="F2054">
        <v>4056</v>
      </c>
      <c r="G2054" s="2" t="s">
        <v>119</v>
      </c>
      <c r="H2054" s="2" t="s">
        <v>51</v>
      </c>
      <c r="I2054" s="2" t="s">
        <v>73</v>
      </c>
      <c r="J2054" s="2" t="s">
        <v>49</v>
      </c>
      <c r="K2054" s="2" t="s">
        <v>73</v>
      </c>
      <c r="L2054">
        <v>698.65</v>
      </c>
      <c r="M2054">
        <v>2</v>
      </c>
      <c r="N2054">
        <v>2.8730000000000002</v>
      </c>
      <c r="O2054">
        <v>6100231</v>
      </c>
      <c r="P2054" s="2" t="s">
        <v>50</v>
      </c>
      <c r="Q2054" s="2" t="s">
        <v>51</v>
      </c>
      <c r="R2054" s="2" t="s">
        <v>30</v>
      </c>
      <c r="S2054">
        <v>3</v>
      </c>
      <c r="T2054" s="1">
        <v>43677</v>
      </c>
      <c r="U2054" s="1">
        <v>43682</v>
      </c>
      <c r="V2054" s="2"/>
      <c r="W2054" s="1">
        <f>fNotasFiscais[[#This Row],[Data da Coleta]]+fNotasFiscais[[#This Row],[Prazo Contratado]]</f>
        <v>43680</v>
      </c>
      <c r="X2054" s="3">
        <f>IF(fNotasFiscais[[#This Row],[Data da Entrega]]&gt;fNotasFiscais[[#This Row],[Data Contratada]],0,1)</f>
        <v>0</v>
      </c>
      <c r="Y2054" s="3">
        <f>IF(fNotasFiscais[[#This Row],[Ocorrência]]="",1,0)</f>
        <v>1</v>
      </c>
      <c r="Z2054" s="2">
        <f>fNotasFiscais[[#This Row],[On Time]]*fNotasFiscais[[#This Row],[In Full]]</f>
        <v>0</v>
      </c>
      <c r="AA2054">
        <f>IF(fNotasFiscais[[#This Row],[Nota Fiscal]]&lt;&gt;"",1,0)</f>
        <v>1</v>
      </c>
    </row>
    <row r="2055" spans="1:27" x14ac:dyDescent="0.25">
      <c r="A2055" s="1">
        <v>43676</v>
      </c>
      <c r="B2055">
        <v>12464</v>
      </c>
      <c r="C2055" s="2" t="s">
        <v>31</v>
      </c>
      <c r="D2055" s="2" t="s">
        <v>32</v>
      </c>
      <c r="E2055" s="2" t="s">
        <v>33</v>
      </c>
      <c r="F2055">
        <v>4056</v>
      </c>
      <c r="G2055" s="2" t="s">
        <v>119</v>
      </c>
      <c r="H2055" s="2" t="s">
        <v>51</v>
      </c>
      <c r="I2055" s="2" t="s">
        <v>73</v>
      </c>
      <c r="J2055" s="2" t="s">
        <v>49</v>
      </c>
      <c r="K2055" s="2" t="s">
        <v>73</v>
      </c>
      <c r="L2055">
        <v>349.38</v>
      </c>
      <c r="M2055">
        <v>1</v>
      </c>
      <c r="N2055">
        <v>13.42</v>
      </c>
      <c r="O2055">
        <v>6100231</v>
      </c>
      <c r="P2055" s="2" t="s">
        <v>50</v>
      </c>
      <c r="Q2055" s="2" t="s">
        <v>51</v>
      </c>
      <c r="R2055" s="2" t="s">
        <v>30</v>
      </c>
      <c r="S2055">
        <v>5</v>
      </c>
      <c r="T2055" s="1">
        <v>43677</v>
      </c>
      <c r="U2055" s="1">
        <v>43687</v>
      </c>
      <c r="V2055" s="2"/>
      <c r="W2055" s="1">
        <f>fNotasFiscais[[#This Row],[Data da Coleta]]+fNotasFiscais[[#This Row],[Prazo Contratado]]</f>
        <v>43682</v>
      </c>
      <c r="X2055" s="3">
        <f>IF(fNotasFiscais[[#This Row],[Data da Entrega]]&gt;fNotasFiscais[[#This Row],[Data Contratada]],0,1)</f>
        <v>0</v>
      </c>
      <c r="Y2055" s="3">
        <f>IF(fNotasFiscais[[#This Row],[Ocorrência]]="",1,0)</f>
        <v>1</v>
      </c>
      <c r="Z2055" s="2">
        <f>fNotasFiscais[[#This Row],[On Time]]*fNotasFiscais[[#This Row],[In Full]]</f>
        <v>0</v>
      </c>
      <c r="AA2055">
        <f>IF(fNotasFiscais[[#This Row],[Nota Fiscal]]&lt;&gt;"",1,0)</f>
        <v>1</v>
      </c>
    </row>
    <row r="2056" spans="1:27" x14ac:dyDescent="0.25">
      <c r="A2056" s="1">
        <v>43676</v>
      </c>
      <c r="B2056">
        <v>12465</v>
      </c>
      <c r="C2056" s="2" t="s">
        <v>31</v>
      </c>
      <c r="D2056" s="2" t="s">
        <v>32</v>
      </c>
      <c r="E2056" s="2" t="s">
        <v>33</v>
      </c>
      <c r="F2056">
        <v>4083</v>
      </c>
      <c r="G2056" s="2" t="s">
        <v>154</v>
      </c>
      <c r="H2056" s="2" t="s">
        <v>141</v>
      </c>
      <c r="I2056" s="2" t="s">
        <v>33</v>
      </c>
      <c r="J2056" s="2" t="s">
        <v>60</v>
      </c>
      <c r="K2056" s="2" t="s">
        <v>33</v>
      </c>
      <c r="L2056">
        <v>25.56</v>
      </c>
      <c r="M2056">
        <v>1</v>
      </c>
      <c r="N2056">
        <v>9.9000000000000005E-2</v>
      </c>
      <c r="O2056">
        <v>6400835</v>
      </c>
      <c r="P2056" s="2" t="s">
        <v>130</v>
      </c>
      <c r="Q2056" s="2" t="s">
        <v>131</v>
      </c>
      <c r="R2056" s="2" t="s">
        <v>30</v>
      </c>
      <c r="S2056">
        <v>5</v>
      </c>
      <c r="T2056" s="1">
        <v>43677</v>
      </c>
      <c r="U2056" s="1">
        <v>43679</v>
      </c>
      <c r="V2056" s="2"/>
      <c r="W2056" s="1">
        <f>fNotasFiscais[[#This Row],[Data da Coleta]]+fNotasFiscais[[#This Row],[Prazo Contratado]]</f>
        <v>43682</v>
      </c>
      <c r="X2056" s="3">
        <f>IF(fNotasFiscais[[#This Row],[Data da Entrega]]&gt;fNotasFiscais[[#This Row],[Data Contratada]],0,1)</f>
        <v>1</v>
      </c>
      <c r="Y2056" s="3">
        <f>IF(fNotasFiscais[[#This Row],[Ocorrência]]="",1,0)</f>
        <v>1</v>
      </c>
      <c r="Z2056" s="2">
        <f>fNotasFiscais[[#This Row],[On Time]]*fNotasFiscais[[#This Row],[In Full]]</f>
        <v>1</v>
      </c>
      <c r="AA2056">
        <f>IF(fNotasFiscais[[#This Row],[Nota Fiscal]]&lt;&gt;"",1,0)</f>
        <v>1</v>
      </c>
    </row>
    <row r="2057" spans="1:27" x14ac:dyDescent="0.25">
      <c r="A2057" s="1">
        <v>43676</v>
      </c>
      <c r="B2057">
        <v>12466</v>
      </c>
      <c r="C2057" s="2" t="s">
        <v>43</v>
      </c>
      <c r="D2057" s="2" t="s">
        <v>44</v>
      </c>
      <c r="E2057" s="2" t="s">
        <v>45</v>
      </c>
      <c r="F2057">
        <v>4083</v>
      </c>
      <c r="G2057" s="2" t="s">
        <v>154</v>
      </c>
      <c r="H2057" s="2" t="s">
        <v>141</v>
      </c>
      <c r="I2057" s="2" t="s">
        <v>33</v>
      </c>
      <c r="J2057" s="2" t="s">
        <v>60</v>
      </c>
      <c r="K2057" s="2" t="s">
        <v>33</v>
      </c>
      <c r="L2057">
        <v>2944.3</v>
      </c>
      <c r="M2057">
        <v>4</v>
      </c>
      <c r="N2057">
        <v>8.8339999999999996</v>
      </c>
      <c r="O2057">
        <v>6400835</v>
      </c>
      <c r="P2057" s="2" t="s">
        <v>130</v>
      </c>
      <c r="Q2057" s="2" t="s">
        <v>131</v>
      </c>
      <c r="R2057" s="2" t="s">
        <v>30</v>
      </c>
      <c r="S2057">
        <v>11</v>
      </c>
      <c r="T2057" s="1">
        <v>43677</v>
      </c>
      <c r="U2057" s="1">
        <v>43679</v>
      </c>
      <c r="V2057" s="2"/>
      <c r="W2057" s="1">
        <f>fNotasFiscais[[#This Row],[Data da Coleta]]+fNotasFiscais[[#This Row],[Prazo Contratado]]</f>
        <v>43688</v>
      </c>
      <c r="X2057" s="3">
        <f>IF(fNotasFiscais[[#This Row],[Data da Entrega]]&gt;fNotasFiscais[[#This Row],[Data Contratada]],0,1)</f>
        <v>1</v>
      </c>
      <c r="Y2057" s="3">
        <f>IF(fNotasFiscais[[#This Row],[Ocorrência]]="",1,0)</f>
        <v>1</v>
      </c>
      <c r="Z2057" s="2">
        <f>fNotasFiscais[[#This Row],[On Time]]*fNotasFiscais[[#This Row],[In Full]]</f>
        <v>1</v>
      </c>
      <c r="AA2057">
        <f>IF(fNotasFiscais[[#This Row],[Nota Fiscal]]&lt;&gt;"",1,0)</f>
        <v>1</v>
      </c>
    </row>
    <row r="2058" spans="1:27" x14ac:dyDescent="0.25">
      <c r="A2058" s="1">
        <v>43676</v>
      </c>
      <c r="B2058">
        <v>12467</v>
      </c>
      <c r="C2058" s="2" t="s">
        <v>40</v>
      </c>
      <c r="D2058" s="2" t="s">
        <v>41</v>
      </c>
      <c r="E2058" s="2" t="s">
        <v>33</v>
      </c>
      <c r="F2058">
        <v>4056</v>
      </c>
      <c r="G2058" s="2" t="s">
        <v>119</v>
      </c>
      <c r="H2058" s="2" t="s">
        <v>51</v>
      </c>
      <c r="I2058" s="2" t="s">
        <v>73</v>
      </c>
      <c r="J2058" s="2" t="s">
        <v>49</v>
      </c>
      <c r="K2058" s="2" t="s">
        <v>73</v>
      </c>
      <c r="L2058">
        <v>3452.2</v>
      </c>
      <c r="M2058">
        <v>4</v>
      </c>
      <c r="N2058">
        <v>17.401</v>
      </c>
      <c r="O2058">
        <v>6100231</v>
      </c>
      <c r="P2058" s="2" t="s">
        <v>50</v>
      </c>
      <c r="Q2058" s="2" t="s">
        <v>51</v>
      </c>
      <c r="R2058" s="2" t="s">
        <v>30</v>
      </c>
      <c r="S2058">
        <v>4</v>
      </c>
      <c r="T2058" s="1">
        <v>43677</v>
      </c>
      <c r="U2058" s="1">
        <v>43686</v>
      </c>
      <c r="V2058" s="2"/>
      <c r="W2058" s="1">
        <f>fNotasFiscais[[#This Row],[Data da Coleta]]+fNotasFiscais[[#This Row],[Prazo Contratado]]</f>
        <v>43681</v>
      </c>
      <c r="X2058" s="3">
        <f>IF(fNotasFiscais[[#This Row],[Data da Entrega]]&gt;fNotasFiscais[[#This Row],[Data Contratada]],0,1)</f>
        <v>0</v>
      </c>
      <c r="Y2058" s="3">
        <f>IF(fNotasFiscais[[#This Row],[Ocorrência]]="",1,0)</f>
        <v>1</v>
      </c>
      <c r="Z2058" s="2">
        <f>fNotasFiscais[[#This Row],[On Time]]*fNotasFiscais[[#This Row],[In Full]]</f>
        <v>0</v>
      </c>
      <c r="AA2058">
        <f>IF(fNotasFiscais[[#This Row],[Nota Fiscal]]&lt;&gt;"",1,0)</f>
        <v>1</v>
      </c>
    </row>
    <row r="2059" spans="1:27" x14ac:dyDescent="0.25">
      <c r="A2059" s="1">
        <v>43676</v>
      </c>
      <c r="B2059">
        <v>12468</v>
      </c>
      <c r="C2059" s="2" t="s">
        <v>22</v>
      </c>
      <c r="D2059" s="2" t="s">
        <v>23</v>
      </c>
      <c r="E2059" s="2" t="s">
        <v>24</v>
      </c>
      <c r="F2059">
        <v>4056</v>
      </c>
      <c r="G2059" s="2" t="s">
        <v>119</v>
      </c>
      <c r="H2059" s="2" t="s">
        <v>51</v>
      </c>
      <c r="I2059" s="2" t="s">
        <v>73</v>
      </c>
      <c r="J2059" s="2" t="s">
        <v>49</v>
      </c>
      <c r="K2059" s="2" t="s">
        <v>73</v>
      </c>
      <c r="L2059">
        <v>823.12</v>
      </c>
      <c r="M2059">
        <v>1</v>
      </c>
      <c r="N2059">
        <v>1.1200000000000001</v>
      </c>
      <c r="O2059">
        <v>6100231</v>
      </c>
      <c r="P2059" s="2" t="s">
        <v>50</v>
      </c>
      <c r="Q2059" s="2" t="s">
        <v>51</v>
      </c>
      <c r="R2059" s="2" t="s">
        <v>30</v>
      </c>
      <c r="S2059">
        <v>11</v>
      </c>
      <c r="T2059" s="1">
        <v>43677</v>
      </c>
      <c r="U2059" s="1">
        <v>43686</v>
      </c>
      <c r="V2059" s="2"/>
      <c r="W2059" s="1">
        <f>fNotasFiscais[[#This Row],[Data da Coleta]]+fNotasFiscais[[#This Row],[Prazo Contratado]]</f>
        <v>43688</v>
      </c>
      <c r="X2059" s="3">
        <f>IF(fNotasFiscais[[#This Row],[Data da Entrega]]&gt;fNotasFiscais[[#This Row],[Data Contratada]],0,1)</f>
        <v>1</v>
      </c>
      <c r="Y2059" s="3">
        <f>IF(fNotasFiscais[[#This Row],[Ocorrência]]="",1,0)</f>
        <v>1</v>
      </c>
      <c r="Z2059" s="2">
        <f>fNotasFiscais[[#This Row],[On Time]]*fNotasFiscais[[#This Row],[In Full]]</f>
        <v>1</v>
      </c>
      <c r="AA2059">
        <f>IF(fNotasFiscais[[#This Row],[Nota Fiscal]]&lt;&gt;"",1,0)</f>
        <v>1</v>
      </c>
    </row>
    <row r="2060" spans="1:27" x14ac:dyDescent="0.25">
      <c r="A2060" s="1">
        <v>43676</v>
      </c>
      <c r="B2060">
        <v>12469</v>
      </c>
      <c r="C2060" s="2" t="s">
        <v>22</v>
      </c>
      <c r="D2060" s="2" t="s">
        <v>23</v>
      </c>
      <c r="E2060" s="2" t="s">
        <v>24</v>
      </c>
      <c r="F2060">
        <v>4083</v>
      </c>
      <c r="G2060" s="2" t="s">
        <v>154</v>
      </c>
      <c r="H2060" s="2" t="s">
        <v>141</v>
      </c>
      <c r="I2060" s="2" t="s">
        <v>33</v>
      </c>
      <c r="J2060" s="2" t="s">
        <v>60</v>
      </c>
      <c r="K2060" s="2" t="s">
        <v>33</v>
      </c>
      <c r="L2060">
        <v>210.94</v>
      </c>
      <c r="M2060">
        <v>1</v>
      </c>
      <c r="N2060">
        <v>1.1220000000000001</v>
      </c>
      <c r="O2060">
        <v>6400835</v>
      </c>
      <c r="P2060" s="2" t="s">
        <v>130</v>
      </c>
      <c r="Q2060" s="2" t="s">
        <v>131</v>
      </c>
      <c r="R2060" s="2" t="s">
        <v>30</v>
      </c>
      <c r="S2060">
        <v>2</v>
      </c>
      <c r="T2060" s="1">
        <v>43677</v>
      </c>
      <c r="U2060" s="1">
        <v>43682</v>
      </c>
      <c r="V2060" s="2"/>
      <c r="W2060" s="1">
        <f>fNotasFiscais[[#This Row],[Data da Coleta]]+fNotasFiscais[[#This Row],[Prazo Contratado]]</f>
        <v>43679</v>
      </c>
      <c r="X2060" s="3">
        <f>IF(fNotasFiscais[[#This Row],[Data da Entrega]]&gt;fNotasFiscais[[#This Row],[Data Contratada]],0,1)</f>
        <v>0</v>
      </c>
      <c r="Y2060" s="3">
        <f>IF(fNotasFiscais[[#This Row],[Ocorrência]]="",1,0)</f>
        <v>1</v>
      </c>
      <c r="Z2060" s="2">
        <f>fNotasFiscais[[#This Row],[On Time]]*fNotasFiscais[[#This Row],[In Full]]</f>
        <v>0</v>
      </c>
      <c r="AA2060">
        <f>IF(fNotasFiscais[[#This Row],[Nota Fiscal]]&lt;&gt;"",1,0)</f>
        <v>1</v>
      </c>
    </row>
    <row r="2061" spans="1:27" x14ac:dyDescent="0.25">
      <c r="A2061" s="1">
        <v>43676</v>
      </c>
      <c r="B2061">
        <v>12470</v>
      </c>
      <c r="C2061" s="2" t="s">
        <v>22</v>
      </c>
      <c r="D2061" s="2" t="s">
        <v>23</v>
      </c>
      <c r="E2061" s="2" t="s">
        <v>24</v>
      </c>
      <c r="F2061">
        <v>4083</v>
      </c>
      <c r="G2061" s="2" t="s">
        <v>154</v>
      </c>
      <c r="H2061" s="2" t="s">
        <v>141</v>
      </c>
      <c r="I2061" s="2" t="s">
        <v>33</v>
      </c>
      <c r="J2061" s="2" t="s">
        <v>60</v>
      </c>
      <c r="K2061" s="2" t="s">
        <v>33</v>
      </c>
      <c r="L2061">
        <v>5660.1</v>
      </c>
      <c r="M2061">
        <v>4</v>
      </c>
      <c r="N2061">
        <v>22.922999999999998</v>
      </c>
      <c r="O2061">
        <v>6400835</v>
      </c>
      <c r="P2061" s="2" t="s">
        <v>130</v>
      </c>
      <c r="Q2061" s="2" t="s">
        <v>131</v>
      </c>
      <c r="R2061" s="2" t="s">
        <v>30</v>
      </c>
      <c r="S2061">
        <v>10</v>
      </c>
      <c r="T2061" s="1">
        <v>43677</v>
      </c>
      <c r="U2061" s="1">
        <v>43684</v>
      </c>
      <c r="V2061" s="2"/>
      <c r="W2061" s="1">
        <f>fNotasFiscais[[#This Row],[Data da Coleta]]+fNotasFiscais[[#This Row],[Prazo Contratado]]</f>
        <v>43687</v>
      </c>
      <c r="X2061" s="3">
        <f>IF(fNotasFiscais[[#This Row],[Data da Entrega]]&gt;fNotasFiscais[[#This Row],[Data Contratada]],0,1)</f>
        <v>1</v>
      </c>
      <c r="Y2061" s="3">
        <f>IF(fNotasFiscais[[#This Row],[Ocorrência]]="",1,0)</f>
        <v>1</v>
      </c>
      <c r="Z2061" s="2">
        <f>fNotasFiscais[[#This Row],[On Time]]*fNotasFiscais[[#This Row],[In Full]]</f>
        <v>1</v>
      </c>
      <c r="AA2061">
        <f>IF(fNotasFiscais[[#This Row],[Nota Fiscal]]&lt;&gt;"",1,0)</f>
        <v>1</v>
      </c>
    </row>
    <row r="2062" spans="1:27" x14ac:dyDescent="0.25">
      <c r="A2062" s="1">
        <v>43676</v>
      </c>
      <c r="B2062">
        <v>12471</v>
      </c>
      <c r="C2062" s="2" t="s">
        <v>54</v>
      </c>
      <c r="D2062" s="2" t="s">
        <v>55</v>
      </c>
      <c r="E2062" s="2" t="s">
        <v>56</v>
      </c>
      <c r="F2062">
        <v>4083</v>
      </c>
      <c r="G2062" s="2" t="s">
        <v>154</v>
      </c>
      <c r="H2062" s="2" t="s">
        <v>141</v>
      </c>
      <c r="I2062" s="2" t="s">
        <v>33</v>
      </c>
      <c r="J2062" s="2" t="s">
        <v>60</v>
      </c>
      <c r="K2062" s="2" t="s">
        <v>33</v>
      </c>
      <c r="L2062">
        <v>83.13</v>
      </c>
      <c r="M2062">
        <v>1</v>
      </c>
      <c r="N2062">
        <v>0.11</v>
      </c>
      <c r="O2062">
        <v>6400835</v>
      </c>
      <c r="P2062" s="2" t="s">
        <v>130</v>
      </c>
      <c r="Q2062" s="2" t="s">
        <v>131</v>
      </c>
      <c r="R2062" s="2" t="s">
        <v>30</v>
      </c>
      <c r="S2062">
        <v>11</v>
      </c>
      <c r="T2062" s="1">
        <v>43677</v>
      </c>
      <c r="U2062" s="1">
        <v>43680</v>
      </c>
      <c r="V2062" s="2"/>
      <c r="W2062" s="1">
        <f>fNotasFiscais[[#This Row],[Data da Coleta]]+fNotasFiscais[[#This Row],[Prazo Contratado]]</f>
        <v>43688</v>
      </c>
      <c r="X2062" s="3">
        <f>IF(fNotasFiscais[[#This Row],[Data da Entrega]]&gt;fNotasFiscais[[#This Row],[Data Contratada]],0,1)</f>
        <v>1</v>
      </c>
      <c r="Y2062" s="3">
        <f>IF(fNotasFiscais[[#This Row],[Ocorrência]]="",1,0)</f>
        <v>1</v>
      </c>
      <c r="Z2062" s="2">
        <f>fNotasFiscais[[#This Row],[On Time]]*fNotasFiscais[[#This Row],[In Full]]</f>
        <v>1</v>
      </c>
      <c r="AA2062">
        <f>IF(fNotasFiscais[[#This Row],[Nota Fiscal]]&lt;&gt;"",1,0)</f>
        <v>1</v>
      </c>
    </row>
    <row r="2063" spans="1:27" x14ac:dyDescent="0.25">
      <c r="A2063" s="1">
        <v>43676</v>
      </c>
      <c r="B2063">
        <v>12472</v>
      </c>
      <c r="C2063" s="2" t="s">
        <v>54</v>
      </c>
      <c r="D2063" s="2" t="s">
        <v>55</v>
      </c>
      <c r="E2063" s="2" t="s">
        <v>56</v>
      </c>
      <c r="F2063">
        <v>4083</v>
      </c>
      <c r="G2063" s="2" t="s">
        <v>154</v>
      </c>
      <c r="H2063" s="2" t="s">
        <v>141</v>
      </c>
      <c r="I2063" s="2" t="s">
        <v>33</v>
      </c>
      <c r="J2063" s="2" t="s">
        <v>60</v>
      </c>
      <c r="K2063" s="2" t="s">
        <v>33</v>
      </c>
      <c r="L2063">
        <v>104.16</v>
      </c>
      <c r="M2063">
        <v>1</v>
      </c>
      <c r="N2063">
        <v>0.17199999999999999</v>
      </c>
      <c r="O2063">
        <v>6400835</v>
      </c>
      <c r="P2063" s="2" t="s">
        <v>130</v>
      </c>
      <c r="Q2063" s="2" t="s">
        <v>131</v>
      </c>
      <c r="R2063" s="2" t="s">
        <v>30</v>
      </c>
      <c r="S2063">
        <v>7</v>
      </c>
      <c r="T2063" s="1">
        <v>43677</v>
      </c>
      <c r="U2063" s="1">
        <v>43687</v>
      </c>
      <c r="V2063" s="2"/>
      <c r="W2063" s="1">
        <f>fNotasFiscais[[#This Row],[Data da Coleta]]+fNotasFiscais[[#This Row],[Prazo Contratado]]</f>
        <v>43684</v>
      </c>
      <c r="X2063" s="3">
        <f>IF(fNotasFiscais[[#This Row],[Data da Entrega]]&gt;fNotasFiscais[[#This Row],[Data Contratada]],0,1)</f>
        <v>0</v>
      </c>
      <c r="Y2063" s="3">
        <f>IF(fNotasFiscais[[#This Row],[Ocorrência]]="",1,0)</f>
        <v>1</v>
      </c>
      <c r="Z2063" s="2">
        <f>fNotasFiscais[[#This Row],[On Time]]*fNotasFiscais[[#This Row],[In Full]]</f>
        <v>0</v>
      </c>
      <c r="AA2063">
        <f>IF(fNotasFiscais[[#This Row],[Nota Fiscal]]&lt;&gt;"",1,0)</f>
        <v>1</v>
      </c>
    </row>
    <row r="2064" spans="1:27" x14ac:dyDescent="0.25">
      <c r="A2064" s="1">
        <v>43676</v>
      </c>
      <c r="B2064">
        <v>12473</v>
      </c>
      <c r="C2064" s="2" t="s">
        <v>43</v>
      </c>
      <c r="D2064" s="2" t="s">
        <v>44</v>
      </c>
      <c r="E2064" s="2" t="s">
        <v>45</v>
      </c>
      <c r="F2064">
        <v>4083</v>
      </c>
      <c r="G2064" s="2" t="s">
        <v>154</v>
      </c>
      <c r="H2064" s="2" t="s">
        <v>141</v>
      </c>
      <c r="I2064" s="2" t="s">
        <v>33</v>
      </c>
      <c r="J2064" s="2" t="s">
        <v>60</v>
      </c>
      <c r="K2064" s="2" t="s">
        <v>33</v>
      </c>
      <c r="L2064">
        <v>919.38</v>
      </c>
      <c r="M2064">
        <v>1</v>
      </c>
      <c r="N2064">
        <v>3.3</v>
      </c>
      <c r="O2064">
        <v>6400835</v>
      </c>
      <c r="P2064" s="2" t="s">
        <v>130</v>
      </c>
      <c r="Q2064" s="2" t="s">
        <v>131</v>
      </c>
      <c r="R2064" s="2" t="s">
        <v>30</v>
      </c>
      <c r="S2064">
        <v>11</v>
      </c>
      <c r="T2064" s="1">
        <v>43677</v>
      </c>
      <c r="U2064" s="1">
        <v>43687</v>
      </c>
      <c r="V2064" s="2"/>
      <c r="W2064" s="1">
        <f>fNotasFiscais[[#This Row],[Data da Coleta]]+fNotasFiscais[[#This Row],[Prazo Contratado]]</f>
        <v>43688</v>
      </c>
      <c r="X2064" s="3">
        <f>IF(fNotasFiscais[[#This Row],[Data da Entrega]]&gt;fNotasFiscais[[#This Row],[Data Contratada]],0,1)</f>
        <v>1</v>
      </c>
      <c r="Y2064" s="3">
        <f>IF(fNotasFiscais[[#This Row],[Ocorrência]]="",1,0)</f>
        <v>1</v>
      </c>
      <c r="Z2064" s="2">
        <f>fNotasFiscais[[#This Row],[On Time]]*fNotasFiscais[[#This Row],[In Full]]</f>
        <v>1</v>
      </c>
      <c r="AA2064">
        <f>IF(fNotasFiscais[[#This Row],[Nota Fiscal]]&lt;&gt;"",1,0)</f>
        <v>1</v>
      </c>
    </row>
    <row r="2065" spans="1:27" x14ac:dyDescent="0.25">
      <c r="A2065" s="1">
        <v>43676</v>
      </c>
      <c r="B2065">
        <v>12474</v>
      </c>
      <c r="C2065" s="2" t="s">
        <v>31</v>
      </c>
      <c r="D2065" s="2" t="s">
        <v>32</v>
      </c>
      <c r="E2065" s="2" t="s">
        <v>33</v>
      </c>
      <c r="F2065">
        <v>4083</v>
      </c>
      <c r="G2065" s="2" t="s">
        <v>154</v>
      </c>
      <c r="H2065" s="2" t="s">
        <v>141</v>
      </c>
      <c r="I2065" s="2" t="s">
        <v>33</v>
      </c>
      <c r="J2065" s="2" t="s">
        <v>60</v>
      </c>
      <c r="K2065" s="2" t="s">
        <v>33</v>
      </c>
      <c r="L2065">
        <v>358.25</v>
      </c>
      <c r="M2065">
        <v>1</v>
      </c>
      <c r="N2065">
        <v>0.77</v>
      </c>
      <c r="O2065">
        <v>6400835</v>
      </c>
      <c r="P2065" s="2" t="s">
        <v>130</v>
      </c>
      <c r="Q2065" s="2" t="s">
        <v>131</v>
      </c>
      <c r="R2065" s="2" t="s">
        <v>30</v>
      </c>
      <c r="S2065">
        <v>10</v>
      </c>
      <c r="T2065" s="1">
        <v>43677</v>
      </c>
      <c r="U2065" s="1">
        <v>43681</v>
      </c>
      <c r="V2065" s="2"/>
      <c r="W2065" s="1">
        <f>fNotasFiscais[[#This Row],[Data da Coleta]]+fNotasFiscais[[#This Row],[Prazo Contratado]]</f>
        <v>43687</v>
      </c>
      <c r="X2065" s="3">
        <f>IF(fNotasFiscais[[#This Row],[Data da Entrega]]&gt;fNotasFiscais[[#This Row],[Data Contratada]],0,1)</f>
        <v>1</v>
      </c>
      <c r="Y2065" s="3">
        <f>IF(fNotasFiscais[[#This Row],[Ocorrência]]="",1,0)</f>
        <v>1</v>
      </c>
      <c r="Z2065" s="2">
        <f>fNotasFiscais[[#This Row],[On Time]]*fNotasFiscais[[#This Row],[In Full]]</f>
        <v>1</v>
      </c>
      <c r="AA2065">
        <f>IF(fNotasFiscais[[#This Row],[Nota Fiscal]]&lt;&gt;"",1,0)</f>
        <v>1</v>
      </c>
    </row>
    <row r="2066" spans="1:27" x14ac:dyDescent="0.25">
      <c r="A2066" s="1">
        <v>43677</v>
      </c>
      <c r="B2066">
        <v>12475</v>
      </c>
      <c r="C2066" s="2" t="s">
        <v>43</v>
      </c>
      <c r="D2066" s="2" t="s">
        <v>44</v>
      </c>
      <c r="E2066" s="2" t="s">
        <v>45</v>
      </c>
      <c r="F2066">
        <v>4128</v>
      </c>
      <c r="G2066" s="2" t="s">
        <v>211</v>
      </c>
      <c r="H2066" s="2" t="s">
        <v>167</v>
      </c>
      <c r="I2066" s="2" t="s">
        <v>168</v>
      </c>
      <c r="J2066" s="2" t="s">
        <v>169</v>
      </c>
      <c r="K2066" s="2" t="s">
        <v>168</v>
      </c>
      <c r="L2066">
        <v>1583.07</v>
      </c>
      <c r="M2066">
        <v>2</v>
      </c>
      <c r="N2066">
        <v>0.85899999999999999</v>
      </c>
      <c r="O2066">
        <v>6900304</v>
      </c>
      <c r="P2066" s="2" t="s">
        <v>170</v>
      </c>
      <c r="Q2066" s="2" t="s">
        <v>171</v>
      </c>
      <c r="R2066" s="2" t="s">
        <v>30</v>
      </c>
      <c r="S2066">
        <v>7</v>
      </c>
      <c r="T2066" s="1">
        <v>43678</v>
      </c>
      <c r="U2066" s="1">
        <v>43682</v>
      </c>
      <c r="V2066" s="2" t="s">
        <v>42</v>
      </c>
      <c r="W2066" s="1">
        <f>fNotasFiscais[[#This Row],[Data da Coleta]]+fNotasFiscais[[#This Row],[Prazo Contratado]]</f>
        <v>43685</v>
      </c>
      <c r="X2066" s="3">
        <f>IF(fNotasFiscais[[#This Row],[Data da Entrega]]&gt;fNotasFiscais[[#This Row],[Data Contratada]],0,1)</f>
        <v>1</v>
      </c>
      <c r="Y2066" s="3">
        <f>IF(fNotasFiscais[[#This Row],[Ocorrência]]="",1,0)</f>
        <v>0</v>
      </c>
      <c r="Z2066" s="2">
        <f>fNotasFiscais[[#This Row],[On Time]]*fNotasFiscais[[#This Row],[In Full]]</f>
        <v>0</v>
      </c>
      <c r="AA2066">
        <f>IF(fNotasFiscais[[#This Row],[Nota Fiscal]]&lt;&gt;"",1,0)</f>
        <v>1</v>
      </c>
    </row>
    <row r="2067" spans="1:27" x14ac:dyDescent="0.25">
      <c r="A2067" s="1">
        <v>43678</v>
      </c>
      <c r="B2067">
        <v>12476</v>
      </c>
      <c r="C2067" s="2" t="s">
        <v>34</v>
      </c>
      <c r="D2067" s="2" t="s">
        <v>35</v>
      </c>
      <c r="E2067" s="2" t="s">
        <v>36</v>
      </c>
      <c r="F2067">
        <v>4193</v>
      </c>
      <c r="G2067" s="2" t="s">
        <v>276</v>
      </c>
      <c r="H2067" s="2" t="s">
        <v>32</v>
      </c>
      <c r="I2067" s="2" t="s">
        <v>33</v>
      </c>
      <c r="J2067" s="2" t="s">
        <v>60</v>
      </c>
      <c r="K2067" s="2" t="s">
        <v>33</v>
      </c>
      <c r="L2067">
        <v>607.54999999999995</v>
      </c>
      <c r="M2067">
        <v>1</v>
      </c>
      <c r="N2067">
        <v>2.97</v>
      </c>
      <c r="O2067">
        <v>6400835</v>
      </c>
      <c r="P2067" s="2" t="s">
        <v>130</v>
      </c>
      <c r="Q2067" s="2" t="s">
        <v>131</v>
      </c>
      <c r="R2067" s="2" t="s">
        <v>30</v>
      </c>
      <c r="S2067">
        <v>3</v>
      </c>
      <c r="T2067" s="1">
        <v>43679</v>
      </c>
      <c r="U2067" s="1">
        <v>43680</v>
      </c>
      <c r="V2067" s="2"/>
      <c r="W2067" s="1">
        <f>fNotasFiscais[[#This Row],[Data da Coleta]]+fNotasFiscais[[#This Row],[Prazo Contratado]]</f>
        <v>43682</v>
      </c>
      <c r="X2067" s="3">
        <f>IF(fNotasFiscais[[#This Row],[Data da Entrega]]&gt;fNotasFiscais[[#This Row],[Data Contratada]],0,1)</f>
        <v>1</v>
      </c>
      <c r="Y2067" s="3">
        <f>IF(fNotasFiscais[[#This Row],[Ocorrência]]="",1,0)</f>
        <v>1</v>
      </c>
      <c r="Z2067" s="2">
        <f>fNotasFiscais[[#This Row],[On Time]]*fNotasFiscais[[#This Row],[In Full]]</f>
        <v>1</v>
      </c>
      <c r="AA2067">
        <f>IF(fNotasFiscais[[#This Row],[Nota Fiscal]]&lt;&gt;"",1,0)</f>
        <v>1</v>
      </c>
    </row>
    <row r="2068" spans="1:27" x14ac:dyDescent="0.25">
      <c r="A2068" s="1">
        <v>43678</v>
      </c>
      <c r="B2068">
        <v>12477</v>
      </c>
      <c r="C2068" s="2" t="s">
        <v>54</v>
      </c>
      <c r="D2068" s="2" t="s">
        <v>55</v>
      </c>
      <c r="E2068" s="2" t="s">
        <v>56</v>
      </c>
      <c r="F2068">
        <v>4217</v>
      </c>
      <c r="G2068" s="2" t="s">
        <v>300</v>
      </c>
      <c r="H2068" s="2" t="s">
        <v>165</v>
      </c>
      <c r="I2068" s="2" t="s">
        <v>24</v>
      </c>
      <c r="J2068" s="2" t="s">
        <v>28</v>
      </c>
      <c r="K2068" s="2" t="s">
        <v>24</v>
      </c>
      <c r="L2068">
        <v>18.850000000000001</v>
      </c>
      <c r="M2068">
        <v>1</v>
      </c>
      <c r="N2068">
        <v>6.6000000000000003E-2</v>
      </c>
      <c r="O2068">
        <v>6500948</v>
      </c>
      <c r="P2068" s="2" t="s">
        <v>29</v>
      </c>
      <c r="Q2068" s="2" t="s">
        <v>23</v>
      </c>
      <c r="R2068" s="2" t="s">
        <v>30</v>
      </c>
      <c r="S2068">
        <v>9</v>
      </c>
      <c r="T2068" s="1">
        <v>43679</v>
      </c>
      <c r="U2068" s="1">
        <v>43685</v>
      </c>
      <c r="V2068" s="2"/>
      <c r="W2068" s="1">
        <f>fNotasFiscais[[#This Row],[Data da Coleta]]+fNotasFiscais[[#This Row],[Prazo Contratado]]</f>
        <v>43688</v>
      </c>
      <c r="X2068" s="3">
        <f>IF(fNotasFiscais[[#This Row],[Data da Entrega]]&gt;fNotasFiscais[[#This Row],[Data Contratada]],0,1)</f>
        <v>1</v>
      </c>
      <c r="Y2068" s="3">
        <f>IF(fNotasFiscais[[#This Row],[Ocorrência]]="",1,0)</f>
        <v>1</v>
      </c>
      <c r="Z2068" s="2">
        <f>fNotasFiscais[[#This Row],[On Time]]*fNotasFiscais[[#This Row],[In Full]]</f>
        <v>1</v>
      </c>
      <c r="AA2068">
        <f>IF(fNotasFiscais[[#This Row],[Nota Fiscal]]&lt;&gt;"",1,0)</f>
        <v>1</v>
      </c>
    </row>
    <row r="2069" spans="1:27" x14ac:dyDescent="0.25">
      <c r="A2069" s="1">
        <v>43678</v>
      </c>
      <c r="B2069">
        <v>12478</v>
      </c>
      <c r="C2069" s="2" t="s">
        <v>52</v>
      </c>
      <c r="D2069" s="2" t="s">
        <v>53</v>
      </c>
      <c r="E2069" s="2" t="s">
        <v>33</v>
      </c>
      <c r="F2069">
        <v>4069</v>
      </c>
      <c r="G2069" s="2" t="s">
        <v>135</v>
      </c>
      <c r="H2069" s="2" t="s">
        <v>47</v>
      </c>
      <c r="I2069" s="2" t="s">
        <v>48</v>
      </c>
      <c r="J2069" s="2" t="s">
        <v>49</v>
      </c>
      <c r="K2069" s="2" t="s">
        <v>48</v>
      </c>
      <c r="L2069">
        <v>816.39</v>
      </c>
      <c r="M2069">
        <v>2</v>
      </c>
      <c r="N2069">
        <v>33</v>
      </c>
      <c r="O2069">
        <v>6100231</v>
      </c>
      <c r="P2069" s="2" t="s">
        <v>50</v>
      </c>
      <c r="Q2069" s="2" t="s">
        <v>51</v>
      </c>
      <c r="R2069" s="2" t="s">
        <v>30</v>
      </c>
      <c r="S2069">
        <v>8</v>
      </c>
      <c r="T2069" s="1">
        <v>43679</v>
      </c>
      <c r="U2069" s="1">
        <v>43685</v>
      </c>
      <c r="V2069" s="2" t="s">
        <v>42</v>
      </c>
      <c r="W2069" s="1">
        <f>fNotasFiscais[[#This Row],[Data da Coleta]]+fNotasFiscais[[#This Row],[Prazo Contratado]]</f>
        <v>43687</v>
      </c>
      <c r="X2069" s="3">
        <f>IF(fNotasFiscais[[#This Row],[Data da Entrega]]&gt;fNotasFiscais[[#This Row],[Data Contratada]],0,1)</f>
        <v>1</v>
      </c>
      <c r="Y2069" s="3">
        <f>IF(fNotasFiscais[[#This Row],[Ocorrência]]="",1,0)</f>
        <v>0</v>
      </c>
      <c r="Z2069" s="2">
        <f>fNotasFiscais[[#This Row],[On Time]]*fNotasFiscais[[#This Row],[In Full]]</f>
        <v>0</v>
      </c>
      <c r="AA2069">
        <f>IF(fNotasFiscais[[#This Row],[Nota Fiscal]]&lt;&gt;"",1,0)</f>
        <v>1</v>
      </c>
    </row>
    <row r="2070" spans="1:27" x14ac:dyDescent="0.25">
      <c r="A2070" s="1">
        <v>43678</v>
      </c>
      <c r="B2070">
        <v>12479</v>
      </c>
      <c r="C2070" s="2" t="s">
        <v>43</v>
      </c>
      <c r="D2070" s="2" t="s">
        <v>44</v>
      </c>
      <c r="E2070" s="2" t="s">
        <v>45</v>
      </c>
      <c r="F2070">
        <v>4126</v>
      </c>
      <c r="G2070" s="2" t="s">
        <v>209</v>
      </c>
      <c r="H2070" s="2" t="s">
        <v>35</v>
      </c>
      <c r="I2070" s="2" t="s">
        <v>36</v>
      </c>
      <c r="J2070" s="2" t="s">
        <v>60</v>
      </c>
      <c r="K2070" s="2" t="s">
        <v>36</v>
      </c>
      <c r="L2070">
        <v>414.56</v>
      </c>
      <c r="M2070">
        <v>1</v>
      </c>
      <c r="N2070">
        <v>16.5</v>
      </c>
      <c r="O2070">
        <v>6600879</v>
      </c>
      <c r="P2070" s="2" t="s">
        <v>61</v>
      </c>
      <c r="Q2070" s="2" t="s">
        <v>35</v>
      </c>
      <c r="R2070" s="2" t="s">
        <v>30</v>
      </c>
      <c r="S2070">
        <v>3</v>
      </c>
      <c r="T2070" s="1">
        <v>43679</v>
      </c>
      <c r="U2070" s="1">
        <v>43685</v>
      </c>
      <c r="V2070" s="2" t="s">
        <v>42</v>
      </c>
      <c r="W2070" s="1">
        <f>fNotasFiscais[[#This Row],[Data da Coleta]]+fNotasFiscais[[#This Row],[Prazo Contratado]]</f>
        <v>43682</v>
      </c>
      <c r="X2070" s="3">
        <f>IF(fNotasFiscais[[#This Row],[Data da Entrega]]&gt;fNotasFiscais[[#This Row],[Data Contratada]],0,1)</f>
        <v>0</v>
      </c>
      <c r="Y2070" s="3">
        <f>IF(fNotasFiscais[[#This Row],[Ocorrência]]="",1,0)</f>
        <v>0</v>
      </c>
      <c r="Z2070" s="2">
        <f>fNotasFiscais[[#This Row],[On Time]]*fNotasFiscais[[#This Row],[In Full]]</f>
        <v>0</v>
      </c>
      <c r="AA2070">
        <f>IF(fNotasFiscais[[#This Row],[Nota Fiscal]]&lt;&gt;"",1,0)</f>
        <v>1</v>
      </c>
    </row>
    <row r="2071" spans="1:27" x14ac:dyDescent="0.25">
      <c r="A2071" s="1">
        <v>43679</v>
      </c>
      <c r="B2071">
        <v>12480</v>
      </c>
      <c r="C2071" s="2" t="s">
        <v>22</v>
      </c>
      <c r="D2071" s="2" t="s">
        <v>23</v>
      </c>
      <c r="E2071" s="2" t="s">
        <v>24</v>
      </c>
      <c r="F2071">
        <v>4205</v>
      </c>
      <c r="G2071" s="2" t="s">
        <v>288</v>
      </c>
      <c r="H2071" s="2" t="s">
        <v>35</v>
      </c>
      <c r="I2071" s="2" t="s">
        <v>36</v>
      </c>
      <c r="J2071" s="2" t="s">
        <v>60</v>
      </c>
      <c r="K2071" s="2" t="s">
        <v>36</v>
      </c>
      <c r="L2071">
        <v>1380.63</v>
      </c>
      <c r="M2071">
        <v>4</v>
      </c>
      <c r="N2071">
        <v>7.5519999999999996</v>
      </c>
      <c r="O2071">
        <v>6600879</v>
      </c>
      <c r="P2071" s="2" t="s">
        <v>61</v>
      </c>
      <c r="Q2071" s="2" t="s">
        <v>35</v>
      </c>
      <c r="R2071" s="2" t="s">
        <v>30</v>
      </c>
      <c r="S2071">
        <v>3</v>
      </c>
      <c r="T2071" s="1">
        <v>43680</v>
      </c>
      <c r="U2071" s="1">
        <v>43683</v>
      </c>
      <c r="V2071" s="2"/>
      <c r="W2071" s="1">
        <f>fNotasFiscais[[#This Row],[Data da Coleta]]+fNotasFiscais[[#This Row],[Prazo Contratado]]</f>
        <v>43683</v>
      </c>
      <c r="X2071" s="3">
        <f>IF(fNotasFiscais[[#This Row],[Data da Entrega]]&gt;fNotasFiscais[[#This Row],[Data Contratada]],0,1)</f>
        <v>1</v>
      </c>
      <c r="Y2071" s="3">
        <f>IF(fNotasFiscais[[#This Row],[Ocorrência]]="",1,0)</f>
        <v>1</v>
      </c>
      <c r="Z2071" s="2">
        <f>fNotasFiscais[[#This Row],[On Time]]*fNotasFiscais[[#This Row],[In Full]]</f>
        <v>1</v>
      </c>
      <c r="AA2071">
        <f>IF(fNotasFiscais[[#This Row],[Nota Fiscal]]&lt;&gt;"",1,0)</f>
        <v>1</v>
      </c>
    </row>
    <row r="2072" spans="1:27" x14ac:dyDescent="0.25">
      <c r="A2072" s="1">
        <v>43680</v>
      </c>
      <c r="B2072">
        <v>12481</v>
      </c>
      <c r="C2072" s="2" t="s">
        <v>52</v>
      </c>
      <c r="D2072" s="2" t="s">
        <v>53</v>
      </c>
      <c r="E2072" s="2" t="s">
        <v>33</v>
      </c>
      <c r="F2072">
        <v>4205</v>
      </c>
      <c r="G2072" s="2" t="s">
        <v>288</v>
      </c>
      <c r="H2072" s="2" t="s">
        <v>35</v>
      </c>
      <c r="I2072" s="2" t="s">
        <v>36</v>
      </c>
      <c r="J2072" s="2" t="s">
        <v>60</v>
      </c>
      <c r="K2072" s="2" t="s">
        <v>36</v>
      </c>
      <c r="L2072">
        <v>8900.9699999999993</v>
      </c>
      <c r="M2072">
        <v>13</v>
      </c>
      <c r="N2072">
        <v>45.805</v>
      </c>
      <c r="O2072">
        <v>6600879</v>
      </c>
      <c r="P2072" s="2" t="s">
        <v>61</v>
      </c>
      <c r="Q2072" s="2" t="s">
        <v>35</v>
      </c>
      <c r="R2072" s="2" t="s">
        <v>30</v>
      </c>
      <c r="S2072">
        <v>7</v>
      </c>
      <c r="T2072" s="1">
        <v>43680</v>
      </c>
      <c r="U2072" s="1">
        <v>43689</v>
      </c>
      <c r="V2072" s="2"/>
      <c r="W2072" s="1">
        <f>fNotasFiscais[[#This Row],[Data da Coleta]]+fNotasFiscais[[#This Row],[Prazo Contratado]]</f>
        <v>43687</v>
      </c>
      <c r="X2072" s="3">
        <f>IF(fNotasFiscais[[#This Row],[Data da Entrega]]&gt;fNotasFiscais[[#This Row],[Data Contratada]],0,1)</f>
        <v>0</v>
      </c>
      <c r="Y2072" s="3">
        <f>IF(fNotasFiscais[[#This Row],[Ocorrência]]="",1,0)</f>
        <v>1</v>
      </c>
      <c r="Z2072" s="2">
        <f>fNotasFiscais[[#This Row],[On Time]]*fNotasFiscais[[#This Row],[In Full]]</f>
        <v>0</v>
      </c>
      <c r="AA2072">
        <f>IF(fNotasFiscais[[#This Row],[Nota Fiscal]]&lt;&gt;"",1,0)</f>
        <v>1</v>
      </c>
    </row>
    <row r="2073" spans="1:27" x14ac:dyDescent="0.25">
      <c r="A2073" s="1">
        <v>43680</v>
      </c>
      <c r="B2073">
        <v>12482</v>
      </c>
      <c r="C2073" s="2" t="s">
        <v>43</v>
      </c>
      <c r="D2073" s="2" t="s">
        <v>44</v>
      </c>
      <c r="E2073" s="2" t="s">
        <v>45</v>
      </c>
      <c r="F2073">
        <v>4113</v>
      </c>
      <c r="G2073" s="2" t="s">
        <v>196</v>
      </c>
      <c r="H2073" s="2" t="s">
        <v>44</v>
      </c>
      <c r="I2073" s="2" t="s">
        <v>45</v>
      </c>
      <c r="J2073" s="2" t="s">
        <v>60</v>
      </c>
      <c r="K2073" s="2" t="s">
        <v>45</v>
      </c>
      <c r="L2073">
        <v>2285.9</v>
      </c>
      <c r="M2073">
        <v>2</v>
      </c>
      <c r="N2073">
        <v>15.688000000000001</v>
      </c>
      <c r="O2073">
        <v>6140092</v>
      </c>
      <c r="P2073" s="2" t="s">
        <v>137</v>
      </c>
      <c r="Q2073" s="2" t="s">
        <v>138</v>
      </c>
      <c r="R2073" s="2" t="s">
        <v>30</v>
      </c>
      <c r="S2073">
        <v>1</v>
      </c>
      <c r="T2073" s="1">
        <v>43680</v>
      </c>
      <c r="U2073" s="1">
        <v>43686</v>
      </c>
      <c r="V2073" s="2"/>
      <c r="W2073" s="1">
        <f>fNotasFiscais[[#This Row],[Data da Coleta]]+fNotasFiscais[[#This Row],[Prazo Contratado]]</f>
        <v>43681</v>
      </c>
      <c r="X2073" s="3">
        <f>IF(fNotasFiscais[[#This Row],[Data da Entrega]]&gt;fNotasFiscais[[#This Row],[Data Contratada]],0,1)</f>
        <v>0</v>
      </c>
      <c r="Y2073" s="3">
        <f>IF(fNotasFiscais[[#This Row],[Ocorrência]]="",1,0)</f>
        <v>1</v>
      </c>
      <c r="Z2073" s="2">
        <f>fNotasFiscais[[#This Row],[On Time]]*fNotasFiscais[[#This Row],[In Full]]</f>
        <v>0</v>
      </c>
      <c r="AA2073">
        <f>IF(fNotasFiscais[[#This Row],[Nota Fiscal]]&lt;&gt;"",1,0)</f>
        <v>1</v>
      </c>
    </row>
    <row r="2074" spans="1:27" x14ac:dyDescent="0.25">
      <c r="A2074" s="1">
        <v>43680</v>
      </c>
      <c r="B2074">
        <v>12483</v>
      </c>
      <c r="C2074" s="2" t="s">
        <v>52</v>
      </c>
      <c r="D2074" s="2" t="s">
        <v>53</v>
      </c>
      <c r="E2074" s="2" t="s">
        <v>33</v>
      </c>
      <c r="F2074">
        <v>4113</v>
      </c>
      <c r="G2074" s="2" t="s">
        <v>196</v>
      </c>
      <c r="H2074" s="2" t="s">
        <v>44</v>
      </c>
      <c r="I2074" s="2" t="s">
        <v>45</v>
      </c>
      <c r="J2074" s="2" t="s">
        <v>60</v>
      </c>
      <c r="K2074" s="2" t="s">
        <v>45</v>
      </c>
      <c r="L2074">
        <v>2050.6799999999998</v>
      </c>
      <c r="M2074">
        <v>6</v>
      </c>
      <c r="N2074">
        <v>6.1379999999999999</v>
      </c>
      <c r="O2074">
        <v>6140092</v>
      </c>
      <c r="P2074" s="2" t="s">
        <v>137</v>
      </c>
      <c r="Q2074" s="2" t="s">
        <v>138</v>
      </c>
      <c r="R2074" s="2" t="s">
        <v>30</v>
      </c>
      <c r="S2074">
        <v>2</v>
      </c>
      <c r="T2074" s="1">
        <v>43680</v>
      </c>
      <c r="U2074" s="1">
        <v>43685</v>
      </c>
      <c r="V2074" s="2" t="s">
        <v>42</v>
      </c>
      <c r="W2074" s="1">
        <f>fNotasFiscais[[#This Row],[Data da Coleta]]+fNotasFiscais[[#This Row],[Prazo Contratado]]</f>
        <v>43682</v>
      </c>
      <c r="X2074" s="3">
        <f>IF(fNotasFiscais[[#This Row],[Data da Entrega]]&gt;fNotasFiscais[[#This Row],[Data Contratada]],0,1)</f>
        <v>0</v>
      </c>
      <c r="Y2074" s="3">
        <f>IF(fNotasFiscais[[#This Row],[Ocorrência]]="",1,0)</f>
        <v>0</v>
      </c>
      <c r="Z2074" s="2">
        <f>fNotasFiscais[[#This Row],[On Time]]*fNotasFiscais[[#This Row],[In Full]]</f>
        <v>0</v>
      </c>
      <c r="AA2074">
        <f>IF(fNotasFiscais[[#This Row],[Nota Fiscal]]&lt;&gt;"",1,0)</f>
        <v>1</v>
      </c>
    </row>
    <row r="2075" spans="1:27" x14ac:dyDescent="0.25">
      <c r="A2075" s="1">
        <v>43680</v>
      </c>
      <c r="B2075">
        <v>12484</v>
      </c>
      <c r="C2075" s="2" t="s">
        <v>31</v>
      </c>
      <c r="D2075" s="2" t="s">
        <v>32</v>
      </c>
      <c r="E2075" s="2" t="s">
        <v>33</v>
      </c>
      <c r="F2075">
        <v>4126</v>
      </c>
      <c r="G2075" s="2" t="s">
        <v>209</v>
      </c>
      <c r="H2075" s="2" t="s">
        <v>35</v>
      </c>
      <c r="I2075" s="2" t="s">
        <v>36</v>
      </c>
      <c r="J2075" s="2" t="s">
        <v>60</v>
      </c>
      <c r="K2075" s="2" t="s">
        <v>36</v>
      </c>
      <c r="L2075">
        <v>1058.1099999999999</v>
      </c>
      <c r="M2075">
        <v>1</v>
      </c>
      <c r="N2075">
        <v>1.1200000000000001</v>
      </c>
      <c r="O2075">
        <v>6600879</v>
      </c>
      <c r="P2075" s="2" t="s">
        <v>61</v>
      </c>
      <c r="Q2075" s="2" t="s">
        <v>35</v>
      </c>
      <c r="R2075" s="2" t="s">
        <v>30</v>
      </c>
      <c r="S2075">
        <v>5</v>
      </c>
      <c r="T2075" s="1">
        <v>43680</v>
      </c>
      <c r="U2075" s="1">
        <v>43690</v>
      </c>
      <c r="V2075" s="2"/>
      <c r="W2075" s="1">
        <f>fNotasFiscais[[#This Row],[Data da Coleta]]+fNotasFiscais[[#This Row],[Prazo Contratado]]</f>
        <v>43685</v>
      </c>
      <c r="X2075" s="3">
        <f>IF(fNotasFiscais[[#This Row],[Data da Entrega]]&gt;fNotasFiscais[[#This Row],[Data Contratada]],0,1)</f>
        <v>0</v>
      </c>
      <c r="Y2075" s="3">
        <f>IF(fNotasFiscais[[#This Row],[Ocorrência]]="",1,0)</f>
        <v>1</v>
      </c>
      <c r="Z2075" s="2">
        <f>fNotasFiscais[[#This Row],[On Time]]*fNotasFiscais[[#This Row],[In Full]]</f>
        <v>0</v>
      </c>
      <c r="AA2075">
        <f>IF(fNotasFiscais[[#This Row],[Nota Fiscal]]&lt;&gt;"",1,0)</f>
        <v>1</v>
      </c>
    </row>
    <row r="2076" spans="1:27" x14ac:dyDescent="0.25">
      <c r="A2076" s="1">
        <v>43680</v>
      </c>
      <c r="B2076">
        <v>12485</v>
      </c>
      <c r="C2076" s="2" t="s">
        <v>43</v>
      </c>
      <c r="D2076" s="2" t="s">
        <v>44</v>
      </c>
      <c r="E2076" s="2" t="s">
        <v>45</v>
      </c>
      <c r="F2076">
        <v>4126</v>
      </c>
      <c r="G2076" s="2" t="s">
        <v>209</v>
      </c>
      <c r="H2076" s="2" t="s">
        <v>35</v>
      </c>
      <c r="I2076" s="2" t="s">
        <v>36</v>
      </c>
      <c r="J2076" s="2" t="s">
        <v>60</v>
      </c>
      <c r="K2076" s="2" t="s">
        <v>36</v>
      </c>
      <c r="L2076">
        <v>3057.89</v>
      </c>
      <c r="M2076">
        <v>10</v>
      </c>
      <c r="N2076">
        <v>19.821999999999999</v>
      </c>
      <c r="O2076">
        <v>6600879</v>
      </c>
      <c r="P2076" s="2" t="s">
        <v>61</v>
      </c>
      <c r="Q2076" s="2" t="s">
        <v>35</v>
      </c>
      <c r="R2076" s="2" t="s">
        <v>30</v>
      </c>
      <c r="S2076">
        <v>5</v>
      </c>
      <c r="T2076" s="1">
        <v>43680</v>
      </c>
      <c r="U2076" s="1">
        <v>43681</v>
      </c>
      <c r="V2076" s="2"/>
      <c r="W2076" s="1">
        <f>fNotasFiscais[[#This Row],[Data da Coleta]]+fNotasFiscais[[#This Row],[Prazo Contratado]]</f>
        <v>43685</v>
      </c>
      <c r="X2076" s="3">
        <f>IF(fNotasFiscais[[#This Row],[Data da Entrega]]&gt;fNotasFiscais[[#This Row],[Data Contratada]],0,1)</f>
        <v>1</v>
      </c>
      <c r="Y2076" s="3">
        <f>IF(fNotasFiscais[[#This Row],[Ocorrência]]="",1,0)</f>
        <v>1</v>
      </c>
      <c r="Z2076" s="2">
        <f>fNotasFiscais[[#This Row],[On Time]]*fNotasFiscais[[#This Row],[In Full]]</f>
        <v>1</v>
      </c>
      <c r="AA2076">
        <f>IF(fNotasFiscais[[#This Row],[Nota Fiscal]]&lt;&gt;"",1,0)</f>
        <v>1</v>
      </c>
    </row>
    <row r="2077" spans="1:27" x14ac:dyDescent="0.25">
      <c r="A2077" s="1">
        <v>43681</v>
      </c>
      <c r="B2077">
        <v>12486</v>
      </c>
      <c r="C2077" s="2" t="s">
        <v>40</v>
      </c>
      <c r="D2077" s="2" t="s">
        <v>41</v>
      </c>
      <c r="E2077" s="2" t="s">
        <v>33</v>
      </c>
      <c r="F2077">
        <v>4069</v>
      </c>
      <c r="G2077" s="2" t="s">
        <v>135</v>
      </c>
      <c r="H2077" s="2" t="s">
        <v>47</v>
      </c>
      <c r="I2077" s="2" t="s">
        <v>48</v>
      </c>
      <c r="J2077" s="2" t="s">
        <v>49</v>
      </c>
      <c r="K2077" s="2" t="s">
        <v>48</v>
      </c>
      <c r="L2077">
        <v>4685.8100000000004</v>
      </c>
      <c r="M2077">
        <v>1</v>
      </c>
      <c r="N2077">
        <v>1.1200000000000001</v>
      </c>
      <c r="O2077">
        <v>6100231</v>
      </c>
      <c r="P2077" s="2" t="s">
        <v>50</v>
      </c>
      <c r="Q2077" s="2" t="s">
        <v>51</v>
      </c>
      <c r="R2077" s="2" t="s">
        <v>30</v>
      </c>
      <c r="S2077">
        <v>2</v>
      </c>
      <c r="T2077" s="1">
        <v>43681</v>
      </c>
      <c r="U2077" s="1">
        <v>43691</v>
      </c>
      <c r="V2077" s="2"/>
      <c r="W2077" s="1">
        <f>fNotasFiscais[[#This Row],[Data da Coleta]]+fNotasFiscais[[#This Row],[Prazo Contratado]]</f>
        <v>43683</v>
      </c>
      <c r="X2077" s="3">
        <f>IF(fNotasFiscais[[#This Row],[Data da Entrega]]&gt;fNotasFiscais[[#This Row],[Data Contratada]],0,1)</f>
        <v>0</v>
      </c>
      <c r="Y2077" s="3">
        <f>IF(fNotasFiscais[[#This Row],[Ocorrência]]="",1,0)</f>
        <v>1</v>
      </c>
      <c r="Z2077" s="2">
        <f>fNotasFiscais[[#This Row],[On Time]]*fNotasFiscais[[#This Row],[In Full]]</f>
        <v>0</v>
      </c>
      <c r="AA2077">
        <f>IF(fNotasFiscais[[#This Row],[Nota Fiscal]]&lt;&gt;"",1,0)</f>
        <v>1</v>
      </c>
    </row>
    <row r="2078" spans="1:27" x14ac:dyDescent="0.25">
      <c r="A2078" s="1">
        <v>43683</v>
      </c>
      <c r="B2078">
        <v>12487</v>
      </c>
      <c r="C2078" s="2" t="s">
        <v>40</v>
      </c>
      <c r="D2078" s="2" t="s">
        <v>41</v>
      </c>
      <c r="E2078" s="2" t="s">
        <v>33</v>
      </c>
      <c r="F2078">
        <v>4144</v>
      </c>
      <c r="G2078" s="2" t="s">
        <v>227</v>
      </c>
      <c r="H2078" s="2" t="s">
        <v>183</v>
      </c>
      <c r="I2078" s="2" t="s">
        <v>33</v>
      </c>
      <c r="J2078" s="2" t="s">
        <v>60</v>
      </c>
      <c r="K2078" s="2" t="s">
        <v>33</v>
      </c>
      <c r="L2078">
        <v>4774.04</v>
      </c>
      <c r="M2078">
        <v>4</v>
      </c>
      <c r="N2078">
        <v>47.353000000000002</v>
      </c>
      <c r="O2078">
        <v>6400835</v>
      </c>
      <c r="P2078" s="2" t="s">
        <v>130</v>
      </c>
      <c r="Q2078" s="2" t="s">
        <v>131</v>
      </c>
      <c r="R2078" s="2" t="s">
        <v>30</v>
      </c>
      <c r="S2078">
        <v>1</v>
      </c>
      <c r="T2078" s="1">
        <v>43683</v>
      </c>
      <c r="U2078" s="1">
        <v>43693</v>
      </c>
      <c r="V2078" s="2"/>
      <c r="W2078" s="1">
        <f>fNotasFiscais[[#This Row],[Data da Coleta]]+fNotasFiscais[[#This Row],[Prazo Contratado]]</f>
        <v>43684</v>
      </c>
      <c r="X2078" s="3">
        <f>IF(fNotasFiscais[[#This Row],[Data da Entrega]]&gt;fNotasFiscais[[#This Row],[Data Contratada]],0,1)</f>
        <v>0</v>
      </c>
      <c r="Y2078" s="3">
        <f>IF(fNotasFiscais[[#This Row],[Ocorrência]]="",1,0)</f>
        <v>1</v>
      </c>
      <c r="Z2078" s="2">
        <f>fNotasFiscais[[#This Row],[On Time]]*fNotasFiscais[[#This Row],[In Full]]</f>
        <v>0</v>
      </c>
      <c r="AA2078">
        <f>IF(fNotasFiscais[[#This Row],[Nota Fiscal]]&lt;&gt;"",1,0)</f>
        <v>1</v>
      </c>
    </row>
    <row r="2079" spans="1:27" x14ac:dyDescent="0.25">
      <c r="A2079" s="1">
        <v>43683</v>
      </c>
      <c r="B2079">
        <v>12488</v>
      </c>
      <c r="C2079" s="2" t="s">
        <v>40</v>
      </c>
      <c r="D2079" s="2" t="s">
        <v>41</v>
      </c>
      <c r="E2079" s="2" t="s">
        <v>33</v>
      </c>
      <c r="F2079">
        <v>4153</v>
      </c>
      <c r="G2079" s="2" t="s">
        <v>236</v>
      </c>
      <c r="H2079" s="2" t="s">
        <v>44</v>
      </c>
      <c r="I2079" s="2" t="s">
        <v>45</v>
      </c>
      <c r="J2079" s="2" t="s">
        <v>60</v>
      </c>
      <c r="K2079" s="2" t="s">
        <v>45</v>
      </c>
      <c r="L2079">
        <v>1048.76</v>
      </c>
      <c r="M2079">
        <v>2</v>
      </c>
      <c r="N2079">
        <v>7.92</v>
      </c>
      <c r="O2079">
        <v>6140092</v>
      </c>
      <c r="P2079" s="2" t="s">
        <v>137</v>
      </c>
      <c r="Q2079" s="2" t="s">
        <v>138</v>
      </c>
      <c r="R2079" s="2" t="s">
        <v>30</v>
      </c>
      <c r="S2079">
        <v>11</v>
      </c>
      <c r="T2079" s="1">
        <v>43683</v>
      </c>
      <c r="U2079" s="1">
        <v>43687</v>
      </c>
      <c r="V2079" s="2"/>
      <c r="W2079" s="1">
        <f>fNotasFiscais[[#This Row],[Data da Coleta]]+fNotasFiscais[[#This Row],[Prazo Contratado]]</f>
        <v>43694</v>
      </c>
      <c r="X2079" s="3">
        <f>IF(fNotasFiscais[[#This Row],[Data da Entrega]]&gt;fNotasFiscais[[#This Row],[Data Contratada]],0,1)</f>
        <v>1</v>
      </c>
      <c r="Y2079" s="3">
        <f>IF(fNotasFiscais[[#This Row],[Ocorrência]]="",1,0)</f>
        <v>1</v>
      </c>
      <c r="Z2079" s="2">
        <f>fNotasFiscais[[#This Row],[On Time]]*fNotasFiscais[[#This Row],[In Full]]</f>
        <v>1</v>
      </c>
      <c r="AA2079">
        <f>IF(fNotasFiscais[[#This Row],[Nota Fiscal]]&lt;&gt;"",1,0)</f>
        <v>1</v>
      </c>
    </row>
    <row r="2080" spans="1:27" x14ac:dyDescent="0.25">
      <c r="A2080" s="1">
        <v>43683</v>
      </c>
      <c r="B2080">
        <v>12489</v>
      </c>
      <c r="C2080" s="2" t="s">
        <v>52</v>
      </c>
      <c r="D2080" s="2" t="s">
        <v>53</v>
      </c>
      <c r="E2080" s="2" t="s">
        <v>33</v>
      </c>
      <c r="F2080">
        <v>4060</v>
      </c>
      <c r="G2080" s="2" t="s">
        <v>134</v>
      </c>
      <c r="H2080" s="2" t="s">
        <v>115</v>
      </c>
      <c r="I2080" s="2" t="s">
        <v>107</v>
      </c>
      <c r="J2080" s="2" t="s">
        <v>49</v>
      </c>
      <c r="K2080" s="2" t="s">
        <v>107</v>
      </c>
      <c r="L2080">
        <v>2494.84</v>
      </c>
      <c r="M2080">
        <v>3</v>
      </c>
      <c r="N2080">
        <v>22.013999999999999</v>
      </c>
      <c r="O2080">
        <v>6100231</v>
      </c>
      <c r="P2080" s="2" t="s">
        <v>50</v>
      </c>
      <c r="Q2080" s="2" t="s">
        <v>51</v>
      </c>
      <c r="R2080" s="2" t="s">
        <v>30</v>
      </c>
      <c r="S2080">
        <v>11</v>
      </c>
      <c r="T2080" s="1">
        <v>43683</v>
      </c>
      <c r="U2080" s="1">
        <v>43688</v>
      </c>
      <c r="V2080" s="2"/>
      <c r="W2080" s="1">
        <f>fNotasFiscais[[#This Row],[Data da Coleta]]+fNotasFiscais[[#This Row],[Prazo Contratado]]</f>
        <v>43694</v>
      </c>
      <c r="X2080" s="3">
        <f>IF(fNotasFiscais[[#This Row],[Data da Entrega]]&gt;fNotasFiscais[[#This Row],[Data Contratada]],0,1)</f>
        <v>1</v>
      </c>
      <c r="Y2080" s="3">
        <f>IF(fNotasFiscais[[#This Row],[Ocorrência]]="",1,0)</f>
        <v>1</v>
      </c>
      <c r="Z2080" s="2">
        <f>fNotasFiscais[[#This Row],[On Time]]*fNotasFiscais[[#This Row],[In Full]]</f>
        <v>1</v>
      </c>
      <c r="AA2080">
        <f>IF(fNotasFiscais[[#This Row],[Nota Fiscal]]&lt;&gt;"",1,0)</f>
        <v>1</v>
      </c>
    </row>
    <row r="2081" spans="1:27" x14ac:dyDescent="0.25">
      <c r="A2081" s="1">
        <v>43683</v>
      </c>
      <c r="B2081">
        <v>12490</v>
      </c>
      <c r="C2081" s="2" t="s">
        <v>22</v>
      </c>
      <c r="D2081" s="2" t="s">
        <v>23</v>
      </c>
      <c r="E2081" s="2" t="s">
        <v>24</v>
      </c>
      <c r="F2081">
        <v>4023</v>
      </c>
      <c r="G2081" s="2" t="s">
        <v>88</v>
      </c>
      <c r="H2081" s="2" t="s">
        <v>78</v>
      </c>
      <c r="I2081" s="2" t="s">
        <v>39</v>
      </c>
      <c r="J2081" s="2" t="s">
        <v>28</v>
      </c>
      <c r="K2081" s="2" t="s">
        <v>39</v>
      </c>
      <c r="L2081">
        <v>1499.4</v>
      </c>
      <c r="M2081">
        <v>1</v>
      </c>
      <c r="N2081">
        <v>4.6180000000000003</v>
      </c>
      <c r="O2081">
        <v>6500948</v>
      </c>
      <c r="P2081" s="2" t="s">
        <v>29</v>
      </c>
      <c r="Q2081" s="2" t="s">
        <v>23</v>
      </c>
      <c r="R2081" s="2" t="s">
        <v>30</v>
      </c>
      <c r="S2081">
        <v>5</v>
      </c>
      <c r="T2081" s="1">
        <v>43683</v>
      </c>
      <c r="U2081" s="1">
        <v>43685</v>
      </c>
      <c r="V2081" s="2"/>
      <c r="W2081" s="1">
        <f>fNotasFiscais[[#This Row],[Data da Coleta]]+fNotasFiscais[[#This Row],[Prazo Contratado]]</f>
        <v>43688</v>
      </c>
      <c r="X2081" s="3">
        <f>IF(fNotasFiscais[[#This Row],[Data da Entrega]]&gt;fNotasFiscais[[#This Row],[Data Contratada]],0,1)</f>
        <v>1</v>
      </c>
      <c r="Y2081" s="3">
        <f>IF(fNotasFiscais[[#This Row],[Ocorrência]]="",1,0)</f>
        <v>1</v>
      </c>
      <c r="Z2081" s="2">
        <f>fNotasFiscais[[#This Row],[On Time]]*fNotasFiscais[[#This Row],[In Full]]</f>
        <v>1</v>
      </c>
      <c r="AA2081">
        <f>IF(fNotasFiscais[[#This Row],[Nota Fiscal]]&lt;&gt;"",1,0)</f>
        <v>1</v>
      </c>
    </row>
    <row r="2082" spans="1:27" x14ac:dyDescent="0.25">
      <c r="A2082" s="1">
        <v>43684</v>
      </c>
      <c r="B2082">
        <v>12491</v>
      </c>
      <c r="C2082" s="2" t="s">
        <v>34</v>
      </c>
      <c r="D2082" s="2" t="s">
        <v>35</v>
      </c>
      <c r="E2082" s="2" t="s">
        <v>36</v>
      </c>
      <c r="F2082">
        <v>4068</v>
      </c>
      <c r="G2082" s="2" t="s">
        <v>63</v>
      </c>
      <c r="H2082" s="2" t="s">
        <v>64</v>
      </c>
      <c r="I2082" s="2" t="s">
        <v>65</v>
      </c>
      <c r="J2082" s="2" t="s">
        <v>49</v>
      </c>
      <c r="K2082" s="2" t="s">
        <v>65</v>
      </c>
      <c r="L2082">
        <v>754.05</v>
      </c>
      <c r="M2082">
        <v>1</v>
      </c>
      <c r="N2082">
        <v>3.52</v>
      </c>
      <c r="O2082">
        <v>6100231</v>
      </c>
      <c r="P2082" s="2" t="s">
        <v>50</v>
      </c>
      <c r="Q2082" s="2" t="s">
        <v>51</v>
      </c>
      <c r="R2082" s="2" t="s">
        <v>30</v>
      </c>
      <c r="S2082">
        <v>7</v>
      </c>
      <c r="T2082" s="1">
        <v>43684</v>
      </c>
      <c r="U2082" s="1">
        <v>43692</v>
      </c>
      <c r="V2082" s="2"/>
      <c r="W2082" s="1">
        <f>fNotasFiscais[[#This Row],[Data da Coleta]]+fNotasFiscais[[#This Row],[Prazo Contratado]]</f>
        <v>43691</v>
      </c>
      <c r="X2082" s="3">
        <f>IF(fNotasFiscais[[#This Row],[Data da Entrega]]&gt;fNotasFiscais[[#This Row],[Data Contratada]],0,1)</f>
        <v>0</v>
      </c>
      <c r="Y2082" s="3">
        <f>IF(fNotasFiscais[[#This Row],[Ocorrência]]="",1,0)</f>
        <v>1</v>
      </c>
      <c r="Z2082" s="2">
        <f>fNotasFiscais[[#This Row],[On Time]]*fNotasFiscais[[#This Row],[In Full]]</f>
        <v>0</v>
      </c>
      <c r="AA2082">
        <f>IF(fNotasFiscais[[#This Row],[Nota Fiscal]]&lt;&gt;"",1,0)</f>
        <v>1</v>
      </c>
    </row>
    <row r="2083" spans="1:27" x14ac:dyDescent="0.25">
      <c r="A2083" s="1">
        <v>43684</v>
      </c>
      <c r="B2083">
        <v>12492</v>
      </c>
      <c r="C2083" s="2" t="s">
        <v>22</v>
      </c>
      <c r="D2083" s="2" t="s">
        <v>23</v>
      </c>
      <c r="E2083" s="2" t="s">
        <v>24</v>
      </c>
      <c r="F2083">
        <v>4032</v>
      </c>
      <c r="G2083" s="2" t="s">
        <v>108</v>
      </c>
      <c r="H2083" s="2" t="s">
        <v>51</v>
      </c>
      <c r="I2083" s="2" t="s">
        <v>73</v>
      </c>
      <c r="J2083" s="2" t="s">
        <v>49</v>
      </c>
      <c r="K2083" s="2" t="s">
        <v>73</v>
      </c>
      <c r="L2083">
        <v>2181.04</v>
      </c>
      <c r="M2083">
        <v>3</v>
      </c>
      <c r="N2083">
        <v>11.88</v>
      </c>
      <c r="O2083">
        <v>6100231</v>
      </c>
      <c r="P2083" s="2" t="s">
        <v>50</v>
      </c>
      <c r="Q2083" s="2" t="s">
        <v>51</v>
      </c>
      <c r="R2083" s="2" t="s">
        <v>30</v>
      </c>
      <c r="S2083">
        <v>2</v>
      </c>
      <c r="T2083" s="1">
        <v>43684</v>
      </c>
      <c r="U2083" s="1">
        <v>43686</v>
      </c>
      <c r="V2083" s="2"/>
      <c r="W2083" s="1">
        <f>fNotasFiscais[[#This Row],[Data da Coleta]]+fNotasFiscais[[#This Row],[Prazo Contratado]]</f>
        <v>43686</v>
      </c>
      <c r="X2083" s="3">
        <f>IF(fNotasFiscais[[#This Row],[Data da Entrega]]&gt;fNotasFiscais[[#This Row],[Data Contratada]],0,1)</f>
        <v>1</v>
      </c>
      <c r="Y2083" s="3">
        <f>IF(fNotasFiscais[[#This Row],[Ocorrência]]="",1,0)</f>
        <v>1</v>
      </c>
      <c r="Z2083" s="2">
        <f>fNotasFiscais[[#This Row],[On Time]]*fNotasFiscais[[#This Row],[In Full]]</f>
        <v>1</v>
      </c>
      <c r="AA2083">
        <f>IF(fNotasFiscais[[#This Row],[Nota Fiscal]]&lt;&gt;"",1,0)</f>
        <v>1</v>
      </c>
    </row>
    <row r="2084" spans="1:27" x14ac:dyDescent="0.25">
      <c r="A2084" s="1">
        <v>43685</v>
      </c>
      <c r="B2084">
        <v>12493</v>
      </c>
      <c r="C2084" s="2" t="s">
        <v>40</v>
      </c>
      <c r="D2084" s="2" t="s">
        <v>41</v>
      </c>
      <c r="E2084" s="2" t="s">
        <v>33</v>
      </c>
      <c r="F2084">
        <v>4056</v>
      </c>
      <c r="G2084" s="2" t="s">
        <v>119</v>
      </c>
      <c r="H2084" s="2" t="s">
        <v>51</v>
      </c>
      <c r="I2084" s="2" t="s">
        <v>73</v>
      </c>
      <c r="J2084" s="2" t="s">
        <v>49</v>
      </c>
      <c r="K2084" s="2" t="s">
        <v>73</v>
      </c>
      <c r="L2084">
        <v>1123.82</v>
      </c>
      <c r="M2084">
        <v>2</v>
      </c>
      <c r="N2084">
        <v>10.182</v>
      </c>
      <c r="O2084">
        <v>6100231</v>
      </c>
      <c r="P2084" s="2" t="s">
        <v>50</v>
      </c>
      <c r="Q2084" s="2" t="s">
        <v>51</v>
      </c>
      <c r="R2084" s="2" t="s">
        <v>30</v>
      </c>
      <c r="S2084">
        <v>10</v>
      </c>
      <c r="T2084" s="1">
        <v>43685</v>
      </c>
      <c r="U2084" s="1">
        <v>43689</v>
      </c>
      <c r="V2084" s="2"/>
      <c r="W2084" s="1">
        <f>fNotasFiscais[[#This Row],[Data da Coleta]]+fNotasFiscais[[#This Row],[Prazo Contratado]]</f>
        <v>43695</v>
      </c>
      <c r="X2084" s="3">
        <f>IF(fNotasFiscais[[#This Row],[Data da Entrega]]&gt;fNotasFiscais[[#This Row],[Data Contratada]],0,1)</f>
        <v>1</v>
      </c>
      <c r="Y2084" s="3">
        <f>IF(fNotasFiscais[[#This Row],[Ocorrência]]="",1,0)</f>
        <v>1</v>
      </c>
      <c r="Z2084" s="2">
        <f>fNotasFiscais[[#This Row],[On Time]]*fNotasFiscais[[#This Row],[In Full]]</f>
        <v>1</v>
      </c>
      <c r="AA2084">
        <f>IF(fNotasFiscais[[#This Row],[Nota Fiscal]]&lt;&gt;"",1,0)</f>
        <v>1</v>
      </c>
    </row>
    <row r="2085" spans="1:27" x14ac:dyDescent="0.25">
      <c r="A2085" s="1">
        <v>43685</v>
      </c>
      <c r="B2085">
        <v>12494</v>
      </c>
      <c r="C2085" s="2" t="s">
        <v>34</v>
      </c>
      <c r="D2085" s="2" t="s">
        <v>35</v>
      </c>
      <c r="E2085" s="2" t="s">
        <v>36</v>
      </c>
      <c r="F2085">
        <v>4148</v>
      </c>
      <c r="G2085" s="2" t="s">
        <v>231</v>
      </c>
      <c r="H2085" s="2" t="s">
        <v>32</v>
      </c>
      <c r="I2085" s="2" t="s">
        <v>33</v>
      </c>
      <c r="J2085" s="2" t="s">
        <v>60</v>
      </c>
      <c r="K2085" s="2" t="s">
        <v>33</v>
      </c>
      <c r="L2085">
        <v>842.03</v>
      </c>
      <c r="M2085">
        <v>1</v>
      </c>
      <c r="N2085">
        <v>5.7759999999999998</v>
      </c>
      <c r="O2085">
        <v>6400835</v>
      </c>
      <c r="P2085" s="2" t="s">
        <v>130</v>
      </c>
      <c r="Q2085" s="2" t="s">
        <v>131</v>
      </c>
      <c r="R2085" s="2" t="s">
        <v>30</v>
      </c>
      <c r="S2085">
        <v>5</v>
      </c>
      <c r="T2085" s="1">
        <v>43685</v>
      </c>
      <c r="U2085" s="1">
        <v>43688</v>
      </c>
      <c r="V2085" s="2"/>
      <c r="W2085" s="1">
        <f>fNotasFiscais[[#This Row],[Data da Coleta]]+fNotasFiscais[[#This Row],[Prazo Contratado]]</f>
        <v>43690</v>
      </c>
      <c r="X2085" s="3">
        <f>IF(fNotasFiscais[[#This Row],[Data da Entrega]]&gt;fNotasFiscais[[#This Row],[Data Contratada]],0,1)</f>
        <v>1</v>
      </c>
      <c r="Y2085" s="3">
        <f>IF(fNotasFiscais[[#This Row],[Ocorrência]]="",1,0)</f>
        <v>1</v>
      </c>
      <c r="Z2085" s="2">
        <f>fNotasFiscais[[#This Row],[On Time]]*fNotasFiscais[[#This Row],[In Full]]</f>
        <v>1</v>
      </c>
      <c r="AA2085">
        <f>IF(fNotasFiscais[[#This Row],[Nota Fiscal]]&lt;&gt;"",1,0)</f>
        <v>1</v>
      </c>
    </row>
    <row r="2086" spans="1:27" x14ac:dyDescent="0.25">
      <c r="A2086" s="1">
        <v>43685</v>
      </c>
      <c r="B2086">
        <v>12495</v>
      </c>
      <c r="C2086" s="2" t="s">
        <v>34</v>
      </c>
      <c r="D2086" s="2" t="s">
        <v>35</v>
      </c>
      <c r="E2086" s="2" t="s">
        <v>36</v>
      </c>
      <c r="F2086">
        <v>4157</v>
      </c>
      <c r="G2086" s="2" t="s">
        <v>240</v>
      </c>
      <c r="H2086" s="2" t="s">
        <v>35</v>
      </c>
      <c r="I2086" s="2" t="s">
        <v>36</v>
      </c>
      <c r="J2086" s="2" t="s">
        <v>60</v>
      </c>
      <c r="K2086" s="2" t="s">
        <v>36</v>
      </c>
      <c r="L2086">
        <v>3080.34</v>
      </c>
      <c r="M2086">
        <v>5</v>
      </c>
      <c r="N2086">
        <v>26.23</v>
      </c>
      <c r="O2086">
        <v>6600879</v>
      </c>
      <c r="P2086" s="2" t="s">
        <v>61</v>
      </c>
      <c r="Q2086" s="2" t="s">
        <v>35</v>
      </c>
      <c r="R2086" s="2" t="s">
        <v>30</v>
      </c>
      <c r="S2086">
        <v>3</v>
      </c>
      <c r="T2086" s="1">
        <v>43685</v>
      </c>
      <c r="U2086" s="1">
        <v>43694</v>
      </c>
      <c r="V2086" s="2"/>
      <c r="W2086" s="1">
        <f>fNotasFiscais[[#This Row],[Data da Coleta]]+fNotasFiscais[[#This Row],[Prazo Contratado]]</f>
        <v>43688</v>
      </c>
      <c r="X2086" s="3">
        <f>IF(fNotasFiscais[[#This Row],[Data da Entrega]]&gt;fNotasFiscais[[#This Row],[Data Contratada]],0,1)</f>
        <v>0</v>
      </c>
      <c r="Y2086" s="3">
        <f>IF(fNotasFiscais[[#This Row],[Ocorrência]]="",1,0)</f>
        <v>1</v>
      </c>
      <c r="Z2086" s="2">
        <f>fNotasFiscais[[#This Row],[On Time]]*fNotasFiscais[[#This Row],[In Full]]</f>
        <v>0</v>
      </c>
      <c r="AA2086">
        <f>IF(fNotasFiscais[[#This Row],[Nota Fiscal]]&lt;&gt;"",1,0)</f>
        <v>1</v>
      </c>
    </row>
    <row r="2087" spans="1:27" x14ac:dyDescent="0.25">
      <c r="A2087" s="1">
        <v>43685</v>
      </c>
      <c r="B2087">
        <v>12496</v>
      </c>
      <c r="C2087" s="2" t="s">
        <v>34</v>
      </c>
      <c r="D2087" s="2" t="s">
        <v>35</v>
      </c>
      <c r="E2087" s="2" t="s">
        <v>36</v>
      </c>
      <c r="F2087">
        <v>4147</v>
      </c>
      <c r="G2087" s="2" t="s">
        <v>230</v>
      </c>
      <c r="H2087" s="2" t="s">
        <v>35</v>
      </c>
      <c r="I2087" s="2" t="s">
        <v>36</v>
      </c>
      <c r="J2087" s="2" t="s">
        <v>60</v>
      </c>
      <c r="K2087" s="2" t="s">
        <v>36</v>
      </c>
      <c r="L2087">
        <v>2953.61</v>
      </c>
      <c r="M2087">
        <v>3</v>
      </c>
      <c r="N2087">
        <v>14.85</v>
      </c>
      <c r="O2087">
        <v>6600879</v>
      </c>
      <c r="P2087" s="2" t="s">
        <v>61</v>
      </c>
      <c r="Q2087" s="2" t="s">
        <v>35</v>
      </c>
      <c r="R2087" s="2" t="s">
        <v>30</v>
      </c>
      <c r="S2087">
        <v>8</v>
      </c>
      <c r="T2087" s="1">
        <v>43685</v>
      </c>
      <c r="U2087" s="1">
        <v>43689</v>
      </c>
      <c r="V2087" s="2"/>
      <c r="W2087" s="1">
        <f>fNotasFiscais[[#This Row],[Data da Coleta]]+fNotasFiscais[[#This Row],[Prazo Contratado]]</f>
        <v>43693</v>
      </c>
      <c r="X2087" s="3">
        <f>IF(fNotasFiscais[[#This Row],[Data da Entrega]]&gt;fNotasFiscais[[#This Row],[Data Contratada]],0,1)</f>
        <v>1</v>
      </c>
      <c r="Y2087" s="3">
        <f>IF(fNotasFiscais[[#This Row],[Ocorrência]]="",1,0)</f>
        <v>1</v>
      </c>
      <c r="Z2087" s="2">
        <f>fNotasFiscais[[#This Row],[On Time]]*fNotasFiscais[[#This Row],[In Full]]</f>
        <v>1</v>
      </c>
      <c r="AA2087">
        <f>IF(fNotasFiscais[[#This Row],[Nota Fiscal]]&lt;&gt;"",1,0)</f>
        <v>1</v>
      </c>
    </row>
    <row r="2088" spans="1:27" x14ac:dyDescent="0.25">
      <c r="A2088" s="1">
        <v>43685</v>
      </c>
      <c r="B2088">
        <v>12497</v>
      </c>
      <c r="C2088" s="2" t="s">
        <v>54</v>
      </c>
      <c r="D2088" s="2" t="s">
        <v>55</v>
      </c>
      <c r="E2088" s="2" t="s">
        <v>56</v>
      </c>
      <c r="F2088">
        <v>4155</v>
      </c>
      <c r="G2088" s="2" t="s">
        <v>238</v>
      </c>
      <c r="H2088" s="2" t="s">
        <v>32</v>
      </c>
      <c r="I2088" s="2" t="s">
        <v>33</v>
      </c>
      <c r="J2088" s="2" t="s">
        <v>60</v>
      </c>
      <c r="K2088" s="2" t="s">
        <v>33</v>
      </c>
      <c r="L2088">
        <v>2560.0700000000002</v>
      </c>
      <c r="M2088">
        <v>2</v>
      </c>
      <c r="N2088">
        <v>6.82</v>
      </c>
      <c r="O2088">
        <v>6400835</v>
      </c>
      <c r="P2088" s="2" t="s">
        <v>130</v>
      </c>
      <c r="Q2088" s="2" t="s">
        <v>131</v>
      </c>
      <c r="R2088" s="2" t="s">
        <v>30</v>
      </c>
      <c r="S2088">
        <v>7</v>
      </c>
      <c r="T2088" s="1">
        <v>43685</v>
      </c>
      <c r="U2088" s="1">
        <v>43692</v>
      </c>
      <c r="V2088" s="2"/>
      <c r="W2088" s="1">
        <f>fNotasFiscais[[#This Row],[Data da Coleta]]+fNotasFiscais[[#This Row],[Prazo Contratado]]</f>
        <v>43692</v>
      </c>
      <c r="X2088" s="3">
        <f>IF(fNotasFiscais[[#This Row],[Data da Entrega]]&gt;fNotasFiscais[[#This Row],[Data Contratada]],0,1)</f>
        <v>1</v>
      </c>
      <c r="Y2088" s="3">
        <f>IF(fNotasFiscais[[#This Row],[Ocorrência]]="",1,0)</f>
        <v>1</v>
      </c>
      <c r="Z2088" s="2">
        <f>fNotasFiscais[[#This Row],[On Time]]*fNotasFiscais[[#This Row],[In Full]]</f>
        <v>1</v>
      </c>
      <c r="AA2088">
        <f>IF(fNotasFiscais[[#This Row],[Nota Fiscal]]&lt;&gt;"",1,0)</f>
        <v>1</v>
      </c>
    </row>
    <row r="2089" spans="1:27" x14ac:dyDescent="0.25">
      <c r="A2089" s="1">
        <v>43685</v>
      </c>
      <c r="B2089">
        <v>12498</v>
      </c>
      <c r="C2089" s="2" t="s">
        <v>22</v>
      </c>
      <c r="D2089" s="2" t="s">
        <v>23</v>
      </c>
      <c r="E2089" s="2" t="s">
        <v>24</v>
      </c>
      <c r="F2089">
        <v>4173</v>
      </c>
      <c r="G2089" s="2" t="s">
        <v>256</v>
      </c>
      <c r="H2089" s="2" t="s">
        <v>35</v>
      </c>
      <c r="I2089" s="2" t="s">
        <v>36</v>
      </c>
      <c r="J2089" s="2" t="s">
        <v>60</v>
      </c>
      <c r="K2089" s="2" t="s">
        <v>36</v>
      </c>
      <c r="L2089">
        <v>1926.35</v>
      </c>
      <c r="M2089">
        <v>3</v>
      </c>
      <c r="N2089">
        <v>12.32</v>
      </c>
      <c r="O2089">
        <v>6600879</v>
      </c>
      <c r="P2089" s="2" t="s">
        <v>61</v>
      </c>
      <c r="Q2089" s="2" t="s">
        <v>35</v>
      </c>
      <c r="R2089" s="2" t="s">
        <v>30</v>
      </c>
      <c r="S2089">
        <v>4</v>
      </c>
      <c r="T2089" s="1">
        <v>43685</v>
      </c>
      <c r="U2089" s="1">
        <v>43686</v>
      </c>
      <c r="V2089" s="2"/>
      <c r="W2089" s="1">
        <f>fNotasFiscais[[#This Row],[Data da Coleta]]+fNotasFiscais[[#This Row],[Prazo Contratado]]</f>
        <v>43689</v>
      </c>
      <c r="X2089" s="3">
        <f>IF(fNotasFiscais[[#This Row],[Data da Entrega]]&gt;fNotasFiscais[[#This Row],[Data Contratada]],0,1)</f>
        <v>1</v>
      </c>
      <c r="Y2089" s="3">
        <f>IF(fNotasFiscais[[#This Row],[Ocorrência]]="",1,0)</f>
        <v>1</v>
      </c>
      <c r="Z2089" s="2">
        <f>fNotasFiscais[[#This Row],[On Time]]*fNotasFiscais[[#This Row],[In Full]]</f>
        <v>1</v>
      </c>
      <c r="AA2089">
        <f>IF(fNotasFiscais[[#This Row],[Nota Fiscal]]&lt;&gt;"",1,0)</f>
        <v>1</v>
      </c>
    </row>
    <row r="2090" spans="1:27" x14ac:dyDescent="0.25">
      <c r="A2090" s="1">
        <v>43685</v>
      </c>
      <c r="B2090">
        <v>12499</v>
      </c>
      <c r="C2090" s="2" t="s">
        <v>31</v>
      </c>
      <c r="D2090" s="2" t="s">
        <v>32</v>
      </c>
      <c r="E2090" s="2" t="s">
        <v>33</v>
      </c>
      <c r="F2090">
        <v>4218</v>
      </c>
      <c r="G2090" s="2" t="s">
        <v>301</v>
      </c>
      <c r="H2090" s="2" t="s">
        <v>183</v>
      </c>
      <c r="I2090" s="2" t="s">
        <v>33</v>
      </c>
      <c r="J2090" s="2" t="s">
        <v>60</v>
      </c>
      <c r="K2090" s="2" t="s">
        <v>33</v>
      </c>
      <c r="L2090">
        <v>639.87</v>
      </c>
      <c r="M2090">
        <v>1</v>
      </c>
      <c r="N2090">
        <v>4.18</v>
      </c>
      <c r="O2090">
        <v>6400835</v>
      </c>
      <c r="P2090" s="2" t="s">
        <v>130</v>
      </c>
      <c r="Q2090" s="2" t="s">
        <v>131</v>
      </c>
      <c r="R2090" s="2" t="s">
        <v>30</v>
      </c>
      <c r="S2090">
        <v>4</v>
      </c>
      <c r="T2090" s="1">
        <v>43685</v>
      </c>
      <c r="U2090" s="1">
        <v>43694</v>
      </c>
      <c r="V2090" s="2"/>
      <c r="W2090" s="1">
        <f>fNotasFiscais[[#This Row],[Data da Coleta]]+fNotasFiscais[[#This Row],[Prazo Contratado]]</f>
        <v>43689</v>
      </c>
      <c r="X2090" s="3">
        <f>IF(fNotasFiscais[[#This Row],[Data da Entrega]]&gt;fNotasFiscais[[#This Row],[Data Contratada]],0,1)</f>
        <v>0</v>
      </c>
      <c r="Y2090" s="3">
        <f>IF(fNotasFiscais[[#This Row],[Ocorrência]]="",1,0)</f>
        <v>1</v>
      </c>
      <c r="Z2090" s="2">
        <f>fNotasFiscais[[#This Row],[On Time]]*fNotasFiscais[[#This Row],[In Full]]</f>
        <v>0</v>
      </c>
      <c r="AA2090">
        <f>IF(fNotasFiscais[[#This Row],[Nota Fiscal]]&lt;&gt;"",1,0)</f>
        <v>1</v>
      </c>
    </row>
    <row r="2091" spans="1:27" x14ac:dyDescent="0.25">
      <c r="A2091" s="1">
        <v>43685</v>
      </c>
      <c r="B2091">
        <v>12500</v>
      </c>
      <c r="C2091" s="2" t="s">
        <v>34</v>
      </c>
      <c r="D2091" s="2" t="s">
        <v>35</v>
      </c>
      <c r="E2091" s="2" t="s">
        <v>36</v>
      </c>
      <c r="F2091">
        <v>4032</v>
      </c>
      <c r="G2091" s="2" t="s">
        <v>108</v>
      </c>
      <c r="H2091" s="2" t="s">
        <v>51</v>
      </c>
      <c r="I2091" s="2" t="s">
        <v>73</v>
      </c>
      <c r="J2091" s="2" t="s">
        <v>49</v>
      </c>
      <c r="K2091" s="2" t="s">
        <v>73</v>
      </c>
      <c r="L2091">
        <v>342.43</v>
      </c>
      <c r="M2091">
        <v>1</v>
      </c>
      <c r="N2091">
        <v>0.68200000000000005</v>
      </c>
      <c r="O2091">
        <v>6100231</v>
      </c>
      <c r="P2091" s="2" t="s">
        <v>50</v>
      </c>
      <c r="Q2091" s="2" t="s">
        <v>51</v>
      </c>
      <c r="R2091" s="2" t="s">
        <v>30</v>
      </c>
      <c r="S2091">
        <v>8</v>
      </c>
      <c r="T2091" s="1">
        <v>43685</v>
      </c>
      <c r="U2091" s="1">
        <v>43694</v>
      </c>
      <c r="V2091" s="2"/>
      <c r="W2091" s="1">
        <f>fNotasFiscais[[#This Row],[Data da Coleta]]+fNotasFiscais[[#This Row],[Prazo Contratado]]</f>
        <v>43693</v>
      </c>
      <c r="X2091" s="3">
        <f>IF(fNotasFiscais[[#This Row],[Data da Entrega]]&gt;fNotasFiscais[[#This Row],[Data Contratada]],0,1)</f>
        <v>0</v>
      </c>
      <c r="Y2091" s="3">
        <f>IF(fNotasFiscais[[#This Row],[Ocorrência]]="",1,0)</f>
        <v>1</v>
      </c>
      <c r="Z2091" s="2">
        <f>fNotasFiscais[[#This Row],[On Time]]*fNotasFiscais[[#This Row],[In Full]]</f>
        <v>0</v>
      </c>
      <c r="AA2091">
        <f>IF(fNotasFiscais[[#This Row],[Nota Fiscal]]&lt;&gt;"",1,0)</f>
        <v>1</v>
      </c>
    </row>
    <row r="2092" spans="1:27" x14ac:dyDescent="0.25">
      <c r="A2092" s="1">
        <v>43686</v>
      </c>
      <c r="B2092">
        <v>12501</v>
      </c>
      <c r="C2092" s="2" t="s">
        <v>43</v>
      </c>
      <c r="D2092" s="2" t="s">
        <v>44</v>
      </c>
      <c r="E2092" s="2" t="s">
        <v>45</v>
      </c>
      <c r="F2092">
        <v>4133</v>
      </c>
      <c r="G2092" s="2" t="s">
        <v>216</v>
      </c>
      <c r="H2092" s="2" t="s">
        <v>35</v>
      </c>
      <c r="I2092" s="2" t="s">
        <v>36</v>
      </c>
      <c r="J2092" s="2" t="s">
        <v>60</v>
      </c>
      <c r="K2092" s="2" t="s">
        <v>36</v>
      </c>
      <c r="L2092">
        <v>1930.3</v>
      </c>
      <c r="M2092">
        <v>3</v>
      </c>
      <c r="N2092">
        <v>14.62</v>
      </c>
      <c r="O2092">
        <v>6600879</v>
      </c>
      <c r="P2092" s="2" t="s">
        <v>61</v>
      </c>
      <c r="Q2092" s="2" t="s">
        <v>35</v>
      </c>
      <c r="R2092" s="2" t="s">
        <v>30</v>
      </c>
      <c r="S2092">
        <v>8</v>
      </c>
      <c r="T2092" s="1">
        <v>43686</v>
      </c>
      <c r="U2092" s="1">
        <v>43693</v>
      </c>
      <c r="V2092" s="2"/>
      <c r="W2092" s="1">
        <f>fNotasFiscais[[#This Row],[Data da Coleta]]+fNotasFiscais[[#This Row],[Prazo Contratado]]</f>
        <v>43694</v>
      </c>
      <c r="X2092" s="3">
        <f>IF(fNotasFiscais[[#This Row],[Data da Entrega]]&gt;fNotasFiscais[[#This Row],[Data Contratada]],0,1)</f>
        <v>1</v>
      </c>
      <c r="Y2092" s="3">
        <f>IF(fNotasFiscais[[#This Row],[Ocorrência]]="",1,0)</f>
        <v>1</v>
      </c>
      <c r="Z2092" s="2">
        <f>fNotasFiscais[[#This Row],[On Time]]*fNotasFiscais[[#This Row],[In Full]]</f>
        <v>1</v>
      </c>
      <c r="AA2092">
        <f>IF(fNotasFiscais[[#This Row],[Nota Fiscal]]&lt;&gt;"",1,0)</f>
        <v>1</v>
      </c>
    </row>
    <row r="2093" spans="1:27" x14ac:dyDescent="0.25">
      <c r="A2093" s="1">
        <v>43686</v>
      </c>
      <c r="B2093">
        <v>12502</v>
      </c>
      <c r="C2093" s="2" t="s">
        <v>52</v>
      </c>
      <c r="D2093" s="2" t="s">
        <v>53</v>
      </c>
      <c r="E2093" s="2" t="s">
        <v>33</v>
      </c>
      <c r="F2093">
        <v>4205</v>
      </c>
      <c r="G2093" s="2" t="s">
        <v>288</v>
      </c>
      <c r="H2093" s="2" t="s">
        <v>35</v>
      </c>
      <c r="I2093" s="2" t="s">
        <v>36</v>
      </c>
      <c r="J2093" s="2" t="s">
        <v>60</v>
      </c>
      <c r="K2093" s="2" t="s">
        <v>36</v>
      </c>
      <c r="L2093">
        <v>2374.39</v>
      </c>
      <c r="M2093">
        <v>2</v>
      </c>
      <c r="N2093">
        <v>23.675999999999998</v>
      </c>
      <c r="O2093">
        <v>6600879</v>
      </c>
      <c r="P2093" s="2" t="s">
        <v>61</v>
      </c>
      <c r="Q2093" s="2" t="s">
        <v>35</v>
      </c>
      <c r="R2093" s="2" t="s">
        <v>30</v>
      </c>
      <c r="S2093">
        <v>3</v>
      </c>
      <c r="T2093" s="1">
        <v>43686</v>
      </c>
      <c r="U2093" s="1">
        <v>43695</v>
      </c>
      <c r="V2093" s="2"/>
      <c r="W2093" s="1">
        <f>fNotasFiscais[[#This Row],[Data da Coleta]]+fNotasFiscais[[#This Row],[Prazo Contratado]]</f>
        <v>43689</v>
      </c>
      <c r="X2093" s="3">
        <f>IF(fNotasFiscais[[#This Row],[Data da Entrega]]&gt;fNotasFiscais[[#This Row],[Data Contratada]],0,1)</f>
        <v>0</v>
      </c>
      <c r="Y2093" s="3">
        <f>IF(fNotasFiscais[[#This Row],[Ocorrência]]="",1,0)</f>
        <v>1</v>
      </c>
      <c r="Z2093" s="2">
        <f>fNotasFiscais[[#This Row],[On Time]]*fNotasFiscais[[#This Row],[In Full]]</f>
        <v>0</v>
      </c>
      <c r="AA2093">
        <f>IF(fNotasFiscais[[#This Row],[Nota Fiscal]]&lt;&gt;"",1,0)</f>
        <v>1</v>
      </c>
    </row>
    <row r="2094" spans="1:27" x14ac:dyDescent="0.25">
      <c r="A2094" s="1">
        <v>43687</v>
      </c>
      <c r="B2094">
        <v>12503</v>
      </c>
      <c r="C2094" s="2" t="s">
        <v>31</v>
      </c>
      <c r="D2094" s="2" t="s">
        <v>32</v>
      </c>
      <c r="E2094" s="2" t="s">
        <v>33</v>
      </c>
      <c r="F2094">
        <v>4145</v>
      </c>
      <c r="G2094" s="2" t="s">
        <v>228</v>
      </c>
      <c r="H2094" s="2" t="s">
        <v>165</v>
      </c>
      <c r="I2094" s="2" t="s">
        <v>24</v>
      </c>
      <c r="J2094" s="2" t="s">
        <v>28</v>
      </c>
      <c r="K2094" s="2" t="s">
        <v>24</v>
      </c>
      <c r="L2094">
        <v>1188.07</v>
      </c>
      <c r="M2094">
        <v>3</v>
      </c>
      <c r="N2094">
        <v>9.3179999999999996</v>
      </c>
      <c r="O2094">
        <v>6500948</v>
      </c>
      <c r="P2094" s="2" t="s">
        <v>29</v>
      </c>
      <c r="Q2094" s="2" t="s">
        <v>23</v>
      </c>
      <c r="R2094" s="2" t="s">
        <v>30</v>
      </c>
      <c r="S2094">
        <v>4</v>
      </c>
      <c r="T2094" s="1">
        <v>43687</v>
      </c>
      <c r="U2094" s="1">
        <v>43688</v>
      </c>
      <c r="V2094" s="2"/>
      <c r="W2094" s="1">
        <f>fNotasFiscais[[#This Row],[Data da Coleta]]+fNotasFiscais[[#This Row],[Prazo Contratado]]</f>
        <v>43691</v>
      </c>
      <c r="X2094" s="3">
        <f>IF(fNotasFiscais[[#This Row],[Data da Entrega]]&gt;fNotasFiscais[[#This Row],[Data Contratada]],0,1)</f>
        <v>1</v>
      </c>
      <c r="Y2094" s="3">
        <f>IF(fNotasFiscais[[#This Row],[Ocorrência]]="",1,0)</f>
        <v>1</v>
      </c>
      <c r="Z2094" s="2">
        <f>fNotasFiscais[[#This Row],[On Time]]*fNotasFiscais[[#This Row],[In Full]]</f>
        <v>1</v>
      </c>
      <c r="AA2094">
        <f>IF(fNotasFiscais[[#This Row],[Nota Fiscal]]&lt;&gt;"",1,0)</f>
        <v>1</v>
      </c>
    </row>
    <row r="2095" spans="1:27" x14ac:dyDescent="0.25">
      <c r="A2095" s="1">
        <v>43687</v>
      </c>
      <c r="B2095">
        <v>12504</v>
      </c>
      <c r="C2095" s="2" t="s">
        <v>34</v>
      </c>
      <c r="D2095" s="2" t="s">
        <v>35</v>
      </c>
      <c r="E2095" s="2" t="s">
        <v>36</v>
      </c>
      <c r="F2095">
        <v>4191</v>
      </c>
      <c r="G2095" s="2" t="s">
        <v>274</v>
      </c>
      <c r="H2095" s="2" t="s">
        <v>173</v>
      </c>
      <c r="I2095" s="2" t="s">
        <v>174</v>
      </c>
      <c r="J2095" s="2" t="s">
        <v>175</v>
      </c>
      <c r="K2095" s="2" t="s">
        <v>174</v>
      </c>
      <c r="L2095">
        <v>327.44</v>
      </c>
      <c r="M2095">
        <v>1</v>
      </c>
      <c r="N2095">
        <v>0.68200000000000005</v>
      </c>
      <c r="O2095">
        <v>6700091</v>
      </c>
      <c r="P2095" s="2" t="s">
        <v>176</v>
      </c>
      <c r="Q2095" s="2" t="s">
        <v>173</v>
      </c>
      <c r="R2095" s="2" t="s">
        <v>30</v>
      </c>
      <c r="S2095">
        <v>10</v>
      </c>
      <c r="T2095" s="1">
        <v>43687</v>
      </c>
      <c r="U2095" s="1">
        <v>43691</v>
      </c>
      <c r="V2095" s="2"/>
      <c r="W2095" s="1">
        <f>fNotasFiscais[[#This Row],[Data da Coleta]]+fNotasFiscais[[#This Row],[Prazo Contratado]]</f>
        <v>43697</v>
      </c>
      <c r="X2095" s="3">
        <f>IF(fNotasFiscais[[#This Row],[Data da Entrega]]&gt;fNotasFiscais[[#This Row],[Data Contratada]],0,1)</f>
        <v>1</v>
      </c>
      <c r="Y2095" s="3">
        <f>IF(fNotasFiscais[[#This Row],[Ocorrência]]="",1,0)</f>
        <v>1</v>
      </c>
      <c r="Z2095" s="2">
        <f>fNotasFiscais[[#This Row],[On Time]]*fNotasFiscais[[#This Row],[In Full]]</f>
        <v>1</v>
      </c>
      <c r="AA2095">
        <f>IF(fNotasFiscais[[#This Row],[Nota Fiscal]]&lt;&gt;"",1,0)</f>
        <v>1</v>
      </c>
    </row>
    <row r="2096" spans="1:27" x14ac:dyDescent="0.25">
      <c r="A2096" s="1">
        <v>43687</v>
      </c>
      <c r="B2096">
        <v>12505</v>
      </c>
      <c r="C2096" s="2" t="s">
        <v>40</v>
      </c>
      <c r="D2096" s="2" t="s">
        <v>41</v>
      </c>
      <c r="E2096" s="2" t="s">
        <v>33</v>
      </c>
      <c r="F2096">
        <v>4128</v>
      </c>
      <c r="G2096" s="2" t="s">
        <v>211</v>
      </c>
      <c r="H2096" s="2" t="s">
        <v>167</v>
      </c>
      <c r="I2096" s="2" t="s">
        <v>168</v>
      </c>
      <c r="J2096" s="2" t="s">
        <v>169</v>
      </c>
      <c r="K2096" s="2" t="s">
        <v>168</v>
      </c>
      <c r="L2096">
        <v>82.62</v>
      </c>
      <c r="M2096">
        <v>1</v>
      </c>
      <c r="N2096">
        <v>1.87</v>
      </c>
      <c r="O2096">
        <v>6900304</v>
      </c>
      <c r="P2096" s="2" t="s">
        <v>170</v>
      </c>
      <c r="Q2096" s="2" t="s">
        <v>171</v>
      </c>
      <c r="R2096" s="2" t="s">
        <v>30</v>
      </c>
      <c r="S2096">
        <v>4</v>
      </c>
      <c r="T2096" s="1">
        <v>43687</v>
      </c>
      <c r="U2096" s="1">
        <v>43692</v>
      </c>
      <c r="V2096" s="2"/>
      <c r="W2096" s="1">
        <f>fNotasFiscais[[#This Row],[Data da Coleta]]+fNotasFiscais[[#This Row],[Prazo Contratado]]</f>
        <v>43691</v>
      </c>
      <c r="X2096" s="3">
        <f>IF(fNotasFiscais[[#This Row],[Data da Entrega]]&gt;fNotasFiscais[[#This Row],[Data Contratada]],0,1)</f>
        <v>0</v>
      </c>
      <c r="Y2096" s="3">
        <f>IF(fNotasFiscais[[#This Row],[Ocorrência]]="",1,0)</f>
        <v>1</v>
      </c>
      <c r="Z2096" s="2">
        <f>fNotasFiscais[[#This Row],[On Time]]*fNotasFiscais[[#This Row],[In Full]]</f>
        <v>0</v>
      </c>
      <c r="AA2096">
        <f>IF(fNotasFiscais[[#This Row],[Nota Fiscal]]&lt;&gt;"",1,0)</f>
        <v>1</v>
      </c>
    </row>
    <row r="2097" spans="1:27" x14ac:dyDescent="0.25">
      <c r="A2097" s="1">
        <v>43687</v>
      </c>
      <c r="B2097">
        <v>12506</v>
      </c>
      <c r="C2097" s="2" t="s">
        <v>31</v>
      </c>
      <c r="D2097" s="2" t="s">
        <v>32</v>
      </c>
      <c r="E2097" s="2" t="s">
        <v>33</v>
      </c>
      <c r="F2097">
        <v>4013</v>
      </c>
      <c r="G2097" s="2" t="s">
        <v>37</v>
      </c>
      <c r="H2097" s="2" t="s">
        <v>38</v>
      </c>
      <c r="I2097" s="2" t="s">
        <v>39</v>
      </c>
      <c r="J2097" s="2" t="s">
        <v>28</v>
      </c>
      <c r="K2097" s="2" t="s">
        <v>39</v>
      </c>
      <c r="L2097">
        <v>1607.92</v>
      </c>
      <c r="M2097">
        <v>2</v>
      </c>
      <c r="N2097">
        <v>7.8490000000000002</v>
      </c>
      <c r="O2097">
        <v>6500948</v>
      </c>
      <c r="P2097" s="2" t="s">
        <v>29</v>
      </c>
      <c r="Q2097" s="2" t="s">
        <v>23</v>
      </c>
      <c r="R2097" s="2" t="s">
        <v>30</v>
      </c>
      <c r="S2097">
        <v>12</v>
      </c>
      <c r="T2097" s="1">
        <v>43687</v>
      </c>
      <c r="U2097" s="1">
        <v>43691</v>
      </c>
      <c r="V2097" s="2" t="s">
        <v>57</v>
      </c>
      <c r="W2097" s="1">
        <f>fNotasFiscais[[#This Row],[Data da Coleta]]+fNotasFiscais[[#This Row],[Prazo Contratado]]</f>
        <v>43699</v>
      </c>
      <c r="X2097" s="3">
        <f>IF(fNotasFiscais[[#This Row],[Data da Entrega]]&gt;fNotasFiscais[[#This Row],[Data Contratada]],0,1)</f>
        <v>1</v>
      </c>
      <c r="Y2097" s="3">
        <f>IF(fNotasFiscais[[#This Row],[Ocorrência]]="",1,0)</f>
        <v>0</v>
      </c>
      <c r="Z2097" s="2">
        <f>fNotasFiscais[[#This Row],[On Time]]*fNotasFiscais[[#This Row],[In Full]]</f>
        <v>0</v>
      </c>
      <c r="AA2097">
        <f>IF(fNotasFiscais[[#This Row],[Nota Fiscal]]&lt;&gt;"",1,0)</f>
        <v>1</v>
      </c>
    </row>
    <row r="2098" spans="1:27" x14ac:dyDescent="0.25">
      <c r="A2098" s="1">
        <v>43687</v>
      </c>
      <c r="B2098">
        <v>12507</v>
      </c>
      <c r="C2098" s="2" t="s">
        <v>22</v>
      </c>
      <c r="D2098" s="2" t="s">
        <v>23</v>
      </c>
      <c r="E2098" s="2" t="s">
        <v>24</v>
      </c>
      <c r="F2098">
        <v>4126</v>
      </c>
      <c r="G2098" s="2" t="s">
        <v>209</v>
      </c>
      <c r="H2098" s="2" t="s">
        <v>35</v>
      </c>
      <c r="I2098" s="2" t="s">
        <v>36</v>
      </c>
      <c r="J2098" s="2" t="s">
        <v>60</v>
      </c>
      <c r="K2098" s="2" t="s">
        <v>36</v>
      </c>
      <c r="L2098">
        <v>1193.49</v>
      </c>
      <c r="M2098">
        <v>1</v>
      </c>
      <c r="N2098">
        <v>11.837999999999999</v>
      </c>
      <c r="O2098">
        <v>6600879</v>
      </c>
      <c r="P2098" s="2" t="s">
        <v>61</v>
      </c>
      <c r="Q2098" s="2" t="s">
        <v>35</v>
      </c>
      <c r="R2098" s="2" t="s">
        <v>30</v>
      </c>
      <c r="S2098">
        <v>5</v>
      </c>
      <c r="T2098" s="1">
        <v>43687</v>
      </c>
      <c r="U2098" s="1">
        <v>43691</v>
      </c>
      <c r="V2098" s="2"/>
      <c r="W2098" s="1">
        <f>fNotasFiscais[[#This Row],[Data da Coleta]]+fNotasFiscais[[#This Row],[Prazo Contratado]]</f>
        <v>43692</v>
      </c>
      <c r="X2098" s="3">
        <f>IF(fNotasFiscais[[#This Row],[Data da Entrega]]&gt;fNotasFiscais[[#This Row],[Data Contratada]],0,1)</f>
        <v>1</v>
      </c>
      <c r="Y2098" s="3">
        <f>IF(fNotasFiscais[[#This Row],[Ocorrência]]="",1,0)</f>
        <v>1</v>
      </c>
      <c r="Z2098" s="2">
        <f>fNotasFiscais[[#This Row],[On Time]]*fNotasFiscais[[#This Row],[In Full]]</f>
        <v>1</v>
      </c>
      <c r="AA2098">
        <f>IF(fNotasFiscais[[#This Row],[Nota Fiscal]]&lt;&gt;"",1,0)</f>
        <v>1</v>
      </c>
    </row>
    <row r="2099" spans="1:27" x14ac:dyDescent="0.25">
      <c r="A2099" s="1">
        <v>43687</v>
      </c>
      <c r="B2099">
        <v>12508</v>
      </c>
      <c r="C2099" s="2" t="s">
        <v>52</v>
      </c>
      <c r="D2099" s="2" t="s">
        <v>53</v>
      </c>
      <c r="E2099" s="2" t="s">
        <v>33</v>
      </c>
      <c r="F2099">
        <v>4126</v>
      </c>
      <c r="G2099" s="2" t="s">
        <v>209</v>
      </c>
      <c r="H2099" s="2" t="s">
        <v>35</v>
      </c>
      <c r="I2099" s="2" t="s">
        <v>36</v>
      </c>
      <c r="J2099" s="2" t="s">
        <v>60</v>
      </c>
      <c r="K2099" s="2" t="s">
        <v>36</v>
      </c>
      <c r="L2099">
        <v>2996.84</v>
      </c>
      <c r="M2099">
        <v>5</v>
      </c>
      <c r="N2099">
        <v>27.353999999999999</v>
      </c>
      <c r="O2099">
        <v>6600879</v>
      </c>
      <c r="P2099" s="2" t="s">
        <v>61</v>
      </c>
      <c r="Q2099" s="2" t="s">
        <v>35</v>
      </c>
      <c r="R2099" s="2" t="s">
        <v>30</v>
      </c>
      <c r="S2099">
        <v>12</v>
      </c>
      <c r="T2099" s="1">
        <v>43687</v>
      </c>
      <c r="U2099" s="1">
        <v>43688</v>
      </c>
      <c r="V2099" s="2"/>
      <c r="W2099" s="1">
        <f>fNotasFiscais[[#This Row],[Data da Coleta]]+fNotasFiscais[[#This Row],[Prazo Contratado]]</f>
        <v>43699</v>
      </c>
      <c r="X2099" s="3">
        <f>IF(fNotasFiscais[[#This Row],[Data da Entrega]]&gt;fNotasFiscais[[#This Row],[Data Contratada]],0,1)</f>
        <v>1</v>
      </c>
      <c r="Y2099" s="3">
        <f>IF(fNotasFiscais[[#This Row],[Ocorrência]]="",1,0)</f>
        <v>1</v>
      </c>
      <c r="Z2099" s="2">
        <f>fNotasFiscais[[#This Row],[On Time]]*fNotasFiscais[[#This Row],[In Full]]</f>
        <v>1</v>
      </c>
      <c r="AA2099">
        <f>IF(fNotasFiscais[[#This Row],[Nota Fiscal]]&lt;&gt;"",1,0)</f>
        <v>1</v>
      </c>
    </row>
    <row r="2100" spans="1:27" x14ac:dyDescent="0.25">
      <c r="A2100" s="1">
        <v>43687</v>
      </c>
      <c r="B2100">
        <v>12509</v>
      </c>
      <c r="C2100" s="2" t="s">
        <v>34</v>
      </c>
      <c r="D2100" s="2" t="s">
        <v>35</v>
      </c>
      <c r="E2100" s="2" t="s">
        <v>36</v>
      </c>
      <c r="F2100">
        <v>4126</v>
      </c>
      <c r="G2100" s="2" t="s">
        <v>209</v>
      </c>
      <c r="H2100" s="2" t="s">
        <v>35</v>
      </c>
      <c r="I2100" s="2" t="s">
        <v>36</v>
      </c>
      <c r="J2100" s="2" t="s">
        <v>60</v>
      </c>
      <c r="K2100" s="2" t="s">
        <v>36</v>
      </c>
      <c r="L2100">
        <v>1193.49</v>
      </c>
      <c r="M2100">
        <v>1</v>
      </c>
      <c r="N2100">
        <v>11.837999999999999</v>
      </c>
      <c r="O2100">
        <v>6600879</v>
      </c>
      <c r="P2100" s="2" t="s">
        <v>61</v>
      </c>
      <c r="Q2100" s="2" t="s">
        <v>35</v>
      </c>
      <c r="R2100" s="2" t="s">
        <v>30</v>
      </c>
      <c r="S2100">
        <v>3</v>
      </c>
      <c r="T2100" s="1">
        <v>43687</v>
      </c>
      <c r="U2100" s="1">
        <v>43688</v>
      </c>
      <c r="V2100" s="2"/>
      <c r="W2100" s="1">
        <f>fNotasFiscais[[#This Row],[Data da Coleta]]+fNotasFiscais[[#This Row],[Prazo Contratado]]</f>
        <v>43690</v>
      </c>
      <c r="X2100" s="3">
        <f>IF(fNotasFiscais[[#This Row],[Data da Entrega]]&gt;fNotasFiscais[[#This Row],[Data Contratada]],0,1)</f>
        <v>1</v>
      </c>
      <c r="Y2100" s="3">
        <f>IF(fNotasFiscais[[#This Row],[Ocorrência]]="",1,0)</f>
        <v>1</v>
      </c>
      <c r="Z2100" s="2">
        <f>fNotasFiscais[[#This Row],[On Time]]*fNotasFiscais[[#This Row],[In Full]]</f>
        <v>1</v>
      </c>
      <c r="AA2100">
        <f>IF(fNotasFiscais[[#This Row],[Nota Fiscal]]&lt;&gt;"",1,0)</f>
        <v>1</v>
      </c>
    </row>
    <row r="2101" spans="1:27" x14ac:dyDescent="0.25">
      <c r="A2101" s="1">
        <v>43687</v>
      </c>
      <c r="B2101">
        <v>12510</v>
      </c>
      <c r="C2101" s="2" t="s">
        <v>22</v>
      </c>
      <c r="D2101" s="2" t="s">
        <v>23</v>
      </c>
      <c r="E2101" s="2" t="s">
        <v>24</v>
      </c>
      <c r="F2101">
        <v>4126</v>
      </c>
      <c r="G2101" s="2" t="s">
        <v>209</v>
      </c>
      <c r="H2101" s="2" t="s">
        <v>35</v>
      </c>
      <c r="I2101" s="2" t="s">
        <v>36</v>
      </c>
      <c r="J2101" s="2" t="s">
        <v>60</v>
      </c>
      <c r="K2101" s="2" t="s">
        <v>36</v>
      </c>
      <c r="L2101">
        <v>1987.24</v>
      </c>
      <c r="M2101">
        <v>3</v>
      </c>
      <c r="N2101">
        <v>13.916</v>
      </c>
      <c r="O2101">
        <v>6600879</v>
      </c>
      <c r="P2101" s="2" t="s">
        <v>61</v>
      </c>
      <c r="Q2101" s="2" t="s">
        <v>35</v>
      </c>
      <c r="R2101" s="2" t="s">
        <v>30</v>
      </c>
      <c r="S2101">
        <v>1</v>
      </c>
      <c r="T2101" s="1">
        <v>43687</v>
      </c>
      <c r="U2101" s="1">
        <v>43688</v>
      </c>
      <c r="V2101" s="2"/>
      <c r="W2101" s="1">
        <f>fNotasFiscais[[#This Row],[Data da Coleta]]+fNotasFiscais[[#This Row],[Prazo Contratado]]</f>
        <v>43688</v>
      </c>
      <c r="X2101" s="3">
        <f>IF(fNotasFiscais[[#This Row],[Data da Entrega]]&gt;fNotasFiscais[[#This Row],[Data Contratada]],0,1)</f>
        <v>1</v>
      </c>
      <c r="Y2101" s="3">
        <f>IF(fNotasFiscais[[#This Row],[Ocorrência]]="",1,0)</f>
        <v>1</v>
      </c>
      <c r="Z2101" s="2">
        <f>fNotasFiscais[[#This Row],[On Time]]*fNotasFiscais[[#This Row],[In Full]]</f>
        <v>1</v>
      </c>
      <c r="AA2101">
        <f>IF(fNotasFiscais[[#This Row],[Nota Fiscal]]&lt;&gt;"",1,0)</f>
        <v>1</v>
      </c>
    </row>
    <row r="2102" spans="1:27" x14ac:dyDescent="0.25">
      <c r="A2102" s="1">
        <v>43688</v>
      </c>
      <c r="B2102">
        <v>12511</v>
      </c>
      <c r="C2102" s="2" t="s">
        <v>40</v>
      </c>
      <c r="D2102" s="2" t="s">
        <v>41</v>
      </c>
      <c r="E2102" s="2" t="s">
        <v>33</v>
      </c>
      <c r="F2102">
        <v>4119</v>
      </c>
      <c r="G2102" s="2" t="s">
        <v>202</v>
      </c>
      <c r="H2102" s="2" t="s">
        <v>167</v>
      </c>
      <c r="I2102" s="2" t="s">
        <v>168</v>
      </c>
      <c r="J2102" s="2" t="s">
        <v>169</v>
      </c>
      <c r="K2102" s="2" t="s">
        <v>168</v>
      </c>
      <c r="L2102">
        <v>747.08</v>
      </c>
      <c r="M2102">
        <v>2</v>
      </c>
      <c r="N2102">
        <v>0.72899999999999998</v>
      </c>
      <c r="O2102">
        <v>6900304</v>
      </c>
      <c r="P2102" s="2" t="s">
        <v>170</v>
      </c>
      <c r="Q2102" s="2" t="s">
        <v>171</v>
      </c>
      <c r="R2102" s="2" t="s">
        <v>30</v>
      </c>
      <c r="S2102">
        <v>6</v>
      </c>
      <c r="T2102" s="1">
        <v>43688</v>
      </c>
      <c r="U2102" s="1">
        <v>43691</v>
      </c>
      <c r="V2102" s="2"/>
      <c r="W2102" s="1">
        <f>fNotasFiscais[[#This Row],[Data da Coleta]]+fNotasFiscais[[#This Row],[Prazo Contratado]]</f>
        <v>43694</v>
      </c>
      <c r="X2102" s="3">
        <f>IF(fNotasFiscais[[#This Row],[Data da Entrega]]&gt;fNotasFiscais[[#This Row],[Data Contratada]],0,1)</f>
        <v>1</v>
      </c>
      <c r="Y2102" s="3">
        <f>IF(fNotasFiscais[[#This Row],[Ocorrência]]="",1,0)</f>
        <v>1</v>
      </c>
      <c r="Z2102" s="2">
        <f>fNotasFiscais[[#This Row],[On Time]]*fNotasFiscais[[#This Row],[In Full]]</f>
        <v>1</v>
      </c>
      <c r="AA2102">
        <f>IF(fNotasFiscais[[#This Row],[Nota Fiscal]]&lt;&gt;"",1,0)</f>
        <v>1</v>
      </c>
    </row>
    <row r="2103" spans="1:27" x14ac:dyDescent="0.25">
      <c r="A2103" s="1">
        <v>43688</v>
      </c>
      <c r="B2103">
        <v>12512</v>
      </c>
      <c r="C2103" s="2" t="s">
        <v>54</v>
      </c>
      <c r="D2103" s="2" t="s">
        <v>55</v>
      </c>
      <c r="E2103" s="2" t="s">
        <v>56</v>
      </c>
      <c r="F2103">
        <v>4119</v>
      </c>
      <c r="G2103" s="2" t="s">
        <v>202</v>
      </c>
      <c r="H2103" s="2" t="s">
        <v>167</v>
      </c>
      <c r="I2103" s="2" t="s">
        <v>168</v>
      </c>
      <c r="J2103" s="2" t="s">
        <v>169</v>
      </c>
      <c r="K2103" s="2" t="s">
        <v>168</v>
      </c>
      <c r="L2103">
        <v>2766.42</v>
      </c>
      <c r="M2103">
        <v>11</v>
      </c>
      <c r="N2103">
        <v>6.6769999999999996</v>
      </c>
      <c r="O2103">
        <v>6900304</v>
      </c>
      <c r="P2103" s="2" t="s">
        <v>170</v>
      </c>
      <c r="Q2103" s="2" t="s">
        <v>171</v>
      </c>
      <c r="R2103" s="2" t="s">
        <v>30</v>
      </c>
      <c r="S2103">
        <v>12</v>
      </c>
      <c r="T2103" s="1">
        <v>43688</v>
      </c>
      <c r="U2103" s="1">
        <v>43689</v>
      </c>
      <c r="V2103" s="2"/>
      <c r="W2103" s="1">
        <f>fNotasFiscais[[#This Row],[Data da Coleta]]+fNotasFiscais[[#This Row],[Prazo Contratado]]</f>
        <v>43700</v>
      </c>
      <c r="X2103" s="3">
        <f>IF(fNotasFiscais[[#This Row],[Data da Entrega]]&gt;fNotasFiscais[[#This Row],[Data Contratada]],0,1)</f>
        <v>1</v>
      </c>
      <c r="Y2103" s="3">
        <f>IF(fNotasFiscais[[#This Row],[Ocorrência]]="",1,0)</f>
        <v>1</v>
      </c>
      <c r="Z2103" s="2">
        <f>fNotasFiscais[[#This Row],[On Time]]*fNotasFiscais[[#This Row],[In Full]]</f>
        <v>1</v>
      </c>
      <c r="AA2103">
        <f>IF(fNotasFiscais[[#This Row],[Nota Fiscal]]&lt;&gt;"",1,0)</f>
        <v>1</v>
      </c>
    </row>
    <row r="2104" spans="1:27" x14ac:dyDescent="0.25">
      <c r="A2104" s="1">
        <v>43688</v>
      </c>
      <c r="B2104">
        <v>12513</v>
      </c>
      <c r="C2104" s="2" t="s">
        <v>31</v>
      </c>
      <c r="D2104" s="2" t="s">
        <v>32</v>
      </c>
      <c r="E2104" s="2" t="s">
        <v>33</v>
      </c>
      <c r="F2104">
        <v>4119</v>
      </c>
      <c r="G2104" s="2" t="s">
        <v>202</v>
      </c>
      <c r="H2104" s="2" t="s">
        <v>167</v>
      </c>
      <c r="I2104" s="2" t="s">
        <v>168</v>
      </c>
      <c r="J2104" s="2" t="s">
        <v>169</v>
      </c>
      <c r="K2104" s="2" t="s">
        <v>168</v>
      </c>
      <c r="L2104">
        <v>1652.77</v>
      </c>
      <c r="M2104">
        <v>4</v>
      </c>
      <c r="N2104">
        <v>42.817999999999998</v>
      </c>
      <c r="O2104">
        <v>6900304</v>
      </c>
      <c r="P2104" s="2" t="s">
        <v>170</v>
      </c>
      <c r="Q2104" s="2" t="s">
        <v>171</v>
      </c>
      <c r="R2104" s="2" t="s">
        <v>30</v>
      </c>
      <c r="S2104">
        <v>5</v>
      </c>
      <c r="T2104" s="1">
        <v>43688</v>
      </c>
      <c r="U2104" s="1">
        <v>43694</v>
      </c>
      <c r="V2104" s="2" t="s">
        <v>57</v>
      </c>
      <c r="W2104" s="1">
        <f>fNotasFiscais[[#This Row],[Data da Coleta]]+fNotasFiscais[[#This Row],[Prazo Contratado]]</f>
        <v>43693</v>
      </c>
      <c r="X2104" s="3">
        <f>IF(fNotasFiscais[[#This Row],[Data da Entrega]]&gt;fNotasFiscais[[#This Row],[Data Contratada]],0,1)</f>
        <v>0</v>
      </c>
      <c r="Y2104" s="3">
        <f>IF(fNotasFiscais[[#This Row],[Ocorrência]]="",1,0)</f>
        <v>0</v>
      </c>
      <c r="Z2104" s="2">
        <f>fNotasFiscais[[#This Row],[On Time]]*fNotasFiscais[[#This Row],[In Full]]</f>
        <v>0</v>
      </c>
      <c r="AA2104">
        <f>IF(fNotasFiscais[[#This Row],[Nota Fiscal]]&lt;&gt;"",1,0)</f>
        <v>1</v>
      </c>
    </row>
    <row r="2105" spans="1:27" x14ac:dyDescent="0.25">
      <c r="A2105" s="1">
        <v>43688</v>
      </c>
      <c r="B2105">
        <v>12514</v>
      </c>
      <c r="C2105" s="2" t="s">
        <v>54</v>
      </c>
      <c r="D2105" s="2" t="s">
        <v>55</v>
      </c>
      <c r="E2105" s="2" t="s">
        <v>56</v>
      </c>
      <c r="F2105">
        <v>4119</v>
      </c>
      <c r="G2105" s="2" t="s">
        <v>202</v>
      </c>
      <c r="H2105" s="2" t="s">
        <v>167</v>
      </c>
      <c r="I2105" s="2" t="s">
        <v>168</v>
      </c>
      <c r="J2105" s="2" t="s">
        <v>169</v>
      </c>
      <c r="K2105" s="2" t="s">
        <v>168</v>
      </c>
      <c r="L2105">
        <v>1962.91</v>
      </c>
      <c r="M2105">
        <v>1</v>
      </c>
      <c r="N2105">
        <v>3.718</v>
      </c>
      <c r="O2105">
        <v>6900304</v>
      </c>
      <c r="P2105" s="2" t="s">
        <v>170</v>
      </c>
      <c r="Q2105" s="2" t="s">
        <v>171</v>
      </c>
      <c r="R2105" s="2" t="s">
        <v>30</v>
      </c>
      <c r="S2105">
        <v>6</v>
      </c>
      <c r="T2105" s="1">
        <v>43688</v>
      </c>
      <c r="U2105" s="1">
        <v>43696</v>
      </c>
      <c r="V2105" s="2"/>
      <c r="W2105" s="1">
        <f>fNotasFiscais[[#This Row],[Data da Coleta]]+fNotasFiscais[[#This Row],[Prazo Contratado]]</f>
        <v>43694</v>
      </c>
      <c r="X2105" s="3">
        <f>IF(fNotasFiscais[[#This Row],[Data da Entrega]]&gt;fNotasFiscais[[#This Row],[Data Contratada]],0,1)</f>
        <v>0</v>
      </c>
      <c r="Y2105" s="3">
        <f>IF(fNotasFiscais[[#This Row],[Ocorrência]]="",1,0)</f>
        <v>1</v>
      </c>
      <c r="Z2105" s="2">
        <f>fNotasFiscais[[#This Row],[On Time]]*fNotasFiscais[[#This Row],[In Full]]</f>
        <v>0</v>
      </c>
      <c r="AA2105">
        <f>IF(fNotasFiscais[[#This Row],[Nota Fiscal]]&lt;&gt;"",1,0)</f>
        <v>1</v>
      </c>
    </row>
    <row r="2106" spans="1:27" x14ac:dyDescent="0.25">
      <c r="A2106" s="1">
        <v>43688</v>
      </c>
      <c r="B2106">
        <v>12515</v>
      </c>
      <c r="C2106" s="2" t="s">
        <v>40</v>
      </c>
      <c r="D2106" s="2" t="s">
        <v>41</v>
      </c>
      <c r="E2106" s="2" t="s">
        <v>33</v>
      </c>
      <c r="F2106">
        <v>4119</v>
      </c>
      <c r="G2106" s="2" t="s">
        <v>202</v>
      </c>
      <c r="H2106" s="2" t="s">
        <v>167</v>
      </c>
      <c r="I2106" s="2" t="s">
        <v>168</v>
      </c>
      <c r="J2106" s="2" t="s">
        <v>169</v>
      </c>
      <c r="K2106" s="2" t="s">
        <v>168</v>
      </c>
      <c r="L2106">
        <v>1089.1600000000001</v>
      </c>
      <c r="M2106">
        <v>2</v>
      </c>
      <c r="N2106">
        <v>3.52</v>
      </c>
      <c r="O2106">
        <v>6900304</v>
      </c>
      <c r="P2106" s="2" t="s">
        <v>170</v>
      </c>
      <c r="Q2106" s="2" t="s">
        <v>171</v>
      </c>
      <c r="R2106" s="2" t="s">
        <v>30</v>
      </c>
      <c r="S2106">
        <v>7</v>
      </c>
      <c r="T2106" s="1">
        <v>43688</v>
      </c>
      <c r="U2106" s="1">
        <v>43690</v>
      </c>
      <c r="V2106" s="2"/>
      <c r="W2106" s="1">
        <f>fNotasFiscais[[#This Row],[Data da Coleta]]+fNotasFiscais[[#This Row],[Prazo Contratado]]</f>
        <v>43695</v>
      </c>
      <c r="X2106" s="3">
        <f>IF(fNotasFiscais[[#This Row],[Data da Entrega]]&gt;fNotasFiscais[[#This Row],[Data Contratada]],0,1)</f>
        <v>1</v>
      </c>
      <c r="Y2106" s="3">
        <f>IF(fNotasFiscais[[#This Row],[Ocorrência]]="",1,0)</f>
        <v>1</v>
      </c>
      <c r="Z2106" s="2">
        <f>fNotasFiscais[[#This Row],[On Time]]*fNotasFiscais[[#This Row],[In Full]]</f>
        <v>1</v>
      </c>
      <c r="AA2106">
        <f>IF(fNotasFiscais[[#This Row],[Nota Fiscal]]&lt;&gt;"",1,0)</f>
        <v>1</v>
      </c>
    </row>
    <row r="2107" spans="1:27" x14ac:dyDescent="0.25">
      <c r="A2107" s="1">
        <v>43690</v>
      </c>
      <c r="B2107">
        <v>12516</v>
      </c>
      <c r="C2107" s="2" t="s">
        <v>52</v>
      </c>
      <c r="D2107" s="2" t="s">
        <v>53</v>
      </c>
      <c r="E2107" s="2" t="s">
        <v>33</v>
      </c>
      <c r="F2107">
        <v>4068</v>
      </c>
      <c r="G2107" s="2" t="s">
        <v>63</v>
      </c>
      <c r="H2107" s="2" t="s">
        <v>64</v>
      </c>
      <c r="I2107" s="2" t="s">
        <v>65</v>
      </c>
      <c r="J2107" s="2" t="s">
        <v>49</v>
      </c>
      <c r="K2107" s="2" t="s">
        <v>65</v>
      </c>
      <c r="L2107">
        <v>306.11</v>
      </c>
      <c r="M2107">
        <v>1</v>
      </c>
      <c r="N2107">
        <v>1.21</v>
      </c>
      <c r="O2107">
        <v>6100231</v>
      </c>
      <c r="P2107" s="2" t="s">
        <v>50</v>
      </c>
      <c r="Q2107" s="2" t="s">
        <v>51</v>
      </c>
      <c r="R2107" s="2" t="s">
        <v>30</v>
      </c>
      <c r="S2107">
        <v>5</v>
      </c>
      <c r="T2107" s="1">
        <v>43690</v>
      </c>
      <c r="U2107" s="1">
        <v>43695</v>
      </c>
      <c r="V2107" s="2"/>
      <c r="W2107" s="1">
        <f>fNotasFiscais[[#This Row],[Data da Coleta]]+fNotasFiscais[[#This Row],[Prazo Contratado]]</f>
        <v>43695</v>
      </c>
      <c r="X2107" s="3">
        <f>IF(fNotasFiscais[[#This Row],[Data da Entrega]]&gt;fNotasFiscais[[#This Row],[Data Contratada]],0,1)</f>
        <v>1</v>
      </c>
      <c r="Y2107" s="3">
        <f>IF(fNotasFiscais[[#This Row],[Ocorrência]]="",1,0)</f>
        <v>1</v>
      </c>
      <c r="Z2107" s="2">
        <f>fNotasFiscais[[#This Row],[On Time]]*fNotasFiscais[[#This Row],[In Full]]</f>
        <v>1</v>
      </c>
      <c r="AA2107">
        <f>IF(fNotasFiscais[[#This Row],[Nota Fiscal]]&lt;&gt;"",1,0)</f>
        <v>1</v>
      </c>
    </row>
    <row r="2108" spans="1:27" x14ac:dyDescent="0.25">
      <c r="A2108" s="1">
        <v>43691</v>
      </c>
      <c r="B2108">
        <v>12517</v>
      </c>
      <c r="C2108" s="2" t="s">
        <v>31</v>
      </c>
      <c r="D2108" s="2" t="s">
        <v>32</v>
      </c>
      <c r="E2108" s="2" t="s">
        <v>33</v>
      </c>
      <c r="F2108">
        <v>4153</v>
      </c>
      <c r="G2108" s="2" t="s">
        <v>236</v>
      </c>
      <c r="H2108" s="2" t="s">
        <v>44</v>
      </c>
      <c r="I2108" s="2" t="s">
        <v>45</v>
      </c>
      <c r="J2108" s="2" t="s">
        <v>60</v>
      </c>
      <c r="K2108" s="2" t="s">
        <v>45</v>
      </c>
      <c r="L2108">
        <v>3730.34</v>
      </c>
      <c r="M2108">
        <v>10</v>
      </c>
      <c r="N2108">
        <v>9.4689999999999994</v>
      </c>
      <c r="O2108">
        <v>6140092</v>
      </c>
      <c r="P2108" s="2" t="s">
        <v>137</v>
      </c>
      <c r="Q2108" s="2" t="s">
        <v>138</v>
      </c>
      <c r="R2108" s="2" t="s">
        <v>30</v>
      </c>
      <c r="S2108">
        <v>10</v>
      </c>
      <c r="T2108" s="1">
        <v>43691</v>
      </c>
      <c r="U2108" s="1">
        <v>43693</v>
      </c>
      <c r="V2108" s="2"/>
      <c r="W2108" s="1">
        <f>fNotasFiscais[[#This Row],[Data da Coleta]]+fNotasFiscais[[#This Row],[Prazo Contratado]]</f>
        <v>43701</v>
      </c>
      <c r="X2108" s="3">
        <f>IF(fNotasFiscais[[#This Row],[Data da Entrega]]&gt;fNotasFiscais[[#This Row],[Data Contratada]],0,1)</f>
        <v>1</v>
      </c>
      <c r="Y2108" s="3">
        <f>IF(fNotasFiscais[[#This Row],[Ocorrência]]="",1,0)</f>
        <v>1</v>
      </c>
      <c r="Z2108" s="2">
        <f>fNotasFiscais[[#This Row],[On Time]]*fNotasFiscais[[#This Row],[In Full]]</f>
        <v>1</v>
      </c>
      <c r="AA2108">
        <f>IF(fNotasFiscais[[#This Row],[Nota Fiscal]]&lt;&gt;"",1,0)</f>
        <v>1</v>
      </c>
    </row>
    <row r="2109" spans="1:27" x14ac:dyDescent="0.25">
      <c r="A2109" s="1">
        <v>43691</v>
      </c>
      <c r="B2109">
        <v>12518</v>
      </c>
      <c r="C2109" s="2" t="s">
        <v>54</v>
      </c>
      <c r="D2109" s="2" t="s">
        <v>55</v>
      </c>
      <c r="E2109" s="2" t="s">
        <v>56</v>
      </c>
      <c r="F2109">
        <v>4153</v>
      </c>
      <c r="G2109" s="2" t="s">
        <v>236</v>
      </c>
      <c r="H2109" s="2" t="s">
        <v>44</v>
      </c>
      <c r="I2109" s="2" t="s">
        <v>45</v>
      </c>
      <c r="J2109" s="2" t="s">
        <v>60</v>
      </c>
      <c r="K2109" s="2" t="s">
        <v>45</v>
      </c>
      <c r="L2109">
        <v>1857.17</v>
      </c>
      <c r="M2109">
        <v>5</v>
      </c>
      <c r="N2109">
        <v>41.261000000000003</v>
      </c>
      <c r="O2109">
        <v>6140092</v>
      </c>
      <c r="P2109" s="2" t="s">
        <v>137</v>
      </c>
      <c r="Q2109" s="2" t="s">
        <v>138</v>
      </c>
      <c r="R2109" s="2" t="s">
        <v>30</v>
      </c>
      <c r="S2109">
        <v>3</v>
      </c>
      <c r="T2109" s="1">
        <v>43691</v>
      </c>
      <c r="U2109" s="1">
        <v>43692</v>
      </c>
      <c r="V2109" s="2" t="s">
        <v>42</v>
      </c>
      <c r="W2109" s="1">
        <f>fNotasFiscais[[#This Row],[Data da Coleta]]+fNotasFiscais[[#This Row],[Prazo Contratado]]</f>
        <v>43694</v>
      </c>
      <c r="X2109" s="3">
        <f>IF(fNotasFiscais[[#This Row],[Data da Entrega]]&gt;fNotasFiscais[[#This Row],[Data Contratada]],0,1)</f>
        <v>1</v>
      </c>
      <c r="Y2109" s="3">
        <f>IF(fNotasFiscais[[#This Row],[Ocorrência]]="",1,0)</f>
        <v>0</v>
      </c>
      <c r="Z2109" s="2">
        <f>fNotasFiscais[[#This Row],[On Time]]*fNotasFiscais[[#This Row],[In Full]]</f>
        <v>0</v>
      </c>
      <c r="AA2109">
        <f>IF(fNotasFiscais[[#This Row],[Nota Fiscal]]&lt;&gt;"",1,0)</f>
        <v>1</v>
      </c>
    </row>
    <row r="2110" spans="1:27" x14ac:dyDescent="0.25">
      <c r="A2110" s="1">
        <v>43691</v>
      </c>
      <c r="B2110">
        <v>12519</v>
      </c>
      <c r="C2110" s="2" t="s">
        <v>52</v>
      </c>
      <c r="D2110" s="2" t="s">
        <v>53</v>
      </c>
      <c r="E2110" s="2" t="s">
        <v>33</v>
      </c>
      <c r="F2110">
        <v>4033</v>
      </c>
      <c r="G2110" s="2" t="s">
        <v>109</v>
      </c>
      <c r="H2110" s="2" t="s">
        <v>51</v>
      </c>
      <c r="I2110" s="2" t="s">
        <v>73</v>
      </c>
      <c r="J2110" s="2" t="s">
        <v>49</v>
      </c>
      <c r="K2110" s="2" t="s">
        <v>73</v>
      </c>
      <c r="L2110">
        <v>547.20000000000005</v>
      </c>
      <c r="M2110">
        <v>1</v>
      </c>
      <c r="N2110">
        <v>1.76</v>
      </c>
      <c r="O2110">
        <v>6100231</v>
      </c>
      <c r="P2110" s="2" t="s">
        <v>50</v>
      </c>
      <c r="Q2110" s="2" t="s">
        <v>51</v>
      </c>
      <c r="R2110" s="2" t="s">
        <v>30</v>
      </c>
      <c r="S2110">
        <v>3</v>
      </c>
      <c r="T2110" s="1">
        <v>43691</v>
      </c>
      <c r="U2110" s="1">
        <v>43699</v>
      </c>
      <c r="V2110" s="2"/>
      <c r="W2110" s="1">
        <f>fNotasFiscais[[#This Row],[Data da Coleta]]+fNotasFiscais[[#This Row],[Prazo Contratado]]</f>
        <v>43694</v>
      </c>
      <c r="X2110" s="3">
        <f>IF(fNotasFiscais[[#This Row],[Data da Entrega]]&gt;fNotasFiscais[[#This Row],[Data Contratada]],0,1)</f>
        <v>0</v>
      </c>
      <c r="Y2110" s="3">
        <f>IF(fNotasFiscais[[#This Row],[Ocorrência]]="",1,0)</f>
        <v>1</v>
      </c>
      <c r="Z2110" s="2">
        <f>fNotasFiscais[[#This Row],[On Time]]*fNotasFiscais[[#This Row],[In Full]]</f>
        <v>0</v>
      </c>
      <c r="AA2110">
        <f>IF(fNotasFiscais[[#This Row],[Nota Fiscal]]&lt;&gt;"",1,0)</f>
        <v>1</v>
      </c>
    </row>
    <row r="2111" spans="1:27" x14ac:dyDescent="0.25">
      <c r="A2111" s="1">
        <v>43691</v>
      </c>
      <c r="B2111">
        <v>12520</v>
      </c>
      <c r="C2111" s="2" t="s">
        <v>52</v>
      </c>
      <c r="D2111" s="2" t="s">
        <v>53</v>
      </c>
      <c r="E2111" s="2" t="s">
        <v>33</v>
      </c>
      <c r="F2111">
        <v>4172</v>
      </c>
      <c r="G2111" s="2" t="s">
        <v>255</v>
      </c>
      <c r="H2111" s="2" t="s">
        <v>183</v>
      </c>
      <c r="I2111" s="2" t="s">
        <v>33</v>
      </c>
      <c r="J2111" s="2" t="s">
        <v>60</v>
      </c>
      <c r="K2111" s="2" t="s">
        <v>33</v>
      </c>
      <c r="L2111">
        <v>4976.1400000000003</v>
      </c>
      <c r="M2111">
        <v>6</v>
      </c>
      <c r="N2111">
        <v>130.07499999999999</v>
      </c>
      <c r="O2111">
        <v>6400835</v>
      </c>
      <c r="P2111" s="2" t="s">
        <v>130</v>
      </c>
      <c r="Q2111" s="2" t="s">
        <v>131</v>
      </c>
      <c r="R2111" s="2" t="s">
        <v>30</v>
      </c>
      <c r="S2111">
        <v>3</v>
      </c>
      <c r="T2111" s="1">
        <v>43691</v>
      </c>
      <c r="U2111" s="1">
        <v>43697</v>
      </c>
      <c r="V2111" s="2"/>
      <c r="W2111" s="1">
        <f>fNotasFiscais[[#This Row],[Data da Coleta]]+fNotasFiscais[[#This Row],[Prazo Contratado]]</f>
        <v>43694</v>
      </c>
      <c r="X2111" s="3">
        <f>IF(fNotasFiscais[[#This Row],[Data da Entrega]]&gt;fNotasFiscais[[#This Row],[Data Contratada]],0,1)</f>
        <v>0</v>
      </c>
      <c r="Y2111" s="3">
        <f>IF(fNotasFiscais[[#This Row],[Ocorrência]]="",1,0)</f>
        <v>1</v>
      </c>
      <c r="Z2111" s="2">
        <f>fNotasFiscais[[#This Row],[On Time]]*fNotasFiscais[[#This Row],[In Full]]</f>
        <v>0</v>
      </c>
      <c r="AA2111">
        <f>IF(fNotasFiscais[[#This Row],[Nota Fiscal]]&lt;&gt;"",1,0)</f>
        <v>1</v>
      </c>
    </row>
    <row r="2112" spans="1:27" x14ac:dyDescent="0.25">
      <c r="A2112" s="1">
        <v>43691</v>
      </c>
      <c r="B2112">
        <v>12521</v>
      </c>
      <c r="C2112" s="2" t="s">
        <v>52</v>
      </c>
      <c r="D2112" s="2" t="s">
        <v>53</v>
      </c>
      <c r="E2112" s="2" t="s">
        <v>33</v>
      </c>
      <c r="F2112">
        <v>4023</v>
      </c>
      <c r="G2112" s="2" t="s">
        <v>88</v>
      </c>
      <c r="H2112" s="2" t="s">
        <v>78</v>
      </c>
      <c r="I2112" s="2" t="s">
        <v>39</v>
      </c>
      <c r="J2112" s="2" t="s">
        <v>28</v>
      </c>
      <c r="K2112" s="2" t="s">
        <v>39</v>
      </c>
      <c r="L2112">
        <v>579.89</v>
      </c>
      <c r="M2112">
        <v>1</v>
      </c>
      <c r="N2112">
        <v>1.65</v>
      </c>
      <c r="O2112">
        <v>6500948</v>
      </c>
      <c r="P2112" s="2" t="s">
        <v>29</v>
      </c>
      <c r="Q2112" s="2" t="s">
        <v>23</v>
      </c>
      <c r="R2112" s="2" t="s">
        <v>30</v>
      </c>
      <c r="S2112">
        <v>3</v>
      </c>
      <c r="T2112" s="1">
        <v>43691</v>
      </c>
      <c r="U2112" s="1">
        <v>43700</v>
      </c>
      <c r="V2112" s="2"/>
      <c r="W2112" s="1">
        <f>fNotasFiscais[[#This Row],[Data da Coleta]]+fNotasFiscais[[#This Row],[Prazo Contratado]]</f>
        <v>43694</v>
      </c>
      <c r="X2112" s="3">
        <f>IF(fNotasFiscais[[#This Row],[Data da Entrega]]&gt;fNotasFiscais[[#This Row],[Data Contratada]],0,1)</f>
        <v>0</v>
      </c>
      <c r="Y2112" s="3">
        <f>IF(fNotasFiscais[[#This Row],[Ocorrência]]="",1,0)</f>
        <v>1</v>
      </c>
      <c r="Z2112" s="2">
        <f>fNotasFiscais[[#This Row],[On Time]]*fNotasFiscais[[#This Row],[In Full]]</f>
        <v>0</v>
      </c>
      <c r="AA2112">
        <f>IF(fNotasFiscais[[#This Row],[Nota Fiscal]]&lt;&gt;"",1,0)</f>
        <v>1</v>
      </c>
    </row>
    <row r="2113" spans="1:27" x14ac:dyDescent="0.25">
      <c r="A2113" s="1">
        <v>43691</v>
      </c>
      <c r="B2113">
        <v>12522</v>
      </c>
      <c r="C2113" s="2" t="s">
        <v>54</v>
      </c>
      <c r="D2113" s="2" t="s">
        <v>55</v>
      </c>
      <c r="E2113" s="2" t="s">
        <v>56</v>
      </c>
      <c r="F2113">
        <v>4068</v>
      </c>
      <c r="G2113" s="2" t="s">
        <v>63</v>
      </c>
      <c r="H2113" s="2" t="s">
        <v>64</v>
      </c>
      <c r="I2113" s="2" t="s">
        <v>65</v>
      </c>
      <c r="J2113" s="2" t="s">
        <v>49</v>
      </c>
      <c r="K2113" s="2" t="s">
        <v>65</v>
      </c>
      <c r="L2113">
        <v>642.48</v>
      </c>
      <c r="M2113">
        <v>1</v>
      </c>
      <c r="N2113">
        <v>22</v>
      </c>
      <c r="O2113">
        <v>6100231</v>
      </c>
      <c r="P2113" s="2" t="s">
        <v>50</v>
      </c>
      <c r="Q2113" s="2" t="s">
        <v>51</v>
      </c>
      <c r="R2113" s="2" t="s">
        <v>30</v>
      </c>
      <c r="S2113">
        <v>6</v>
      </c>
      <c r="T2113" s="1">
        <v>43691</v>
      </c>
      <c r="U2113" s="1">
        <v>43693</v>
      </c>
      <c r="V2113" s="2"/>
      <c r="W2113" s="1">
        <f>fNotasFiscais[[#This Row],[Data da Coleta]]+fNotasFiscais[[#This Row],[Prazo Contratado]]</f>
        <v>43697</v>
      </c>
      <c r="X2113" s="3">
        <f>IF(fNotasFiscais[[#This Row],[Data da Entrega]]&gt;fNotasFiscais[[#This Row],[Data Contratada]],0,1)</f>
        <v>1</v>
      </c>
      <c r="Y2113" s="3">
        <f>IF(fNotasFiscais[[#This Row],[Ocorrência]]="",1,0)</f>
        <v>1</v>
      </c>
      <c r="Z2113" s="2">
        <f>fNotasFiscais[[#This Row],[On Time]]*fNotasFiscais[[#This Row],[In Full]]</f>
        <v>1</v>
      </c>
      <c r="AA2113">
        <f>IF(fNotasFiscais[[#This Row],[Nota Fiscal]]&lt;&gt;"",1,0)</f>
        <v>1</v>
      </c>
    </row>
    <row r="2114" spans="1:27" x14ac:dyDescent="0.25">
      <c r="A2114" s="1">
        <v>43692</v>
      </c>
      <c r="B2114">
        <v>12523</v>
      </c>
      <c r="C2114" s="2" t="s">
        <v>54</v>
      </c>
      <c r="D2114" s="2" t="s">
        <v>55</v>
      </c>
      <c r="E2114" s="2" t="s">
        <v>56</v>
      </c>
      <c r="F2114">
        <v>4153</v>
      </c>
      <c r="G2114" s="2" t="s">
        <v>236</v>
      </c>
      <c r="H2114" s="2" t="s">
        <v>44</v>
      </c>
      <c r="I2114" s="2" t="s">
        <v>45</v>
      </c>
      <c r="J2114" s="2" t="s">
        <v>60</v>
      </c>
      <c r="K2114" s="2" t="s">
        <v>45</v>
      </c>
      <c r="L2114">
        <v>1594</v>
      </c>
      <c r="M2114">
        <v>1</v>
      </c>
      <c r="N2114">
        <v>11</v>
      </c>
      <c r="O2114">
        <v>6140092</v>
      </c>
      <c r="P2114" s="2" t="s">
        <v>137</v>
      </c>
      <c r="Q2114" s="2" t="s">
        <v>138</v>
      </c>
      <c r="R2114" s="2" t="s">
        <v>30</v>
      </c>
      <c r="S2114">
        <v>4</v>
      </c>
      <c r="T2114" s="1">
        <v>43692</v>
      </c>
      <c r="U2114" s="1">
        <v>43697</v>
      </c>
      <c r="V2114" s="2" t="s">
        <v>42</v>
      </c>
      <c r="W2114" s="1">
        <f>fNotasFiscais[[#This Row],[Data da Coleta]]+fNotasFiscais[[#This Row],[Prazo Contratado]]</f>
        <v>43696</v>
      </c>
      <c r="X2114" s="3">
        <f>IF(fNotasFiscais[[#This Row],[Data da Entrega]]&gt;fNotasFiscais[[#This Row],[Data Contratada]],0,1)</f>
        <v>0</v>
      </c>
      <c r="Y2114" s="3">
        <f>IF(fNotasFiscais[[#This Row],[Ocorrência]]="",1,0)</f>
        <v>0</v>
      </c>
      <c r="Z2114" s="2">
        <f>fNotasFiscais[[#This Row],[On Time]]*fNotasFiscais[[#This Row],[In Full]]</f>
        <v>0</v>
      </c>
      <c r="AA2114">
        <f>IF(fNotasFiscais[[#This Row],[Nota Fiscal]]&lt;&gt;"",1,0)</f>
        <v>1</v>
      </c>
    </row>
    <row r="2115" spans="1:27" x14ac:dyDescent="0.25">
      <c r="A2115" s="1">
        <v>43692</v>
      </c>
      <c r="B2115">
        <v>12524</v>
      </c>
      <c r="C2115" s="2" t="s">
        <v>52</v>
      </c>
      <c r="D2115" s="2" t="s">
        <v>53</v>
      </c>
      <c r="E2115" s="2" t="s">
        <v>33</v>
      </c>
      <c r="F2115">
        <v>4153</v>
      </c>
      <c r="G2115" s="2" t="s">
        <v>236</v>
      </c>
      <c r="H2115" s="2" t="s">
        <v>44</v>
      </c>
      <c r="I2115" s="2" t="s">
        <v>45</v>
      </c>
      <c r="J2115" s="2" t="s">
        <v>60</v>
      </c>
      <c r="K2115" s="2" t="s">
        <v>45</v>
      </c>
      <c r="L2115">
        <v>193.46</v>
      </c>
      <c r="M2115">
        <v>1</v>
      </c>
      <c r="N2115">
        <v>0.253</v>
      </c>
      <c r="O2115">
        <v>6140092</v>
      </c>
      <c r="P2115" s="2" t="s">
        <v>137</v>
      </c>
      <c r="Q2115" s="2" t="s">
        <v>138</v>
      </c>
      <c r="R2115" s="2" t="s">
        <v>30</v>
      </c>
      <c r="S2115">
        <v>9</v>
      </c>
      <c r="T2115" s="1">
        <v>43692</v>
      </c>
      <c r="U2115" s="1">
        <v>43702</v>
      </c>
      <c r="V2115" s="2"/>
      <c r="W2115" s="1">
        <f>fNotasFiscais[[#This Row],[Data da Coleta]]+fNotasFiscais[[#This Row],[Prazo Contratado]]</f>
        <v>43701</v>
      </c>
      <c r="X2115" s="3">
        <f>IF(fNotasFiscais[[#This Row],[Data da Entrega]]&gt;fNotasFiscais[[#This Row],[Data Contratada]],0,1)</f>
        <v>0</v>
      </c>
      <c r="Y2115" s="3">
        <f>IF(fNotasFiscais[[#This Row],[Ocorrência]]="",1,0)</f>
        <v>1</v>
      </c>
      <c r="Z2115" s="2">
        <f>fNotasFiscais[[#This Row],[On Time]]*fNotasFiscais[[#This Row],[In Full]]</f>
        <v>0</v>
      </c>
      <c r="AA2115">
        <f>IF(fNotasFiscais[[#This Row],[Nota Fiscal]]&lt;&gt;"",1,0)</f>
        <v>1</v>
      </c>
    </row>
    <row r="2116" spans="1:27" x14ac:dyDescent="0.25">
      <c r="A2116" s="1">
        <v>43692</v>
      </c>
      <c r="B2116">
        <v>12525</v>
      </c>
      <c r="C2116" s="2" t="s">
        <v>31</v>
      </c>
      <c r="D2116" s="2" t="s">
        <v>32</v>
      </c>
      <c r="E2116" s="2" t="s">
        <v>33</v>
      </c>
      <c r="F2116">
        <v>4219</v>
      </c>
      <c r="G2116" s="2" t="s">
        <v>302</v>
      </c>
      <c r="H2116" s="2" t="s">
        <v>35</v>
      </c>
      <c r="I2116" s="2" t="s">
        <v>36</v>
      </c>
      <c r="J2116" s="2" t="s">
        <v>60</v>
      </c>
      <c r="K2116" s="2" t="s">
        <v>36</v>
      </c>
      <c r="L2116">
        <v>1547.57</v>
      </c>
      <c r="M2116">
        <v>1</v>
      </c>
      <c r="N2116">
        <v>13.2</v>
      </c>
      <c r="O2116">
        <v>6600879</v>
      </c>
      <c r="P2116" s="2" t="s">
        <v>61</v>
      </c>
      <c r="Q2116" s="2" t="s">
        <v>35</v>
      </c>
      <c r="R2116" s="2" t="s">
        <v>30</v>
      </c>
      <c r="S2116">
        <v>4</v>
      </c>
      <c r="T2116" s="1">
        <v>43692</v>
      </c>
      <c r="U2116" s="1">
        <v>43695</v>
      </c>
      <c r="V2116" s="2"/>
      <c r="W2116" s="1">
        <f>fNotasFiscais[[#This Row],[Data da Coleta]]+fNotasFiscais[[#This Row],[Prazo Contratado]]</f>
        <v>43696</v>
      </c>
      <c r="X2116" s="3">
        <f>IF(fNotasFiscais[[#This Row],[Data da Entrega]]&gt;fNotasFiscais[[#This Row],[Data Contratada]],0,1)</f>
        <v>1</v>
      </c>
      <c r="Y2116" s="3">
        <f>IF(fNotasFiscais[[#This Row],[Ocorrência]]="",1,0)</f>
        <v>1</v>
      </c>
      <c r="Z2116" s="2">
        <f>fNotasFiscais[[#This Row],[On Time]]*fNotasFiscais[[#This Row],[In Full]]</f>
        <v>1</v>
      </c>
      <c r="AA2116">
        <f>IF(fNotasFiscais[[#This Row],[Nota Fiscal]]&lt;&gt;"",1,0)</f>
        <v>1</v>
      </c>
    </row>
    <row r="2117" spans="1:27" x14ac:dyDescent="0.25">
      <c r="A2117" s="1">
        <v>43692</v>
      </c>
      <c r="B2117">
        <v>12526</v>
      </c>
      <c r="C2117" s="2" t="s">
        <v>31</v>
      </c>
      <c r="D2117" s="2" t="s">
        <v>32</v>
      </c>
      <c r="E2117" s="2" t="s">
        <v>33</v>
      </c>
      <c r="F2117">
        <v>4220</v>
      </c>
      <c r="G2117" s="2" t="s">
        <v>303</v>
      </c>
      <c r="H2117" s="2" t="s">
        <v>35</v>
      </c>
      <c r="I2117" s="2" t="s">
        <v>36</v>
      </c>
      <c r="J2117" s="2" t="s">
        <v>60</v>
      </c>
      <c r="K2117" s="2" t="s">
        <v>36</v>
      </c>
      <c r="L2117">
        <v>377.4</v>
      </c>
      <c r="M2117">
        <v>2</v>
      </c>
      <c r="N2117">
        <v>4.2990000000000004</v>
      </c>
      <c r="O2117">
        <v>6600879</v>
      </c>
      <c r="P2117" s="2" t="s">
        <v>61</v>
      </c>
      <c r="Q2117" s="2" t="s">
        <v>35</v>
      </c>
      <c r="R2117" s="2" t="s">
        <v>30</v>
      </c>
      <c r="S2117">
        <v>8</v>
      </c>
      <c r="T2117" s="1">
        <v>43692</v>
      </c>
      <c r="U2117" s="1">
        <v>43698</v>
      </c>
      <c r="V2117" s="2"/>
      <c r="W2117" s="1">
        <f>fNotasFiscais[[#This Row],[Data da Coleta]]+fNotasFiscais[[#This Row],[Prazo Contratado]]</f>
        <v>43700</v>
      </c>
      <c r="X2117" s="3">
        <f>IF(fNotasFiscais[[#This Row],[Data da Entrega]]&gt;fNotasFiscais[[#This Row],[Data Contratada]],0,1)</f>
        <v>1</v>
      </c>
      <c r="Y2117" s="3">
        <f>IF(fNotasFiscais[[#This Row],[Ocorrência]]="",1,0)</f>
        <v>1</v>
      </c>
      <c r="Z2117" s="2">
        <f>fNotasFiscais[[#This Row],[On Time]]*fNotasFiscais[[#This Row],[In Full]]</f>
        <v>1</v>
      </c>
      <c r="AA2117">
        <f>IF(fNotasFiscais[[#This Row],[Nota Fiscal]]&lt;&gt;"",1,0)</f>
        <v>1</v>
      </c>
    </row>
    <row r="2118" spans="1:27" x14ac:dyDescent="0.25">
      <c r="A2118" s="1">
        <v>43692</v>
      </c>
      <c r="B2118">
        <v>12527</v>
      </c>
      <c r="C2118" s="2" t="s">
        <v>40</v>
      </c>
      <c r="D2118" s="2" t="s">
        <v>41</v>
      </c>
      <c r="E2118" s="2" t="s">
        <v>33</v>
      </c>
      <c r="F2118">
        <v>4221</v>
      </c>
      <c r="G2118" s="2" t="s">
        <v>304</v>
      </c>
      <c r="H2118" s="2" t="s">
        <v>167</v>
      </c>
      <c r="I2118" s="2" t="s">
        <v>168</v>
      </c>
      <c r="J2118" s="2" t="s">
        <v>169</v>
      </c>
      <c r="K2118" s="2" t="s">
        <v>168</v>
      </c>
      <c r="L2118">
        <v>1204.1400000000001</v>
      </c>
      <c r="M2118">
        <v>1</v>
      </c>
      <c r="N2118">
        <v>1.1200000000000001</v>
      </c>
      <c r="O2118">
        <v>6900304</v>
      </c>
      <c r="P2118" s="2" t="s">
        <v>170</v>
      </c>
      <c r="Q2118" s="2" t="s">
        <v>171</v>
      </c>
      <c r="R2118" s="2" t="s">
        <v>30</v>
      </c>
      <c r="S2118">
        <v>4</v>
      </c>
      <c r="T2118" s="1">
        <v>43692</v>
      </c>
      <c r="U2118" s="1">
        <v>43694</v>
      </c>
      <c r="V2118" s="2"/>
      <c r="W2118" s="1">
        <f>fNotasFiscais[[#This Row],[Data da Coleta]]+fNotasFiscais[[#This Row],[Prazo Contratado]]</f>
        <v>43696</v>
      </c>
      <c r="X2118" s="3">
        <f>IF(fNotasFiscais[[#This Row],[Data da Entrega]]&gt;fNotasFiscais[[#This Row],[Data Contratada]],0,1)</f>
        <v>1</v>
      </c>
      <c r="Y2118" s="3">
        <f>IF(fNotasFiscais[[#This Row],[Ocorrência]]="",1,0)</f>
        <v>1</v>
      </c>
      <c r="Z2118" s="2">
        <f>fNotasFiscais[[#This Row],[On Time]]*fNotasFiscais[[#This Row],[In Full]]</f>
        <v>1</v>
      </c>
      <c r="AA2118">
        <f>IF(fNotasFiscais[[#This Row],[Nota Fiscal]]&lt;&gt;"",1,0)</f>
        <v>1</v>
      </c>
    </row>
    <row r="2119" spans="1:27" x14ac:dyDescent="0.25">
      <c r="A2119" s="1">
        <v>43692</v>
      </c>
      <c r="B2119">
        <v>12528</v>
      </c>
      <c r="C2119" s="2" t="s">
        <v>22</v>
      </c>
      <c r="D2119" s="2" t="s">
        <v>23</v>
      </c>
      <c r="E2119" s="2" t="s">
        <v>24</v>
      </c>
      <c r="F2119">
        <v>4221</v>
      </c>
      <c r="G2119" s="2" t="s">
        <v>304</v>
      </c>
      <c r="H2119" s="2" t="s">
        <v>167</v>
      </c>
      <c r="I2119" s="2" t="s">
        <v>168</v>
      </c>
      <c r="J2119" s="2" t="s">
        <v>169</v>
      </c>
      <c r="K2119" s="2" t="s">
        <v>168</v>
      </c>
      <c r="L2119">
        <v>281</v>
      </c>
      <c r="M2119">
        <v>1</v>
      </c>
      <c r="N2119">
        <v>1.1879999999999999</v>
      </c>
      <c r="O2119">
        <v>6900304</v>
      </c>
      <c r="P2119" s="2" t="s">
        <v>170</v>
      </c>
      <c r="Q2119" s="2" t="s">
        <v>171</v>
      </c>
      <c r="R2119" s="2" t="s">
        <v>30</v>
      </c>
      <c r="S2119">
        <v>10</v>
      </c>
      <c r="T2119" s="1">
        <v>43692</v>
      </c>
      <c r="U2119" s="1">
        <v>43702</v>
      </c>
      <c r="V2119" s="2"/>
      <c r="W2119" s="1">
        <f>fNotasFiscais[[#This Row],[Data da Coleta]]+fNotasFiscais[[#This Row],[Prazo Contratado]]</f>
        <v>43702</v>
      </c>
      <c r="X2119" s="3">
        <f>IF(fNotasFiscais[[#This Row],[Data da Entrega]]&gt;fNotasFiscais[[#This Row],[Data Contratada]],0,1)</f>
        <v>1</v>
      </c>
      <c r="Y2119" s="3">
        <f>IF(fNotasFiscais[[#This Row],[Ocorrência]]="",1,0)</f>
        <v>1</v>
      </c>
      <c r="Z2119" s="2">
        <f>fNotasFiscais[[#This Row],[On Time]]*fNotasFiscais[[#This Row],[In Full]]</f>
        <v>1</v>
      </c>
      <c r="AA2119">
        <f>IF(fNotasFiscais[[#This Row],[Nota Fiscal]]&lt;&gt;"",1,0)</f>
        <v>1</v>
      </c>
    </row>
    <row r="2120" spans="1:27" x14ac:dyDescent="0.25">
      <c r="A2120" s="1">
        <v>43692</v>
      </c>
      <c r="B2120">
        <v>12529</v>
      </c>
      <c r="C2120" s="2" t="s">
        <v>54</v>
      </c>
      <c r="D2120" s="2" t="s">
        <v>55</v>
      </c>
      <c r="E2120" s="2" t="s">
        <v>56</v>
      </c>
      <c r="F2120">
        <v>4222</v>
      </c>
      <c r="G2120" s="2" t="s">
        <v>305</v>
      </c>
      <c r="H2120" s="2" t="s">
        <v>173</v>
      </c>
      <c r="I2120" s="2" t="s">
        <v>174</v>
      </c>
      <c r="J2120" s="2" t="s">
        <v>175</v>
      </c>
      <c r="K2120" s="2" t="s">
        <v>174</v>
      </c>
      <c r="L2120">
        <v>2904.46</v>
      </c>
      <c r="M2120">
        <v>3</v>
      </c>
      <c r="N2120">
        <v>12.878</v>
      </c>
      <c r="O2120">
        <v>6700091</v>
      </c>
      <c r="P2120" s="2" t="s">
        <v>176</v>
      </c>
      <c r="Q2120" s="2" t="s">
        <v>173</v>
      </c>
      <c r="R2120" s="2" t="s">
        <v>30</v>
      </c>
      <c r="S2120">
        <v>9</v>
      </c>
      <c r="T2120" s="1">
        <v>43692</v>
      </c>
      <c r="U2120" s="1">
        <v>43701</v>
      </c>
      <c r="V2120" s="2"/>
      <c r="W2120" s="1">
        <f>fNotasFiscais[[#This Row],[Data da Coleta]]+fNotasFiscais[[#This Row],[Prazo Contratado]]</f>
        <v>43701</v>
      </c>
      <c r="X2120" s="3">
        <f>IF(fNotasFiscais[[#This Row],[Data da Entrega]]&gt;fNotasFiscais[[#This Row],[Data Contratada]],0,1)</f>
        <v>1</v>
      </c>
      <c r="Y2120" s="3">
        <f>IF(fNotasFiscais[[#This Row],[Ocorrência]]="",1,0)</f>
        <v>1</v>
      </c>
      <c r="Z2120" s="2">
        <f>fNotasFiscais[[#This Row],[On Time]]*fNotasFiscais[[#This Row],[In Full]]</f>
        <v>1</v>
      </c>
      <c r="AA2120">
        <f>IF(fNotasFiscais[[#This Row],[Nota Fiscal]]&lt;&gt;"",1,0)</f>
        <v>1</v>
      </c>
    </row>
    <row r="2121" spans="1:27" x14ac:dyDescent="0.25">
      <c r="A2121" s="1">
        <v>43692</v>
      </c>
      <c r="B2121">
        <v>12530</v>
      </c>
      <c r="C2121" s="2" t="s">
        <v>31</v>
      </c>
      <c r="D2121" s="2" t="s">
        <v>32</v>
      </c>
      <c r="E2121" s="2" t="s">
        <v>33</v>
      </c>
      <c r="F2121">
        <v>4223</v>
      </c>
      <c r="G2121" s="2" t="s">
        <v>306</v>
      </c>
      <c r="H2121" s="2" t="s">
        <v>32</v>
      </c>
      <c r="I2121" s="2" t="s">
        <v>33</v>
      </c>
      <c r="J2121" s="2" t="s">
        <v>60</v>
      </c>
      <c r="K2121" s="2" t="s">
        <v>33</v>
      </c>
      <c r="L2121">
        <v>778.65</v>
      </c>
      <c r="M2121">
        <v>1</v>
      </c>
      <c r="N2121">
        <v>1.2270000000000001</v>
      </c>
      <c r="O2121">
        <v>6400835</v>
      </c>
      <c r="P2121" s="2" t="s">
        <v>130</v>
      </c>
      <c r="Q2121" s="2" t="s">
        <v>131</v>
      </c>
      <c r="R2121" s="2" t="s">
        <v>30</v>
      </c>
      <c r="S2121">
        <v>5</v>
      </c>
      <c r="T2121" s="1">
        <v>43692</v>
      </c>
      <c r="U2121" s="1">
        <v>43702</v>
      </c>
      <c r="V2121" s="2"/>
      <c r="W2121" s="1">
        <f>fNotasFiscais[[#This Row],[Data da Coleta]]+fNotasFiscais[[#This Row],[Prazo Contratado]]</f>
        <v>43697</v>
      </c>
      <c r="X2121" s="3">
        <f>IF(fNotasFiscais[[#This Row],[Data da Entrega]]&gt;fNotasFiscais[[#This Row],[Data Contratada]],0,1)</f>
        <v>0</v>
      </c>
      <c r="Y2121" s="3">
        <f>IF(fNotasFiscais[[#This Row],[Ocorrência]]="",1,0)</f>
        <v>1</v>
      </c>
      <c r="Z2121" s="2">
        <f>fNotasFiscais[[#This Row],[On Time]]*fNotasFiscais[[#This Row],[In Full]]</f>
        <v>0</v>
      </c>
      <c r="AA2121">
        <f>IF(fNotasFiscais[[#This Row],[Nota Fiscal]]&lt;&gt;"",1,0)</f>
        <v>1</v>
      </c>
    </row>
    <row r="2122" spans="1:27" x14ac:dyDescent="0.25">
      <c r="A2122" s="1">
        <v>43692</v>
      </c>
      <c r="B2122">
        <v>12531</v>
      </c>
      <c r="C2122" s="2" t="s">
        <v>40</v>
      </c>
      <c r="D2122" s="2" t="s">
        <v>41</v>
      </c>
      <c r="E2122" s="2" t="s">
        <v>33</v>
      </c>
      <c r="F2122">
        <v>4223</v>
      </c>
      <c r="G2122" s="2" t="s">
        <v>306</v>
      </c>
      <c r="H2122" s="2" t="s">
        <v>32</v>
      </c>
      <c r="I2122" s="2" t="s">
        <v>33</v>
      </c>
      <c r="J2122" s="2" t="s">
        <v>60</v>
      </c>
      <c r="K2122" s="2" t="s">
        <v>33</v>
      </c>
      <c r="L2122">
        <v>1521.99</v>
      </c>
      <c r="M2122">
        <v>1</v>
      </c>
      <c r="N2122">
        <v>1.899</v>
      </c>
      <c r="O2122">
        <v>6400835</v>
      </c>
      <c r="P2122" s="2" t="s">
        <v>130</v>
      </c>
      <c r="Q2122" s="2" t="s">
        <v>131</v>
      </c>
      <c r="R2122" s="2" t="s">
        <v>30</v>
      </c>
      <c r="S2122">
        <v>5</v>
      </c>
      <c r="T2122" s="1">
        <v>43692</v>
      </c>
      <c r="U2122" s="1">
        <v>43697</v>
      </c>
      <c r="V2122" s="2"/>
      <c r="W2122" s="1">
        <f>fNotasFiscais[[#This Row],[Data da Coleta]]+fNotasFiscais[[#This Row],[Prazo Contratado]]</f>
        <v>43697</v>
      </c>
      <c r="X2122" s="3">
        <f>IF(fNotasFiscais[[#This Row],[Data da Entrega]]&gt;fNotasFiscais[[#This Row],[Data Contratada]],0,1)</f>
        <v>1</v>
      </c>
      <c r="Y2122" s="3">
        <f>IF(fNotasFiscais[[#This Row],[Ocorrência]]="",1,0)</f>
        <v>1</v>
      </c>
      <c r="Z2122" s="2">
        <f>fNotasFiscais[[#This Row],[On Time]]*fNotasFiscais[[#This Row],[In Full]]</f>
        <v>1</v>
      </c>
      <c r="AA2122">
        <f>IF(fNotasFiscais[[#This Row],[Nota Fiscal]]&lt;&gt;"",1,0)</f>
        <v>1</v>
      </c>
    </row>
    <row r="2123" spans="1:27" x14ac:dyDescent="0.25">
      <c r="A2123" s="1">
        <v>43692</v>
      </c>
      <c r="B2123">
        <v>12532</v>
      </c>
      <c r="C2123" s="2" t="s">
        <v>34</v>
      </c>
      <c r="D2123" s="2" t="s">
        <v>35</v>
      </c>
      <c r="E2123" s="2" t="s">
        <v>36</v>
      </c>
      <c r="F2123">
        <v>4224</v>
      </c>
      <c r="G2123" s="2" t="s">
        <v>307</v>
      </c>
      <c r="H2123" s="2" t="s">
        <v>183</v>
      </c>
      <c r="I2123" s="2" t="s">
        <v>33</v>
      </c>
      <c r="J2123" s="2" t="s">
        <v>60</v>
      </c>
      <c r="K2123" s="2" t="s">
        <v>33</v>
      </c>
      <c r="L2123">
        <v>280.89</v>
      </c>
      <c r="M2123">
        <v>1</v>
      </c>
      <c r="N2123">
        <v>1.1879999999999999</v>
      </c>
      <c r="O2123">
        <v>6400835</v>
      </c>
      <c r="P2123" s="2" t="s">
        <v>130</v>
      </c>
      <c r="Q2123" s="2" t="s">
        <v>131</v>
      </c>
      <c r="R2123" s="2" t="s">
        <v>30</v>
      </c>
      <c r="S2123">
        <v>6</v>
      </c>
      <c r="T2123" s="1">
        <v>43692</v>
      </c>
      <c r="U2123" s="1">
        <v>43693</v>
      </c>
      <c r="V2123" s="2"/>
      <c r="W2123" s="1">
        <f>fNotasFiscais[[#This Row],[Data da Coleta]]+fNotasFiscais[[#This Row],[Prazo Contratado]]</f>
        <v>43698</v>
      </c>
      <c r="X2123" s="3">
        <f>IF(fNotasFiscais[[#This Row],[Data da Entrega]]&gt;fNotasFiscais[[#This Row],[Data Contratada]],0,1)</f>
        <v>1</v>
      </c>
      <c r="Y2123" s="3">
        <f>IF(fNotasFiscais[[#This Row],[Ocorrência]]="",1,0)</f>
        <v>1</v>
      </c>
      <c r="Z2123" s="2">
        <f>fNotasFiscais[[#This Row],[On Time]]*fNotasFiscais[[#This Row],[In Full]]</f>
        <v>1</v>
      </c>
      <c r="AA2123">
        <f>IF(fNotasFiscais[[#This Row],[Nota Fiscal]]&lt;&gt;"",1,0)</f>
        <v>1</v>
      </c>
    </row>
    <row r="2124" spans="1:27" x14ac:dyDescent="0.25">
      <c r="A2124" s="1">
        <v>43692</v>
      </c>
      <c r="B2124">
        <v>12533</v>
      </c>
      <c r="C2124" s="2" t="s">
        <v>52</v>
      </c>
      <c r="D2124" s="2" t="s">
        <v>53</v>
      </c>
      <c r="E2124" s="2" t="s">
        <v>33</v>
      </c>
      <c r="F2124">
        <v>4225</v>
      </c>
      <c r="G2124" s="2" t="s">
        <v>308</v>
      </c>
      <c r="H2124" s="2" t="s">
        <v>32</v>
      </c>
      <c r="I2124" s="2" t="s">
        <v>33</v>
      </c>
      <c r="J2124" s="2" t="s">
        <v>60</v>
      </c>
      <c r="K2124" s="2" t="s">
        <v>33</v>
      </c>
      <c r="L2124">
        <v>2877.38</v>
      </c>
      <c r="M2124">
        <v>7</v>
      </c>
      <c r="N2124">
        <v>11.021000000000001</v>
      </c>
      <c r="O2124">
        <v>6400835</v>
      </c>
      <c r="P2124" s="2" t="s">
        <v>130</v>
      </c>
      <c r="Q2124" s="2" t="s">
        <v>131</v>
      </c>
      <c r="R2124" s="2" t="s">
        <v>30</v>
      </c>
      <c r="S2124">
        <v>6</v>
      </c>
      <c r="T2124" s="1">
        <v>43692</v>
      </c>
      <c r="U2124" s="1">
        <v>43694</v>
      </c>
      <c r="V2124" s="2"/>
      <c r="W2124" s="1">
        <f>fNotasFiscais[[#This Row],[Data da Coleta]]+fNotasFiscais[[#This Row],[Prazo Contratado]]</f>
        <v>43698</v>
      </c>
      <c r="X2124" s="3">
        <f>IF(fNotasFiscais[[#This Row],[Data da Entrega]]&gt;fNotasFiscais[[#This Row],[Data Contratada]],0,1)</f>
        <v>1</v>
      </c>
      <c r="Y2124" s="3">
        <f>IF(fNotasFiscais[[#This Row],[Ocorrência]]="",1,0)</f>
        <v>1</v>
      </c>
      <c r="Z2124" s="2">
        <f>fNotasFiscais[[#This Row],[On Time]]*fNotasFiscais[[#This Row],[In Full]]</f>
        <v>1</v>
      </c>
      <c r="AA2124">
        <f>IF(fNotasFiscais[[#This Row],[Nota Fiscal]]&lt;&gt;"",1,0)</f>
        <v>1</v>
      </c>
    </row>
    <row r="2125" spans="1:27" x14ac:dyDescent="0.25">
      <c r="A2125" s="1">
        <v>43692</v>
      </c>
      <c r="B2125">
        <v>12534</v>
      </c>
      <c r="C2125" s="2" t="s">
        <v>52</v>
      </c>
      <c r="D2125" s="2" t="s">
        <v>53</v>
      </c>
      <c r="E2125" s="2" t="s">
        <v>33</v>
      </c>
      <c r="F2125">
        <v>4226</v>
      </c>
      <c r="G2125" s="2" t="s">
        <v>309</v>
      </c>
      <c r="H2125" s="2" t="s">
        <v>35</v>
      </c>
      <c r="I2125" s="2" t="s">
        <v>36</v>
      </c>
      <c r="J2125" s="2" t="s">
        <v>60</v>
      </c>
      <c r="K2125" s="2" t="s">
        <v>36</v>
      </c>
      <c r="L2125">
        <v>1162.3</v>
      </c>
      <c r="M2125">
        <v>1</v>
      </c>
      <c r="N2125">
        <v>6.7759999999999998</v>
      </c>
      <c r="O2125">
        <v>6600879</v>
      </c>
      <c r="P2125" s="2" t="s">
        <v>61</v>
      </c>
      <c r="Q2125" s="2" t="s">
        <v>35</v>
      </c>
      <c r="R2125" s="2" t="s">
        <v>30</v>
      </c>
      <c r="S2125">
        <v>9</v>
      </c>
      <c r="T2125" s="1">
        <v>43692</v>
      </c>
      <c r="U2125" s="1">
        <v>43699</v>
      </c>
      <c r="V2125" s="2"/>
      <c r="W2125" s="1">
        <f>fNotasFiscais[[#This Row],[Data da Coleta]]+fNotasFiscais[[#This Row],[Prazo Contratado]]</f>
        <v>43701</v>
      </c>
      <c r="X2125" s="3">
        <f>IF(fNotasFiscais[[#This Row],[Data da Entrega]]&gt;fNotasFiscais[[#This Row],[Data Contratada]],0,1)</f>
        <v>1</v>
      </c>
      <c r="Y2125" s="3">
        <f>IF(fNotasFiscais[[#This Row],[Ocorrência]]="",1,0)</f>
        <v>1</v>
      </c>
      <c r="Z2125" s="2">
        <f>fNotasFiscais[[#This Row],[On Time]]*fNotasFiscais[[#This Row],[In Full]]</f>
        <v>1</v>
      </c>
      <c r="AA2125">
        <f>IF(fNotasFiscais[[#This Row],[Nota Fiscal]]&lt;&gt;"",1,0)</f>
        <v>1</v>
      </c>
    </row>
    <row r="2126" spans="1:27" x14ac:dyDescent="0.25">
      <c r="A2126" s="1">
        <v>43692</v>
      </c>
      <c r="B2126">
        <v>12535</v>
      </c>
      <c r="C2126" s="2" t="s">
        <v>34</v>
      </c>
      <c r="D2126" s="2" t="s">
        <v>35</v>
      </c>
      <c r="E2126" s="2" t="s">
        <v>36</v>
      </c>
      <c r="F2126">
        <v>4227</v>
      </c>
      <c r="G2126" s="2" t="s">
        <v>310</v>
      </c>
      <c r="H2126" s="2" t="s">
        <v>44</v>
      </c>
      <c r="I2126" s="2" t="s">
        <v>45</v>
      </c>
      <c r="J2126" s="2" t="s">
        <v>60</v>
      </c>
      <c r="K2126" s="2" t="s">
        <v>45</v>
      </c>
      <c r="L2126">
        <v>1164.99</v>
      </c>
      <c r="M2126">
        <v>1</v>
      </c>
      <c r="N2126">
        <v>11.837999999999999</v>
      </c>
      <c r="O2126">
        <v>6140092</v>
      </c>
      <c r="P2126" s="2" t="s">
        <v>137</v>
      </c>
      <c r="Q2126" s="2" t="s">
        <v>138</v>
      </c>
      <c r="R2126" s="2" t="s">
        <v>30</v>
      </c>
      <c r="S2126">
        <v>9</v>
      </c>
      <c r="T2126" s="1">
        <v>43692</v>
      </c>
      <c r="U2126" s="1">
        <v>43693</v>
      </c>
      <c r="V2126" s="2"/>
      <c r="W2126" s="1">
        <f>fNotasFiscais[[#This Row],[Data da Coleta]]+fNotasFiscais[[#This Row],[Prazo Contratado]]</f>
        <v>43701</v>
      </c>
      <c r="X2126" s="3">
        <f>IF(fNotasFiscais[[#This Row],[Data da Entrega]]&gt;fNotasFiscais[[#This Row],[Data Contratada]],0,1)</f>
        <v>1</v>
      </c>
      <c r="Y2126" s="3">
        <f>IF(fNotasFiscais[[#This Row],[Ocorrência]]="",1,0)</f>
        <v>1</v>
      </c>
      <c r="Z2126" s="2">
        <f>fNotasFiscais[[#This Row],[On Time]]*fNotasFiscais[[#This Row],[In Full]]</f>
        <v>1</v>
      </c>
      <c r="AA2126">
        <f>IF(fNotasFiscais[[#This Row],[Nota Fiscal]]&lt;&gt;"",1,0)</f>
        <v>1</v>
      </c>
    </row>
    <row r="2127" spans="1:27" x14ac:dyDescent="0.25">
      <c r="A2127" s="1">
        <v>43692</v>
      </c>
      <c r="B2127">
        <v>12536</v>
      </c>
      <c r="C2127" s="2" t="s">
        <v>31</v>
      </c>
      <c r="D2127" s="2" t="s">
        <v>32</v>
      </c>
      <c r="E2127" s="2" t="s">
        <v>33</v>
      </c>
      <c r="F2127">
        <v>4018</v>
      </c>
      <c r="G2127" s="2" t="s">
        <v>77</v>
      </c>
      <c r="H2127" s="2" t="s">
        <v>78</v>
      </c>
      <c r="I2127" s="2" t="s">
        <v>39</v>
      </c>
      <c r="J2127" s="2" t="s">
        <v>28</v>
      </c>
      <c r="K2127" s="2" t="s">
        <v>39</v>
      </c>
      <c r="L2127">
        <v>4950.72</v>
      </c>
      <c r="M2127">
        <v>8</v>
      </c>
      <c r="N2127">
        <v>22.077000000000002</v>
      </c>
      <c r="O2127">
        <v>6500948</v>
      </c>
      <c r="P2127" s="2" t="s">
        <v>29</v>
      </c>
      <c r="Q2127" s="2" t="s">
        <v>23</v>
      </c>
      <c r="R2127" s="2" t="s">
        <v>30</v>
      </c>
      <c r="S2127">
        <v>5</v>
      </c>
      <c r="T2127" s="1">
        <v>43692</v>
      </c>
      <c r="U2127" s="1">
        <v>43695</v>
      </c>
      <c r="V2127" s="2"/>
      <c r="W2127" s="1">
        <f>fNotasFiscais[[#This Row],[Data da Coleta]]+fNotasFiscais[[#This Row],[Prazo Contratado]]</f>
        <v>43697</v>
      </c>
      <c r="X2127" s="3">
        <f>IF(fNotasFiscais[[#This Row],[Data da Entrega]]&gt;fNotasFiscais[[#This Row],[Data Contratada]],0,1)</f>
        <v>1</v>
      </c>
      <c r="Y2127" s="3">
        <f>IF(fNotasFiscais[[#This Row],[Ocorrência]]="",1,0)</f>
        <v>1</v>
      </c>
      <c r="Z2127" s="2">
        <f>fNotasFiscais[[#This Row],[On Time]]*fNotasFiscais[[#This Row],[In Full]]</f>
        <v>1</v>
      </c>
      <c r="AA2127">
        <f>IF(fNotasFiscais[[#This Row],[Nota Fiscal]]&lt;&gt;"",1,0)</f>
        <v>1</v>
      </c>
    </row>
    <row r="2128" spans="1:27" x14ac:dyDescent="0.25">
      <c r="A2128" s="1">
        <v>43692</v>
      </c>
      <c r="B2128">
        <v>12537</v>
      </c>
      <c r="C2128" s="2" t="s">
        <v>22</v>
      </c>
      <c r="D2128" s="2" t="s">
        <v>23</v>
      </c>
      <c r="E2128" s="2" t="s">
        <v>24</v>
      </c>
      <c r="F2128">
        <v>4014</v>
      </c>
      <c r="G2128" s="2" t="s">
        <v>58</v>
      </c>
      <c r="H2128" s="2" t="s">
        <v>59</v>
      </c>
      <c r="I2128" s="2" t="s">
        <v>36</v>
      </c>
      <c r="J2128" s="2" t="s">
        <v>60</v>
      </c>
      <c r="K2128" s="2" t="s">
        <v>36</v>
      </c>
      <c r="L2128">
        <v>1069.8800000000001</v>
      </c>
      <c r="M2128">
        <v>1</v>
      </c>
      <c r="N2128">
        <v>1.9970000000000001</v>
      </c>
      <c r="O2128">
        <v>6600879</v>
      </c>
      <c r="P2128" s="2" t="s">
        <v>61</v>
      </c>
      <c r="Q2128" s="2" t="s">
        <v>35</v>
      </c>
      <c r="R2128" s="2" t="s">
        <v>30</v>
      </c>
      <c r="S2128">
        <v>8</v>
      </c>
      <c r="T2128" s="1">
        <v>43692</v>
      </c>
      <c r="U2128" s="1">
        <v>43697</v>
      </c>
      <c r="V2128" s="2"/>
      <c r="W2128" s="1">
        <f>fNotasFiscais[[#This Row],[Data da Coleta]]+fNotasFiscais[[#This Row],[Prazo Contratado]]</f>
        <v>43700</v>
      </c>
      <c r="X2128" s="3">
        <f>IF(fNotasFiscais[[#This Row],[Data da Entrega]]&gt;fNotasFiscais[[#This Row],[Data Contratada]],0,1)</f>
        <v>1</v>
      </c>
      <c r="Y2128" s="3">
        <f>IF(fNotasFiscais[[#This Row],[Ocorrência]]="",1,0)</f>
        <v>1</v>
      </c>
      <c r="Z2128" s="2">
        <f>fNotasFiscais[[#This Row],[On Time]]*fNotasFiscais[[#This Row],[In Full]]</f>
        <v>1</v>
      </c>
      <c r="AA2128">
        <f>IF(fNotasFiscais[[#This Row],[Nota Fiscal]]&lt;&gt;"",1,0)</f>
        <v>1</v>
      </c>
    </row>
    <row r="2129" spans="1:27" x14ac:dyDescent="0.25">
      <c r="A2129" s="1">
        <v>43692</v>
      </c>
      <c r="B2129">
        <v>12538</v>
      </c>
      <c r="C2129" s="2" t="s">
        <v>34</v>
      </c>
      <c r="D2129" s="2" t="s">
        <v>35</v>
      </c>
      <c r="E2129" s="2" t="s">
        <v>36</v>
      </c>
      <c r="F2129">
        <v>4014</v>
      </c>
      <c r="G2129" s="2" t="s">
        <v>58</v>
      </c>
      <c r="H2129" s="2" t="s">
        <v>59</v>
      </c>
      <c r="I2129" s="2" t="s">
        <v>36</v>
      </c>
      <c r="J2129" s="2" t="s">
        <v>60</v>
      </c>
      <c r="K2129" s="2" t="s">
        <v>36</v>
      </c>
      <c r="L2129">
        <v>3454.49</v>
      </c>
      <c r="M2129">
        <v>3</v>
      </c>
      <c r="N2129">
        <v>9.9969999999999999</v>
      </c>
      <c r="O2129">
        <v>6600879</v>
      </c>
      <c r="P2129" s="2" t="s">
        <v>61</v>
      </c>
      <c r="Q2129" s="2" t="s">
        <v>35</v>
      </c>
      <c r="R2129" s="2" t="s">
        <v>30</v>
      </c>
      <c r="S2129">
        <v>5</v>
      </c>
      <c r="T2129" s="1">
        <v>43692</v>
      </c>
      <c r="U2129" s="1">
        <v>43698</v>
      </c>
      <c r="V2129" s="2"/>
      <c r="W2129" s="1">
        <f>fNotasFiscais[[#This Row],[Data da Coleta]]+fNotasFiscais[[#This Row],[Prazo Contratado]]</f>
        <v>43697</v>
      </c>
      <c r="X2129" s="3">
        <f>IF(fNotasFiscais[[#This Row],[Data da Entrega]]&gt;fNotasFiscais[[#This Row],[Data Contratada]],0,1)</f>
        <v>0</v>
      </c>
      <c r="Y2129" s="3">
        <f>IF(fNotasFiscais[[#This Row],[Ocorrência]]="",1,0)</f>
        <v>1</v>
      </c>
      <c r="Z2129" s="2">
        <f>fNotasFiscais[[#This Row],[On Time]]*fNotasFiscais[[#This Row],[In Full]]</f>
        <v>0</v>
      </c>
      <c r="AA2129">
        <f>IF(fNotasFiscais[[#This Row],[Nota Fiscal]]&lt;&gt;"",1,0)</f>
        <v>1</v>
      </c>
    </row>
    <row r="2130" spans="1:27" x14ac:dyDescent="0.25">
      <c r="A2130" s="1">
        <v>43692</v>
      </c>
      <c r="B2130">
        <v>12539</v>
      </c>
      <c r="C2130" s="2" t="s">
        <v>22</v>
      </c>
      <c r="D2130" s="2" t="s">
        <v>23</v>
      </c>
      <c r="E2130" s="2" t="s">
        <v>24</v>
      </c>
      <c r="F2130">
        <v>4014</v>
      </c>
      <c r="G2130" s="2" t="s">
        <v>58</v>
      </c>
      <c r="H2130" s="2" t="s">
        <v>59</v>
      </c>
      <c r="I2130" s="2" t="s">
        <v>36</v>
      </c>
      <c r="J2130" s="2" t="s">
        <v>60</v>
      </c>
      <c r="K2130" s="2" t="s">
        <v>36</v>
      </c>
      <c r="L2130">
        <v>107.3</v>
      </c>
      <c r="M2130">
        <v>1</v>
      </c>
      <c r="N2130">
        <v>0.121</v>
      </c>
      <c r="O2130">
        <v>6600879</v>
      </c>
      <c r="P2130" s="2" t="s">
        <v>61</v>
      </c>
      <c r="Q2130" s="2" t="s">
        <v>35</v>
      </c>
      <c r="R2130" s="2" t="s">
        <v>30</v>
      </c>
      <c r="S2130">
        <v>8</v>
      </c>
      <c r="T2130" s="1">
        <v>43692</v>
      </c>
      <c r="U2130" s="1">
        <v>43694</v>
      </c>
      <c r="V2130" s="2"/>
      <c r="W2130" s="1">
        <f>fNotasFiscais[[#This Row],[Data da Coleta]]+fNotasFiscais[[#This Row],[Prazo Contratado]]</f>
        <v>43700</v>
      </c>
      <c r="X2130" s="3">
        <f>IF(fNotasFiscais[[#This Row],[Data da Entrega]]&gt;fNotasFiscais[[#This Row],[Data Contratada]],0,1)</f>
        <v>1</v>
      </c>
      <c r="Y2130" s="3">
        <f>IF(fNotasFiscais[[#This Row],[Ocorrência]]="",1,0)</f>
        <v>1</v>
      </c>
      <c r="Z2130" s="2">
        <f>fNotasFiscais[[#This Row],[On Time]]*fNotasFiscais[[#This Row],[In Full]]</f>
        <v>1</v>
      </c>
      <c r="AA2130">
        <f>IF(fNotasFiscais[[#This Row],[Nota Fiscal]]&lt;&gt;"",1,0)</f>
        <v>1</v>
      </c>
    </row>
    <row r="2131" spans="1:27" x14ac:dyDescent="0.25">
      <c r="A2131" s="1">
        <v>43692</v>
      </c>
      <c r="B2131">
        <v>12540</v>
      </c>
      <c r="C2131" s="2" t="s">
        <v>40</v>
      </c>
      <c r="D2131" s="2" t="s">
        <v>41</v>
      </c>
      <c r="E2131" s="2" t="s">
        <v>33</v>
      </c>
      <c r="F2131">
        <v>4014</v>
      </c>
      <c r="G2131" s="2" t="s">
        <v>58</v>
      </c>
      <c r="H2131" s="2" t="s">
        <v>59</v>
      </c>
      <c r="I2131" s="2" t="s">
        <v>36</v>
      </c>
      <c r="J2131" s="2" t="s">
        <v>60</v>
      </c>
      <c r="K2131" s="2" t="s">
        <v>36</v>
      </c>
      <c r="L2131">
        <v>1230.6300000000001</v>
      </c>
      <c r="M2131">
        <v>1</v>
      </c>
      <c r="N2131">
        <v>4.3380000000000001</v>
      </c>
      <c r="O2131">
        <v>6600879</v>
      </c>
      <c r="P2131" s="2" t="s">
        <v>61</v>
      </c>
      <c r="Q2131" s="2" t="s">
        <v>35</v>
      </c>
      <c r="R2131" s="2" t="s">
        <v>30</v>
      </c>
      <c r="S2131">
        <v>3</v>
      </c>
      <c r="T2131" s="1">
        <v>43692</v>
      </c>
      <c r="U2131" s="1">
        <v>43694</v>
      </c>
      <c r="V2131" s="2"/>
      <c r="W2131" s="1">
        <f>fNotasFiscais[[#This Row],[Data da Coleta]]+fNotasFiscais[[#This Row],[Prazo Contratado]]</f>
        <v>43695</v>
      </c>
      <c r="X2131" s="3">
        <f>IF(fNotasFiscais[[#This Row],[Data da Entrega]]&gt;fNotasFiscais[[#This Row],[Data Contratada]],0,1)</f>
        <v>1</v>
      </c>
      <c r="Y2131" s="3">
        <f>IF(fNotasFiscais[[#This Row],[Ocorrência]]="",1,0)</f>
        <v>1</v>
      </c>
      <c r="Z2131" s="2">
        <f>fNotasFiscais[[#This Row],[On Time]]*fNotasFiscais[[#This Row],[In Full]]</f>
        <v>1</v>
      </c>
      <c r="AA2131">
        <f>IF(fNotasFiscais[[#This Row],[Nota Fiscal]]&lt;&gt;"",1,0)</f>
        <v>1</v>
      </c>
    </row>
    <row r="2132" spans="1:27" x14ac:dyDescent="0.25">
      <c r="A2132" s="1">
        <v>43693</v>
      </c>
      <c r="B2132">
        <v>12541</v>
      </c>
      <c r="C2132" s="2" t="s">
        <v>52</v>
      </c>
      <c r="D2132" s="2" t="s">
        <v>53</v>
      </c>
      <c r="E2132" s="2" t="s">
        <v>33</v>
      </c>
      <c r="F2132">
        <v>4228</v>
      </c>
      <c r="G2132" s="2" t="s">
        <v>311</v>
      </c>
      <c r="H2132" s="2" t="s">
        <v>165</v>
      </c>
      <c r="I2132" s="2" t="s">
        <v>24</v>
      </c>
      <c r="J2132" s="2" t="s">
        <v>28</v>
      </c>
      <c r="K2132" s="2" t="s">
        <v>24</v>
      </c>
      <c r="L2132">
        <v>2118.23</v>
      </c>
      <c r="M2132">
        <v>5</v>
      </c>
      <c r="N2132">
        <v>4.32</v>
      </c>
      <c r="O2132">
        <v>6500948</v>
      </c>
      <c r="P2132" s="2" t="s">
        <v>29</v>
      </c>
      <c r="Q2132" s="2" t="s">
        <v>23</v>
      </c>
      <c r="R2132" s="2" t="s">
        <v>30</v>
      </c>
      <c r="S2132">
        <v>7</v>
      </c>
      <c r="T2132" s="1">
        <v>43693</v>
      </c>
      <c r="U2132" s="1">
        <v>43703</v>
      </c>
      <c r="V2132" s="2"/>
      <c r="W2132" s="1">
        <f>fNotasFiscais[[#This Row],[Data da Coleta]]+fNotasFiscais[[#This Row],[Prazo Contratado]]</f>
        <v>43700</v>
      </c>
      <c r="X2132" s="3">
        <f>IF(fNotasFiscais[[#This Row],[Data da Entrega]]&gt;fNotasFiscais[[#This Row],[Data Contratada]],0,1)</f>
        <v>0</v>
      </c>
      <c r="Y2132" s="3">
        <f>IF(fNotasFiscais[[#This Row],[Ocorrência]]="",1,0)</f>
        <v>1</v>
      </c>
      <c r="Z2132" s="2">
        <f>fNotasFiscais[[#This Row],[On Time]]*fNotasFiscais[[#This Row],[In Full]]</f>
        <v>0</v>
      </c>
      <c r="AA2132">
        <f>IF(fNotasFiscais[[#This Row],[Nota Fiscal]]&lt;&gt;"",1,0)</f>
        <v>1</v>
      </c>
    </row>
    <row r="2133" spans="1:27" x14ac:dyDescent="0.25">
      <c r="A2133" s="1">
        <v>43693</v>
      </c>
      <c r="B2133">
        <v>12542</v>
      </c>
      <c r="C2133" s="2" t="s">
        <v>52</v>
      </c>
      <c r="D2133" s="2" t="s">
        <v>53</v>
      </c>
      <c r="E2133" s="2" t="s">
        <v>33</v>
      </c>
      <c r="F2133">
        <v>4215</v>
      </c>
      <c r="G2133" s="2" t="s">
        <v>298</v>
      </c>
      <c r="H2133" s="2" t="s">
        <v>167</v>
      </c>
      <c r="I2133" s="2" t="s">
        <v>168</v>
      </c>
      <c r="J2133" s="2" t="s">
        <v>169</v>
      </c>
      <c r="K2133" s="2" t="s">
        <v>168</v>
      </c>
      <c r="L2133">
        <v>1617.13</v>
      </c>
      <c r="M2133">
        <v>1</v>
      </c>
      <c r="N2133">
        <v>9.91</v>
      </c>
      <c r="O2133">
        <v>6900304</v>
      </c>
      <c r="P2133" s="2" t="s">
        <v>170</v>
      </c>
      <c r="Q2133" s="2" t="s">
        <v>171</v>
      </c>
      <c r="R2133" s="2" t="s">
        <v>30</v>
      </c>
      <c r="S2133">
        <v>8</v>
      </c>
      <c r="T2133" s="1">
        <v>43693</v>
      </c>
      <c r="U2133" s="1">
        <v>43701</v>
      </c>
      <c r="V2133" s="2"/>
      <c r="W2133" s="1">
        <f>fNotasFiscais[[#This Row],[Data da Coleta]]+fNotasFiscais[[#This Row],[Prazo Contratado]]</f>
        <v>43701</v>
      </c>
      <c r="X2133" s="3">
        <f>IF(fNotasFiscais[[#This Row],[Data da Entrega]]&gt;fNotasFiscais[[#This Row],[Data Contratada]],0,1)</f>
        <v>1</v>
      </c>
      <c r="Y2133" s="3">
        <f>IF(fNotasFiscais[[#This Row],[Ocorrência]]="",1,0)</f>
        <v>1</v>
      </c>
      <c r="Z2133" s="2">
        <f>fNotasFiscais[[#This Row],[On Time]]*fNotasFiscais[[#This Row],[In Full]]</f>
        <v>1</v>
      </c>
      <c r="AA2133">
        <f>IF(fNotasFiscais[[#This Row],[Nota Fiscal]]&lt;&gt;"",1,0)</f>
        <v>1</v>
      </c>
    </row>
    <row r="2134" spans="1:27" x14ac:dyDescent="0.25">
      <c r="A2134" s="1">
        <v>43693</v>
      </c>
      <c r="B2134">
        <v>12543</v>
      </c>
      <c r="C2134" s="2" t="s">
        <v>54</v>
      </c>
      <c r="D2134" s="2" t="s">
        <v>55</v>
      </c>
      <c r="E2134" s="2" t="s">
        <v>56</v>
      </c>
      <c r="F2134">
        <v>4112</v>
      </c>
      <c r="G2134" s="2" t="s">
        <v>195</v>
      </c>
      <c r="H2134" s="2" t="s">
        <v>35</v>
      </c>
      <c r="I2134" s="2" t="s">
        <v>36</v>
      </c>
      <c r="J2134" s="2" t="s">
        <v>60</v>
      </c>
      <c r="K2134" s="2" t="s">
        <v>36</v>
      </c>
      <c r="L2134">
        <v>1785.06</v>
      </c>
      <c r="M2134">
        <v>3</v>
      </c>
      <c r="N2134">
        <v>12.736000000000001</v>
      </c>
      <c r="O2134">
        <v>6600879</v>
      </c>
      <c r="P2134" s="2" t="s">
        <v>61</v>
      </c>
      <c r="Q2134" s="2" t="s">
        <v>35</v>
      </c>
      <c r="R2134" s="2" t="s">
        <v>30</v>
      </c>
      <c r="S2134">
        <v>7</v>
      </c>
      <c r="T2134" s="1">
        <v>43693</v>
      </c>
      <c r="U2134" s="1">
        <v>43699</v>
      </c>
      <c r="V2134" s="2"/>
      <c r="W2134" s="1">
        <f>fNotasFiscais[[#This Row],[Data da Coleta]]+fNotasFiscais[[#This Row],[Prazo Contratado]]</f>
        <v>43700</v>
      </c>
      <c r="X2134" s="3">
        <f>IF(fNotasFiscais[[#This Row],[Data da Entrega]]&gt;fNotasFiscais[[#This Row],[Data Contratada]],0,1)</f>
        <v>1</v>
      </c>
      <c r="Y2134" s="3">
        <f>IF(fNotasFiscais[[#This Row],[Ocorrência]]="",1,0)</f>
        <v>1</v>
      </c>
      <c r="Z2134" s="2">
        <f>fNotasFiscais[[#This Row],[On Time]]*fNotasFiscais[[#This Row],[In Full]]</f>
        <v>1</v>
      </c>
      <c r="AA2134">
        <f>IF(fNotasFiscais[[#This Row],[Nota Fiscal]]&lt;&gt;"",1,0)</f>
        <v>1</v>
      </c>
    </row>
    <row r="2135" spans="1:27" x14ac:dyDescent="0.25">
      <c r="A2135" s="1">
        <v>43693</v>
      </c>
      <c r="B2135">
        <v>12544</v>
      </c>
      <c r="C2135" s="2" t="s">
        <v>31</v>
      </c>
      <c r="D2135" s="2" t="s">
        <v>32</v>
      </c>
      <c r="E2135" s="2" t="s">
        <v>33</v>
      </c>
      <c r="F2135">
        <v>4013</v>
      </c>
      <c r="G2135" s="2" t="s">
        <v>37</v>
      </c>
      <c r="H2135" s="2" t="s">
        <v>38</v>
      </c>
      <c r="I2135" s="2" t="s">
        <v>39</v>
      </c>
      <c r="J2135" s="2" t="s">
        <v>28</v>
      </c>
      <c r="K2135" s="2" t="s">
        <v>39</v>
      </c>
      <c r="L2135">
        <v>797.33</v>
      </c>
      <c r="M2135">
        <v>1</v>
      </c>
      <c r="N2135">
        <v>1.1559999999999999</v>
      </c>
      <c r="O2135">
        <v>6500948</v>
      </c>
      <c r="P2135" s="2" t="s">
        <v>29</v>
      </c>
      <c r="Q2135" s="2" t="s">
        <v>23</v>
      </c>
      <c r="R2135" s="2" t="s">
        <v>30</v>
      </c>
      <c r="S2135">
        <v>9</v>
      </c>
      <c r="T2135" s="1">
        <v>43693</v>
      </c>
      <c r="U2135" s="1">
        <v>43703</v>
      </c>
      <c r="V2135" s="2"/>
      <c r="W2135" s="1">
        <f>fNotasFiscais[[#This Row],[Data da Coleta]]+fNotasFiscais[[#This Row],[Prazo Contratado]]</f>
        <v>43702</v>
      </c>
      <c r="X2135" s="3">
        <f>IF(fNotasFiscais[[#This Row],[Data da Entrega]]&gt;fNotasFiscais[[#This Row],[Data Contratada]],0,1)</f>
        <v>0</v>
      </c>
      <c r="Y2135" s="3">
        <f>IF(fNotasFiscais[[#This Row],[Ocorrência]]="",1,0)</f>
        <v>1</v>
      </c>
      <c r="Z2135" s="2">
        <f>fNotasFiscais[[#This Row],[On Time]]*fNotasFiscais[[#This Row],[In Full]]</f>
        <v>0</v>
      </c>
      <c r="AA2135">
        <f>IF(fNotasFiscais[[#This Row],[Nota Fiscal]]&lt;&gt;"",1,0)</f>
        <v>1</v>
      </c>
    </row>
    <row r="2136" spans="1:27" x14ac:dyDescent="0.25">
      <c r="A2136" s="1">
        <v>43694</v>
      </c>
      <c r="B2136">
        <v>12545</v>
      </c>
      <c r="C2136" s="2" t="s">
        <v>22</v>
      </c>
      <c r="D2136" s="2" t="s">
        <v>23</v>
      </c>
      <c r="E2136" s="2" t="s">
        <v>24</v>
      </c>
      <c r="F2136">
        <v>4228</v>
      </c>
      <c r="G2136" s="2" t="s">
        <v>311</v>
      </c>
      <c r="H2136" s="2" t="s">
        <v>165</v>
      </c>
      <c r="I2136" s="2" t="s">
        <v>24</v>
      </c>
      <c r="J2136" s="2" t="s">
        <v>28</v>
      </c>
      <c r="K2136" s="2" t="s">
        <v>24</v>
      </c>
      <c r="L2136">
        <v>317.08999999999997</v>
      </c>
      <c r="M2136">
        <v>1</v>
      </c>
      <c r="N2136">
        <v>1.1879999999999999</v>
      </c>
      <c r="O2136">
        <v>6500948</v>
      </c>
      <c r="P2136" s="2" t="s">
        <v>29</v>
      </c>
      <c r="Q2136" s="2" t="s">
        <v>23</v>
      </c>
      <c r="R2136" s="2" t="s">
        <v>30</v>
      </c>
      <c r="S2136">
        <v>11</v>
      </c>
      <c r="T2136" s="1">
        <v>43694</v>
      </c>
      <c r="U2136" s="1">
        <v>43700</v>
      </c>
      <c r="V2136" s="2"/>
      <c r="W2136" s="1">
        <f>fNotasFiscais[[#This Row],[Data da Coleta]]+fNotasFiscais[[#This Row],[Prazo Contratado]]</f>
        <v>43705</v>
      </c>
      <c r="X2136" s="3">
        <f>IF(fNotasFiscais[[#This Row],[Data da Entrega]]&gt;fNotasFiscais[[#This Row],[Data Contratada]],0,1)</f>
        <v>1</v>
      </c>
      <c r="Y2136" s="3">
        <f>IF(fNotasFiscais[[#This Row],[Ocorrência]]="",1,0)</f>
        <v>1</v>
      </c>
      <c r="Z2136" s="2">
        <f>fNotasFiscais[[#This Row],[On Time]]*fNotasFiscais[[#This Row],[In Full]]</f>
        <v>1</v>
      </c>
      <c r="AA2136">
        <f>IF(fNotasFiscais[[#This Row],[Nota Fiscal]]&lt;&gt;"",1,0)</f>
        <v>1</v>
      </c>
    </row>
    <row r="2137" spans="1:27" x14ac:dyDescent="0.25">
      <c r="A2137" s="1">
        <v>43694</v>
      </c>
      <c r="B2137">
        <v>12546</v>
      </c>
      <c r="C2137" s="2" t="s">
        <v>22</v>
      </c>
      <c r="D2137" s="2" t="s">
        <v>23</v>
      </c>
      <c r="E2137" s="2" t="s">
        <v>24</v>
      </c>
      <c r="F2137">
        <v>4228</v>
      </c>
      <c r="G2137" s="2" t="s">
        <v>311</v>
      </c>
      <c r="H2137" s="2" t="s">
        <v>165</v>
      </c>
      <c r="I2137" s="2" t="s">
        <v>24</v>
      </c>
      <c r="J2137" s="2" t="s">
        <v>28</v>
      </c>
      <c r="K2137" s="2" t="s">
        <v>24</v>
      </c>
      <c r="L2137">
        <v>937</v>
      </c>
      <c r="M2137">
        <v>2</v>
      </c>
      <c r="N2137">
        <v>1.744</v>
      </c>
      <c r="O2137">
        <v>6500948</v>
      </c>
      <c r="P2137" s="2" t="s">
        <v>29</v>
      </c>
      <c r="Q2137" s="2" t="s">
        <v>23</v>
      </c>
      <c r="R2137" s="2" t="s">
        <v>30</v>
      </c>
      <c r="S2137">
        <v>11</v>
      </c>
      <c r="T2137" s="1">
        <v>43694</v>
      </c>
      <c r="U2137" s="1">
        <v>43703</v>
      </c>
      <c r="V2137" s="2"/>
      <c r="W2137" s="1">
        <f>fNotasFiscais[[#This Row],[Data da Coleta]]+fNotasFiscais[[#This Row],[Prazo Contratado]]</f>
        <v>43705</v>
      </c>
      <c r="X2137" s="3">
        <f>IF(fNotasFiscais[[#This Row],[Data da Entrega]]&gt;fNotasFiscais[[#This Row],[Data Contratada]],0,1)</f>
        <v>1</v>
      </c>
      <c r="Y2137" s="3">
        <f>IF(fNotasFiscais[[#This Row],[Ocorrência]]="",1,0)</f>
        <v>1</v>
      </c>
      <c r="Z2137" s="2">
        <f>fNotasFiscais[[#This Row],[On Time]]*fNotasFiscais[[#This Row],[In Full]]</f>
        <v>1</v>
      </c>
      <c r="AA2137">
        <f>IF(fNotasFiscais[[#This Row],[Nota Fiscal]]&lt;&gt;"",1,0)</f>
        <v>1</v>
      </c>
    </row>
    <row r="2138" spans="1:27" x14ac:dyDescent="0.25">
      <c r="A2138" s="1">
        <v>43694</v>
      </c>
      <c r="B2138">
        <v>12547</v>
      </c>
      <c r="C2138" s="2" t="s">
        <v>31</v>
      </c>
      <c r="D2138" s="2" t="s">
        <v>32</v>
      </c>
      <c r="E2138" s="2" t="s">
        <v>33</v>
      </c>
      <c r="F2138">
        <v>4033</v>
      </c>
      <c r="G2138" s="2" t="s">
        <v>109</v>
      </c>
      <c r="H2138" s="2" t="s">
        <v>51</v>
      </c>
      <c r="I2138" s="2" t="s">
        <v>73</v>
      </c>
      <c r="J2138" s="2" t="s">
        <v>49</v>
      </c>
      <c r="K2138" s="2" t="s">
        <v>73</v>
      </c>
      <c r="L2138">
        <v>281</v>
      </c>
      <c r="M2138">
        <v>1</v>
      </c>
      <c r="N2138">
        <v>1.1200000000000001</v>
      </c>
      <c r="O2138">
        <v>6100231</v>
      </c>
      <c r="P2138" s="2" t="s">
        <v>50</v>
      </c>
      <c r="Q2138" s="2" t="s">
        <v>51</v>
      </c>
      <c r="R2138" s="2" t="s">
        <v>30</v>
      </c>
      <c r="S2138">
        <v>12</v>
      </c>
      <c r="T2138" s="1">
        <v>43694</v>
      </c>
      <c r="U2138" s="1">
        <v>43703</v>
      </c>
      <c r="V2138" s="2"/>
      <c r="W2138" s="1">
        <f>fNotasFiscais[[#This Row],[Data da Coleta]]+fNotasFiscais[[#This Row],[Prazo Contratado]]</f>
        <v>43706</v>
      </c>
      <c r="X2138" s="3">
        <f>IF(fNotasFiscais[[#This Row],[Data da Entrega]]&gt;fNotasFiscais[[#This Row],[Data Contratada]],0,1)</f>
        <v>1</v>
      </c>
      <c r="Y2138" s="3">
        <f>IF(fNotasFiscais[[#This Row],[Ocorrência]]="",1,0)</f>
        <v>1</v>
      </c>
      <c r="Z2138" s="2">
        <f>fNotasFiscais[[#This Row],[On Time]]*fNotasFiscais[[#This Row],[In Full]]</f>
        <v>1</v>
      </c>
      <c r="AA2138">
        <f>IF(fNotasFiscais[[#This Row],[Nota Fiscal]]&lt;&gt;"",1,0)</f>
        <v>1</v>
      </c>
    </row>
    <row r="2139" spans="1:27" x14ac:dyDescent="0.25">
      <c r="A2139" s="1">
        <v>43694</v>
      </c>
      <c r="B2139">
        <v>12548</v>
      </c>
      <c r="C2139" s="2" t="s">
        <v>22</v>
      </c>
      <c r="D2139" s="2" t="s">
        <v>23</v>
      </c>
      <c r="E2139" s="2" t="s">
        <v>24</v>
      </c>
      <c r="F2139">
        <v>4229</v>
      </c>
      <c r="G2139" s="2" t="s">
        <v>312</v>
      </c>
      <c r="H2139" s="2" t="s">
        <v>165</v>
      </c>
      <c r="I2139" s="2" t="s">
        <v>24</v>
      </c>
      <c r="J2139" s="2" t="s">
        <v>28</v>
      </c>
      <c r="K2139" s="2" t="s">
        <v>24</v>
      </c>
      <c r="L2139">
        <v>635.77</v>
      </c>
      <c r="M2139">
        <v>1</v>
      </c>
      <c r="N2139">
        <v>1.101</v>
      </c>
      <c r="O2139">
        <v>6500948</v>
      </c>
      <c r="P2139" s="2" t="s">
        <v>29</v>
      </c>
      <c r="Q2139" s="2" t="s">
        <v>23</v>
      </c>
      <c r="R2139" s="2" t="s">
        <v>30</v>
      </c>
      <c r="S2139">
        <v>2</v>
      </c>
      <c r="T2139" s="1">
        <v>43694</v>
      </c>
      <c r="U2139" s="1">
        <v>43700</v>
      </c>
      <c r="V2139" s="2"/>
      <c r="W2139" s="1">
        <f>fNotasFiscais[[#This Row],[Data da Coleta]]+fNotasFiscais[[#This Row],[Prazo Contratado]]</f>
        <v>43696</v>
      </c>
      <c r="X2139" s="3">
        <f>IF(fNotasFiscais[[#This Row],[Data da Entrega]]&gt;fNotasFiscais[[#This Row],[Data Contratada]],0,1)</f>
        <v>0</v>
      </c>
      <c r="Y2139" s="3">
        <f>IF(fNotasFiscais[[#This Row],[Ocorrência]]="",1,0)</f>
        <v>1</v>
      </c>
      <c r="Z2139" s="2">
        <f>fNotasFiscais[[#This Row],[On Time]]*fNotasFiscais[[#This Row],[In Full]]</f>
        <v>0</v>
      </c>
      <c r="AA2139">
        <f>IF(fNotasFiscais[[#This Row],[Nota Fiscal]]&lt;&gt;"",1,0)</f>
        <v>1</v>
      </c>
    </row>
    <row r="2140" spans="1:27" x14ac:dyDescent="0.25">
      <c r="A2140" s="1">
        <v>43694</v>
      </c>
      <c r="B2140">
        <v>12549</v>
      </c>
      <c r="C2140" s="2" t="s">
        <v>40</v>
      </c>
      <c r="D2140" s="2" t="s">
        <v>41</v>
      </c>
      <c r="E2140" s="2" t="s">
        <v>33</v>
      </c>
      <c r="F2140">
        <v>4210</v>
      </c>
      <c r="G2140" s="2" t="s">
        <v>293</v>
      </c>
      <c r="H2140" s="2" t="s">
        <v>35</v>
      </c>
      <c r="I2140" s="2" t="s">
        <v>36</v>
      </c>
      <c r="J2140" s="2" t="s">
        <v>60</v>
      </c>
      <c r="K2140" s="2" t="s">
        <v>36</v>
      </c>
      <c r="L2140">
        <v>78.36</v>
      </c>
      <c r="M2140">
        <v>1</v>
      </c>
      <c r="N2140">
        <v>0.32100000000000001</v>
      </c>
      <c r="O2140">
        <v>6600879</v>
      </c>
      <c r="P2140" s="2" t="s">
        <v>61</v>
      </c>
      <c r="Q2140" s="2" t="s">
        <v>35</v>
      </c>
      <c r="R2140" s="2" t="s">
        <v>30</v>
      </c>
      <c r="S2140">
        <v>9</v>
      </c>
      <c r="T2140" s="1">
        <v>43694</v>
      </c>
      <c r="U2140" s="1">
        <v>43699</v>
      </c>
      <c r="V2140" s="2"/>
      <c r="W2140" s="1">
        <f>fNotasFiscais[[#This Row],[Data da Coleta]]+fNotasFiscais[[#This Row],[Prazo Contratado]]</f>
        <v>43703</v>
      </c>
      <c r="X2140" s="3">
        <f>IF(fNotasFiscais[[#This Row],[Data da Entrega]]&gt;fNotasFiscais[[#This Row],[Data Contratada]],0,1)</f>
        <v>1</v>
      </c>
      <c r="Y2140" s="3">
        <f>IF(fNotasFiscais[[#This Row],[Ocorrência]]="",1,0)</f>
        <v>1</v>
      </c>
      <c r="Z2140" s="2">
        <f>fNotasFiscais[[#This Row],[On Time]]*fNotasFiscais[[#This Row],[In Full]]</f>
        <v>1</v>
      </c>
      <c r="AA2140">
        <f>IF(fNotasFiscais[[#This Row],[Nota Fiscal]]&lt;&gt;"",1,0)</f>
        <v>1</v>
      </c>
    </row>
    <row r="2141" spans="1:27" x14ac:dyDescent="0.25">
      <c r="A2141" s="1">
        <v>43694</v>
      </c>
      <c r="B2141">
        <v>12550</v>
      </c>
      <c r="C2141" s="2" t="s">
        <v>22</v>
      </c>
      <c r="D2141" s="2" t="s">
        <v>23</v>
      </c>
      <c r="E2141" s="2" t="s">
        <v>24</v>
      </c>
      <c r="F2141">
        <v>4211</v>
      </c>
      <c r="G2141" s="2" t="s">
        <v>294</v>
      </c>
      <c r="H2141" s="2" t="s">
        <v>183</v>
      </c>
      <c r="I2141" s="2" t="s">
        <v>33</v>
      </c>
      <c r="J2141" s="2" t="s">
        <v>60</v>
      </c>
      <c r="K2141" s="2" t="s">
        <v>33</v>
      </c>
      <c r="L2141">
        <v>802.46</v>
      </c>
      <c r="M2141">
        <v>5</v>
      </c>
      <c r="N2141">
        <v>0.44</v>
      </c>
      <c r="O2141">
        <v>6400835</v>
      </c>
      <c r="P2141" s="2" t="s">
        <v>130</v>
      </c>
      <c r="Q2141" s="2" t="s">
        <v>131</v>
      </c>
      <c r="R2141" s="2" t="s">
        <v>30</v>
      </c>
      <c r="S2141">
        <v>11</v>
      </c>
      <c r="T2141" s="1">
        <v>43694</v>
      </c>
      <c r="U2141" s="1">
        <v>43695</v>
      </c>
      <c r="V2141" s="2"/>
      <c r="W2141" s="1">
        <f>fNotasFiscais[[#This Row],[Data da Coleta]]+fNotasFiscais[[#This Row],[Prazo Contratado]]</f>
        <v>43705</v>
      </c>
      <c r="X2141" s="3">
        <f>IF(fNotasFiscais[[#This Row],[Data da Entrega]]&gt;fNotasFiscais[[#This Row],[Data Contratada]],0,1)</f>
        <v>1</v>
      </c>
      <c r="Y2141" s="3">
        <f>IF(fNotasFiscais[[#This Row],[Ocorrência]]="",1,0)</f>
        <v>1</v>
      </c>
      <c r="Z2141" s="2">
        <f>fNotasFiscais[[#This Row],[On Time]]*fNotasFiscais[[#This Row],[In Full]]</f>
        <v>1</v>
      </c>
      <c r="AA2141">
        <f>IF(fNotasFiscais[[#This Row],[Nota Fiscal]]&lt;&gt;"",1,0)</f>
        <v>1</v>
      </c>
    </row>
    <row r="2142" spans="1:27" x14ac:dyDescent="0.25">
      <c r="A2142" s="1">
        <v>43694</v>
      </c>
      <c r="B2142">
        <v>12551</v>
      </c>
      <c r="C2142" s="2" t="s">
        <v>40</v>
      </c>
      <c r="D2142" s="2" t="s">
        <v>41</v>
      </c>
      <c r="E2142" s="2" t="s">
        <v>33</v>
      </c>
      <c r="F2142">
        <v>4212</v>
      </c>
      <c r="G2142" s="2" t="s">
        <v>295</v>
      </c>
      <c r="H2142" s="2" t="s">
        <v>165</v>
      </c>
      <c r="I2142" s="2" t="s">
        <v>24</v>
      </c>
      <c r="J2142" s="2" t="s">
        <v>28</v>
      </c>
      <c r="K2142" s="2" t="s">
        <v>24</v>
      </c>
      <c r="L2142">
        <v>2317.56</v>
      </c>
      <c r="M2142">
        <v>3</v>
      </c>
      <c r="N2142">
        <v>10.170999999999999</v>
      </c>
      <c r="O2142">
        <v>6500948</v>
      </c>
      <c r="P2142" s="2" t="s">
        <v>29</v>
      </c>
      <c r="Q2142" s="2" t="s">
        <v>23</v>
      </c>
      <c r="R2142" s="2" t="s">
        <v>30</v>
      </c>
      <c r="S2142">
        <v>5</v>
      </c>
      <c r="T2142" s="1">
        <v>43694</v>
      </c>
      <c r="U2142" s="1">
        <v>43697</v>
      </c>
      <c r="V2142" s="2"/>
      <c r="W2142" s="1">
        <f>fNotasFiscais[[#This Row],[Data da Coleta]]+fNotasFiscais[[#This Row],[Prazo Contratado]]</f>
        <v>43699</v>
      </c>
      <c r="X2142" s="3">
        <f>IF(fNotasFiscais[[#This Row],[Data da Entrega]]&gt;fNotasFiscais[[#This Row],[Data Contratada]],0,1)</f>
        <v>1</v>
      </c>
      <c r="Y2142" s="3">
        <f>IF(fNotasFiscais[[#This Row],[Ocorrência]]="",1,0)</f>
        <v>1</v>
      </c>
      <c r="Z2142" s="2">
        <f>fNotasFiscais[[#This Row],[On Time]]*fNotasFiscais[[#This Row],[In Full]]</f>
        <v>1</v>
      </c>
      <c r="AA2142">
        <f>IF(fNotasFiscais[[#This Row],[Nota Fiscal]]&lt;&gt;"",1,0)</f>
        <v>1</v>
      </c>
    </row>
    <row r="2143" spans="1:27" x14ac:dyDescent="0.25">
      <c r="A2143" s="1">
        <v>43694</v>
      </c>
      <c r="B2143">
        <v>12552</v>
      </c>
      <c r="C2143" s="2" t="s">
        <v>31</v>
      </c>
      <c r="D2143" s="2" t="s">
        <v>32</v>
      </c>
      <c r="E2143" s="2" t="s">
        <v>33</v>
      </c>
      <c r="F2143">
        <v>4212</v>
      </c>
      <c r="G2143" s="2" t="s">
        <v>295</v>
      </c>
      <c r="H2143" s="2" t="s">
        <v>165</v>
      </c>
      <c r="I2143" s="2" t="s">
        <v>24</v>
      </c>
      <c r="J2143" s="2" t="s">
        <v>28</v>
      </c>
      <c r="K2143" s="2" t="s">
        <v>24</v>
      </c>
      <c r="L2143">
        <v>70.760000000000005</v>
      </c>
      <c r="M2143">
        <v>1</v>
      </c>
      <c r="N2143">
        <v>1.1200000000000001</v>
      </c>
      <c r="O2143">
        <v>6500948</v>
      </c>
      <c r="P2143" s="2" t="s">
        <v>29</v>
      </c>
      <c r="Q2143" s="2" t="s">
        <v>23</v>
      </c>
      <c r="R2143" s="2" t="s">
        <v>30</v>
      </c>
      <c r="S2143">
        <v>9</v>
      </c>
      <c r="T2143" s="1">
        <v>43694</v>
      </c>
      <c r="U2143" s="1">
        <v>43698</v>
      </c>
      <c r="V2143" s="2"/>
      <c r="W2143" s="1">
        <f>fNotasFiscais[[#This Row],[Data da Coleta]]+fNotasFiscais[[#This Row],[Prazo Contratado]]</f>
        <v>43703</v>
      </c>
      <c r="X2143" s="3">
        <f>IF(fNotasFiscais[[#This Row],[Data da Entrega]]&gt;fNotasFiscais[[#This Row],[Data Contratada]],0,1)</f>
        <v>1</v>
      </c>
      <c r="Y2143" s="3">
        <f>IF(fNotasFiscais[[#This Row],[Ocorrência]]="",1,0)</f>
        <v>1</v>
      </c>
      <c r="Z2143" s="2">
        <f>fNotasFiscais[[#This Row],[On Time]]*fNotasFiscais[[#This Row],[In Full]]</f>
        <v>1</v>
      </c>
      <c r="AA2143">
        <f>IF(fNotasFiscais[[#This Row],[Nota Fiscal]]&lt;&gt;"",1,0)</f>
        <v>1</v>
      </c>
    </row>
    <row r="2144" spans="1:27" x14ac:dyDescent="0.25">
      <c r="A2144" s="1">
        <v>43694</v>
      </c>
      <c r="B2144">
        <v>12553</v>
      </c>
      <c r="C2144" s="2" t="s">
        <v>43</v>
      </c>
      <c r="D2144" s="2" t="s">
        <v>44</v>
      </c>
      <c r="E2144" s="2" t="s">
        <v>45</v>
      </c>
      <c r="F2144">
        <v>4213</v>
      </c>
      <c r="G2144" s="2" t="s">
        <v>296</v>
      </c>
      <c r="H2144" s="2" t="s">
        <v>32</v>
      </c>
      <c r="I2144" s="2" t="s">
        <v>33</v>
      </c>
      <c r="J2144" s="2" t="s">
        <v>60</v>
      </c>
      <c r="K2144" s="2" t="s">
        <v>33</v>
      </c>
      <c r="L2144">
        <v>3000.29</v>
      </c>
      <c r="M2144">
        <v>3</v>
      </c>
      <c r="N2144">
        <v>27.498000000000001</v>
      </c>
      <c r="O2144">
        <v>6400835</v>
      </c>
      <c r="P2144" s="2" t="s">
        <v>130</v>
      </c>
      <c r="Q2144" s="2" t="s">
        <v>131</v>
      </c>
      <c r="R2144" s="2" t="s">
        <v>30</v>
      </c>
      <c r="S2144">
        <v>10</v>
      </c>
      <c r="T2144" s="1">
        <v>43694</v>
      </c>
      <c r="U2144" s="1">
        <v>43702</v>
      </c>
      <c r="V2144" s="2"/>
      <c r="W2144" s="1">
        <f>fNotasFiscais[[#This Row],[Data da Coleta]]+fNotasFiscais[[#This Row],[Prazo Contratado]]</f>
        <v>43704</v>
      </c>
      <c r="X2144" s="3">
        <f>IF(fNotasFiscais[[#This Row],[Data da Entrega]]&gt;fNotasFiscais[[#This Row],[Data Contratada]],0,1)</f>
        <v>1</v>
      </c>
      <c r="Y2144" s="3">
        <f>IF(fNotasFiscais[[#This Row],[Ocorrência]]="",1,0)</f>
        <v>1</v>
      </c>
      <c r="Z2144" s="2">
        <f>fNotasFiscais[[#This Row],[On Time]]*fNotasFiscais[[#This Row],[In Full]]</f>
        <v>1</v>
      </c>
      <c r="AA2144">
        <f>IF(fNotasFiscais[[#This Row],[Nota Fiscal]]&lt;&gt;"",1,0)</f>
        <v>1</v>
      </c>
    </row>
    <row r="2145" spans="1:27" x14ac:dyDescent="0.25">
      <c r="A2145" s="1">
        <v>43694</v>
      </c>
      <c r="B2145">
        <v>12554</v>
      </c>
      <c r="C2145" s="2" t="s">
        <v>43</v>
      </c>
      <c r="D2145" s="2" t="s">
        <v>44</v>
      </c>
      <c r="E2145" s="2" t="s">
        <v>45</v>
      </c>
      <c r="F2145">
        <v>4206</v>
      </c>
      <c r="G2145" s="2" t="s">
        <v>289</v>
      </c>
      <c r="H2145" s="2" t="s">
        <v>183</v>
      </c>
      <c r="I2145" s="2" t="s">
        <v>33</v>
      </c>
      <c r="J2145" s="2" t="s">
        <v>60</v>
      </c>
      <c r="K2145" s="2" t="s">
        <v>33</v>
      </c>
      <c r="L2145">
        <v>6569.57</v>
      </c>
      <c r="M2145">
        <v>6</v>
      </c>
      <c r="N2145">
        <v>9.5980000000000008</v>
      </c>
      <c r="O2145">
        <v>6400835</v>
      </c>
      <c r="P2145" s="2" t="s">
        <v>130</v>
      </c>
      <c r="Q2145" s="2" t="s">
        <v>131</v>
      </c>
      <c r="R2145" s="2" t="s">
        <v>30</v>
      </c>
      <c r="S2145">
        <v>6</v>
      </c>
      <c r="T2145" s="1">
        <v>43694</v>
      </c>
      <c r="U2145" s="1">
        <v>43703</v>
      </c>
      <c r="V2145" s="2"/>
      <c r="W2145" s="1">
        <f>fNotasFiscais[[#This Row],[Data da Coleta]]+fNotasFiscais[[#This Row],[Prazo Contratado]]</f>
        <v>43700</v>
      </c>
      <c r="X2145" s="3">
        <f>IF(fNotasFiscais[[#This Row],[Data da Entrega]]&gt;fNotasFiscais[[#This Row],[Data Contratada]],0,1)</f>
        <v>0</v>
      </c>
      <c r="Y2145" s="3">
        <f>IF(fNotasFiscais[[#This Row],[Ocorrência]]="",1,0)</f>
        <v>1</v>
      </c>
      <c r="Z2145" s="2">
        <f>fNotasFiscais[[#This Row],[On Time]]*fNotasFiscais[[#This Row],[In Full]]</f>
        <v>0</v>
      </c>
      <c r="AA2145">
        <f>IF(fNotasFiscais[[#This Row],[Nota Fiscal]]&lt;&gt;"",1,0)</f>
        <v>1</v>
      </c>
    </row>
    <row r="2146" spans="1:27" x14ac:dyDescent="0.25">
      <c r="A2146" s="1">
        <v>43694</v>
      </c>
      <c r="B2146">
        <v>12555</v>
      </c>
      <c r="C2146" s="2" t="s">
        <v>34</v>
      </c>
      <c r="D2146" s="2" t="s">
        <v>35</v>
      </c>
      <c r="E2146" s="2" t="s">
        <v>36</v>
      </c>
      <c r="F2146">
        <v>4216</v>
      </c>
      <c r="G2146" s="2" t="s">
        <v>299</v>
      </c>
      <c r="H2146" s="2" t="s">
        <v>183</v>
      </c>
      <c r="I2146" s="2" t="s">
        <v>33</v>
      </c>
      <c r="J2146" s="2" t="s">
        <v>60</v>
      </c>
      <c r="K2146" s="2" t="s">
        <v>33</v>
      </c>
      <c r="L2146">
        <v>1498.54</v>
      </c>
      <c r="M2146">
        <v>2</v>
      </c>
      <c r="N2146">
        <v>0.79900000000000004</v>
      </c>
      <c r="O2146">
        <v>6400835</v>
      </c>
      <c r="P2146" s="2" t="s">
        <v>130</v>
      </c>
      <c r="Q2146" s="2" t="s">
        <v>131</v>
      </c>
      <c r="R2146" s="2" t="s">
        <v>30</v>
      </c>
      <c r="S2146">
        <v>2</v>
      </c>
      <c r="T2146" s="1">
        <v>43694</v>
      </c>
      <c r="U2146" s="1">
        <v>43701</v>
      </c>
      <c r="V2146" s="2"/>
      <c r="W2146" s="1">
        <f>fNotasFiscais[[#This Row],[Data da Coleta]]+fNotasFiscais[[#This Row],[Prazo Contratado]]</f>
        <v>43696</v>
      </c>
      <c r="X2146" s="3">
        <f>IF(fNotasFiscais[[#This Row],[Data da Entrega]]&gt;fNotasFiscais[[#This Row],[Data Contratada]],0,1)</f>
        <v>0</v>
      </c>
      <c r="Y2146" s="3">
        <f>IF(fNotasFiscais[[#This Row],[Ocorrência]]="",1,0)</f>
        <v>1</v>
      </c>
      <c r="Z2146" s="2">
        <f>fNotasFiscais[[#This Row],[On Time]]*fNotasFiscais[[#This Row],[In Full]]</f>
        <v>0</v>
      </c>
      <c r="AA2146">
        <f>IF(fNotasFiscais[[#This Row],[Nota Fiscal]]&lt;&gt;"",1,0)</f>
        <v>1</v>
      </c>
    </row>
    <row r="2147" spans="1:27" x14ac:dyDescent="0.25">
      <c r="A2147" s="1">
        <v>43694</v>
      </c>
      <c r="B2147">
        <v>12556</v>
      </c>
      <c r="C2147" s="2" t="s">
        <v>22</v>
      </c>
      <c r="D2147" s="2" t="s">
        <v>23</v>
      </c>
      <c r="E2147" s="2" t="s">
        <v>24</v>
      </c>
      <c r="F2147">
        <v>4214</v>
      </c>
      <c r="G2147" s="2" t="s">
        <v>297</v>
      </c>
      <c r="H2147" s="2" t="s">
        <v>183</v>
      </c>
      <c r="I2147" s="2" t="s">
        <v>33</v>
      </c>
      <c r="J2147" s="2" t="s">
        <v>60</v>
      </c>
      <c r="K2147" s="2" t="s">
        <v>33</v>
      </c>
      <c r="L2147">
        <v>1573.68</v>
      </c>
      <c r="M2147">
        <v>3</v>
      </c>
      <c r="N2147">
        <v>16.052</v>
      </c>
      <c r="O2147">
        <v>6400835</v>
      </c>
      <c r="P2147" s="2" t="s">
        <v>130</v>
      </c>
      <c r="Q2147" s="2" t="s">
        <v>131</v>
      </c>
      <c r="R2147" s="2" t="s">
        <v>30</v>
      </c>
      <c r="S2147">
        <v>7</v>
      </c>
      <c r="T2147" s="1">
        <v>43694</v>
      </c>
      <c r="U2147" s="1">
        <v>43698</v>
      </c>
      <c r="V2147" s="2"/>
      <c r="W2147" s="1">
        <f>fNotasFiscais[[#This Row],[Data da Coleta]]+fNotasFiscais[[#This Row],[Prazo Contratado]]</f>
        <v>43701</v>
      </c>
      <c r="X2147" s="3">
        <f>IF(fNotasFiscais[[#This Row],[Data da Entrega]]&gt;fNotasFiscais[[#This Row],[Data Contratada]],0,1)</f>
        <v>1</v>
      </c>
      <c r="Y2147" s="3">
        <f>IF(fNotasFiscais[[#This Row],[Ocorrência]]="",1,0)</f>
        <v>1</v>
      </c>
      <c r="Z2147" s="2">
        <f>fNotasFiscais[[#This Row],[On Time]]*fNotasFiscais[[#This Row],[In Full]]</f>
        <v>1</v>
      </c>
      <c r="AA2147">
        <f>IF(fNotasFiscais[[#This Row],[Nota Fiscal]]&lt;&gt;"",1,0)</f>
        <v>1</v>
      </c>
    </row>
    <row r="2148" spans="1:27" x14ac:dyDescent="0.25">
      <c r="A2148" s="1">
        <v>43694</v>
      </c>
      <c r="B2148">
        <v>12557</v>
      </c>
      <c r="C2148" s="2" t="s">
        <v>54</v>
      </c>
      <c r="D2148" s="2" t="s">
        <v>55</v>
      </c>
      <c r="E2148" s="2" t="s">
        <v>56</v>
      </c>
      <c r="F2148">
        <v>4208</v>
      </c>
      <c r="G2148" s="2" t="s">
        <v>291</v>
      </c>
      <c r="H2148" s="2" t="s">
        <v>32</v>
      </c>
      <c r="I2148" s="2" t="s">
        <v>33</v>
      </c>
      <c r="J2148" s="2" t="s">
        <v>60</v>
      </c>
      <c r="K2148" s="2" t="s">
        <v>33</v>
      </c>
      <c r="L2148">
        <v>484.33</v>
      </c>
      <c r="M2148">
        <v>5</v>
      </c>
      <c r="N2148">
        <v>30.507000000000001</v>
      </c>
      <c r="O2148">
        <v>6400835</v>
      </c>
      <c r="P2148" s="2" t="s">
        <v>130</v>
      </c>
      <c r="Q2148" s="2" t="s">
        <v>131</v>
      </c>
      <c r="R2148" s="2" t="s">
        <v>30</v>
      </c>
      <c r="S2148">
        <v>11</v>
      </c>
      <c r="T2148" s="1">
        <v>43694</v>
      </c>
      <c r="U2148" s="1">
        <v>43696</v>
      </c>
      <c r="V2148" s="2"/>
      <c r="W2148" s="1">
        <f>fNotasFiscais[[#This Row],[Data da Coleta]]+fNotasFiscais[[#This Row],[Prazo Contratado]]</f>
        <v>43705</v>
      </c>
      <c r="X2148" s="3">
        <f>IF(fNotasFiscais[[#This Row],[Data da Entrega]]&gt;fNotasFiscais[[#This Row],[Data Contratada]],0,1)</f>
        <v>1</v>
      </c>
      <c r="Y2148" s="3">
        <f>IF(fNotasFiscais[[#This Row],[Ocorrência]]="",1,0)</f>
        <v>1</v>
      </c>
      <c r="Z2148" s="2">
        <f>fNotasFiscais[[#This Row],[On Time]]*fNotasFiscais[[#This Row],[In Full]]</f>
        <v>1</v>
      </c>
      <c r="AA2148">
        <f>IF(fNotasFiscais[[#This Row],[Nota Fiscal]]&lt;&gt;"",1,0)</f>
        <v>1</v>
      </c>
    </row>
    <row r="2149" spans="1:27" x14ac:dyDescent="0.25">
      <c r="A2149" s="1">
        <v>43694</v>
      </c>
      <c r="B2149">
        <v>12558</v>
      </c>
      <c r="C2149" s="2" t="s">
        <v>22</v>
      </c>
      <c r="D2149" s="2" t="s">
        <v>23</v>
      </c>
      <c r="E2149" s="2" t="s">
        <v>24</v>
      </c>
      <c r="F2149">
        <v>4209</v>
      </c>
      <c r="G2149" s="2" t="s">
        <v>292</v>
      </c>
      <c r="H2149" s="2" t="s">
        <v>35</v>
      </c>
      <c r="I2149" s="2" t="s">
        <v>36</v>
      </c>
      <c r="J2149" s="2" t="s">
        <v>60</v>
      </c>
      <c r="K2149" s="2" t="s">
        <v>36</v>
      </c>
      <c r="L2149">
        <v>7695.72</v>
      </c>
      <c r="M2149">
        <v>1</v>
      </c>
      <c r="N2149">
        <v>1.1200000000000001</v>
      </c>
      <c r="O2149">
        <v>6600879</v>
      </c>
      <c r="P2149" s="2" t="s">
        <v>61</v>
      </c>
      <c r="Q2149" s="2" t="s">
        <v>35</v>
      </c>
      <c r="R2149" s="2" t="s">
        <v>30</v>
      </c>
      <c r="S2149">
        <v>8</v>
      </c>
      <c r="T2149" s="1">
        <v>43694</v>
      </c>
      <c r="U2149" s="1">
        <v>43699</v>
      </c>
      <c r="V2149" s="2"/>
      <c r="W2149" s="1">
        <f>fNotasFiscais[[#This Row],[Data da Coleta]]+fNotasFiscais[[#This Row],[Prazo Contratado]]</f>
        <v>43702</v>
      </c>
      <c r="X2149" s="3">
        <f>IF(fNotasFiscais[[#This Row],[Data da Entrega]]&gt;fNotasFiscais[[#This Row],[Data Contratada]],0,1)</f>
        <v>1</v>
      </c>
      <c r="Y2149" s="3">
        <f>IF(fNotasFiscais[[#This Row],[Ocorrência]]="",1,0)</f>
        <v>1</v>
      </c>
      <c r="Z2149" s="2">
        <f>fNotasFiscais[[#This Row],[On Time]]*fNotasFiscais[[#This Row],[In Full]]</f>
        <v>1</v>
      </c>
      <c r="AA2149">
        <f>IF(fNotasFiscais[[#This Row],[Nota Fiscal]]&lt;&gt;"",1,0)</f>
        <v>1</v>
      </c>
    </row>
    <row r="2150" spans="1:27" x14ac:dyDescent="0.25">
      <c r="A2150" s="1">
        <v>43697</v>
      </c>
      <c r="B2150">
        <v>12559</v>
      </c>
      <c r="C2150" s="2" t="s">
        <v>52</v>
      </c>
      <c r="D2150" s="2" t="s">
        <v>53</v>
      </c>
      <c r="E2150" s="2" t="s">
        <v>33</v>
      </c>
      <c r="F2150">
        <v>4136</v>
      </c>
      <c r="G2150" s="2" t="s">
        <v>219</v>
      </c>
      <c r="H2150" s="2" t="s">
        <v>35</v>
      </c>
      <c r="I2150" s="2" t="s">
        <v>36</v>
      </c>
      <c r="J2150" s="2" t="s">
        <v>60</v>
      </c>
      <c r="K2150" s="2" t="s">
        <v>36</v>
      </c>
      <c r="L2150">
        <v>826.12</v>
      </c>
      <c r="M2150">
        <v>1</v>
      </c>
      <c r="N2150">
        <v>6.6070000000000002</v>
      </c>
      <c r="O2150">
        <v>6600879</v>
      </c>
      <c r="P2150" s="2" t="s">
        <v>61</v>
      </c>
      <c r="Q2150" s="2" t="s">
        <v>35</v>
      </c>
      <c r="R2150" s="2" t="s">
        <v>30</v>
      </c>
      <c r="S2150">
        <v>6</v>
      </c>
      <c r="T2150" s="1">
        <v>43697</v>
      </c>
      <c r="U2150" s="1">
        <v>43700</v>
      </c>
      <c r="V2150" s="2"/>
      <c r="W2150" s="1">
        <f>fNotasFiscais[[#This Row],[Data da Coleta]]+fNotasFiscais[[#This Row],[Prazo Contratado]]</f>
        <v>43703</v>
      </c>
      <c r="X2150" s="3">
        <f>IF(fNotasFiscais[[#This Row],[Data da Entrega]]&gt;fNotasFiscais[[#This Row],[Data Contratada]],0,1)</f>
        <v>1</v>
      </c>
      <c r="Y2150" s="3">
        <f>IF(fNotasFiscais[[#This Row],[Ocorrência]]="",1,0)</f>
        <v>1</v>
      </c>
      <c r="Z2150" s="2">
        <f>fNotasFiscais[[#This Row],[On Time]]*fNotasFiscais[[#This Row],[In Full]]</f>
        <v>1</v>
      </c>
      <c r="AA2150">
        <f>IF(fNotasFiscais[[#This Row],[Nota Fiscal]]&lt;&gt;"",1,0)</f>
        <v>1</v>
      </c>
    </row>
    <row r="2151" spans="1:27" x14ac:dyDescent="0.25">
      <c r="A2151" s="1">
        <v>43697</v>
      </c>
      <c r="B2151">
        <v>12560</v>
      </c>
      <c r="C2151" s="2" t="s">
        <v>22</v>
      </c>
      <c r="D2151" s="2" t="s">
        <v>23</v>
      </c>
      <c r="E2151" s="2" t="s">
        <v>24</v>
      </c>
      <c r="F2151">
        <v>4159</v>
      </c>
      <c r="G2151" s="2" t="s">
        <v>242</v>
      </c>
      <c r="H2151" s="2" t="s">
        <v>173</v>
      </c>
      <c r="I2151" s="2" t="s">
        <v>174</v>
      </c>
      <c r="J2151" s="2" t="s">
        <v>175</v>
      </c>
      <c r="K2151" s="2" t="s">
        <v>174</v>
      </c>
      <c r="L2151">
        <v>720.02</v>
      </c>
      <c r="M2151">
        <v>3</v>
      </c>
      <c r="N2151">
        <v>2.016</v>
      </c>
      <c r="O2151">
        <v>6700091</v>
      </c>
      <c r="P2151" s="2" t="s">
        <v>176</v>
      </c>
      <c r="Q2151" s="2" t="s">
        <v>173</v>
      </c>
      <c r="R2151" s="2" t="s">
        <v>30</v>
      </c>
      <c r="S2151">
        <v>12</v>
      </c>
      <c r="T2151" s="1">
        <v>43697</v>
      </c>
      <c r="U2151" s="1">
        <v>43704</v>
      </c>
      <c r="V2151" s="2"/>
      <c r="W2151" s="1">
        <f>fNotasFiscais[[#This Row],[Data da Coleta]]+fNotasFiscais[[#This Row],[Prazo Contratado]]</f>
        <v>43709</v>
      </c>
      <c r="X2151" s="3">
        <f>IF(fNotasFiscais[[#This Row],[Data da Entrega]]&gt;fNotasFiscais[[#This Row],[Data Contratada]],0,1)</f>
        <v>1</v>
      </c>
      <c r="Y2151" s="3">
        <f>IF(fNotasFiscais[[#This Row],[Ocorrência]]="",1,0)</f>
        <v>1</v>
      </c>
      <c r="Z2151" s="2">
        <f>fNotasFiscais[[#This Row],[On Time]]*fNotasFiscais[[#This Row],[In Full]]</f>
        <v>1</v>
      </c>
      <c r="AA2151">
        <f>IF(fNotasFiscais[[#This Row],[Nota Fiscal]]&lt;&gt;"",1,0)</f>
        <v>1</v>
      </c>
    </row>
    <row r="2152" spans="1:27" x14ac:dyDescent="0.25">
      <c r="A2152" s="1">
        <v>43697</v>
      </c>
      <c r="B2152">
        <v>12561</v>
      </c>
      <c r="C2152" s="2" t="s">
        <v>34</v>
      </c>
      <c r="D2152" s="2" t="s">
        <v>35</v>
      </c>
      <c r="E2152" s="2" t="s">
        <v>36</v>
      </c>
      <c r="F2152">
        <v>4155</v>
      </c>
      <c r="G2152" s="2" t="s">
        <v>238</v>
      </c>
      <c r="H2152" s="2" t="s">
        <v>32</v>
      </c>
      <c r="I2152" s="2" t="s">
        <v>33</v>
      </c>
      <c r="J2152" s="2" t="s">
        <v>60</v>
      </c>
      <c r="K2152" s="2" t="s">
        <v>33</v>
      </c>
      <c r="L2152">
        <v>775.07</v>
      </c>
      <c r="M2152">
        <v>1</v>
      </c>
      <c r="N2152">
        <v>16.5</v>
      </c>
      <c r="O2152">
        <v>6400835</v>
      </c>
      <c r="P2152" s="2" t="s">
        <v>130</v>
      </c>
      <c r="Q2152" s="2" t="s">
        <v>131</v>
      </c>
      <c r="R2152" s="2" t="s">
        <v>30</v>
      </c>
      <c r="S2152">
        <v>1</v>
      </c>
      <c r="T2152" s="1">
        <v>43697</v>
      </c>
      <c r="U2152" s="1">
        <v>43707</v>
      </c>
      <c r="V2152" s="2" t="s">
        <v>42</v>
      </c>
      <c r="W2152" s="1">
        <f>fNotasFiscais[[#This Row],[Data da Coleta]]+fNotasFiscais[[#This Row],[Prazo Contratado]]</f>
        <v>43698</v>
      </c>
      <c r="X2152" s="3">
        <f>IF(fNotasFiscais[[#This Row],[Data da Entrega]]&gt;fNotasFiscais[[#This Row],[Data Contratada]],0,1)</f>
        <v>0</v>
      </c>
      <c r="Y2152" s="3">
        <f>IF(fNotasFiscais[[#This Row],[Ocorrência]]="",1,0)</f>
        <v>0</v>
      </c>
      <c r="Z2152" s="2">
        <f>fNotasFiscais[[#This Row],[On Time]]*fNotasFiscais[[#This Row],[In Full]]</f>
        <v>0</v>
      </c>
      <c r="AA2152">
        <f>IF(fNotasFiscais[[#This Row],[Nota Fiscal]]&lt;&gt;"",1,0)</f>
        <v>1</v>
      </c>
    </row>
    <row r="2153" spans="1:27" x14ac:dyDescent="0.25">
      <c r="A2153" s="1">
        <v>43697</v>
      </c>
      <c r="B2153">
        <v>12562</v>
      </c>
      <c r="C2153" s="2" t="s">
        <v>43</v>
      </c>
      <c r="D2153" s="2" t="s">
        <v>44</v>
      </c>
      <c r="E2153" s="2" t="s">
        <v>45</v>
      </c>
      <c r="F2153">
        <v>4068</v>
      </c>
      <c r="G2153" s="2" t="s">
        <v>63</v>
      </c>
      <c r="H2153" s="2" t="s">
        <v>64</v>
      </c>
      <c r="I2153" s="2" t="s">
        <v>65</v>
      </c>
      <c r="J2153" s="2" t="s">
        <v>49</v>
      </c>
      <c r="K2153" s="2" t="s">
        <v>65</v>
      </c>
      <c r="L2153">
        <v>3220.64</v>
      </c>
      <c r="M2153">
        <v>4</v>
      </c>
      <c r="N2153">
        <v>31.9</v>
      </c>
      <c r="O2153">
        <v>6100231</v>
      </c>
      <c r="P2153" s="2" t="s">
        <v>50</v>
      </c>
      <c r="Q2153" s="2" t="s">
        <v>51</v>
      </c>
      <c r="R2153" s="2" t="s">
        <v>30</v>
      </c>
      <c r="S2153">
        <v>2</v>
      </c>
      <c r="T2153" s="1">
        <v>43697</v>
      </c>
      <c r="U2153" s="1">
        <v>43705</v>
      </c>
      <c r="V2153" s="2"/>
      <c r="W2153" s="1">
        <f>fNotasFiscais[[#This Row],[Data da Coleta]]+fNotasFiscais[[#This Row],[Prazo Contratado]]</f>
        <v>43699</v>
      </c>
      <c r="X2153" s="3">
        <f>IF(fNotasFiscais[[#This Row],[Data da Entrega]]&gt;fNotasFiscais[[#This Row],[Data Contratada]],0,1)</f>
        <v>0</v>
      </c>
      <c r="Y2153" s="3">
        <f>IF(fNotasFiscais[[#This Row],[Ocorrência]]="",1,0)</f>
        <v>1</v>
      </c>
      <c r="Z2153" s="2">
        <f>fNotasFiscais[[#This Row],[On Time]]*fNotasFiscais[[#This Row],[In Full]]</f>
        <v>0</v>
      </c>
      <c r="AA2153">
        <f>IF(fNotasFiscais[[#This Row],[Nota Fiscal]]&lt;&gt;"",1,0)</f>
        <v>1</v>
      </c>
    </row>
    <row r="2154" spans="1:27" x14ac:dyDescent="0.25">
      <c r="A2154" s="1">
        <v>43697</v>
      </c>
      <c r="B2154">
        <v>12563</v>
      </c>
      <c r="C2154" s="2" t="s">
        <v>22</v>
      </c>
      <c r="D2154" s="2" t="s">
        <v>23</v>
      </c>
      <c r="E2154" s="2" t="s">
        <v>24</v>
      </c>
      <c r="F2154">
        <v>4023</v>
      </c>
      <c r="G2154" s="2" t="s">
        <v>88</v>
      </c>
      <c r="H2154" s="2" t="s">
        <v>78</v>
      </c>
      <c r="I2154" s="2" t="s">
        <v>39</v>
      </c>
      <c r="J2154" s="2" t="s">
        <v>28</v>
      </c>
      <c r="K2154" s="2" t="s">
        <v>39</v>
      </c>
      <c r="L2154">
        <v>1479.91</v>
      </c>
      <c r="M2154">
        <v>2</v>
      </c>
      <c r="N2154">
        <v>4.524</v>
      </c>
      <c r="O2154">
        <v>6500948</v>
      </c>
      <c r="P2154" s="2" t="s">
        <v>29</v>
      </c>
      <c r="Q2154" s="2" t="s">
        <v>23</v>
      </c>
      <c r="R2154" s="2" t="s">
        <v>30</v>
      </c>
      <c r="S2154">
        <v>1</v>
      </c>
      <c r="T2154" s="1">
        <v>43697</v>
      </c>
      <c r="U2154" s="1">
        <v>43699</v>
      </c>
      <c r="V2154" s="2"/>
      <c r="W2154" s="1">
        <f>fNotasFiscais[[#This Row],[Data da Coleta]]+fNotasFiscais[[#This Row],[Prazo Contratado]]</f>
        <v>43698</v>
      </c>
      <c r="X2154" s="3">
        <f>IF(fNotasFiscais[[#This Row],[Data da Entrega]]&gt;fNotasFiscais[[#This Row],[Data Contratada]],0,1)</f>
        <v>0</v>
      </c>
      <c r="Y2154" s="3">
        <f>IF(fNotasFiscais[[#This Row],[Ocorrência]]="",1,0)</f>
        <v>1</v>
      </c>
      <c r="Z2154" s="2">
        <f>fNotasFiscais[[#This Row],[On Time]]*fNotasFiscais[[#This Row],[In Full]]</f>
        <v>0</v>
      </c>
      <c r="AA2154">
        <f>IF(fNotasFiscais[[#This Row],[Nota Fiscal]]&lt;&gt;"",1,0)</f>
        <v>1</v>
      </c>
    </row>
    <row r="2155" spans="1:27" x14ac:dyDescent="0.25">
      <c r="A2155" s="1">
        <v>43697</v>
      </c>
      <c r="B2155">
        <v>12564</v>
      </c>
      <c r="C2155" s="2" t="s">
        <v>34</v>
      </c>
      <c r="D2155" s="2" t="s">
        <v>35</v>
      </c>
      <c r="E2155" s="2" t="s">
        <v>36</v>
      </c>
      <c r="F2155">
        <v>4013</v>
      </c>
      <c r="G2155" s="2" t="s">
        <v>37</v>
      </c>
      <c r="H2155" s="2" t="s">
        <v>38</v>
      </c>
      <c r="I2155" s="2" t="s">
        <v>39</v>
      </c>
      <c r="J2155" s="2" t="s">
        <v>28</v>
      </c>
      <c r="K2155" s="2" t="s">
        <v>39</v>
      </c>
      <c r="L2155">
        <v>350.34</v>
      </c>
      <c r="M2155">
        <v>1</v>
      </c>
      <c r="N2155">
        <v>13.42</v>
      </c>
      <c r="O2155">
        <v>6500948</v>
      </c>
      <c r="P2155" s="2" t="s">
        <v>29</v>
      </c>
      <c r="Q2155" s="2" t="s">
        <v>23</v>
      </c>
      <c r="R2155" s="2" t="s">
        <v>30</v>
      </c>
      <c r="S2155">
        <v>12</v>
      </c>
      <c r="T2155" s="1">
        <v>43697</v>
      </c>
      <c r="U2155" s="1">
        <v>43702</v>
      </c>
      <c r="V2155" s="2"/>
      <c r="W2155" s="1">
        <f>fNotasFiscais[[#This Row],[Data da Coleta]]+fNotasFiscais[[#This Row],[Prazo Contratado]]</f>
        <v>43709</v>
      </c>
      <c r="X2155" s="3">
        <f>IF(fNotasFiscais[[#This Row],[Data da Entrega]]&gt;fNotasFiscais[[#This Row],[Data Contratada]],0,1)</f>
        <v>1</v>
      </c>
      <c r="Y2155" s="3">
        <f>IF(fNotasFiscais[[#This Row],[Ocorrência]]="",1,0)</f>
        <v>1</v>
      </c>
      <c r="Z2155" s="2">
        <f>fNotasFiscais[[#This Row],[On Time]]*fNotasFiscais[[#This Row],[In Full]]</f>
        <v>1</v>
      </c>
      <c r="AA2155">
        <f>IF(fNotasFiscais[[#This Row],[Nota Fiscal]]&lt;&gt;"",1,0)</f>
        <v>1</v>
      </c>
    </row>
    <row r="2156" spans="1:27" x14ac:dyDescent="0.25">
      <c r="A2156" s="1">
        <v>43697</v>
      </c>
      <c r="B2156">
        <v>12565</v>
      </c>
      <c r="C2156" s="2" t="s">
        <v>31</v>
      </c>
      <c r="D2156" s="2" t="s">
        <v>32</v>
      </c>
      <c r="E2156" s="2" t="s">
        <v>33</v>
      </c>
      <c r="F2156">
        <v>4013</v>
      </c>
      <c r="G2156" s="2" t="s">
        <v>37</v>
      </c>
      <c r="H2156" s="2" t="s">
        <v>38</v>
      </c>
      <c r="I2156" s="2" t="s">
        <v>39</v>
      </c>
      <c r="J2156" s="2" t="s">
        <v>28</v>
      </c>
      <c r="K2156" s="2" t="s">
        <v>39</v>
      </c>
      <c r="L2156">
        <v>16.12</v>
      </c>
      <c r="M2156">
        <v>1</v>
      </c>
      <c r="N2156">
        <v>2.8000000000000001E-2</v>
      </c>
      <c r="O2156">
        <v>6500948</v>
      </c>
      <c r="P2156" s="2" t="s">
        <v>29</v>
      </c>
      <c r="Q2156" s="2" t="s">
        <v>23</v>
      </c>
      <c r="R2156" s="2" t="s">
        <v>30</v>
      </c>
      <c r="S2156">
        <v>10</v>
      </c>
      <c r="T2156" s="1">
        <v>43697</v>
      </c>
      <c r="U2156" s="1">
        <v>43706</v>
      </c>
      <c r="V2156" s="2" t="s">
        <v>42</v>
      </c>
      <c r="W2156" s="1">
        <f>fNotasFiscais[[#This Row],[Data da Coleta]]+fNotasFiscais[[#This Row],[Prazo Contratado]]</f>
        <v>43707</v>
      </c>
      <c r="X2156" s="3">
        <f>IF(fNotasFiscais[[#This Row],[Data da Entrega]]&gt;fNotasFiscais[[#This Row],[Data Contratada]],0,1)</f>
        <v>1</v>
      </c>
      <c r="Y2156" s="3">
        <f>IF(fNotasFiscais[[#This Row],[Ocorrência]]="",1,0)</f>
        <v>0</v>
      </c>
      <c r="Z2156" s="2">
        <f>fNotasFiscais[[#This Row],[On Time]]*fNotasFiscais[[#This Row],[In Full]]</f>
        <v>0</v>
      </c>
      <c r="AA2156">
        <f>IF(fNotasFiscais[[#This Row],[Nota Fiscal]]&lt;&gt;"",1,0)</f>
        <v>1</v>
      </c>
    </row>
    <row r="2157" spans="1:27" x14ac:dyDescent="0.25">
      <c r="A2157" s="1">
        <v>43697</v>
      </c>
      <c r="B2157">
        <v>12566</v>
      </c>
      <c r="C2157" s="2" t="s">
        <v>54</v>
      </c>
      <c r="D2157" s="2" t="s">
        <v>55</v>
      </c>
      <c r="E2157" s="2" t="s">
        <v>56</v>
      </c>
      <c r="F2157">
        <v>4013</v>
      </c>
      <c r="G2157" s="2" t="s">
        <v>37</v>
      </c>
      <c r="H2157" s="2" t="s">
        <v>38</v>
      </c>
      <c r="I2157" s="2" t="s">
        <v>39</v>
      </c>
      <c r="J2157" s="2" t="s">
        <v>28</v>
      </c>
      <c r="K2157" s="2" t="s">
        <v>39</v>
      </c>
      <c r="L2157">
        <v>45.92</v>
      </c>
      <c r="M2157">
        <v>1</v>
      </c>
      <c r="N2157">
        <v>0.56399999999999995</v>
      </c>
      <c r="O2157">
        <v>6500948</v>
      </c>
      <c r="P2157" s="2" t="s">
        <v>29</v>
      </c>
      <c r="Q2157" s="2" t="s">
        <v>23</v>
      </c>
      <c r="R2157" s="2" t="s">
        <v>30</v>
      </c>
      <c r="S2157">
        <v>12</v>
      </c>
      <c r="T2157" s="1">
        <v>43697</v>
      </c>
      <c r="U2157" s="1">
        <v>43701</v>
      </c>
      <c r="V2157" s="2"/>
      <c r="W2157" s="1">
        <f>fNotasFiscais[[#This Row],[Data da Coleta]]+fNotasFiscais[[#This Row],[Prazo Contratado]]</f>
        <v>43709</v>
      </c>
      <c r="X2157" s="3">
        <f>IF(fNotasFiscais[[#This Row],[Data da Entrega]]&gt;fNotasFiscais[[#This Row],[Data Contratada]],0,1)</f>
        <v>1</v>
      </c>
      <c r="Y2157" s="3">
        <f>IF(fNotasFiscais[[#This Row],[Ocorrência]]="",1,0)</f>
        <v>1</v>
      </c>
      <c r="Z2157" s="2">
        <f>fNotasFiscais[[#This Row],[On Time]]*fNotasFiscais[[#This Row],[In Full]]</f>
        <v>1</v>
      </c>
      <c r="AA2157">
        <f>IF(fNotasFiscais[[#This Row],[Nota Fiscal]]&lt;&gt;"",1,0)</f>
        <v>1</v>
      </c>
    </row>
    <row r="2158" spans="1:27" x14ac:dyDescent="0.25">
      <c r="A2158" s="1">
        <v>43698</v>
      </c>
      <c r="B2158">
        <v>12567</v>
      </c>
      <c r="C2158" s="2" t="s">
        <v>40</v>
      </c>
      <c r="D2158" s="2" t="s">
        <v>41</v>
      </c>
      <c r="E2158" s="2" t="s">
        <v>33</v>
      </c>
      <c r="F2158">
        <v>4156</v>
      </c>
      <c r="G2158" s="2" t="s">
        <v>239</v>
      </c>
      <c r="H2158" s="2" t="s">
        <v>165</v>
      </c>
      <c r="I2158" s="2" t="s">
        <v>24</v>
      </c>
      <c r="J2158" s="2" t="s">
        <v>28</v>
      </c>
      <c r="K2158" s="2" t="s">
        <v>24</v>
      </c>
      <c r="L2158">
        <v>704.28</v>
      </c>
      <c r="M2158">
        <v>2</v>
      </c>
      <c r="N2158">
        <v>26.84</v>
      </c>
      <c r="O2158">
        <v>6500948</v>
      </c>
      <c r="P2158" s="2" t="s">
        <v>29</v>
      </c>
      <c r="Q2158" s="2" t="s">
        <v>23</v>
      </c>
      <c r="R2158" s="2" t="s">
        <v>30</v>
      </c>
      <c r="S2158">
        <v>8</v>
      </c>
      <c r="T2158" s="1">
        <v>43698</v>
      </c>
      <c r="U2158" s="1">
        <v>43708</v>
      </c>
      <c r="V2158" s="2"/>
      <c r="W2158" s="1">
        <f>fNotasFiscais[[#This Row],[Data da Coleta]]+fNotasFiscais[[#This Row],[Prazo Contratado]]</f>
        <v>43706</v>
      </c>
      <c r="X2158" s="3">
        <f>IF(fNotasFiscais[[#This Row],[Data da Entrega]]&gt;fNotasFiscais[[#This Row],[Data Contratada]],0,1)</f>
        <v>0</v>
      </c>
      <c r="Y2158" s="3">
        <f>IF(fNotasFiscais[[#This Row],[Ocorrência]]="",1,0)</f>
        <v>1</v>
      </c>
      <c r="Z2158" s="2">
        <f>fNotasFiscais[[#This Row],[On Time]]*fNotasFiscais[[#This Row],[In Full]]</f>
        <v>0</v>
      </c>
      <c r="AA2158">
        <f>IF(fNotasFiscais[[#This Row],[Nota Fiscal]]&lt;&gt;"",1,0)</f>
        <v>1</v>
      </c>
    </row>
    <row r="2159" spans="1:27" x14ac:dyDescent="0.25">
      <c r="A2159" s="1">
        <v>43698</v>
      </c>
      <c r="B2159">
        <v>12568</v>
      </c>
      <c r="C2159" s="2" t="s">
        <v>31</v>
      </c>
      <c r="D2159" s="2" t="s">
        <v>32</v>
      </c>
      <c r="E2159" s="2" t="s">
        <v>33</v>
      </c>
      <c r="F2159">
        <v>4192</v>
      </c>
      <c r="G2159" s="2" t="s">
        <v>275</v>
      </c>
      <c r="H2159" s="2" t="s">
        <v>35</v>
      </c>
      <c r="I2159" s="2" t="s">
        <v>36</v>
      </c>
      <c r="J2159" s="2" t="s">
        <v>60</v>
      </c>
      <c r="K2159" s="2" t="s">
        <v>36</v>
      </c>
      <c r="L2159">
        <v>6548</v>
      </c>
      <c r="M2159">
        <v>14</v>
      </c>
      <c r="N2159">
        <v>43.402999999999999</v>
      </c>
      <c r="O2159">
        <v>6600879</v>
      </c>
      <c r="P2159" s="2" t="s">
        <v>61</v>
      </c>
      <c r="Q2159" s="2" t="s">
        <v>35</v>
      </c>
      <c r="R2159" s="2" t="s">
        <v>30</v>
      </c>
      <c r="S2159">
        <v>8</v>
      </c>
      <c r="T2159" s="1">
        <v>43698</v>
      </c>
      <c r="U2159" s="1">
        <v>43706</v>
      </c>
      <c r="V2159" s="2"/>
      <c r="W2159" s="1">
        <f>fNotasFiscais[[#This Row],[Data da Coleta]]+fNotasFiscais[[#This Row],[Prazo Contratado]]</f>
        <v>43706</v>
      </c>
      <c r="X2159" s="3">
        <f>IF(fNotasFiscais[[#This Row],[Data da Entrega]]&gt;fNotasFiscais[[#This Row],[Data Contratada]],0,1)</f>
        <v>1</v>
      </c>
      <c r="Y2159" s="3">
        <f>IF(fNotasFiscais[[#This Row],[Ocorrência]]="",1,0)</f>
        <v>1</v>
      </c>
      <c r="Z2159" s="2">
        <f>fNotasFiscais[[#This Row],[On Time]]*fNotasFiscais[[#This Row],[In Full]]</f>
        <v>1</v>
      </c>
      <c r="AA2159">
        <f>IF(fNotasFiscais[[#This Row],[Nota Fiscal]]&lt;&gt;"",1,0)</f>
        <v>1</v>
      </c>
    </row>
    <row r="2160" spans="1:27" x14ac:dyDescent="0.25">
      <c r="A2160" s="1">
        <v>43698</v>
      </c>
      <c r="B2160">
        <v>12569</v>
      </c>
      <c r="C2160" s="2" t="s">
        <v>54</v>
      </c>
      <c r="D2160" s="2" t="s">
        <v>55</v>
      </c>
      <c r="E2160" s="2" t="s">
        <v>56</v>
      </c>
      <c r="F2160">
        <v>4207</v>
      </c>
      <c r="G2160" s="2" t="s">
        <v>290</v>
      </c>
      <c r="H2160" s="2" t="s">
        <v>183</v>
      </c>
      <c r="I2160" s="2" t="s">
        <v>33</v>
      </c>
      <c r="J2160" s="2" t="s">
        <v>60</v>
      </c>
      <c r="K2160" s="2" t="s">
        <v>33</v>
      </c>
      <c r="L2160">
        <v>1833.1</v>
      </c>
      <c r="M2160">
        <v>2</v>
      </c>
      <c r="N2160">
        <v>10.474</v>
      </c>
      <c r="O2160">
        <v>6400835</v>
      </c>
      <c r="P2160" s="2" t="s">
        <v>130</v>
      </c>
      <c r="Q2160" s="2" t="s">
        <v>131</v>
      </c>
      <c r="R2160" s="2" t="s">
        <v>30</v>
      </c>
      <c r="S2160">
        <v>4</v>
      </c>
      <c r="T2160" s="1">
        <v>43698</v>
      </c>
      <c r="U2160" s="1">
        <v>43705</v>
      </c>
      <c r="V2160" s="2"/>
      <c r="W2160" s="1">
        <f>fNotasFiscais[[#This Row],[Data da Coleta]]+fNotasFiscais[[#This Row],[Prazo Contratado]]</f>
        <v>43702</v>
      </c>
      <c r="X2160" s="3">
        <f>IF(fNotasFiscais[[#This Row],[Data da Entrega]]&gt;fNotasFiscais[[#This Row],[Data Contratada]],0,1)</f>
        <v>0</v>
      </c>
      <c r="Y2160" s="3">
        <f>IF(fNotasFiscais[[#This Row],[Ocorrência]]="",1,0)</f>
        <v>1</v>
      </c>
      <c r="Z2160" s="2">
        <f>fNotasFiscais[[#This Row],[On Time]]*fNotasFiscais[[#This Row],[In Full]]</f>
        <v>0</v>
      </c>
      <c r="AA2160">
        <f>IF(fNotasFiscais[[#This Row],[Nota Fiscal]]&lt;&gt;"",1,0)</f>
        <v>1</v>
      </c>
    </row>
    <row r="2161" spans="1:27" x14ac:dyDescent="0.25">
      <c r="A2161" s="1">
        <v>43698</v>
      </c>
      <c r="B2161">
        <v>12570</v>
      </c>
      <c r="C2161" s="2" t="s">
        <v>34</v>
      </c>
      <c r="D2161" s="2" t="s">
        <v>35</v>
      </c>
      <c r="E2161" s="2" t="s">
        <v>36</v>
      </c>
      <c r="F2161">
        <v>4044</v>
      </c>
      <c r="G2161" s="2" t="s">
        <v>123</v>
      </c>
      <c r="H2161" s="2" t="s">
        <v>35</v>
      </c>
      <c r="I2161" s="2" t="s">
        <v>36</v>
      </c>
      <c r="J2161" s="2" t="s">
        <v>60</v>
      </c>
      <c r="K2161" s="2" t="s">
        <v>36</v>
      </c>
      <c r="L2161">
        <v>33.92</v>
      </c>
      <c r="M2161">
        <v>2</v>
      </c>
      <c r="N2161">
        <v>0.38300000000000001</v>
      </c>
      <c r="O2161">
        <v>6600879</v>
      </c>
      <c r="P2161" s="2" t="s">
        <v>61</v>
      </c>
      <c r="Q2161" s="2" t="s">
        <v>35</v>
      </c>
      <c r="R2161" s="2" t="s">
        <v>30</v>
      </c>
      <c r="S2161">
        <v>7</v>
      </c>
      <c r="T2161" s="1">
        <v>43698</v>
      </c>
      <c r="U2161" s="1">
        <v>43702</v>
      </c>
      <c r="V2161" s="2"/>
      <c r="W2161" s="1">
        <f>fNotasFiscais[[#This Row],[Data da Coleta]]+fNotasFiscais[[#This Row],[Prazo Contratado]]</f>
        <v>43705</v>
      </c>
      <c r="X2161" s="3">
        <f>IF(fNotasFiscais[[#This Row],[Data da Entrega]]&gt;fNotasFiscais[[#This Row],[Data Contratada]],0,1)</f>
        <v>1</v>
      </c>
      <c r="Y2161" s="3">
        <f>IF(fNotasFiscais[[#This Row],[Ocorrência]]="",1,0)</f>
        <v>1</v>
      </c>
      <c r="Z2161" s="2">
        <f>fNotasFiscais[[#This Row],[On Time]]*fNotasFiscais[[#This Row],[In Full]]</f>
        <v>1</v>
      </c>
      <c r="AA2161">
        <f>IF(fNotasFiscais[[#This Row],[Nota Fiscal]]&lt;&gt;"",1,0)</f>
        <v>1</v>
      </c>
    </row>
    <row r="2162" spans="1:27" x14ac:dyDescent="0.25">
      <c r="A2162" s="1">
        <v>43698</v>
      </c>
      <c r="B2162">
        <v>12571</v>
      </c>
      <c r="C2162" s="2" t="s">
        <v>43</v>
      </c>
      <c r="D2162" s="2" t="s">
        <v>44</v>
      </c>
      <c r="E2162" s="2" t="s">
        <v>45</v>
      </c>
      <c r="F2162">
        <v>4045</v>
      </c>
      <c r="G2162" s="2" t="s">
        <v>124</v>
      </c>
      <c r="H2162" s="2" t="s">
        <v>35</v>
      </c>
      <c r="I2162" s="2" t="s">
        <v>36</v>
      </c>
      <c r="J2162" s="2" t="s">
        <v>60</v>
      </c>
      <c r="K2162" s="2" t="s">
        <v>36</v>
      </c>
      <c r="L2162">
        <v>45.69</v>
      </c>
      <c r="M2162">
        <v>1</v>
      </c>
      <c r="N2162">
        <v>0.56399999999999995</v>
      </c>
      <c r="O2162">
        <v>6600879</v>
      </c>
      <c r="P2162" s="2" t="s">
        <v>61</v>
      </c>
      <c r="Q2162" s="2" t="s">
        <v>35</v>
      </c>
      <c r="R2162" s="2" t="s">
        <v>30</v>
      </c>
      <c r="S2162">
        <v>11</v>
      </c>
      <c r="T2162" s="1">
        <v>43698</v>
      </c>
      <c r="U2162" s="1">
        <v>43702</v>
      </c>
      <c r="V2162" s="2"/>
      <c r="W2162" s="1">
        <f>fNotasFiscais[[#This Row],[Data da Coleta]]+fNotasFiscais[[#This Row],[Prazo Contratado]]</f>
        <v>43709</v>
      </c>
      <c r="X2162" s="3">
        <f>IF(fNotasFiscais[[#This Row],[Data da Entrega]]&gt;fNotasFiscais[[#This Row],[Data Contratada]],0,1)</f>
        <v>1</v>
      </c>
      <c r="Y2162" s="3">
        <f>IF(fNotasFiscais[[#This Row],[Ocorrência]]="",1,0)</f>
        <v>1</v>
      </c>
      <c r="Z2162" s="2">
        <f>fNotasFiscais[[#This Row],[On Time]]*fNotasFiscais[[#This Row],[In Full]]</f>
        <v>1</v>
      </c>
      <c r="AA2162">
        <f>IF(fNotasFiscais[[#This Row],[Nota Fiscal]]&lt;&gt;"",1,0)</f>
        <v>1</v>
      </c>
    </row>
    <row r="2163" spans="1:27" x14ac:dyDescent="0.25">
      <c r="A2163" s="1">
        <v>43698</v>
      </c>
      <c r="B2163">
        <v>12572</v>
      </c>
      <c r="C2163" s="2" t="s">
        <v>34</v>
      </c>
      <c r="D2163" s="2" t="s">
        <v>35</v>
      </c>
      <c r="E2163" s="2" t="s">
        <v>36</v>
      </c>
      <c r="F2163">
        <v>4019</v>
      </c>
      <c r="G2163" s="2" t="s">
        <v>79</v>
      </c>
      <c r="H2163" s="2" t="s">
        <v>80</v>
      </c>
      <c r="I2163" s="2" t="s">
        <v>39</v>
      </c>
      <c r="J2163" s="2" t="s">
        <v>28</v>
      </c>
      <c r="K2163" s="2" t="s">
        <v>39</v>
      </c>
      <c r="L2163">
        <v>704.28</v>
      </c>
      <c r="M2163">
        <v>2</v>
      </c>
      <c r="N2163">
        <v>26.84</v>
      </c>
      <c r="O2163">
        <v>6500948</v>
      </c>
      <c r="P2163" s="2" t="s">
        <v>29</v>
      </c>
      <c r="Q2163" s="2" t="s">
        <v>23</v>
      </c>
      <c r="R2163" s="2" t="s">
        <v>62</v>
      </c>
      <c r="S2163">
        <v>7</v>
      </c>
      <c r="T2163" s="1">
        <v>43698</v>
      </c>
      <c r="U2163" s="1">
        <v>43699</v>
      </c>
      <c r="V2163" s="2"/>
      <c r="W2163" s="1">
        <f>fNotasFiscais[[#This Row],[Data da Coleta]]+fNotasFiscais[[#This Row],[Prazo Contratado]]</f>
        <v>43705</v>
      </c>
      <c r="X2163" s="3">
        <f>IF(fNotasFiscais[[#This Row],[Data da Entrega]]&gt;fNotasFiscais[[#This Row],[Data Contratada]],0,1)</f>
        <v>1</v>
      </c>
      <c r="Y2163" s="3">
        <f>IF(fNotasFiscais[[#This Row],[Ocorrência]]="",1,0)</f>
        <v>1</v>
      </c>
      <c r="Z2163" s="2">
        <f>fNotasFiscais[[#This Row],[On Time]]*fNotasFiscais[[#This Row],[In Full]]</f>
        <v>1</v>
      </c>
      <c r="AA2163">
        <f>IF(fNotasFiscais[[#This Row],[Nota Fiscal]]&lt;&gt;"",1,0)</f>
        <v>1</v>
      </c>
    </row>
    <row r="2164" spans="1:27" x14ac:dyDescent="0.25">
      <c r="A2164" s="1">
        <v>43698</v>
      </c>
      <c r="B2164">
        <v>12573</v>
      </c>
      <c r="C2164" s="2" t="s">
        <v>22</v>
      </c>
      <c r="D2164" s="2" t="s">
        <v>23</v>
      </c>
      <c r="E2164" s="2" t="s">
        <v>24</v>
      </c>
      <c r="F2164">
        <v>4044</v>
      </c>
      <c r="G2164" s="2" t="s">
        <v>123</v>
      </c>
      <c r="H2164" s="2" t="s">
        <v>35</v>
      </c>
      <c r="I2164" s="2" t="s">
        <v>36</v>
      </c>
      <c r="J2164" s="2" t="s">
        <v>60</v>
      </c>
      <c r="K2164" s="2" t="s">
        <v>36</v>
      </c>
      <c r="L2164">
        <v>193.4</v>
      </c>
      <c r="M2164">
        <v>1</v>
      </c>
      <c r="N2164">
        <v>0.23100000000000001</v>
      </c>
      <c r="O2164">
        <v>6600879</v>
      </c>
      <c r="P2164" s="2" t="s">
        <v>61</v>
      </c>
      <c r="Q2164" s="2" t="s">
        <v>35</v>
      </c>
      <c r="R2164" s="2" t="s">
        <v>30</v>
      </c>
      <c r="S2164">
        <v>9</v>
      </c>
      <c r="T2164" s="1">
        <v>43698</v>
      </c>
      <c r="U2164" s="1">
        <v>43699</v>
      </c>
      <c r="V2164" s="2"/>
      <c r="W2164" s="1">
        <f>fNotasFiscais[[#This Row],[Data da Coleta]]+fNotasFiscais[[#This Row],[Prazo Contratado]]</f>
        <v>43707</v>
      </c>
      <c r="X2164" s="3">
        <f>IF(fNotasFiscais[[#This Row],[Data da Entrega]]&gt;fNotasFiscais[[#This Row],[Data Contratada]],0,1)</f>
        <v>1</v>
      </c>
      <c r="Y2164" s="3">
        <f>IF(fNotasFiscais[[#This Row],[Ocorrência]]="",1,0)</f>
        <v>1</v>
      </c>
      <c r="Z2164" s="2">
        <f>fNotasFiscais[[#This Row],[On Time]]*fNotasFiscais[[#This Row],[In Full]]</f>
        <v>1</v>
      </c>
      <c r="AA2164">
        <f>IF(fNotasFiscais[[#This Row],[Nota Fiscal]]&lt;&gt;"",1,0)</f>
        <v>1</v>
      </c>
    </row>
    <row r="2165" spans="1:27" x14ac:dyDescent="0.25">
      <c r="A2165" s="1">
        <v>43698</v>
      </c>
      <c r="B2165">
        <v>12574</v>
      </c>
      <c r="C2165" s="2" t="s">
        <v>43</v>
      </c>
      <c r="D2165" s="2" t="s">
        <v>44</v>
      </c>
      <c r="E2165" s="2" t="s">
        <v>45</v>
      </c>
      <c r="F2165">
        <v>4045</v>
      </c>
      <c r="G2165" s="2" t="s">
        <v>124</v>
      </c>
      <c r="H2165" s="2" t="s">
        <v>35</v>
      </c>
      <c r="I2165" s="2" t="s">
        <v>36</v>
      </c>
      <c r="J2165" s="2" t="s">
        <v>60</v>
      </c>
      <c r="K2165" s="2" t="s">
        <v>36</v>
      </c>
      <c r="L2165">
        <v>351.14</v>
      </c>
      <c r="M2165">
        <v>1</v>
      </c>
      <c r="N2165">
        <v>13.42</v>
      </c>
      <c r="O2165">
        <v>6600879</v>
      </c>
      <c r="P2165" s="2" t="s">
        <v>61</v>
      </c>
      <c r="Q2165" s="2" t="s">
        <v>35</v>
      </c>
      <c r="R2165" s="2" t="s">
        <v>30</v>
      </c>
      <c r="S2165">
        <v>2</v>
      </c>
      <c r="T2165" s="1">
        <v>43698</v>
      </c>
      <c r="U2165" s="1">
        <v>43703</v>
      </c>
      <c r="V2165" s="2"/>
      <c r="W2165" s="1">
        <f>fNotasFiscais[[#This Row],[Data da Coleta]]+fNotasFiscais[[#This Row],[Prazo Contratado]]</f>
        <v>43700</v>
      </c>
      <c r="X2165" s="3">
        <f>IF(fNotasFiscais[[#This Row],[Data da Entrega]]&gt;fNotasFiscais[[#This Row],[Data Contratada]],0,1)</f>
        <v>0</v>
      </c>
      <c r="Y2165" s="3">
        <f>IF(fNotasFiscais[[#This Row],[Ocorrência]]="",1,0)</f>
        <v>1</v>
      </c>
      <c r="Z2165" s="2">
        <f>fNotasFiscais[[#This Row],[On Time]]*fNotasFiscais[[#This Row],[In Full]]</f>
        <v>0</v>
      </c>
      <c r="AA2165">
        <f>IF(fNotasFiscais[[#This Row],[Nota Fiscal]]&lt;&gt;"",1,0)</f>
        <v>1</v>
      </c>
    </row>
    <row r="2166" spans="1:27" x14ac:dyDescent="0.25">
      <c r="A2166" s="1">
        <v>43698</v>
      </c>
      <c r="B2166">
        <v>12575</v>
      </c>
      <c r="C2166" s="2" t="s">
        <v>34</v>
      </c>
      <c r="D2166" s="2" t="s">
        <v>35</v>
      </c>
      <c r="E2166" s="2" t="s">
        <v>36</v>
      </c>
      <c r="F2166">
        <v>4019</v>
      </c>
      <c r="G2166" s="2" t="s">
        <v>79</v>
      </c>
      <c r="H2166" s="2" t="s">
        <v>80</v>
      </c>
      <c r="I2166" s="2" t="s">
        <v>39</v>
      </c>
      <c r="J2166" s="2" t="s">
        <v>28</v>
      </c>
      <c r="K2166" s="2" t="s">
        <v>39</v>
      </c>
      <c r="L2166">
        <v>98.95</v>
      </c>
      <c r="M2166">
        <v>2</v>
      </c>
      <c r="N2166">
        <v>0.14499999999999999</v>
      </c>
      <c r="O2166">
        <v>6500948</v>
      </c>
      <c r="P2166" s="2" t="s">
        <v>29</v>
      </c>
      <c r="Q2166" s="2" t="s">
        <v>23</v>
      </c>
      <c r="R2166" s="2" t="s">
        <v>30</v>
      </c>
      <c r="S2166">
        <v>2</v>
      </c>
      <c r="T2166" s="1">
        <v>43698</v>
      </c>
      <c r="U2166" s="1">
        <v>43706</v>
      </c>
      <c r="V2166" s="2"/>
      <c r="W2166" s="1">
        <f>fNotasFiscais[[#This Row],[Data da Coleta]]+fNotasFiscais[[#This Row],[Prazo Contratado]]</f>
        <v>43700</v>
      </c>
      <c r="X2166" s="3">
        <f>IF(fNotasFiscais[[#This Row],[Data da Entrega]]&gt;fNotasFiscais[[#This Row],[Data Contratada]],0,1)</f>
        <v>0</v>
      </c>
      <c r="Y2166" s="3">
        <f>IF(fNotasFiscais[[#This Row],[Ocorrência]]="",1,0)</f>
        <v>1</v>
      </c>
      <c r="Z2166" s="2">
        <f>fNotasFiscais[[#This Row],[On Time]]*fNotasFiscais[[#This Row],[In Full]]</f>
        <v>0</v>
      </c>
      <c r="AA2166">
        <f>IF(fNotasFiscais[[#This Row],[Nota Fiscal]]&lt;&gt;"",1,0)</f>
        <v>1</v>
      </c>
    </row>
    <row r="2167" spans="1:27" x14ac:dyDescent="0.25">
      <c r="A2167" s="1">
        <v>43698</v>
      </c>
      <c r="B2167">
        <v>12576</v>
      </c>
      <c r="C2167" s="2" t="s">
        <v>43</v>
      </c>
      <c r="D2167" s="2" t="s">
        <v>44</v>
      </c>
      <c r="E2167" s="2" t="s">
        <v>45</v>
      </c>
      <c r="F2167">
        <v>4044</v>
      </c>
      <c r="G2167" s="2" t="s">
        <v>123</v>
      </c>
      <c r="H2167" s="2" t="s">
        <v>35</v>
      </c>
      <c r="I2167" s="2" t="s">
        <v>36</v>
      </c>
      <c r="J2167" s="2" t="s">
        <v>60</v>
      </c>
      <c r="K2167" s="2" t="s">
        <v>36</v>
      </c>
      <c r="L2167">
        <v>826.12</v>
      </c>
      <c r="M2167">
        <v>1</v>
      </c>
      <c r="N2167">
        <v>6.6070000000000002</v>
      </c>
      <c r="O2167">
        <v>6600879</v>
      </c>
      <c r="P2167" s="2" t="s">
        <v>61</v>
      </c>
      <c r="Q2167" s="2" t="s">
        <v>35</v>
      </c>
      <c r="R2167" s="2" t="s">
        <v>30</v>
      </c>
      <c r="S2167">
        <v>7</v>
      </c>
      <c r="T2167" s="1">
        <v>43698</v>
      </c>
      <c r="U2167" s="1">
        <v>43708</v>
      </c>
      <c r="V2167" s="2"/>
      <c r="W2167" s="1">
        <f>fNotasFiscais[[#This Row],[Data da Coleta]]+fNotasFiscais[[#This Row],[Prazo Contratado]]</f>
        <v>43705</v>
      </c>
      <c r="X2167" s="3">
        <f>IF(fNotasFiscais[[#This Row],[Data da Entrega]]&gt;fNotasFiscais[[#This Row],[Data Contratada]],0,1)</f>
        <v>0</v>
      </c>
      <c r="Y2167" s="3">
        <f>IF(fNotasFiscais[[#This Row],[Ocorrência]]="",1,0)</f>
        <v>1</v>
      </c>
      <c r="Z2167" s="2">
        <f>fNotasFiscais[[#This Row],[On Time]]*fNotasFiscais[[#This Row],[In Full]]</f>
        <v>0</v>
      </c>
      <c r="AA2167">
        <f>IF(fNotasFiscais[[#This Row],[Nota Fiscal]]&lt;&gt;"",1,0)</f>
        <v>1</v>
      </c>
    </row>
    <row r="2168" spans="1:27" x14ac:dyDescent="0.25">
      <c r="A2168" s="1">
        <v>43698</v>
      </c>
      <c r="B2168">
        <v>12577</v>
      </c>
      <c r="C2168" s="2" t="s">
        <v>54</v>
      </c>
      <c r="D2168" s="2" t="s">
        <v>55</v>
      </c>
      <c r="E2168" s="2" t="s">
        <v>56</v>
      </c>
      <c r="F2168">
        <v>4045</v>
      </c>
      <c r="G2168" s="2" t="s">
        <v>124</v>
      </c>
      <c r="H2168" s="2" t="s">
        <v>35</v>
      </c>
      <c r="I2168" s="2" t="s">
        <v>36</v>
      </c>
      <c r="J2168" s="2" t="s">
        <v>60</v>
      </c>
      <c r="K2168" s="2" t="s">
        <v>36</v>
      </c>
      <c r="L2168">
        <v>1733.47</v>
      </c>
      <c r="M2168">
        <v>5</v>
      </c>
      <c r="N2168">
        <v>67.099999999999994</v>
      </c>
      <c r="O2168">
        <v>6600879</v>
      </c>
      <c r="P2168" s="2" t="s">
        <v>61</v>
      </c>
      <c r="Q2168" s="2" t="s">
        <v>35</v>
      </c>
      <c r="R2168" s="2" t="s">
        <v>30</v>
      </c>
      <c r="S2168">
        <v>6</v>
      </c>
      <c r="T2168" s="1">
        <v>43698</v>
      </c>
      <c r="U2168" s="1">
        <v>43699</v>
      </c>
      <c r="V2168" s="2"/>
      <c r="W2168" s="1">
        <f>fNotasFiscais[[#This Row],[Data da Coleta]]+fNotasFiscais[[#This Row],[Prazo Contratado]]</f>
        <v>43704</v>
      </c>
      <c r="X2168" s="3">
        <f>IF(fNotasFiscais[[#This Row],[Data da Entrega]]&gt;fNotasFiscais[[#This Row],[Data Contratada]],0,1)</f>
        <v>1</v>
      </c>
      <c r="Y2168" s="3">
        <f>IF(fNotasFiscais[[#This Row],[Ocorrência]]="",1,0)</f>
        <v>1</v>
      </c>
      <c r="Z2168" s="2">
        <f>fNotasFiscais[[#This Row],[On Time]]*fNotasFiscais[[#This Row],[In Full]]</f>
        <v>1</v>
      </c>
      <c r="AA2168">
        <f>IF(fNotasFiscais[[#This Row],[Nota Fiscal]]&lt;&gt;"",1,0)</f>
        <v>1</v>
      </c>
    </row>
    <row r="2169" spans="1:27" x14ac:dyDescent="0.25">
      <c r="A2169" s="1">
        <v>43698</v>
      </c>
      <c r="B2169">
        <v>12578</v>
      </c>
      <c r="C2169" s="2" t="s">
        <v>54</v>
      </c>
      <c r="D2169" s="2" t="s">
        <v>55</v>
      </c>
      <c r="E2169" s="2" t="s">
        <v>56</v>
      </c>
      <c r="F2169">
        <v>4019</v>
      </c>
      <c r="G2169" s="2" t="s">
        <v>79</v>
      </c>
      <c r="H2169" s="2" t="s">
        <v>80</v>
      </c>
      <c r="I2169" s="2" t="s">
        <v>39</v>
      </c>
      <c r="J2169" s="2" t="s">
        <v>28</v>
      </c>
      <c r="K2169" s="2" t="s">
        <v>39</v>
      </c>
      <c r="L2169">
        <v>635.28</v>
      </c>
      <c r="M2169">
        <v>2</v>
      </c>
      <c r="N2169">
        <v>26.84</v>
      </c>
      <c r="O2169">
        <v>6500948</v>
      </c>
      <c r="P2169" s="2" t="s">
        <v>29</v>
      </c>
      <c r="Q2169" s="2" t="s">
        <v>23</v>
      </c>
      <c r="R2169" s="2" t="s">
        <v>30</v>
      </c>
      <c r="S2169">
        <v>12</v>
      </c>
      <c r="T2169" s="1">
        <v>43698</v>
      </c>
      <c r="U2169" s="1">
        <v>43701</v>
      </c>
      <c r="V2169" s="2"/>
      <c r="W2169" s="1">
        <f>fNotasFiscais[[#This Row],[Data da Coleta]]+fNotasFiscais[[#This Row],[Prazo Contratado]]</f>
        <v>43710</v>
      </c>
      <c r="X2169" s="3">
        <f>IF(fNotasFiscais[[#This Row],[Data da Entrega]]&gt;fNotasFiscais[[#This Row],[Data Contratada]],0,1)</f>
        <v>1</v>
      </c>
      <c r="Y2169" s="3">
        <f>IF(fNotasFiscais[[#This Row],[Ocorrência]]="",1,0)</f>
        <v>1</v>
      </c>
      <c r="Z2169" s="2">
        <f>fNotasFiscais[[#This Row],[On Time]]*fNotasFiscais[[#This Row],[In Full]]</f>
        <v>1</v>
      </c>
      <c r="AA2169">
        <f>IF(fNotasFiscais[[#This Row],[Nota Fiscal]]&lt;&gt;"",1,0)</f>
        <v>1</v>
      </c>
    </row>
    <row r="2170" spans="1:27" x14ac:dyDescent="0.25">
      <c r="A2170" s="1">
        <v>43698</v>
      </c>
      <c r="B2170">
        <v>12579</v>
      </c>
      <c r="C2170" s="2" t="s">
        <v>34</v>
      </c>
      <c r="D2170" s="2" t="s">
        <v>35</v>
      </c>
      <c r="E2170" s="2" t="s">
        <v>36</v>
      </c>
      <c r="F2170">
        <v>4044</v>
      </c>
      <c r="G2170" s="2" t="s">
        <v>123</v>
      </c>
      <c r="H2170" s="2" t="s">
        <v>35</v>
      </c>
      <c r="I2170" s="2" t="s">
        <v>36</v>
      </c>
      <c r="J2170" s="2" t="s">
        <v>60</v>
      </c>
      <c r="K2170" s="2" t="s">
        <v>36</v>
      </c>
      <c r="L2170">
        <v>693.41</v>
      </c>
      <c r="M2170">
        <v>2</v>
      </c>
      <c r="N2170">
        <v>26.84</v>
      </c>
      <c r="O2170">
        <v>6600879</v>
      </c>
      <c r="P2170" s="2" t="s">
        <v>61</v>
      </c>
      <c r="Q2170" s="2" t="s">
        <v>35</v>
      </c>
      <c r="R2170" s="2" t="s">
        <v>30</v>
      </c>
      <c r="S2170">
        <v>9</v>
      </c>
      <c r="T2170" s="1">
        <v>43698</v>
      </c>
      <c r="U2170" s="1">
        <v>43705</v>
      </c>
      <c r="V2170" s="2"/>
      <c r="W2170" s="1">
        <f>fNotasFiscais[[#This Row],[Data da Coleta]]+fNotasFiscais[[#This Row],[Prazo Contratado]]</f>
        <v>43707</v>
      </c>
      <c r="X2170" s="3">
        <f>IF(fNotasFiscais[[#This Row],[Data da Entrega]]&gt;fNotasFiscais[[#This Row],[Data Contratada]],0,1)</f>
        <v>1</v>
      </c>
      <c r="Y2170" s="3">
        <f>IF(fNotasFiscais[[#This Row],[Ocorrência]]="",1,0)</f>
        <v>1</v>
      </c>
      <c r="Z2170" s="2">
        <f>fNotasFiscais[[#This Row],[On Time]]*fNotasFiscais[[#This Row],[In Full]]</f>
        <v>1</v>
      </c>
      <c r="AA2170">
        <f>IF(fNotasFiscais[[#This Row],[Nota Fiscal]]&lt;&gt;"",1,0)</f>
        <v>1</v>
      </c>
    </row>
    <row r="2171" spans="1:27" x14ac:dyDescent="0.25">
      <c r="A2171" s="1">
        <v>43698</v>
      </c>
      <c r="B2171">
        <v>12580</v>
      </c>
      <c r="C2171" s="2" t="s">
        <v>40</v>
      </c>
      <c r="D2171" s="2" t="s">
        <v>41</v>
      </c>
      <c r="E2171" s="2" t="s">
        <v>33</v>
      </c>
      <c r="F2171">
        <v>4045</v>
      </c>
      <c r="G2171" s="2" t="s">
        <v>124</v>
      </c>
      <c r="H2171" s="2" t="s">
        <v>35</v>
      </c>
      <c r="I2171" s="2" t="s">
        <v>36</v>
      </c>
      <c r="J2171" s="2" t="s">
        <v>60</v>
      </c>
      <c r="K2171" s="2" t="s">
        <v>36</v>
      </c>
      <c r="L2171">
        <v>45.92</v>
      </c>
      <c r="M2171">
        <v>1</v>
      </c>
      <c r="N2171">
        <v>0.56399999999999995</v>
      </c>
      <c r="O2171">
        <v>6600879</v>
      </c>
      <c r="P2171" s="2" t="s">
        <v>61</v>
      </c>
      <c r="Q2171" s="2" t="s">
        <v>35</v>
      </c>
      <c r="R2171" s="2" t="s">
        <v>30</v>
      </c>
      <c r="S2171">
        <v>5</v>
      </c>
      <c r="T2171" s="1">
        <v>43698</v>
      </c>
      <c r="U2171" s="1">
        <v>43705</v>
      </c>
      <c r="V2171" s="2"/>
      <c r="W2171" s="1">
        <f>fNotasFiscais[[#This Row],[Data da Coleta]]+fNotasFiscais[[#This Row],[Prazo Contratado]]</f>
        <v>43703</v>
      </c>
      <c r="X2171" s="3">
        <f>IF(fNotasFiscais[[#This Row],[Data da Entrega]]&gt;fNotasFiscais[[#This Row],[Data Contratada]],0,1)</f>
        <v>0</v>
      </c>
      <c r="Y2171" s="3">
        <f>IF(fNotasFiscais[[#This Row],[Ocorrência]]="",1,0)</f>
        <v>1</v>
      </c>
      <c r="Z2171" s="2">
        <f>fNotasFiscais[[#This Row],[On Time]]*fNotasFiscais[[#This Row],[In Full]]</f>
        <v>0</v>
      </c>
      <c r="AA2171">
        <f>IF(fNotasFiscais[[#This Row],[Nota Fiscal]]&lt;&gt;"",1,0)</f>
        <v>1</v>
      </c>
    </row>
    <row r="2172" spans="1:27" x14ac:dyDescent="0.25">
      <c r="A2172" s="1">
        <v>43698</v>
      </c>
      <c r="B2172">
        <v>12581</v>
      </c>
      <c r="C2172" s="2" t="s">
        <v>22</v>
      </c>
      <c r="D2172" s="2" t="s">
        <v>23</v>
      </c>
      <c r="E2172" s="2" t="s">
        <v>24</v>
      </c>
      <c r="F2172">
        <v>4019</v>
      </c>
      <c r="G2172" s="2" t="s">
        <v>79</v>
      </c>
      <c r="H2172" s="2" t="s">
        <v>80</v>
      </c>
      <c r="I2172" s="2" t="s">
        <v>39</v>
      </c>
      <c r="J2172" s="2" t="s">
        <v>28</v>
      </c>
      <c r="K2172" s="2" t="s">
        <v>39</v>
      </c>
      <c r="L2172">
        <v>489.91</v>
      </c>
      <c r="M2172">
        <v>1</v>
      </c>
      <c r="N2172">
        <v>0.44</v>
      </c>
      <c r="O2172">
        <v>6500948</v>
      </c>
      <c r="P2172" s="2" t="s">
        <v>29</v>
      </c>
      <c r="Q2172" s="2" t="s">
        <v>23</v>
      </c>
      <c r="R2172" s="2" t="s">
        <v>30</v>
      </c>
      <c r="S2172">
        <v>9</v>
      </c>
      <c r="T2172" s="1">
        <v>43698</v>
      </c>
      <c r="U2172" s="1">
        <v>43706</v>
      </c>
      <c r="V2172" s="2"/>
      <c r="W2172" s="1">
        <f>fNotasFiscais[[#This Row],[Data da Coleta]]+fNotasFiscais[[#This Row],[Prazo Contratado]]</f>
        <v>43707</v>
      </c>
      <c r="X2172" s="3">
        <f>IF(fNotasFiscais[[#This Row],[Data da Entrega]]&gt;fNotasFiscais[[#This Row],[Data Contratada]],0,1)</f>
        <v>1</v>
      </c>
      <c r="Y2172" s="3">
        <f>IF(fNotasFiscais[[#This Row],[Ocorrência]]="",1,0)</f>
        <v>1</v>
      </c>
      <c r="Z2172" s="2">
        <f>fNotasFiscais[[#This Row],[On Time]]*fNotasFiscais[[#This Row],[In Full]]</f>
        <v>1</v>
      </c>
      <c r="AA2172">
        <f>IF(fNotasFiscais[[#This Row],[Nota Fiscal]]&lt;&gt;"",1,0)</f>
        <v>1</v>
      </c>
    </row>
    <row r="2173" spans="1:27" x14ac:dyDescent="0.25">
      <c r="A2173" s="1">
        <v>43698</v>
      </c>
      <c r="B2173">
        <v>12582</v>
      </c>
      <c r="C2173" s="2" t="s">
        <v>43</v>
      </c>
      <c r="D2173" s="2" t="s">
        <v>44</v>
      </c>
      <c r="E2173" s="2" t="s">
        <v>45</v>
      </c>
      <c r="F2173">
        <v>4019</v>
      </c>
      <c r="G2173" s="2" t="s">
        <v>79</v>
      </c>
      <c r="H2173" s="2" t="s">
        <v>80</v>
      </c>
      <c r="I2173" s="2" t="s">
        <v>39</v>
      </c>
      <c r="J2173" s="2" t="s">
        <v>28</v>
      </c>
      <c r="K2173" s="2" t="s">
        <v>39</v>
      </c>
      <c r="L2173">
        <v>2517.81</v>
      </c>
      <c r="M2173">
        <v>1</v>
      </c>
      <c r="N2173">
        <v>9.91</v>
      </c>
      <c r="O2173">
        <v>6500948</v>
      </c>
      <c r="P2173" s="2" t="s">
        <v>29</v>
      </c>
      <c r="Q2173" s="2" t="s">
        <v>23</v>
      </c>
      <c r="R2173" s="2" t="s">
        <v>30</v>
      </c>
      <c r="S2173">
        <v>10</v>
      </c>
      <c r="T2173" s="1">
        <v>43698</v>
      </c>
      <c r="U2173" s="1">
        <v>43704</v>
      </c>
      <c r="V2173" s="2"/>
      <c r="W2173" s="1">
        <f>fNotasFiscais[[#This Row],[Data da Coleta]]+fNotasFiscais[[#This Row],[Prazo Contratado]]</f>
        <v>43708</v>
      </c>
      <c r="X2173" s="3">
        <f>IF(fNotasFiscais[[#This Row],[Data da Entrega]]&gt;fNotasFiscais[[#This Row],[Data Contratada]],0,1)</f>
        <v>1</v>
      </c>
      <c r="Y2173" s="3">
        <f>IF(fNotasFiscais[[#This Row],[Ocorrência]]="",1,0)</f>
        <v>1</v>
      </c>
      <c r="Z2173" s="2">
        <f>fNotasFiscais[[#This Row],[On Time]]*fNotasFiscais[[#This Row],[In Full]]</f>
        <v>1</v>
      </c>
      <c r="AA2173">
        <f>IF(fNotasFiscais[[#This Row],[Nota Fiscal]]&lt;&gt;"",1,0)</f>
        <v>1</v>
      </c>
    </row>
    <row r="2174" spans="1:27" x14ac:dyDescent="0.25">
      <c r="A2174" s="1">
        <v>43697</v>
      </c>
      <c r="B2174">
        <v>12583</v>
      </c>
      <c r="C2174" s="2" t="s">
        <v>52</v>
      </c>
      <c r="D2174" s="2" t="s">
        <v>53</v>
      </c>
      <c r="E2174" s="2" t="s">
        <v>33</v>
      </c>
      <c r="F2174">
        <v>4019</v>
      </c>
      <c r="G2174" s="2" t="s">
        <v>79</v>
      </c>
      <c r="H2174" s="2" t="s">
        <v>80</v>
      </c>
      <c r="I2174" s="2" t="s">
        <v>39</v>
      </c>
      <c r="J2174" s="2" t="s">
        <v>28</v>
      </c>
      <c r="K2174" s="2" t="s">
        <v>39</v>
      </c>
      <c r="L2174">
        <v>8.68</v>
      </c>
      <c r="M2174">
        <v>1</v>
      </c>
      <c r="N2174">
        <v>0.34300000000000003</v>
      </c>
      <c r="O2174">
        <v>6500948</v>
      </c>
      <c r="P2174" s="2" t="s">
        <v>29</v>
      </c>
      <c r="Q2174" s="2" t="s">
        <v>23</v>
      </c>
      <c r="R2174" s="2" t="s">
        <v>30</v>
      </c>
      <c r="S2174">
        <v>5</v>
      </c>
      <c r="T2174" s="1">
        <v>43698</v>
      </c>
      <c r="U2174" s="1">
        <v>43704</v>
      </c>
      <c r="V2174" s="2" t="s">
        <v>57</v>
      </c>
      <c r="W2174" s="1">
        <f>fNotasFiscais[[#This Row],[Data da Coleta]]+fNotasFiscais[[#This Row],[Prazo Contratado]]</f>
        <v>43703</v>
      </c>
      <c r="X2174" s="3">
        <f>IF(fNotasFiscais[[#This Row],[Data da Entrega]]&gt;fNotasFiscais[[#This Row],[Data Contratada]],0,1)</f>
        <v>0</v>
      </c>
      <c r="Y2174" s="3">
        <f>IF(fNotasFiscais[[#This Row],[Ocorrência]]="",1,0)</f>
        <v>0</v>
      </c>
      <c r="Z2174" s="2">
        <f>fNotasFiscais[[#This Row],[On Time]]*fNotasFiscais[[#This Row],[In Full]]</f>
        <v>0</v>
      </c>
      <c r="AA2174">
        <f>IF(fNotasFiscais[[#This Row],[Nota Fiscal]]&lt;&gt;"",1,0)</f>
        <v>1</v>
      </c>
    </row>
    <row r="2175" spans="1:27" x14ac:dyDescent="0.25">
      <c r="A2175" s="1">
        <v>43697</v>
      </c>
      <c r="B2175">
        <v>12584</v>
      </c>
      <c r="C2175" s="2" t="s">
        <v>34</v>
      </c>
      <c r="D2175" s="2" t="s">
        <v>35</v>
      </c>
      <c r="E2175" s="2" t="s">
        <v>36</v>
      </c>
      <c r="F2175">
        <v>4019</v>
      </c>
      <c r="G2175" s="2" t="s">
        <v>79</v>
      </c>
      <c r="H2175" s="2" t="s">
        <v>80</v>
      </c>
      <c r="I2175" s="2" t="s">
        <v>39</v>
      </c>
      <c r="J2175" s="2" t="s">
        <v>28</v>
      </c>
      <c r="K2175" s="2" t="s">
        <v>39</v>
      </c>
      <c r="L2175">
        <v>786.99</v>
      </c>
      <c r="M2175">
        <v>1</v>
      </c>
      <c r="N2175">
        <v>5.5</v>
      </c>
      <c r="O2175">
        <v>6500948</v>
      </c>
      <c r="P2175" s="2" t="s">
        <v>29</v>
      </c>
      <c r="Q2175" s="2" t="s">
        <v>23</v>
      </c>
      <c r="R2175" s="2" t="s">
        <v>30</v>
      </c>
      <c r="S2175">
        <v>3</v>
      </c>
      <c r="T2175" s="1">
        <v>43698</v>
      </c>
      <c r="U2175" s="1">
        <v>43705</v>
      </c>
      <c r="V2175" s="2"/>
      <c r="W2175" s="1">
        <f>fNotasFiscais[[#This Row],[Data da Coleta]]+fNotasFiscais[[#This Row],[Prazo Contratado]]</f>
        <v>43701</v>
      </c>
      <c r="X2175" s="3">
        <f>IF(fNotasFiscais[[#This Row],[Data da Entrega]]&gt;fNotasFiscais[[#This Row],[Data Contratada]],0,1)</f>
        <v>0</v>
      </c>
      <c r="Y2175" s="3">
        <f>IF(fNotasFiscais[[#This Row],[Ocorrência]]="",1,0)</f>
        <v>1</v>
      </c>
      <c r="Z2175" s="2">
        <f>fNotasFiscais[[#This Row],[On Time]]*fNotasFiscais[[#This Row],[In Full]]</f>
        <v>0</v>
      </c>
      <c r="AA2175">
        <f>IF(fNotasFiscais[[#This Row],[Nota Fiscal]]&lt;&gt;"",1,0)</f>
        <v>1</v>
      </c>
    </row>
    <row r="2176" spans="1:27" x14ac:dyDescent="0.25">
      <c r="A2176" s="1">
        <v>43697</v>
      </c>
      <c r="B2176">
        <v>12585</v>
      </c>
      <c r="C2176" s="2" t="s">
        <v>34</v>
      </c>
      <c r="D2176" s="2" t="s">
        <v>35</v>
      </c>
      <c r="E2176" s="2" t="s">
        <v>36</v>
      </c>
      <c r="F2176">
        <v>4019</v>
      </c>
      <c r="G2176" s="2" t="s">
        <v>79</v>
      </c>
      <c r="H2176" s="2" t="s">
        <v>80</v>
      </c>
      <c r="I2176" s="2" t="s">
        <v>39</v>
      </c>
      <c r="J2176" s="2" t="s">
        <v>28</v>
      </c>
      <c r="K2176" s="2" t="s">
        <v>39</v>
      </c>
      <c r="L2176">
        <v>299.67</v>
      </c>
      <c r="M2176">
        <v>1</v>
      </c>
      <c r="N2176">
        <v>13.2</v>
      </c>
      <c r="O2176">
        <v>6500948</v>
      </c>
      <c r="P2176" s="2" t="s">
        <v>29</v>
      </c>
      <c r="Q2176" s="2" t="s">
        <v>23</v>
      </c>
      <c r="R2176" s="2" t="s">
        <v>30</v>
      </c>
      <c r="S2176">
        <v>1</v>
      </c>
      <c r="T2176" s="1">
        <v>43698</v>
      </c>
      <c r="U2176" s="1">
        <v>43708</v>
      </c>
      <c r="V2176" s="2"/>
      <c r="W2176" s="1">
        <f>fNotasFiscais[[#This Row],[Data da Coleta]]+fNotasFiscais[[#This Row],[Prazo Contratado]]</f>
        <v>43699</v>
      </c>
      <c r="X2176" s="3">
        <f>IF(fNotasFiscais[[#This Row],[Data da Entrega]]&gt;fNotasFiscais[[#This Row],[Data Contratada]],0,1)</f>
        <v>0</v>
      </c>
      <c r="Y2176" s="3">
        <f>IF(fNotasFiscais[[#This Row],[Ocorrência]]="",1,0)</f>
        <v>1</v>
      </c>
      <c r="Z2176" s="2">
        <f>fNotasFiscais[[#This Row],[On Time]]*fNotasFiscais[[#This Row],[In Full]]</f>
        <v>0</v>
      </c>
      <c r="AA2176">
        <f>IF(fNotasFiscais[[#This Row],[Nota Fiscal]]&lt;&gt;"",1,0)</f>
        <v>1</v>
      </c>
    </row>
    <row r="2177" spans="1:27" x14ac:dyDescent="0.25">
      <c r="A2177" s="1">
        <v>43697</v>
      </c>
      <c r="B2177">
        <v>12586</v>
      </c>
      <c r="C2177" s="2" t="s">
        <v>43</v>
      </c>
      <c r="D2177" s="2" t="s">
        <v>44</v>
      </c>
      <c r="E2177" s="2" t="s">
        <v>45</v>
      </c>
      <c r="F2177">
        <v>4019</v>
      </c>
      <c r="G2177" s="2" t="s">
        <v>79</v>
      </c>
      <c r="H2177" s="2" t="s">
        <v>80</v>
      </c>
      <c r="I2177" s="2" t="s">
        <v>39</v>
      </c>
      <c r="J2177" s="2" t="s">
        <v>28</v>
      </c>
      <c r="K2177" s="2" t="s">
        <v>39</v>
      </c>
      <c r="L2177">
        <v>217.52</v>
      </c>
      <c r="M2177">
        <v>1</v>
      </c>
      <c r="N2177">
        <v>6.6000000000000003E-2</v>
      </c>
      <c r="O2177">
        <v>6500948</v>
      </c>
      <c r="P2177" s="2" t="s">
        <v>29</v>
      </c>
      <c r="Q2177" s="2" t="s">
        <v>23</v>
      </c>
      <c r="R2177" s="2" t="s">
        <v>30</v>
      </c>
      <c r="S2177">
        <v>12</v>
      </c>
      <c r="T2177" s="1">
        <v>43698</v>
      </c>
      <c r="U2177" s="1">
        <v>43706</v>
      </c>
      <c r="V2177" s="2"/>
      <c r="W2177" s="1">
        <f>fNotasFiscais[[#This Row],[Data da Coleta]]+fNotasFiscais[[#This Row],[Prazo Contratado]]</f>
        <v>43710</v>
      </c>
      <c r="X2177" s="3">
        <f>IF(fNotasFiscais[[#This Row],[Data da Entrega]]&gt;fNotasFiscais[[#This Row],[Data Contratada]],0,1)</f>
        <v>1</v>
      </c>
      <c r="Y2177" s="3">
        <f>IF(fNotasFiscais[[#This Row],[Ocorrência]]="",1,0)</f>
        <v>1</v>
      </c>
      <c r="Z2177" s="2">
        <f>fNotasFiscais[[#This Row],[On Time]]*fNotasFiscais[[#This Row],[In Full]]</f>
        <v>1</v>
      </c>
      <c r="AA2177">
        <f>IF(fNotasFiscais[[#This Row],[Nota Fiscal]]&lt;&gt;"",1,0)</f>
        <v>1</v>
      </c>
    </row>
    <row r="2178" spans="1:27" x14ac:dyDescent="0.25">
      <c r="A2178" s="1">
        <v>43698</v>
      </c>
      <c r="B2178">
        <v>12587</v>
      </c>
      <c r="C2178" s="2" t="s">
        <v>54</v>
      </c>
      <c r="D2178" s="2" t="s">
        <v>55</v>
      </c>
      <c r="E2178" s="2" t="s">
        <v>56</v>
      </c>
      <c r="F2178">
        <v>4132</v>
      </c>
      <c r="G2178" s="2" t="s">
        <v>215</v>
      </c>
      <c r="H2178" s="2" t="s">
        <v>183</v>
      </c>
      <c r="I2178" s="2" t="s">
        <v>33</v>
      </c>
      <c r="J2178" s="2" t="s">
        <v>60</v>
      </c>
      <c r="K2178" s="2" t="s">
        <v>33</v>
      </c>
      <c r="L2178">
        <v>202.18</v>
      </c>
      <c r="M2178">
        <v>1</v>
      </c>
      <c r="N2178">
        <v>1.32</v>
      </c>
      <c r="O2178">
        <v>6400835</v>
      </c>
      <c r="P2178" s="2" t="s">
        <v>130</v>
      </c>
      <c r="Q2178" s="2" t="s">
        <v>131</v>
      </c>
      <c r="R2178" s="2" t="s">
        <v>30</v>
      </c>
      <c r="S2178">
        <v>6</v>
      </c>
      <c r="T2178" s="1">
        <v>43699</v>
      </c>
      <c r="U2178" s="1">
        <v>43701</v>
      </c>
      <c r="V2178" s="2" t="s">
        <v>42</v>
      </c>
      <c r="W2178" s="1">
        <f>fNotasFiscais[[#This Row],[Data da Coleta]]+fNotasFiscais[[#This Row],[Prazo Contratado]]</f>
        <v>43705</v>
      </c>
      <c r="X2178" s="3">
        <f>IF(fNotasFiscais[[#This Row],[Data da Entrega]]&gt;fNotasFiscais[[#This Row],[Data Contratada]],0,1)</f>
        <v>1</v>
      </c>
      <c r="Y2178" s="3">
        <f>IF(fNotasFiscais[[#This Row],[Ocorrência]]="",1,0)</f>
        <v>0</v>
      </c>
      <c r="Z2178" s="2">
        <f>fNotasFiscais[[#This Row],[On Time]]*fNotasFiscais[[#This Row],[In Full]]</f>
        <v>0</v>
      </c>
      <c r="AA2178">
        <f>IF(fNotasFiscais[[#This Row],[Nota Fiscal]]&lt;&gt;"",1,0)</f>
        <v>1</v>
      </c>
    </row>
    <row r="2179" spans="1:27" x14ac:dyDescent="0.25">
      <c r="A2179" s="1">
        <v>43698</v>
      </c>
      <c r="B2179">
        <v>12588</v>
      </c>
      <c r="C2179" s="2" t="s">
        <v>22</v>
      </c>
      <c r="D2179" s="2" t="s">
        <v>23</v>
      </c>
      <c r="E2179" s="2" t="s">
        <v>24</v>
      </c>
      <c r="F2179">
        <v>4069</v>
      </c>
      <c r="G2179" s="2" t="s">
        <v>135</v>
      </c>
      <c r="H2179" s="2" t="s">
        <v>47</v>
      </c>
      <c r="I2179" s="2" t="s">
        <v>48</v>
      </c>
      <c r="J2179" s="2" t="s">
        <v>49</v>
      </c>
      <c r="K2179" s="2" t="s">
        <v>48</v>
      </c>
      <c r="L2179">
        <v>1024.19</v>
      </c>
      <c r="M2179">
        <v>1</v>
      </c>
      <c r="N2179">
        <v>0.55000000000000004</v>
      </c>
      <c r="O2179">
        <v>6100231</v>
      </c>
      <c r="P2179" s="2" t="s">
        <v>50</v>
      </c>
      <c r="Q2179" s="2" t="s">
        <v>51</v>
      </c>
      <c r="R2179" s="2" t="s">
        <v>30</v>
      </c>
      <c r="S2179">
        <v>8</v>
      </c>
      <c r="T2179" s="1">
        <v>43699</v>
      </c>
      <c r="U2179" s="1">
        <v>43702</v>
      </c>
      <c r="V2179" s="2"/>
      <c r="W2179" s="1">
        <f>fNotasFiscais[[#This Row],[Data da Coleta]]+fNotasFiscais[[#This Row],[Prazo Contratado]]</f>
        <v>43707</v>
      </c>
      <c r="X2179" s="3">
        <f>IF(fNotasFiscais[[#This Row],[Data da Entrega]]&gt;fNotasFiscais[[#This Row],[Data Contratada]],0,1)</f>
        <v>1</v>
      </c>
      <c r="Y2179" s="3">
        <f>IF(fNotasFiscais[[#This Row],[Ocorrência]]="",1,0)</f>
        <v>1</v>
      </c>
      <c r="Z2179" s="2">
        <f>fNotasFiscais[[#This Row],[On Time]]*fNotasFiscais[[#This Row],[In Full]]</f>
        <v>1</v>
      </c>
      <c r="AA2179">
        <f>IF(fNotasFiscais[[#This Row],[Nota Fiscal]]&lt;&gt;"",1,0)</f>
        <v>1</v>
      </c>
    </row>
    <row r="2180" spans="1:27" x14ac:dyDescent="0.25">
      <c r="A2180" s="1">
        <v>43698</v>
      </c>
      <c r="B2180">
        <v>12589</v>
      </c>
      <c r="C2180" s="2" t="s">
        <v>54</v>
      </c>
      <c r="D2180" s="2" t="s">
        <v>55</v>
      </c>
      <c r="E2180" s="2" t="s">
        <v>56</v>
      </c>
      <c r="F2180">
        <v>4013</v>
      </c>
      <c r="G2180" s="2" t="s">
        <v>37</v>
      </c>
      <c r="H2180" s="2" t="s">
        <v>38</v>
      </c>
      <c r="I2180" s="2" t="s">
        <v>39</v>
      </c>
      <c r="J2180" s="2" t="s">
        <v>28</v>
      </c>
      <c r="K2180" s="2" t="s">
        <v>39</v>
      </c>
      <c r="L2180">
        <v>725.93</v>
      </c>
      <c r="M2180">
        <v>1</v>
      </c>
      <c r="N2180">
        <v>1.8109999999999999</v>
      </c>
      <c r="O2180">
        <v>6500948</v>
      </c>
      <c r="P2180" s="2" t="s">
        <v>29</v>
      </c>
      <c r="Q2180" s="2" t="s">
        <v>23</v>
      </c>
      <c r="R2180" s="2" t="s">
        <v>30</v>
      </c>
      <c r="S2180">
        <v>9</v>
      </c>
      <c r="T2180" s="1">
        <v>43699</v>
      </c>
      <c r="U2180" s="1">
        <v>43707</v>
      </c>
      <c r="V2180" s="2"/>
      <c r="W2180" s="1">
        <f>fNotasFiscais[[#This Row],[Data da Coleta]]+fNotasFiscais[[#This Row],[Prazo Contratado]]</f>
        <v>43708</v>
      </c>
      <c r="X2180" s="3">
        <f>IF(fNotasFiscais[[#This Row],[Data da Entrega]]&gt;fNotasFiscais[[#This Row],[Data Contratada]],0,1)</f>
        <v>1</v>
      </c>
      <c r="Y2180" s="3">
        <f>IF(fNotasFiscais[[#This Row],[Ocorrência]]="",1,0)</f>
        <v>1</v>
      </c>
      <c r="Z2180" s="2">
        <f>fNotasFiscais[[#This Row],[On Time]]*fNotasFiscais[[#This Row],[In Full]]</f>
        <v>1</v>
      </c>
      <c r="AA2180">
        <f>IF(fNotasFiscais[[#This Row],[Nota Fiscal]]&lt;&gt;"",1,0)</f>
        <v>1</v>
      </c>
    </row>
    <row r="2181" spans="1:27" x14ac:dyDescent="0.25">
      <c r="A2181" s="1">
        <v>43698</v>
      </c>
      <c r="B2181">
        <v>12590</v>
      </c>
      <c r="C2181" s="2" t="s">
        <v>43</v>
      </c>
      <c r="D2181" s="2" t="s">
        <v>44</v>
      </c>
      <c r="E2181" s="2" t="s">
        <v>45</v>
      </c>
      <c r="F2181">
        <v>4022</v>
      </c>
      <c r="G2181" s="2" t="s">
        <v>86</v>
      </c>
      <c r="H2181" s="2" t="s">
        <v>87</v>
      </c>
      <c r="I2181" s="2" t="s">
        <v>27</v>
      </c>
      <c r="J2181" s="2" t="s">
        <v>28</v>
      </c>
      <c r="K2181" s="2" t="s">
        <v>27</v>
      </c>
      <c r="L2181">
        <v>1192.6199999999999</v>
      </c>
      <c r="M2181">
        <v>6</v>
      </c>
      <c r="N2181">
        <v>67.84</v>
      </c>
      <c r="O2181">
        <v>6500948</v>
      </c>
      <c r="P2181" s="2" t="s">
        <v>29</v>
      </c>
      <c r="Q2181" s="2" t="s">
        <v>23</v>
      </c>
      <c r="R2181" s="2" t="s">
        <v>30</v>
      </c>
      <c r="S2181">
        <v>6</v>
      </c>
      <c r="T2181" s="1">
        <v>43699</v>
      </c>
      <c r="U2181" s="1">
        <v>43707</v>
      </c>
      <c r="V2181" s="2"/>
      <c r="W2181" s="1">
        <f>fNotasFiscais[[#This Row],[Data da Coleta]]+fNotasFiscais[[#This Row],[Prazo Contratado]]</f>
        <v>43705</v>
      </c>
      <c r="X2181" s="3">
        <f>IF(fNotasFiscais[[#This Row],[Data da Entrega]]&gt;fNotasFiscais[[#This Row],[Data Contratada]],0,1)</f>
        <v>0</v>
      </c>
      <c r="Y2181" s="3">
        <f>IF(fNotasFiscais[[#This Row],[Ocorrência]]="",1,0)</f>
        <v>1</v>
      </c>
      <c r="Z2181" s="2">
        <f>fNotasFiscais[[#This Row],[On Time]]*fNotasFiscais[[#This Row],[In Full]]</f>
        <v>0</v>
      </c>
      <c r="AA2181">
        <f>IF(fNotasFiscais[[#This Row],[Nota Fiscal]]&lt;&gt;"",1,0)</f>
        <v>1</v>
      </c>
    </row>
    <row r="2182" spans="1:27" x14ac:dyDescent="0.25">
      <c r="A2182" s="1">
        <v>43699</v>
      </c>
      <c r="B2182">
        <v>12591</v>
      </c>
      <c r="C2182" s="2" t="s">
        <v>40</v>
      </c>
      <c r="D2182" s="2" t="s">
        <v>41</v>
      </c>
      <c r="E2182" s="2" t="s">
        <v>33</v>
      </c>
      <c r="F2182">
        <v>4163</v>
      </c>
      <c r="G2182" s="2" t="s">
        <v>246</v>
      </c>
      <c r="H2182" s="2" t="s">
        <v>173</v>
      </c>
      <c r="I2182" s="2" t="s">
        <v>174</v>
      </c>
      <c r="J2182" s="2" t="s">
        <v>175</v>
      </c>
      <c r="K2182" s="2" t="s">
        <v>174</v>
      </c>
      <c r="L2182">
        <v>3208.7</v>
      </c>
      <c r="M2182">
        <v>1</v>
      </c>
      <c r="N2182">
        <v>1.1200000000000001</v>
      </c>
      <c r="O2182">
        <v>6700091</v>
      </c>
      <c r="P2182" s="2" t="s">
        <v>176</v>
      </c>
      <c r="Q2182" s="2" t="s">
        <v>173</v>
      </c>
      <c r="R2182" s="2" t="s">
        <v>62</v>
      </c>
      <c r="S2182">
        <v>12</v>
      </c>
      <c r="T2182" s="1">
        <v>43700</v>
      </c>
      <c r="U2182" s="1">
        <v>43701</v>
      </c>
      <c r="V2182" s="2" t="s">
        <v>42</v>
      </c>
      <c r="W2182" s="1">
        <f>fNotasFiscais[[#This Row],[Data da Coleta]]+fNotasFiscais[[#This Row],[Prazo Contratado]]</f>
        <v>43712</v>
      </c>
      <c r="X2182" s="3">
        <f>IF(fNotasFiscais[[#This Row],[Data da Entrega]]&gt;fNotasFiscais[[#This Row],[Data Contratada]],0,1)</f>
        <v>1</v>
      </c>
      <c r="Y2182" s="3">
        <f>IF(fNotasFiscais[[#This Row],[Ocorrência]]="",1,0)</f>
        <v>0</v>
      </c>
      <c r="Z2182" s="2">
        <f>fNotasFiscais[[#This Row],[On Time]]*fNotasFiscais[[#This Row],[In Full]]</f>
        <v>0</v>
      </c>
      <c r="AA2182">
        <f>IF(fNotasFiscais[[#This Row],[Nota Fiscal]]&lt;&gt;"",1,0)</f>
        <v>1</v>
      </c>
    </row>
    <row r="2183" spans="1:27" x14ac:dyDescent="0.25">
      <c r="A2183" s="1">
        <v>43699</v>
      </c>
      <c r="B2183">
        <v>12592</v>
      </c>
      <c r="C2183" s="2" t="s">
        <v>54</v>
      </c>
      <c r="D2183" s="2" t="s">
        <v>55</v>
      </c>
      <c r="E2183" s="2" t="s">
        <v>56</v>
      </c>
      <c r="F2183">
        <v>4022</v>
      </c>
      <c r="G2183" s="2" t="s">
        <v>86</v>
      </c>
      <c r="H2183" s="2" t="s">
        <v>87</v>
      </c>
      <c r="I2183" s="2" t="s">
        <v>27</v>
      </c>
      <c r="J2183" s="2" t="s">
        <v>28</v>
      </c>
      <c r="K2183" s="2" t="s">
        <v>27</v>
      </c>
      <c r="L2183">
        <v>382.75</v>
      </c>
      <c r="M2183">
        <v>1</v>
      </c>
      <c r="N2183">
        <v>1.1200000000000001</v>
      </c>
      <c r="O2183">
        <v>6500948</v>
      </c>
      <c r="P2183" s="2" t="s">
        <v>29</v>
      </c>
      <c r="Q2183" s="2" t="s">
        <v>23</v>
      </c>
      <c r="R2183" s="2" t="s">
        <v>30</v>
      </c>
      <c r="S2183">
        <v>7</v>
      </c>
      <c r="T2183" s="1">
        <v>43700</v>
      </c>
      <c r="U2183" s="1">
        <v>43702</v>
      </c>
      <c r="V2183" s="2" t="s">
        <v>42</v>
      </c>
      <c r="W2183" s="1">
        <f>fNotasFiscais[[#This Row],[Data da Coleta]]+fNotasFiscais[[#This Row],[Prazo Contratado]]</f>
        <v>43707</v>
      </c>
      <c r="X2183" s="3">
        <f>IF(fNotasFiscais[[#This Row],[Data da Entrega]]&gt;fNotasFiscais[[#This Row],[Data Contratada]],0,1)</f>
        <v>1</v>
      </c>
      <c r="Y2183" s="3">
        <f>IF(fNotasFiscais[[#This Row],[Ocorrência]]="",1,0)</f>
        <v>0</v>
      </c>
      <c r="Z2183" s="2">
        <f>fNotasFiscais[[#This Row],[On Time]]*fNotasFiscais[[#This Row],[In Full]]</f>
        <v>0</v>
      </c>
      <c r="AA2183">
        <f>IF(fNotasFiscais[[#This Row],[Nota Fiscal]]&lt;&gt;"",1,0)</f>
        <v>1</v>
      </c>
    </row>
    <row r="2184" spans="1:27" x14ac:dyDescent="0.25">
      <c r="A2184" s="1">
        <v>43699</v>
      </c>
      <c r="B2184">
        <v>12593</v>
      </c>
      <c r="C2184" s="2" t="s">
        <v>31</v>
      </c>
      <c r="D2184" s="2" t="s">
        <v>32</v>
      </c>
      <c r="E2184" s="2" t="s">
        <v>33</v>
      </c>
      <c r="F2184">
        <v>4022</v>
      </c>
      <c r="G2184" s="2" t="s">
        <v>86</v>
      </c>
      <c r="H2184" s="2" t="s">
        <v>87</v>
      </c>
      <c r="I2184" s="2" t="s">
        <v>27</v>
      </c>
      <c r="J2184" s="2" t="s">
        <v>28</v>
      </c>
      <c r="K2184" s="2" t="s">
        <v>27</v>
      </c>
      <c r="L2184">
        <v>33.18</v>
      </c>
      <c r="M2184">
        <v>1</v>
      </c>
      <c r="N2184">
        <v>0.49399999999999999</v>
      </c>
      <c r="O2184">
        <v>6500948</v>
      </c>
      <c r="P2184" s="2" t="s">
        <v>29</v>
      </c>
      <c r="Q2184" s="2" t="s">
        <v>23</v>
      </c>
      <c r="R2184" s="2" t="s">
        <v>30</v>
      </c>
      <c r="S2184">
        <v>9</v>
      </c>
      <c r="T2184" s="1">
        <v>43700</v>
      </c>
      <c r="U2184" s="1">
        <v>43708</v>
      </c>
      <c r="V2184" s="2"/>
      <c r="W2184" s="1">
        <f>fNotasFiscais[[#This Row],[Data da Coleta]]+fNotasFiscais[[#This Row],[Prazo Contratado]]</f>
        <v>43709</v>
      </c>
      <c r="X2184" s="3">
        <f>IF(fNotasFiscais[[#This Row],[Data da Entrega]]&gt;fNotasFiscais[[#This Row],[Data Contratada]],0,1)</f>
        <v>1</v>
      </c>
      <c r="Y2184" s="3">
        <f>IF(fNotasFiscais[[#This Row],[Ocorrência]]="",1,0)</f>
        <v>1</v>
      </c>
      <c r="Z2184" s="2">
        <f>fNotasFiscais[[#This Row],[On Time]]*fNotasFiscais[[#This Row],[In Full]]</f>
        <v>1</v>
      </c>
      <c r="AA2184">
        <f>IF(fNotasFiscais[[#This Row],[Nota Fiscal]]&lt;&gt;"",1,0)</f>
        <v>1</v>
      </c>
    </row>
    <row r="2185" spans="1:27" x14ac:dyDescent="0.25">
      <c r="A2185" s="1">
        <v>43701</v>
      </c>
      <c r="B2185">
        <v>12594</v>
      </c>
      <c r="C2185" s="2" t="s">
        <v>54</v>
      </c>
      <c r="D2185" s="2" t="s">
        <v>55</v>
      </c>
      <c r="E2185" s="2" t="s">
        <v>56</v>
      </c>
      <c r="F2185">
        <v>4049</v>
      </c>
      <c r="G2185" s="2" t="s">
        <v>118</v>
      </c>
      <c r="H2185" s="2" t="s">
        <v>97</v>
      </c>
      <c r="I2185" s="2" t="s">
        <v>48</v>
      </c>
      <c r="J2185" s="2" t="s">
        <v>49</v>
      </c>
      <c r="K2185" s="2" t="s">
        <v>48</v>
      </c>
      <c r="L2185">
        <v>1141.0999999999999</v>
      </c>
      <c r="M2185">
        <v>2</v>
      </c>
      <c r="N2185">
        <v>12.401</v>
      </c>
      <c r="O2185">
        <v>6100231</v>
      </c>
      <c r="P2185" s="2" t="s">
        <v>50</v>
      </c>
      <c r="Q2185" s="2" t="s">
        <v>51</v>
      </c>
      <c r="R2185" s="2" t="s">
        <v>30</v>
      </c>
      <c r="S2185">
        <v>2</v>
      </c>
      <c r="T2185" s="1">
        <v>43702</v>
      </c>
      <c r="U2185" s="1">
        <v>43711</v>
      </c>
      <c r="V2185" s="2"/>
      <c r="W2185" s="1">
        <f>fNotasFiscais[[#This Row],[Data da Coleta]]+fNotasFiscais[[#This Row],[Prazo Contratado]]</f>
        <v>43704</v>
      </c>
      <c r="X2185" s="3">
        <f>IF(fNotasFiscais[[#This Row],[Data da Entrega]]&gt;fNotasFiscais[[#This Row],[Data Contratada]],0,1)</f>
        <v>0</v>
      </c>
      <c r="Y2185" s="3">
        <f>IF(fNotasFiscais[[#This Row],[Ocorrência]]="",1,0)</f>
        <v>1</v>
      </c>
      <c r="Z2185" s="2">
        <f>fNotasFiscais[[#This Row],[On Time]]*fNotasFiscais[[#This Row],[In Full]]</f>
        <v>0</v>
      </c>
      <c r="AA2185">
        <f>IF(fNotasFiscais[[#This Row],[Nota Fiscal]]&lt;&gt;"",1,0)</f>
        <v>1</v>
      </c>
    </row>
    <row r="2186" spans="1:27" x14ac:dyDescent="0.25">
      <c r="A2186" s="1">
        <v>43701</v>
      </c>
      <c r="B2186">
        <v>12595</v>
      </c>
      <c r="C2186" s="2" t="s">
        <v>22</v>
      </c>
      <c r="D2186" s="2" t="s">
        <v>23</v>
      </c>
      <c r="E2186" s="2" t="s">
        <v>24</v>
      </c>
      <c r="F2186">
        <v>4049</v>
      </c>
      <c r="G2186" s="2" t="s">
        <v>118</v>
      </c>
      <c r="H2186" s="2" t="s">
        <v>97</v>
      </c>
      <c r="I2186" s="2" t="s">
        <v>48</v>
      </c>
      <c r="J2186" s="2" t="s">
        <v>49</v>
      </c>
      <c r="K2186" s="2" t="s">
        <v>48</v>
      </c>
      <c r="L2186">
        <v>135.86000000000001</v>
      </c>
      <c r="M2186">
        <v>1</v>
      </c>
      <c r="N2186">
        <v>1.1200000000000001</v>
      </c>
      <c r="O2186">
        <v>6100231</v>
      </c>
      <c r="P2186" s="2" t="s">
        <v>50</v>
      </c>
      <c r="Q2186" s="2" t="s">
        <v>51</v>
      </c>
      <c r="R2186" s="2" t="s">
        <v>30</v>
      </c>
      <c r="S2186">
        <v>4</v>
      </c>
      <c r="T2186" s="1">
        <v>43702</v>
      </c>
      <c r="U2186" s="1">
        <v>43703</v>
      </c>
      <c r="V2186" s="2"/>
      <c r="W2186" s="1">
        <f>fNotasFiscais[[#This Row],[Data da Coleta]]+fNotasFiscais[[#This Row],[Prazo Contratado]]</f>
        <v>43706</v>
      </c>
      <c r="X2186" s="3">
        <f>IF(fNotasFiscais[[#This Row],[Data da Entrega]]&gt;fNotasFiscais[[#This Row],[Data Contratada]],0,1)</f>
        <v>1</v>
      </c>
      <c r="Y2186" s="3">
        <f>IF(fNotasFiscais[[#This Row],[Ocorrência]]="",1,0)</f>
        <v>1</v>
      </c>
      <c r="Z2186" s="2">
        <f>fNotasFiscais[[#This Row],[On Time]]*fNotasFiscais[[#This Row],[In Full]]</f>
        <v>1</v>
      </c>
      <c r="AA2186">
        <f>IF(fNotasFiscais[[#This Row],[Nota Fiscal]]&lt;&gt;"",1,0)</f>
        <v>1</v>
      </c>
    </row>
    <row r="2187" spans="1:27" x14ac:dyDescent="0.25">
      <c r="A2187" s="1">
        <v>43701</v>
      </c>
      <c r="B2187">
        <v>12596</v>
      </c>
      <c r="C2187" s="2" t="s">
        <v>52</v>
      </c>
      <c r="D2187" s="2" t="s">
        <v>53</v>
      </c>
      <c r="E2187" s="2" t="s">
        <v>33</v>
      </c>
      <c r="F2187">
        <v>4049</v>
      </c>
      <c r="G2187" s="2" t="s">
        <v>118</v>
      </c>
      <c r="H2187" s="2" t="s">
        <v>97</v>
      </c>
      <c r="I2187" s="2" t="s">
        <v>48</v>
      </c>
      <c r="J2187" s="2" t="s">
        <v>49</v>
      </c>
      <c r="K2187" s="2" t="s">
        <v>48</v>
      </c>
      <c r="L2187">
        <v>32.56</v>
      </c>
      <c r="M2187">
        <v>1</v>
      </c>
      <c r="N2187">
        <v>1.1200000000000001</v>
      </c>
      <c r="O2187">
        <v>6100231</v>
      </c>
      <c r="P2187" s="2" t="s">
        <v>50</v>
      </c>
      <c r="Q2187" s="2" t="s">
        <v>51</v>
      </c>
      <c r="R2187" s="2" t="s">
        <v>30</v>
      </c>
      <c r="S2187">
        <v>4</v>
      </c>
      <c r="T2187" s="1">
        <v>43702</v>
      </c>
      <c r="U2187" s="1">
        <v>43711</v>
      </c>
      <c r="V2187" s="2"/>
      <c r="W2187" s="1">
        <f>fNotasFiscais[[#This Row],[Data da Coleta]]+fNotasFiscais[[#This Row],[Prazo Contratado]]</f>
        <v>43706</v>
      </c>
      <c r="X2187" s="3">
        <f>IF(fNotasFiscais[[#This Row],[Data da Entrega]]&gt;fNotasFiscais[[#This Row],[Data Contratada]],0,1)</f>
        <v>0</v>
      </c>
      <c r="Y2187" s="3">
        <f>IF(fNotasFiscais[[#This Row],[Ocorrência]]="",1,0)</f>
        <v>1</v>
      </c>
      <c r="Z2187" s="2">
        <f>fNotasFiscais[[#This Row],[On Time]]*fNotasFiscais[[#This Row],[In Full]]</f>
        <v>0</v>
      </c>
      <c r="AA2187">
        <f>IF(fNotasFiscais[[#This Row],[Nota Fiscal]]&lt;&gt;"",1,0)</f>
        <v>1</v>
      </c>
    </row>
    <row r="2188" spans="1:27" x14ac:dyDescent="0.25">
      <c r="A2188" s="1">
        <v>43701</v>
      </c>
      <c r="B2188">
        <v>12597</v>
      </c>
      <c r="C2188" s="2" t="s">
        <v>40</v>
      </c>
      <c r="D2188" s="2" t="s">
        <v>41</v>
      </c>
      <c r="E2188" s="2" t="s">
        <v>33</v>
      </c>
      <c r="F2188">
        <v>4049</v>
      </c>
      <c r="G2188" s="2" t="s">
        <v>118</v>
      </c>
      <c r="H2188" s="2" t="s">
        <v>97</v>
      </c>
      <c r="I2188" s="2" t="s">
        <v>48</v>
      </c>
      <c r="J2188" s="2" t="s">
        <v>49</v>
      </c>
      <c r="K2188" s="2" t="s">
        <v>48</v>
      </c>
      <c r="L2188">
        <v>542.57000000000005</v>
      </c>
      <c r="M2188">
        <v>2</v>
      </c>
      <c r="N2188">
        <v>1.657</v>
      </c>
      <c r="O2188">
        <v>6100231</v>
      </c>
      <c r="P2188" s="2" t="s">
        <v>50</v>
      </c>
      <c r="Q2188" s="2" t="s">
        <v>51</v>
      </c>
      <c r="R2188" s="2" t="s">
        <v>30</v>
      </c>
      <c r="S2188">
        <v>8</v>
      </c>
      <c r="T2188" s="1">
        <v>43702</v>
      </c>
      <c r="U2188" s="1">
        <v>43709</v>
      </c>
      <c r="V2188" s="2"/>
      <c r="W2188" s="1">
        <f>fNotasFiscais[[#This Row],[Data da Coleta]]+fNotasFiscais[[#This Row],[Prazo Contratado]]</f>
        <v>43710</v>
      </c>
      <c r="X2188" s="3">
        <f>IF(fNotasFiscais[[#This Row],[Data da Entrega]]&gt;fNotasFiscais[[#This Row],[Data Contratada]],0,1)</f>
        <v>1</v>
      </c>
      <c r="Y2188" s="3">
        <f>IF(fNotasFiscais[[#This Row],[Ocorrência]]="",1,0)</f>
        <v>1</v>
      </c>
      <c r="Z2188" s="2">
        <f>fNotasFiscais[[#This Row],[On Time]]*fNotasFiscais[[#This Row],[In Full]]</f>
        <v>1</v>
      </c>
      <c r="AA2188">
        <f>IF(fNotasFiscais[[#This Row],[Nota Fiscal]]&lt;&gt;"",1,0)</f>
        <v>1</v>
      </c>
    </row>
    <row r="2189" spans="1:27" x14ac:dyDescent="0.25">
      <c r="A2189" s="1">
        <v>43701</v>
      </c>
      <c r="B2189">
        <v>12598</v>
      </c>
      <c r="C2189" s="2" t="s">
        <v>43</v>
      </c>
      <c r="D2189" s="2" t="s">
        <v>44</v>
      </c>
      <c r="E2189" s="2" t="s">
        <v>45</v>
      </c>
      <c r="F2189">
        <v>4049</v>
      </c>
      <c r="G2189" s="2" t="s">
        <v>118</v>
      </c>
      <c r="H2189" s="2" t="s">
        <v>97</v>
      </c>
      <c r="I2189" s="2" t="s">
        <v>48</v>
      </c>
      <c r="J2189" s="2" t="s">
        <v>49</v>
      </c>
      <c r="K2189" s="2" t="s">
        <v>48</v>
      </c>
      <c r="L2189">
        <v>11723.71</v>
      </c>
      <c r="M2189">
        <v>9</v>
      </c>
      <c r="N2189">
        <v>47.914000000000001</v>
      </c>
      <c r="O2189">
        <v>6100231</v>
      </c>
      <c r="P2189" s="2" t="s">
        <v>50</v>
      </c>
      <c r="Q2189" s="2" t="s">
        <v>51</v>
      </c>
      <c r="R2189" s="2" t="s">
        <v>30</v>
      </c>
      <c r="S2189">
        <v>9</v>
      </c>
      <c r="T2189" s="1">
        <v>43702</v>
      </c>
      <c r="U2189" s="1">
        <v>43709</v>
      </c>
      <c r="V2189" s="2"/>
      <c r="W2189" s="1">
        <f>fNotasFiscais[[#This Row],[Data da Coleta]]+fNotasFiscais[[#This Row],[Prazo Contratado]]</f>
        <v>43711</v>
      </c>
      <c r="X2189" s="3">
        <f>IF(fNotasFiscais[[#This Row],[Data da Entrega]]&gt;fNotasFiscais[[#This Row],[Data Contratada]],0,1)</f>
        <v>1</v>
      </c>
      <c r="Y2189" s="3">
        <f>IF(fNotasFiscais[[#This Row],[Ocorrência]]="",1,0)</f>
        <v>1</v>
      </c>
      <c r="Z2189" s="2">
        <f>fNotasFiscais[[#This Row],[On Time]]*fNotasFiscais[[#This Row],[In Full]]</f>
        <v>1</v>
      </c>
      <c r="AA2189">
        <f>IF(fNotasFiscais[[#This Row],[Nota Fiscal]]&lt;&gt;"",1,0)</f>
        <v>1</v>
      </c>
    </row>
    <row r="2190" spans="1:27" x14ac:dyDescent="0.25">
      <c r="A2190" s="1">
        <v>43701</v>
      </c>
      <c r="B2190">
        <v>12599</v>
      </c>
      <c r="C2190" s="2" t="s">
        <v>54</v>
      </c>
      <c r="D2190" s="2" t="s">
        <v>55</v>
      </c>
      <c r="E2190" s="2" t="s">
        <v>56</v>
      </c>
      <c r="F2190">
        <v>4049</v>
      </c>
      <c r="G2190" s="2" t="s">
        <v>118</v>
      </c>
      <c r="H2190" s="2" t="s">
        <v>97</v>
      </c>
      <c r="I2190" s="2" t="s">
        <v>48</v>
      </c>
      <c r="J2190" s="2" t="s">
        <v>49</v>
      </c>
      <c r="K2190" s="2" t="s">
        <v>48</v>
      </c>
      <c r="L2190">
        <v>400.57</v>
      </c>
      <c r="M2190">
        <v>1</v>
      </c>
      <c r="N2190">
        <v>1.1200000000000001</v>
      </c>
      <c r="O2190">
        <v>6100231</v>
      </c>
      <c r="P2190" s="2" t="s">
        <v>50</v>
      </c>
      <c r="Q2190" s="2" t="s">
        <v>51</v>
      </c>
      <c r="R2190" s="2" t="s">
        <v>30</v>
      </c>
      <c r="S2190">
        <v>11</v>
      </c>
      <c r="T2190" s="1">
        <v>43702</v>
      </c>
      <c r="U2190" s="1">
        <v>43706</v>
      </c>
      <c r="V2190" s="2"/>
      <c r="W2190" s="1">
        <f>fNotasFiscais[[#This Row],[Data da Coleta]]+fNotasFiscais[[#This Row],[Prazo Contratado]]</f>
        <v>43713</v>
      </c>
      <c r="X2190" s="3">
        <f>IF(fNotasFiscais[[#This Row],[Data da Entrega]]&gt;fNotasFiscais[[#This Row],[Data Contratada]],0,1)</f>
        <v>1</v>
      </c>
      <c r="Y2190" s="3">
        <f>IF(fNotasFiscais[[#This Row],[Ocorrência]]="",1,0)</f>
        <v>1</v>
      </c>
      <c r="Z2190" s="2">
        <f>fNotasFiscais[[#This Row],[On Time]]*fNotasFiscais[[#This Row],[In Full]]</f>
        <v>1</v>
      </c>
      <c r="AA2190">
        <f>IF(fNotasFiscais[[#This Row],[Nota Fiscal]]&lt;&gt;"",1,0)</f>
        <v>1</v>
      </c>
    </row>
    <row r="2191" spans="1:27" x14ac:dyDescent="0.25">
      <c r="A2191" s="1">
        <v>43701</v>
      </c>
      <c r="B2191">
        <v>12600</v>
      </c>
      <c r="C2191" s="2" t="s">
        <v>43</v>
      </c>
      <c r="D2191" s="2" t="s">
        <v>44</v>
      </c>
      <c r="E2191" s="2" t="s">
        <v>45</v>
      </c>
      <c r="F2191">
        <v>4049</v>
      </c>
      <c r="G2191" s="2" t="s">
        <v>118</v>
      </c>
      <c r="H2191" s="2" t="s">
        <v>97</v>
      </c>
      <c r="I2191" s="2" t="s">
        <v>48</v>
      </c>
      <c r="J2191" s="2" t="s">
        <v>49</v>
      </c>
      <c r="K2191" s="2" t="s">
        <v>48</v>
      </c>
      <c r="L2191">
        <v>906.39</v>
      </c>
      <c r="M2191">
        <v>1</v>
      </c>
      <c r="N2191">
        <v>5.7759999999999998</v>
      </c>
      <c r="O2191">
        <v>6100231</v>
      </c>
      <c r="P2191" s="2" t="s">
        <v>50</v>
      </c>
      <c r="Q2191" s="2" t="s">
        <v>51</v>
      </c>
      <c r="R2191" s="2" t="s">
        <v>30</v>
      </c>
      <c r="S2191">
        <v>11</v>
      </c>
      <c r="T2191" s="1">
        <v>43702</v>
      </c>
      <c r="U2191" s="1">
        <v>43710</v>
      </c>
      <c r="V2191" s="2"/>
      <c r="W2191" s="1">
        <f>fNotasFiscais[[#This Row],[Data da Coleta]]+fNotasFiscais[[#This Row],[Prazo Contratado]]</f>
        <v>43713</v>
      </c>
      <c r="X2191" s="3">
        <f>IF(fNotasFiscais[[#This Row],[Data da Entrega]]&gt;fNotasFiscais[[#This Row],[Data Contratada]],0,1)</f>
        <v>1</v>
      </c>
      <c r="Y2191" s="3">
        <f>IF(fNotasFiscais[[#This Row],[Ocorrência]]="",1,0)</f>
        <v>1</v>
      </c>
      <c r="Z2191" s="2">
        <f>fNotasFiscais[[#This Row],[On Time]]*fNotasFiscais[[#This Row],[In Full]]</f>
        <v>1</v>
      </c>
      <c r="AA2191">
        <f>IF(fNotasFiscais[[#This Row],[Nota Fiscal]]&lt;&gt;"",1,0)</f>
        <v>1</v>
      </c>
    </row>
    <row r="2192" spans="1:27" x14ac:dyDescent="0.25">
      <c r="A2192" s="1">
        <v>43701</v>
      </c>
      <c r="B2192">
        <v>12601</v>
      </c>
      <c r="C2192" s="2" t="s">
        <v>54</v>
      </c>
      <c r="D2192" s="2" t="s">
        <v>55</v>
      </c>
      <c r="E2192" s="2" t="s">
        <v>56</v>
      </c>
      <c r="F2192">
        <v>4049</v>
      </c>
      <c r="G2192" s="2" t="s">
        <v>118</v>
      </c>
      <c r="H2192" s="2" t="s">
        <v>97</v>
      </c>
      <c r="I2192" s="2" t="s">
        <v>48</v>
      </c>
      <c r="J2192" s="2" t="s">
        <v>49</v>
      </c>
      <c r="K2192" s="2" t="s">
        <v>48</v>
      </c>
      <c r="L2192">
        <v>1750.57</v>
      </c>
      <c r="M2192">
        <v>4</v>
      </c>
      <c r="N2192">
        <v>7.4749999999999996</v>
      </c>
      <c r="O2192">
        <v>6100231</v>
      </c>
      <c r="P2192" s="2" t="s">
        <v>50</v>
      </c>
      <c r="Q2192" s="2" t="s">
        <v>51</v>
      </c>
      <c r="R2192" s="2" t="s">
        <v>30</v>
      </c>
      <c r="S2192">
        <v>5</v>
      </c>
      <c r="T2192" s="1">
        <v>43702</v>
      </c>
      <c r="U2192" s="1">
        <v>43706</v>
      </c>
      <c r="V2192" s="2"/>
      <c r="W2192" s="1">
        <f>fNotasFiscais[[#This Row],[Data da Coleta]]+fNotasFiscais[[#This Row],[Prazo Contratado]]</f>
        <v>43707</v>
      </c>
      <c r="X2192" s="3">
        <f>IF(fNotasFiscais[[#This Row],[Data da Entrega]]&gt;fNotasFiscais[[#This Row],[Data Contratada]],0,1)</f>
        <v>1</v>
      </c>
      <c r="Y2192" s="3">
        <f>IF(fNotasFiscais[[#This Row],[Ocorrência]]="",1,0)</f>
        <v>1</v>
      </c>
      <c r="Z2192" s="2">
        <f>fNotasFiscais[[#This Row],[On Time]]*fNotasFiscais[[#This Row],[In Full]]</f>
        <v>1</v>
      </c>
      <c r="AA2192">
        <f>IF(fNotasFiscais[[#This Row],[Nota Fiscal]]&lt;&gt;"",1,0)</f>
        <v>1</v>
      </c>
    </row>
    <row r="2193" spans="1:27" x14ac:dyDescent="0.25">
      <c r="A2193" s="1">
        <v>43701</v>
      </c>
      <c r="B2193">
        <v>12602</v>
      </c>
      <c r="C2193" s="2" t="s">
        <v>54</v>
      </c>
      <c r="D2193" s="2" t="s">
        <v>55</v>
      </c>
      <c r="E2193" s="2" t="s">
        <v>56</v>
      </c>
      <c r="F2193">
        <v>4049</v>
      </c>
      <c r="G2193" s="2" t="s">
        <v>118</v>
      </c>
      <c r="H2193" s="2" t="s">
        <v>97</v>
      </c>
      <c r="I2193" s="2" t="s">
        <v>48</v>
      </c>
      <c r="J2193" s="2" t="s">
        <v>49</v>
      </c>
      <c r="K2193" s="2" t="s">
        <v>48</v>
      </c>
      <c r="L2193">
        <v>357.93</v>
      </c>
      <c r="M2193">
        <v>1</v>
      </c>
      <c r="N2193">
        <v>1.1200000000000001</v>
      </c>
      <c r="O2193">
        <v>6100231</v>
      </c>
      <c r="P2193" s="2" t="s">
        <v>50</v>
      </c>
      <c r="Q2193" s="2" t="s">
        <v>51</v>
      </c>
      <c r="R2193" s="2" t="s">
        <v>30</v>
      </c>
      <c r="S2193">
        <v>6</v>
      </c>
      <c r="T2193" s="1">
        <v>43702</v>
      </c>
      <c r="U2193" s="1">
        <v>43706</v>
      </c>
      <c r="V2193" s="2"/>
      <c r="W2193" s="1">
        <f>fNotasFiscais[[#This Row],[Data da Coleta]]+fNotasFiscais[[#This Row],[Prazo Contratado]]</f>
        <v>43708</v>
      </c>
      <c r="X2193" s="3">
        <f>IF(fNotasFiscais[[#This Row],[Data da Entrega]]&gt;fNotasFiscais[[#This Row],[Data Contratada]],0,1)</f>
        <v>1</v>
      </c>
      <c r="Y2193" s="3">
        <f>IF(fNotasFiscais[[#This Row],[Ocorrência]]="",1,0)</f>
        <v>1</v>
      </c>
      <c r="Z2193" s="2">
        <f>fNotasFiscais[[#This Row],[On Time]]*fNotasFiscais[[#This Row],[In Full]]</f>
        <v>1</v>
      </c>
      <c r="AA2193">
        <f>IF(fNotasFiscais[[#This Row],[Nota Fiscal]]&lt;&gt;"",1,0)</f>
        <v>1</v>
      </c>
    </row>
    <row r="2194" spans="1:27" x14ac:dyDescent="0.25">
      <c r="A2194" s="1">
        <v>43701</v>
      </c>
      <c r="B2194">
        <v>12603</v>
      </c>
      <c r="C2194" s="2" t="s">
        <v>54</v>
      </c>
      <c r="D2194" s="2" t="s">
        <v>55</v>
      </c>
      <c r="E2194" s="2" t="s">
        <v>56</v>
      </c>
      <c r="F2194">
        <v>4049</v>
      </c>
      <c r="G2194" s="2" t="s">
        <v>118</v>
      </c>
      <c r="H2194" s="2" t="s">
        <v>97</v>
      </c>
      <c r="I2194" s="2" t="s">
        <v>48</v>
      </c>
      <c r="J2194" s="2" t="s">
        <v>49</v>
      </c>
      <c r="K2194" s="2" t="s">
        <v>48</v>
      </c>
      <c r="L2194">
        <v>2511.73</v>
      </c>
      <c r="M2194">
        <v>3</v>
      </c>
      <c r="N2194">
        <v>21.754000000000001</v>
      </c>
      <c r="O2194">
        <v>6100231</v>
      </c>
      <c r="P2194" s="2" t="s">
        <v>50</v>
      </c>
      <c r="Q2194" s="2" t="s">
        <v>51</v>
      </c>
      <c r="R2194" s="2" t="s">
        <v>30</v>
      </c>
      <c r="S2194">
        <v>12</v>
      </c>
      <c r="T2194" s="1">
        <v>43702</v>
      </c>
      <c r="U2194" s="1">
        <v>43711</v>
      </c>
      <c r="V2194" s="2"/>
      <c r="W2194" s="1">
        <f>fNotasFiscais[[#This Row],[Data da Coleta]]+fNotasFiscais[[#This Row],[Prazo Contratado]]</f>
        <v>43714</v>
      </c>
      <c r="X2194" s="3">
        <f>IF(fNotasFiscais[[#This Row],[Data da Entrega]]&gt;fNotasFiscais[[#This Row],[Data Contratada]],0,1)</f>
        <v>1</v>
      </c>
      <c r="Y2194" s="3">
        <f>IF(fNotasFiscais[[#This Row],[Ocorrência]]="",1,0)</f>
        <v>1</v>
      </c>
      <c r="Z2194" s="2">
        <f>fNotasFiscais[[#This Row],[On Time]]*fNotasFiscais[[#This Row],[In Full]]</f>
        <v>1</v>
      </c>
      <c r="AA2194">
        <f>IF(fNotasFiscais[[#This Row],[Nota Fiscal]]&lt;&gt;"",1,0)</f>
        <v>1</v>
      </c>
    </row>
    <row r="2195" spans="1:27" x14ac:dyDescent="0.25">
      <c r="A2195" s="1">
        <v>43703</v>
      </c>
      <c r="B2195">
        <v>12604</v>
      </c>
      <c r="C2195" s="2" t="s">
        <v>31</v>
      </c>
      <c r="D2195" s="2" t="s">
        <v>32</v>
      </c>
      <c r="E2195" s="2" t="s">
        <v>33</v>
      </c>
      <c r="F2195">
        <v>4147</v>
      </c>
      <c r="G2195" s="2" t="s">
        <v>230</v>
      </c>
      <c r="H2195" s="2" t="s">
        <v>35</v>
      </c>
      <c r="I2195" s="2" t="s">
        <v>36</v>
      </c>
      <c r="J2195" s="2" t="s">
        <v>60</v>
      </c>
      <c r="K2195" s="2" t="s">
        <v>36</v>
      </c>
      <c r="L2195">
        <v>911.65</v>
      </c>
      <c r="M2195">
        <v>1</v>
      </c>
      <c r="N2195">
        <v>5.7759999999999998</v>
      </c>
      <c r="O2195">
        <v>6600879</v>
      </c>
      <c r="P2195" s="2" t="s">
        <v>61</v>
      </c>
      <c r="Q2195" s="2" t="s">
        <v>35</v>
      </c>
      <c r="R2195" s="2" t="s">
        <v>30</v>
      </c>
      <c r="S2195">
        <v>3</v>
      </c>
      <c r="T2195" s="1">
        <v>43704</v>
      </c>
      <c r="U2195" s="1">
        <v>43712</v>
      </c>
      <c r="V2195" s="2"/>
      <c r="W2195" s="1">
        <f>fNotasFiscais[[#This Row],[Data da Coleta]]+fNotasFiscais[[#This Row],[Prazo Contratado]]</f>
        <v>43707</v>
      </c>
      <c r="X2195" s="3">
        <f>IF(fNotasFiscais[[#This Row],[Data da Entrega]]&gt;fNotasFiscais[[#This Row],[Data Contratada]],0,1)</f>
        <v>0</v>
      </c>
      <c r="Y2195" s="3">
        <f>IF(fNotasFiscais[[#This Row],[Ocorrência]]="",1,0)</f>
        <v>1</v>
      </c>
      <c r="Z2195" s="2">
        <f>fNotasFiscais[[#This Row],[On Time]]*fNotasFiscais[[#This Row],[In Full]]</f>
        <v>0</v>
      </c>
      <c r="AA2195">
        <f>IF(fNotasFiscais[[#This Row],[Nota Fiscal]]&lt;&gt;"",1,0)</f>
        <v>1</v>
      </c>
    </row>
    <row r="2196" spans="1:27" x14ac:dyDescent="0.25">
      <c r="A2196" s="1">
        <v>43703</v>
      </c>
      <c r="B2196">
        <v>12605</v>
      </c>
      <c r="C2196" s="2" t="s">
        <v>22</v>
      </c>
      <c r="D2196" s="2" t="s">
        <v>23</v>
      </c>
      <c r="E2196" s="2" t="s">
        <v>24</v>
      </c>
      <c r="F2196">
        <v>4033</v>
      </c>
      <c r="G2196" s="2" t="s">
        <v>109</v>
      </c>
      <c r="H2196" s="2" t="s">
        <v>51</v>
      </c>
      <c r="I2196" s="2" t="s">
        <v>73</v>
      </c>
      <c r="J2196" s="2" t="s">
        <v>49</v>
      </c>
      <c r="K2196" s="2" t="s">
        <v>73</v>
      </c>
      <c r="L2196">
        <v>583.59</v>
      </c>
      <c r="M2196">
        <v>2</v>
      </c>
      <c r="N2196">
        <v>1.712</v>
      </c>
      <c r="O2196">
        <v>6100231</v>
      </c>
      <c r="P2196" s="2" t="s">
        <v>50</v>
      </c>
      <c r="Q2196" s="2" t="s">
        <v>51</v>
      </c>
      <c r="R2196" s="2" t="s">
        <v>30</v>
      </c>
      <c r="S2196">
        <v>5</v>
      </c>
      <c r="T2196" s="1">
        <v>43704</v>
      </c>
      <c r="U2196" s="1">
        <v>43706</v>
      </c>
      <c r="V2196" s="2"/>
      <c r="W2196" s="1">
        <f>fNotasFiscais[[#This Row],[Data da Coleta]]+fNotasFiscais[[#This Row],[Prazo Contratado]]</f>
        <v>43709</v>
      </c>
      <c r="X2196" s="3">
        <f>IF(fNotasFiscais[[#This Row],[Data da Entrega]]&gt;fNotasFiscais[[#This Row],[Data Contratada]],0,1)</f>
        <v>1</v>
      </c>
      <c r="Y2196" s="3">
        <f>IF(fNotasFiscais[[#This Row],[Ocorrência]]="",1,0)</f>
        <v>1</v>
      </c>
      <c r="Z2196" s="2">
        <f>fNotasFiscais[[#This Row],[On Time]]*fNotasFiscais[[#This Row],[In Full]]</f>
        <v>1</v>
      </c>
      <c r="AA2196">
        <f>IF(fNotasFiscais[[#This Row],[Nota Fiscal]]&lt;&gt;"",1,0)</f>
        <v>1</v>
      </c>
    </row>
    <row r="2197" spans="1:27" x14ac:dyDescent="0.25">
      <c r="A2197" s="1">
        <v>43703</v>
      </c>
      <c r="B2197">
        <v>12606</v>
      </c>
      <c r="C2197" s="2" t="s">
        <v>22</v>
      </c>
      <c r="D2197" s="2" t="s">
        <v>23</v>
      </c>
      <c r="E2197" s="2" t="s">
        <v>24</v>
      </c>
      <c r="F2197">
        <v>4230</v>
      </c>
      <c r="G2197" s="2" t="s">
        <v>313</v>
      </c>
      <c r="H2197" s="2" t="s">
        <v>35</v>
      </c>
      <c r="I2197" s="2" t="s">
        <v>36</v>
      </c>
      <c r="J2197" s="2" t="s">
        <v>60</v>
      </c>
      <c r="K2197" s="2" t="s">
        <v>36</v>
      </c>
      <c r="L2197">
        <v>162.86000000000001</v>
      </c>
      <c r="M2197">
        <v>1</v>
      </c>
      <c r="N2197">
        <v>1.1200000000000001</v>
      </c>
      <c r="O2197">
        <v>6600879</v>
      </c>
      <c r="P2197" s="2" t="s">
        <v>61</v>
      </c>
      <c r="Q2197" s="2" t="s">
        <v>35</v>
      </c>
      <c r="R2197" s="2" t="s">
        <v>30</v>
      </c>
      <c r="S2197">
        <v>8</v>
      </c>
      <c r="T2197" s="1">
        <v>43704</v>
      </c>
      <c r="U2197" s="1">
        <v>43708</v>
      </c>
      <c r="V2197" s="2"/>
      <c r="W2197" s="1">
        <f>fNotasFiscais[[#This Row],[Data da Coleta]]+fNotasFiscais[[#This Row],[Prazo Contratado]]</f>
        <v>43712</v>
      </c>
      <c r="X2197" s="3">
        <f>IF(fNotasFiscais[[#This Row],[Data da Entrega]]&gt;fNotasFiscais[[#This Row],[Data Contratada]],0,1)</f>
        <v>1</v>
      </c>
      <c r="Y2197" s="3">
        <f>IF(fNotasFiscais[[#This Row],[Ocorrência]]="",1,0)</f>
        <v>1</v>
      </c>
      <c r="Z2197" s="2">
        <f>fNotasFiscais[[#This Row],[On Time]]*fNotasFiscais[[#This Row],[In Full]]</f>
        <v>1</v>
      </c>
      <c r="AA2197">
        <f>IF(fNotasFiscais[[#This Row],[Nota Fiscal]]&lt;&gt;"",1,0)</f>
        <v>1</v>
      </c>
    </row>
    <row r="2198" spans="1:27" x14ac:dyDescent="0.25">
      <c r="A2198" s="1">
        <v>43703</v>
      </c>
      <c r="B2198">
        <v>12607</v>
      </c>
      <c r="C2198" s="2" t="s">
        <v>34</v>
      </c>
      <c r="D2198" s="2" t="s">
        <v>35</v>
      </c>
      <c r="E2198" s="2" t="s">
        <v>36</v>
      </c>
      <c r="F2198">
        <v>4069</v>
      </c>
      <c r="G2198" s="2" t="s">
        <v>135</v>
      </c>
      <c r="H2198" s="2" t="s">
        <v>47</v>
      </c>
      <c r="I2198" s="2" t="s">
        <v>48</v>
      </c>
      <c r="J2198" s="2" t="s">
        <v>49</v>
      </c>
      <c r="K2198" s="2" t="s">
        <v>48</v>
      </c>
      <c r="L2198">
        <v>1224.28</v>
      </c>
      <c r="M2198">
        <v>2</v>
      </c>
      <c r="N2198">
        <v>2.4289999999999998</v>
      </c>
      <c r="O2198">
        <v>6100231</v>
      </c>
      <c r="P2198" s="2" t="s">
        <v>50</v>
      </c>
      <c r="Q2198" s="2" t="s">
        <v>51</v>
      </c>
      <c r="R2198" s="2" t="s">
        <v>30</v>
      </c>
      <c r="S2198">
        <v>5</v>
      </c>
      <c r="T2198" s="1">
        <v>43704</v>
      </c>
      <c r="U2198" s="1">
        <v>43705</v>
      </c>
      <c r="V2198" s="2"/>
      <c r="W2198" s="1">
        <f>fNotasFiscais[[#This Row],[Data da Coleta]]+fNotasFiscais[[#This Row],[Prazo Contratado]]</f>
        <v>43709</v>
      </c>
      <c r="X2198" s="3">
        <f>IF(fNotasFiscais[[#This Row],[Data da Entrega]]&gt;fNotasFiscais[[#This Row],[Data Contratada]],0,1)</f>
        <v>1</v>
      </c>
      <c r="Y2198" s="3">
        <f>IF(fNotasFiscais[[#This Row],[Ocorrência]]="",1,0)</f>
        <v>1</v>
      </c>
      <c r="Z2198" s="2">
        <f>fNotasFiscais[[#This Row],[On Time]]*fNotasFiscais[[#This Row],[In Full]]</f>
        <v>1</v>
      </c>
      <c r="AA2198">
        <f>IF(fNotasFiscais[[#This Row],[Nota Fiscal]]&lt;&gt;"",1,0)</f>
        <v>1</v>
      </c>
    </row>
    <row r="2199" spans="1:27" x14ac:dyDescent="0.25">
      <c r="A2199" s="1">
        <v>43703</v>
      </c>
      <c r="B2199">
        <v>12608</v>
      </c>
      <c r="C2199" s="2" t="s">
        <v>40</v>
      </c>
      <c r="D2199" s="2" t="s">
        <v>41</v>
      </c>
      <c r="E2199" s="2" t="s">
        <v>33</v>
      </c>
      <c r="F2199">
        <v>4126</v>
      </c>
      <c r="G2199" s="2" t="s">
        <v>209</v>
      </c>
      <c r="H2199" s="2" t="s">
        <v>35</v>
      </c>
      <c r="I2199" s="2" t="s">
        <v>36</v>
      </c>
      <c r="J2199" s="2" t="s">
        <v>60</v>
      </c>
      <c r="K2199" s="2" t="s">
        <v>36</v>
      </c>
      <c r="L2199">
        <v>66.760000000000005</v>
      </c>
      <c r="M2199">
        <v>1</v>
      </c>
      <c r="N2199">
        <v>1.1200000000000001</v>
      </c>
      <c r="O2199">
        <v>6600879</v>
      </c>
      <c r="P2199" s="2" t="s">
        <v>61</v>
      </c>
      <c r="Q2199" s="2" t="s">
        <v>35</v>
      </c>
      <c r="R2199" s="2" t="s">
        <v>30</v>
      </c>
      <c r="S2199">
        <v>5</v>
      </c>
      <c r="T2199" s="1">
        <v>43704</v>
      </c>
      <c r="U2199" s="1">
        <v>43712</v>
      </c>
      <c r="V2199" s="2"/>
      <c r="W2199" s="1">
        <f>fNotasFiscais[[#This Row],[Data da Coleta]]+fNotasFiscais[[#This Row],[Prazo Contratado]]</f>
        <v>43709</v>
      </c>
      <c r="X2199" s="3">
        <f>IF(fNotasFiscais[[#This Row],[Data da Entrega]]&gt;fNotasFiscais[[#This Row],[Data Contratada]],0,1)</f>
        <v>0</v>
      </c>
      <c r="Y2199" s="3">
        <f>IF(fNotasFiscais[[#This Row],[Ocorrência]]="",1,0)</f>
        <v>1</v>
      </c>
      <c r="Z2199" s="2">
        <f>fNotasFiscais[[#This Row],[On Time]]*fNotasFiscais[[#This Row],[In Full]]</f>
        <v>0</v>
      </c>
      <c r="AA2199">
        <f>IF(fNotasFiscais[[#This Row],[Nota Fiscal]]&lt;&gt;"",1,0)</f>
        <v>1</v>
      </c>
    </row>
    <row r="2200" spans="1:27" x14ac:dyDescent="0.25">
      <c r="A2200" s="1">
        <v>43703</v>
      </c>
      <c r="B2200">
        <v>12609</v>
      </c>
      <c r="C2200" s="2" t="s">
        <v>43</v>
      </c>
      <c r="D2200" s="2" t="s">
        <v>44</v>
      </c>
      <c r="E2200" s="2" t="s">
        <v>45</v>
      </c>
      <c r="F2200">
        <v>4034</v>
      </c>
      <c r="G2200" s="2" t="s">
        <v>110</v>
      </c>
      <c r="H2200" s="2" t="s">
        <v>51</v>
      </c>
      <c r="I2200" s="2" t="s">
        <v>73</v>
      </c>
      <c r="J2200" s="2" t="s">
        <v>49</v>
      </c>
      <c r="K2200" s="2" t="s">
        <v>73</v>
      </c>
      <c r="L2200">
        <v>399.46</v>
      </c>
      <c r="M2200">
        <v>3</v>
      </c>
      <c r="N2200">
        <v>10.603999999999999</v>
      </c>
      <c r="O2200">
        <v>6100231</v>
      </c>
      <c r="P2200" s="2" t="s">
        <v>50</v>
      </c>
      <c r="Q2200" s="2" t="s">
        <v>51</v>
      </c>
      <c r="R2200" s="2" t="s">
        <v>30</v>
      </c>
      <c r="S2200">
        <v>4</v>
      </c>
      <c r="T2200" s="1">
        <v>43704</v>
      </c>
      <c r="U2200" s="1">
        <v>43710</v>
      </c>
      <c r="V2200" s="2"/>
      <c r="W2200" s="1">
        <f>fNotasFiscais[[#This Row],[Data da Coleta]]+fNotasFiscais[[#This Row],[Prazo Contratado]]</f>
        <v>43708</v>
      </c>
      <c r="X2200" s="3">
        <f>IF(fNotasFiscais[[#This Row],[Data da Entrega]]&gt;fNotasFiscais[[#This Row],[Data Contratada]],0,1)</f>
        <v>0</v>
      </c>
      <c r="Y2200" s="3">
        <f>IF(fNotasFiscais[[#This Row],[Ocorrência]]="",1,0)</f>
        <v>1</v>
      </c>
      <c r="Z2200" s="2">
        <f>fNotasFiscais[[#This Row],[On Time]]*fNotasFiscais[[#This Row],[In Full]]</f>
        <v>0</v>
      </c>
      <c r="AA2200">
        <f>IF(fNotasFiscais[[#This Row],[Nota Fiscal]]&lt;&gt;"",1,0)</f>
        <v>1</v>
      </c>
    </row>
    <row r="2201" spans="1:27" x14ac:dyDescent="0.25">
      <c r="A2201" s="1">
        <v>43704</v>
      </c>
      <c r="B2201">
        <v>12610</v>
      </c>
      <c r="C2201" s="2" t="s">
        <v>52</v>
      </c>
      <c r="D2201" s="2" t="s">
        <v>53</v>
      </c>
      <c r="E2201" s="2" t="s">
        <v>33</v>
      </c>
      <c r="F2201">
        <v>4143</v>
      </c>
      <c r="G2201" s="2" t="s">
        <v>226</v>
      </c>
      <c r="H2201" s="2" t="s">
        <v>173</v>
      </c>
      <c r="I2201" s="2" t="s">
        <v>174</v>
      </c>
      <c r="J2201" s="2" t="s">
        <v>175</v>
      </c>
      <c r="K2201" s="2" t="s">
        <v>174</v>
      </c>
      <c r="L2201">
        <v>6532.24</v>
      </c>
      <c r="M2201">
        <v>1</v>
      </c>
      <c r="N2201">
        <v>1.1200000000000001</v>
      </c>
      <c r="O2201">
        <v>6700091</v>
      </c>
      <c r="P2201" s="2" t="s">
        <v>176</v>
      </c>
      <c r="Q2201" s="2" t="s">
        <v>173</v>
      </c>
      <c r="R2201" s="2" t="s">
        <v>30</v>
      </c>
      <c r="S2201">
        <v>5</v>
      </c>
      <c r="T2201" s="1">
        <v>43705</v>
      </c>
      <c r="U2201" s="1">
        <v>43713</v>
      </c>
      <c r="V2201" s="2"/>
      <c r="W2201" s="1">
        <f>fNotasFiscais[[#This Row],[Data da Coleta]]+fNotasFiscais[[#This Row],[Prazo Contratado]]</f>
        <v>43710</v>
      </c>
      <c r="X2201" s="3">
        <f>IF(fNotasFiscais[[#This Row],[Data da Entrega]]&gt;fNotasFiscais[[#This Row],[Data Contratada]],0,1)</f>
        <v>0</v>
      </c>
      <c r="Y2201" s="3">
        <f>IF(fNotasFiscais[[#This Row],[Ocorrência]]="",1,0)</f>
        <v>1</v>
      </c>
      <c r="Z2201" s="2">
        <f>fNotasFiscais[[#This Row],[On Time]]*fNotasFiscais[[#This Row],[In Full]]</f>
        <v>0</v>
      </c>
      <c r="AA2201">
        <f>IF(fNotasFiscais[[#This Row],[Nota Fiscal]]&lt;&gt;"",1,0)</f>
        <v>1</v>
      </c>
    </row>
    <row r="2202" spans="1:27" x14ac:dyDescent="0.25">
      <c r="A2202" s="1">
        <v>43704</v>
      </c>
      <c r="B2202">
        <v>12611</v>
      </c>
      <c r="C2202" s="2" t="s">
        <v>54</v>
      </c>
      <c r="D2202" s="2" t="s">
        <v>55</v>
      </c>
      <c r="E2202" s="2" t="s">
        <v>56</v>
      </c>
      <c r="F2202">
        <v>4022</v>
      </c>
      <c r="G2202" s="2" t="s">
        <v>86</v>
      </c>
      <c r="H2202" s="2" t="s">
        <v>87</v>
      </c>
      <c r="I2202" s="2" t="s">
        <v>27</v>
      </c>
      <c r="J2202" s="2" t="s">
        <v>28</v>
      </c>
      <c r="K2202" s="2" t="s">
        <v>27</v>
      </c>
      <c r="L2202">
        <v>2660.69</v>
      </c>
      <c r="M2202">
        <v>1</v>
      </c>
      <c r="N2202">
        <v>16.5</v>
      </c>
      <c r="O2202">
        <v>6500948</v>
      </c>
      <c r="P2202" s="2" t="s">
        <v>29</v>
      </c>
      <c r="Q2202" s="2" t="s">
        <v>23</v>
      </c>
      <c r="R2202" s="2" t="s">
        <v>30</v>
      </c>
      <c r="S2202">
        <v>11</v>
      </c>
      <c r="T2202" s="1">
        <v>43705</v>
      </c>
      <c r="U2202" s="1">
        <v>43713</v>
      </c>
      <c r="V2202" s="2"/>
      <c r="W2202" s="1">
        <f>fNotasFiscais[[#This Row],[Data da Coleta]]+fNotasFiscais[[#This Row],[Prazo Contratado]]</f>
        <v>43716</v>
      </c>
      <c r="X2202" s="3">
        <f>IF(fNotasFiscais[[#This Row],[Data da Entrega]]&gt;fNotasFiscais[[#This Row],[Data Contratada]],0,1)</f>
        <v>1</v>
      </c>
      <c r="Y2202" s="3">
        <f>IF(fNotasFiscais[[#This Row],[Ocorrência]]="",1,0)</f>
        <v>1</v>
      </c>
      <c r="Z2202" s="2">
        <f>fNotasFiscais[[#This Row],[On Time]]*fNotasFiscais[[#This Row],[In Full]]</f>
        <v>1</v>
      </c>
      <c r="AA2202">
        <f>IF(fNotasFiscais[[#This Row],[Nota Fiscal]]&lt;&gt;"",1,0)</f>
        <v>1</v>
      </c>
    </row>
    <row r="2203" spans="1:27" x14ac:dyDescent="0.25">
      <c r="A2203" s="1">
        <v>43704</v>
      </c>
      <c r="B2203">
        <v>12612</v>
      </c>
      <c r="C2203" s="2" t="s">
        <v>40</v>
      </c>
      <c r="D2203" s="2" t="s">
        <v>41</v>
      </c>
      <c r="E2203" s="2" t="s">
        <v>33</v>
      </c>
      <c r="F2203">
        <v>4032</v>
      </c>
      <c r="G2203" s="2" t="s">
        <v>108</v>
      </c>
      <c r="H2203" s="2" t="s">
        <v>51</v>
      </c>
      <c r="I2203" s="2" t="s">
        <v>73</v>
      </c>
      <c r="J2203" s="2" t="s">
        <v>49</v>
      </c>
      <c r="K2203" s="2" t="s">
        <v>73</v>
      </c>
      <c r="L2203">
        <v>1147.73</v>
      </c>
      <c r="M2203">
        <v>2</v>
      </c>
      <c r="N2203">
        <v>12.332000000000001</v>
      </c>
      <c r="O2203">
        <v>6100231</v>
      </c>
      <c r="P2203" s="2" t="s">
        <v>50</v>
      </c>
      <c r="Q2203" s="2" t="s">
        <v>51</v>
      </c>
      <c r="R2203" s="2" t="s">
        <v>30</v>
      </c>
      <c r="S2203">
        <v>8</v>
      </c>
      <c r="T2203" s="1">
        <v>43705</v>
      </c>
      <c r="U2203" s="1">
        <v>43710</v>
      </c>
      <c r="V2203" s="2"/>
      <c r="W2203" s="1">
        <f>fNotasFiscais[[#This Row],[Data da Coleta]]+fNotasFiscais[[#This Row],[Prazo Contratado]]</f>
        <v>43713</v>
      </c>
      <c r="X2203" s="3">
        <f>IF(fNotasFiscais[[#This Row],[Data da Entrega]]&gt;fNotasFiscais[[#This Row],[Data Contratada]],0,1)</f>
        <v>1</v>
      </c>
      <c r="Y2203" s="3">
        <f>IF(fNotasFiscais[[#This Row],[Ocorrência]]="",1,0)</f>
        <v>1</v>
      </c>
      <c r="Z2203" s="2">
        <f>fNotasFiscais[[#This Row],[On Time]]*fNotasFiscais[[#This Row],[In Full]]</f>
        <v>1</v>
      </c>
      <c r="AA2203">
        <f>IF(fNotasFiscais[[#This Row],[Nota Fiscal]]&lt;&gt;"",1,0)</f>
        <v>1</v>
      </c>
    </row>
    <row r="2204" spans="1:27" x14ac:dyDescent="0.25">
      <c r="A2204" s="1">
        <v>43705</v>
      </c>
      <c r="B2204">
        <v>12613</v>
      </c>
      <c r="C2204" s="2" t="s">
        <v>54</v>
      </c>
      <c r="D2204" s="2" t="s">
        <v>55</v>
      </c>
      <c r="E2204" s="2" t="s">
        <v>56</v>
      </c>
      <c r="F2204">
        <v>4190</v>
      </c>
      <c r="G2204" s="2" t="s">
        <v>273</v>
      </c>
      <c r="H2204" s="2" t="s">
        <v>35</v>
      </c>
      <c r="I2204" s="2" t="s">
        <v>36</v>
      </c>
      <c r="J2204" s="2" t="s">
        <v>60</v>
      </c>
      <c r="K2204" s="2" t="s">
        <v>36</v>
      </c>
      <c r="L2204">
        <v>19741.09</v>
      </c>
      <c r="M2204">
        <v>23</v>
      </c>
      <c r="N2204">
        <v>132.37</v>
      </c>
      <c r="O2204">
        <v>6600879</v>
      </c>
      <c r="P2204" s="2" t="s">
        <v>61</v>
      </c>
      <c r="Q2204" s="2" t="s">
        <v>35</v>
      </c>
      <c r="R2204" s="2" t="s">
        <v>30</v>
      </c>
      <c r="S2204">
        <v>4</v>
      </c>
      <c r="T2204" s="1">
        <v>43706</v>
      </c>
      <c r="U2204" s="1">
        <v>43713</v>
      </c>
      <c r="V2204" s="2" t="s">
        <v>42</v>
      </c>
      <c r="W2204" s="1">
        <f>fNotasFiscais[[#This Row],[Data da Coleta]]+fNotasFiscais[[#This Row],[Prazo Contratado]]</f>
        <v>43710</v>
      </c>
      <c r="X2204" s="3">
        <f>IF(fNotasFiscais[[#This Row],[Data da Entrega]]&gt;fNotasFiscais[[#This Row],[Data Contratada]],0,1)</f>
        <v>0</v>
      </c>
      <c r="Y2204" s="3">
        <f>IF(fNotasFiscais[[#This Row],[Ocorrência]]="",1,0)</f>
        <v>0</v>
      </c>
      <c r="Z2204" s="2">
        <f>fNotasFiscais[[#This Row],[On Time]]*fNotasFiscais[[#This Row],[In Full]]</f>
        <v>0</v>
      </c>
      <c r="AA2204">
        <f>IF(fNotasFiscais[[#This Row],[Nota Fiscal]]&lt;&gt;"",1,0)</f>
        <v>1</v>
      </c>
    </row>
    <row r="2205" spans="1:27" x14ac:dyDescent="0.25">
      <c r="A2205" s="1">
        <v>43705</v>
      </c>
      <c r="B2205">
        <v>12614</v>
      </c>
      <c r="C2205" s="2" t="s">
        <v>52</v>
      </c>
      <c r="D2205" s="2" t="s">
        <v>53</v>
      </c>
      <c r="E2205" s="2" t="s">
        <v>33</v>
      </c>
      <c r="F2205">
        <v>4157</v>
      </c>
      <c r="G2205" s="2" t="s">
        <v>240</v>
      </c>
      <c r="H2205" s="2" t="s">
        <v>35</v>
      </c>
      <c r="I2205" s="2" t="s">
        <v>36</v>
      </c>
      <c r="J2205" s="2" t="s">
        <v>60</v>
      </c>
      <c r="K2205" s="2" t="s">
        <v>36</v>
      </c>
      <c r="L2205">
        <v>909.42</v>
      </c>
      <c r="M2205">
        <v>1</v>
      </c>
      <c r="N2205">
        <v>1.1200000000000001</v>
      </c>
      <c r="O2205">
        <v>6600879</v>
      </c>
      <c r="P2205" s="2" t="s">
        <v>61</v>
      </c>
      <c r="Q2205" s="2" t="s">
        <v>35</v>
      </c>
      <c r="R2205" s="2" t="s">
        <v>30</v>
      </c>
      <c r="S2205">
        <v>2</v>
      </c>
      <c r="T2205" s="1">
        <v>43706</v>
      </c>
      <c r="U2205" s="1">
        <v>43711</v>
      </c>
      <c r="V2205" s="2"/>
      <c r="W2205" s="1">
        <f>fNotasFiscais[[#This Row],[Data da Coleta]]+fNotasFiscais[[#This Row],[Prazo Contratado]]</f>
        <v>43708</v>
      </c>
      <c r="X2205" s="3">
        <f>IF(fNotasFiscais[[#This Row],[Data da Entrega]]&gt;fNotasFiscais[[#This Row],[Data Contratada]],0,1)</f>
        <v>0</v>
      </c>
      <c r="Y2205" s="3">
        <f>IF(fNotasFiscais[[#This Row],[Ocorrência]]="",1,0)</f>
        <v>1</v>
      </c>
      <c r="Z2205" s="2">
        <f>fNotasFiscais[[#This Row],[On Time]]*fNotasFiscais[[#This Row],[In Full]]</f>
        <v>0</v>
      </c>
      <c r="AA2205">
        <f>IF(fNotasFiscais[[#This Row],[Nota Fiscal]]&lt;&gt;"",1,0)</f>
        <v>1</v>
      </c>
    </row>
    <row r="2206" spans="1:27" x14ac:dyDescent="0.25">
      <c r="A2206" s="1">
        <v>43705</v>
      </c>
      <c r="B2206">
        <v>12615</v>
      </c>
      <c r="C2206" s="2" t="s">
        <v>54</v>
      </c>
      <c r="D2206" s="2" t="s">
        <v>55</v>
      </c>
      <c r="E2206" s="2" t="s">
        <v>56</v>
      </c>
      <c r="F2206">
        <v>4154</v>
      </c>
      <c r="G2206" s="2" t="s">
        <v>237</v>
      </c>
      <c r="H2206" s="2" t="s">
        <v>167</v>
      </c>
      <c r="I2206" s="2" t="s">
        <v>168</v>
      </c>
      <c r="J2206" s="2" t="s">
        <v>169</v>
      </c>
      <c r="K2206" s="2" t="s">
        <v>168</v>
      </c>
      <c r="L2206">
        <v>1083.31</v>
      </c>
      <c r="M2206">
        <v>1</v>
      </c>
      <c r="N2206">
        <v>9.35</v>
      </c>
      <c r="O2206">
        <v>6900304</v>
      </c>
      <c r="P2206" s="2" t="s">
        <v>170</v>
      </c>
      <c r="Q2206" s="2" t="s">
        <v>171</v>
      </c>
      <c r="R2206" s="2" t="s">
        <v>30</v>
      </c>
      <c r="S2206">
        <v>1</v>
      </c>
      <c r="T2206" s="1">
        <v>43706</v>
      </c>
      <c r="U2206" s="1">
        <v>43710</v>
      </c>
      <c r="V2206" s="2"/>
      <c r="W2206" s="1">
        <f>fNotasFiscais[[#This Row],[Data da Coleta]]+fNotasFiscais[[#This Row],[Prazo Contratado]]</f>
        <v>43707</v>
      </c>
      <c r="X2206" s="3">
        <f>IF(fNotasFiscais[[#This Row],[Data da Entrega]]&gt;fNotasFiscais[[#This Row],[Data Contratada]],0,1)</f>
        <v>0</v>
      </c>
      <c r="Y2206" s="3">
        <f>IF(fNotasFiscais[[#This Row],[Ocorrência]]="",1,0)</f>
        <v>1</v>
      </c>
      <c r="Z2206" s="2">
        <f>fNotasFiscais[[#This Row],[On Time]]*fNotasFiscais[[#This Row],[In Full]]</f>
        <v>0</v>
      </c>
      <c r="AA2206">
        <f>IF(fNotasFiscais[[#This Row],[Nota Fiscal]]&lt;&gt;"",1,0)</f>
        <v>1</v>
      </c>
    </row>
    <row r="2207" spans="1:27" x14ac:dyDescent="0.25">
      <c r="A2207" s="1">
        <v>43705</v>
      </c>
      <c r="B2207">
        <v>12616</v>
      </c>
      <c r="C2207" s="2" t="s">
        <v>52</v>
      </c>
      <c r="D2207" s="2" t="s">
        <v>53</v>
      </c>
      <c r="E2207" s="2" t="s">
        <v>33</v>
      </c>
      <c r="F2207">
        <v>4218</v>
      </c>
      <c r="G2207" s="2" t="s">
        <v>301</v>
      </c>
      <c r="H2207" s="2" t="s">
        <v>183</v>
      </c>
      <c r="I2207" s="2" t="s">
        <v>33</v>
      </c>
      <c r="J2207" s="2" t="s">
        <v>60</v>
      </c>
      <c r="K2207" s="2" t="s">
        <v>33</v>
      </c>
      <c r="L2207">
        <v>872.9</v>
      </c>
      <c r="M2207">
        <v>1</v>
      </c>
      <c r="N2207">
        <v>1.1919999999999999</v>
      </c>
      <c r="O2207">
        <v>6400835</v>
      </c>
      <c r="P2207" s="2" t="s">
        <v>130</v>
      </c>
      <c r="Q2207" s="2" t="s">
        <v>131</v>
      </c>
      <c r="R2207" s="2" t="s">
        <v>30</v>
      </c>
      <c r="S2207">
        <v>6</v>
      </c>
      <c r="T2207" s="1">
        <v>43706</v>
      </c>
      <c r="U2207" s="1">
        <v>43710</v>
      </c>
      <c r="V2207" s="2" t="s">
        <v>42</v>
      </c>
      <c r="W2207" s="1">
        <f>fNotasFiscais[[#This Row],[Data da Coleta]]+fNotasFiscais[[#This Row],[Prazo Contratado]]</f>
        <v>43712</v>
      </c>
      <c r="X2207" s="3">
        <f>IF(fNotasFiscais[[#This Row],[Data da Entrega]]&gt;fNotasFiscais[[#This Row],[Data Contratada]],0,1)</f>
        <v>1</v>
      </c>
      <c r="Y2207" s="3">
        <f>IF(fNotasFiscais[[#This Row],[Ocorrência]]="",1,0)</f>
        <v>0</v>
      </c>
      <c r="Z2207" s="2">
        <f>fNotasFiscais[[#This Row],[On Time]]*fNotasFiscais[[#This Row],[In Full]]</f>
        <v>0</v>
      </c>
      <c r="AA2207">
        <f>IF(fNotasFiscais[[#This Row],[Nota Fiscal]]&lt;&gt;"",1,0)</f>
        <v>1</v>
      </c>
    </row>
    <row r="2208" spans="1:27" x14ac:dyDescent="0.25">
      <c r="A2208" s="1">
        <v>43705</v>
      </c>
      <c r="B2208">
        <v>12617</v>
      </c>
      <c r="C2208" s="2" t="s">
        <v>31</v>
      </c>
      <c r="D2208" s="2" t="s">
        <v>32</v>
      </c>
      <c r="E2208" s="2" t="s">
        <v>33</v>
      </c>
      <c r="F2208">
        <v>4165</v>
      </c>
      <c r="G2208" s="2" t="s">
        <v>248</v>
      </c>
      <c r="H2208" s="2" t="s">
        <v>167</v>
      </c>
      <c r="I2208" s="2" t="s">
        <v>168</v>
      </c>
      <c r="J2208" s="2" t="s">
        <v>169</v>
      </c>
      <c r="K2208" s="2" t="s">
        <v>168</v>
      </c>
      <c r="L2208">
        <v>2583.21</v>
      </c>
      <c r="M2208">
        <v>2</v>
      </c>
      <c r="N2208">
        <v>71.706000000000003</v>
      </c>
      <c r="O2208">
        <v>6900304</v>
      </c>
      <c r="P2208" s="2" t="s">
        <v>170</v>
      </c>
      <c r="Q2208" s="2" t="s">
        <v>171</v>
      </c>
      <c r="R2208" s="2" t="s">
        <v>30</v>
      </c>
      <c r="S2208">
        <v>10</v>
      </c>
      <c r="T2208" s="1">
        <v>43706</v>
      </c>
      <c r="U2208" s="1">
        <v>43714</v>
      </c>
      <c r="V2208" s="2"/>
      <c r="W2208" s="1">
        <f>fNotasFiscais[[#This Row],[Data da Coleta]]+fNotasFiscais[[#This Row],[Prazo Contratado]]</f>
        <v>43716</v>
      </c>
      <c r="X2208" s="3">
        <f>IF(fNotasFiscais[[#This Row],[Data da Entrega]]&gt;fNotasFiscais[[#This Row],[Data Contratada]],0,1)</f>
        <v>1</v>
      </c>
      <c r="Y2208" s="3">
        <f>IF(fNotasFiscais[[#This Row],[Ocorrência]]="",1,0)</f>
        <v>1</v>
      </c>
      <c r="Z2208" s="2">
        <f>fNotasFiscais[[#This Row],[On Time]]*fNotasFiscais[[#This Row],[In Full]]</f>
        <v>1</v>
      </c>
      <c r="AA2208">
        <f>IF(fNotasFiscais[[#This Row],[Nota Fiscal]]&lt;&gt;"",1,0)</f>
        <v>1</v>
      </c>
    </row>
    <row r="2209" spans="1:27" x14ac:dyDescent="0.25">
      <c r="A2209" s="1">
        <v>43705</v>
      </c>
      <c r="B2209">
        <v>12618</v>
      </c>
      <c r="C2209" s="2" t="s">
        <v>34</v>
      </c>
      <c r="D2209" s="2" t="s">
        <v>35</v>
      </c>
      <c r="E2209" s="2" t="s">
        <v>36</v>
      </c>
      <c r="F2209">
        <v>4013</v>
      </c>
      <c r="G2209" s="2" t="s">
        <v>37</v>
      </c>
      <c r="H2209" s="2" t="s">
        <v>38</v>
      </c>
      <c r="I2209" s="2" t="s">
        <v>39</v>
      </c>
      <c r="J2209" s="2" t="s">
        <v>28</v>
      </c>
      <c r="K2209" s="2" t="s">
        <v>39</v>
      </c>
      <c r="L2209">
        <v>799.97</v>
      </c>
      <c r="M2209">
        <v>1</v>
      </c>
      <c r="N2209">
        <v>1.1200000000000001</v>
      </c>
      <c r="O2209">
        <v>6500948</v>
      </c>
      <c r="P2209" s="2" t="s">
        <v>29</v>
      </c>
      <c r="Q2209" s="2" t="s">
        <v>23</v>
      </c>
      <c r="R2209" s="2" t="s">
        <v>30</v>
      </c>
      <c r="S2209">
        <v>6</v>
      </c>
      <c r="T2209" s="1">
        <v>43706</v>
      </c>
      <c r="U2209" s="1">
        <v>43712</v>
      </c>
      <c r="V2209" s="2"/>
      <c r="W2209" s="1">
        <f>fNotasFiscais[[#This Row],[Data da Coleta]]+fNotasFiscais[[#This Row],[Prazo Contratado]]</f>
        <v>43712</v>
      </c>
      <c r="X2209" s="3">
        <f>IF(fNotasFiscais[[#This Row],[Data da Entrega]]&gt;fNotasFiscais[[#This Row],[Data Contratada]],0,1)</f>
        <v>1</v>
      </c>
      <c r="Y2209" s="3">
        <f>IF(fNotasFiscais[[#This Row],[Ocorrência]]="",1,0)</f>
        <v>1</v>
      </c>
      <c r="Z2209" s="2">
        <f>fNotasFiscais[[#This Row],[On Time]]*fNotasFiscais[[#This Row],[In Full]]</f>
        <v>1</v>
      </c>
      <c r="AA2209">
        <f>IF(fNotasFiscais[[#This Row],[Nota Fiscal]]&lt;&gt;"",1,0)</f>
        <v>1</v>
      </c>
    </row>
    <row r="2210" spans="1:27" x14ac:dyDescent="0.25">
      <c r="A2210" s="1">
        <v>43706</v>
      </c>
      <c r="B2210">
        <v>12619</v>
      </c>
      <c r="C2210" s="2" t="s">
        <v>40</v>
      </c>
      <c r="D2210" s="2" t="s">
        <v>41</v>
      </c>
      <c r="E2210" s="2" t="s">
        <v>33</v>
      </c>
      <c r="F2210">
        <v>4019</v>
      </c>
      <c r="G2210" s="2" t="s">
        <v>79</v>
      </c>
      <c r="H2210" s="2" t="s">
        <v>80</v>
      </c>
      <c r="I2210" s="2" t="s">
        <v>39</v>
      </c>
      <c r="J2210" s="2" t="s">
        <v>28</v>
      </c>
      <c r="K2210" s="2" t="s">
        <v>39</v>
      </c>
      <c r="L2210">
        <v>107.52</v>
      </c>
      <c r="M2210">
        <v>1</v>
      </c>
      <c r="N2210">
        <v>1.1200000000000001</v>
      </c>
      <c r="O2210">
        <v>6500948</v>
      </c>
      <c r="P2210" s="2" t="s">
        <v>29</v>
      </c>
      <c r="Q2210" s="2" t="s">
        <v>23</v>
      </c>
      <c r="R2210" s="2" t="s">
        <v>30</v>
      </c>
      <c r="S2210">
        <v>6</v>
      </c>
      <c r="T2210" s="1">
        <v>43706</v>
      </c>
      <c r="U2210" s="1">
        <v>43710</v>
      </c>
      <c r="V2210" s="2"/>
      <c r="W2210" s="1">
        <f>fNotasFiscais[[#This Row],[Data da Coleta]]+fNotasFiscais[[#This Row],[Prazo Contratado]]</f>
        <v>43712</v>
      </c>
      <c r="X2210" s="3">
        <f>IF(fNotasFiscais[[#This Row],[Data da Entrega]]&gt;fNotasFiscais[[#This Row],[Data Contratada]],0,1)</f>
        <v>1</v>
      </c>
      <c r="Y2210" s="3">
        <f>IF(fNotasFiscais[[#This Row],[Ocorrência]]="",1,0)</f>
        <v>1</v>
      </c>
      <c r="Z2210" s="2">
        <f>fNotasFiscais[[#This Row],[On Time]]*fNotasFiscais[[#This Row],[In Full]]</f>
        <v>1</v>
      </c>
      <c r="AA2210">
        <f>IF(fNotasFiscais[[#This Row],[Nota Fiscal]]&lt;&gt;"",1,0)</f>
        <v>1</v>
      </c>
    </row>
    <row r="2211" spans="1:27" x14ac:dyDescent="0.25">
      <c r="A2211" s="1">
        <v>43706</v>
      </c>
      <c r="B2211">
        <v>12620</v>
      </c>
      <c r="C2211" s="2" t="s">
        <v>52</v>
      </c>
      <c r="D2211" s="2" t="s">
        <v>53</v>
      </c>
      <c r="E2211" s="2" t="s">
        <v>33</v>
      </c>
      <c r="F2211">
        <v>4019</v>
      </c>
      <c r="G2211" s="2" t="s">
        <v>79</v>
      </c>
      <c r="H2211" s="2" t="s">
        <v>80</v>
      </c>
      <c r="I2211" s="2" t="s">
        <v>39</v>
      </c>
      <c r="J2211" s="2" t="s">
        <v>28</v>
      </c>
      <c r="K2211" s="2" t="s">
        <v>39</v>
      </c>
      <c r="L2211">
        <v>67.38</v>
      </c>
      <c r="M2211">
        <v>1</v>
      </c>
      <c r="N2211">
        <v>0.11</v>
      </c>
      <c r="O2211">
        <v>6500948</v>
      </c>
      <c r="P2211" s="2" t="s">
        <v>29</v>
      </c>
      <c r="Q2211" s="2" t="s">
        <v>23</v>
      </c>
      <c r="R2211" s="2" t="s">
        <v>30</v>
      </c>
      <c r="S2211">
        <v>10</v>
      </c>
      <c r="T2211" s="1">
        <v>43706</v>
      </c>
      <c r="U2211" s="1">
        <v>43707</v>
      </c>
      <c r="V2211" s="2"/>
      <c r="W2211" s="1">
        <f>fNotasFiscais[[#This Row],[Data da Coleta]]+fNotasFiscais[[#This Row],[Prazo Contratado]]</f>
        <v>43716</v>
      </c>
      <c r="X2211" s="3">
        <f>IF(fNotasFiscais[[#This Row],[Data da Entrega]]&gt;fNotasFiscais[[#This Row],[Data Contratada]],0,1)</f>
        <v>1</v>
      </c>
      <c r="Y2211" s="3">
        <f>IF(fNotasFiscais[[#This Row],[Ocorrência]]="",1,0)</f>
        <v>1</v>
      </c>
      <c r="Z2211" s="2">
        <f>fNotasFiscais[[#This Row],[On Time]]*fNotasFiscais[[#This Row],[In Full]]</f>
        <v>1</v>
      </c>
      <c r="AA2211">
        <f>IF(fNotasFiscais[[#This Row],[Nota Fiscal]]&lt;&gt;"",1,0)</f>
        <v>1</v>
      </c>
    </row>
    <row r="2212" spans="1:27" x14ac:dyDescent="0.25">
      <c r="A2212" s="1">
        <v>43706</v>
      </c>
      <c r="B2212">
        <v>12621</v>
      </c>
      <c r="C2212" s="2" t="s">
        <v>40</v>
      </c>
      <c r="D2212" s="2" t="s">
        <v>41</v>
      </c>
      <c r="E2212" s="2" t="s">
        <v>33</v>
      </c>
      <c r="F2212">
        <v>4022</v>
      </c>
      <c r="G2212" s="2" t="s">
        <v>86</v>
      </c>
      <c r="H2212" s="2" t="s">
        <v>87</v>
      </c>
      <c r="I2212" s="2" t="s">
        <v>27</v>
      </c>
      <c r="J2212" s="2" t="s">
        <v>28</v>
      </c>
      <c r="K2212" s="2" t="s">
        <v>27</v>
      </c>
      <c r="L2212">
        <v>44.88</v>
      </c>
      <c r="M2212">
        <v>5</v>
      </c>
      <c r="N2212">
        <v>18.966999999999999</v>
      </c>
      <c r="O2212">
        <v>6500948</v>
      </c>
      <c r="P2212" s="2" t="s">
        <v>29</v>
      </c>
      <c r="Q2212" s="2" t="s">
        <v>23</v>
      </c>
      <c r="R2212" s="2" t="s">
        <v>30</v>
      </c>
      <c r="S2212">
        <v>10</v>
      </c>
      <c r="T2212" s="1">
        <v>43706</v>
      </c>
      <c r="U2212" s="1">
        <v>43709</v>
      </c>
      <c r="V2212" s="2"/>
      <c r="W2212" s="1">
        <f>fNotasFiscais[[#This Row],[Data da Coleta]]+fNotasFiscais[[#This Row],[Prazo Contratado]]</f>
        <v>43716</v>
      </c>
      <c r="X2212" s="3">
        <f>IF(fNotasFiscais[[#This Row],[Data da Entrega]]&gt;fNotasFiscais[[#This Row],[Data Contratada]],0,1)</f>
        <v>1</v>
      </c>
      <c r="Y2212" s="3">
        <f>IF(fNotasFiscais[[#This Row],[Ocorrência]]="",1,0)</f>
        <v>1</v>
      </c>
      <c r="Z2212" s="2">
        <f>fNotasFiscais[[#This Row],[On Time]]*fNotasFiscais[[#This Row],[In Full]]</f>
        <v>1</v>
      </c>
      <c r="AA2212">
        <f>IF(fNotasFiscais[[#This Row],[Nota Fiscal]]&lt;&gt;"",1,0)</f>
        <v>1</v>
      </c>
    </row>
    <row r="2213" spans="1:27" x14ac:dyDescent="0.25">
      <c r="A2213" s="1">
        <v>43706</v>
      </c>
      <c r="B2213">
        <v>12622</v>
      </c>
      <c r="C2213" s="2" t="s">
        <v>54</v>
      </c>
      <c r="D2213" s="2" t="s">
        <v>55</v>
      </c>
      <c r="E2213" s="2" t="s">
        <v>56</v>
      </c>
      <c r="F2213">
        <v>4022</v>
      </c>
      <c r="G2213" s="2" t="s">
        <v>86</v>
      </c>
      <c r="H2213" s="2" t="s">
        <v>87</v>
      </c>
      <c r="I2213" s="2" t="s">
        <v>27</v>
      </c>
      <c r="J2213" s="2" t="s">
        <v>28</v>
      </c>
      <c r="K2213" s="2" t="s">
        <v>27</v>
      </c>
      <c r="L2213">
        <v>2897.34</v>
      </c>
      <c r="M2213">
        <v>1</v>
      </c>
      <c r="N2213">
        <v>1.1200000000000001</v>
      </c>
      <c r="O2213">
        <v>6500948</v>
      </c>
      <c r="P2213" s="2" t="s">
        <v>29</v>
      </c>
      <c r="Q2213" s="2" t="s">
        <v>23</v>
      </c>
      <c r="R2213" s="2" t="s">
        <v>30</v>
      </c>
      <c r="S2213">
        <v>6</v>
      </c>
      <c r="T2213" s="1">
        <v>43706</v>
      </c>
      <c r="U2213" s="1">
        <v>43707</v>
      </c>
      <c r="V2213" s="2"/>
      <c r="W2213" s="1">
        <f>fNotasFiscais[[#This Row],[Data da Coleta]]+fNotasFiscais[[#This Row],[Prazo Contratado]]</f>
        <v>43712</v>
      </c>
      <c r="X2213" s="3">
        <f>IF(fNotasFiscais[[#This Row],[Data da Entrega]]&gt;fNotasFiscais[[#This Row],[Data Contratada]],0,1)</f>
        <v>1</v>
      </c>
      <c r="Y2213" s="3">
        <f>IF(fNotasFiscais[[#This Row],[Ocorrência]]="",1,0)</f>
        <v>1</v>
      </c>
      <c r="Z2213" s="2">
        <f>fNotasFiscais[[#This Row],[On Time]]*fNotasFiscais[[#This Row],[In Full]]</f>
        <v>1</v>
      </c>
      <c r="AA2213">
        <f>IF(fNotasFiscais[[#This Row],[Nota Fiscal]]&lt;&gt;"",1,0)</f>
        <v>1</v>
      </c>
    </row>
    <row r="2214" spans="1:27" x14ac:dyDescent="0.25">
      <c r="A2214" s="1">
        <v>43706</v>
      </c>
      <c r="B2214">
        <v>12623</v>
      </c>
      <c r="C2214" s="2" t="s">
        <v>54</v>
      </c>
      <c r="D2214" s="2" t="s">
        <v>55</v>
      </c>
      <c r="E2214" s="2" t="s">
        <v>56</v>
      </c>
      <c r="F2214">
        <v>4032</v>
      </c>
      <c r="G2214" s="2" t="s">
        <v>108</v>
      </c>
      <c r="H2214" s="2" t="s">
        <v>51</v>
      </c>
      <c r="I2214" s="2" t="s">
        <v>73</v>
      </c>
      <c r="J2214" s="2" t="s">
        <v>49</v>
      </c>
      <c r="K2214" s="2" t="s">
        <v>73</v>
      </c>
      <c r="L2214">
        <v>3479.51</v>
      </c>
      <c r="M2214">
        <v>6</v>
      </c>
      <c r="N2214">
        <v>24.937000000000001</v>
      </c>
      <c r="O2214">
        <v>6100231</v>
      </c>
      <c r="P2214" s="2" t="s">
        <v>50</v>
      </c>
      <c r="Q2214" s="2" t="s">
        <v>51</v>
      </c>
      <c r="R2214" s="2" t="s">
        <v>30</v>
      </c>
      <c r="S2214">
        <v>10</v>
      </c>
      <c r="T2214" s="1">
        <v>43706</v>
      </c>
      <c r="U2214" s="1">
        <v>43714</v>
      </c>
      <c r="V2214" s="2"/>
      <c r="W2214" s="1">
        <f>fNotasFiscais[[#This Row],[Data da Coleta]]+fNotasFiscais[[#This Row],[Prazo Contratado]]</f>
        <v>43716</v>
      </c>
      <c r="X2214" s="3">
        <f>IF(fNotasFiscais[[#This Row],[Data da Entrega]]&gt;fNotasFiscais[[#This Row],[Data Contratada]],0,1)</f>
        <v>1</v>
      </c>
      <c r="Y2214" s="3">
        <f>IF(fNotasFiscais[[#This Row],[Ocorrência]]="",1,0)</f>
        <v>1</v>
      </c>
      <c r="Z2214" s="2">
        <f>fNotasFiscais[[#This Row],[On Time]]*fNotasFiscais[[#This Row],[In Full]]</f>
        <v>1</v>
      </c>
      <c r="AA2214">
        <f>IF(fNotasFiscais[[#This Row],[Nota Fiscal]]&lt;&gt;"",1,0)</f>
        <v>1</v>
      </c>
    </row>
    <row r="2215" spans="1:27" x14ac:dyDescent="0.25">
      <c r="A2215" s="1">
        <v>43706</v>
      </c>
      <c r="B2215">
        <v>12624</v>
      </c>
      <c r="C2215" s="2" t="s">
        <v>31</v>
      </c>
      <c r="D2215" s="2" t="s">
        <v>32</v>
      </c>
      <c r="E2215" s="2" t="s">
        <v>33</v>
      </c>
      <c r="F2215">
        <v>4019</v>
      </c>
      <c r="G2215" s="2" t="s">
        <v>79</v>
      </c>
      <c r="H2215" s="2" t="s">
        <v>80</v>
      </c>
      <c r="I2215" s="2" t="s">
        <v>39</v>
      </c>
      <c r="J2215" s="2" t="s">
        <v>28</v>
      </c>
      <c r="K2215" s="2" t="s">
        <v>39</v>
      </c>
      <c r="L2215">
        <v>755.94</v>
      </c>
      <c r="M2215">
        <v>1</v>
      </c>
      <c r="N2215">
        <v>1.1200000000000001</v>
      </c>
      <c r="O2215">
        <v>6500948</v>
      </c>
      <c r="P2215" s="2" t="s">
        <v>29</v>
      </c>
      <c r="Q2215" s="2" t="s">
        <v>23</v>
      </c>
      <c r="R2215" s="2" t="s">
        <v>30</v>
      </c>
      <c r="S2215">
        <v>5</v>
      </c>
      <c r="T2215" s="1">
        <v>43706</v>
      </c>
      <c r="U2215" s="1">
        <v>43707</v>
      </c>
      <c r="V2215" s="2"/>
      <c r="W2215" s="1">
        <f>fNotasFiscais[[#This Row],[Data da Coleta]]+fNotasFiscais[[#This Row],[Prazo Contratado]]</f>
        <v>43711</v>
      </c>
      <c r="X2215" s="3">
        <f>IF(fNotasFiscais[[#This Row],[Data da Entrega]]&gt;fNotasFiscais[[#This Row],[Data Contratada]],0,1)</f>
        <v>1</v>
      </c>
      <c r="Y2215" s="3">
        <f>IF(fNotasFiscais[[#This Row],[Ocorrência]]="",1,0)</f>
        <v>1</v>
      </c>
      <c r="Z2215" s="2">
        <f>fNotasFiscais[[#This Row],[On Time]]*fNotasFiscais[[#This Row],[In Full]]</f>
        <v>1</v>
      </c>
      <c r="AA2215">
        <f>IF(fNotasFiscais[[#This Row],[Nota Fiscal]]&lt;&gt;"",1,0)</f>
        <v>1</v>
      </c>
    </row>
    <row r="2216" spans="1:27" x14ac:dyDescent="0.25">
      <c r="A2216" s="1">
        <v>43706</v>
      </c>
      <c r="B2216">
        <v>12625</v>
      </c>
      <c r="C2216" s="2" t="s">
        <v>54</v>
      </c>
      <c r="D2216" s="2" t="s">
        <v>55</v>
      </c>
      <c r="E2216" s="2" t="s">
        <v>56</v>
      </c>
      <c r="F2216">
        <v>4019</v>
      </c>
      <c r="G2216" s="2" t="s">
        <v>79</v>
      </c>
      <c r="H2216" s="2" t="s">
        <v>80</v>
      </c>
      <c r="I2216" s="2" t="s">
        <v>39</v>
      </c>
      <c r="J2216" s="2" t="s">
        <v>28</v>
      </c>
      <c r="K2216" s="2" t="s">
        <v>39</v>
      </c>
      <c r="L2216">
        <v>552.02</v>
      </c>
      <c r="M2216">
        <v>1</v>
      </c>
      <c r="N2216">
        <v>1.1200000000000001</v>
      </c>
      <c r="O2216">
        <v>6500948</v>
      </c>
      <c r="P2216" s="2" t="s">
        <v>29</v>
      </c>
      <c r="Q2216" s="2" t="s">
        <v>23</v>
      </c>
      <c r="R2216" s="2" t="s">
        <v>30</v>
      </c>
      <c r="S2216">
        <v>11</v>
      </c>
      <c r="T2216" s="1">
        <v>43706</v>
      </c>
      <c r="U2216" s="1">
        <v>43711</v>
      </c>
      <c r="V2216" s="2"/>
      <c r="W2216" s="1">
        <f>fNotasFiscais[[#This Row],[Data da Coleta]]+fNotasFiscais[[#This Row],[Prazo Contratado]]</f>
        <v>43717</v>
      </c>
      <c r="X2216" s="3">
        <f>IF(fNotasFiscais[[#This Row],[Data da Entrega]]&gt;fNotasFiscais[[#This Row],[Data Contratada]],0,1)</f>
        <v>1</v>
      </c>
      <c r="Y2216" s="3">
        <f>IF(fNotasFiscais[[#This Row],[Ocorrência]]="",1,0)</f>
        <v>1</v>
      </c>
      <c r="Z2216" s="2">
        <f>fNotasFiscais[[#This Row],[On Time]]*fNotasFiscais[[#This Row],[In Full]]</f>
        <v>1</v>
      </c>
      <c r="AA2216">
        <f>IF(fNotasFiscais[[#This Row],[Nota Fiscal]]&lt;&gt;"",1,0)</f>
        <v>1</v>
      </c>
    </row>
    <row r="2217" spans="1:27" x14ac:dyDescent="0.25">
      <c r="A2217" s="1">
        <v>43706</v>
      </c>
      <c r="B2217">
        <v>12626</v>
      </c>
      <c r="C2217" s="2" t="s">
        <v>43</v>
      </c>
      <c r="D2217" s="2" t="s">
        <v>44</v>
      </c>
      <c r="E2217" s="2" t="s">
        <v>45</v>
      </c>
      <c r="F2217">
        <v>4019</v>
      </c>
      <c r="G2217" s="2" t="s">
        <v>79</v>
      </c>
      <c r="H2217" s="2" t="s">
        <v>80</v>
      </c>
      <c r="I2217" s="2" t="s">
        <v>39</v>
      </c>
      <c r="J2217" s="2" t="s">
        <v>28</v>
      </c>
      <c r="K2217" s="2" t="s">
        <v>39</v>
      </c>
      <c r="L2217">
        <v>126.16</v>
      </c>
      <c r="M2217">
        <v>1</v>
      </c>
      <c r="N2217">
        <v>1.1200000000000001</v>
      </c>
      <c r="O2217">
        <v>6500948</v>
      </c>
      <c r="P2217" s="2" t="s">
        <v>29</v>
      </c>
      <c r="Q2217" s="2" t="s">
        <v>23</v>
      </c>
      <c r="R2217" s="2" t="s">
        <v>30</v>
      </c>
      <c r="S2217">
        <v>5</v>
      </c>
      <c r="T2217" s="1">
        <v>43706</v>
      </c>
      <c r="U2217" s="1">
        <v>43709</v>
      </c>
      <c r="V2217" s="2"/>
      <c r="W2217" s="1">
        <f>fNotasFiscais[[#This Row],[Data da Coleta]]+fNotasFiscais[[#This Row],[Prazo Contratado]]</f>
        <v>43711</v>
      </c>
      <c r="X2217" s="3">
        <f>IF(fNotasFiscais[[#This Row],[Data da Entrega]]&gt;fNotasFiscais[[#This Row],[Data Contratada]],0,1)</f>
        <v>1</v>
      </c>
      <c r="Y2217" s="3">
        <f>IF(fNotasFiscais[[#This Row],[Ocorrência]]="",1,0)</f>
        <v>1</v>
      </c>
      <c r="Z2217" s="2">
        <f>fNotasFiscais[[#This Row],[On Time]]*fNotasFiscais[[#This Row],[In Full]]</f>
        <v>1</v>
      </c>
      <c r="AA2217">
        <f>IF(fNotasFiscais[[#This Row],[Nota Fiscal]]&lt;&gt;"",1,0)</f>
        <v>1</v>
      </c>
    </row>
    <row r="2218" spans="1:27" x14ac:dyDescent="0.25">
      <c r="A2218" s="1">
        <v>43706</v>
      </c>
      <c r="B2218">
        <v>12627</v>
      </c>
      <c r="C2218" s="2" t="s">
        <v>43</v>
      </c>
      <c r="D2218" s="2" t="s">
        <v>44</v>
      </c>
      <c r="E2218" s="2" t="s">
        <v>45</v>
      </c>
      <c r="F2218">
        <v>4019</v>
      </c>
      <c r="G2218" s="2" t="s">
        <v>79</v>
      </c>
      <c r="H2218" s="2" t="s">
        <v>80</v>
      </c>
      <c r="I2218" s="2" t="s">
        <v>39</v>
      </c>
      <c r="J2218" s="2" t="s">
        <v>28</v>
      </c>
      <c r="K2218" s="2" t="s">
        <v>39</v>
      </c>
      <c r="L2218">
        <v>5268.75</v>
      </c>
      <c r="M2218">
        <v>8</v>
      </c>
      <c r="N2218">
        <v>31.036999999999999</v>
      </c>
      <c r="O2218">
        <v>6500948</v>
      </c>
      <c r="P2218" s="2" t="s">
        <v>29</v>
      </c>
      <c r="Q2218" s="2" t="s">
        <v>23</v>
      </c>
      <c r="R2218" s="2" t="s">
        <v>30</v>
      </c>
      <c r="S2218">
        <v>6</v>
      </c>
      <c r="T2218" s="1">
        <v>43706</v>
      </c>
      <c r="U2218" s="1">
        <v>43715</v>
      </c>
      <c r="V2218" s="2"/>
      <c r="W2218" s="1">
        <f>fNotasFiscais[[#This Row],[Data da Coleta]]+fNotasFiscais[[#This Row],[Prazo Contratado]]</f>
        <v>43712</v>
      </c>
      <c r="X2218" s="3">
        <f>IF(fNotasFiscais[[#This Row],[Data da Entrega]]&gt;fNotasFiscais[[#This Row],[Data Contratada]],0,1)</f>
        <v>0</v>
      </c>
      <c r="Y2218" s="3">
        <f>IF(fNotasFiscais[[#This Row],[Ocorrência]]="",1,0)</f>
        <v>1</v>
      </c>
      <c r="Z2218" s="2">
        <f>fNotasFiscais[[#This Row],[On Time]]*fNotasFiscais[[#This Row],[In Full]]</f>
        <v>0</v>
      </c>
      <c r="AA2218">
        <f>IF(fNotasFiscais[[#This Row],[Nota Fiscal]]&lt;&gt;"",1,0)</f>
        <v>1</v>
      </c>
    </row>
    <row r="2219" spans="1:27" x14ac:dyDescent="0.25">
      <c r="A2219" s="1">
        <v>43706</v>
      </c>
      <c r="B2219">
        <v>12628</v>
      </c>
      <c r="C2219" s="2" t="s">
        <v>43</v>
      </c>
      <c r="D2219" s="2" t="s">
        <v>44</v>
      </c>
      <c r="E2219" s="2" t="s">
        <v>45</v>
      </c>
      <c r="F2219">
        <v>4019</v>
      </c>
      <c r="G2219" s="2" t="s">
        <v>79</v>
      </c>
      <c r="H2219" s="2" t="s">
        <v>80</v>
      </c>
      <c r="I2219" s="2" t="s">
        <v>39</v>
      </c>
      <c r="J2219" s="2" t="s">
        <v>28</v>
      </c>
      <c r="K2219" s="2" t="s">
        <v>39</v>
      </c>
      <c r="L2219">
        <v>17.420000000000002</v>
      </c>
      <c r="M2219">
        <v>1</v>
      </c>
      <c r="N2219">
        <v>1.1200000000000001</v>
      </c>
      <c r="O2219">
        <v>6500948</v>
      </c>
      <c r="P2219" s="2" t="s">
        <v>29</v>
      </c>
      <c r="Q2219" s="2" t="s">
        <v>23</v>
      </c>
      <c r="R2219" s="2" t="s">
        <v>62</v>
      </c>
      <c r="S2219">
        <v>10</v>
      </c>
      <c r="T2219" s="1">
        <v>43706</v>
      </c>
      <c r="U2219" s="1">
        <v>43707</v>
      </c>
      <c r="V2219" s="2"/>
      <c r="W2219" s="1">
        <f>fNotasFiscais[[#This Row],[Data da Coleta]]+fNotasFiscais[[#This Row],[Prazo Contratado]]</f>
        <v>43716</v>
      </c>
      <c r="X2219" s="3">
        <f>IF(fNotasFiscais[[#This Row],[Data da Entrega]]&gt;fNotasFiscais[[#This Row],[Data Contratada]],0,1)</f>
        <v>1</v>
      </c>
      <c r="Y2219" s="3">
        <f>IF(fNotasFiscais[[#This Row],[Ocorrência]]="",1,0)</f>
        <v>1</v>
      </c>
      <c r="Z2219" s="2">
        <f>fNotasFiscais[[#This Row],[On Time]]*fNotasFiscais[[#This Row],[In Full]]</f>
        <v>1</v>
      </c>
      <c r="AA2219">
        <f>IF(fNotasFiscais[[#This Row],[Nota Fiscal]]&lt;&gt;"",1,0)</f>
        <v>1</v>
      </c>
    </row>
    <row r="2220" spans="1:27" x14ac:dyDescent="0.25">
      <c r="A2220" s="1">
        <v>43706</v>
      </c>
      <c r="B2220">
        <v>12629</v>
      </c>
      <c r="C2220" s="2" t="s">
        <v>43</v>
      </c>
      <c r="D2220" s="2" t="s">
        <v>44</v>
      </c>
      <c r="E2220" s="2" t="s">
        <v>45</v>
      </c>
      <c r="F2220">
        <v>4019</v>
      </c>
      <c r="G2220" s="2" t="s">
        <v>79</v>
      </c>
      <c r="H2220" s="2" t="s">
        <v>80</v>
      </c>
      <c r="I2220" s="2" t="s">
        <v>39</v>
      </c>
      <c r="J2220" s="2" t="s">
        <v>28</v>
      </c>
      <c r="K2220" s="2" t="s">
        <v>39</v>
      </c>
      <c r="L2220">
        <v>817.59</v>
      </c>
      <c r="M2220">
        <v>1</v>
      </c>
      <c r="N2220">
        <v>5.28</v>
      </c>
      <c r="O2220">
        <v>6500948</v>
      </c>
      <c r="P2220" s="2" t="s">
        <v>29</v>
      </c>
      <c r="Q2220" s="2" t="s">
        <v>23</v>
      </c>
      <c r="R2220" s="2" t="s">
        <v>30</v>
      </c>
      <c r="S2220">
        <v>6</v>
      </c>
      <c r="T2220" s="1">
        <v>43706</v>
      </c>
      <c r="U2220" s="1">
        <v>43709</v>
      </c>
      <c r="V2220" s="2"/>
      <c r="W2220" s="1">
        <f>fNotasFiscais[[#This Row],[Data da Coleta]]+fNotasFiscais[[#This Row],[Prazo Contratado]]</f>
        <v>43712</v>
      </c>
      <c r="X2220" s="3">
        <f>IF(fNotasFiscais[[#This Row],[Data da Entrega]]&gt;fNotasFiscais[[#This Row],[Data Contratada]],0,1)</f>
        <v>1</v>
      </c>
      <c r="Y2220" s="3">
        <f>IF(fNotasFiscais[[#This Row],[Ocorrência]]="",1,0)</f>
        <v>1</v>
      </c>
      <c r="Z2220" s="2">
        <f>fNotasFiscais[[#This Row],[On Time]]*fNotasFiscais[[#This Row],[In Full]]</f>
        <v>1</v>
      </c>
      <c r="AA2220">
        <f>IF(fNotasFiscais[[#This Row],[Nota Fiscal]]&lt;&gt;"",1,0)</f>
        <v>1</v>
      </c>
    </row>
    <row r="2221" spans="1:27" x14ac:dyDescent="0.25">
      <c r="A2221" s="1">
        <v>43706</v>
      </c>
      <c r="B2221">
        <v>12630</v>
      </c>
      <c r="C2221" s="2" t="s">
        <v>52</v>
      </c>
      <c r="D2221" s="2" t="s">
        <v>53</v>
      </c>
      <c r="E2221" s="2" t="s">
        <v>33</v>
      </c>
      <c r="F2221">
        <v>4019</v>
      </c>
      <c r="G2221" s="2" t="s">
        <v>79</v>
      </c>
      <c r="H2221" s="2" t="s">
        <v>80</v>
      </c>
      <c r="I2221" s="2" t="s">
        <v>39</v>
      </c>
      <c r="J2221" s="2" t="s">
        <v>28</v>
      </c>
      <c r="K2221" s="2" t="s">
        <v>39</v>
      </c>
      <c r="L2221">
        <v>27.8</v>
      </c>
      <c r="M2221">
        <v>1</v>
      </c>
      <c r="N2221">
        <v>6.0000000000000001E-3</v>
      </c>
      <c r="O2221">
        <v>6500948</v>
      </c>
      <c r="P2221" s="2" t="s">
        <v>29</v>
      </c>
      <c r="Q2221" s="2" t="s">
        <v>23</v>
      </c>
      <c r="R2221" s="2" t="s">
        <v>30</v>
      </c>
      <c r="S2221">
        <v>12</v>
      </c>
      <c r="T2221" s="1">
        <v>43706</v>
      </c>
      <c r="U2221" s="1">
        <v>43710</v>
      </c>
      <c r="V2221" s="2"/>
      <c r="W2221" s="1">
        <f>fNotasFiscais[[#This Row],[Data da Coleta]]+fNotasFiscais[[#This Row],[Prazo Contratado]]</f>
        <v>43718</v>
      </c>
      <c r="X2221" s="3">
        <f>IF(fNotasFiscais[[#This Row],[Data da Entrega]]&gt;fNotasFiscais[[#This Row],[Data Contratada]],0,1)</f>
        <v>1</v>
      </c>
      <c r="Y2221" s="3">
        <f>IF(fNotasFiscais[[#This Row],[Ocorrência]]="",1,0)</f>
        <v>1</v>
      </c>
      <c r="Z2221" s="2">
        <f>fNotasFiscais[[#This Row],[On Time]]*fNotasFiscais[[#This Row],[In Full]]</f>
        <v>1</v>
      </c>
      <c r="AA2221">
        <f>IF(fNotasFiscais[[#This Row],[Nota Fiscal]]&lt;&gt;"",1,0)</f>
        <v>1</v>
      </c>
    </row>
    <row r="2222" spans="1:27" x14ac:dyDescent="0.25">
      <c r="A2222" s="1">
        <v>43707</v>
      </c>
      <c r="B2222">
        <v>12631</v>
      </c>
      <c r="C2222" s="2" t="s">
        <v>52</v>
      </c>
      <c r="D2222" s="2" t="s">
        <v>53</v>
      </c>
      <c r="E2222" s="2" t="s">
        <v>33</v>
      </c>
      <c r="F2222">
        <v>4145</v>
      </c>
      <c r="G2222" s="2" t="s">
        <v>228</v>
      </c>
      <c r="H2222" s="2" t="s">
        <v>165</v>
      </c>
      <c r="I2222" s="2" t="s">
        <v>24</v>
      </c>
      <c r="J2222" s="2" t="s">
        <v>28</v>
      </c>
      <c r="K2222" s="2" t="s">
        <v>24</v>
      </c>
      <c r="L2222">
        <v>8850.4</v>
      </c>
      <c r="M2222">
        <v>4</v>
      </c>
      <c r="N2222">
        <v>37.420999999999999</v>
      </c>
      <c r="O2222">
        <v>6500948</v>
      </c>
      <c r="P2222" s="2" t="s">
        <v>29</v>
      </c>
      <c r="Q2222" s="2" t="s">
        <v>23</v>
      </c>
      <c r="R2222" s="2" t="s">
        <v>30</v>
      </c>
      <c r="S2222">
        <v>2</v>
      </c>
      <c r="T2222" s="1">
        <v>43707</v>
      </c>
      <c r="U2222" s="1">
        <v>43715</v>
      </c>
      <c r="V2222" s="2" t="s">
        <v>42</v>
      </c>
      <c r="W2222" s="1">
        <f>fNotasFiscais[[#This Row],[Data da Coleta]]+fNotasFiscais[[#This Row],[Prazo Contratado]]</f>
        <v>43709</v>
      </c>
      <c r="X2222" s="3">
        <f>IF(fNotasFiscais[[#This Row],[Data da Entrega]]&gt;fNotasFiscais[[#This Row],[Data Contratada]],0,1)</f>
        <v>0</v>
      </c>
      <c r="Y2222" s="3">
        <f>IF(fNotasFiscais[[#This Row],[Ocorrência]]="",1,0)</f>
        <v>0</v>
      </c>
      <c r="Z2222" s="2">
        <f>fNotasFiscais[[#This Row],[On Time]]*fNotasFiscais[[#This Row],[In Full]]</f>
        <v>0</v>
      </c>
      <c r="AA2222">
        <f>IF(fNotasFiscais[[#This Row],[Nota Fiscal]]&lt;&gt;"",1,0)</f>
        <v>1</v>
      </c>
    </row>
    <row r="2223" spans="1:27" x14ac:dyDescent="0.25">
      <c r="A2223" s="1">
        <v>43707</v>
      </c>
      <c r="B2223">
        <v>12632</v>
      </c>
      <c r="C2223" s="2" t="s">
        <v>34</v>
      </c>
      <c r="D2223" s="2" t="s">
        <v>35</v>
      </c>
      <c r="E2223" s="2" t="s">
        <v>36</v>
      </c>
      <c r="F2223">
        <v>4018</v>
      </c>
      <c r="G2223" s="2" t="s">
        <v>77</v>
      </c>
      <c r="H2223" s="2" t="s">
        <v>78</v>
      </c>
      <c r="I2223" s="2" t="s">
        <v>39</v>
      </c>
      <c r="J2223" s="2" t="s">
        <v>28</v>
      </c>
      <c r="K2223" s="2" t="s">
        <v>39</v>
      </c>
      <c r="L2223">
        <v>122.78</v>
      </c>
      <c r="M2223">
        <v>1</v>
      </c>
      <c r="N2223">
        <v>1.1200000000000001</v>
      </c>
      <c r="O2223">
        <v>6500948</v>
      </c>
      <c r="P2223" s="2" t="s">
        <v>29</v>
      </c>
      <c r="Q2223" s="2" t="s">
        <v>23</v>
      </c>
      <c r="R2223" s="2" t="s">
        <v>30</v>
      </c>
      <c r="S2223">
        <v>1</v>
      </c>
      <c r="T2223" s="1">
        <v>43707</v>
      </c>
      <c r="U2223" s="1">
        <v>43711</v>
      </c>
      <c r="V2223" s="2"/>
      <c r="W2223" s="1">
        <f>fNotasFiscais[[#This Row],[Data da Coleta]]+fNotasFiscais[[#This Row],[Prazo Contratado]]</f>
        <v>43708</v>
      </c>
      <c r="X2223" s="3">
        <f>IF(fNotasFiscais[[#This Row],[Data da Entrega]]&gt;fNotasFiscais[[#This Row],[Data Contratada]],0,1)</f>
        <v>0</v>
      </c>
      <c r="Y2223" s="3">
        <f>IF(fNotasFiscais[[#This Row],[Ocorrência]]="",1,0)</f>
        <v>1</v>
      </c>
      <c r="Z2223" s="2">
        <f>fNotasFiscais[[#This Row],[On Time]]*fNotasFiscais[[#This Row],[In Full]]</f>
        <v>0</v>
      </c>
      <c r="AA2223">
        <f>IF(fNotasFiscais[[#This Row],[Nota Fiscal]]&lt;&gt;"",1,0)</f>
        <v>1</v>
      </c>
    </row>
    <row r="2224" spans="1:27" x14ac:dyDescent="0.25">
      <c r="A2224" s="1">
        <v>43707</v>
      </c>
      <c r="B2224">
        <v>12633</v>
      </c>
      <c r="C2224" s="2" t="s">
        <v>54</v>
      </c>
      <c r="D2224" s="2" t="s">
        <v>55</v>
      </c>
      <c r="E2224" s="2" t="s">
        <v>56</v>
      </c>
      <c r="F2224">
        <v>4064</v>
      </c>
      <c r="G2224" s="2" t="s">
        <v>128</v>
      </c>
      <c r="H2224" s="2" t="s">
        <v>129</v>
      </c>
      <c r="I2224" s="2" t="s">
        <v>33</v>
      </c>
      <c r="J2224" s="2" t="s">
        <v>60</v>
      </c>
      <c r="K2224" s="2" t="s">
        <v>33</v>
      </c>
      <c r="L2224">
        <v>886.56</v>
      </c>
      <c r="M2224">
        <v>1</v>
      </c>
      <c r="N2224">
        <v>4.84</v>
      </c>
      <c r="O2224">
        <v>6400835</v>
      </c>
      <c r="P2224" s="2" t="s">
        <v>130</v>
      </c>
      <c r="Q2224" s="2" t="s">
        <v>131</v>
      </c>
      <c r="R2224" s="2" t="s">
        <v>30</v>
      </c>
      <c r="S2224">
        <v>10</v>
      </c>
      <c r="T2224" s="1">
        <v>43707</v>
      </c>
      <c r="U2224" s="1">
        <v>43717</v>
      </c>
      <c r="V2224" s="2" t="s">
        <v>42</v>
      </c>
      <c r="W2224" s="1">
        <f>fNotasFiscais[[#This Row],[Data da Coleta]]+fNotasFiscais[[#This Row],[Prazo Contratado]]</f>
        <v>43717</v>
      </c>
      <c r="X2224" s="3">
        <f>IF(fNotasFiscais[[#This Row],[Data da Entrega]]&gt;fNotasFiscais[[#This Row],[Data Contratada]],0,1)</f>
        <v>1</v>
      </c>
      <c r="Y2224" s="3">
        <f>IF(fNotasFiscais[[#This Row],[Ocorrência]]="",1,0)</f>
        <v>0</v>
      </c>
      <c r="Z2224" s="2">
        <f>fNotasFiscais[[#This Row],[On Time]]*fNotasFiscais[[#This Row],[In Full]]</f>
        <v>0</v>
      </c>
      <c r="AA2224">
        <f>IF(fNotasFiscais[[#This Row],[Nota Fiscal]]&lt;&gt;"",1,0)</f>
        <v>1</v>
      </c>
    </row>
    <row r="2225" spans="1:27" x14ac:dyDescent="0.25">
      <c r="A2225" s="1">
        <v>43707</v>
      </c>
      <c r="B2225">
        <v>12634</v>
      </c>
      <c r="C2225" s="2" t="s">
        <v>31</v>
      </c>
      <c r="D2225" s="2" t="s">
        <v>32</v>
      </c>
      <c r="E2225" s="2" t="s">
        <v>33</v>
      </c>
      <c r="F2225">
        <v>4064</v>
      </c>
      <c r="G2225" s="2" t="s">
        <v>128</v>
      </c>
      <c r="H2225" s="2" t="s">
        <v>129</v>
      </c>
      <c r="I2225" s="2" t="s">
        <v>33</v>
      </c>
      <c r="J2225" s="2" t="s">
        <v>60</v>
      </c>
      <c r="K2225" s="2" t="s">
        <v>33</v>
      </c>
      <c r="L2225">
        <v>948.36</v>
      </c>
      <c r="M2225">
        <v>1</v>
      </c>
      <c r="N2225">
        <v>5.5060000000000002</v>
      </c>
      <c r="O2225">
        <v>6400835</v>
      </c>
      <c r="P2225" s="2" t="s">
        <v>130</v>
      </c>
      <c r="Q2225" s="2" t="s">
        <v>131</v>
      </c>
      <c r="R2225" s="2" t="s">
        <v>30</v>
      </c>
      <c r="S2225">
        <v>7</v>
      </c>
      <c r="T2225" s="1">
        <v>43707</v>
      </c>
      <c r="U2225" s="1">
        <v>43712</v>
      </c>
      <c r="V2225" s="2"/>
      <c r="W2225" s="1">
        <f>fNotasFiscais[[#This Row],[Data da Coleta]]+fNotasFiscais[[#This Row],[Prazo Contratado]]</f>
        <v>43714</v>
      </c>
      <c r="X2225" s="3">
        <f>IF(fNotasFiscais[[#This Row],[Data da Entrega]]&gt;fNotasFiscais[[#This Row],[Data Contratada]],0,1)</f>
        <v>1</v>
      </c>
      <c r="Y2225" s="3">
        <f>IF(fNotasFiscais[[#This Row],[Ocorrência]]="",1,0)</f>
        <v>1</v>
      </c>
      <c r="Z2225" s="2">
        <f>fNotasFiscais[[#This Row],[On Time]]*fNotasFiscais[[#This Row],[In Full]]</f>
        <v>1</v>
      </c>
      <c r="AA2225">
        <f>IF(fNotasFiscais[[#This Row],[Nota Fiscal]]&lt;&gt;"",1,0)</f>
        <v>1</v>
      </c>
    </row>
    <row r="2226" spans="1:27" x14ac:dyDescent="0.25">
      <c r="A2226" s="1">
        <v>43707</v>
      </c>
      <c r="B2226">
        <v>12635</v>
      </c>
      <c r="C2226" s="2" t="s">
        <v>22</v>
      </c>
      <c r="D2226" s="2" t="s">
        <v>23</v>
      </c>
      <c r="E2226" s="2" t="s">
        <v>24</v>
      </c>
      <c r="F2226">
        <v>4064</v>
      </c>
      <c r="G2226" s="2" t="s">
        <v>128</v>
      </c>
      <c r="H2226" s="2" t="s">
        <v>129</v>
      </c>
      <c r="I2226" s="2" t="s">
        <v>33</v>
      </c>
      <c r="J2226" s="2" t="s">
        <v>60</v>
      </c>
      <c r="K2226" s="2" t="s">
        <v>33</v>
      </c>
      <c r="L2226">
        <v>3856.44</v>
      </c>
      <c r="M2226">
        <v>4</v>
      </c>
      <c r="N2226">
        <v>35.526000000000003</v>
      </c>
      <c r="O2226">
        <v>6400835</v>
      </c>
      <c r="P2226" s="2" t="s">
        <v>130</v>
      </c>
      <c r="Q2226" s="2" t="s">
        <v>131</v>
      </c>
      <c r="R2226" s="2" t="s">
        <v>30</v>
      </c>
      <c r="S2226">
        <v>12</v>
      </c>
      <c r="T2226" s="1">
        <v>43707</v>
      </c>
      <c r="U2226" s="1">
        <v>43713</v>
      </c>
      <c r="V2226" s="2"/>
      <c r="W2226" s="1">
        <f>fNotasFiscais[[#This Row],[Data da Coleta]]+fNotasFiscais[[#This Row],[Prazo Contratado]]</f>
        <v>43719</v>
      </c>
      <c r="X2226" s="3">
        <f>IF(fNotasFiscais[[#This Row],[Data da Entrega]]&gt;fNotasFiscais[[#This Row],[Data Contratada]],0,1)</f>
        <v>1</v>
      </c>
      <c r="Y2226" s="3">
        <f>IF(fNotasFiscais[[#This Row],[Ocorrência]]="",1,0)</f>
        <v>1</v>
      </c>
      <c r="Z2226" s="2">
        <f>fNotasFiscais[[#This Row],[On Time]]*fNotasFiscais[[#This Row],[In Full]]</f>
        <v>1</v>
      </c>
      <c r="AA2226">
        <f>IF(fNotasFiscais[[#This Row],[Nota Fiscal]]&lt;&gt;"",1,0)</f>
        <v>1</v>
      </c>
    </row>
    <row r="2227" spans="1:27" x14ac:dyDescent="0.25">
      <c r="A2227" s="1">
        <v>43707</v>
      </c>
      <c r="B2227">
        <v>12636</v>
      </c>
      <c r="C2227" s="2" t="s">
        <v>54</v>
      </c>
      <c r="D2227" s="2" t="s">
        <v>55</v>
      </c>
      <c r="E2227" s="2" t="s">
        <v>56</v>
      </c>
      <c r="F2227">
        <v>4064</v>
      </c>
      <c r="G2227" s="2" t="s">
        <v>128</v>
      </c>
      <c r="H2227" s="2" t="s">
        <v>129</v>
      </c>
      <c r="I2227" s="2" t="s">
        <v>33</v>
      </c>
      <c r="J2227" s="2" t="s">
        <v>60</v>
      </c>
      <c r="K2227" s="2" t="s">
        <v>33</v>
      </c>
      <c r="L2227">
        <v>3291.6</v>
      </c>
      <c r="M2227">
        <v>2</v>
      </c>
      <c r="N2227">
        <v>26.4</v>
      </c>
      <c r="O2227">
        <v>6400835</v>
      </c>
      <c r="P2227" s="2" t="s">
        <v>130</v>
      </c>
      <c r="Q2227" s="2" t="s">
        <v>131</v>
      </c>
      <c r="R2227" s="2" t="s">
        <v>30</v>
      </c>
      <c r="S2227">
        <v>4</v>
      </c>
      <c r="T2227" s="1">
        <v>43707</v>
      </c>
      <c r="U2227" s="1">
        <v>43715</v>
      </c>
      <c r="V2227" s="2"/>
      <c r="W2227" s="1">
        <f>fNotasFiscais[[#This Row],[Data da Coleta]]+fNotasFiscais[[#This Row],[Prazo Contratado]]</f>
        <v>43711</v>
      </c>
      <c r="X2227" s="3">
        <f>IF(fNotasFiscais[[#This Row],[Data da Entrega]]&gt;fNotasFiscais[[#This Row],[Data Contratada]],0,1)</f>
        <v>0</v>
      </c>
      <c r="Y2227" s="3">
        <f>IF(fNotasFiscais[[#This Row],[Ocorrência]]="",1,0)</f>
        <v>1</v>
      </c>
      <c r="Z2227" s="2">
        <f>fNotasFiscais[[#This Row],[On Time]]*fNotasFiscais[[#This Row],[In Full]]</f>
        <v>0</v>
      </c>
      <c r="AA2227">
        <f>IF(fNotasFiscais[[#This Row],[Nota Fiscal]]&lt;&gt;"",1,0)</f>
        <v>1</v>
      </c>
    </row>
    <row r="2228" spans="1:27" x14ac:dyDescent="0.25">
      <c r="A2228" s="1">
        <v>43707</v>
      </c>
      <c r="B2228">
        <v>12637</v>
      </c>
      <c r="C2228" s="2" t="s">
        <v>54</v>
      </c>
      <c r="D2228" s="2" t="s">
        <v>55</v>
      </c>
      <c r="E2228" s="2" t="s">
        <v>56</v>
      </c>
      <c r="F2228">
        <v>4064</v>
      </c>
      <c r="G2228" s="2" t="s">
        <v>128</v>
      </c>
      <c r="H2228" s="2" t="s">
        <v>129</v>
      </c>
      <c r="I2228" s="2" t="s">
        <v>33</v>
      </c>
      <c r="J2228" s="2" t="s">
        <v>60</v>
      </c>
      <c r="K2228" s="2" t="s">
        <v>33</v>
      </c>
      <c r="L2228">
        <v>23.6</v>
      </c>
      <c r="M2228">
        <v>1</v>
      </c>
      <c r="N2228">
        <v>16.5</v>
      </c>
      <c r="O2228">
        <v>6400835</v>
      </c>
      <c r="P2228" s="2" t="s">
        <v>130</v>
      </c>
      <c r="Q2228" s="2" t="s">
        <v>131</v>
      </c>
      <c r="R2228" s="2" t="s">
        <v>30</v>
      </c>
      <c r="S2228">
        <v>3</v>
      </c>
      <c r="T2228" s="1">
        <v>43707</v>
      </c>
      <c r="U2228" s="1">
        <v>43715</v>
      </c>
      <c r="V2228" s="2"/>
      <c r="W2228" s="1">
        <f>fNotasFiscais[[#This Row],[Data da Coleta]]+fNotasFiscais[[#This Row],[Prazo Contratado]]</f>
        <v>43710</v>
      </c>
      <c r="X2228" s="3">
        <f>IF(fNotasFiscais[[#This Row],[Data da Entrega]]&gt;fNotasFiscais[[#This Row],[Data Contratada]],0,1)</f>
        <v>0</v>
      </c>
      <c r="Y2228" s="3">
        <f>IF(fNotasFiscais[[#This Row],[Ocorrência]]="",1,0)</f>
        <v>1</v>
      </c>
      <c r="Z2228" s="2">
        <f>fNotasFiscais[[#This Row],[On Time]]*fNotasFiscais[[#This Row],[In Full]]</f>
        <v>0</v>
      </c>
      <c r="AA2228">
        <f>IF(fNotasFiscais[[#This Row],[Nota Fiscal]]&lt;&gt;"",1,0)</f>
        <v>1</v>
      </c>
    </row>
    <row r="2229" spans="1:27" x14ac:dyDescent="0.25">
      <c r="A2229" s="1">
        <v>43707</v>
      </c>
      <c r="B2229">
        <v>12638</v>
      </c>
      <c r="C2229" s="2" t="s">
        <v>40</v>
      </c>
      <c r="D2229" s="2" t="s">
        <v>41</v>
      </c>
      <c r="E2229" s="2" t="s">
        <v>33</v>
      </c>
      <c r="F2229">
        <v>4064</v>
      </c>
      <c r="G2229" s="2" t="s">
        <v>128</v>
      </c>
      <c r="H2229" s="2" t="s">
        <v>129</v>
      </c>
      <c r="I2229" s="2" t="s">
        <v>33</v>
      </c>
      <c r="J2229" s="2" t="s">
        <v>60</v>
      </c>
      <c r="K2229" s="2" t="s">
        <v>33</v>
      </c>
      <c r="L2229">
        <v>128.55000000000001</v>
      </c>
      <c r="M2229">
        <v>1</v>
      </c>
      <c r="N2229">
        <v>9.7000000000000003E-2</v>
      </c>
      <c r="O2229">
        <v>6400835</v>
      </c>
      <c r="P2229" s="2" t="s">
        <v>130</v>
      </c>
      <c r="Q2229" s="2" t="s">
        <v>131</v>
      </c>
      <c r="R2229" s="2" t="s">
        <v>30</v>
      </c>
      <c r="S2229">
        <v>1</v>
      </c>
      <c r="T2229" s="1">
        <v>43707</v>
      </c>
      <c r="U2229" s="1">
        <v>43716</v>
      </c>
      <c r="V2229" s="2"/>
      <c r="W2229" s="1">
        <f>fNotasFiscais[[#This Row],[Data da Coleta]]+fNotasFiscais[[#This Row],[Prazo Contratado]]</f>
        <v>43708</v>
      </c>
      <c r="X2229" s="3">
        <f>IF(fNotasFiscais[[#This Row],[Data da Entrega]]&gt;fNotasFiscais[[#This Row],[Data Contratada]],0,1)</f>
        <v>0</v>
      </c>
      <c r="Y2229" s="3">
        <f>IF(fNotasFiscais[[#This Row],[Ocorrência]]="",1,0)</f>
        <v>1</v>
      </c>
      <c r="Z2229" s="2">
        <f>fNotasFiscais[[#This Row],[On Time]]*fNotasFiscais[[#This Row],[In Full]]</f>
        <v>0</v>
      </c>
      <c r="AA2229">
        <f>IF(fNotasFiscais[[#This Row],[Nota Fiscal]]&lt;&gt;"",1,0)</f>
        <v>1</v>
      </c>
    </row>
    <row r="2230" spans="1:27" x14ac:dyDescent="0.25">
      <c r="A2230" s="1">
        <v>43708</v>
      </c>
      <c r="B2230">
        <v>12639</v>
      </c>
      <c r="C2230" s="2" t="s">
        <v>54</v>
      </c>
      <c r="D2230" s="2" t="s">
        <v>55</v>
      </c>
      <c r="E2230" s="2" t="s">
        <v>56</v>
      </c>
      <c r="F2230">
        <v>4161</v>
      </c>
      <c r="G2230" s="2" t="s">
        <v>244</v>
      </c>
      <c r="H2230" s="2" t="s">
        <v>167</v>
      </c>
      <c r="I2230" s="2" t="s">
        <v>168</v>
      </c>
      <c r="J2230" s="2" t="s">
        <v>169</v>
      </c>
      <c r="K2230" s="2" t="s">
        <v>168</v>
      </c>
      <c r="L2230">
        <v>2668.31</v>
      </c>
      <c r="M2230">
        <v>2</v>
      </c>
      <c r="N2230">
        <v>26.18</v>
      </c>
      <c r="O2230">
        <v>6900304</v>
      </c>
      <c r="P2230" s="2" t="s">
        <v>170</v>
      </c>
      <c r="Q2230" s="2" t="s">
        <v>171</v>
      </c>
      <c r="R2230" s="2" t="s">
        <v>30</v>
      </c>
      <c r="S2230">
        <v>12</v>
      </c>
      <c r="T2230" s="1">
        <v>43708</v>
      </c>
      <c r="U2230" s="1">
        <v>43709</v>
      </c>
      <c r="V2230" s="2"/>
      <c r="W2230" s="1">
        <f>fNotasFiscais[[#This Row],[Data da Coleta]]+fNotasFiscais[[#This Row],[Prazo Contratado]]</f>
        <v>43720</v>
      </c>
      <c r="X2230" s="3">
        <f>IF(fNotasFiscais[[#This Row],[Data da Entrega]]&gt;fNotasFiscais[[#This Row],[Data Contratada]],0,1)</f>
        <v>1</v>
      </c>
      <c r="Y2230" s="3">
        <f>IF(fNotasFiscais[[#This Row],[Ocorrência]]="",1,0)</f>
        <v>1</v>
      </c>
      <c r="Z2230" s="2">
        <f>fNotasFiscais[[#This Row],[On Time]]*fNotasFiscais[[#This Row],[In Full]]</f>
        <v>1</v>
      </c>
      <c r="AA2230">
        <f>IF(fNotasFiscais[[#This Row],[Nota Fiscal]]&lt;&gt;"",1,0)</f>
        <v>1</v>
      </c>
    </row>
    <row r="2231" spans="1:27" x14ac:dyDescent="0.25">
      <c r="A2231" s="1">
        <v>43708</v>
      </c>
      <c r="B2231">
        <v>12640</v>
      </c>
      <c r="C2231" s="2" t="s">
        <v>31</v>
      </c>
      <c r="D2231" s="2" t="s">
        <v>32</v>
      </c>
      <c r="E2231" s="2" t="s">
        <v>33</v>
      </c>
      <c r="F2231">
        <v>4147</v>
      </c>
      <c r="G2231" s="2" t="s">
        <v>230</v>
      </c>
      <c r="H2231" s="2" t="s">
        <v>35</v>
      </c>
      <c r="I2231" s="2" t="s">
        <v>36</v>
      </c>
      <c r="J2231" s="2" t="s">
        <v>60</v>
      </c>
      <c r="K2231" s="2" t="s">
        <v>36</v>
      </c>
      <c r="L2231">
        <v>1114.3599999999999</v>
      </c>
      <c r="M2231">
        <v>1</v>
      </c>
      <c r="N2231">
        <v>11.837999999999999</v>
      </c>
      <c r="O2231">
        <v>6600879</v>
      </c>
      <c r="P2231" s="2" t="s">
        <v>61</v>
      </c>
      <c r="Q2231" s="2" t="s">
        <v>35</v>
      </c>
      <c r="R2231" s="2" t="s">
        <v>30</v>
      </c>
      <c r="S2231">
        <v>12</v>
      </c>
      <c r="T2231" s="1">
        <v>43708</v>
      </c>
      <c r="U2231" s="1">
        <v>43718</v>
      </c>
      <c r="V2231" s="2"/>
      <c r="W2231" s="1">
        <f>fNotasFiscais[[#This Row],[Data da Coleta]]+fNotasFiscais[[#This Row],[Prazo Contratado]]</f>
        <v>43720</v>
      </c>
      <c r="X2231" s="3">
        <f>IF(fNotasFiscais[[#This Row],[Data da Entrega]]&gt;fNotasFiscais[[#This Row],[Data Contratada]],0,1)</f>
        <v>1</v>
      </c>
      <c r="Y2231" s="3">
        <f>IF(fNotasFiscais[[#This Row],[Ocorrência]]="",1,0)</f>
        <v>1</v>
      </c>
      <c r="Z2231" s="2">
        <f>fNotasFiscais[[#This Row],[On Time]]*fNotasFiscais[[#This Row],[In Full]]</f>
        <v>1</v>
      </c>
      <c r="AA2231">
        <f>IF(fNotasFiscais[[#This Row],[Nota Fiscal]]&lt;&gt;"",1,0)</f>
        <v>1</v>
      </c>
    </row>
    <row r="2232" spans="1:27" x14ac:dyDescent="0.25">
      <c r="A2232" s="1">
        <v>43708</v>
      </c>
      <c r="B2232">
        <v>12641</v>
      </c>
      <c r="C2232" s="2" t="s">
        <v>52</v>
      </c>
      <c r="D2232" s="2" t="s">
        <v>53</v>
      </c>
      <c r="E2232" s="2" t="s">
        <v>33</v>
      </c>
      <c r="F2232">
        <v>4155</v>
      </c>
      <c r="G2232" s="2" t="s">
        <v>238</v>
      </c>
      <c r="H2232" s="2" t="s">
        <v>32</v>
      </c>
      <c r="I2232" s="2" t="s">
        <v>33</v>
      </c>
      <c r="J2232" s="2" t="s">
        <v>60</v>
      </c>
      <c r="K2232" s="2" t="s">
        <v>33</v>
      </c>
      <c r="L2232">
        <v>10.96</v>
      </c>
      <c r="M2232">
        <v>3</v>
      </c>
      <c r="N2232">
        <v>12.551</v>
      </c>
      <c r="O2232">
        <v>6400835</v>
      </c>
      <c r="P2232" s="2" t="s">
        <v>130</v>
      </c>
      <c r="Q2232" s="2" t="s">
        <v>131</v>
      </c>
      <c r="R2232" s="2" t="s">
        <v>30</v>
      </c>
      <c r="S2232">
        <v>10</v>
      </c>
      <c r="T2232" s="1">
        <v>43708</v>
      </c>
      <c r="U2232" s="1">
        <v>43712</v>
      </c>
      <c r="V2232" s="2"/>
      <c r="W2232" s="1">
        <f>fNotasFiscais[[#This Row],[Data da Coleta]]+fNotasFiscais[[#This Row],[Prazo Contratado]]</f>
        <v>43718</v>
      </c>
      <c r="X2232" s="3">
        <f>IF(fNotasFiscais[[#This Row],[Data da Entrega]]&gt;fNotasFiscais[[#This Row],[Data Contratada]],0,1)</f>
        <v>1</v>
      </c>
      <c r="Y2232" s="3">
        <f>IF(fNotasFiscais[[#This Row],[Ocorrência]]="",1,0)</f>
        <v>1</v>
      </c>
      <c r="Z2232" s="2">
        <f>fNotasFiscais[[#This Row],[On Time]]*fNotasFiscais[[#This Row],[In Full]]</f>
        <v>1</v>
      </c>
      <c r="AA2232">
        <f>IF(fNotasFiscais[[#This Row],[Nota Fiscal]]&lt;&gt;"",1,0)</f>
        <v>1</v>
      </c>
    </row>
    <row r="2233" spans="1:27" x14ac:dyDescent="0.25">
      <c r="A2233" s="1">
        <v>43708</v>
      </c>
      <c r="B2233">
        <v>12642</v>
      </c>
      <c r="C2233" s="2" t="s">
        <v>22</v>
      </c>
      <c r="D2233" s="2" t="s">
        <v>23</v>
      </c>
      <c r="E2233" s="2" t="s">
        <v>24</v>
      </c>
      <c r="F2233">
        <v>4034</v>
      </c>
      <c r="G2233" s="2" t="s">
        <v>110</v>
      </c>
      <c r="H2233" s="2" t="s">
        <v>51</v>
      </c>
      <c r="I2233" s="2" t="s">
        <v>73</v>
      </c>
      <c r="J2233" s="2" t="s">
        <v>49</v>
      </c>
      <c r="K2233" s="2" t="s">
        <v>73</v>
      </c>
      <c r="L2233">
        <v>836.6</v>
      </c>
      <c r="M2233">
        <v>1</v>
      </c>
      <c r="N2233">
        <v>1.1200000000000001</v>
      </c>
      <c r="O2233">
        <v>6100231</v>
      </c>
      <c r="P2233" s="2" t="s">
        <v>50</v>
      </c>
      <c r="Q2233" s="2" t="s">
        <v>51</v>
      </c>
      <c r="R2233" s="2" t="s">
        <v>30</v>
      </c>
      <c r="S2233">
        <v>10</v>
      </c>
      <c r="T2233" s="1">
        <v>43708</v>
      </c>
      <c r="U2233" s="1">
        <v>43712</v>
      </c>
      <c r="V2233" s="2"/>
      <c r="W2233" s="1">
        <f>fNotasFiscais[[#This Row],[Data da Coleta]]+fNotasFiscais[[#This Row],[Prazo Contratado]]</f>
        <v>43718</v>
      </c>
      <c r="X2233" s="3">
        <f>IF(fNotasFiscais[[#This Row],[Data da Entrega]]&gt;fNotasFiscais[[#This Row],[Data Contratada]],0,1)</f>
        <v>1</v>
      </c>
      <c r="Y2233" s="3">
        <f>IF(fNotasFiscais[[#This Row],[Ocorrência]]="",1,0)</f>
        <v>1</v>
      </c>
      <c r="Z2233" s="2">
        <f>fNotasFiscais[[#This Row],[On Time]]*fNotasFiscais[[#This Row],[In Full]]</f>
        <v>1</v>
      </c>
      <c r="AA2233">
        <f>IF(fNotasFiscais[[#This Row],[Nota Fiscal]]&lt;&gt;"",1,0)</f>
        <v>1</v>
      </c>
    </row>
    <row r="2234" spans="1:27" x14ac:dyDescent="0.25">
      <c r="A2234" s="1">
        <v>43708</v>
      </c>
      <c r="B2234">
        <v>12643</v>
      </c>
      <c r="C2234" s="2" t="s">
        <v>22</v>
      </c>
      <c r="D2234" s="2" t="s">
        <v>23</v>
      </c>
      <c r="E2234" s="2" t="s">
        <v>24</v>
      </c>
      <c r="F2234">
        <v>4018</v>
      </c>
      <c r="G2234" s="2" t="s">
        <v>77</v>
      </c>
      <c r="H2234" s="2" t="s">
        <v>78</v>
      </c>
      <c r="I2234" s="2" t="s">
        <v>39</v>
      </c>
      <c r="J2234" s="2" t="s">
        <v>28</v>
      </c>
      <c r="K2234" s="2" t="s">
        <v>39</v>
      </c>
      <c r="L2234">
        <v>456.07</v>
      </c>
      <c r="M2234">
        <v>1</v>
      </c>
      <c r="N2234">
        <v>1.1200000000000001</v>
      </c>
      <c r="O2234">
        <v>6500948</v>
      </c>
      <c r="P2234" s="2" t="s">
        <v>29</v>
      </c>
      <c r="Q2234" s="2" t="s">
        <v>23</v>
      </c>
      <c r="R2234" s="2" t="s">
        <v>30</v>
      </c>
      <c r="S2234">
        <v>9</v>
      </c>
      <c r="T2234" s="1">
        <v>43708</v>
      </c>
      <c r="U2234" s="1">
        <v>43714</v>
      </c>
      <c r="V2234" s="2"/>
      <c r="W2234" s="1">
        <f>fNotasFiscais[[#This Row],[Data da Coleta]]+fNotasFiscais[[#This Row],[Prazo Contratado]]</f>
        <v>43717</v>
      </c>
      <c r="X2234" s="3">
        <f>IF(fNotasFiscais[[#This Row],[Data da Entrega]]&gt;fNotasFiscais[[#This Row],[Data Contratada]],0,1)</f>
        <v>1</v>
      </c>
      <c r="Y2234" s="3">
        <f>IF(fNotasFiscais[[#This Row],[Ocorrência]]="",1,0)</f>
        <v>1</v>
      </c>
      <c r="Z2234" s="2">
        <f>fNotasFiscais[[#This Row],[On Time]]*fNotasFiscais[[#This Row],[In Full]]</f>
        <v>1</v>
      </c>
      <c r="AA2234">
        <f>IF(fNotasFiscais[[#This Row],[Nota Fiscal]]&lt;&gt;"",1,0)</f>
        <v>1</v>
      </c>
    </row>
    <row r="2235" spans="1:27" x14ac:dyDescent="0.25">
      <c r="A2235" s="1">
        <v>43708</v>
      </c>
      <c r="B2235">
        <v>12644</v>
      </c>
      <c r="C2235" s="2" t="s">
        <v>31</v>
      </c>
      <c r="D2235" s="2" t="s">
        <v>32</v>
      </c>
      <c r="E2235" s="2" t="s">
        <v>33</v>
      </c>
      <c r="F2235">
        <v>4045</v>
      </c>
      <c r="G2235" s="2" t="s">
        <v>124</v>
      </c>
      <c r="H2235" s="2" t="s">
        <v>35</v>
      </c>
      <c r="I2235" s="2" t="s">
        <v>36</v>
      </c>
      <c r="J2235" s="2" t="s">
        <v>60</v>
      </c>
      <c r="K2235" s="2" t="s">
        <v>36</v>
      </c>
      <c r="L2235">
        <v>324.08999999999997</v>
      </c>
      <c r="M2235">
        <v>1</v>
      </c>
      <c r="N2235">
        <v>4.4039999999999999</v>
      </c>
      <c r="O2235">
        <v>6600879</v>
      </c>
      <c r="P2235" s="2" t="s">
        <v>61</v>
      </c>
      <c r="Q2235" s="2" t="s">
        <v>35</v>
      </c>
      <c r="R2235" s="2" t="s">
        <v>30</v>
      </c>
      <c r="S2235">
        <v>12</v>
      </c>
      <c r="T2235" s="1">
        <v>43708</v>
      </c>
      <c r="U2235" s="1">
        <v>43714</v>
      </c>
      <c r="V2235" s="2"/>
      <c r="W2235" s="1">
        <f>fNotasFiscais[[#This Row],[Data da Coleta]]+fNotasFiscais[[#This Row],[Prazo Contratado]]</f>
        <v>43720</v>
      </c>
      <c r="X2235" s="3">
        <f>IF(fNotasFiscais[[#This Row],[Data da Entrega]]&gt;fNotasFiscais[[#This Row],[Data Contratada]],0,1)</f>
        <v>1</v>
      </c>
      <c r="Y2235" s="3">
        <f>IF(fNotasFiscais[[#This Row],[Ocorrência]]="",1,0)</f>
        <v>1</v>
      </c>
      <c r="Z2235" s="2">
        <f>fNotasFiscais[[#This Row],[On Time]]*fNotasFiscais[[#This Row],[In Full]]</f>
        <v>1</v>
      </c>
      <c r="AA2235">
        <f>IF(fNotasFiscais[[#This Row],[Nota Fiscal]]&lt;&gt;"",1,0)</f>
        <v>1</v>
      </c>
    </row>
    <row r="2236" spans="1:27" x14ac:dyDescent="0.25">
      <c r="A2236" s="1">
        <v>43708</v>
      </c>
      <c r="B2236">
        <v>12645</v>
      </c>
      <c r="C2236" s="2" t="s">
        <v>34</v>
      </c>
      <c r="D2236" s="2" t="s">
        <v>35</v>
      </c>
      <c r="E2236" s="2" t="s">
        <v>36</v>
      </c>
      <c r="F2236">
        <v>4119</v>
      </c>
      <c r="G2236" s="2" t="s">
        <v>202</v>
      </c>
      <c r="H2236" s="2" t="s">
        <v>167</v>
      </c>
      <c r="I2236" s="2" t="s">
        <v>168</v>
      </c>
      <c r="J2236" s="2" t="s">
        <v>169</v>
      </c>
      <c r="K2236" s="2" t="s">
        <v>168</v>
      </c>
      <c r="L2236">
        <v>10981.81</v>
      </c>
      <c r="M2236">
        <v>17</v>
      </c>
      <c r="N2236">
        <v>100.23099999999999</v>
      </c>
      <c r="O2236">
        <v>6900304</v>
      </c>
      <c r="P2236" s="2" t="s">
        <v>170</v>
      </c>
      <c r="Q2236" s="2" t="s">
        <v>171</v>
      </c>
      <c r="R2236" s="2" t="s">
        <v>30</v>
      </c>
      <c r="S2236">
        <v>9</v>
      </c>
      <c r="T2236" s="1">
        <v>43708</v>
      </c>
      <c r="U2236" s="1">
        <v>43713</v>
      </c>
      <c r="V2236" s="2"/>
      <c r="W2236" s="1">
        <f>fNotasFiscais[[#This Row],[Data da Coleta]]+fNotasFiscais[[#This Row],[Prazo Contratado]]</f>
        <v>43717</v>
      </c>
      <c r="X2236" s="3">
        <f>IF(fNotasFiscais[[#This Row],[Data da Entrega]]&gt;fNotasFiscais[[#This Row],[Data Contratada]],0,1)</f>
        <v>1</v>
      </c>
      <c r="Y2236" s="3">
        <f>IF(fNotasFiscais[[#This Row],[Ocorrência]]="",1,0)</f>
        <v>1</v>
      </c>
      <c r="Z2236" s="2">
        <f>fNotasFiscais[[#This Row],[On Time]]*fNotasFiscais[[#This Row],[In Full]]</f>
        <v>1</v>
      </c>
      <c r="AA2236">
        <f>IF(fNotasFiscais[[#This Row],[Nota Fiscal]]&lt;&gt;"",1,0)</f>
        <v>1</v>
      </c>
    </row>
    <row r="2237" spans="1:27" x14ac:dyDescent="0.25">
      <c r="A2237" s="1">
        <v>43708</v>
      </c>
      <c r="B2237">
        <v>12646</v>
      </c>
      <c r="C2237" s="2" t="s">
        <v>22</v>
      </c>
      <c r="D2237" s="2" t="s">
        <v>23</v>
      </c>
      <c r="E2237" s="2" t="s">
        <v>24</v>
      </c>
      <c r="F2237">
        <v>4018</v>
      </c>
      <c r="G2237" s="2" t="s">
        <v>77</v>
      </c>
      <c r="H2237" s="2" t="s">
        <v>78</v>
      </c>
      <c r="I2237" s="2" t="s">
        <v>39</v>
      </c>
      <c r="J2237" s="2" t="s">
        <v>28</v>
      </c>
      <c r="K2237" s="2" t="s">
        <v>39</v>
      </c>
      <c r="L2237">
        <v>3345.86</v>
      </c>
      <c r="M2237">
        <v>1</v>
      </c>
      <c r="N2237">
        <v>1.1200000000000001</v>
      </c>
      <c r="O2237">
        <v>6500948</v>
      </c>
      <c r="P2237" s="2" t="s">
        <v>29</v>
      </c>
      <c r="Q2237" s="2" t="s">
        <v>23</v>
      </c>
      <c r="R2237" s="2" t="s">
        <v>30</v>
      </c>
      <c r="S2237">
        <v>4</v>
      </c>
      <c r="T2237" s="1">
        <v>43708</v>
      </c>
      <c r="U2237" s="1">
        <v>43715</v>
      </c>
      <c r="V2237" s="2"/>
      <c r="W2237" s="1">
        <f>fNotasFiscais[[#This Row],[Data da Coleta]]+fNotasFiscais[[#This Row],[Prazo Contratado]]</f>
        <v>43712</v>
      </c>
      <c r="X2237" s="3">
        <f>IF(fNotasFiscais[[#This Row],[Data da Entrega]]&gt;fNotasFiscais[[#This Row],[Data Contratada]],0,1)</f>
        <v>0</v>
      </c>
      <c r="Y2237" s="3">
        <f>IF(fNotasFiscais[[#This Row],[Ocorrência]]="",1,0)</f>
        <v>1</v>
      </c>
      <c r="Z2237" s="2">
        <f>fNotasFiscais[[#This Row],[On Time]]*fNotasFiscais[[#This Row],[In Full]]</f>
        <v>0</v>
      </c>
      <c r="AA2237">
        <f>IF(fNotasFiscais[[#This Row],[Nota Fiscal]]&lt;&gt;"",1,0)</f>
        <v>1</v>
      </c>
    </row>
    <row r="2238" spans="1:27" x14ac:dyDescent="0.25">
      <c r="A2238" s="1">
        <v>43708</v>
      </c>
      <c r="B2238">
        <v>12647</v>
      </c>
      <c r="C2238" s="2" t="s">
        <v>40</v>
      </c>
      <c r="D2238" s="2" t="s">
        <v>41</v>
      </c>
      <c r="E2238" s="2" t="s">
        <v>33</v>
      </c>
      <c r="F2238">
        <v>4119</v>
      </c>
      <c r="G2238" s="2" t="s">
        <v>202</v>
      </c>
      <c r="H2238" s="2" t="s">
        <v>167</v>
      </c>
      <c r="I2238" s="2" t="s">
        <v>168</v>
      </c>
      <c r="J2238" s="2" t="s">
        <v>169</v>
      </c>
      <c r="K2238" s="2" t="s">
        <v>168</v>
      </c>
      <c r="L2238">
        <v>315.02999999999997</v>
      </c>
      <c r="M2238">
        <v>1</v>
      </c>
      <c r="N2238">
        <v>1.1200000000000001</v>
      </c>
      <c r="O2238">
        <v>6900304</v>
      </c>
      <c r="P2238" s="2" t="s">
        <v>170</v>
      </c>
      <c r="Q2238" s="2" t="s">
        <v>171</v>
      </c>
      <c r="R2238" s="2" t="s">
        <v>30</v>
      </c>
      <c r="S2238">
        <v>9</v>
      </c>
      <c r="T2238" s="1">
        <v>43708</v>
      </c>
      <c r="U2238" s="1">
        <v>43712</v>
      </c>
      <c r="V2238" s="2"/>
      <c r="W2238" s="1">
        <f>fNotasFiscais[[#This Row],[Data da Coleta]]+fNotasFiscais[[#This Row],[Prazo Contratado]]</f>
        <v>43717</v>
      </c>
      <c r="X2238" s="3">
        <f>IF(fNotasFiscais[[#This Row],[Data da Entrega]]&gt;fNotasFiscais[[#This Row],[Data Contratada]],0,1)</f>
        <v>1</v>
      </c>
      <c r="Y2238" s="3">
        <f>IF(fNotasFiscais[[#This Row],[Ocorrência]]="",1,0)</f>
        <v>1</v>
      </c>
      <c r="Z2238" s="2">
        <f>fNotasFiscais[[#This Row],[On Time]]*fNotasFiscais[[#This Row],[In Full]]</f>
        <v>1</v>
      </c>
      <c r="AA2238">
        <f>IF(fNotasFiscais[[#This Row],[Nota Fiscal]]&lt;&gt;"",1,0)</f>
        <v>1</v>
      </c>
    </row>
    <row r="2239" spans="1:27" x14ac:dyDescent="0.25">
      <c r="A2239" s="1">
        <v>43708</v>
      </c>
      <c r="B2239">
        <v>12648</v>
      </c>
      <c r="C2239" s="2" t="s">
        <v>43</v>
      </c>
      <c r="D2239" s="2" t="s">
        <v>44</v>
      </c>
      <c r="E2239" s="2" t="s">
        <v>45</v>
      </c>
      <c r="F2239">
        <v>4014</v>
      </c>
      <c r="G2239" s="2" t="s">
        <v>58</v>
      </c>
      <c r="H2239" s="2" t="s">
        <v>59</v>
      </c>
      <c r="I2239" s="2" t="s">
        <v>36</v>
      </c>
      <c r="J2239" s="2" t="s">
        <v>60</v>
      </c>
      <c r="K2239" s="2" t="s">
        <v>36</v>
      </c>
      <c r="L2239">
        <v>1935.37</v>
      </c>
      <c r="M2239">
        <v>1</v>
      </c>
      <c r="N2239">
        <v>1.1200000000000001</v>
      </c>
      <c r="O2239">
        <v>6600879</v>
      </c>
      <c r="P2239" s="2" t="s">
        <v>61</v>
      </c>
      <c r="Q2239" s="2" t="s">
        <v>35</v>
      </c>
      <c r="R2239" s="2" t="s">
        <v>30</v>
      </c>
      <c r="S2239">
        <v>5</v>
      </c>
      <c r="T2239" s="1">
        <v>43708</v>
      </c>
      <c r="U2239" s="1">
        <v>43717</v>
      </c>
      <c r="V2239" s="2"/>
      <c r="W2239" s="1">
        <f>fNotasFiscais[[#This Row],[Data da Coleta]]+fNotasFiscais[[#This Row],[Prazo Contratado]]</f>
        <v>43713</v>
      </c>
      <c r="X2239" s="3">
        <f>IF(fNotasFiscais[[#This Row],[Data da Entrega]]&gt;fNotasFiscais[[#This Row],[Data Contratada]],0,1)</f>
        <v>0</v>
      </c>
      <c r="Y2239" s="3">
        <f>IF(fNotasFiscais[[#This Row],[Ocorrência]]="",1,0)</f>
        <v>1</v>
      </c>
      <c r="Z2239" s="2">
        <f>fNotasFiscais[[#This Row],[On Time]]*fNotasFiscais[[#This Row],[In Full]]</f>
        <v>0</v>
      </c>
      <c r="AA2239">
        <f>IF(fNotasFiscais[[#This Row],[Nota Fiscal]]&lt;&gt;"",1,0)</f>
        <v>1</v>
      </c>
    </row>
    <row r="2240" spans="1:27" x14ac:dyDescent="0.25">
      <c r="A2240" s="1">
        <v>43708</v>
      </c>
      <c r="B2240">
        <v>12649</v>
      </c>
      <c r="C2240" s="2" t="s">
        <v>34</v>
      </c>
      <c r="D2240" s="2" t="s">
        <v>35</v>
      </c>
      <c r="E2240" s="2" t="s">
        <v>36</v>
      </c>
      <c r="F2240">
        <v>4045</v>
      </c>
      <c r="G2240" s="2" t="s">
        <v>124</v>
      </c>
      <c r="H2240" s="2" t="s">
        <v>35</v>
      </c>
      <c r="I2240" s="2" t="s">
        <v>36</v>
      </c>
      <c r="J2240" s="2" t="s">
        <v>60</v>
      </c>
      <c r="K2240" s="2" t="s">
        <v>36</v>
      </c>
      <c r="L2240">
        <v>55.29</v>
      </c>
      <c r="M2240">
        <v>1</v>
      </c>
      <c r="N2240">
        <v>0.11</v>
      </c>
      <c r="O2240">
        <v>6600879</v>
      </c>
      <c r="P2240" s="2" t="s">
        <v>61</v>
      </c>
      <c r="Q2240" s="2" t="s">
        <v>35</v>
      </c>
      <c r="R2240" s="2" t="s">
        <v>30</v>
      </c>
      <c r="S2240">
        <v>4</v>
      </c>
      <c r="T2240" s="1">
        <v>43708</v>
      </c>
      <c r="U2240" s="1">
        <v>43718</v>
      </c>
      <c r="V2240" s="2"/>
      <c r="W2240" s="1">
        <f>fNotasFiscais[[#This Row],[Data da Coleta]]+fNotasFiscais[[#This Row],[Prazo Contratado]]</f>
        <v>43712</v>
      </c>
      <c r="X2240" s="3">
        <f>IF(fNotasFiscais[[#This Row],[Data da Entrega]]&gt;fNotasFiscais[[#This Row],[Data Contratada]],0,1)</f>
        <v>0</v>
      </c>
      <c r="Y2240" s="3">
        <f>IF(fNotasFiscais[[#This Row],[Ocorrência]]="",1,0)</f>
        <v>1</v>
      </c>
      <c r="Z2240" s="2">
        <f>fNotasFiscais[[#This Row],[On Time]]*fNotasFiscais[[#This Row],[In Full]]</f>
        <v>0</v>
      </c>
      <c r="AA2240">
        <f>IF(fNotasFiscais[[#This Row],[Nota Fiscal]]&lt;&gt;"",1,0)</f>
        <v>1</v>
      </c>
    </row>
    <row r="2241" spans="1:27" x14ac:dyDescent="0.25">
      <c r="A2241" s="1">
        <v>43708</v>
      </c>
      <c r="B2241">
        <v>12650</v>
      </c>
      <c r="C2241" s="2" t="s">
        <v>22</v>
      </c>
      <c r="D2241" s="2" t="s">
        <v>23</v>
      </c>
      <c r="E2241" s="2" t="s">
        <v>24</v>
      </c>
      <c r="F2241">
        <v>4014</v>
      </c>
      <c r="G2241" s="2" t="s">
        <v>58</v>
      </c>
      <c r="H2241" s="2" t="s">
        <v>59</v>
      </c>
      <c r="I2241" s="2" t="s">
        <v>36</v>
      </c>
      <c r="J2241" s="2" t="s">
        <v>60</v>
      </c>
      <c r="K2241" s="2" t="s">
        <v>36</v>
      </c>
      <c r="L2241">
        <v>6343.08</v>
      </c>
      <c r="M2241">
        <v>4</v>
      </c>
      <c r="N2241">
        <v>188.94800000000001</v>
      </c>
      <c r="O2241">
        <v>6600879</v>
      </c>
      <c r="P2241" s="2" t="s">
        <v>61</v>
      </c>
      <c r="Q2241" s="2" t="s">
        <v>35</v>
      </c>
      <c r="R2241" s="2" t="s">
        <v>30</v>
      </c>
      <c r="S2241">
        <v>9</v>
      </c>
      <c r="T2241" s="1">
        <v>43708</v>
      </c>
      <c r="U2241" s="1">
        <v>43712</v>
      </c>
      <c r="V2241" s="2"/>
      <c r="W2241" s="1">
        <f>fNotasFiscais[[#This Row],[Data da Coleta]]+fNotasFiscais[[#This Row],[Prazo Contratado]]</f>
        <v>43717</v>
      </c>
      <c r="X2241" s="3">
        <f>IF(fNotasFiscais[[#This Row],[Data da Entrega]]&gt;fNotasFiscais[[#This Row],[Data Contratada]],0,1)</f>
        <v>1</v>
      </c>
      <c r="Y2241" s="3">
        <f>IF(fNotasFiscais[[#This Row],[Ocorrência]]="",1,0)</f>
        <v>1</v>
      </c>
      <c r="Z2241" s="2">
        <f>fNotasFiscais[[#This Row],[On Time]]*fNotasFiscais[[#This Row],[In Full]]</f>
        <v>1</v>
      </c>
      <c r="AA2241">
        <f>IF(fNotasFiscais[[#This Row],[Nota Fiscal]]&lt;&gt;"",1,0)</f>
        <v>1</v>
      </c>
    </row>
    <row r="2242" spans="1:27" x14ac:dyDescent="0.25">
      <c r="A2242" s="1">
        <v>43708</v>
      </c>
      <c r="B2242">
        <v>12651</v>
      </c>
      <c r="C2242" s="2" t="s">
        <v>31</v>
      </c>
      <c r="D2242" s="2" t="s">
        <v>32</v>
      </c>
      <c r="E2242" s="2" t="s">
        <v>33</v>
      </c>
      <c r="F2242">
        <v>4056</v>
      </c>
      <c r="G2242" s="2" t="s">
        <v>119</v>
      </c>
      <c r="H2242" s="2" t="s">
        <v>51</v>
      </c>
      <c r="I2242" s="2" t="s">
        <v>73</v>
      </c>
      <c r="J2242" s="2" t="s">
        <v>49</v>
      </c>
      <c r="K2242" s="2" t="s">
        <v>73</v>
      </c>
      <c r="L2242">
        <v>323.82</v>
      </c>
      <c r="M2242">
        <v>1</v>
      </c>
      <c r="N2242">
        <v>1.1200000000000001</v>
      </c>
      <c r="O2242">
        <v>6100231</v>
      </c>
      <c r="P2242" s="2" t="s">
        <v>50</v>
      </c>
      <c r="Q2242" s="2" t="s">
        <v>51</v>
      </c>
      <c r="R2242" s="2" t="s">
        <v>30</v>
      </c>
      <c r="S2242">
        <v>4</v>
      </c>
      <c r="T2242" s="1">
        <v>43708</v>
      </c>
      <c r="U2242" s="1">
        <v>43710</v>
      </c>
      <c r="V2242" s="2"/>
      <c r="W2242" s="1">
        <f>fNotasFiscais[[#This Row],[Data da Coleta]]+fNotasFiscais[[#This Row],[Prazo Contratado]]</f>
        <v>43712</v>
      </c>
      <c r="X2242" s="3">
        <f>IF(fNotasFiscais[[#This Row],[Data da Entrega]]&gt;fNotasFiscais[[#This Row],[Data Contratada]],0,1)</f>
        <v>1</v>
      </c>
      <c r="Y2242" s="3">
        <f>IF(fNotasFiscais[[#This Row],[Ocorrência]]="",1,0)</f>
        <v>1</v>
      </c>
      <c r="Z2242" s="2">
        <f>fNotasFiscais[[#This Row],[On Time]]*fNotasFiscais[[#This Row],[In Full]]</f>
        <v>1</v>
      </c>
      <c r="AA2242">
        <f>IF(fNotasFiscais[[#This Row],[Nota Fiscal]]&lt;&gt;"",1,0)</f>
        <v>1</v>
      </c>
    </row>
    <row r="2243" spans="1:27" x14ac:dyDescent="0.25">
      <c r="A2243" s="1">
        <v>43708</v>
      </c>
      <c r="B2243">
        <v>12652</v>
      </c>
      <c r="C2243" s="2" t="s">
        <v>54</v>
      </c>
      <c r="D2243" s="2" t="s">
        <v>55</v>
      </c>
      <c r="E2243" s="2" t="s">
        <v>56</v>
      </c>
      <c r="F2243">
        <v>4045</v>
      </c>
      <c r="G2243" s="2" t="s">
        <v>124</v>
      </c>
      <c r="H2243" s="2" t="s">
        <v>35</v>
      </c>
      <c r="I2243" s="2" t="s">
        <v>36</v>
      </c>
      <c r="J2243" s="2" t="s">
        <v>60</v>
      </c>
      <c r="K2243" s="2" t="s">
        <v>36</v>
      </c>
      <c r="L2243">
        <v>36.08</v>
      </c>
      <c r="M2243">
        <v>1</v>
      </c>
      <c r="N2243">
        <v>1.1200000000000001</v>
      </c>
      <c r="O2243">
        <v>6600879</v>
      </c>
      <c r="P2243" s="2" t="s">
        <v>61</v>
      </c>
      <c r="Q2243" s="2" t="s">
        <v>35</v>
      </c>
      <c r="R2243" s="2" t="s">
        <v>30</v>
      </c>
      <c r="S2243">
        <v>10</v>
      </c>
      <c r="T2243" s="1">
        <v>43708</v>
      </c>
      <c r="U2243" s="1">
        <v>43713</v>
      </c>
      <c r="V2243" s="2"/>
      <c r="W2243" s="1">
        <f>fNotasFiscais[[#This Row],[Data da Coleta]]+fNotasFiscais[[#This Row],[Prazo Contratado]]</f>
        <v>43718</v>
      </c>
      <c r="X2243" s="3">
        <f>IF(fNotasFiscais[[#This Row],[Data da Entrega]]&gt;fNotasFiscais[[#This Row],[Data Contratada]],0,1)</f>
        <v>1</v>
      </c>
      <c r="Y2243" s="3">
        <f>IF(fNotasFiscais[[#This Row],[Ocorrência]]="",1,0)</f>
        <v>1</v>
      </c>
      <c r="Z2243" s="2">
        <f>fNotasFiscais[[#This Row],[On Time]]*fNotasFiscais[[#This Row],[In Full]]</f>
        <v>1</v>
      </c>
      <c r="AA2243">
        <f>IF(fNotasFiscais[[#This Row],[Nota Fiscal]]&lt;&gt;"",1,0)</f>
        <v>1</v>
      </c>
    </row>
    <row r="2244" spans="1:27" x14ac:dyDescent="0.25">
      <c r="A2244" s="1">
        <v>43708</v>
      </c>
      <c r="B2244">
        <v>12653</v>
      </c>
      <c r="C2244" s="2" t="s">
        <v>31</v>
      </c>
      <c r="D2244" s="2" t="s">
        <v>32</v>
      </c>
      <c r="E2244" s="2" t="s">
        <v>33</v>
      </c>
      <c r="F2244">
        <v>4119</v>
      </c>
      <c r="G2244" s="2" t="s">
        <v>202</v>
      </c>
      <c r="H2244" s="2" t="s">
        <v>167</v>
      </c>
      <c r="I2244" s="2" t="s">
        <v>168</v>
      </c>
      <c r="J2244" s="2" t="s">
        <v>169</v>
      </c>
      <c r="K2244" s="2" t="s">
        <v>168</v>
      </c>
      <c r="L2244">
        <v>8061.9</v>
      </c>
      <c r="M2244">
        <v>8</v>
      </c>
      <c r="N2244">
        <v>48.356999999999999</v>
      </c>
      <c r="O2244">
        <v>6900304</v>
      </c>
      <c r="P2244" s="2" t="s">
        <v>170</v>
      </c>
      <c r="Q2244" s="2" t="s">
        <v>171</v>
      </c>
      <c r="R2244" s="2" t="s">
        <v>30</v>
      </c>
      <c r="S2244">
        <v>5</v>
      </c>
      <c r="T2244" s="1">
        <v>43708</v>
      </c>
      <c r="U2244" s="1">
        <v>43714</v>
      </c>
      <c r="V2244" s="2"/>
      <c r="W2244" s="1">
        <f>fNotasFiscais[[#This Row],[Data da Coleta]]+fNotasFiscais[[#This Row],[Prazo Contratado]]</f>
        <v>43713</v>
      </c>
      <c r="X2244" s="3">
        <f>IF(fNotasFiscais[[#This Row],[Data da Entrega]]&gt;fNotasFiscais[[#This Row],[Data Contratada]],0,1)</f>
        <v>0</v>
      </c>
      <c r="Y2244" s="3">
        <f>IF(fNotasFiscais[[#This Row],[Ocorrência]]="",1,0)</f>
        <v>1</v>
      </c>
      <c r="Z2244" s="2">
        <f>fNotasFiscais[[#This Row],[On Time]]*fNotasFiscais[[#This Row],[In Full]]</f>
        <v>0</v>
      </c>
      <c r="AA2244">
        <f>IF(fNotasFiscais[[#This Row],[Nota Fiscal]]&lt;&gt;"",1,0)</f>
        <v>1</v>
      </c>
    </row>
    <row r="2245" spans="1:27" x14ac:dyDescent="0.25">
      <c r="A2245" s="1">
        <v>43708</v>
      </c>
      <c r="B2245">
        <v>12654</v>
      </c>
      <c r="C2245" s="2" t="s">
        <v>52</v>
      </c>
      <c r="D2245" s="2" t="s">
        <v>53</v>
      </c>
      <c r="E2245" s="2" t="s">
        <v>33</v>
      </c>
      <c r="F2245">
        <v>4014</v>
      </c>
      <c r="G2245" s="2" t="s">
        <v>58</v>
      </c>
      <c r="H2245" s="2" t="s">
        <v>59</v>
      </c>
      <c r="I2245" s="2" t="s">
        <v>36</v>
      </c>
      <c r="J2245" s="2" t="s">
        <v>60</v>
      </c>
      <c r="K2245" s="2" t="s">
        <v>36</v>
      </c>
      <c r="L2245">
        <v>1114.96</v>
      </c>
      <c r="M2245">
        <v>1</v>
      </c>
      <c r="N2245">
        <v>1.1200000000000001</v>
      </c>
      <c r="O2245">
        <v>6600879</v>
      </c>
      <c r="P2245" s="2" t="s">
        <v>61</v>
      </c>
      <c r="Q2245" s="2" t="s">
        <v>35</v>
      </c>
      <c r="R2245" s="2" t="s">
        <v>30</v>
      </c>
      <c r="S2245">
        <v>1</v>
      </c>
      <c r="T2245" s="1">
        <v>43708</v>
      </c>
      <c r="U2245" s="1">
        <v>43717</v>
      </c>
      <c r="V2245" s="2"/>
      <c r="W2245" s="1">
        <f>fNotasFiscais[[#This Row],[Data da Coleta]]+fNotasFiscais[[#This Row],[Prazo Contratado]]</f>
        <v>43709</v>
      </c>
      <c r="X2245" s="3">
        <f>IF(fNotasFiscais[[#This Row],[Data da Entrega]]&gt;fNotasFiscais[[#This Row],[Data Contratada]],0,1)</f>
        <v>0</v>
      </c>
      <c r="Y2245" s="3">
        <f>IF(fNotasFiscais[[#This Row],[Ocorrência]]="",1,0)</f>
        <v>1</v>
      </c>
      <c r="Z2245" s="2">
        <f>fNotasFiscais[[#This Row],[On Time]]*fNotasFiscais[[#This Row],[In Full]]</f>
        <v>0</v>
      </c>
      <c r="AA2245">
        <f>IF(fNotasFiscais[[#This Row],[Nota Fiscal]]&lt;&gt;"",1,0)</f>
        <v>1</v>
      </c>
    </row>
    <row r="2246" spans="1:27" x14ac:dyDescent="0.25">
      <c r="A2246" s="1">
        <v>43708</v>
      </c>
      <c r="B2246">
        <v>12655</v>
      </c>
      <c r="C2246" s="2" t="s">
        <v>43</v>
      </c>
      <c r="D2246" s="2" t="s">
        <v>44</v>
      </c>
      <c r="E2246" s="2" t="s">
        <v>45</v>
      </c>
      <c r="F2246">
        <v>4056</v>
      </c>
      <c r="G2246" s="2" t="s">
        <v>119</v>
      </c>
      <c r="H2246" s="2" t="s">
        <v>51</v>
      </c>
      <c r="I2246" s="2" t="s">
        <v>73</v>
      </c>
      <c r="J2246" s="2" t="s">
        <v>49</v>
      </c>
      <c r="K2246" s="2" t="s">
        <v>73</v>
      </c>
      <c r="L2246">
        <v>203.82</v>
      </c>
      <c r="M2246">
        <v>1</v>
      </c>
      <c r="N2246">
        <v>0.224</v>
      </c>
      <c r="O2246">
        <v>6100231</v>
      </c>
      <c r="P2246" s="2" t="s">
        <v>50</v>
      </c>
      <c r="Q2246" s="2" t="s">
        <v>51</v>
      </c>
      <c r="R2246" s="2" t="s">
        <v>30</v>
      </c>
      <c r="S2246">
        <v>2</v>
      </c>
      <c r="T2246" s="1">
        <v>43708</v>
      </c>
      <c r="U2246" s="1">
        <v>43718</v>
      </c>
      <c r="V2246" s="2" t="s">
        <v>42</v>
      </c>
      <c r="W2246" s="1">
        <f>fNotasFiscais[[#This Row],[Data da Coleta]]+fNotasFiscais[[#This Row],[Prazo Contratado]]</f>
        <v>43710</v>
      </c>
      <c r="X2246" s="3">
        <f>IF(fNotasFiscais[[#This Row],[Data da Entrega]]&gt;fNotasFiscais[[#This Row],[Data Contratada]],0,1)</f>
        <v>0</v>
      </c>
      <c r="Y2246" s="3">
        <f>IF(fNotasFiscais[[#This Row],[Ocorrência]]="",1,0)</f>
        <v>0</v>
      </c>
      <c r="Z2246" s="2">
        <f>fNotasFiscais[[#This Row],[On Time]]*fNotasFiscais[[#This Row],[In Full]]</f>
        <v>0</v>
      </c>
      <c r="AA2246">
        <f>IF(fNotasFiscais[[#This Row],[Nota Fiscal]]&lt;&gt;"",1,0)</f>
        <v>1</v>
      </c>
    </row>
    <row r="2247" spans="1:27" x14ac:dyDescent="0.25">
      <c r="A2247" s="1">
        <v>43708</v>
      </c>
      <c r="B2247">
        <v>12656</v>
      </c>
      <c r="C2247" s="2" t="s">
        <v>43</v>
      </c>
      <c r="D2247" s="2" t="s">
        <v>44</v>
      </c>
      <c r="E2247" s="2" t="s">
        <v>45</v>
      </c>
      <c r="F2247">
        <v>4045</v>
      </c>
      <c r="G2247" s="2" t="s">
        <v>124</v>
      </c>
      <c r="H2247" s="2" t="s">
        <v>35</v>
      </c>
      <c r="I2247" s="2" t="s">
        <v>36</v>
      </c>
      <c r="J2247" s="2" t="s">
        <v>60</v>
      </c>
      <c r="K2247" s="2" t="s">
        <v>36</v>
      </c>
      <c r="L2247">
        <v>3500.99</v>
      </c>
      <c r="M2247">
        <v>5</v>
      </c>
      <c r="N2247">
        <v>26.077000000000002</v>
      </c>
      <c r="O2247">
        <v>6600879</v>
      </c>
      <c r="P2247" s="2" t="s">
        <v>61</v>
      </c>
      <c r="Q2247" s="2" t="s">
        <v>35</v>
      </c>
      <c r="R2247" s="2" t="s">
        <v>30</v>
      </c>
      <c r="S2247">
        <v>11</v>
      </c>
      <c r="T2247" s="1">
        <v>43708</v>
      </c>
      <c r="U2247" s="1">
        <v>43709</v>
      </c>
      <c r="V2247" s="2"/>
      <c r="W2247" s="1">
        <f>fNotasFiscais[[#This Row],[Data da Coleta]]+fNotasFiscais[[#This Row],[Prazo Contratado]]</f>
        <v>43719</v>
      </c>
      <c r="X2247" s="3">
        <f>IF(fNotasFiscais[[#This Row],[Data da Entrega]]&gt;fNotasFiscais[[#This Row],[Data Contratada]],0,1)</f>
        <v>1</v>
      </c>
      <c r="Y2247" s="3">
        <f>IF(fNotasFiscais[[#This Row],[Ocorrência]]="",1,0)</f>
        <v>1</v>
      </c>
      <c r="Z2247" s="2">
        <f>fNotasFiscais[[#This Row],[On Time]]*fNotasFiscais[[#This Row],[In Full]]</f>
        <v>1</v>
      </c>
      <c r="AA2247">
        <f>IF(fNotasFiscais[[#This Row],[Nota Fiscal]]&lt;&gt;"",1,0)</f>
        <v>1</v>
      </c>
    </row>
    <row r="2248" spans="1:27" x14ac:dyDescent="0.25">
      <c r="A2248" s="1">
        <v>43708</v>
      </c>
      <c r="B2248">
        <v>12657</v>
      </c>
      <c r="C2248" s="2" t="s">
        <v>22</v>
      </c>
      <c r="D2248" s="2" t="s">
        <v>23</v>
      </c>
      <c r="E2248" s="2" t="s">
        <v>24</v>
      </c>
      <c r="F2248">
        <v>4119</v>
      </c>
      <c r="G2248" s="2" t="s">
        <v>202</v>
      </c>
      <c r="H2248" s="2" t="s">
        <v>167</v>
      </c>
      <c r="I2248" s="2" t="s">
        <v>168</v>
      </c>
      <c r="J2248" s="2" t="s">
        <v>169</v>
      </c>
      <c r="K2248" s="2" t="s">
        <v>168</v>
      </c>
      <c r="L2248">
        <v>164.27</v>
      </c>
      <c r="M2248">
        <v>1</v>
      </c>
      <c r="N2248">
        <v>1.1200000000000001</v>
      </c>
      <c r="O2248">
        <v>6900304</v>
      </c>
      <c r="P2248" s="2" t="s">
        <v>170</v>
      </c>
      <c r="Q2248" s="2" t="s">
        <v>171</v>
      </c>
      <c r="R2248" s="2" t="s">
        <v>30</v>
      </c>
      <c r="S2248">
        <v>12</v>
      </c>
      <c r="T2248" s="1">
        <v>43708</v>
      </c>
      <c r="U2248" s="1">
        <v>43710</v>
      </c>
      <c r="V2248" s="2" t="s">
        <v>57</v>
      </c>
      <c r="W2248" s="1">
        <f>fNotasFiscais[[#This Row],[Data da Coleta]]+fNotasFiscais[[#This Row],[Prazo Contratado]]</f>
        <v>43720</v>
      </c>
      <c r="X2248" s="3">
        <f>IF(fNotasFiscais[[#This Row],[Data da Entrega]]&gt;fNotasFiscais[[#This Row],[Data Contratada]],0,1)</f>
        <v>1</v>
      </c>
      <c r="Y2248" s="3">
        <f>IF(fNotasFiscais[[#This Row],[Ocorrência]]="",1,0)</f>
        <v>0</v>
      </c>
      <c r="Z2248" s="2">
        <f>fNotasFiscais[[#This Row],[On Time]]*fNotasFiscais[[#This Row],[In Full]]</f>
        <v>0</v>
      </c>
      <c r="AA2248">
        <f>IF(fNotasFiscais[[#This Row],[Nota Fiscal]]&lt;&gt;"",1,0)</f>
        <v>1</v>
      </c>
    </row>
    <row r="2249" spans="1:27" x14ac:dyDescent="0.25">
      <c r="A2249" s="1">
        <v>43708</v>
      </c>
      <c r="B2249">
        <v>12658</v>
      </c>
      <c r="C2249" s="2" t="s">
        <v>34</v>
      </c>
      <c r="D2249" s="2" t="s">
        <v>35</v>
      </c>
      <c r="E2249" s="2" t="s">
        <v>36</v>
      </c>
      <c r="F2249">
        <v>4119</v>
      </c>
      <c r="G2249" s="2" t="s">
        <v>202</v>
      </c>
      <c r="H2249" s="2" t="s">
        <v>167</v>
      </c>
      <c r="I2249" s="2" t="s">
        <v>168</v>
      </c>
      <c r="J2249" s="2" t="s">
        <v>169</v>
      </c>
      <c r="K2249" s="2" t="s">
        <v>168</v>
      </c>
      <c r="L2249">
        <v>10576.19</v>
      </c>
      <c r="M2249">
        <v>13</v>
      </c>
      <c r="N2249">
        <v>65.537999999999997</v>
      </c>
      <c r="O2249">
        <v>6900304</v>
      </c>
      <c r="P2249" s="2" t="s">
        <v>170</v>
      </c>
      <c r="Q2249" s="2" t="s">
        <v>171</v>
      </c>
      <c r="R2249" s="2" t="s">
        <v>30</v>
      </c>
      <c r="S2249">
        <v>10</v>
      </c>
      <c r="T2249" s="1">
        <v>43708</v>
      </c>
      <c r="U2249" s="1">
        <v>43712</v>
      </c>
      <c r="V2249" s="2"/>
      <c r="W2249" s="1">
        <f>fNotasFiscais[[#This Row],[Data da Coleta]]+fNotasFiscais[[#This Row],[Prazo Contratado]]</f>
        <v>43718</v>
      </c>
      <c r="X2249" s="3">
        <f>IF(fNotasFiscais[[#This Row],[Data da Entrega]]&gt;fNotasFiscais[[#This Row],[Data Contratada]],0,1)</f>
        <v>1</v>
      </c>
      <c r="Y2249" s="3">
        <f>IF(fNotasFiscais[[#This Row],[Ocorrência]]="",1,0)</f>
        <v>1</v>
      </c>
      <c r="Z2249" s="2">
        <f>fNotasFiscais[[#This Row],[On Time]]*fNotasFiscais[[#This Row],[In Full]]</f>
        <v>1</v>
      </c>
      <c r="AA2249">
        <f>IF(fNotasFiscais[[#This Row],[Nota Fiscal]]&lt;&gt;"",1,0)</f>
        <v>1</v>
      </c>
    </row>
    <row r="2250" spans="1:27" x14ac:dyDescent="0.25">
      <c r="A2250" s="1">
        <v>43708</v>
      </c>
      <c r="B2250">
        <v>12659</v>
      </c>
      <c r="C2250" s="2" t="s">
        <v>40</v>
      </c>
      <c r="D2250" s="2" t="s">
        <v>41</v>
      </c>
      <c r="E2250" s="2" t="s">
        <v>33</v>
      </c>
      <c r="F2250">
        <v>4056</v>
      </c>
      <c r="G2250" s="2" t="s">
        <v>119</v>
      </c>
      <c r="H2250" s="2" t="s">
        <v>51</v>
      </c>
      <c r="I2250" s="2" t="s">
        <v>73</v>
      </c>
      <c r="J2250" s="2" t="s">
        <v>49</v>
      </c>
      <c r="K2250" s="2" t="s">
        <v>73</v>
      </c>
      <c r="L2250">
        <v>347.14</v>
      </c>
      <c r="M2250">
        <v>1</v>
      </c>
      <c r="N2250">
        <v>1.1200000000000001</v>
      </c>
      <c r="O2250">
        <v>6100231</v>
      </c>
      <c r="P2250" s="2" t="s">
        <v>50</v>
      </c>
      <c r="Q2250" s="2" t="s">
        <v>51</v>
      </c>
      <c r="R2250" s="2" t="s">
        <v>30</v>
      </c>
      <c r="S2250">
        <v>12</v>
      </c>
      <c r="T2250" s="1">
        <v>43708</v>
      </c>
      <c r="U2250" s="1">
        <v>43711</v>
      </c>
      <c r="V2250" s="2" t="s">
        <v>42</v>
      </c>
      <c r="W2250" s="1">
        <f>fNotasFiscais[[#This Row],[Data da Coleta]]+fNotasFiscais[[#This Row],[Prazo Contratado]]</f>
        <v>43720</v>
      </c>
      <c r="X2250" s="3">
        <f>IF(fNotasFiscais[[#This Row],[Data da Entrega]]&gt;fNotasFiscais[[#This Row],[Data Contratada]],0,1)</f>
        <v>1</v>
      </c>
      <c r="Y2250" s="3">
        <f>IF(fNotasFiscais[[#This Row],[Ocorrência]]="",1,0)</f>
        <v>0</v>
      </c>
      <c r="Z2250" s="2">
        <f>fNotasFiscais[[#This Row],[On Time]]*fNotasFiscais[[#This Row],[In Full]]</f>
        <v>0</v>
      </c>
      <c r="AA2250">
        <f>IF(fNotasFiscais[[#This Row],[Nota Fiscal]]&lt;&gt;"",1,0)</f>
        <v>1</v>
      </c>
    </row>
    <row r="2251" spans="1:27" x14ac:dyDescent="0.25">
      <c r="A2251" s="1">
        <v>43708</v>
      </c>
      <c r="B2251">
        <v>12660</v>
      </c>
      <c r="C2251" s="2" t="s">
        <v>43</v>
      </c>
      <c r="D2251" s="2" t="s">
        <v>44</v>
      </c>
      <c r="E2251" s="2" t="s">
        <v>45</v>
      </c>
      <c r="F2251">
        <v>4045</v>
      </c>
      <c r="G2251" s="2" t="s">
        <v>124</v>
      </c>
      <c r="H2251" s="2" t="s">
        <v>35</v>
      </c>
      <c r="I2251" s="2" t="s">
        <v>36</v>
      </c>
      <c r="J2251" s="2" t="s">
        <v>60</v>
      </c>
      <c r="K2251" s="2" t="s">
        <v>36</v>
      </c>
      <c r="L2251">
        <v>6882.16</v>
      </c>
      <c r="M2251">
        <v>8</v>
      </c>
      <c r="N2251">
        <v>42.709000000000003</v>
      </c>
      <c r="O2251">
        <v>6600879</v>
      </c>
      <c r="P2251" s="2" t="s">
        <v>61</v>
      </c>
      <c r="Q2251" s="2" t="s">
        <v>35</v>
      </c>
      <c r="R2251" s="2" t="s">
        <v>30</v>
      </c>
      <c r="S2251">
        <v>6</v>
      </c>
      <c r="T2251" s="1">
        <v>43708</v>
      </c>
      <c r="U2251" s="1">
        <v>43711</v>
      </c>
      <c r="V2251" s="2" t="s">
        <v>57</v>
      </c>
      <c r="W2251" s="1">
        <f>fNotasFiscais[[#This Row],[Data da Coleta]]+fNotasFiscais[[#This Row],[Prazo Contratado]]</f>
        <v>43714</v>
      </c>
      <c r="X2251" s="3">
        <f>IF(fNotasFiscais[[#This Row],[Data da Entrega]]&gt;fNotasFiscais[[#This Row],[Data Contratada]],0,1)</f>
        <v>1</v>
      </c>
      <c r="Y2251" s="3">
        <f>IF(fNotasFiscais[[#This Row],[Ocorrência]]="",1,0)</f>
        <v>0</v>
      </c>
      <c r="Z2251" s="2">
        <f>fNotasFiscais[[#This Row],[On Time]]*fNotasFiscais[[#This Row],[In Full]]</f>
        <v>0</v>
      </c>
      <c r="AA2251">
        <f>IF(fNotasFiscais[[#This Row],[Nota Fiscal]]&lt;&gt;"",1,0)</f>
        <v>1</v>
      </c>
    </row>
    <row r="2252" spans="1:27" x14ac:dyDescent="0.25">
      <c r="A2252" s="1">
        <v>43708</v>
      </c>
      <c r="B2252">
        <v>12661</v>
      </c>
      <c r="C2252" s="2" t="s">
        <v>22</v>
      </c>
      <c r="D2252" s="2" t="s">
        <v>23</v>
      </c>
      <c r="E2252" s="2" t="s">
        <v>24</v>
      </c>
      <c r="F2252">
        <v>4045</v>
      </c>
      <c r="G2252" s="2" t="s">
        <v>124</v>
      </c>
      <c r="H2252" s="2" t="s">
        <v>35</v>
      </c>
      <c r="I2252" s="2" t="s">
        <v>36</v>
      </c>
      <c r="J2252" s="2" t="s">
        <v>60</v>
      </c>
      <c r="K2252" s="2" t="s">
        <v>36</v>
      </c>
      <c r="L2252">
        <v>892.17</v>
      </c>
      <c r="M2252">
        <v>1</v>
      </c>
      <c r="N2252">
        <v>4.84</v>
      </c>
      <c r="O2252">
        <v>6600879</v>
      </c>
      <c r="P2252" s="2" t="s">
        <v>61</v>
      </c>
      <c r="Q2252" s="2" t="s">
        <v>35</v>
      </c>
      <c r="R2252" s="2" t="s">
        <v>30</v>
      </c>
      <c r="S2252">
        <v>12</v>
      </c>
      <c r="T2252" s="1">
        <v>43708</v>
      </c>
      <c r="U2252" s="1">
        <v>43709</v>
      </c>
      <c r="V2252" s="2"/>
      <c r="W2252" s="1">
        <f>fNotasFiscais[[#This Row],[Data da Coleta]]+fNotasFiscais[[#This Row],[Prazo Contratado]]</f>
        <v>43720</v>
      </c>
      <c r="X2252" s="3">
        <f>IF(fNotasFiscais[[#This Row],[Data da Entrega]]&gt;fNotasFiscais[[#This Row],[Data Contratada]],0,1)</f>
        <v>1</v>
      </c>
      <c r="Y2252" s="3">
        <f>IF(fNotasFiscais[[#This Row],[Ocorrência]]="",1,0)</f>
        <v>1</v>
      </c>
      <c r="Z2252" s="2">
        <f>fNotasFiscais[[#This Row],[On Time]]*fNotasFiscais[[#This Row],[In Full]]</f>
        <v>1</v>
      </c>
      <c r="AA2252">
        <f>IF(fNotasFiscais[[#This Row],[Nota Fiscal]]&lt;&gt;"",1,0)</f>
        <v>1</v>
      </c>
    </row>
    <row r="2253" spans="1:27" x14ac:dyDescent="0.25">
      <c r="A2253" s="1">
        <v>43712</v>
      </c>
      <c r="B2253">
        <v>12662</v>
      </c>
      <c r="C2253" s="2" t="s">
        <v>34</v>
      </c>
      <c r="D2253" s="2" t="s">
        <v>35</v>
      </c>
      <c r="E2253" s="2" t="s">
        <v>36</v>
      </c>
      <c r="F2253">
        <v>4166</v>
      </c>
      <c r="G2253" s="2" t="s">
        <v>249</v>
      </c>
      <c r="H2253" s="2" t="s">
        <v>173</v>
      </c>
      <c r="I2253" s="2" t="s">
        <v>174</v>
      </c>
      <c r="J2253" s="2" t="s">
        <v>175</v>
      </c>
      <c r="K2253" s="2" t="s">
        <v>174</v>
      </c>
      <c r="L2253">
        <v>313.27</v>
      </c>
      <c r="M2253">
        <v>7</v>
      </c>
      <c r="N2253">
        <v>17.294</v>
      </c>
      <c r="O2253">
        <v>6700091</v>
      </c>
      <c r="P2253" s="2" t="s">
        <v>176</v>
      </c>
      <c r="Q2253" s="2" t="s">
        <v>173</v>
      </c>
      <c r="R2253" s="2" t="s">
        <v>30</v>
      </c>
      <c r="S2253">
        <v>5</v>
      </c>
      <c r="T2253" s="1">
        <v>43712</v>
      </c>
      <c r="U2253" s="1">
        <v>43722</v>
      </c>
      <c r="V2253" s="2"/>
      <c r="W2253" s="1">
        <f>fNotasFiscais[[#This Row],[Data da Coleta]]+fNotasFiscais[[#This Row],[Prazo Contratado]]</f>
        <v>43717</v>
      </c>
      <c r="X2253" s="3">
        <f>IF(fNotasFiscais[[#This Row],[Data da Entrega]]&gt;fNotasFiscais[[#This Row],[Data Contratada]],0,1)</f>
        <v>0</v>
      </c>
      <c r="Y2253" s="3">
        <f>IF(fNotasFiscais[[#This Row],[Ocorrência]]="",1,0)</f>
        <v>1</v>
      </c>
      <c r="Z2253" s="2">
        <f>fNotasFiscais[[#This Row],[On Time]]*fNotasFiscais[[#This Row],[In Full]]</f>
        <v>0</v>
      </c>
      <c r="AA2253">
        <f>IF(fNotasFiscais[[#This Row],[Nota Fiscal]]&lt;&gt;"",1,0)</f>
        <v>1</v>
      </c>
    </row>
    <row r="2254" spans="1:27" x14ac:dyDescent="0.25">
      <c r="A2254" s="1">
        <v>43712</v>
      </c>
      <c r="B2254">
        <v>12663</v>
      </c>
      <c r="C2254" s="2" t="s">
        <v>40</v>
      </c>
      <c r="D2254" s="2" t="s">
        <v>41</v>
      </c>
      <c r="E2254" s="2" t="s">
        <v>33</v>
      </c>
      <c r="F2254">
        <v>4068</v>
      </c>
      <c r="G2254" s="2" t="s">
        <v>63</v>
      </c>
      <c r="H2254" s="2" t="s">
        <v>64</v>
      </c>
      <c r="I2254" s="2" t="s">
        <v>65</v>
      </c>
      <c r="J2254" s="2" t="s">
        <v>49</v>
      </c>
      <c r="K2254" s="2" t="s">
        <v>65</v>
      </c>
      <c r="L2254">
        <v>2994.86</v>
      </c>
      <c r="M2254">
        <v>1</v>
      </c>
      <c r="N2254">
        <v>1.1200000000000001</v>
      </c>
      <c r="O2254">
        <v>6100231</v>
      </c>
      <c r="P2254" s="2" t="s">
        <v>50</v>
      </c>
      <c r="Q2254" s="2" t="s">
        <v>51</v>
      </c>
      <c r="R2254" s="2" t="s">
        <v>30</v>
      </c>
      <c r="S2254">
        <v>7</v>
      </c>
      <c r="T2254" s="1">
        <v>43712</v>
      </c>
      <c r="U2254" s="1">
        <v>43719</v>
      </c>
      <c r="V2254" s="2" t="s">
        <v>57</v>
      </c>
      <c r="W2254" s="1">
        <f>fNotasFiscais[[#This Row],[Data da Coleta]]+fNotasFiscais[[#This Row],[Prazo Contratado]]</f>
        <v>43719</v>
      </c>
      <c r="X2254" s="3">
        <f>IF(fNotasFiscais[[#This Row],[Data da Entrega]]&gt;fNotasFiscais[[#This Row],[Data Contratada]],0,1)</f>
        <v>1</v>
      </c>
      <c r="Y2254" s="3">
        <f>IF(fNotasFiscais[[#This Row],[Ocorrência]]="",1,0)</f>
        <v>0</v>
      </c>
      <c r="Z2254" s="2">
        <f>fNotasFiscais[[#This Row],[On Time]]*fNotasFiscais[[#This Row],[In Full]]</f>
        <v>0</v>
      </c>
      <c r="AA2254">
        <f>IF(fNotasFiscais[[#This Row],[Nota Fiscal]]&lt;&gt;"",1,0)</f>
        <v>1</v>
      </c>
    </row>
    <row r="2255" spans="1:27" x14ac:dyDescent="0.25">
      <c r="A2255" s="1">
        <v>43713</v>
      </c>
      <c r="B2255">
        <v>12664</v>
      </c>
      <c r="C2255" s="2" t="s">
        <v>22</v>
      </c>
      <c r="D2255" s="2" t="s">
        <v>23</v>
      </c>
      <c r="E2255" s="2" t="s">
        <v>24</v>
      </c>
      <c r="F2255">
        <v>4024</v>
      </c>
      <c r="G2255" s="2" t="s">
        <v>89</v>
      </c>
      <c r="H2255" s="2" t="s">
        <v>23</v>
      </c>
      <c r="I2255" s="2" t="s">
        <v>24</v>
      </c>
      <c r="J2255" s="2" t="s">
        <v>28</v>
      </c>
      <c r="K2255" s="2" t="s">
        <v>24</v>
      </c>
      <c r="L2255">
        <v>291.82</v>
      </c>
      <c r="M2255">
        <v>1</v>
      </c>
      <c r="N2255">
        <v>1.1200000000000001</v>
      </c>
      <c r="O2255">
        <v>6500948</v>
      </c>
      <c r="P2255" s="2" t="s">
        <v>29</v>
      </c>
      <c r="Q2255" s="2" t="s">
        <v>23</v>
      </c>
      <c r="R2255" s="2" t="s">
        <v>30</v>
      </c>
      <c r="S2255">
        <v>4</v>
      </c>
      <c r="T2255" s="1">
        <v>43713</v>
      </c>
      <c r="U2255" s="1">
        <v>43718</v>
      </c>
      <c r="V2255" s="2"/>
      <c r="W2255" s="1">
        <f>fNotasFiscais[[#This Row],[Data da Coleta]]+fNotasFiscais[[#This Row],[Prazo Contratado]]</f>
        <v>43717</v>
      </c>
      <c r="X2255" s="3">
        <f>IF(fNotasFiscais[[#This Row],[Data da Entrega]]&gt;fNotasFiscais[[#This Row],[Data Contratada]],0,1)</f>
        <v>0</v>
      </c>
      <c r="Y2255" s="3">
        <f>IF(fNotasFiscais[[#This Row],[Ocorrência]]="",1,0)</f>
        <v>1</v>
      </c>
      <c r="Z2255" s="2">
        <f>fNotasFiscais[[#This Row],[On Time]]*fNotasFiscais[[#This Row],[In Full]]</f>
        <v>0</v>
      </c>
      <c r="AA2255">
        <f>IF(fNotasFiscais[[#This Row],[Nota Fiscal]]&lt;&gt;"",1,0)</f>
        <v>1</v>
      </c>
    </row>
    <row r="2256" spans="1:27" x14ac:dyDescent="0.25">
      <c r="A2256" s="1">
        <v>43714</v>
      </c>
      <c r="B2256">
        <v>12665</v>
      </c>
      <c r="C2256" s="2" t="s">
        <v>54</v>
      </c>
      <c r="D2256" s="2" t="s">
        <v>55</v>
      </c>
      <c r="E2256" s="2" t="s">
        <v>56</v>
      </c>
      <c r="F2256">
        <v>4033</v>
      </c>
      <c r="G2256" s="2" t="s">
        <v>109</v>
      </c>
      <c r="H2256" s="2" t="s">
        <v>51</v>
      </c>
      <c r="I2256" s="2" t="s">
        <v>73</v>
      </c>
      <c r="J2256" s="2" t="s">
        <v>49</v>
      </c>
      <c r="K2256" s="2" t="s">
        <v>73</v>
      </c>
      <c r="L2256">
        <v>13197.89</v>
      </c>
      <c r="M2256">
        <v>12</v>
      </c>
      <c r="N2256">
        <v>65.022999999999996</v>
      </c>
      <c r="O2256">
        <v>6100231</v>
      </c>
      <c r="P2256" s="2" t="s">
        <v>50</v>
      </c>
      <c r="Q2256" s="2" t="s">
        <v>51</v>
      </c>
      <c r="R2256" s="2" t="s">
        <v>30</v>
      </c>
      <c r="S2256">
        <v>8</v>
      </c>
      <c r="T2256" s="1">
        <v>43714</v>
      </c>
      <c r="U2256" s="1">
        <v>43718</v>
      </c>
      <c r="V2256" s="2" t="s">
        <v>57</v>
      </c>
      <c r="W2256" s="1">
        <f>fNotasFiscais[[#This Row],[Data da Coleta]]+fNotasFiscais[[#This Row],[Prazo Contratado]]</f>
        <v>43722</v>
      </c>
      <c r="X2256" s="3">
        <f>IF(fNotasFiscais[[#This Row],[Data da Entrega]]&gt;fNotasFiscais[[#This Row],[Data Contratada]],0,1)</f>
        <v>1</v>
      </c>
      <c r="Y2256" s="3">
        <f>IF(fNotasFiscais[[#This Row],[Ocorrência]]="",1,0)</f>
        <v>0</v>
      </c>
      <c r="Z2256" s="2">
        <f>fNotasFiscais[[#This Row],[On Time]]*fNotasFiscais[[#This Row],[In Full]]</f>
        <v>0</v>
      </c>
      <c r="AA2256">
        <f>IF(fNotasFiscais[[#This Row],[Nota Fiscal]]&lt;&gt;"",1,0)</f>
        <v>1</v>
      </c>
    </row>
    <row r="2257" spans="1:27" x14ac:dyDescent="0.25">
      <c r="A2257" s="1">
        <v>43714</v>
      </c>
      <c r="B2257">
        <v>12666</v>
      </c>
      <c r="C2257" s="2" t="s">
        <v>31</v>
      </c>
      <c r="D2257" s="2" t="s">
        <v>32</v>
      </c>
      <c r="E2257" s="2" t="s">
        <v>33</v>
      </c>
      <c r="F2257">
        <v>4132</v>
      </c>
      <c r="G2257" s="2" t="s">
        <v>215</v>
      </c>
      <c r="H2257" s="2" t="s">
        <v>183</v>
      </c>
      <c r="I2257" s="2" t="s">
        <v>33</v>
      </c>
      <c r="J2257" s="2" t="s">
        <v>60</v>
      </c>
      <c r="K2257" s="2" t="s">
        <v>33</v>
      </c>
      <c r="L2257">
        <v>245.31</v>
      </c>
      <c r="M2257">
        <v>1</v>
      </c>
      <c r="N2257">
        <v>1.1200000000000001</v>
      </c>
      <c r="O2257">
        <v>6400835</v>
      </c>
      <c r="P2257" s="2" t="s">
        <v>130</v>
      </c>
      <c r="Q2257" s="2" t="s">
        <v>131</v>
      </c>
      <c r="R2257" s="2" t="s">
        <v>30</v>
      </c>
      <c r="S2257">
        <v>2</v>
      </c>
      <c r="T2257" s="1">
        <v>43714</v>
      </c>
      <c r="U2257" s="1">
        <v>43718</v>
      </c>
      <c r="V2257" s="2"/>
      <c r="W2257" s="1">
        <f>fNotasFiscais[[#This Row],[Data da Coleta]]+fNotasFiscais[[#This Row],[Prazo Contratado]]</f>
        <v>43716</v>
      </c>
      <c r="X2257" s="3">
        <f>IF(fNotasFiscais[[#This Row],[Data da Entrega]]&gt;fNotasFiscais[[#This Row],[Data Contratada]],0,1)</f>
        <v>0</v>
      </c>
      <c r="Y2257" s="3">
        <f>IF(fNotasFiscais[[#This Row],[Ocorrência]]="",1,0)</f>
        <v>1</v>
      </c>
      <c r="Z2257" s="2">
        <f>fNotasFiscais[[#This Row],[On Time]]*fNotasFiscais[[#This Row],[In Full]]</f>
        <v>0</v>
      </c>
      <c r="AA2257">
        <f>IF(fNotasFiscais[[#This Row],[Nota Fiscal]]&lt;&gt;"",1,0)</f>
        <v>1</v>
      </c>
    </row>
    <row r="2258" spans="1:27" x14ac:dyDescent="0.25">
      <c r="A2258" s="1">
        <v>43714</v>
      </c>
      <c r="B2258">
        <v>12667</v>
      </c>
      <c r="C2258" s="2" t="s">
        <v>43</v>
      </c>
      <c r="D2258" s="2" t="s">
        <v>44</v>
      </c>
      <c r="E2258" s="2" t="s">
        <v>45</v>
      </c>
      <c r="F2258">
        <v>4133</v>
      </c>
      <c r="G2258" s="2" t="s">
        <v>216</v>
      </c>
      <c r="H2258" s="2" t="s">
        <v>35</v>
      </c>
      <c r="I2258" s="2" t="s">
        <v>36</v>
      </c>
      <c r="J2258" s="2" t="s">
        <v>60</v>
      </c>
      <c r="K2258" s="2" t="s">
        <v>36</v>
      </c>
      <c r="L2258">
        <v>2380.2800000000002</v>
      </c>
      <c r="M2258">
        <v>3</v>
      </c>
      <c r="N2258">
        <v>23.97</v>
      </c>
      <c r="O2258">
        <v>6600879</v>
      </c>
      <c r="P2258" s="2" t="s">
        <v>61</v>
      </c>
      <c r="Q2258" s="2" t="s">
        <v>35</v>
      </c>
      <c r="R2258" s="2" t="s">
        <v>30</v>
      </c>
      <c r="S2258">
        <v>10</v>
      </c>
      <c r="T2258" s="1">
        <v>43714</v>
      </c>
      <c r="U2258" s="1">
        <v>43716</v>
      </c>
      <c r="V2258" s="2"/>
      <c r="W2258" s="1">
        <f>fNotasFiscais[[#This Row],[Data da Coleta]]+fNotasFiscais[[#This Row],[Prazo Contratado]]</f>
        <v>43724</v>
      </c>
      <c r="X2258" s="3">
        <f>IF(fNotasFiscais[[#This Row],[Data da Entrega]]&gt;fNotasFiscais[[#This Row],[Data Contratada]],0,1)</f>
        <v>1</v>
      </c>
      <c r="Y2258" s="3">
        <f>IF(fNotasFiscais[[#This Row],[Ocorrência]]="",1,0)</f>
        <v>1</v>
      </c>
      <c r="Z2258" s="2">
        <f>fNotasFiscais[[#This Row],[On Time]]*fNotasFiscais[[#This Row],[In Full]]</f>
        <v>1</v>
      </c>
      <c r="AA2258">
        <f>IF(fNotasFiscais[[#This Row],[Nota Fiscal]]&lt;&gt;"",1,0)</f>
        <v>1</v>
      </c>
    </row>
    <row r="2259" spans="1:27" x14ac:dyDescent="0.25">
      <c r="A2259" s="1">
        <v>43714</v>
      </c>
      <c r="B2259">
        <v>12668</v>
      </c>
      <c r="C2259" s="2" t="s">
        <v>54</v>
      </c>
      <c r="D2259" s="2" t="s">
        <v>55</v>
      </c>
      <c r="E2259" s="2" t="s">
        <v>56</v>
      </c>
      <c r="F2259">
        <v>4147</v>
      </c>
      <c r="G2259" s="2" t="s">
        <v>230</v>
      </c>
      <c r="H2259" s="2" t="s">
        <v>35</v>
      </c>
      <c r="I2259" s="2" t="s">
        <v>36</v>
      </c>
      <c r="J2259" s="2" t="s">
        <v>60</v>
      </c>
      <c r="K2259" s="2" t="s">
        <v>36</v>
      </c>
      <c r="L2259">
        <v>3456.2</v>
      </c>
      <c r="M2259">
        <v>2</v>
      </c>
      <c r="N2259">
        <v>20.823</v>
      </c>
      <c r="O2259">
        <v>6600879</v>
      </c>
      <c r="P2259" s="2" t="s">
        <v>61</v>
      </c>
      <c r="Q2259" s="2" t="s">
        <v>35</v>
      </c>
      <c r="R2259" s="2" t="s">
        <v>30</v>
      </c>
      <c r="S2259">
        <v>7</v>
      </c>
      <c r="T2259" s="1">
        <v>43714</v>
      </c>
      <c r="U2259" s="1">
        <v>43717</v>
      </c>
      <c r="V2259" s="2"/>
      <c r="W2259" s="1">
        <f>fNotasFiscais[[#This Row],[Data da Coleta]]+fNotasFiscais[[#This Row],[Prazo Contratado]]</f>
        <v>43721</v>
      </c>
      <c r="X2259" s="3">
        <f>IF(fNotasFiscais[[#This Row],[Data da Entrega]]&gt;fNotasFiscais[[#This Row],[Data Contratada]],0,1)</f>
        <v>1</v>
      </c>
      <c r="Y2259" s="3">
        <f>IF(fNotasFiscais[[#This Row],[Ocorrência]]="",1,0)</f>
        <v>1</v>
      </c>
      <c r="Z2259" s="2">
        <f>fNotasFiscais[[#This Row],[On Time]]*fNotasFiscais[[#This Row],[In Full]]</f>
        <v>1</v>
      </c>
      <c r="AA2259">
        <f>IF(fNotasFiscais[[#This Row],[Nota Fiscal]]&lt;&gt;"",1,0)</f>
        <v>1</v>
      </c>
    </row>
    <row r="2260" spans="1:27" x14ac:dyDescent="0.25">
      <c r="A2260" s="1">
        <v>43714</v>
      </c>
      <c r="B2260">
        <v>12669</v>
      </c>
      <c r="C2260" s="2" t="s">
        <v>31</v>
      </c>
      <c r="D2260" s="2" t="s">
        <v>32</v>
      </c>
      <c r="E2260" s="2" t="s">
        <v>33</v>
      </c>
      <c r="F2260">
        <v>4173</v>
      </c>
      <c r="G2260" s="2" t="s">
        <v>256</v>
      </c>
      <c r="H2260" s="2" t="s">
        <v>35</v>
      </c>
      <c r="I2260" s="2" t="s">
        <v>36</v>
      </c>
      <c r="J2260" s="2" t="s">
        <v>60</v>
      </c>
      <c r="K2260" s="2" t="s">
        <v>36</v>
      </c>
      <c r="L2260">
        <v>84.03</v>
      </c>
      <c r="M2260">
        <v>1</v>
      </c>
      <c r="N2260">
        <v>1.1200000000000001</v>
      </c>
      <c r="O2260">
        <v>6600879</v>
      </c>
      <c r="P2260" s="2" t="s">
        <v>61</v>
      </c>
      <c r="Q2260" s="2" t="s">
        <v>35</v>
      </c>
      <c r="R2260" s="2" t="s">
        <v>30</v>
      </c>
      <c r="S2260">
        <v>8</v>
      </c>
      <c r="T2260" s="1">
        <v>43714</v>
      </c>
      <c r="U2260" s="1">
        <v>43719</v>
      </c>
      <c r="V2260" s="2"/>
      <c r="W2260" s="1">
        <f>fNotasFiscais[[#This Row],[Data da Coleta]]+fNotasFiscais[[#This Row],[Prazo Contratado]]</f>
        <v>43722</v>
      </c>
      <c r="X2260" s="3">
        <f>IF(fNotasFiscais[[#This Row],[Data da Entrega]]&gt;fNotasFiscais[[#This Row],[Data Contratada]],0,1)</f>
        <v>1</v>
      </c>
      <c r="Y2260" s="3">
        <f>IF(fNotasFiscais[[#This Row],[Ocorrência]]="",1,0)</f>
        <v>1</v>
      </c>
      <c r="Z2260" s="2">
        <f>fNotasFiscais[[#This Row],[On Time]]*fNotasFiscais[[#This Row],[In Full]]</f>
        <v>1</v>
      </c>
      <c r="AA2260">
        <f>IF(fNotasFiscais[[#This Row],[Nota Fiscal]]&lt;&gt;"",1,0)</f>
        <v>1</v>
      </c>
    </row>
    <row r="2261" spans="1:27" x14ac:dyDescent="0.25">
      <c r="A2261" s="1">
        <v>43714</v>
      </c>
      <c r="B2261">
        <v>12670</v>
      </c>
      <c r="C2261" s="2" t="s">
        <v>31</v>
      </c>
      <c r="D2261" s="2" t="s">
        <v>32</v>
      </c>
      <c r="E2261" s="2" t="s">
        <v>33</v>
      </c>
      <c r="F2261">
        <v>4231</v>
      </c>
      <c r="G2261" s="2" t="s">
        <v>314</v>
      </c>
      <c r="H2261" s="2" t="s">
        <v>44</v>
      </c>
      <c r="I2261" s="2" t="s">
        <v>45</v>
      </c>
      <c r="J2261" s="2" t="s">
        <v>60</v>
      </c>
      <c r="K2261" s="2" t="s">
        <v>45</v>
      </c>
      <c r="L2261">
        <v>1531.55</v>
      </c>
      <c r="M2261">
        <v>1</v>
      </c>
      <c r="N2261">
        <v>1.3460000000000001</v>
      </c>
      <c r="O2261">
        <v>6140092</v>
      </c>
      <c r="P2261" s="2" t="s">
        <v>137</v>
      </c>
      <c r="Q2261" s="2" t="s">
        <v>138</v>
      </c>
      <c r="R2261" s="2" t="s">
        <v>30</v>
      </c>
      <c r="S2261">
        <v>6</v>
      </c>
      <c r="T2261" s="1">
        <v>43714</v>
      </c>
      <c r="U2261" s="1">
        <v>43724</v>
      </c>
      <c r="V2261" s="2"/>
      <c r="W2261" s="1">
        <f>fNotasFiscais[[#This Row],[Data da Coleta]]+fNotasFiscais[[#This Row],[Prazo Contratado]]</f>
        <v>43720</v>
      </c>
      <c r="X2261" s="3">
        <f>IF(fNotasFiscais[[#This Row],[Data da Entrega]]&gt;fNotasFiscais[[#This Row],[Data Contratada]],0,1)</f>
        <v>0</v>
      </c>
      <c r="Y2261" s="3">
        <f>IF(fNotasFiscais[[#This Row],[Ocorrência]]="",1,0)</f>
        <v>1</v>
      </c>
      <c r="Z2261" s="2">
        <f>fNotasFiscais[[#This Row],[On Time]]*fNotasFiscais[[#This Row],[In Full]]</f>
        <v>0</v>
      </c>
      <c r="AA2261">
        <f>IF(fNotasFiscais[[#This Row],[Nota Fiscal]]&lt;&gt;"",1,0)</f>
        <v>1</v>
      </c>
    </row>
    <row r="2262" spans="1:27" x14ac:dyDescent="0.25">
      <c r="A2262" s="1">
        <v>43714</v>
      </c>
      <c r="B2262">
        <v>12671</v>
      </c>
      <c r="C2262" s="2" t="s">
        <v>52</v>
      </c>
      <c r="D2262" s="2" t="s">
        <v>53</v>
      </c>
      <c r="E2262" s="2" t="s">
        <v>33</v>
      </c>
      <c r="F2262">
        <v>4232</v>
      </c>
      <c r="G2262" s="2" t="s">
        <v>315</v>
      </c>
      <c r="H2262" s="2" t="s">
        <v>32</v>
      </c>
      <c r="I2262" s="2" t="s">
        <v>33</v>
      </c>
      <c r="J2262" s="2" t="s">
        <v>60</v>
      </c>
      <c r="K2262" s="2" t="s">
        <v>33</v>
      </c>
      <c r="L2262">
        <v>7264.54</v>
      </c>
      <c r="M2262">
        <v>9</v>
      </c>
      <c r="N2262">
        <v>40.209000000000003</v>
      </c>
      <c r="O2262">
        <v>6400835</v>
      </c>
      <c r="P2262" s="2" t="s">
        <v>130</v>
      </c>
      <c r="Q2262" s="2" t="s">
        <v>131</v>
      </c>
      <c r="R2262" s="2" t="s">
        <v>30</v>
      </c>
      <c r="S2262">
        <v>5</v>
      </c>
      <c r="T2262" s="1">
        <v>43714</v>
      </c>
      <c r="U2262" s="1">
        <v>43719</v>
      </c>
      <c r="V2262" s="2"/>
      <c r="W2262" s="1">
        <f>fNotasFiscais[[#This Row],[Data da Coleta]]+fNotasFiscais[[#This Row],[Prazo Contratado]]</f>
        <v>43719</v>
      </c>
      <c r="X2262" s="3">
        <f>IF(fNotasFiscais[[#This Row],[Data da Entrega]]&gt;fNotasFiscais[[#This Row],[Data Contratada]],0,1)</f>
        <v>1</v>
      </c>
      <c r="Y2262" s="3">
        <f>IF(fNotasFiscais[[#This Row],[Ocorrência]]="",1,0)</f>
        <v>1</v>
      </c>
      <c r="Z2262" s="2">
        <f>fNotasFiscais[[#This Row],[On Time]]*fNotasFiscais[[#This Row],[In Full]]</f>
        <v>1</v>
      </c>
      <c r="AA2262">
        <f>IF(fNotasFiscais[[#This Row],[Nota Fiscal]]&lt;&gt;"",1,0)</f>
        <v>1</v>
      </c>
    </row>
    <row r="2263" spans="1:27" x14ac:dyDescent="0.25">
      <c r="A2263" s="1">
        <v>43714</v>
      </c>
      <c r="B2263">
        <v>12672</v>
      </c>
      <c r="C2263" s="2" t="s">
        <v>34</v>
      </c>
      <c r="D2263" s="2" t="s">
        <v>35</v>
      </c>
      <c r="E2263" s="2" t="s">
        <v>36</v>
      </c>
      <c r="F2263">
        <v>4023</v>
      </c>
      <c r="G2263" s="2" t="s">
        <v>88</v>
      </c>
      <c r="H2263" s="2" t="s">
        <v>78</v>
      </c>
      <c r="I2263" s="2" t="s">
        <v>39</v>
      </c>
      <c r="J2263" s="2" t="s">
        <v>28</v>
      </c>
      <c r="K2263" s="2" t="s">
        <v>39</v>
      </c>
      <c r="L2263">
        <v>336.29</v>
      </c>
      <c r="M2263">
        <v>1</v>
      </c>
      <c r="N2263">
        <v>1.1200000000000001</v>
      </c>
      <c r="O2263">
        <v>6500948</v>
      </c>
      <c r="P2263" s="2" t="s">
        <v>29</v>
      </c>
      <c r="Q2263" s="2" t="s">
        <v>23</v>
      </c>
      <c r="R2263" s="2" t="s">
        <v>30</v>
      </c>
      <c r="S2263">
        <v>8</v>
      </c>
      <c r="T2263" s="1">
        <v>43714</v>
      </c>
      <c r="U2263" s="1">
        <v>43721</v>
      </c>
      <c r="V2263" s="2"/>
      <c r="W2263" s="1">
        <f>fNotasFiscais[[#This Row],[Data da Coleta]]+fNotasFiscais[[#This Row],[Prazo Contratado]]</f>
        <v>43722</v>
      </c>
      <c r="X2263" s="3">
        <f>IF(fNotasFiscais[[#This Row],[Data da Entrega]]&gt;fNotasFiscais[[#This Row],[Data Contratada]],0,1)</f>
        <v>1</v>
      </c>
      <c r="Y2263" s="3">
        <f>IF(fNotasFiscais[[#This Row],[Ocorrência]]="",1,0)</f>
        <v>1</v>
      </c>
      <c r="Z2263" s="2">
        <f>fNotasFiscais[[#This Row],[On Time]]*fNotasFiscais[[#This Row],[In Full]]</f>
        <v>1</v>
      </c>
      <c r="AA2263">
        <f>IF(fNotasFiscais[[#This Row],[Nota Fiscal]]&lt;&gt;"",1,0)</f>
        <v>1</v>
      </c>
    </row>
    <row r="2264" spans="1:27" x14ac:dyDescent="0.25">
      <c r="A2264" s="1">
        <v>43714</v>
      </c>
      <c r="B2264">
        <v>12673</v>
      </c>
      <c r="C2264" s="2" t="s">
        <v>31</v>
      </c>
      <c r="D2264" s="2" t="s">
        <v>32</v>
      </c>
      <c r="E2264" s="2" t="s">
        <v>33</v>
      </c>
      <c r="F2264">
        <v>4022</v>
      </c>
      <c r="G2264" s="2" t="s">
        <v>86</v>
      </c>
      <c r="H2264" s="2" t="s">
        <v>87</v>
      </c>
      <c r="I2264" s="2" t="s">
        <v>27</v>
      </c>
      <c r="J2264" s="2" t="s">
        <v>28</v>
      </c>
      <c r="K2264" s="2" t="s">
        <v>27</v>
      </c>
      <c r="L2264">
        <v>1016.61</v>
      </c>
      <c r="M2264">
        <v>1</v>
      </c>
      <c r="N2264">
        <v>15.18</v>
      </c>
      <c r="O2264">
        <v>6500948</v>
      </c>
      <c r="P2264" s="2" t="s">
        <v>29</v>
      </c>
      <c r="Q2264" s="2" t="s">
        <v>23</v>
      </c>
      <c r="R2264" s="2" t="s">
        <v>30</v>
      </c>
      <c r="S2264">
        <v>10</v>
      </c>
      <c r="T2264" s="1">
        <v>43714</v>
      </c>
      <c r="U2264" s="1">
        <v>43719</v>
      </c>
      <c r="V2264" s="2"/>
      <c r="W2264" s="1">
        <f>fNotasFiscais[[#This Row],[Data da Coleta]]+fNotasFiscais[[#This Row],[Prazo Contratado]]</f>
        <v>43724</v>
      </c>
      <c r="X2264" s="3">
        <f>IF(fNotasFiscais[[#This Row],[Data da Entrega]]&gt;fNotasFiscais[[#This Row],[Data Contratada]],0,1)</f>
        <v>1</v>
      </c>
      <c r="Y2264" s="3">
        <f>IF(fNotasFiscais[[#This Row],[Ocorrência]]="",1,0)</f>
        <v>1</v>
      </c>
      <c r="Z2264" s="2">
        <f>fNotasFiscais[[#This Row],[On Time]]*fNotasFiscais[[#This Row],[In Full]]</f>
        <v>1</v>
      </c>
      <c r="AA2264">
        <f>IF(fNotasFiscais[[#This Row],[Nota Fiscal]]&lt;&gt;"",1,0)</f>
        <v>1</v>
      </c>
    </row>
    <row r="2265" spans="1:27" x14ac:dyDescent="0.25">
      <c r="A2265" s="1">
        <v>43715</v>
      </c>
      <c r="B2265">
        <v>12674</v>
      </c>
      <c r="C2265" s="2" t="s">
        <v>22</v>
      </c>
      <c r="D2265" s="2" t="s">
        <v>23</v>
      </c>
      <c r="E2265" s="2" t="s">
        <v>24</v>
      </c>
      <c r="F2265">
        <v>4068</v>
      </c>
      <c r="G2265" s="2" t="s">
        <v>63</v>
      </c>
      <c r="H2265" s="2" t="s">
        <v>64</v>
      </c>
      <c r="I2265" s="2" t="s">
        <v>65</v>
      </c>
      <c r="J2265" s="2" t="s">
        <v>49</v>
      </c>
      <c r="K2265" s="2" t="s">
        <v>65</v>
      </c>
      <c r="L2265">
        <v>1016.61</v>
      </c>
      <c r="M2265">
        <v>1</v>
      </c>
      <c r="N2265">
        <v>15.18</v>
      </c>
      <c r="O2265">
        <v>6100231</v>
      </c>
      <c r="P2265" s="2" t="s">
        <v>50</v>
      </c>
      <c r="Q2265" s="2" t="s">
        <v>51</v>
      </c>
      <c r="R2265" s="2" t="s">
        <v>30</v>
      </c>
      <c r="S2265">
        <v>3</v>
      </c>
      <c r="T2265" s="1">
        <v>43715</v>
      </c>
      <c r="U2265" s="1">
        <v>43723</v>
      </c>
      <c r="V2265" s="2"/>
      <c r="W2265" s="1">
        <f>fNotasFiscais[[#This Row],[Data da Coleta]]+fNotasFiscais[[#This Row],[Prazo Contratado]]</f>
        <v>43718</v>
      </c>
      <c r="X2265" s="3">
        <f>IF(fNotasFiscais[[#This Row],[Data da Entrega]]&gt;fNotasFiscais[[#This Row],[Data Contratada]],0,1)</f>
        <v>0</v>
      </c>
      <c r="Y2265" s="3">
        <f>IF(fNotasFiscais[[#This Row],[Ocorrência]]="",1,0)</f>
        <v>1</v>
      </c>
      <c r="Z2265" s="2">
        <f>fNotasFiscais[[#This Row],[On Time]]*fNotasFiscais[[#This Row],[In Full]]</f>
        <v>0</v>
      </c>
      <c r="AA2265">
        <f>IF(fNotasFiscais[[#This Row],[Nota Fiscal]]&lt;&gt;"",1,0)</f>
        <v>1</v>
      </c>
    </row>
    <row r="2266" spans="1:27" x14ac:dyDescent="0.25">
      <c r="A2266" s="1">
        <v>43718</v>
      </c>
      <c r="B2266">
        <v>12675</v>
      </c>
      <c r="C2266" s="2" t="s">
        <v>22</v>
      </c>
      <c r="D2266" s="2" t="s">
        <v>23</v>
      </c>
      <c r="E2266" s="2" t="s">
        <v>24</v>
      </c>
      <c r="F2266">
        <v>4096</v>
      </c>
      <c r="G2266" s="2" t="s">
        <v>178</v>
      </c>
      <c r="H2266" s="2" t="s">
        <v>44</v>
      </c>
      <c r="I2266" s="2" t="s">
        <v>45</v>
      </c>
      <c r="J2266" s="2" t="s">
        <v>60</v>
      </c>
      <c r="K2266" s="2" t="s">
        <v>45</v>
      </c>
      <c r="L2266">
        <v>14297.47</v>
      </c>
      <c r="M2266">
        <v>16</v>
      </c>
      <c r="N2266">
        <v>104.70399999999999</v>
      </c>
      <c r="O2266">
        <v>6140092</v>
      </c>
      <c r="P2266" s="2" t="s">
        <v>137</v>
      </c>
      <c r="Q2266" s="2" t="s">
        <v>138</v>
      </c>
      <c r="R2266" s="2" t="s">
        <v>30</v>
      </c>
      <c r="S2266">
        <v>7</v>
      </c>
      <c r="T2266" s="1">
        <v>43718</v>
      </c>
      <c r="U2266" s="1">
        <v>43720</v>
      </c>
      <c r="V2266" s="2"/>
      <c r="W2266" s="1">
        <f>fNotasFiscais[[#This Row],[Data da Coleta]]+fNotasFiscais[[#This Row],[Prazo Contratado]]</f>
        <v>43725</v>
      </c>
      <c r="X2266" s="3">
        <f>IF(fNotasFiscais[[#This Row],[Data da Entrega]]&gt;fNotasFiscais[[#This Row],[Data Contratada]],0,1)</f>
        <v>1</v>
      </c>
      <c r="Y2266" s="3">
        <f>IF(fNotasFiscais[[#This Row],[Ocorrência]]="",1,0)</f>
        <v>1</v>
      </c>
      <c r="Z2266" s="2">
        <f>fNotasFiscais[[#This Row],[On Time]]*fNotasFiscais[[#This Row],[In Full]]</f>
        <v>1</v>
      </c>
      <c r="AA2266">
        <f>IF(fNotasFiscais[[#This Row],[Nota Fiscal]]&lt;&gt;"",1,0)</f>
        <v>1</v>
      </c>
    </row>
    <row r="2267" spans="1:27" x14ac:dyDescent="0.25">
      <c r="A2267" s="1">
        <v>43718</v>
      </c>
      <c r="B2267">
        <v>12676</v>
      </c>
      <c r="C2267" s="2" t="s">
        <v>34</v>
      </c>
      <c r="D2267" s="2" t="s">
        <v>35</v>
      </c>
      <c r="E2267" s="2" t="s">
        <v>36</v>
      </c>
      <c r="F2267">
        <v>4096</v>
      </c>
      <c r="G2267" s="2" t="s">
        <v>178</v>
      </c>
      <c r="H2267" s="2" t="s">
        <v>44</v>
      </c>
      <c r="I2267" s="2" t="s">
        <v>45</v>
      </c>
      <c r="J2267" s="2" t="s">
        <v>60</v>
      </c>
      <c r="K2267" s="2" t="s">
        <v>45</v>
      </c>
      <c r="L2267">
        <v>2899.09</v>
      </c>
      <c r="M2267">
        <v>1</v>
      </c>
      <c r="N2267">
        <v>1.1200000000000001</v>
      </c>
      <c r="O2267">
        <v>6140092</v>
      </c>
      <c r="P2267" s="2" t="s">
        <v>137</v>
      </c>
      <c r="Q2267" s="2" t="s">
        <v>138</v>
      </c>
      <c r="R2267" s="2" t="s">
        <v>30</v>
      </c>
      <c r="S2267">
        <v>10</v>
      </c>
      <c r="T2267" s="1">
        <v>43718</v>
      </c>
      <c r="U2267" s="1">
        <v>43720</v>
      </c>
      <c r="V2267" s="2"/>
      <c r="W2267" s="1">
        <f>fNotasFiscais[[#This Row],[Data da Coleta]]+fNotasFiscais[[#This Row],[Prazo Contratado]]</f>
        <v>43728</v>
      </c>
      <c r="X2267" s="3">
        <f>IF(fNotasFiscais[[#This Row],[Data da Entrega]]&gt;fNotasFiscais[[#This Row],[Data Contratada]],0,1)</f>
        <v>1</v>
      </c>
      <c r="Y2267" s="3">
        <f>IF(fNotasFiscais[[#This Row],[Ocorrência]]="",1,0)</f>
        <v>1</v>
      </c>
      <c r="Z2267" s="2">
        <f>fNotasFiscais[[#This Row],[On Time]]*fNotasFiscais[[#This Row],[In Full]]</f>
        <v>1</v>
      </c>
      <c r="AA2267">
        <f>IF(fNotasFiscais[[#This Row],[Nota Fiscal]]&lt;&gt;"",1,0)</f>
        <v>1</v>
      </c>
    </row>
    <row r="2268" spans="1:27" x14ac:dyDescent="0.25">
      <c r="A2268" s="1">
        <v>43718</v>
      </c>
      <c r="B2268">
        <v>12677</v>
      </c>
      <c r="C2268" s="2" t="s">
        <v>52</v>
      </c>
      <c r="D2268" s="2" t="s">
        <v>53</v>
      </c>
      <c r="E2268" s="2" t="s">
        <v>33</v>
      </c>
      <c r="F2268">
        <v>4230</v>
      </c>
      <c r="G2268" s="2" t="s">
        <v>313</v>
      </c>
      <c r="H2268" s="2" t="s">
        <v>35</v>
      </c>
      <c r="I2268" s="2" t="s">
        <v>36</v>
      </c>
      <c r="J2268" s="2" t="s">
        <v>60</v>
      </c>
      <c r="K2268" s="2" t="s">
        <v>36</v>
      </c>
      <c r="L2268">
        <v>31.75</v>
      </c>
      <c r="M2268">
        <v>7</v>
      </c>
      <c r="N2268">
        <v>60.84</v>
      </c>
      <c r="O2268">
        <v>6600879</v>
      </c>
      <c r="P2268" s="2" t="s">
        <v>61</v>
      </c>
      <c r="Q2268" s="2" t="s">
        <v>35</v>
      </c>
      <c r="R2268" s="2" t="s">
        <v>30</v>
      </c>
      <c r="S2268">
        <v>12</v>
      </c>
      <c r="T2268" s="1">
        <v>43718</v>
      </c>
      <c r="U2268" s="1">
        <v>43724</v>
      </c>
      <c r="V2268" s="2"/>
      <c r="W2268" s="1">
        <f>fNotasFiscais[[#This Row],[Data da Coleta]]+fNotasFiscais[[#This Row],[Prazo Contratado]]</f>
        <v>43730</v>
      </c>
      <c r="X2268" s="3">
        <f>IF(fNotasFiscais[[#This Row],[Data da Entrega]]&gt;fNotasFiscais[[#This Row],[Data Contratada]],0,1)</f>
        <v>1</v>
      </c>
      <c r="Y2268" s="3">
        <f>IF(fNotasFiscais[[#This Row],[Ocorrência]]="",1,0)</f>
        <v>1</v>
      </c>
      <c r="Z2268" s="2">
        <f>fNotasFiscais[[#This Row],[On Time]]*fNotasFiscais[[#This Row],[In Full]]</f>
        <v>1</v>
      </c>
      <c r="AA2268">
        <f>IF(fNotasFiscais[[#This Row],[Nota Fiscal]]&lt;&gt;"",1,0)</f>
        <v>1</v>
      </c>
    </row>
    <row r="2269" spans="1:27" x14ac:dyDescent="0.25">
      <c r="A2269" s="1">
        <v>43718</v>
      </c>
      <c r="B2269">
        <v>12678</v>
      </c>
      <c r="C2269" s="2" t="s">
        <v>52</v>
      </c>
      <c r="D2269" s="2" t="s">
        <v>53</v>
      </c>
      <c r="E2269" s="2" t="s">
        <v>33</v>
      </c>
      <c r="F2269">
        <v>4068</v>
      </c>
      <c r="G2269" s="2" t="s">
        <v>63</v>
      </c>
      <c r="H2269" s="2" t="s">
        <v>64</v>
      </c>
      <c r="I2269" s="2" t="s">
        <v>65</v>
      </c>
      <c r="J2269" s="2" t="s">
        <v>49</v>
      </c>
      <c r="K2269" s="2" t="s">
        <v>65</v>
      </c>
      <c r="L2269">
        <v>6775.78</v>
      </c>
      <c r="M2269">
        <v>1</v>
      </c>
      <c r="N2269">
        <v>1.1200000000000001</v>
      </c>
      <c r="O2269">
        <v>6100231</v>
      </c>
      <c r="P2269" s="2" t="s">
        <v>50</v>
      </c>
      <c r="Q2269" s="2" t="s">
        <v>51</v>
      </c>
      <c r="R2269" s="2" t="s">
        <v>62</v>
      </c>
      <c r="S2269">
        <v>9</v>
      </c>
      <c r="T2269" s="1">
        <v>43718</v>
      </c>
      <c r="U2269" s="1">
        <v>43719</v>
      </c>
      <c r="V2269" s="2"/>
      <c r="W2269" s="1">
        <f>fNotasFiscais[[#This Row],[Data da Coleta]]+fNotasFiscais[[#This Row],[Prazo Contratado]]</f>
        <v>43727</v>
      </c>
      <c r="X2269" s="3">
        <f>IF(fNotasFiscais[[#This Row],[Data da Entrega]]&gt;fNotasFiscais[[#This Row],[Data Contratada]],0,1)</f>
        <v>1</v>
      </c>
      <c r="Y2269" s="3">
        <f>IF(fNotasFiscais[[#This Row],[Ocorrência]]="",1,0)</f>
        <v>1</v>
      </c>
      <c r="Z2269" s="2">
        <f>fNotasFiscais[[#This Row],[On Time]]*fNotasFiscais[[#This Row],[In Full]]</f>
        <v>1</v>
      </c>
      <c r="AA2269">
        <f>IF(fNotasFiscais[[#This Row],[Nota Fiscal]]&lt;&gt;"",1,0)</f>
        <v>1</v>
      </c>
    </row>
    <row r="2270" spans="1:27" x14ac:dyDescent="0.25">
      <c r="A2270" s="1">
        <v>43718</v>
      </c>
      <c r="B2270">
        <v>12679</v>
      </c>
      <c r="C2270" s="2" t="s">
        <v>34</v>
      </c>
      <c r="D2270" s="2" t="s">
        <v>35</v>
      </c>
      <c r="E2270" s="2" t="s">
        <v>36</v>
      </c>
      <c r="F2270">
        <v>4023</v>
      </c>
      <c r="G2270" s="2" t="s">
        <v>88</v>
      </c>
      <c r="H2270" s="2" t="s">
        <v>78</v>
      </c>
      <c r="I2270" s="2" t="s">
        <v>39</v>
      </c>
      <c r="J2270" s="2" t="s">
        <v>28</v>
      </c>
      <c r="K2270" s="2" t="s">
        <v>39</v>
      </c>
      <c r="L2270">
        <v>90.75</v>
      </c>
      <c r="M2270">
        <v>1</v>
      </c>
      <c r="N2270">
        <v>1.1200000000000001</v>
      </c>
      <c r="O2270">
        <v>6500948</v>
      </c>
      <c r="P2270" s="2" t="s">
        <v>29</v>
      </c>
      <c r="Q2270" s="2" t="s">
        <v>23</v>
      </c>
      <c r="R2270" s="2" t="s">
        <v>30</v>
      </c>
      <c r="S2270">
        <v>9</v>
      </c>
      <c r="T2270" s="1">
        <v>43718</v>
      </c>
      <c r="U2270" s="1">
        <v>43723</v>
      </c>
      <c r="V2270" s="2"/>
      <c r="W2270" s="1">
        <f>fNotasFiscais[[#This Row],[Data da Coleta]]+fNotasFiscais[[#This Row],[Prazo Contratado]]</f>
        <v>43727</v>
      </c>
      <c r="X2270" s="3">
        <f>IF(fNotasFiscais[[#This Row],[Data da Entrega]]&gt;fNotasFiscais[[#This Row],[Data Contratada]],0,1)</f>
        <v>1</v>
      </c>
      <c r="Y2270" s="3">
        <f>IF(fNotasFiscais[[#This Row],[Ocorrência]]="",1,0)</f>
        <v>1</v>
      </c>
      <c r="Z2270" s="2">
        <f>fNotasFiscais[[#This Row],[On Time]]*fNotasFiscais[[#This Row],[In Full]]</f>
        <v>1</v>
      </c>
      <c r="AA2270">
        <f>IF(fNotasFiscais[[#This Row],[Nota Fiscal]]&lt;&gt;"",1,0)</f>
        <v>1</v>
      </c>
    </row>
    <row r="2271" spans="1:27" x14ac:dyDescent="0.25">
      <c r="A2271" s="1">
        <v>43718</v>
      </c>
      <c r="B2271">
        <v>12680</v>
      </c>
      <c r="C2271" s="2" t="s">
        <v>31</v>
      </c>
      <c r="D2271" s="2" t="s">
        <v>32</v>
      </c>
      <c r="E2271" s="2" t="s">
        <v>33</v>
      </c>
      <c r="F2271">
        <v>4032</v>
      </c>
      <c r="G2271" s="2" t="s">
        <v>108</v>
      </c>
      <c r="H2271" s="2" t="s">
        <v>51</v>
      </c>
      <c r="I2271" s="2" t="s">
        <v>73</v>
      </c>
      <c r="J2271" s="2" t="s">
        <v>49</v>
      </c>
      <c r="K2271" s="2" t="s">
        <v>73</v>
      </c>
      <c r="L2271">
        <v>1574.68</v>
      </c>
      <c r="M2271">
        <v>1</v>
      </c>
      <c r="N2271">
        <v>16.5</v>
      </c>
      <c r="O2271">
        <v>6100231</v>
      </c>
      <c r="P2271" s="2" t="s">
        <v>50</v>
      </c>
      <c r="Q2271" s="2" t="s">
        <v>51</v>
      </c>
      <c r="R2271" s="2" t="s">
        <v>30</v>
      </c>
      <c r="S2271">
        <v>7</v>
      </c>
      <c r="T2271" s="1">
        <v>43718</v>
      </c>
      <c r="U2271" s="1">
        <v>43722</v>
      </c>
      <c r="V2271" s="2"/>
      <c r="W2271" s="1">
        <f>fNotasFiscais[[#This Row],[Data da Coleta]]+fNotasFiscais[[#This Row],[Prazo Contratado]]</f>
        <v>43725</v>
      </c>
      <c r="X2271" s="3">
        <f>IF(fNotasFiscais[[#This Row],[Data da Entrega]]&gt;fNotasFiscais[[#This Row],[Data Contratada]],0,1)</f>
        <v>1</v>
      </c>
      <c r="Y2271" s="3">
        <f>IF(fNotasFiscais[[#This Row],[Ocorrência]]="",1,0)</f>
        <v>1</v>
      </c>
      <c r="Z2271" s="2">
        <f>fNotasFiscais[[#This Row],[On Time]]*fNotasFiscais[[#This Row],[In Full]]</f>
        <v>1</v>
      </c>
      <c r="AA2271">
        <f>IF(fNotasFiscais[[#This Row],[Nota Fiscal]]&lt;&gt;"",1,0)</f>
        <v>1</v>
      </c>
    </row>
    <row r="2272" spans="1:27" x14ac:dyDescent="0.25">
      <c r="A2272" s="1">
        <v>43719</v>
      </c>
      <c r="B2272">
        <v>12681</v>
      </c>
      <c r="C2272" s="2" t="s">
        <v>43</v>
      </c>
      <c r="D2272" s="2" t="s">
        <v>44</v>
      </c>
      <c r="E2272" s="2" t="s">
        <v>45</v>
      </c>
      <c r="F2272">
        <v>4164</v>
      </c>
      <c r="G2272" s="2" t="s">
        <v>247</v>
      </c>
      <c r="H2272" s="2" t="s">
        <v>165</v>
      </c>
      <c r="I2272" s="2" t="s">
        <v>24</v>
      </c>
      <c r="J2272" s="2" t="s">
        <v>28</v>
      </c>
      <c r="K2272" s="2" t="s">
        <v>24</v>
      </c>
      <c r="L2272">
        <v>2196.39</v>
      </c>
      <c r="M2272">
        <v>4</v>
      </c>
      <c r="N2272">
        <v>20.36</v>
      </c>
      <c r="O2272">
        <v>6500948</v>
      </c>
      <c r="P2272" s="2" t="s">
        <v>29</v>
      </c>
      <c r="Q2272" s="2" t="s">
        <v>23</v>
      </c>
      <c r="R2272" s="2" t="s">
        <v>30</v>
      </c>
      <c r="S2272">
        <v>9</v>
      </c>
      <c r="T2272" s="1">
        <v>43719</v>
      </c>
      <c r="U2272" s="1">
        <v>43727</v>
      </c>
      <c r="V2272" s="2"/>
      <c r="W2272" s="1">
        <f>fNotasFiscais[[#This Row],[Data da Coleta]]+fNotasFiscais[[#This Row],[Prazo Contratado]]</f>
        <v>43728</v>
      </c>
      <c r="X2272" s="3">
        <f>IF(fNotasFiscais[[#This Row],[Data da Entrega]]&gt;fNotasFiscais[[#This Row],[Data Contratada]],0,1)</f>
        <v>1</v>
      </c>
      <c r="Y2272" s="3">
        <f>IF(fNotasFiscais[[#This Row],[Ocorrência]]="",1,0)</f>
        <v>1</v>
      </c>
      <c r="Z2272" s="2">
        <f>fNotasFiscais[[#This Row],[On Time]]*fNotasFiscais[[#This Row],[In Full]]</f>
        <v>1</v>
      </c>
      <c r="AA2272">
        <f>IF(fNotasFiscais[[#This Row],[Nota Fiscal]]&lt;&gt;"",1,0)</f>
        <v>1</v>
      </c>
    </row>
    <row r="2273" spans="1:27" x14ac:dyDescent="0.25">
      <c r="A2273" s="1">
        <v>43719</v>
      </c>
      <c r="B2273">
        <v>12682</v>
      </c>
      <c r="C2273" s="2" t="s">
        <v>54</v>
      </c>
      <c r="D2273" s="2" t="s">
        <v>55</v>
      </c>
      <c r="E2273" s="2" t="s">
        <v>56</v>
      </c>
      <c r="F2273">
        <v>4128</v>
      </c>
      <c r="G2273" s="2" t="s">
        <v>211</v>
      </c>
      <c r="H2273" s="2" t="s">
        <v>167</v>
      </c>
      <c r="I2273" s="2" t="s">
        <v>168</v>
      </c>
      <c r="J2273" s="2" t="s">
        <v>169</v>
      </c>
      <c r="K2273" s="2" t="s">
        <v>168</v>
      </c>
      <c r="L2273">
        <v>40.33</v>
      </c>
      <c r="M2273">
        <v>1</v>
      </c>
      <c r="N2273">
        <v>1.1200000000000001</v>
      </c>
      <c r="O2273">
        <v>6900304</v>
      </c>
      <c r="P2273" s="2" t="s">
        <v>170</v>
      </c>
      <c r="Q2273" s="2" t="s">
        <v>171</v>
      </c>
      <c r="R2273" s="2" t="s">
        <v>30</v>
      </c>
      <c r="S2273">
        <v>12</v>
      </c>
      <c r="T2273" s="1">
        <v>43719</v>
      </c>
      <c r="U2273" s="1">
        <v>43721</v>
      </c>
      <c r="V2273" s="2"/>
      <c r="W2273" s="1">
        <f>fNotasFiscais[[#This Row],[Data da Coleta]]+fNotasFiscais[[#This Row],[Prazo Contratado]]</f>
        <v>43731</v>
      </c>
      <c r="X2273" s="3">
        <f>IF(fNotasFiscais[[#This Row],[Data da Entrega]]&gt;fNotasFiscais[[#This Row],[Data Contratada]],0,1)</f>
        <v>1</v>
      </c>
      <c r="Y2273" s="3">
        <f>IF(fNotasFiscais[[#This Row],[Ocorrência]]="",1,0)</f>
        <v>1</v>
      </c>
      <c r="Z2273" s="2">
        <f>fNotasFiscais[[#This Row],[On Time]]*fNotasFiscais[[#This Row],[In Full]]</f>
        <v>1</v>
      </c>
      <c r="AA2273">
        <f>IF(fNotasFiscais[[#This Row],[Nota Fiscal]]&lt;&gt;"",1,0)</f>
        <v>1</v>
      </c>
    </row>
    <row r="2274" spans="1:27" x14ac:dyDescent="0.25">
      <c r="A2274" s="1">
        <v>43720</v>
      </c>
      <c r="B2274">
        <v>12683</v>
      </c>
      <c r="C2274" s="2" t="s">
        <v>22</v>
      </c>
      <c r="D2274" s="2" t="s">
        <v>23</v>
      </c>
      <c r="E2274" s="2" t="s">
        <v>24</v>
      </c>
      <c r="F2274">
        <v>4233</v>
      </c>
      <c r="G2274" s="2" t="s">
        <v>316</v>
      </c>
      <c r="H2274" s="2" t="s">
        <v>35</v>
      </c>
      <c r="I2274" s="2" t="s">
        <v>36</v>
      </c>
      <c r="J2274" s="2" t="s">
        <v>60</v>
      </c>
      <c r="K2274" s="2" t="s">
        <v>36</v>
      </c>
      <c r="L2274">
        <v>439.66</v>
      </c>
      <c r="M2274">
        <v>1</v>
      </c>
      <c r="N2274">
        <v>0.44</v>
      </c>
      <c r="O2274">
        <v>6600879</v>
      </c>
      <c r="P2274" s="2" t="s">
        <v>61</v>
      </c>
      <c r="Q2274" s="2" t="s">
        <v>35</v>
      </c>
      <c r="R2274" s="2" t="s">
        <v>30</v>
      </c>
      <c r="S2274">
        <v>11</v>
      </c>
      <c r="T2274" s="1">
        <v>43720</v>
      </c>
      <c r="U2274" s="1">
        <v>43727</v>
      </c>
      <c r="V2274" s="2"/>
      <c r="W2274" s="1">
        <f>fNotasFiscais[[#This Row],[Data da Coleta]]+fNotasFiscais[[#This Row],[Prazo Contratado]]</f>
        <v>43731</v>
      </c>
      <c r="X2274" s="3">
        <f>IF(fNotasFiscais[[#This Row],[Data da Entrega]]&gt;fNotasFiscais[[#This Row],[Data Contratada]],0,1)</f>
        <v>1</v>
      </c>
      <c r="Y2274" s="3">
        <f>IF(fNotasFiscais[[#This Row],[Ocorrência]]="",1,0)</f>
        <v>1</v>
      </c>
      <c r="Z2274" s="2">
        <f>fNotasFiscais[[#This Row],[On Time]]*fNotasFiscais[[#This Row],[In Full]]</f>
        <v>1</v>
      </c>
      <c r="AA2274">
        <f>IF(fNotasFiscais[[#This Row],[Nota Fiscal]]&lt;&gt;"",1,0)</f>
        <v>1</v>
      </c>
    </row>
    <row r="2275" spans="1:27" x14ac:dyDescent="0.25">
      <c r="A2275" s="1">
        <v>43720</v>
      </c>
      <c r="B2275">
        <v>12684</v>
      </c>
      <c r="C2275" s="2" t="s">
        <v>40</v>
      </c>
      <c r="D2275" s="2" t="s">
        <v>41</v>
      </c>
      <c r="E2275" s="2" t="s">
        <v>33</v>
      </c>
      <c r="F2275">
        <v>4219</v>
      </c>
      <c r="G2275" s="2" t="s">
        <v>302</v>
      </c>
      <c r="H2275" s="2" t="s">
        <v>35</v>
      </c>
      <c r="I2275" s="2" t="s">
        <v>36</v>
      </c>
      <c r="J2275" s="2" t="s">
        <v>60</v>
      </c>
      <c r="K2275" s="2" t="s">
        <v>36</v>
      </c>
      <c r="L2275">
        <v>160.43</v>
      </c>
      <c r="M2275">
        <v>1</v>
      </c>
      <c r="N2275">
        <v>9.9000000000000005E-2</v>
      </c>
      <c r="O2275">
        <v>6600879</v>
      </c>
      <c r="P2275" s="2" t="s">
        <v>61</v>
      </c>
      <c r="Q2275" s="2" t="s">
        <v>35</v>
      </c>
      <c r="R2275" s="2" t="s">
        <v>30</v>
      </c>
      <c r="S2275">
        <v>7</v>
      </c>
      <c r="T2275" s="1">
        <v>43720</v>
      </c>
      <c r="U2275" s="1">
        <v>43726</v>
      </c>
      <c r="V2275" s="2"/>
      <c r="W2275" s="1">
        <f>fNotasFiscais[[#This Row],[Data da Coleta]]+fNotasFiscais[[#This Row],[Prazo Contratado]]</f>
        <v>43727</v>
      </c>
      <c r="X2275" s="3">
        <f>IF(fNotasFiscais[[#This Row],[Data da Entrega]]&gt;fNotasFiscais[[#This Row],[Data Contratada]],0,1)</f>
        <v>1</v>
      </c>
      <c r="Y2275" s="3">
        <f>IF(fNotasFiscais[[#This Row],[Ocorrência]]="",1,0)</f>
        <v>1</v>
      </c>
      <c r="Z2275" s="2">
        <f>fNotasFiscais[[#This Row],[On Time]]*fNotasFiscais[[#This Row],[In Full]]</f>
        <v>1</v>
      </c>
      <c r="AA2275">
        <f>IF(fNotasFiscais[[#This Row],[Nota Fiscal]]&lt;&gt;"",1,0)</f>
        <v>1</v>
      </c>
    </row>
    <row r="2276" spans="1:27" x14ac:dyDescent="0.25">
      <c r="A2276" s="1">
        <v>43720</v>
      </c>
      <c r="B2276">
        <v>12685</v>
      </c>
      <c r="C2276" s="2" t="s">
        <v>22</v>
      </c>
      <c r="D2276" s="2" t="s">
        <v>23</v>
      </c>
      <c r="E2276" s="2" t="s">
        <v>24</v>
      </c>
      <c r="F2276">
        <v>4013</v>
      </c>
      <c r="G2276" s="2" t="s">
        <v>37</v>
      </c>
      <c r="H2276" s="2" t="s">
        <v>38</v>
      </c>
      <c r="I2276" s="2" t="s">
        <v>39</v>
      </c>
      <c r="J2276" s="2" t="s">
        <v>28</v>
      </c>
      <c r="K2276" s="2" t="s">
        <v>39</v>
      </c>
      <c r="L2276">
        <v>2818.32</v>
      </c>
      <c r="M2276">
        <v>8</v>
      </c>
      <c r="N2276">
        <v>38.265000000000001</v>
      </c>
      <c r="O2276">
        <v>6500948</v>
      </c>
      <c r="P2276" s="2" t="s">
        <v>29</v>
      </c>
      <c r="Q2276" s="2" t="s">
        <v>23</v>
      </c>
      <c r="R2276" s="2" t="s">
        <v>30</v>
      </c>
      <c r="S2276">
        <v>8</v>
      </c>
      <c r="T2276" s="1">
        <v>43720</v>
      </c>
      <c r="U2276" s="1">
        <v>43722</v>
      </c>
      <c r="V2276" s="2"/>
      <c r="W2276" s="1">
        <f>fNotasFiscais[[#This Row],[Data da Coleta]]+fNotasFiscais[[#This Row],[Prazo Contratado]]</f>
        <v>43728</v>
      </c>
      <c r="X2276" s="3">
        <f>IF(fNotasFiscais[[#This Row],[Data da Entrega]]&gt;fNotasFiscais[[#This Row],[Data Contratada]],0,1)</f>
        <v>1</v>
      </c>
      <c r="Y2276" s="3">
        <f>IF(fNotasFiscais[[#This Row],[Ocorrência]]="",1,0)</f>
        <v>1</v>
      </c>
      <c r="Z2276" s="2">
        <f>fNotasFiscais[[#This Row],[On Time]]*fNotasFiscais[[#This Row],[In Full]]</f>
        <v>1</v>
      </c>
      <c r="AA2276">
        <f>IF(fNotasFiscais[[#This Row],[Nota Fiscal]]&lt;&gt;"",1,0)</f>
        <v>1</v>
      </c>
    </row>
    <row r="2277" spans="1:27" x14ac:dyDescent="0.25">
      <c r="A2277" s="1">
        <v>43720</v>
      </c>
      <c r="B2277">
        <v>12686</v>
      </c>
      <c r="C2277" s="2" t="s">
        <v>22</v>
      </c>
      <c r="D2277" s="2" t="s">
        <v>23</v>
      </c>
      <c r="E2277" s="2" t="s">
        <v>24</v>
      </c>
      <c r="F2277">
        <v>4013</v>
      </c>
      <c r="G2277" s="2" t="s">
        <v>37</v>
      </c>
      <c r="H2277" s="2" t="s">
        <v>38</v>
      </c>
      <c r="I2277" s="2" t="s">
        <v>39</v>
      </c>
      <c r="J2277" s="2" t="s">
        <v>28</v>
      </c>
      <c r="K2277" s="2" t="s">
        <v>39</v>
      </c>
      <c r="L2277">
        <v>67.38</v>
      </c>
      <c r="M2277">
        <v>1</v>
      </c>
      <c r="N2277">
        <v>1.1200000000000001</v>
      </c>
      <c r="O2277">
        <v>6500948</v>
      </c>
      <c r="P2277" s="2" t="s">
        <v>29</v>
      </c>
      <c r="Q2277" s="2" t="s">
        <v>23</v>
      </c>
      <c r="R2277" s="2" t="s">
        <v>30</v>
      </c>
      <c r="S2277">
        <v>6</v>
      </c>
      <c r="T2277" s="1">
        <v>43720</v>
      </c>
      <c r="U2277" s="1">
        <v>43723</v>
      </c>
      <c r="V2277" s="2"/>
      <c r="W2277" s="1">
        <f>fNotasFiscais[[#This Row],[Data da Coleta]]+fNotasFiscais[[#This Row],[Prazo Contratado]]</f>
        <v>43726</v>
      </c>
      <c r="X2277" s="3">
        <f>IF(fNotasFiscais[[#This Row],[Data da Entrega]]&gt;fNotasFiscais[[#This Row],[Data Contratada]],0,1)</f>
        <v>1</v>
      </c>
      <c r="Y2277" s="3">
        <f>IF(fNotasFiscais[[#This Row],[Ocorrência]]="",1,0)</f>
        <v>1</v>
      </c>
      <c r="Z2277" s="2">
        <f>fNotasFiscais[[#This Row],[On Time]]*fNotasFiscais[[#This Row],[In Full]]</f>
        <v>1</v>
      </c>
      <c r="AA2277">
        <f>IF(fNotasFiscais[[#This Row],[Nota Fiscal]]&lt;&gt;"",1,0)</f>
        <v>1</v>
      </c>
    </row>
    <row r="2278" spans="1:27" x14ac:dyDescent="0.25">
      <c r="A2278" s="1">
        <v>43720</v>
      </c>
      <c r="B2278">
        <v>12687</v>
      </c>
      <c r="C2278" s="2" t="s">
        <v>31</v>
      </c>
      <c r="D2278" s="2" t="s">
        <v>32</v>
      </c>
      <c r="E2278" s="2" t="s">
        <v>33</v>
      </c>
      <c r="F2278">
        <v>4119</v>
      </c>
      <c r="G2278" s="2" t="s">
        <v>202</v>
      </c>
      <c r="H2278" s="2" t="s">
        <v>167</v>
      </c>
      <c r="I2278" s="2" t="s">
        <v>168</v>
      </c>
      <c r="J2278" s="2" t="s">
        <v>169</v>
      </c>
      <c r="K2278" s="2" t="s">
        <v>168</v>
      </c>
      <c r="L2278">
        <v>3033.73</v>
      </c>
      <c r="M2278">
        <v>1</v>
      </c>
      <c r="N2278">
        <v>1.1200000000000001</v>
      </c>
      <c r="O2278">
        <v>6900304</v>
      </c>
      <c r="P2278" s="2" t="s">
        <v>170</v>
      </c>
      <c r="Q2278" s="2" t="s">
        <v>171</v>
      </c>
      <c r="R2278" s="2" t="s">
        <v>30</v>
      </c>
      <c r="S2278">
        <v>10</v>
      </c>
      <c r="T2278" s="1">
        <v>43720</v>
      </c>
      <c r="U2278" s="1">
        <v>43730</v>
      </c>
      <c r="V2278" s="2"/>
      <c r="W2278" s="1">
        <f>fNotasFiscais[[#This Row],[Data da Coleta]]+fNotasFiscais[[#This Row],[Prazo Contratado]]</f>
        <v>43730</v>
      </c>
      <c r="X2278" s="3">
        <f>IF(fNotasFiscais[[#This Row],[Data da Entrega]]&gt;fNotasFiscais[[#This Row],[Data Contratada]],0,1)</f>
        <v>1</v>
      </c>
      <c r="Y2278" s="3">
        <f>IF(fNotasFiscais[[#This Row],[Ocorrência]]="",1,0)</f>
        <v>1</v>
      </c>
      <c r="Z2278" s="2">
        <f>fNotasFiscais[[#This Row],[On Time]]*fNotasFiscais[[#This Row],[In Full]]</f>
        <v>1</v>
      </c>
      <c r="AA2278">
        <f>IF(fNotasFiscais[[#This Row],[Nota Fiscal]]&lt;&gt;"",1,0)</f>
        <v>1</v>
      </c>
    </row>
    <row r="2279" spans="1:27" x14ac:dyDescent="0.25">
      <c r="A2279" s="1">
        <v>43720</v>
      </c>
      <c r="B2279">
        <v>12688</v>
      </c>
      <c r="C2279" s="2" t="s">
        <v>54</v>
      </c>
      <c r="D2279" s="2" t="s">
        <v>55</v>
      </c>
      <c r="E2279" s="2" t="s">
        <v>56</v>
      </c>
      <c r="F2279">
        <v>4119</v>
      </c>
      <c r="G2279" s="2" t="s">
        <v>202</v>
      </c>
      <c r="H2279" s="2" t="s">
        <v>167</v>
      </c>
      <c r="I2279" s="2" t="s">
        <v>168</v>
      </c>
      <c r="J2279" s="2" t="s">
        <v>169</v>
      </c>
      <c r="K2279" s="2" t="s">
        <v>168</v>
      </c>
      <c r="L2279">
        <v>18.18</v>
      </c>
      <c r="M2279">
        <v>1</v>
      </c>
      <c r="N2279">
        <v>1.1200000000000001</v>
      </c>
      <c r="O2279">
        <v>6900304</v>
      </c>
      <c r="P2279" s="2" t="s">
        <v>170</v>
      </c>
      <c r="Q2279" s="2" t="s">
        <v>171</v>
      </c>
      <c r="R2279" s="2" t="s">
        <v>30</v>
      </c>
      <c r="S2279">
        <v>11</v>
      </c>
      <c r="T2279" s="1">
        <v>43720</v>
      </c>
      <c r="U2279" s="1">
        <v>43730</v>
      </c>
      <c r="V2279" s="2"/>
      <c r="W2279" s="1">
        <f>fNotasFiscais[[#This Row],[Data da Coleta]]+fNotasFiscais[[#This Row],[Prazo Contratado]]</f>
        <v>43731</v>
      </c>
      <c r="X2279" s="3">
        <f>IF(fNotasFiscais[[#This Row],[Data da Entrega]]&gt;fNotasFiscais[[#This Row],[Data Contratada]],0,1)</f>
        <v>1</v>
      </c>
      <c r="Y2279" s="3">
        <f>IF(fNotasFiscais[[#This Row],[Ocorrência]]="",1,0)</f>
        <v>1</v>
      </c>
      <c r="Z2279" s="2">
        <f>fNotasFiscais[[#This Row],[On Time]]*fNotasFiscais[[#This Row],[In Full]]</f>
        <v>1</v>
      </c>
      <c r="AA2279">
        <f>IF(fNotasFiscais[[#This Row],[Nota Fiscal]]&lt;&gt;"",1,0)</f>
        <v>1</v>
      </c>
    </row>
    <row r="2280" spans="1:27" x14ac:dyDescent="0.25">
      <c r="A2280" s="1">
        <v>43720</v>
      </c>
      <c r="B2280">
        <v>12689</v>
      </c>
      <c r="C2280" s="2" t="s">
        <v>34</v>
      </c>
      <c r="D2280" s="2" t="s">
        <v>35</v>
      </c>
      <c r="E2280" s="2" t="s">
        <v>36</v>
      </c>
      <c r="F2280">
        <v>4119</v>
      </c>
      <c r="G2280" s="2" t="s">
        <v>202</v>
      </c>
      <c r="H2280" s="2" t="s">
        <v>167</v>
      </c>
      <c r="I2280" s="2" t="s">
        <v>168</v>
      </c>
      <c r="J2280" s="2" t="s">
        <v>169</v>
      </c>
      <c r="K2280" s="2" t="s">
        <v>168</v>
      </c>
      <c r="L2280">
        <v>2954.9</v>
      </c>
      <c r="M2280">
        <v>4</v>
      </c>
      <c r="N2280">
        <v>16.489000000000001</v>
      </c>
      <c r="O2280">
        <v>6900304</v>
      </c>
      <c r="P2280" s="2" t="s">
        <v>170</v>
      </c>
      <c r="Q2280" s="2" t="s">
        <v>171</v>
      </c>
      <c r="R2280" s="2" t="s">
        <v>30</v>
      </c>
      <c r="S2280">
        <v>4</v>
      </c>
      <c r="T2280" s="1">
        <v>43720</v>
      </c>
      <c r="U2280" s="1">
        <v>43726</v>
      </c>
      <c r="V2280" s="2"/>
      <c r="W2280" s="1">
        <f>fNotasFiscais[[#This Row],[Data da Coleta]]+fNotasFiscais[[#This Row],[Prazo Contratado]]</f>
        <v>43724</v>
      </c>
      <c r="X2280" s="3">
        <f>IF(fNotasFiscais[[#This Row],[Data da Entrega]]&gt;fNotasFiscais[[#This Row],[Data Contratada]],0,1)</f>
        <v>0</v>
      </c>
      <c r="Y2280" s="3">
        <f>IF(fNotasFiscais[[#This Row],[Ocorrência]]="",1,0)</f>
        <v>1</v>
      </c>
      <c r="Z2280" s="2">
        <f>fNotasFiscais[[#This Row],[On Time]]*fNotasFiscais[[#This Row],[In Full]]</f>
        <v>0</v>
      </c>
      <c r="AA2280">
        <f>IF(fNotasFiscais[[#This Row],[Nota Fiscal]]&lt;&gt;"",1,0)</f>
        <v>1</v>
      </c>
    </row>
    <row r="2281" spans="1:27" x14ac:dyDescent="0.25">
      <c r="A2281" s="1">
        <v>43720</v>
      </c>
      <c r="B2281">
        <v>12690</v>
      </c>
      <c r="C2281" s="2" t="s">
        <v>43</v>
      </c>
      <c r="D2281" s="2" t="s">
        <v>44</v>
      </c>
      <c r="E2281" s="2" t="s">
        <v>45</v>
      </c>
      <c r="F2281">
        <v>4119</v>
      </c>
      <c r="G2281" s="2" t="s">
        <v>202</v>
      </c>
      <c r="H2281" s="2" t="s">
        <v>167</v>
      </c>
      <c r="I2281" s="2" t="s">
        <v>168</v>
      </c>
      <c r="J2281" s="2" t="s">
        <v>169</v>
      </c>
      <c r="K2281" s="2" t="s">
        <v>168</v>
      </c>
      <c r="L2281">
        <v>583.91999999999996</v>
      </c>
      <c r="M2281">
        <v>1</v>
      </c>
      <c r="N2281">
        <v>1.1200000000000001</v>
      </c>
      <c r="O2281">
        <v>6900304</v>
      </c>
      <c r="P2281" s="2" t="s">
        <v>170</v>
      </c>
      <c r="Q2281" s="2" t="s">
        <v>171</v>
      </c>
      <c r="R2281" s="2" t="s">
        <v>30</v>
      </c>
      <c r="S2281">
        <v>2</v>
      </c>
      <c r="T2281" s="1">
        <v>43720</v>
      </c>
      <c r="U2281" s="1">
        <v>43722</v>
      </c>
      <c r="V2281" s="2"/>
      <c r="W2281" s="1">
        <f>fNotasFiscais[[#This Row],[Data da Coleta]]+fNotasFiscais[[#This Row],[Prazo Contratado]]</f>
        <v>43722</v>
      </c>
      <c r="X2281" s="3">
        <f>IF(fNotasFiscais[[#This Row],[Data da Entrega]]&gt;fNotasFiscais[[#This Row],[Data Contratada]],0,1)</f>
        <v>1</v>
      </c>
      <c r="Y2281" s="3">
        <f>IF(fNotasFiscais[[#This Row],[Ocorrência]]="",1,0)</f>
        <v>1</v>
      </c>
      <c r="Z2281" s="2">
        <f>fNotasFiscais[[#This Row],[On Time]]*fNotasFiscais[[#This Row],[In Full]]</f>
        <v>1</v>
      </c>
      <c r="AA2281">
        <f>IF(fNotasFiscais[[#This Row],[Nota Fiscal]]&lt;&gt;"",1,0)</f>
        <v>1</v>
      </c>
    </row>
    <row r="2282" spans="1:27" x14ac:dyDescent="0.25">
      <c r="A2282" s="1">
        <v>43720</v>
      </c>
      <c r="B2282">
        <v>12691</v>
      </c>
      <c r="C2282" s="2" t="s">
        <v>22</v>
      </c>
      <c r="D2282" s="2" t="s">
        <v>23</v>
      </c>
      <c r="E2282" s="2" t="s">
        <v>24</v>
      </c>
      <c r="F2282">
        <v>4119</v>
      </c>
      <c r="G2282" s="2" t="s">
        <v>202</v>
      </c>
      <c r="H2282" s="2" t="s">
        <v>167</v>
      </c>
      <c r="I2282" s="2" t="s">
        <v>168</v>
      </c>
      <c r="J2282" s="2" t="s">
        <v>169</v>
      </c>
      <c r="K2282" s="2" t="s">
        <v>168</v>
      </c>
      <c r="L2282">
        <v>27.8</v>
      </c>
      <c r="M2282">
        <v>4</v>
      </c>
      <c r="N2282">
        <v>29.734999999999999</v>
      </c>
      <c r="O2282">
        <v>6900304</v>
      </c>
      <c r="P2282" s="2" t="s">
        <v>170</v>
      </c>
      <c r="Q2282" s="2" t="s">
        <v>171</v>
      </c>
      <c r="R2282" s="2" t="s">
        <v>30</v>
      </c>
      <c r="S2282">
        <v>4</v>
      </c>
      <c r="T2282" s="1">
        <v>43720</v>
      </c>
      <c r="U2282" s="1">
        <v>43730</v>
      </c>
      <c r="V2282" s="2"/>
      <c r="W2282" s="1">
        <f>fNotasFiscais[[#This Row],[Data da Coleta]]+fNotasFiscais[[#This Row],[Prazo Contratado]]</f>
        <v>43724</v>
      </c>
      <c r="X2282" s="3">
        <f>IF(fNotasFiscais[[#This Row],[Data da Entrega]]&gt;fNotasFiscais[[#This Row],[Data Contratada]],0,1)</f>
        <v>0</v>
      </c>
      <c r="Y2282" s="3">
        <f>IF(fNotasFiscais[[#This Row],[Ocorrência]]="",1,0)</f>
        <v>1</v>
      </c>
      <c r="Z2282" s="2">
        <f>fNotasFiscais[[#This Row],[On Time]]*fNotasFiscais[[#This Row],[In Full]]</f>
        <v>0</v>
      </c>
      <c r="AA2282">
        <f>IF(fNotasFiscais[[#This Row],[Nota Fiscal]]&lt;&gt;"",1,0)</f>
        <v>1</v>
      </c>
    </row>
    <row r="2283" spans="1:27" x14ac:dyDescent="0.25">
      <c r="A2283" s="1">
        <v>43721</v>
      </c>
      <c r="B2283">
        <v>12692</v>
      </c>
      <c r="C2283" s="2" t="s">
        <v>31</v>
      </c>
      <c r="D2283" s="2" t="s">
        <v>32</v>
      </c>
      <c r="E2283" s="2" t="s">
        <v>33</v>
      </c>
      <c r="F2283">
        <v>4172</v>
      </c>
      <c r="G2283" s="2" t="s">
        <v>255</v>
      </c>
      <c r="H2283" s="2" t="s">
        <v>183</v>
      </c>
      <c r="I2283" s="2" t="s">
        <v>33</v>
      </c>
      <c r="J2283" s="2" t="s">
        <v>60</v>
      </c>
      <c r="K2283" s="2" t="s">
        <v>33</v>
      </c>
      <c r="L2283">
        <v>5801.39</v>
      </c>
      <c r="M2283">
        <v>1</v>
      </c>
      <c r="N2283">
        <v>1.1200000000000001</v>
      </c>
      <c r="O2283">
        <v>6400835</v>
      </c>
      <c r="P2283" s="2" t="s">
        <v>130</v>
      </c>
      <c r="Q2283" s="2" t="s">
        <v>131</v>
      </c>
      <c r="R2283" s="2" t="s">
        <v>30</v>
      </c>
      <c r="S2283">
        <v>7</v>
      </c>
      <c r="T2283" s="1">
        <v>43721</v>
      </c>
      <c r="U2283" s="1">
        <v>43728</v>
      </c>
      <c r="V2283" s="2"/>
      <c r="W2283" s="1">
        <f>fNotasFiscais[[#This Row],[Data da Coleta]]+fNotasFiscais[[#This Row],[Prazo Contratado]]</f>
        <v>43728</v>
      </c>
      <c r="X2283" s="3">
        <f>IF(fNotasFiscais[[#This Row],[Data da Entrega]]&gt;fNotasFiscais[[#This Row],[Data Contratada]],0,1)</f>
        <v>1</v>
      </c>
      <c r="Y2283" s="3">
        <f>IF(fNotasFiscais[[#This Row],[Ocorrência]]="",1,0)</f>
        <v>1</v>
      </c>
      <c r="Z2283" s="2">
        <f>fNotasFiscais[[#This Row],[On Time]]*fNotasFiscais[[#This Row],[In Full]]</f>
        <v>1</v>
      </c>
      <c r="AA2283">
        <f>IF(fNotasFiscais[[#This Row],[Nota Fiscal]]&lt;&gt;"",1,0)</f>
        <v>1</v>
      </c>
    </row>
    <row r="2284" spans="1:27" x14ac:dyDescent="0.25">
      <c r="A2284" s="1">
        <v>43721</v>
      </c>
      <c r="B2284">
        <v>12693</v>
      </c>
      <c r="C2284" s="2" t="s">
        <v>22</v>
      </c>
      <c r="D2284" s="2" t="s">
        <v>23</v>
      </c>
      <c r="E2284" s="2" t="s">
        <v>24</v>
      </c>
      <c r="F2284">
        <v>4168</v>
      </c>
      <c r="G2284" s="2" t="s">
        <v>251</v>
      </c>
      <c r="H2284" s="2" t="s">
        <v>183</v>
      </c>
      <c r="I2284" s="2" t="s">
        <v>33</v>
      </c>
      <c r="J2284" s="2" t="s">
        <v>60</v>
      </c>
      <c r="K2284" s="2" t="s">
        <v>33</v>
      </c>
      <c r="L2284">
        <v>329.72</v>
      </c>
      <c r="M2284">
        <v>5</v>
      </c>
      <c r="N2284">
        <v>33.003999999999998</v>
      </c>
      <c r="O2284">
        <v>6400835</v>
      </c>
      <c r="P2284" s="2" t="s">
        <v>130</v>
      </c>
      <c r="Q2284" s="2" t="s">
        <v>131</v>
      </c>
      <c r="R2284" s="2" t="s">
        <v>30</v>
      </c>
      <c r="S2284">
        <v>7</v>
      </c>
      <c r="T2284" s="1">
        <v>43721</v>
      </c>
      <c r="U2284" s="1">
        <v>43726</v>
      </c>
      <c r="V2284" s="2"/>
      <c r="W2284" s="1">
        <f>fNotasFiscais[[#This Row],[Data da Coleta]]+fNotasFiscais[[#This Row],[Prazo Contratado]]</f>
        <v>43728</v>
      </c>
      <c r="X2284" s="3">
        <f>IF(fNotasFiscais[[#This Row],[Data da Entrega]]&gt;fNotasFiscais[[#This Row],[Data Contratada]],0,1)</f>
        <v>1</v>
      </c>
      <c r="Y2284" s="3">
        <f>IF(fNotasFiscais[[#This Row],[Ocorrência]]="",1,0)</f>
        <v>1</v>
      </c>
      <c r="Z2284" s="2">
        <f>fNotasFiscais[[#This Row],[On Time]]*fNotasFiscais[[#This Row],[In Full]]</f>
        <v>1</v>
      </c>
      <c r="AA2284">
        <f>IF(fNotasFiscais[[#This Row],[Nota Fiscal]]&lt;&gt;"",1,0)</f>
        <v>1</v>
      </c>
    </row>
    <row r="2285" spans="1:27" x14ac:dyDescent="0.25">
      <c r="A2285" s="1">
        <v>43721</v>
      </c>
      <c r="B2285">
        <v>12694</v>
      </c>
      <c r="C2285" s="2" t="s">
        <v>43</v>
      </c>
      <c r="D2285" s="2" t="s">
        <v>44</v>
      </c>
      <c r="E2285" s="2" t="s">
        <v>45</v>
      </c>
      <c r="F2285">
        <v>4171</v>
      </c>
      <c r="G2285" s="2" t="s">
        <v>254</v>
      </c>
      <c r="H2285" s="2" t="s">
        <v>173</v>
      </c>
      <c r="I2285" s="2" t="s">
        <v>174</v>
      </c>
      <c r="J2285" s="2" t="s">
        <v>175</v>
      </c>
      <c r="K2285" s="2" t="s">
        <v>174</v>
      </c>
      <c r="L2285">
        <v>4542.24</v>
      </c>
      <c r="M2285">
        <v>1</v>
      </c>
      <c r="N2285">
        <v>1.1200000000000001</v>
      </c>
      <c r="O2285">
        <v>6700091</v>
      </c>
      <c r="P2285" s="2" t="s">
        <v>176</v>
      </c>
      <c r="Q2285" s="2" t="s">
        <v>173</v>
      </c>
      <c r="R2285" s="2" t="s">
        <v>30</v>
      </c>
      <c r="S2285">
        <v>11</v>
      </c>
      <c r="T2285" s="1">
        <v>43721</v>
      </c>
      <c r="U2285" s="1">
        <v>43725</v>
      </c>
      <c r="V2285" s="2" t="s">
        <v>42</v>
      </c>
      <c r="W2285" s="1">
        <f>fNotasFiscais[[#This Row],[Data da Coleta]]+fNotasFiscais[[#This Row],[Prazo Contratado]]</f>
        <v>43732</v>
      </c>
      <c r="X2285" s="3">
        <f>IF(fNotasFiscais[[#This Row],[Data da Entrega]]&gt;fNotasFiscais[[#This Row],[Data Contratada]],0,1)</f>
        <v>1</v>
      </c>
      <c r="Y2285" s="3">
        <f>IF(fNotasFiscais[[#This Row],[Ocorrência]]="",1,0)</f>
        <v>0</v>
      </c>
      <c r="Z2285" s="2">
        <f>fNotasFiscais[[#This Row],[On Time]]*fNotasFiscais[[#This Row],[In Full]]</f>
        <v>0</v>
      </c>
      <c r="AA2285">
        <f>IF(fNotasFiscais[[#This Row],[Nota Fiscal]]&lt;&gt;"",1,0)</f>
        <v>1</v>
      </c>
    </row>
    <row r="2286" spans="1:27" x14ac:dyDescent="0.25">
      <c r="A2286" s="1">
        <v>43721</v>
      </c>
      <c r="B2286">
        <v>12695</v>
      </c>
      <c r="C2286" s="2" t="s">
        <v>52</v>
      </c>
      <c r="D2286" s="2" t="s">
        <v>53</v>
      </c>
      <c r="E2286" s="2" t="s">
        <v>33</v>
      </c>
      <c r="F2286">
        <v>4234</v>
      </c>
      <c r="G2286" s="2" t="s">
        <v>317</v>
      </c>
      <c r="H2286" s="2" t="s">
        <v>183</v>
      </c>
      <c r="I2286" s="2" t="s">
        <v>33</v>
      </c>
      <c r="J2286" s="2" t="s">
        <v>60</v>
      </c>
      <c r="K2286" s="2" t="s">
        <v>33</v>
      </c>
      <c r="L2286">
        <v>2805.78</v>
      </c>
      <c r="M2286">
        <v>5</v>
      </c>
      <c r="N2286">
        <v>20.614999999999998</v>
      </c>
      <c r="O2286">
        <v>6400835</v>
      </c>
      <c r="P2286" s="2" t="s">
        <v>130</v>
      </c>
      <c r="Q2286" s="2" t="s">
        <v>131</v>
      </c>
      <c r="R2286" s="2" t="s">
        <v>30</v>
      </c>
      <c r="S2286">
        <v>6</v>
      </c>
      <c r="T2286" s="1">
        <v>43721</v>
      </c>
      <c r="U2286" s="1">
        <v>43729</v>
      </c>
      <c r="V2286" s="2"/>
      <c r="W2286" s="1">
        <f>fNotasFiscais[[#This Row],[Data da Coleta]]+fNotasFiscais[[#This Row],[Prazo Contratado]]</f>
        <v>43727</v>
      </c>
      <c r="X2286" s="3">
        <f>IF(fNotasFiscais[[#This Row],[Data da Entrega]]&gt;fNotasFiscais[[#This Row],[Data Contratada]],0,1)</f>
        <v>0</v>
      </c>
      <c r="Y2286" s="3">
        <f>IF(fNotasFiscais[[#This Row],[Ocorrência]]="",1,0)</f>
        <v>1</v>
      </c>
      <c r="Z2286" s="2">
        <f>fNotasFiscais[[#This Row],[On Time]]*fNotasFiscais[[#This Row],[In Full]]</f>
        <v>0</v>
      </c>
      <c r="AA2286">
        <f>IF(fNotasFiscais[[#This Row],[Nota Fiscal]]&lt;&gt;"",1,0)</f>
        <v>1</v>
      </c>
    </row>
    <row r="2287" spans="1:27" x14ac:dyDescent="0.25">
      <c r="A2287" s="1">
        <v>43721</v>
      </c>
      <c r="B2287">
        <v>12696</v>
      </c>
      <c r="C2287" s="2" t="s">
        <v>34</v>
      </c>
      <c r="D2287" s="2" t="s">
        <v>35</v>
      </c>
      <c r="E2287" s="2" t="s">
        <v>36</v>
      </c>
      <c r="F2287">
        <v>4191</v>
      </c>
      <c r="G2287" s="2" t="s">
        <v>274</v>
      </c>
      <c r="H2287" s="2" t="s">
        <v>173</v>
      </c>
      <c r="I2287" s="2" t="s">
        <v>174</v>
      </c>
      <c r="J2287" s="2" t="s">
        <v>175</v>
      </c>
      <c r="K2287" s="2" t="s">
        <v>174</v>
      </c>
      <c r="L2287">
        <v>247.88</v>
      </c>
      <c r="M2287">
        <v>1</v>
      </c>
      <c r="N2287">
        <v>1.1200000000000001</v>
      </c>
      <c r="O2287">
        <v>6700091</v>
      </c>
      <c r="P2287" s="2" t="s">
        <v>176</v>
      </c>
      <c r="Q2287" s="2" t="s">
        <v>173</v>
      </c>
      <c r="R2287" s="2" t="s">
        <v>30</v>
      </c>
      <c r="S2287">
        <v>8</v>
      </c>
      <c r="T2287" s="1">
        <v>43721</v>
      </c>
      <c r="U2287" s="1">
        <v>43728</v>
      </c>
      <c r="V2287" s="2"/>
      <c r="W2287" s="1">
        <f>fNotasFiscais[[#This Row],[Data da Coleta]]+fNotasFiscais[[#This Row],[Prazo Contratado]]</f>
        <v>43729</v>
      </c>
      <c r="X2287" s="3">
        <f>IF(fNotasFiscais[[#This Row],[Data da Entrega]]&gt;fNotasFiscais[[#This Row],[Data Contratada]],0,1)</f>
        <v>1</v>
      </c>
      <c r="Y2287" s="3">
        <f>IF(fNotasFiscais[[#This Row],[Ocorrência]]="",1,0)</f>
        <v>1</v>
      </c>
      <c r="Z2287" s="2">
        <f>fNotasFiscais[[#This Row],[On Time]]*fNotasFiscais[[#This Row],[In Full]]</f>
        <v>1</v>
      </c>
      <c r="AA2287">
        <f>IF(fNotasFiscais[[#This Row],[Nota Fiscal]]&lt;&gt;"",1,0)</f>
        <v>1</v>
      </c>
    </row>
    <row r="2288" spans="1:27" x14ac:dyDescent="0.25">
      <c r="A2288" s="1">
        <v>43721</v>
      </c>
      <c r="B2288">
        <v>12697</v>
      </c>
      <c r="C2288" s="2" t="s">
        <v>34</v>
      </c>
      <c r="D2288" s="2" t="s">
        <v>35</v>
      </c>
      <c r="E2288" s="2" t="s">
        <v>36</v>
      </c>
      <c r="F2288">
        <v>4218</v>
      </c>
      <c r="G2288" s="2" t="s">
        <v>301</v>
      </c>
      <c r="H2288" s="2" t="s">
        <v>183</v>
      </c>
      <c r="I2288" s="2" t="s">
        <v>33</v>
      </c>
      <c r="J2288" s="2" t="s">
        <v>60</v>
      </c>
      <c r="K2288" s="2" t="s">
        <v>33</v>
      </c>
      <c r="L2288">
        <v>714.58</v>
      </c>
      <c r="M2288">
        <v>1</v>
      </c>
      <c r="N2288">
        <v>4.18</v>
      </c>
      <c r="O2288">
        <v>6400835</v>
      </c>
      <c r="P2288" s="2" t="s">
        <v>130</v>
      </c>
      <c r="Q2288" s="2" t="s">
        <v>131</v>
      </c>
      <c r="R2288" s="2" t="s">
        <v>30</v>
      </c>
      <c r="S2288">
        <v>7</v>
      </c>
      <c r="T2288" s="1">
        <v>43721</v>
      </c>
      <c r="U2288" s="1">
        <v>43729</v>
      </c>
      <c r="V2288" s="2"/>
      <c r="W2288" s="1">
        <f>fNotasFiscais[[#This Row],[Data da Coleta]]+fNotasFiscais[[#This Row],[Prazo Contratado]]</f>
        <v>43728</v>
      </c>
      <c r="X2288" s="3">
        <f>IF(fNotasFiscais[[#This Row],[Data da Entrega]]&gt;fNotasFiscais[[#This Row],[Data Contratada]],0,1)</f>
        <v>0</v>
      </c>
      <c r="Y2288" s="3">
        <f>IF(fNotasFiscais[[#This Row],[Ocorrência]]="",1,0)</f>
        <v>1</v>
      </c>
      <c r="Z2288" s="2">
        <f>fNotasFiscais[[#This Row],[On Time]]*fNotasFiscais[[#This Row],[In Full]]</f>
        <v>0</v>
      </c>
      <c r="AA2288">
        <f>IF(fNotasFiscais[[#This Row],[Nota Fiscal]]&lt;&gt;"",1,0)</f>
        <v>1</v>
      </c>
    </row>
    <row r="2289" spans="1:27" x14ac:dyDescent="0.25">
      <c r="A2289" s="1">
        <v>43721</v>
      </c>
      <c r="B2289">
        <v>12698</v>
      </c>
      <c r="C2289" s="2" t="s">
        <v>52</v>
      </c>
      <c r="D2289" s="2" t="s">
        <v>53</v>
      </c>
      <c r="E2289" s="2" t="s">
        <v>33</v>
      </c>
      <c r="F2289">
        <v>4205</v>
      </c>
      <c r="G2289" s="2" t="s">
        <v>288</v>
      </c>
      <c r="H2289" s="2" t="s">
        <v>35</v>
      </c>
      <c r="I2289" s="2" t="s">
        <v>36</v>
      </c>
      <c r="J2289" s="2" t="s">
        <v>60</v>
      </c>
      <c r="K2289" s="2" t="s">
        <v>36</v>
      </c>
      <c r="L2289">
        <v>12949.5</v>
      </c>
      <c r="M2289">
        <v>17</v>
      </c>
      <c r="N2289">
        <v>74.114000000000004</v>
      </c>
      <c r="O2289">
        <v>6600879</v>
      </c>
      <c r="P2289" s="2" t="s">
        <v>61</v>
      </c>
      <c r="Q2289" s="2" t="s">
        <v>35</v>
      </c>
      <c r="R2289" s="2" t="s">
        <v>30</v>
      </c>
      <c r="S2289">
        <v>1</v>
      </c>
      <c r="T2289" s="1">
        <v>43721</v>
      </c>
      <c r="U2289" s="1">
        <v>43724</v>
      </c>
      <c r="V2289" s="2" t="s">
        <v>42</v>
      </c>
      <c r="W2289" s="1">
        <f>fNotasFiscais[[#This Row],[Data da Coleta]]+fNotasFiscais[[#This Row],[Prazo Contratado]]</f>
        <v>43722</v>
      </c>
      <c r="X2289" s="3">
        <f>IF(fNotasFiscais[[#This Row],[Data da Entrega]]&gt;fNotasFiscais[[#This Row],[Data Contratada]],0,1)</f>
        <v>0</v>
      </c>
      <c r="Y2289" s="3">
        <f>IF(fNotasFiscais[[#This Row],[Ocorrência]]="",1,0)</f>
        <v>0</v>
      </c>
      <c r="Z2289" s="2">
        <f>fNotasFiscais[[#This Row],[On Time]]*fNotasFiscais[[#This Row],[In Full]]</f>
        <v>0</v>
      </c>
      <c r="AA2289">
        <f>IF(fNotasFiscais[[#This Row],[Nota Fiscal]]&lt;&gt;"",1,0)</f>
        <v>1</v>
      </c>
    </row>
    <row r="2290" spans="1:27" x14ac:dyDescent="0.25">
      <c r="A2290" s="1">
        <v>43721</v>
      </c>
      <c r="B2290">
        <v>12699</v>
      </c>
      <c r="C2290" s="2" t="s">
        <v>52</v>
      </c>
      <c r="D2290" s="2" t="s">
        <v>53</v>
      </c>
      <c r="E2290" s="2" t="s">
        <v>33</v>
      </c>
      <c r="F2290">
        <v>4205</v>
      </c>
      <c r="G2290" s="2" t="s">
        <v>288</v>
      </c>
      <c r="H2290" s="2" t="s">
        <v>35</v>
      </c>
      <c r="I2290" s="2" t="s">
        <v>36</v>
      </c>
      <c r="J2290" s="2" t="s">
        <v>60</v>
      </c>
      <c r="K2290" s="2" t="s">
        <v>36</v>
      </c>
      <c r="L2290">
        <v>1972.7</v>
      </c>
      <c r="M2290">
        <v>3</v>
      </c>
      <c r="N2290">
        <v>13.298</v>
      </c>
      <c r="O2290">
        <v>6600879</v>
      </c>
      <c r="P2290" s="2" t="s">
        <v>61</v>
      </c>
      <c r="Q2290" s="2" t="s">
        <v>35</v>
      </c>
      <c r="R2290" s="2" t="s">
        <v>30</v>
      </c>
      <c r="S2290">
        <v>12</v>
      </c>
      <c r="T2290" s="1">
        <v>43721</v>
      </c>
      <c r="U2290" s="1">
        <v>43725</v>
      </c>
      <c r="V2290" s="2"/>
      <c r="W2290" s="1">
        <f>fNotasFiscais[[#This Row],[Data da Coleta]]+fNotasFiscais[[#This Row],[Prazo Contratado]]</f>
        <v>43733</v>
      </c>
      <c r="X2290" s="3">
        <f>IF(fNotasFiscais[[#This Row],[Data da Entrega]]&gt;fNotasFiscais[[#This Row],[Data Contratada]],0,1)</f>
        <v>1</v>
      </c>
      <c r="Y2290" s="3">
        <f>IF(fNotasFiscais[[#This Row],[Ocorrência]]="",1,0)</f>
        <v>1</v>
      </c>
      <c r="Z2290" s="2">
        <f>fNotasFiscais[[#This Row],[On Time]]*fNotasFiscais[[#This Row],[In Full]]</f>
        <v>1</v>
      </c>
      <c r="AA2290">
        <f>IF(fNotasFiscais[[#This Row],[Nota Fiscal]]&lt;&gt;"",1,0)</f>
        <v>1</v>
      </c>
    </row>
    <row r="2291" spans="1:27" x14ac:dyDescent="0.25">
      <c r="A2291" s="1">
        <v>43721</v>
      </c>
      <c r="B2291">
        <v>12700</v>
      </c>
      <c r="C2291" s="2" t="s">
        <v>22</v>
      </c>
      <c r="D2291" s="2" t="s">
        <v>23</v>
      </c>
      <c r="E2291" s="2" t="s">
        <v>24</v>
      </c>
      <c r="F2291">
        <v>4024</v>
      </c>
      <c r="G2291" s="2" t="s">
        <v>89</v>
      </c>
      <c r="H2291" s="2" t="s">
        <v>23</v>
      </c>
      <c r="I2291" s="2" t="s">
        <v>24</v>
      </c>
      <c r="J2291" s="2" t="s">
        <v>28</v>
      </c>
      <c r="K2291" s="2" t="s">
        <v>24</v>
      </c>
      <c r="L2291">
        <v>36.22</v>
      </c>
      <c r="M2291">
        <v>1</v>
      </c>
      <c r="N2291">
        <v>1.1200000000000001</v>
      </c>
      <c r="O2291">
        <v>6500948</v>
      </c>
      <c r="P2291" s="2" t="s">
        <v>29</v>
      </c>
      <c r="Q2291" s="2" t="s">
        <v>23</v>
      </c>
      <c r="R2291" s="2" t="s">
        <v>30</v>
      </c>
      <c r="S2291">
        <v>10</v>
      </c>
      <c r="T2291" s="1">
        <v>43721</v>
      </c>
      <c r="U2291" s="1">
        <v>43726</v>
      </c>
      <c r="V2291" s="2"/>
      <c r="W2291" s="1">
        <f>fNotasFiscais[[#This Row],[Data da Coleta]]+fNotasFiscais[[#This Row],[Prazo Contratado]]</f>
        <v>43731</v>
      </c>
      <c r="X2291" s="3">
        <f>IF(fNotasFiscais[[#This Row],[Data da Entrega]]&gt;fNotasFiscais[[#This Row],[Data Contratada]],0,1)</f>
        <v>1</v>
      </c>
      <c r="Y2291" s="3">
        <f>IF(fNotasFiscais[[#This Row],[Ocorrência]]="",1,0)</f>
        <v>1</v>
      </c>
      <c r="Z2291" s="2">
        <f>fNotasFiscais[[#This Row],[On Time]]*fNotasFiscais[[#This Row],[In Full]]</f>
        <v>1</v>
      </c>
      <c r="AA2291">
        <f>IF(fNotasFiscais[[#This Row],[Nota Fiscal]]&lt;&gt;"",1,0)</f>
        <v>1</v>
      </c>
    </row>
    <row r="2292" spans="1:27" x14ac:dyDescent="0.25">
      <c r="A2292" s="1">
        <v>43721</v>
      </c>
      <c r="B2292">
        <v>12701</v>
      </c>
      <c r="C2292" s="2" t="s">
        <v>40</v>
      </c>
      <c r="D2292" s="2" t="s">
        <v>41</v>
      </c>
      <c r="E2292" s="2" t="s">
        <v>33</v>
      </c>
      <c r="F2292">
        <v>4165</v>
      </c>
      <c r="G2292" s="2" t="s">
        <v>248</v>
      </c>
      <c r="H2292" s="2" t="s">
        <v>167</v>
      </c>
      <c r="I2292" s="2" t="s">
        <v>168</v>
      </c>
      <c r="J2292" s="2" t="s">
        <v>169</v>
      </c>
      <c r="K2292" s="2" t="s">
        <v>168</v>
      </c>
      <c r="L2292">
        <v>36.04</v>
      </c>
      <c r="M2292">
        <v>1</v>
      </c>
      <c r="N2292">
        <v>1.1200000000000001</v>
      </c>
      <c r="O2292">
        <v>6900304</v>
      </c>
      <c r="P2292" s="2" t="s">
        <v>170</v>
      </c>
      <c r="Q2292" s="2" t="s">
        <v>171</v>
      </c>
      <c r="R2292" s="2" t="s">
        <v>30</v>
      </c>
      <c r="S2292">
        <v>3</v>
      </c>
      <c r="T2292" s="1">
        <v>43721</v>
      </c>
      <c r="U2292" s="1">
        <v>43726</v>
      </c>
      <c r="V2292" s="2"/>
      <c r="W2292" s="1">
        <f>fNotasFiscais[[#This Row],[Data da Coleta]]+fNotasFiscais[[#This Row],[Prazo Contratado]]</f>
        <v>43724</v>
      </c>
      <c r="X2292" s="3">
        <f>IF(fNotasFiscais[[#This Row],[Data da Entrega]]&gt;fNotasFiscais[[#This Row],[Data Contratada]],0,1)</f>
        <v>0</v>
      </c>
      <c r="Y2292" s="3">
        <f>IF(fNotasFiscais[[#This Row],[Ocorrência]]="",1,0)</f>
        <v>1</v>
      </c>
      <c r="Z2292" s="2">
        <f>fNotasFiscais[[#This Row],[On Time]]*fNotasFiscais[[#This Row],[In Full]]</f>
        <v>0</v>
      </c>
      <c r="AA2292">
        <f>IF(fNotasFiscais[[#This Row],[Nota Fiscal]]&lt;&gt;"",1,0)</f>
        <v>1</v>
      </c>
    </row>
    <row r="2293" spans="1:27" x14ac:dyDescent="0.25">
      <c r="A2293" s="1">
        <v>43721</v>
      </c>
      <c r="B2293">
        <v>12702</v>
      </c>
      <c r="C2293" s="2" t="s">
        <v>34</v>
      </c>
      <c r="D2293" s="2" t="s">
        <v>35</v>
      </c>
      <c r="E2293" s="2" t="s">
        <v>36</v>
      </c>
      <c r="F2293">
        <v>4149</v>
      </c>
      <c r="G2293" s="2" t="s">
        <v>232</v>
      </c>
      <c r="H2293" s="2" t="s">
        <v>183</v>
      </c>
      <c r="I2293" s="2" t="s">
        <v>33</v>
      </c>
      <c r="J2293" s="2" t="s">
        <v>60</v>
      </c>
      <c r="K2293" s="2" t="s">
        <v>33</v>
      </c>
      <c r="L2293">
        <v>106.81</v>
      </c>
      <c r="M2293">
        <v>1</v>
      </c>
      <c r="N2293">
        <v>0.378</v>
      </c>
      <c r="O2293">
        <v>6400835</v>
      </c>
      <c r="P2293" s="2" t="s">
        <v>130</v>
      </c>
      <c r="Q2293" s="2" t="s">
        <v>131</v>
      </c>
      <c r="R2293" s="2" t="s">
        <v>30</v>
      </c>
      <c r="S2293">
        <v>7</v>
      </c>
      <c r="T2293" s="1">
        <v>43721</v>
      </c>
      <c r="U2293" s="1">
        <v>43726</v>
      </c>
      <c r="V2293" s="2"/>
      <c r="W2293" s="1">
        <f>fNotasFiscais[[#This Row],[Data da Coleta]]+fNotasFiscais[[#This Row],[Prazo Contratado]]</f>
        <v>43728</v>
      </c>
      <c r="X2293" s="3">
        <f>IF(fNotasFiscais[[#This Row],[Data da Entrega]]&gt;fNotasFiscais[[#This Row],[Data Contratada]],0,1)</f>
        <v>1</v>
      </c>
      <c r="Y2293" s="3">
        <f>IF(fNotasFiscais[[#This Row],[Ocorrência]]="",1,0)</f>
        <v>1</v>
      </c>
      <c r="Z2293" s="2">
        <f>fNotasFiscais[[#This Row],[On Time]]*fNotasFiscais[[#This Row],[In Full]]</f>
        <v>1</v>
      </c>
      <c r="AA2293">
        <f>IF(fNotasFiscais[[#This Row],[Nota Fiscal]]&lt;&gt;"",1,0)</f>
        <v>1</v>
      </c>
    </row>
    <row r="2294" spans="1:27" x14ac:dyDescent="0.25">
      <c r="A2294" s="1">
        <v>43721</v>
      </c>
      <c r="B2294">
        <v>12703</v>
      </c>
      <c r="C2294" s="2" t="s">
        <v>54</v>
      </c>
      <c r="D2294" s="2" t="s">
        <v>55</v>
      </c>
      <c r="E2294" s="2" t="s">
        <v>56</v>
      </c>
      <c r="F2294">
        <v>4194</v>
      </c>
      <c r="G2294" s="2" t="s">
        <v>277</v>
      </c>
      <c r="H2294" s="2" t="s">
        <v>173</v>
      </c>
      <c r="I2294" s="2" t="s">
        <v>174</v>
      </c>
      <c r="J2294" s="2" t="s">
        <v>175</v>
      </c>
      <c r="K2294" s="2" t="s">
        <v>174</v>
      </c>
      <c r="L2294">
        <v>1114.3599999999999</v>
      </c>
      <c r="M2294">
        <v>2</v>
      </c>
      <c r="N2294">
        <v>12.355</v>
      </c>
      <c r="O2294">
        <v>6700091</v>
      </c>
      <c r="P2294" s="2" t="s">
        <v>176</v>
      </c>
      <c r="Q2294" s="2" t="s">
        <v>173</v>
      </c>
      <c r="R2294" s="2" t="s">
        <v>30</v>
      </c>
      <c r="S2294">
        <v>4</v>
      </c>
      <c r="T2294" s="1">
        <v>43721</v>
      </c>
      <c r="U2294" s="1">
        <v>43724</v>
      </c>
      <c r="V2294" s="2"/>
      <c r="W2294" s="1">
        <f>fNotasFiscais[[#This Row],[Data da Coleta]]+fNotasFiscais[[#This Row],[Prazo Contratado]]</f>
        <v>43725</v>
      </c>
      <c r="X2294" s="3">
        <f>IF(fNotasFiscais[[#This Row],[Data da Entrega]]&gt;fNotasFiscais[[#This Row],[Data Contratada]],0,1)</f>
        <v>1</v>
      </c>
      <c r="Y2294" s="3">
        <f>IF(fNotasFiscais[[#This Row],[Ocorrência]]="",1,0)</f>
        <v>1</v>
      </c>
      <c r="Z2294" s="2">
        <f>fNotasFiscais[[#This Row],[On Time]]*fNotasFiscais[[#This Row],[In Full]]</f>
        <v>1</v>
      </c>
      <c r="AA2294">
        <f>IF(fNotasFiscais[[#This Row],[Nota Fiscal]]&lt;&gt;"",1,0)</f>
        <v>1</v>
      </c>
    </row>
    <row r="2295" spans="1:27" x14ac:dyDescent="0.25">
      <c r="A2295" s="1">
        <v>43722</v>
      </c>
      <c r="B2295">
        <v>12704</v>
      </c>
      <c r="C2295" s="2" t="s">
        <v>34</v>
      </c>
      <c r="D2295" s="2" t="s">
        <v>35</v>
      </c>
      <c r="E2295" s="2" t="s">
        <v>36</v>
      </c>
      <c r="F2295">
        <v>4193</v>
      </c>
      <c r="G2295" s="2" t="s">
        <v>276</v>
      </c>
      <c r="H2295" s="2" t="s">
        <v>32</v>
      </c>
      <c r="I2295" s="2" t="s">
        <v>33</v>
      </c>
      <c r="J2295" s="2" t="s">
        <v>60</v>
      </c>
      <c r="K2295" s="2" t="s">
        <v>33</v>
      </c>
      <c r="L2295">
        <v>793.18</v>
      </c>
      <c r="M2295">
        <v>1</v>
      </c>
      <c r="N2295">
        <v>1.1200000000000001</v>
      </c>
      <c r="O2295">
        <v>6400835</v>
      </c>
      <c r="P2295" s="2" t="s">
        <v>130</v>
      </c>
      <c r="Q2295" s="2" t="s">
        <v>131</v>
      </c>
      <c r="R2295" s="2" t="s">
        <v>62</v>
      </c>
      <c r="S2295">
        <v>10</v>
      </c>
      <c r="T2295" s="1">
        <v>43722</v>
      </c>
      <c r="U2295" s="1">
        <v>43725</v>
      </c>
      <c r="V2295" s="2"/>
      <c r="W2295" s="1">
        <f>fNotasFiscais[[#This Row],[Data da Coleta]]+fNotasFiscais[[#This Row],[Prazo Contratado]]</f>
        <v>43732</v>
      </c>
      <c r="X2295" s="3">
        <f>IF(fNotasFiscais[[#This Row],[Data da Entrega]]&gt;fNotasFiscais[[#This Row],[Data Contratada]],0,1)</f>
        <v>1</v>
      </c>
      <c r="Y2295" s="3">
        <f>IF(fNotasFiscais[[#This Row],[Ocorrência]]="",1,0)</f>
        <v>1</v>
      </c>
      <c r="Z2295" s="2">
        <f>fNotasFiscais[[#This Row],[On Time]]*fNotasFiscais[[#This Row],[In Full]]</f>
        <v>1</v>
      </c>
      <c r="AA2295">
        <f>IF(fNotasFiscais[[#This Row],[Nota Fiscal]]&lt;&gt;"",1,0)</f>
        <v>1</v>
      </c>
    </row>
    <row r="2296" spans="1:27" x14ac:dyDescent="0.25">
      <c r="A2296" s="1">
        <v>43722</v>
      </c>
      <c r="B2296">
        <v>12705</v>
      </c>
      <c r="C2296" s="2" t="s">
        <v>31</v>
      </c>
      <c r="D2296" s="2" t="s">
        <v>32</v>
      </c>
      <c r="E2296" s="2" t="s">
        <v>33</v>
      </c>
      <c r="F2296">
        <v>4176</v>
      </c>
      <c r="G2296" s="2" t="s">
        <v>259</v>
      </c>
      <c r="H2296" s="2" t="s">
        <v>165</v>
      </c>
      <c r="I2296" s="2" t="s">
        <v>24</v>
      </c>
      <c r="J2296" s="2" t="s">
        <v>28</v>
      </c>
      <c r="K2296" s="2" t="s">
        <v>24</v>
      </c>
      <c r="L2296">
        <v>5122.29</v>
      </c>
      <c r="M2296">
        <v>7</v>
      </c>
      <c r="N2296">
        <v>43.362000000000002</v>
      </c>
      <c r="O2296">
        <v>6500948</v>
      </c>
      <c r="P2296" s="2" t="s">
        <v>29</v>
      </c>
      <c r="Q2296" s="2" t="s">
        <v>23</v>
      </c>
      <c r="R2296" s="2" t="s">
        <v>30</v>
      </c>
      <c r="S2296">
        <v>8</v>
      </c>
      <c r="T2296" s="1">
        <v>43722</v>
      </c>
      <c r="U2296" s="1">
        <v>43729</v>
      </c>
      <c r="V2296" s="2"/>
      <c r="W2296" s="1">
        <f>fNotasFiscais[[#This Row],[Data da Coleta]]+fNotasFiscais[[#This Row],[Prazo Contratado]]</f>
        <v>43730</v>
      </c>
      <c r="X2296" s="3">
        <f>IF(fNotasFiscais[[#This Row],[Data da Entrega]]&gt;fNotasFiscais[[#This Row],[Data Contratada]],0,1)</f>
        <v>1</v>
      </c>
      <c r="Y2296" s="3">
        <f>IF(fNotasFiscais[[#This Row],[Ocorrência]]="",1,0)</f>
        <v>1</v>
      </c>
      <c r="Z2296" s="2">
        <f>fNotasFiscais[[#This Row],[On Time]]*fNotasFiscais[[#This Row],[In Full]]</f>
        <v>1</v>
      </c>
      <c r="AA2296">
        <f>IF(fNotasFiscais[[#This Row],[Nota Fiscal]]&lt;&gt;"",1,0)</f>
        <v>1</v>
      </c>
    </row>
    <row r="2297" spans="1:27" x14ac:dyDescent="0.25">
      <c r="A2297" s="1">
        <v>43722</v>
      </c>
      <c r="B2297">
        <v>12706</v>
      </c>
      <c r="C2297" s="2" t="s">
        <v>31</v>
      </c>
      <c r="D2297" s="2" t="s">
        <v>32</v>
      </c>
      <c r="E2297" s="2" t="s">
        <v>33</v>
      </c>
      <c r="F2297">
        <v>4159</v>
      </c>
      <c r="G2297" s="2" t="s">
        <v>242</v>
      </c>
      <c r="H2297" s="2" t="s">
        <v>173</v>
      </c>
      <c r="I2297" s="2" t="s">
        <v>174</v>
      </c>
      <c r="J2297" s="2" t="s">
        <v>175</v>
      </c>
      <c r="K2297" s="2" t="s">
        <v>174</v>
      </c>
      <c r="L2297">
        <v>3034.4</v>
      </c>
      <c r="M2297">
        <v>3</v>
      </c>
      <c r="N2297">
        <v>13.91</v>
      </c>
      <c r="O2297">
        <v>6700091</v>
      </c>
      <c r="P2297" s="2" t="s">
        <v>176</v>
      </c>
      <c r="Q2297" s="2" t="s">
        <v>173</v>
      </c>
      <c r="R2297" s="2" t="s">
        <v>30</v>
      </c>
      <c r="S2297">
        <v>10</v>
      </c>
      <c r="T2297" s="1">
        <v>43722</v>
      </c>
      <c r="U2297" s="1">
        <v>43729</v>
      </c>
      <c r="V2297" s="2"/>
      <c r="W2297" s="1">
        <f>fNotasFiscais[[#This Row],[Data da Coleta]]+fNotasFiscais[[#This Row],[Prazo Contratado]]</f>
        <v>43732</v>
      </c>
      <c r="X2297" s="3">
        <f>IF(fNotasFiscais[[#This Row],[Data da Entrega]]&gt;fNotasFiscais[[#This Row],[Data Contratada]],0,1)</f>
        <v>1</v>
      </c>
      <c r="Y2297" s="3">
        <f>IF(fNotasFiscais[[#This Row],[Ocorrência]]="",1,0)</f>
        <v>1</v>
      </c>
      <c r="Z2297" s="2">
        <f>fNotasFiscais[[#This Row],[On Time]]*fNotasFiscais[[#This Row],[In Full]]</f>
        <v>1</v>
      </c>
      <c r="AA2297">
        <f>IF(fNotasFiscais[[#This Row],[Nota Fiscal]]&lt;&gt;"",1,0)</f>
        <v>1</v>
      </c>
    </row>
    <row r="2298" spans="1:27" x14ac:dyDescent="0.25">
      <c r="A2298" s="1">
        <v>43722</v>
      </c>
      <c r="B2298">
        <v>12707</v>
      </c>
      <c r="C2298" s="2" t="s">
        <v>40</v>
      </c>
      <c r="D2298" s="2" t="s">
        <v>41</v>
      </c>
      <c r="E2298" s="2" t="s">
        <v>33</v>
      </c>
      <c r="F2298">
        <v>4045</v>
      </c>
      <c r="G2298" s="2" t="s">
        <v>124</v>
      </c>
      <c r="H2298" s="2" t="s">
        <v>35</v>
      </c>
      <c r="I2298" s="2" t="s">
        <v>36</v>
      </c>
      <c r="J2298" s="2" t="s">
        <v>60</v>
      </c>
      <c r="K2298" s="2" t="s">
        <v>36</v>
      </c>
      <c r="L2298">
        <v>443.13</v>
      </c>
      <c r="M2298">
        <v>1</v>
      </c>
      <c r="N2298">
        <v>1.1200000000000001</v>
      </c>
      <c r="O2298">
        <v>6600879</v>
      </c>
      <c r="P2298" s="2" t="s">
        <v>61</v>
      </c>
      <c r="Q2298" s="2" t="s">
        <v>35</v>
      </c>
      <c r="R2298" s="2" t="s">
        <v>30</v>
      </c>
      <c r="S2298">
        <v>5</v>
      </c>
      <c r="T2298" s="1">
        <v>43722</v>
      </c>
      <c r="U2298" s="1">
        <v>43732</v>
      </c>
      <c r="V2298" s="2"/>
      <c r="W2298" s="1">
        <f>fNotasFiscais[[#This Row],[Data da Coleta]]+fNotasFiscais[[#This Row],[Prazo Contratado]]</f>
        <v>43727</v>
      </c>
      <c r="X2298" s="3">
        <f>IF(fNotasFiscais[[#This Row],[Data da Entrega]]&gt;fNotasFiscais[[#This Row],[Data Contratada]],0,1)</f>
        <v>0</v>
      </c>
      <c r="Y2298" s="3">
        <f>IF(fNotasFiscais[[#This Row],[Ocorrência]]="",1,0)</f>
        <v>1</v>
      </c>
      <c r="Z2298" s="2">
        <f>fNotasFiscais[[#This Row],[On Time]]*fNotasFiscais[[#This Row],[In Full]]</f>
        <v>0</v>
      </c>
      <c r="AA2298">
        <f>IF(fNotasFiscais[[#This Row],[Nota Fiscal]]&lt;&gt;"",1,0)</f>
        <v>1</v>
      </c>
    </row>
    <row r="2299" spans="1:27" x14ac:dyDescent="0.25">
      <c r="A2299" s="1">
        <v>43722</v>
      </c>
      <c r="B2299">
        <v>12708</v>
      </c>
      <c r="C2299" s="2" t="s">
        <v>54</v>
      </c>
      <c r="D2299" s="2" t="s">
        <v>55</v>
      </c>
      <c r="E2299" s="2" t="s">
        <v>56</v>
      </c>
      <c r="F2299">
        <v>4045</v>
      </c>
      <c r="G2299" s="2" t="s">
        <v>124</v>
      </c>
      <c r="H2299" s="2" t="s">
        <v>35</v>
      </c>
      <c r="I2299" s="2" t="s">
        <v>36</v>
      </c>
      <c r="J2299" s="2" t="s">
        <v>60</v>
      </c>
      <c r="K2299" s="2" t="s">
        <v>36</v>
      </c>
      <c r="L2299">
        <v>1917.07</v>
      </c>
      <c r="M2299">
        <v>5</v>
      </c>
      <c r="N2299">
        <v>25.844999999999999</v>
      </c>
      <c r="O2299">
        <v>6600879</v>
      </c>
      <c r="P2299" s="2" t="s">
        <v>61</v>
      </c>
      <c r="Q2299" s="2" t="s">
        <v>35</v>
      </c>
      <c r="R2299" s="2" t="s">
        <v>30</v>
      </c>
      <c r="S2299">
        <v>9</v>
      </c>
      <c r="T2299" s="1">
        <v>43722</v>
      </c>
      <c r="U2299" s="1">
        <v>43727</v>
      </c>
      <c r="V2299" s="2"/>
      <c r="W2299" s="1">
        <f>fNotasFiscais[[#This Row],[Data da Coleta]]+fNotasFiscais[[#This Row],[Prazo Contratado]]</f>
        <v>43731</v>
      </c>
      <c r="X2299" s="3">
        <f>IF(fNotasFiscais[[#This Row],[Data da Entrega]]&gt;fNotasFiscais[[#This Row],[Data Contratada]],0,1)</f>
        <v>1</v>
      </c>
      <c r="Y2299" s="3">
        <f>IF(fNotasFiscais[[#This Row],[Ocorrência]]="",1,0)</f>
        <v>1</v>
      </c>
      <c r="Z2299" s="2">
        <f>fNotasFiscais[[#This Row],[On Time]]*fNotasFiscais[[#This Row],[In Full]]</f>
        <v>1</v>
      </c>
      <c r="AA2299">
        <f>IF(fNotasFiscais[[#This Row],[Nota Fiscal]]&lt;&gt;"",1,0)</f>
        <v>1</v>
      </c>
    </row>
    <row r="2300" spans="1:27" x14ac:dyDescent="0.25">
      <c r="A2300" s="1">
        <v>43722</v>
      </c>
      <c r="B2300">
        <v>12709</v>
      </c>
      <c r="C2300" s="2" t="s">
        <v>34</v>
      </c>
      <c r="D2300" s="2" t="s">
        <v>35</v>
      </c>
      <c r="E2300" s="2" t="s">
        <v>36</v>
      </c>
      <c r="F2300">
        <v>4045</v>
      </c>
      <c r="G2300" s="2" t="s">
        <v>124</v>
      </c>
      <c r="H2300" s="2" t="s">
        <v>35</v>
      </c>
      <c r="I2300" s="2" t="s">
        <v>36</v>
      </c>
      <c r="J2300" s="2" t="s">
        <v>60</v>
      </c>
      <c r="K2300" s="2" t="s">
        <v>36</v>
      </c>
      <c r="L2300">
        <v>11256.19</v>
      </c>
      <c r="M2300">
        <v>13</v>
      </c>
      <c r="N2300">
        <v>71.001000000000005</v>
      </c>
      <c r="O2300">
        <v>6600879</v>
      </c>
      <c r="P2300" s="2" t="s">
        <v>61</v>
      </c>
      <c r="Q2300" s="2" t="s">
        <v>35</v>
      </c>
      <c r="R2300" s="2" t="s">
        <v>30</v>
      </c>
      <c r="S2300">
        <v>10</v>
      </c>
      <c r="T2300" s="1">
        <v>43722</v>
      </c>
      <c r="U2300" s="1">
        <v>43730</v>
      </c>
      <c r="V2300" s="2"/>
      <c r="W2300" s="1">
        <f>fNotasFiscais[[#This Row],[Data da Coleta]]+fNotasFiscais[[#This Row],[Prazo Contratado]]</f>
        <v>43732</v>
      </c>
      <c r="X2300" s="3">
        <f>IF(fNotasFiscais[[#This Row],[Data da Entrega]]&gt;fNotasFiscais[[#This Row],[Data Contratada]],0,1)</f>
        <v>1</v>
      </c>
      <c r="Y2300" s="3">
        <f>IF(fNotasFiscais[[#This Row],[Ocorrência]]="",1,0)</f>
        <v>1</v>
      </c>
      <c r="Z2300" s="2">
        <f>fNotasFiscais[[#This Row],[On Time]]*fNotasFiscais[[#This Row],[In Full]]</f>
        <v>1</v>
      </c>
      <c r="AA2300">
        <f>IF(fNotasFiscais[[#This Row],[Nota Fiscal]]&lt;&gt;"",1,0)</f>
        <v>1</v>
      </c>
    </row>
    <row r="2301" spans="1:27" x14ac:dyDescent="0.25">
      <c r="A2301" s="1">
        <v>43722</v>
      </c>
      <c r="B2301">
        <v>12710</v>
      </c>
      <c r="C2301" s="2" t="s">
        <v>54</v>
      </c>
      <c r="D2301" s="2" t="s">
        <v>55</v>
      </c>
      <c r="E2301" s="2" t="s">
        <v>56</v>
      </c>
      <c r="F2301">
        <v>4022</v>
      </c>
      <c r="G2301" s="2" t="s">
        <v>86</v>
      </c>
      <c r="H2301" s="2" t="s">
        <v>87</v>
      </c>
      <c r="I2301" s="2" t="s">
        <v>27</v>
      </c>
      <c r="J2301" s="2" t="s">
        <v>28</v>
      </c>
      <c r="K2301" s="2" t="s">
        <v>27</v>
      </c>
      <c r="L2301">
        <v>254.81</v>
      </c>
      <c r="M2301">
        <v>1</v>
      </c>
      <c r="N2301">
        <v>1.1200000000000001</v>
      </c>
      <c r="O2301">
        <v>6500948</v>
      </c>
      <c r="P2301" s="2" t="s">
        <v>29</v>
      </c>
      <c r="Q2301" s="2" t="s">
        <v>23</v>
      </c>
      <c r="R2301" s="2" t="s">
        <v>30</v>
      </c>
      <c r="S2301">
        <v>10</v>
      </c>
      <c r="T2301" s="1">
        <v>43722</v>
      </c>
      <c r="U2301" s="1">
        <v>43730</v>
      </c>
      <c r="V2301" s="2"/>
      <c r="W2301" s="1">
        <f>fNotasFiscais[[#This Row],[Data da Coleta]]+fNotasFiscais[[#This Row],[Prazo Contratado]]</f>
        <v>43732</v>
      </c>
      <c r="X2301" s="3">
        <f>IF(fNotasFiscais[[#This Row],[Data da Entrega]]&gt;fNotasFiscais[[#This Row],[Data Contratada]],0,1)</f>
        <v>1</v>
      </c>
      <c r="Y2301" s="3">
        <f>IF(fNotasFiscais[[#This Row],[Ocorrência]]="",1,0)</f>
        <v>1</v>
      </c>
      <c r="Z2301" s="2">
        <f>fNotasFiscais[[#This Row],[On Time]]*fNotasFiscais[[#This Row],[In Full]]</f>
        <v>1</v>
      </c>
      <c r="AA2301">
        <f>IF(fNotasFiscais[[#This Row],[Nota Fiscal]]&lt;&gt;"",1,0)</f>
        <v>1</v>
      </c>
    </row>
    <row r="2302" spans="1:27" x14ac:dyDescent="0.25">
      <c r="A2302" s="1">
        <v>43722</v>
      </c>
      <c r="B2302">
        <v>12711</v>
      </c>
      <c r="C2302" s="2" t="s">
        <v>31</v>
      </c>
      <c r="D2302" s="2" t="s">
        <v>32</v>
      </c>
      <c r="E2302" s="2" t="s">
        <v>33</v>
      </c>
      <c r="F2302">
        <v>4045</v>
      </c>
      <c r="G2302" s="2" t="s">
        <v>124</v>
      </c>
      <c r="H2302" s="2" t="s">
        <v>35</v>
      </c>
      <c r="I2302" s="2" t="s">
        <v>36</v>
      </c>
      <c r="J2302" s="2" t="s">
        <v>60</v>
      </c>
      <c r="K2302" s="2" t="s">
        <v>36</v>
      </c>
      <c r="L2302">
        <v>179.24</v>
      </c>
      <c r="M2302">
        <v>8</v>
      </c>
      <c r="N2302">
        <v>39.274000000000001</v>
      </c>
      <c r="O2302">
        <v>6600879</v>
      </c>
      <c r="P2302" s="2" t="s">
        <v>61</v>
      </c>
      <c r="Q2302" s="2" t="s">
        <v>35</v>
      </c>
      <c r="R2302" s="2" t="s">
        <v>30</v>
      </c>
      <c r="S2302">
        <v>12</v>
      </c>
      <c r="T2302" s="1">
        <v>43722</v>
      </c>
      <c r="U2302" s="1">
        <v>43727</v>
      </c>
      <c r="V2302" s="2"/>
      <c r="W2302" s="1">
        <f>fNotasFiscais[[#This Row],[Data da Coleta]]+fNotasFiscais[[#This Row],[Prazo Contratado]]</f>
        <v>43734</v>
      </c>
      <c r="X2302" s="3">
        <f>IF(fNotasFiscais[[#This Row],[Data da Entrega]]&gt;fNotasFiscais[[#This Row],[Data Contratada]],0,1)</f>
        <v>1</v>
      </c>
      <c r="Y2302" s="3">
        <f>IF(fNotasFiscais[[#This Row],[Ocorrência]]="",1,0)</f>
        <v>1</v>
      </c>
      <c r="Z2302" s="2">
        <f>fNotasFiscais[[#This Row],[On Time]]*fNotasFiscais[[#This Row],[In Full]]</f>
        <v>1</v>
      </c>
      <c r="AA2302">
        <f>IF(fNotasFiscais[[#This Row],[Nota Fiscal]]&lt;&gt;"",1,0)</f>
        <v>1</v>
      </c>
    </row>
    <row r="2303" spans="1:27" x14ac:dyDescent="0.25">
      <c r="A2303" s="1">
        <v>43722</v>
      </c>
      <c r="B2303">
        <v>12712</v>
      </c>
      <c r="C2303" s="2" t="s">
        <v>22</v>
      </c>
      <c r="D2303" s="2" t="s">
        <v>23</v>
      </c>
      <c r="E2303" s="2" t="s">
        <v>24</v>
      </c>
      <c r="F2303">
        <v>4045</v>
      </c>
      <c r="G2303" s="2" t="s">
        <v>124</v>
      </c>
      <c r="H2303" s="2" t="s">
        <v>35</v>
      </c>
      <c r="I2303" s="2" t="s">
        <v>36</v>
      </c>
      <c r="J2303" s="2" t="s">
        <v>60</v>
      </c>
      <c r="K2303" s="2" t="s">
        <v>36</v>
      </c>
      <c r="L2303">
        <v>6744.18</v>
      </c>
      <c r="M2303">
        <v>1</v>
      </c>
      <c r="N2303">
        <v>1.1200000000000001</v>
      </c>
      <c r="O2303">
        <v>6600879</v>
      </c>
      <c r="P2303" s="2" t="s">
        <v>61</v>
      </c>
      <c r="Q2303" s="2" t="s">
        <v>35</v>
      </c>
      <c r="R2303" s="2" t="s">
        <v>30</v>
      </c>
      <c r="S2303">
        <v>2</v>
      </c>
      <c r="T2303" s="1">
        <v>43722</v>
      </c>
      <c r="U2303" s="1">
        <v>43725</v>
      </c>
      <c r="V2303" s="2" t="s">
        <v>57</v>
      </c>
      <c r="W2303" s="1">
        <f>fNotasFiscais[[#This Row],[Data da Coleta]]+fNotasFiscais[[#This Row],[Prazo Contratado]]</f>
        <v>43724</v>
      </c>
      <c r="X2303" s="3">
        <f>IF(fNotasFiscais[[#This Row],[Data da Entrega]]&gt;fNotasFiscais[[#This Row],[Data Contratada]],0,1)</f>
        <v>0</v>
      </c>
      <c r="Y2303" s="3">
        <f>IF(fNotasFiscais[[#This Row],[Ocorrência]]="",1,0)</f>
        <v>0</v>
      </c>
      <c r="Z2303" s="2">
        <f>fNotasFiscais[[#This Row],[On Time]]*fNotasFiscais[[#This Row],[In Full]]</f>
        <v>0</v>
      </c>
      <c r="AA2303">
        <f>IF(fNotasFiscais[[#This Row],[Nota Fiscal]]&lt;&gt;"",1,0)</f>
        <v>1</v>
      </c>
    </row>
    <row r="2304" spans="1:27" x14ac:dyDescent="0.25">
      <c r="A2304" s="1">
        <v>43725</v>
      </c>
      <c r="B2304">
        <v>12713</v>
      </c>
      <c r="C2304" s="2" t="s">
        <v>54</v>
      </c>
      <c r="D2304" s="2" t="s">
        <v>55</v>
      </c>
      <c r="E2304" s="2" t="s">
        <v>56</v>
      </c>
      <c r="F2304">
        <v>4235</v>
      </c>
      <c r="G2304" s="2" t="s">
        <v>318</v>
      </c>
      <c r="H2304" s="2" t="s">
        <v>35</v>
      </c>
      <c r="I2304" s="2" t="s">
        <v>36</v>
      </c>
      <c r="J2304" s="2" t="s">
        <v>60</v>
      </c>
      <c r="K2304" s="2" t="s">
        <v>36</v>
      </c>
      <c r="L2304">
        <v>766.46</v>
      </c>
      <c r="M2304">
        <v>1</v>
      </c>
      <c r="N2304">
        <v>1.071</v>
      </c>
      <c r="O2304">
        <v>6600879</v>
      </c>
      <c r="P2304" s="2" t="s">
        <v>61</v>
      </c>
      <c r="Q2304" s="2" t="s">
        <v>35</v>
      </c>
      <c r="R2304" s="2" t="s">
        <v>30</v>
      </c>
      <c r="S2304">
        <v>11</v>
      </c>
      <c r="T2304" s="1">
        <v>43725</v>
      </c>
      <c r="U2304" s="1">
        <v>43735</v>
      </c>
      <c r="V2304" s="2"/>
      <c r="W2304" s="1">
        <f>fNotasFiscais[[#This Row],[Data da Coleta]]+fNotasFiscais[[#This Row],[Prazo Contratado]]</f>
        <v>43736</v>
      </c>
      <c r="X2304" s="3">
        <f>IF(fNotasFiscais[[#This Row],[Data da Entrega]]&gt;fNotasFiscais[[#This Row],[Data Contratada]],0,1)</f>
        <v>1</v>
      </c>
      <c r="Y2304" s="3">
        <f>IF(fNotasFiscais[[#This Row],[Ocorrência]]="",1,0)</f>
        <v>1</v>
      </c>
      <c r="Z2304" s="2">
        <f>fNotasFiscais[[#This Row],[On Time]]*fNotasFiscais[[#This Row],[In Full]]</f>
        <v>1</v>
      </c>
      <c r="AA2304">
        <f>IF(fNotasFiscais[[#This Row],[Nota Fiscal]]&lt;&gt;"",1,0)</f>
        <v>1</v>
      </c>
    </row>
    <row r="2305" spans="1:27" x14ac:dyDescent="0.25">
      <c r="A2305" s="1">
        <v>43725</v>
      </c>
      <c r="B2305">
        <v>12714</v>
      </c>
      <c r="C2305" s="2" t="s">
        <v>40</v>
      </c>
      <c r="D2305" s="2" t="s">
        <v>41</v>
      </c>
      <c r="E2305" s="2" t="s">
        <v>33</v>
      </c>
      <c r="F2305">
        <v>4236</v>
      </c>
      <c r="G2305" s="2" t="s">
        <v>319</v>
      </c>
      <c r="H2305" s="2" t="s">
        <v>173</v>
      </c>
      <c r="I2305" s="2" t="s">
        <v>174</v>
      </c>
      <c r="J2305" s="2" t="s">
        <v>175</v>
      </c>
      <c r="K2305" s="2" t="s">
        <v>174</v>
      </c>
      <c r="L2305">
        <v>243.76</v>
      </c>
      <c r="M2305">
        <v>1</v>
      </c>
      <c r="N2305">
        <v>1.1200000000000001</v>
      </c>
      <c r="O2305">
        <v>6700091</v>
      </c>
      <c r="P2305" s="2" t="s">
        <v>176</v>
      </c>
      <c r="Q2305" s="2" t="s">
        <v>173</v>
      </c>
      <c r="R2305" s="2" t="s">
        <v>30</v>
      </c>
      <c r="S2305">
        <v>1</v>
      </c>
      <c r="T2305" s="1">
        <v>43725</v>
      </c>
      <c r="U2305" s="1">
        <v>43735</v>
      </c>
      <c r="V2305" s="2"/>
      <c r="W2305" s="1">
        <f>fNotasFiscais[[#This Row],[Data da Coleta]]+fNotasFiscais[[#This Row],[Prazo Contratado]]</f>
        <v>43726</v>
      </c>
      <c r="X2305" s="3">
        <f>IF(fNotasFiscais[[#This Row],[Data da Entrega]]&gt;fNotasFiscais[[#This Row],[Data Contratada]],0,1)</f>
        <v>0</v>
      </c>
      <c r="Y2305" s="3">
        <f>IF(fNotasFiscais[[#This Row],[Ocorrência]]="",1,0)</f>
        <v>1</v>
      </c>
      <c r="Z2305" s="2">
        <f>fNotasFiscais[[#This Row],[On Time]]*fNotasFiscais[[#This Row],[In Full]]</f>
        <v>0</v>
      </c>
      <c r="AA2305">
        <f>IF(fNotasFiscais[[#This Row],[Nota Fiscal]]&lt;&gt;"",1,0)</f>
        <v>1</v>
      </c>
    </row>
    <row r="2306" spans="1:27" x14ac:dyDescent="0.25">
      <c r="A2306" s="1">
        <v>43725</v>
      </c>
      <c r="B2306">
        <v>12715</v>
      </c>
      <c r="C2306" s="2" t="s">
        <v>54</v>
      </c>
      <c r="D2306" s="2" t="s">
        <v>55</v>
      </c>
      <c r="E2306" s="2" t="s">
        <v>56</v>
      </c>
      <c r="F2306">
        <v>4237</v>
      </c>
      <c r="G2306" s="2" t="s">
        <v>320</v>
      </c>
      <c r="H2306" s="2" t="s">
        <v>183</v>
      </c>
      <c r="I2306" s="2" t="s">
        <v>33</v>
      </c>
      <c r="J2306" s="2" t="s">
        <v>60</v>
      </c>
      <c r="K2306" s="2" t="s">
        <v>33</v>
      </c>
      <c r="L2306">
        <v>684.55</v>
      </c>
      <c r="M2306">
        <v>1</v>
      </c>
      <c r="N2306">
        <v>1.9990000000000001</v>
      </c>
      <c r="O2306">
        <v>6400835</v>
      </c>
      <c r="P2306" s="2" t="s">
        <v>130</v>
      </c>
      <c r="Q2306" s="2" t="s">
        <v>131</v>
      </c>
      <c r="R2306" s="2" t="s">
        <v>30</v>
      </c>
      <c r="S2306">
        <v>9</v>
      </c>
      <c r="T2306" s="1">
        <v>43725</v>
      </c>
      <c r="U2306" s="1">
        <v>43729</v>
      </c>
      <c r="V2306" s="2"/>
      <c r="W2306" s="1">
        <f>fNotasFiscais[[#This Row],[Data da Coleta]]+fNotasFiscais[[#This Row],[Prazo Contratado]]</f>
        <v>43734</v>
      </c>
      <c r="X2306" s="3">
        <f>IF(fNotasFiscais[[#This Row],[Data da Entrega]]&gt;fNotasFiscais[[#This Row],[Data Contratada]],0,1)</f>
        <v>1</v>
      </c>
      <c r="Y2306" s="3">
        <f>IF(fNotasFiscais[[#This Row],[Ocorrência]]="",1,0)</f>
        <v>1</v>
      </c>
      <c r="Z2306" s="2">
        <f>fNotasFiscais[[#This Row],[On Time]]*fNotasFiscais[[#This Row],[In Full]]</f>
        <v>1</v>
      </c>
      <c r="AA2306">
        <f>IF(fNotasFiscais[[#This Row],[Nota Fiscal]]&lt;&gt;"",1,0)</f>
        <v>1</v>
      </c>
    </row>
    <row r="2307" spans="1:27" x14ac:dyDescent="0.25">
      <c r="A2307" s="1">
        <v>43725</v>
      </c>
      <c r="B2307">
        <v>12716</v>
      </c>
      <c r="C2307" s="2" t="s">
        <v>40</v>
      </c>
      <c r="D2307" s="2" t="s">
        <v>41</v>
      </c>
      <c r="E2307" s="2" t="s">
        <v>33</v>
      </c>
      <c r="F2307">
        <v>4238</v>
      </c>
      <c r="G2307" s="2" t="s">
        <v>321</v>
      </c>
      <c r="H2307" s="2" t="s">
        <v>167</v>
      </c>
      <c r="I2307" s="2" t="s">
        <v>168</v>
      </c>
      <c r="J2307" s="2" t="s">
        <v>169</v>
      </c>
      <c r="K2307" s="2" t="s">
        <v>168</v>
      </c>
      <c r="L2307">
        <v>948.77</v>
      </c>
      <c r="M2307">
        <v>1</v>
      </c>
      <c r="N2307">
        <v>1.1200000000000001</v>
      </c>
      <c r="O2307">
        <v>6900304</v>
      </c>
      <c r="P2307" s="2" t="s">
        <v>170</v>
      </c>
      <c r="Q2307" s="2" t="s">
        <v>171</v>
      </c>
      <c r="R2307" s="2" t="s">
        <v>30</v>
      </c>
      <c r="S2307">
        <v>8</v>
      </c>
      <c r="T2307" s="1">
        <v>43725</v>
      </c>
      <c r="U2307" s="1">
        <v>43729</v>
      </c>
      <c r="V2307" s="2" t="s">
        <v>57</v>
      </c>
      <c r="W2307" s="1">
        <f>fNotasFiscais[[#This Row],[Data da Coleta]]+fNotasFiscais[[#This Row],[Prazo Contratado]]</f>
        <v>43733</v>
      </c>
      <c r="X2307" s="3">
        <f>IF(fNotasFiscais[[#This Row],[Data da Entrega]]&gt;fNotasFiscais[[#This Row],[Data Contratada]],0,1)</f>
        <v>1</v>
      </c>
      <c r="Y2307" s="3">
        <f>IF(fNotasFiscais[[#This Row],[Ocorrência]]="",1,0)</f>
        <v>0</v>
      </c>
      <c r="Z2307" s="2">
        <f>fNotasFiscais[[#This Row],[On Time]]*fNotasFiscais[[#This Row],[In Full]]</f>
        <v>0</v>
      </c>
      <c r="AA2307">
        <f>IF(fNotasFiscais[[#This Row],[Nota Fiscal]]&lt;&gt;"",1,0)</f>
        <v>1</v>
      </c>
    </row>
    <row r="2308" spans="1:27" x14ac:dyDescent="0.25">
      <c r="A2308" s="1">
        <v>43725</v>
      </c>
      <c r="B2308">
        <v>12717</v>
      </c>
      <c r="C2308" s="2" t="s">
        <v>54</v>
      </c>
      <c r="D2308" s="2" t="s">
        <v>55</v>
      </c>
      <c r="E2308" s="2" t="s">
        <v>56</v>
      </c>
      <c r="F2308">
        <v>4239</v>
      </c>
      <c r="G2308" s="2" t="s">
        <v>322</v>
      </c>
      <c r="H2308" s="2" t="s">
        <v>183</v>
      </c>
      <c r="I2308" s="2" t="s">
        <v>33</v>
      </c>
      <c r="J2308" s="2" t="s">
        <v>60</v>
      </c>
      <c r="K2308" s="2" t="s">
        <v>33</v>
      </c>
      <c r="L2308">
        <v>740.44</v>
      </c>
      <c r="M2308">
        <v>1</v>
      </c>
      <c r="N2308">
        <v>4.18</v>
      </c>
      <c r="O2308">
        <v>6400835</v>
      </c>
      <c r="P2308" s="2" t="s">
        <v>130</v>
      </c>
      <c r="Q2308" s="2" t="s">
        <v>131</v>
      </c>
      <c r="R2308" s="2" t="s">
        <v>30</v>
      </c>
      <c r="S2308">
        <v>2</v>
      </c>
      <c r="T2308" s="1">
        <v>43725</v>
      </c>
      <c r="U2308" s="1">
        <v>43733</v>
      </c>
      <c r="V2308" s="2"/>
      <c r="W2308" s="1">
        <f>fNotasFiscais[[#This Row],[Data da Coleta]]+fNotasFiscais[[#This Row],[Prazo Contratado]]</f>
        <v>43727</v>
      </c>
      <c r="X2308" s="3">
        <f>IF(fNotasFiscais[[#This Row],[Data da Entrega]]&gt;fNotasFiscais[[#This Row],[Data Contratada]],0,1)</f>
        <v>0</v>
      </c>
      <c r="Y2308" s="3">
        <f>IF(fNotasFiscais[[#This Row],[Ocorrência]]="",1,0)</f>
        <v>1</v>
      </c>
      <c r="Z2308" s="2">
        <f>fNotasFiscais[[#This Row],[On Time]]*fNotasFiscais[[#This Row],[In Full]]</f>
        <v>0</v>
      </c>
      <c r="AA2308">
        <f>IF(fNotasFiscais[[#This Row],[Nota Fiscal]]&lt;&gt;"",1,0)</f>
        <v>1</v>
      </c>
    </row>
    <row r="2309" spans="1:27" x14ac:dyDescent="0.25">
      <c r="A2309" s="1">
        <v>43725</v>
      </c>
      <c r="B2309">
        <v>12718</v>
      </c>
      <c r="C2309" s="2" t="s">
        <v>52</v>
      </c>
      <c r="D2309" s="2" t="s">
        <v>53</v>
      </c>
      <c r="E2309" s="2" t="s">
        <v>33</v>
      </c>
      <c r="F2309">
        <v>4088</v>
      </c>
      <c r="G2309" s="2" t="s">
        <v>159</v>
      </c>
      <c r="H2309" s="2" t="s">
        <v>160</v>
      </c>
      <c r="I2309" s="2" t="s">
        <v>33</v>
      </c>
      <c r="J2309" s="2" t="s">
        <v>60</v>
      </c>
      <c r="K2309" s="2" t="s">
        <v>33</v>
      </c>
      <c r="L2309">
        <v>442.96</v>
      </c>
      <c r="M2309">
        <v>8</v>
      </c>
      <c r="N2309">
        <v>38.030999999999999</v>
      </c>
      <c r="O2309">
        <v>6400835</v>
      </c>
      <c r="P2309" s="2" t="s">
        <v>130</v>
      </c>
      <c r="Q2309" s="2" t="s">
        <v>131</v>
      </c>
      <c r="R2309" s="2" t="s">
        <v>30</v>
      </c>
      <c r="S2309">
        <v>12</v>
      </c>
      <c r="T2309" s="1">
        <v>43725</v>
      </c>
      <c r="U2309" s="1">
        <v>43729</v>
      </c>
      <c r="V2309" s="2"/>
      <c r="W2309" s="1">
        <f>fNotasFiscais[[#This Row],[Data da Coleta]]+fNotasFiscais[[#This Row],[Prazo Contratado]]</f>
        <v>43737</v>
      </c>
      <c r="X2309" s="3">
        <f>IF(fNotasFiscais[[#This Row],[Data da Entrega]]&gt;fNotasFiscais[[#This Row],[Data Contratada]],0,1)</f>
        <v>1</v>
      </c>
      <c r="Y2309" s="3">
        <f>IF(fNotasFiscais[[#This Row],[Ocorrência]]="",1,0)</f>
        <v>1</v>
      </c>
      <c r="Z2309" s="2">
        <f>fNotasFiscais[[#This Row],[On Time]]*fNotasFiscais[[#This Row],[In Full]]</f>
        <v>1</v>
      </c>
      <c r="AA2309">
        <f>IF(fNotasFiscais[[#This Row],[Nota Fiscal]]&lt;&gt;"",1,0)</f>
        <v>1</v>
      </c>
    </row>
    <row r="2310" spans="1:27" x14ac:dyDescent="0.25">
      <c r="A2310" s="1">
        <v>43725</v>
      </c>
      <c r="B2310">
        <v>12719</v>
      </c>
      <c r="C2310" s="2" t="s">
        <v>52</v>
      </c>
      <c r="D2310" s="2" t="s">
        <v>53</v>
      </c>
      <c r="E2310" s="2" t="s">
        <v>33</v>
      </c>
      <c r="F2310">
        <v>4240</v>
      </c>
      <c r="G2310" s="2" t="s">
        <v>323</v>
      </c>
      <c r="H2310" s="2" t="s">
        <v>44</v>
      </c>
      <c r="I2310" s="2" t="s">
        <v>45</v>
      </c>
      <c r="J2310" s="2" t="s">
        <v>60</v>
      </c>
      <c r="K2310" s="2" t="s">
        <v>45</v>
      </c>
      <c r="L2310">
        <v>5860.14</v>
      </c>
      <c r="M2310">
        <v>1</v>
      </c>
      <c r="N2310">
        <v>1.1200000000000001</v>
      </c>
      <c r="O2310">
        <v>6140092</v>
      </c>
      <c r="P2310" s="2" t="s">
        <v>137</v>
      </c>
      <c r="Q2310" s="2" t="s">
        <v>138</v>
      </c>
      <c r="R2310" s="2" t="s">
        <v>30</v>
      </c>
      <c r="S2310">
        <v>7</v>
      </c>
      <c r="T2310" s="1">
        <v>43725</v>
      </c>
      <c r="U2310" s="1">
        <v>43734</v>
      </c>
      <c r="V2310" s="2"/>
      <c r="W2310" s="1">
        <f>fNotasFiscais[[#This Row],[Data da Coleta]]+fNotasFiscais[[#This Row],[Prazo Contratado]]</f>
        <v>43732</v>
      </c>
      <c r="X2310" s="3">
        <f>IF(fNotasFiscais[[#This Row],[Data da Entrega]]&gt;fNotasFiscais[[#This Row],[Data Contratada]],0,1)</f>
        <v>0</v>
      </c>
      <c r="Y2310" s="3">
        <f>IF(fNotasFiscais[[#This Row],[Ocorrência]]="",1,0)</f>
        <v>1</v>
      </c>
      <c r="Z2310" s="2">
        <f>fNotasFiscais[[#This Row],[On Time]]*fNotasFiscais[[#This Row],[In Full]]</f>
        <v>0</v>
      </c>
      <c r="AA2310">
        <f>IF(fNotasFiscais[[#This Row],[Nota Fiscal]]&lt;&gt;"",1,0)</f>
        <v>1</v>
      </c>
    </row>
    <row r="2311" spans="1:27" x14ac:dyDescent="0.25">
      <c r="A2311" s="1">
        <v>43725</v>
      </c>
      <c r="B2311">
        <v>12720</v>
      </c>
      <c r="C2311" s="2" t="s">
        <v>22</v>
      </c>
      <c r="D2311" s="2" t="s">
        <v>23</v>
      </c>
      <c r="E2311" s="2" t="s">
        <v>24</v>
      </c>
      <c r="F2311">
        <v>4241</v>
      </c>
      <c r="G2311" s="2" t="s">
        <v>324</v>
      </c>
      <c r="H2311" s="2" t="s">
        <v>167</v>
      </c>
      <c r="I2311" s="2" t="s">
        <v>168</v>
      </c>
      <c r="J2311" s="2" t="s">
        <v>169</v>
      </c>
      <c r="K2311" s="2" t="s">
        <v>168</v>
      </c>
      <c r="L2311">
        <v>12057.99</v>
      </c>
      <c r="M2311">
        <v>15</v>
      </c>
      <c r="N2311">
        <v>58.468000000000004</v>
      </c>
      <c r="O2311">
        <v>6900304</v>
      </c>
      <c r="P2311" s="2" t="s">
        <v>170</v>
      </c>
      <c r="Q2311" s="2" t="s">
        <v>171</v>
      </c>
      <c r="R2311" s="2" t="s">
        <v>30</v>
      </c>
      <c r="S2311">
        <v>2</v>
      </c>
      <c r="T2311" s="1">
        <v>43725</v>
      </c>
      <c r="U2311" s="1">
        <v>43733</v>
      </c>
      <c r="V2311" s="2"/>
      <c r="W2311" s="1">
        <f>fNotasFiscais[[#This Row],[Data da Coleta]]+fNotasFiscais[[#This Row],[Prazo Contratado]]</f>
        <v>43727</v>
      </c>
      <c r="X2311" s="3">
        <f>IF(fNotasFiscais[[#This Row],[Data da Entrega]]&gt;fNotasFiscais[[#This Row],[Data Contratada]],0,1)</f>
        <v>0</v>
      </c>
      <c r="Y2311" s="3">
        <f>IF(fNotasFiscais[[#This Row],[Ocorrência]]="",1,0)</f>
        <v>1</v>
      </c>
      <c r="Z2311" s="2">
        <f>fNotasFiscais[[#This Row],[On Time]]*fNotasFiscais[[#This Row],[In Full]]</f>
        <v>0</v>
      </c>
      <c r="AA2311">
        <f>IF(fNotasFiscais[[#This Row],[Nota Fiscal]]&lt;&gt;"",1,0)</f>
        <v>1</v>
      </c>
    </row>
    <row r="2312" spans="1:27" x14ac:dyDescent="0.25">
      <c r="A2312" s="1">
        <v>43725</v>
      </c>
      <c r="B2312">
        <v>12721</v>
      </c>
      <c r="C2312" s="2" t="s">
        <v>43</v>
      </c>
      <c r="D2312" s="2" t="s">
        <v>44</v>
      </c>
      <c r="E2312" s="2" t="s">
        <v>45</v>
      </c>
      <c r="F2312">
        <v>4242</v>
      </c>
      <c r="G2312" s="2" t="s">
        <v>325</v>
      </c>
      <c r="H2312" s="2" t="s">
        <v>167</v>
      </c>
      <c r="I2312" s="2" t="s">
        <v>168</v>
      </c>
      <c r="J2312" s="2" t="s">
        <v>169</v>
      </c>
      <c r="K2312" s="2" t="s">
        <v>168</v>
      </c>
      <c r="L2312">
        <v>438.09</v>
      </c>
      <c r="M2312">
        <v>1</v>
      </c>
      <c r="N2312">
        <v>1.1200000000000001</v>
      </c>
      <c r="O2312">
        <v>6900304</v>
      </c>
      <c r="P2312" s="2" t="s">
        <v>170</v>
      </c>
      <c r="Q2312" s="2" t="s">
        <v>171</v>
      </c>
      <c r="R2312" s="2" t="s">
        <v>30</v>
      </c>
      <c r="S2312">
        <v>4</v>
      </c>
      <c r="T2312" s="1">
        <v>43725</v>
      </c>
      <c r="U2312" s="1">
        <v>43731</v>
      </c>
      <c r="V2312" s="2"/>
      <c r="W2312" s="1">
        <f>fNotasFiscais[[#This Row],[Data da Coleta]]+fNotasFiscais[[#This Row],[Prazo Contratado]]</f>
        <v>43729</v>
      </c>
      <c r="X2312" s="3">
        <f>IF(fNotasFiscais[[#This Row],[Data da Entrega]]&gt;fNotasFiscais[[#This Row],[Data Contratada]],0,1)</f>
        <v>0</v>
      </c>
      <c r="Y2312" s="3">
        <f>IF(fNotasFiscais[[#This Row],[Ocorrência]]="",1,0)</f>
        <v>1</v>
      </c>
      <c r="Z2312" s="2">
        <f>fNotasFiscais[[#This Row],[On Time]]*fNotasFiscais[[#This Row],[In Full]]</f>
        <v>0</v>
      </c>
      <c r="AA2312">
        <f>IF(fNotasFiscais[[#This Row],[Nota Fiscal]]&lt;&gt;"",1,0)</f>
        <v>1</v>
      </c>
    </row>
    <row r="2313" spans="1:27" x14ac:dyDescent="0.25">
      <c r="A2313" s="1">
        <v>43725</v>
      </c>
      <c r="B2313">
        <v>12722</v>
      </c>
      <c r="C2313" s="2" t="s">
        <v>43</v>
      </c>
      <c r="D2313" s="2" t="s">
        <v>44</v>
      </c>
      <c r="E2313" s="2" t="s">
        <v>45</v>
      </c>
      <c r="F2313">
        <v>4243</v>
      </c>
      <c r="G2313" s="2" t="s">
        <v>326</v>
      </c>
      <c r="H2313" s="2" t="s">
        <v>167</v>
      </c>
      <c r="I2313" s="2" t="s">
        <v>168</v>
      </c>
      <c r="J2313" s="2" t="s">
        <v>169</v>
      </c>
      <c r="K2313" s="2" t="s">
        <v>168</v>
      </c>
      <c r="L2313">
        <v>3228.15</v>
      </c>
      <c r="M2313">
        <v>3</v>
      </c>
      <c r="N2313">
        <v>11.051</v>
      </c>
      <c r="O2313">
        <v>6900304</v>
      </c>
      <c r="P2313" s="2" t="s">
        <v>170</v>
      </c>
      <c r="Q2313" s="2" t="s">
        <v>171</v>
      </c>
      <c r="R2313" s="2" t="s">
        <v>30</v>
      </c>
      <c r="S2313">
        <v>6</v>
      </c>
      <c r="T2313" s="1">
        <v>43725</v>
      </c>
      <c r="U2313" s="1">
        <v>43730</v>
      </c>
      <c r="V2313" s="2"/>
      <c r="W2313" s="1">
        <f>fNotasFiscais[[#This Row],[Data da Coleta]]+fNotasFiscais[[#This Row],[Prazo Contratado]]</f>
        <v>43731</v>
      </c>
      <c r="X2313" s="3">
        <f>IF(fNotasFiscais[[#This Row],[Data da Entrega]]&gt;fNotasFiscais[[#This Row],[Data Contratada]],0,1)</f>
        <v>1</v>
      </c>
      <c r="Y2313" s="3">
        <f>IF(fNotasFiscais[[#This Row],[Ocorrência]]="",1,0)</f>
        <v>1</v>
      </c>
      <c r="Z2313" s="2">
        <f>fNotasFiscais[[#This Row],[On Time]]*fNotasFiscais[[#This Row],[In Full]]</f>
        <v>1</v>
      </c>
      <c r="AA2313">
        <f>IF(fNotasFiscais[[#This Row],[Nota Fiscal]]&lt;&gt;"",1,0)</f>
        <v>1</v>
      </c>
    </row>
    <row r="2314" spans="1:27" x14ac:dyDescent="0.25">
      <c r="A2314" s="1">
        <v>43725</v>
      </c>
      <c r="B2314">
        <v>12723</v>
      </c>
      <c r="C2314" s="2" t="s">
        <v>31</v>
      </c>
      <c r="D2314" s="2" t="s">
        <v>32</v>
      </c>
      <c r="E2314" s="2" t="s">
        <v>33</v>
      </c>
      <c r="F2314">
        <v>4244</v>
      </c>
      <c r="G2314" s="2" t="s">
        <v>327</v>
      </c>
      <c r="H2314" s="2" t="s">
        <v>183</v>
      </c>
      <c r="I2314" s="2" t="s">
        <v>33</v>
      </c>
      <c r="J2314" s="2" t="s">
        <v>60</v>
      </c>
      <c r="K2314" s="2" t="s">
        <v>33</v>
      </c>
      <c r="L2314">
        <v>79.930000000000007</v>
      </c>
      <c r="M2314">
        <v>1</v>
      </c>
      <c r="N2314">
        <v>1.1200000000000001</v>
      </c>
      <c r="O2314">
        <v>6400835</v>
      </c>
      <c r="P2314" s="2" t="s">
        <v>130</v>
      </c>
      <c r="Q2314" s="2" t="s">
        <v>131</v>
      </c>
      <c r="R2314" s="2" t="s">
        <v>30</v>
      </c>
      <c r="S2314">
        <v>10</v>
      </c>
      <c r="T2314" s="1">
        <v>43725</v>
      </c>
      <c r="U2314" s="1">
        <v>43732</v>
      </c>
      <c r="V2314" s="2"/>
      <c r="W2314" s="1">
        <f>fNotasFiscais[[#This Row],[Data da Coleta]]+fNotasFiscais[[#This Row],[Prazo Contratado]]</f>
        <v>43735</v>
      </c>
      <c r="X2314" s="3">
        <f>IF(fNotasFiscais[[#This Row],[Data da Entrega]]&gt;fNotasFiscais[[#This Row],[Data Contratada]],0,1)</f>
        <v>1</v>
      </c>
      <c r="Y2314" s="3">
        <f>IF(fNotasFiscais[[#This Row],[Ocorrência]]="",1,0)</f>
        <v>1</v>
      </c>
      <c r="Z2314" s="2">
        <f>fNotasFiscais[[#This Row],[On Time]]*fNotasFiscais[[#This Row],[In Full]]</f>
        <v>1</v>
      </c>
      <c r="AA2314">
        <f>IF(fNotasFiscais[[#This Row],[Nota Fiscal]]&lt;&gt;"",1,0)</f>
        <v>1</v>
      </c>
    </row>
    <row r="2315" spans="1:27" x14ac:dyDescent="0.25">
      <c r="A2315" s="1">
        <v>43725</v>
      </c>
      <c r="B2315">
        <v>12724</v>
      </c>
      <c r="C2315" s="2" t="s">
        <v>52</v>
      </c>
      <c r="D2315" s="2" t="s">
        <v>53</v>
      </c>
      <c r="E2315" s="2" t="s">
        <v>33</v>
      </c>
      <c r="F2315">
        <v>4245</v>
      </c>
      <c r="G2315" s="2" t="s">
        <v>328</v>
      </c>
      <c r="H2315" s="2" t="s">
        <v>183</v>
      </c>
      <c r="I2315" s="2" t="s">
        <v>33</v>
      </c>
      <c r="J2315" s="2" t="s">
        <v>60</v>
      </c>
      <c r="K2315" s="2" t="s">
        <v>33</v>
      </c>
      <c r="L2315">
        <v>2795.24</v>
      </c>
      <c r="M2315">
        <v>4</v>
      </c>
      <c r="N2315">
        <v>27.321000000000002</v>
      </c>
      <c r="O2315">
        <v>6400835</v>
      </c>
      <c r="P2315" s="2" t="s">
        <v>130</v>
      </c>
      <c r="Q2315" s="2" t="s">
        <v>131</v>
      </c>
      <c r="R2315" s="2" t="s">
        <v>30</v>
      </c>
      <c r="S2315">
        <v>4</v>
      </c>
      <c r="T2315" s="1">
        <v>43725</v>
      </c>
      <c r="U2315" s="1">
        <v>43729</v>
      </c>
      <c r="V2315" s="2"/>
      <c r="W2315" s="1">
        <f>fNotasFiscais[[#This Row],[Data da Coleta]]+fNotasFiscais[[#This Row],[Prazo Contratado]]</f>
        <v>43729</v>
      </c>
      <c r="X2315" s="3">
        <f>IF(fNotasFiscais[[#This Row],[Data da Entrega]]&gt;fNotasFiscais[[#This Row],[Data Contratada]],0,1)</f>
        <v>1</v>
      </c>
      <c r="Y2315" s="3">
        <f>IF(fNotasFiscais[[#This Row],[Ocorrência]]="",1,0)</f>
        <v>1</v>
      </c>
      <c r="Z2315" s="2">
        <f>fNotasFiscais[[#This Row],[On Time]]*fNotasFiscais[[#This Row],[In Full]]</f>
        <v>1</v>
      </c>
      <c r="AA2315">
        <f>IF(fNotasFiscais[[#This Row],[Nota Fiscal]]&lt;&gt;"",1,0)</f>
        <v>1</v>
      </c>
    </row>
    <row r="2316" spans="1:27" x14ac:dyDescent="0.25">
      <c r="A2316" s="1">
        <v>43725</v>
      </c>
      <c r="B2316">
        <v>12725</v>
      </c>
      <c r="C2316" s="2" t="s">
        <v>40</v>
      </c>
      <c r="D2316" s="2" t="s">
        <v>41</v>
      </c>
      <c r="E2316" s="2" t="s">
        <v>33</v>
      </c>
      <c r="F2316">
        <v>4246</v>
      </c>
      <c r="G2316" s="2" t="s">
        <v>329</v>
      </c>
      <c r="H2316" s="2" t="s">
        <v>183</v>
      </c>
      <c r="I2316" s="2" t="s">
        <v>33</v>
      </c>
      <c r="J2316" s="2" t="s">
        <v>60</v>
      </c>
      <c r="K2316" s="2" t="s">
        <v>33</v>
      </c>
      <c r="L2316">
        <v>88.61</v>
      </c>
      <c r="M2316">
        <v>3</v>
      </c>
      <c r="N2316">
        <v>10.769</v>
      </c>
      <c r="O2316">
        <v>6400835</v>
      </c>
      <c r="P2316" s="2" t="s">
        <v>130</v>
      </c>
      <c r="Q2316" s="2" t="s">
        <v>131</v>
      </c>
      <c r="R2316" s="2" t="s">
        <v>30</v>
      </c>
      <c r="S2316">
        <v>12</v>
      </c>
      <c r="T2316" s="1">
        <v>43725</v>
      </c>
      <c r="U2316" s="1">
        <v>43731</v>
      </c>
      <c r="V2316" s="2"/>
      <c r="W2316" s="1">
        <f>fNotasFiscais[[#This Row],[Data da Coleta]]+fNotasFiscais[[#This Row],[Prazo Contratado]]</f>
        <v>43737</v>
      </c>
      <c r="X2316" s="3">
        <f>IF(fNotasFiscais[[#This Row],[Data da Entrega]]&gt;fNotasFiscais[[#This Row],[Data Contratada]],0,1)</f>
        <v>1</v>
      </c>
      <c r="Y2316" s="3">
        <f>IF(fNotasFiscais[[#This Row],[Ocorrência]]="",1,0)</f>
        <v>1</v>
      </c>
      <c r="Z2316" s="2">
        <f>fNotasFiscais[[#This Row],[On Time]]*fNotasFiscais[[#This Row],[In Full]]</f>
        <v>1</v>
      </c>
      <c r="AA2316">
        <f>IF(fNotasFiscais[[#This Row],[Nota Fiscal]]&lt;&gt;"",1,0)</f>
        <v>1</v>
      </c>
    </row>
    <row r="2317" spans="1:27" x14ac:dyDescent="0.25">
      <c r="A2317" s="1">
        <v>43725</v>
      </c>
      <c r="B2317">
        <v>12726</v>
      </c>
      <c r="C2317" s="2" t="s">
        <v>34</v>
      </c>
      <c r="D2317" s="2" t="s">
        <v>35</v>
      </c>
      <c r="E2317" s="2" t="s">
        <v>36</v>
      </c>
      <c r="F2317">
        <v>4247</v>
      </c>
      <c r="G2317" s="2" t="s">
        <v>330</v>
      </c>
      <c r="H2317" s="2" t="s">
        <v>167</v>
      </c>
      <c r="I2317" s="2" t="s">
        <v>168</v>
      </c>
      <c r="J2317" s="2" t="s">
        <v>169</v>
      </c>
      <c r="K2317" s="2" t="s">
        <v>168</v>
      </c>
      <c r="L2317">
        <v>2481.61</v>
      </c>
      <c r="M2317">
        <v>1</v>
      </c>
      <c r="N2317">
        <v>1.1200000000000001</v>
      </c>
      <c r="O2317">
        <v>6900304</v>
      </c>
      <c r="P2317" s="2" t="s">
        <v>170</v>
      </c>
      <c r="Q2317" s="2" t="s">
        <v>171</v>
      </c>
      <c r="R2317" s="2" t="s">
        <v>30</v>
      </c>
      <c r="S2317">
        <v>10</v>
      </c>
      <c r="T2317" s="1">
        <v>43725</v>
      </c>
      <c r="U2317" s="1">
        <v>43735</v>
      </c>
      <c r="V2317" s="2"/>
      <c r="W2317" s="1">
        <f>fNotasFiscais[[#This Row],[Data da Coleta]]+fNotasFiscais[[#This Row],[Prazo Contratado]]</f>
        <v>43735</v>
      </c>
      <c r="X2317" s="3">
        <f>IF(fNotasFiscais[[#This Row],[Data da Entrega]]&gt;fNotasFiscais[[#This Row],[Data Contratada]],0,1)</f>
        <v>1</v>
      </c>
      <c r="Y2317" s="3">
        <f>IF(fNotasFiscais[[#This Row],[Ocorrência]]="",1,0)</f>
        <v>1</v>
      </c>
      <c r="Z2317" s="2">
        <f>fNotasFiscais[[#This Row],[On Time]]*fNotasFiscais[[#This Row],[In Full]]</f>
        <v>1</v>
      </c>
      <c r="AA2317">
        <f>IF(fNotasFiscais[[#This Row],[Nota Fiscal]]&lt;&gt;"",1,0)</f>
        <v>1</v>
      </c>
    </row>
    <row r="2318" spans="1:27" x14ac:dyDescent="0.25">
      <c r="A2318" s="1">
        <v>43725</v>
      </c>
      <c r="B2318">
        <v>12727</v>
      </c>
      <c r="C2318" s="2" t="s">
        <v>54</v>
      </c>
      <c r="D2318" s="2" t="s">
        <v>55</v>
      </c>
      <c r="E2318" s="2" t="s">
        <v>56</v>
      </c>
      <c r="F2318">
        <v>4248</v>
      </c>
      <c r="G2318" s="2" t="s">
        <v>331</v>
      </c>
      <c r="H2318" s="2" t="s">
        <v>167</v>
      </c>
      <c r="I2318" s="2" t="s">
        <v>168</v>
      </c>
      <c r="J2318" s="2" t="s">
        <v>169</v>
      </c>
      <c r="K2318" s="2" t="s">
        <v>168</v>
      </c>
      <c r="L2318">
        <v>18.28</v>
      </c>
      <c r="M2318">
        <v>1</v>
      </c>
      <c r="N2318">
        <v>1.1200000000000001</v>
      </c>
      <c r="O2318">
        <v>6900304</v>
      </c>
      <c r="P2318" s="2" t="s">
        <v>170</v>
      </c>
      <c r="Q2318" s="2" t="s">
        <v>171</v>
      </c>
      <c r="R2318" s="2" t="s">
        <v>30</v>
      </c>
      <c r="S2318">
        <v>11</v>
      </c>
      <c r="T2318" s="1">
        <v>43725</v>
      </c>
      <c r="U2318" s="1">
        <v>43731</v>
      </c>
      <c r="V2318" s="2"/>
      <c r="W2318" s="1">
        <f>fNotasFiscais[[#This Row],[Data da Coleta]]+fNotasFiscais[[#This Row],[Prazo Contratado]]</f>
        <v>43736</v>
      </c>
      <c r="X2318" s="3">
        <f>IF(fNotasFiscais[[#This Row],[Data da Entrega]]&gt;fNotasFiscais[[#This Row],[Data Contratada]],0,1)</f>
        <v>1</v>
      </c>
      <c r="Y2318" s="3">
        <f>IF(fNotasFiscais[[#This Row],[Ocorrência]]="",1,0)</f>
        <v>1</v>
      </c>
      <c r="Z2318" s="2">
        <f>fNotasFiscais[[#This Row],[On Time]]*fNotasFiscais[[#This Row],[In Full]]</f>
        <v>1</v>
      </c>
      <c r="AA2318">
        <f>IF(fNotasFiscais[[#This Row],[Nota Fiscal]]&lt;&gt;"",1,0)</f>
        <v>1</v>
      </c>
    </row>
    <row r="2319" spans="1:27" x14ac:dyDescent="0.25">
      <c r="A2319" s="1">
        <v>43725</v>
      </c>
      <c r="B2319">
        <v>12728</v>
      </c>
      <c r="C2319" s="2" t="s">
        <v>40</v>
      </c>
      <c r="D2319" s="2" t="s">
        <v>41</v>
      </c>
      <c r="E2319" s="2" t="s">
        <v>33</v>
      </c>
      <c r="F2319">
        <v>4147</v>
      </c>
      <c r="G2319" s="2" t="s">
        <v>230</v>
      </c>
      <c r="H2319" s="2" t="s">
        <v>35</v>
      </c>
      <c r="I2319" s="2" t="s">
        <v>36</v>
      </c>
      <c r="J2319" s="2" t="s">
        <v>60</v>
      </c>
      <c r="K2319" s="2" t="s">
        <v>36</v>
      </c>
      <c r="L2319">
        <v>3151.55</v>
      </c>
      <c r="M2319">
        <v>3</v>
      </c>
      <c r="N2319">
        <v>19.446000000000002</v>
      </c>
      <c r="O2319">
        <v>6600879</v>
      </c>
      <c r="P2319" s="2" t="s">
        <v>61</v>
      </c>
      <c r="Q2319" s="2" t="s">
        <v>35</v>
      </c>
      <c r="R2319" s="2" t="s">
        <v>30</v>
      </c>
      <c r="S2319">
        <v>11</v>
      </c>
      <c r="T2319" s="1">
        <v>43725</v>
      </c>
      <c r="U2319" s="1">
        <v>43734</v>
      </c>
      <c r="V2319" s="2"/>
      <c r="W2319" s="1">
        <f>fNotasFiscais[[#This Row],[Data da Coleta]]+fNotasFiscais[[#This Row],[Prazo Contratado]]</f>
        <v>43736</v>
      </c>
      <c r="X2319" s="3">
        <f>IF(fNotasFiscais[[#This Row],[Data da Entrega]]&gt;fNotasFiscais[[#This Row],[Data Contratada]],0,1)</f>
        <v>1</v>
      </c>
      <c r="Y2319" s="3">
        <f>IF(fNotasFiscais[[#This Row],[Ocorrência]]="",1,0)</f>
        <v>1</v>
      </c>
      <c r="Z2319" s="2">
        <f>fNotasFiscais[[#This Row],[On Time]]*fNotasFiscais[[#This Row],[In Full]]</f>
        <v>1</v>
      </c>
      <c r="AA2319">
        <f>IF(fNotasFiscais[[#This Row],[Nota Fiscal]]&lt;&gt;"",1,0)</f>
        <v>1</v>
      </c>
    </row>
    <row r="2320" spans="1:27" x14ac:dyDescent="0.25">
      <c r="A2320" s="1">
        <v>43725</v>
      </c>
      <c r="B2320">
        <v>12729</v>
      </c>
      <c r="C2320" s="2" t="s">
        <v>54</v>
      </c>
      <c r="D2320" s="2" t="s">
        <v>55</v>
      </c>
      <c r="E2320" s="2" t="s">
        <v>56</v>
      </c>
      <c r="F2320">
        <v>4142</v>
      </c>
      <c r="G2320" s="2" t="s">
        <v>225</v>
      </c>
      <c r="H2320" s="2" t="s">
        <v>173</v>
      </c>
      <c r="I2320" s="2" t="s">
        <v>174</v>
      </c>
      <c r="J2320" s="2" t="s">
        <v>175</v>
      </c>
      <c r="K2320" s="2" t="s">
        <v>174</v>
      </c>
      <c r="L2320">
        <v>702.35</v>
      </c>
      <c r="M2320">
        <v>1</v>
      </c>
      <c r="N2320">
        <v>1.1200000000000001</v>
      </c>
      <c r="O2320">
        <v>6700091</v>
      </c>
      <c r="P2320" s="2" t="s">
        <v>176</v>
      </c>
      <c r="Q2320" s="2" t="s">
        <v>173</v>
      </c>
      <c r="R2320" s="2" t="s">
        <v>30</v>
      </c>
      <c r="S2320">
        <v>3</v>
      </c>
      <c r="T2320" s="1">
        <v>43725</v>
      </c>
      <c r="U2320" s="1">
        <v>43734</v>
      </c>
      <c r="V2320" s="2"/>
      <c r="W2320" s="1">
        <f>fNotasFiscais[[#This Row],[Data da Coleta]]+fNotasFiscais[[#This Row],[Prazo Contratado]]</f>
        <v>43728</v>
      </c>
      <c r="X2320" s="3">
        <f>IF(fNotasFiscais[[#This Row],[Data da Entrega]]&gt;fNotasFiscais[[#This Row],[Data Contratada]],0,1)</f>
        <v>0</v>
      </c>
      <c r="Y2320" s="3">
        <f>IF(fNotasFiscais[[#This Row],[Ocorrência]]="",1,0)</f>
        <v>1</v>
      </c>
      <c r="Z2320" s="2">
        <f>fNotasFiscais[[#This Row],[On Time]]*fNotasFiscais[[#This Row],[In Full]]</f>
        <v>0</v>
      </c>
      <c r="AA2320">
        <f>IF(fNotasFiscais[[#This Row],[Nota Fiscal]]&lt;&gt;"",1,0)</f>
        <v>1</v>
      </c>
    </row>
    <row r="2321" spans="1:27" x14ac:dyDescent="0.25">
      <c r="A2321" s="1">
        <v>43725</v>
      </c>
      <c r="B2321">
        <v>12730</v>
      </c>
      <c r="C2321" s="2" t="s">
        <v>22</v>
      </c>
      <c r="D2321" s="2" t="s">
        <v>23</v>
      </c>
      <c r="E2321" s="2" t="s">
        <v>24</v>
      </c>
      <c r="F2321">
        <v>4127</v>
      </c>
      <c r="G2321" s="2" t="s">
        <v>210</v>
      </c>
      <c r="H2321" s="2" t="s">
        <v>44</v>
      </c>
      <c r="I2321" s="2" t="s">
        <v>45</v>
      </c>
      <c r="J2321" s="2" t="s">
        <v>60</v>
      </c>
      <c r="K2321" s="2" t="s">
        <v>45</v>
      </c>
      <c r="L2321">
        <v>2987.09</v>
      </c>
      <c r="M2321">
        <v>3</v>
      </c>
      <c r="N2321">
        <v>10.324999999999999</v>
      </c>
      <c r="O2321">
        <v>6140092</v>
      </c>
      <c r="P2321" s="2" t="s">
        <v>137</v>
      </c>
      <c r="Q2321" s="2" t="s">
        <v>138</v>
      </c>
      <c r="R2321" s="2" t="s">
        <v>30</v>
      </c>
      <c r="S2321">
        <v>6</v>
      </c>
      <c r="T2321" s="1">
        <v>43725</v>
      </c>
      <c r="U2321" s="1">
        <v>43735</v>
      </c>
      <c r="V2321" s="2"/>
      <c r="W2321" s="1">
        <f>fNotasFiscais[[#This Row],[Data da Coleta]]+fNotasFiscais[[#This Row],[Prazo Contratado]]</f>
        <v>43731</v>
      </c>
      <c r="X2321" s="3">
        <f>IF(fNotasFiscais[[#This Row],[Data da Entrega]]&gt;fNotasFiscais[[#This Row],[Data Contratada]],0,1)</f>
        <v>0</v>
      </c>
      <c r="Y2321" s="3">
        <f>IF(fNotasFiscais[[#This Row],[Ocorrência]]="",1,0)</f>
        <v>1</v>
      </c>
      <c r="Z2321" s="2">
        <f>fNotasFiscais[[#This Row],[On Time]]*fNotasFiscais[[#This Row],[In Full]]</f>
        <v>0</v>
      </c>
      <c r="AA2321">
        <f>IF(fNotasFiscais[[#This Row],[Nota Fiscal]]&lt;&gt;"",1,0)</f>
        <v>1</v>
      </c>
    </row>
    <row r="2322" spans="1:27" x14ac:dyDescent="0.25">
      <c r="A2322" s="1">
        <v>43726</v>
      </c>
      <c r="B2322">
        <v>12731</v>
      </c>
      <c r="C2322" s="2" t="s">
        <v>22</v>
      </c>
      <c r="D2322" s="2" t="s">
        <v>23</v>
      </c>
      <c r="E2322" s="2" t="s">
        <v>24</v>
      </c>
      <c r="F2322">
        <v>4172</v>
      </c>
      <c r="G2322" s="2" t="s">
        <v>255</v>
      </c>
      <c r="H2322" s="2" t="s">
        <v>183</v>
      </c>
      <c r="I2322" s="2" t="s">
        <v>33</v>
      </c>
      <c r="J2322" s="2" t="s">
        <v>60</v>
      </c>
      <c r="K2322" s="2" t="s">
        <v>33</v>
      </c>
      <c r="L2322">
        <v>84.35</v>
      </c>
      <c r="M2322">
        <v>1</v>
      </c>
      <c r="N2322">
        <v>1.1200000000000001</v>
      </c>
      <c r="O2322">
        <v>6400835</v>
      </c>
      <c r="P2322" s="2" t="s">
        <v>130</v>
      </c>
      <c r="Q2322" s="2" t="s">
        <v>131</v>
      </c>
      <c r="R2322" s="2" t="s">
        <v>30</v>
      </c>
      <c r="S2322">
        <v>6</v>
      </c>
      <c r="T2322" s="1">
        <v>43726</v>
      </c>
      <c r="U2322" s="1">
        <v>43731</v>
      </c>
      <c r="V2322" s="2"/>
      <c r="W2322" s="1">
        <f>fNotasFiscais[[#This Row],[Data da Coleta]]+fNotasFiscais[[#This Row],[Prazo Contratado]]</f>
        <v>43732</v>
      </c>
      <c r="X2322" s="3">
        <f>IF(fNotasFiscais[[#This Row],[Data da Entrega]]&gt;fNotasFiscais[[#This Row],[Data Contratada]],0,1)</f>
        <v>1</v>
      </c>
      <c r="Y2322" s="3">
        <f>IF(fNotasFiscais[[#This Row],[Ocorrência]]="",1,0)</f>
        <v>1</v>
      </c>
      <c r="Z2322" s="2">
        <f>fNotasFiscais[[#This Row],[On Time]]*fNotasFiscais[[#This Row],[In Full]]</f>
        <v>1</v>
      </c>
      <c r="AA2322">
        <f>IF(fNotasFiscais[[#This Row],[Nota Fiscal]]&lt;&gt;"",1,0)</f>
        <v>1</v>
      </c>
    </row>
    <row r="2323" spans="1:27" x14ac:dyDescent="0.25">
      <c r="A2323" s="1">
        <v>43726</v>
      </c>
      <c r="B2323">
        <v>12732</v>
      </c>
      <c r="C2323" s="2" t="s">
        <v>22</v>
      </c>
      <c r="D2323" s="2" t="s">
        <v>23</v>
      </c>
      <c r="E2323" s="2" t="s">
        <v>24</v>
      </c>
      <c r="F2323">
        <v>4060</v>
      </c>
      <c r="G2323" s="2" t="s">
        <v>134</v>
      </c>
      <c r="H2323" s="2" t="s">
        <v>115</v>
      </c>
      <c r="I2323" s="2" t="s">
        <v>107</v>
      </c>
      <c r="J2323" s="2" t="s">
        <v>49</v>
      </c>
      <c r="K2323" s="2" t="s">
        <v>107</v>
      </c>
      <c r="L2323">
        <v>195.75</v>
      </c>
      <c r="M2323">
        <v>1</v>
      </c>
      <c r="N2323">
        <v>8.7999999999999995E-2</v>
      </c>
      <c r="O2323">
        <v>6100231</v>
      </c>
      <c r="P2323" s="2" t="s">
        <v>50</v>
      </c>
      <c r="Q2323" s="2" t="s">
        <v>51</v>
      </c>
      <c r="R2323" s="2" t="s">
        <v>30</v>
      </c>
      <c r="S2323">
        <v>8</v>
      </c>
      <c r="T2323" s="1">
        <v>43726</v>
      </c>
      <c r="U2323" s="1">
        <v>43736</v>
      </c>
      <c r="V2323" s="2"/>
      <c r="W2323" s="1">
        <f>fNotasFiscais[[#This Row],[Data da Coleta]]+fNotasFiscais[[#This Row],[Prazo Contratado]]</f>
        <v>43734</v>
      </c>
      <c r="X2323" s="3">
        <f>IF(fNotasFiscais[[#This Row],[Data da Entrega]]&gt;fNotasFiscais[[#This Row],[Data Contratada]],0,1)</f>
        <v>0</v>
      </c>
      <c r="Y2323" s="3">
        <f>IF(fNotasFiscais[[#This Row],[Ocorrência]]="",1,0)</f>
        <v>1</v>
      </c>
      <c r="Z2323" s="2">
        <f>fNotasFiscais[[#This Row],[On Time]]*fNotasFiscais[[#This Row],[In Full]]</f>
        <v>0</v>
      </c>
      <c r="AA2323">
        <f>IF(fNotasFiscais[[#This Row],[Nota Fiscal]]&lt;&gt;"",1,0)</f>
        <v>1</v>
      </c>
    </row>
    <row r="2324" spans="1:27" x14ac:dyDescent="0.25">
      <c r="A2324" s="1">
        <v>43726</v>
      </c>
      <c r="B2324">
        <v>12733</v>
      </c>
      <c r="C2324" s="2" t="s">
        <v>34</v>
      </c>
      <c r="D2324" s="2" t="s">
        <v>35</v>
      </c>
      <c r="E2324" s="2" t="s">
        <v>36</v>
      </c>
      <c r="F2324">
        <v>4047</v>
      </c>
      <c r="G2324" s="2" t="s">
        <v>125</v>
      </c>
      <c r="H2324" s="2" t="s">
        <v>35</v>
      </c>
      <c r="I2324" s="2" t="s">
        <v>36</v>
      </c>
      <c r="J2324" s="2" t="s">
        <v>60</v>
      </c>
      <c r="K2324" s="2" t="s">
        <v>36</v>
      </c>
      <c r="L2324">
        <v>32433.3</v>
      </c>
      <c r="M2324">
        <v>29</v>
      </c>
      <c r="N2324">
        <v>251.785</v>
      </c>
      <c r="O2324">
        <v>6600879</v>
      </c>
      <c r="P2324" s="2" t="s">
        <v>61</v>
      </c>
      <c r="Q2324" s="2" t="s">
        <v>35</v>
      </c>
      <c r="R2324" s="2" t="s">
        <v>30</v>
      </c>
      <c r="S2324">
        <v>12</v>
      </c>
      <c r="T2324" s="1">
        <v>43726</v>
      </c>
      <c r="U2324" s="1">
        <v>43730</v>
      </c>
      <c r="V2324" s="2"/>
      <c r="W2324" s="1">
        <f>fNotasFiscais[[#This Row],[Data da Coleta]]+fNotasFiscais[[#This Row],[Prazo Contratado]]</f>
        <v>43738</v>
      </c>
      <c r="X2324" s="3">
        <f>IF(fNotasFiscais[[#This Row],[Data da Entrega]]&gt;fNotasFiscais[[#This Row],[Data Contratada]],0,1)</f>
        <v>1</v>
      </c>
      <c r="Y2324" s="3">
        <f>IF(fNotasFiscais[[#This Row],[Ocorrência]]="",1,0)</f>
        <v>1</v>
      </c>
      <c r="Z2324" s="2">
        <f>fNotasFiscais[[#This Row],[On Time]]*fNotasFiscais[[#This Row],[In Full]]</f>
        <v>1</v>
      </c>
      <c r="AA2324">
        <f>IF(fNotasFiscais[[#This Row],[Nota Fiscal]]&lt;&gt;"",1,0)</f>
        <v>1</v>
      </c>
    </row>
    <row r="2325" spans="1:27" x14ac:dyDescent="0.25">
      <c r="A2325" s="1">
        <v>43728</v>
      </c>
      <c r="B2325">
        <v>12734</v>
      </c>
      <c r="C2325" s="2" t="s">
        <v>52</v>
      </c>
      <c r="D2325" s="2" t="s">
        <v>53</v>
      </c>
      <c r="E2325" s="2" t="s">
        <v>33</v>
      </c>
      <c r="F2325">
        <v>4249</v>
      </c>
      <c r="G2325" s="2" t="s">
        <v>332</v>
      </c>
      <c r="H2325" s="2" t="s">
        <v>167</v>
      </c>
      <c r="I2325" s="2" t="s">
        <v>168</v>
      </c>
      <c r="J2325" s="2" t="s">
        <v>169</v>
      </c>
      <c r="K2325" s="2" t="s">
        <v>168</v>
      </c>
      <c r="L2325">
        <v>3307.05</v>
      </c>
      <c r="M2325">
        <v>1</v>
      </c>
      <c r="N2325">
        <v>1.1200000000000001</v>
      </c>
      <c r="O2325">
        <v>6900304</v>
      </c>
      <c r="P2325" s="2" t="s">
        <v>170</v>
      </c>
      <c r="Q2325" s="2" t="s">
        <v>171</v>
      </c>
      <c r="R2325" s="2" t="s">
        <v>30</v>
      </c>
      <c r="S2325">
        <v>2</v>
      </c>
      <c r="T2325" s="1">
        <v>43728</v>
      </c>
      <c r="U2325" s="1">
        <v>43729</v>
      </c>
      <c r="V2325" s="2"/>
      <c r="W2325" s="1">
        <f>fNotasFiscais[[#This Row],[Data da Coleta]]+fNotasFiscais[[#This Row],[Prazo Contratado]]</f>
        <v>43730</v>
      </c>
      <c r="X2325" s="3">
        <f>IF(fNotasFiscais[[#This Row],[Data da Entrega]]&gt;fNotasFiscais[[#This Row],[Data Contratada]],0,1)</f>
        <v>1</v>
      </c>
      <c r="Y2325" s="3">
        <f>IF(fNotasFiscais[[#This Row],[Ocorrência]]="",1,0)</f>
        <v>1</v>
      </c>
      <c r="Z2325" s="2">
        <f>fNotasFiscais[[#This Row],[On Time]]*fNotasFiscais[[#This Row],[In Full]]</f>
        <v>1</v>
      </c>
      <c r="AA2325">
        <f>IF(fNotasFiscais[[#This Row],[Nota Fiscal]]&lt;&gt;"",1,0)</f>
        <v>1</v>
      </c>
    </row>
    <row r="2326" spans="1:27" x14ac:dyDescent="0.25">
      <c r="A2326" s="1">
        <v>43728</v>
      </c>
      <c r="B2326">
        <v>12735</v>
      </c>
      <c r="C2326" s="2" t="s">
        <v>43</v>
      </c>
      <c r="D2326" s="2" t="s">
        <v>44</v>
      </c>
      <c r="E2326" s="2" t="s">
        <v>45</v>
      </c>
      <c r="F2326">
        <v>4250</v>
      </c>
      <c r="G2326" s="2" t="s">
        <v>333</v>
      </c>
      <c r="H2326" s="2" t="s">
        <v>44</v>
      </c>
      <c r="I2326" s="2" t="s">
        <v>45</v>
      </c>
      <c r="J2326" s="2" t="s">
        <v>60</v>
      </c>
      <c r="K2326" s="2" t="s">
        <v>45</v>
      </c>
      <c r="L2326">
        <v>629.37</v>
      </c>
      <c r="M2326">
        <v>1</v>
      </c>
      <c r="N2326">
        <v>4.18</v>
      </c>
      <c r="O2326">
        <v>6140092</v>
      </c>
      <c r="P2326" s="2" t="s">
        <v>137</v>
      </c>
      <c r="Q2326" s="2" t="s">
        <v>138</v>
      </c>
      <c r="R2326" s="2" t="s">
        <v>30</v>
      </c>
      <c r="S2326">
        <v>7</v>
      </c>
      <c r="T2326" s="1">
        <v>43728</v>
      </c>
      <c r="U2326" s="1">
        <v>43730</v>
      </c>
      <c r="V2326" s="2"/>
      <c r="W2326" s="1">
        <f>fNotasFiscais[[#This Row],[Data da Coleta]]+fNotasFiscais[[#This Row],[Prazo Contratado]]</f>
        <v>43735</v>
      </c>
      <c r="X2326" s="3">
        <f>IF(fNotasFiscais[[#This Row],[Data da Entrega]]&gt;fNotasFiscais[[#This Row],[Data Contratada]],0,1)</f>
        <v>1</v>
      </c>
      <c r="Y2326" s="3">
        <f>IF(fNotasFiscais[[#This Row],[Ocorrência]]="",1,0)</f>
        <v>1</v>
      </c>
      <c r="Z2326" s="2">
        <f>fNotasFiscais[[#This Row],[On Time]]*fNotasFiscais[[#This Row],[In Full]]</f>
        <v>1</v>
      </c>
      <c r="AA2326">
        <f>IF(fNotasFiscais[[#This Row],[Nota Fiscal]]&lt;&gt;"",1,0)</f>
        <v>1</v>
      </c>
    </row>
    <row r="2327" spans="1:27" x14ac:dyDescent="0.25">
      <c r="A2327" s="1">
        <v>43728</v>
      </c>
      <c r="B2327">
        <v>12736</v>
      </c>
      <c r="C2327" s="2" t="s">
        <v>54</v>
      </c>
      <c r="D2327" s="2" t="s">
        <v>55</v>
      </c>
      <c r="E2327" s="2" t="s">
        <v>56</v>
      </c>
      <c r="F2327">
        <v>4013</v>
      </c>
      <c r="G2327" s="2" t="s">
        <v>37</v>
      </c>
      <c r="H2327" s="2" t="s">
        <v>38</v>
      </c>
      <c r="I2327" s="2" t="s">
        <v>39</v>
      </c>
      <c r="J2327" s="2" t="s">
        <v>28</v>
      </c>
      <c r="K2327" s="2" t="s">
        <v>39</v>
      </c>
      <c r="L2327">
        <v>1114.3599999999999</v>
      </c>
      <c r="M2327">
        <v>1</v>
      </c>
      <c r="N2327">
        <v>11.837999999999999</v>
      </c>
      <c r="O2327">
        <v>6500948</v>
      </c>
      <c r="P2327" s="2" t="s">
        <v>29</v>
      </c>
      <c r="Q2327" s="2" t="s">
        <v>23</v>
      </c>
      <c r="R2327" s="2" t="s">
        <v>30</v>
      </c>
      <c r="S2327">
        <v>5</v>
      </c>
      <c r="T2327" s="1">
        <v>43728</v>
      </c>
      <c r="U2327" s="1">
        <v>43734</v>
      </c>
      <c r="V2327" s="2"/>
      <c r="W2327" s="1">
        <f>fNotasFiscais[[#This Row],[Data da Coleta]]+fNotasFiscais[[#This Row],[Prazo Contratado]]</f>
        <v>43733</v>
      </c>
      <c r="X2327" s="3">
        <f>IF(fNotasFiscais[[#This Row],[Data da Entrega]]&gt;fNotasFiscais[[#This Row],[Data Contratada]],0,1)</f>
        <v>0</v>
      </c>
      <c r="Y2327" s="3">
        <f>IF(fNotasFiscais[[#This Row],[Ocorrência]]="",1,0)</f>
        <v>1</v>
      </c>
      <c r="Z2327" s="2">
        <f>fNotasFiscais[[#This Row],[On Time]]*fNotasFiscais[[#This Row],[In Full]]</f>
        <v>0</v>
      </c>
      <c r="AA2327">
        <f>IF(fNotasFiscais[[#This Row],[Nota Fiscal]]&lt;&gt;"",1,0)</f>
        <v>1</v>
      </c>
    </row>
    <row r="2328" spans="1:27" x14ac:dyDescent="0.25">
      <c r="A2328" s="1">
        <v>43729</v>
      </c>
      <c r="B2328">
        <v>12737</v>
      </c>
      <c r="C2328" s="2" t="s">
        <v>52</v>
      </c>
      <c r="D2328" s="2" t="s">
        <v>53</v>
      </c>
      <c r="E2328" s="2" t="s">
        <v>33</v>
      </c>
      <c r="F2328">
        <v>4166</v>
      </c>
      <c r="G2328" s="2" t="s">
        <v>249</v>
      </c>
      <c r="H2328" s="2" t="s">
        <v>173</v>
      </c>
      <c r="I2328" s="2" t="s">
        <v>174</v>
      </c>
      <c r="J2328" s="2" t="s">
        <v>175</v>
      </c>
      <c r="K2328" s="2" t="s">
        <v>174</v>
      </c>
      <c r="L2328">
        <v>1858.07</v>
      </c>
      <c r="M2328">
        <v>3</v>
      </c>
      <c r="N2328">
        <v>10.186999999999999</v>
      </c>
      <c r="O2328">
        <v>6700091</v>
      </c>
      <c r="P2328" s="2" t="s">
        <v>176</v>
      </c>
      <c r="Q2328" s="2" t="s">
        <v>173</v>
      </c>
      <c r="R2328" s="2" t="s">
        <v>30</v>
      </c>
      <c r="S2328">
        <v>4</v>
      </c>
      <c r="T2328" s="1">
        <v>43729</v>
      </c>
      <c r="U2328" s="1">
        <v>43736</v>
      </c>
      <c r="V2328" s="2"/>
      <c r="W2328" s="1">
        <f>fNotasFiscais[[#This Row],[Data da Coleta]]+fNotasFiscais[[#This Row],[Prazo Contratado]]</f>
        <v>43733</v>
      </c>
      <c r="X2328" s="3">
        <f>IF(fNotasFiscais[[#This Row],[Data da Entrega]]&gt;fNotasFiscais[[#This Row],[Data Contratada]],0,1)</f>
        <v>0</v>
      </c>
      <c r="Y2328" s="3">
        <f>IF(fNotasFiscais[[#This Row],[Ocorrência]]="",1,0)</f>
        <v>1</v>
      </c>
      <c r="Z2328" s="2">
        <f>fNotasFiscais[[#This Row],[On Time]]*fNotasFiscais[[#This Row],[In Full]]</f>
        <v>0</v>
      </c>
      <c r="AA2328">
        <f>IF(fNotasFiscais[[#This Row],[Nota Fiscal]]&lt;&gt;"",1,0)</f>
        <v>1</v>
      </c>
    </row>
    <row r="2329" spans="1:27" x14ac:dyDescent="0.25">
      <c r="A2329" s="1">
        <v>43729</v>
      </c>
      <c r="B2329">
        <v>12738</v>
      </c>
      <c r="C2329" s="2" t="s">
        <v>22</v>
      </c>
      <c r="D2329" s="2" t="s">
        <v>23</v>
      </c>
      <c r="E2329" s="2" t="s">
        <v>24</v>
      </c>
      <c r="F2329">
        <v>4123</v>
      </c>
      <c r="G2329" s="2" t="s">
        <v>206</v>
      </c>
      <c r="H2329" s="2" t="s">
        <v>44</v>
      </c>
      <c r="I2329" s="2" t="s">
        <v>45</v>
      </c>
      <c r="J2329" s="2" t="s">
        <v>60</v>
      </c>
      <c r="K2329" s="2" t="s">
        <v>45</v>
      </c>
      <c r="L2329">
        <v>186.3</v>
      </c>
      <c r="M2329">
        <v>6</v>
      </c>
      <c r="N2329">
        <v>50.723999999999997</v>
      </c>
      <c r="O2329">
        <v>6140092</v>
      </c>
      <c r="P2329" s="2" t="s">
        <v>137</v>
      </c>
      <c r="Q2329" s="2" t="s">
        <v>138</v>
      </c>
      <c r="R2329" s="2" t="s">
        <v>30</v>
      </c>
      <c r="S2329">
        <v>6</v>
      </c>
      <c r="T2329" s="1">
        <v>43729</v>
      </c>
      <c r="U2329" s="1">
        <v>43735</v>
      </c>
      <c r="V2329" s="2"/>
      <c r="W2329" s="1">
        <f>fNotasFiscais[[#This Row],[Data da Coleta]]+fNotasFiscais[[#This Row],[Prazo Contratado]]</f>
        <v>43735</v>
      </c>
      <c r="X2329" s="3">
        <f>IF(fNotasFiscais[[#This Row],[Data da Entrega]]&gt;fNotasFiscais[[#This Row],[Data Contratada]],0,1)</f>
        <v>1</v>
      </c>
      <c r="Y2329" s="3">
        <f>IF(fNotasFiscais[[#This Row],[Ocorrência]]="",1,0)</f>
        <v>1</v>
      </c>
      <c r="Z2329" s="2">
        <f>fNotasFiscais[[#This Row],[On Time]]*fNotasFiscais[[#This Row],[In Full]]</f>
        <v>1</v>
      </c>
      <c r="AA2329">
        <f>IF(fNotasFiscais[[#This Row],[Nota Fiscal]]&lt;&gt;"",1,0)</f>
        <v>1</v>
      </c>
    </row>
    <row r="2330" spans="1:27" x14ac:dyDescent="0.25">
      <c r="A2330" s="1">
        <v>43729</v>
      </c>
      <c r="B2330">
        <v>12739</v>
      </c>
      <c r="C2330" s="2" t="s">
        <v>40</v>
      </c>
      <c r="D2330" s="2" t="s">
        <v>41</v>
      </c>
      <c r="E2330" s="2" t="s">
        <v>33</v>
      </c>
      <c r="F2330">
        <v>4251</v>
      </c>
      <c r="G2330" s="2" t="s">
        <v>334</v>
      </c>
      <c r="H2330" s="2" t="s">
        <v>167</v>
      </c>
      <c r="I2330" s="2" t="s">
        <v>168</v>
      </c>
      <c r="J2330" s="2" t="s">
        <v>169</v>
      </c>
      <c r="K2330" s="2" t="s">
        <v>168</v>
      </c>
      <c r="L2330">
        <v>10747.44</v>
      </c>
      <c r="M2330">
        <v>1</v>
      </c>
      <c r="N2330">
        <v>1.1200000000000001</v>
      </c>
      <c r="O2330">
        <v>6900304</v>
      </c>
      <c r="P2330" s="2" t="s">
        <v>170</v>
      </c>
      <c r="Q2330" s="2" t="s">
        <v>171</v>
      </c>
      <c r="R2330" s="2" t="s">
        <v>30</v>
      </c>
      <c r="S2330">
        <v>6</v>
      </c>
      <c r="T2330" s="1">
        <v>43729</v>
      </c>
      <c r="U2330" s="1">
        <v>43735</v>
      </c>
      <c r="V2330" s="2"/>
      <c r="W2330" s="1">
        <f>fNotasFiscais[[#This Row],[Data da Coleta]]+fNotasFiscais[[#This Row],[Prazo Contratado]]</f>
        <v>43735</v>
      </c>
      <c r="X2330" s="3">
        <f>IF(fNotasFiscais[[#This Row],[Data da Entrega]]&gt;fNotasFiscais[[#This Row],[Data Contratada]],0,1)</f>
        <v>1</v>
      </c>
      <c r="Y2330" s="3">
        <f>IF(fNotasFiscais[[#This Row],[Ocorrência]]="",1,0)</f>
        <v>1</v>
      </c>
      <c r="Z2330" s="2">
        <f>fNotasFiscais[[#This Row],[On Time]]*fNotasFiscais[[#This Row],[In Full]]</f>
        <v>1</v>
      </c>
      <c r="AA2330">
        <f>IF(fNotasFiscais[[#This Row],[Nota Fiscal]]&lt;&gt;"",1,0)</f>
        <v>1</v>
      </c>
    </row>
    <row r="2331" spans="1:27" x14ac:dyDescent="0.25">
      <c r="A2331" s="1">
        <v>43729</v>
      </c>
      <c r="B2331">
        <v>12740</v>
      </c>
      <c r="C2331" s="2" t="s">
        <v>54</v>
      </c>
      <c r="D2331" s="2" t="s">
        <v>55</v>
      </c>
      <c r="E2331" s="2" t="s">
        <v>56</v>
      </c>
      <c r="F2331">
        <v>4118</v>
      </c>
      <c r="G2331" s="2" t="s">
        <v>201</v>
      </c>
      <c r="H2331" s="2" t="s">
        <v>183</v>
      </c>
      <c r="I2331" s="2" t="s">
        <v>33</v>
      </c>
      <c r="J2331" s="2" t="s">
        <v>60</v>
      </c>
      <c r="K2331" s="2" t="s">
        <v>33</v>
      </c>
      <c r="L2331">
        <v>892.17</v>
      </c>
      <c r="M2331">
        <v>1</v>
      </c>
      <c r="N2331">
        <v>4.84</v>
      </c>
      <c r="O2331">
        <v>6400835</v>
      </c>
      <c r="P2331" s="2" t="s">
        <v>130</v>
      </c>
      <c r="Q2331" s="2" t="s">
        <v>131</v>
      </c>
      <c r="R2331" s="2" t="s">
        <v>30</v>
      </c>
      <c r="S2331">
        <v>2</v>
      </c>
      <c r="T2331" s="1">
        <v>43729</v>
      </c>
      <c r="U2331" s="1">
        <v>43733</v>
      </c>
      <c r="V2331" s="2"/>
      <c r="W2331" s="1">
        <f>fNotasFiscais[[#This Row],[Data da Coleta]]+fNotasFiscais[[#This Row],[Prazo Contratado]]</f>
        <v>43731</v>
      </c>
      <c r="X2331" s="3">
        <f>IF(fNotasFiscais[[#This Row],[Data da Entrega]]&gt;fNotasFiscais[[#This Row],[Data Contratada]],0,1)</f>
        <v>0</v>
      </c>
      <c r="Y2331" s="3">
        <f>IF(fNotasFiscais[[#This Row],[Ocorrência]]="",1,0)</f>
        <v>1</v>
      </c>
      <c r="Z2331" s="2">
        <f>fNotasFiscais[[#This Row],[On Time]]*fNotasFiscais[[#This Row],[In Full]]</f>
        <v>0</v>
      </c>
      <c r="AA2331">
        <f>IF(fNotasFiscais[[#This Row],[Nota Fiscal]]&lt;&gt;"",1,0)</f>
        <v>1</v>
      </c>
    </row>
    <row r="2332" spans="1:27" x14ac:dyDescent="0.25">
      <c r="A2332" s="1">
        <v>43732</v>
      </c>
      <c r="B2332">
        <v>12741</v>
      </c>
      <c r="C2332" s="2" t="s">
        <v>52</v>
      </c>
      <c r="D2332" s="2" t="s">
        <v>53</v>
      </c>
      <c r="E2332" s="2" t="s">
        <v>33</v>
      </c>
      <c r="F2332">
        <v>4210</v>
      </c>
      <c r="G2332" s="2" t="s">
        <v>293</v>
      </c>
      <c r="H2332" s="2" t="s">
        <v>35</v>
      </c>
      <c r="I2332" s="2" t="s">
        <v>36</v>
      </c>
      <c r="J2332" s="2" t="s">
        <v>60</v>
      </c>
      <c r="K2332" s="2" t="s">
        <v>36</v>
      </c>
      <c r="L2332">
        <v>4779.66</v>
      </c>
      <c r="M2332">
        <v>5</v>
      </c>
      <c r="N2332">
        <v>42.558</v>
      </c>
      <c r="O2332">
        <v>6600879</v>
      </c>
      <c r="P2332" s="2" t="s">
        <v>61</v>
      </c>
      <c r="Q2332" s="2" t="s">
        <v>35</v>
      </c>
      <c r="R2332" s="2" t="s">
        <v>30</v>
      </c>
      <c r="S2332">
        <v>1</v>
      </c>
      <c r="T2332" s="1">
        <v>43732</v>
      </c>
      <c r="U2332" s="1">
        <v>43738</v>
      </c>
      <c r="V2332" s="2"/>
      <c r="W2332" s="1">
        <f>fNotasFiscais[[#This Row],[Data da Coleta]]+fNotasFiscais[[#This Row],[Prazo Contratado]]</f>
        <v>43733</v>
      </c>
      <c r="X2332" s="3">
        <f>IF(fNotasFiscais[[#This Row],[Data da Entrega]]&gt;fNotasFiscais[[#This Row],[Data Contratada]],0,1)</f>
        <v>0</v>
      </c>
      <c r="Y2332" s="3">
        <f>IF(fNotasFiscais[[#This Row],[Ocorrência]]="",1,0)</f>
        <v>1</v>
      </c>
      <c r="Z2332" s="2">
        <f>fNotasFiscais[[#This Row],[On Time]]*fNotasFiscais[[#This Row],[In Full]]</f>
        <v>0</v>
      </c>
      <c r="AA2332">
        <f>IF(fNotasFiscais[[#This Row],[Nota Fiscal]]&lt;&gt;"",1,0)</f>
        <v>1</v>
      </c>
    </row>
    <row r="2333" spans="1:27" x14ac:dyDescent="0.25">
      <c r="A2333" s="1">
        <v>43732</v>
      </c>
      <c r="B2333">
        <v>12742</v>
      </c>
      <c r="C2333" s="2" t="s">
        <v>52</v>
      </c>
      <c r="D2333" s="2" t="s">
        <v>53</v>
      </c>
      <c r="E2333" s="2" t="s">
        <v>33</v>
      </c>
      <c r="F2333">
        <v>4211</v>
      </c>
      <c r="G2333" s="2" t="s">
        <v>294</v>
      </c>
      <c r="H2333" s="2" t="s">
        <v>183</v>
      </c>
      <c r="I2333" s="2" t="s">
        <v>33</v>
      </c>
      <c r="J2333" s="2" t="s">
        <v>60</v>
      </c>
      <c r="K2333" s="2" t="s">
        <v>33</v>
      </c>
      <c r="L2333">
        <v>165.5</v>
      </c>
      <c r="M2333">
        <v>2</v>
      </c>
      <c r="N2333">
        <v>1.37</v>
      </c>
      <c r="O2333">
        <v>6400835</v>
      </c>
      <c r="P2333" s="2" t="s">
        <v>130</v>
      </c>
      <c r="Q2333" s="2" t="s">
        <v>131</v>
      </c>
      <c r="R2333" s="2" t="s">
        <v>30</v>
      </c>
      <c r="S2333">
        <v>1</v>
      </c>
      <c r="T2333" s="1">
        <v>43732</v>
      </c>
      <c r="U2333" s="1">
        <v>43735</v>
      </c>
      <c r="V2333" s="2"/>
      <c r="W2333" s="1">
        <f>fNotasFiscais[[#This Row],[Data da Coleta]]+fNotasFiscais[[#This Row],[Prazo Contratado]]</f>
        <v>43733</v>
      </c>
      <c r="X2333" s="3">
        <f>IF(fNotasFiscais[[#This Row],[Data da Entrega]]&gt;fNotasFiscais[[#This Row],[Data Contratada]],0,1)</f>
        <v>0</v>
      </c>
      <c r="Y2333" s="3">
        <f>IF(fNotasFiscais[[#This Row],[Ocorrência]]="",1,0)</f>
        <v>1</v>
      </c>
      <c r="Z2333" s="2">
        <f>fNotasFiscais[[#This Row],[On Time]]*fNotasFiscais[[#This Row],[In Full]]</f>
        <v>0</v>
      </c>
      <c r="AA2333">
        <f>IF(fNotasFiscais[[#This Row],[Nota Fiscal]]&lt;&gt;"",1,0)</f>
        <v>1</v>
      </c>
    </row>
    <row r="2334" spans="1:27" x14ac:dyDescent="0.25">
      <c r="A2334" s="1">
        <v>43732</v>
      </c>
      <c r="B2334">
        <v>12743</v>
      </c>
      <c r="C2334" s="2" t="s">
        <v>52</v>
      </c>
      <c r="D2334" s="2" t="s">
        <v>53</v>
      </c>
      <c r="E2334" s="2" t="s">
        <v>33</v>
      </c>
      <c r="F2334">
        <v>4212</v>
      </c>
      <c r="G2334" s="2" t="s">
        <v>295</v>
      </c>
      <c r="H2334" s="2" t="s">
        <v>165</v>
      </c>
      <c r="I2334" s="2" t="s">
        <v>24</v>
      </c>
      <c r="J2334" s="2" t="s">
        <v>28</v>
      </c>
      <c r="K2334" s="2" t="s">
        <v>24</v>
      </c>
      <c r="L2334">
        <v>65.3</v>
      </c>
      <c r="M2334">
        <v>1</v>
      </c>
      <c r="N2334">
        <v>1.1200000000000001</v>
      </c>
      <c r="O2334">
        <v>6500948</v>
      </c>
      <c r="P2334" s="2" t="s">
        <v>29</v>
      </c>
      <c r="Q2334" s="2" t="s">
        <v>23</v>
      </c>
      <c r="R2334" s="2" t="s">
        <v>30</v>
      </c>
      <c r="S2334">
        <v>7</v>
      </c>
      <c r="T2334" s="1">
        <v>43732</v>
      </c>
      <c r="U2334" s="1">
        <v>43736</v>
      </c>
      <c r="V2334" s="2"/>
      <c r="W2334" s="1">
        <f>fNotasFiscais[[#This Row],[Data da Coleta]]+fNotasFiscais[[#This Row],[Prazo Contratado]]</f>
        <v>43739</v>
      </c>
      <c r="X2334" s="3">
        <f>IF(fNotasFiscais[[#This Row],[Data da Entrega]]&gt;fNotasFiscais[[#This Row],[Data Contratada]],0,1)</f>
        <v>1</v>
      </c>
      <c r="Y2334" s="3">
        <f>IF(fNotasFiscais[[#This Row],[Ocorrência]]="",1,0)</f>
        <v>1</v>
      </c>
      <c r="Z2334" s="2">
        <f>fNotasFiscais[[#This Row],[On Time]]*fNotasFiscais[[#This Row],[In Full]]</f>
        <v>1</v>
      </c>
      <c r="AA2334">
        <f>IF(fNotasFiscais[[#This Row],[Nota Fiscal]]&lt;&gt;"",1,0)</f>
        <v>1</v>
      </c>
    </row>
    <row r="2335" spans="1:27" x14ac:dyDescent="0.25">
      <c r="A2335" s="1">
        <v>43732</v>
      </c>
      <c r="B2335">
        <v>12744</v>
      </c>
      <c r="C2335" s="2" t="s">
        <v>22</v>
      </c>
      <c r="D2335" s="2" t="s">
        <v>23</v>
      </c>
      <c r="E2335" s="2" t="s">
        <v>24</v>
      </c>
      <c r="F2335">
        <v>4213</v>
      </c>
      <c r="G2335" s="2" t="s">
        <v>296</v>
      </c>
      <c r="H2335" s="2" t="s">
        <v>32</v>
      </c>
      <c r="I2335" s="2" t="s">
        <v>33</v>
      </c>
      <c r="J2335" s="2" t="s">
        <v>60</v>
      </c>
      <c r="K2335" s="2" t="s">
        <v>33</v>
      </c>
      <c r="L2335">
        <v>300.5</v>
      </c>
      <c r="M2335">
        <v>5</v>
      </c>
      <c r="N2335">
        <v>3.9140000000000001</v>
      </c>
      <c r="O2335">
        <v>6400835</v>
      </c>
      <c r="P2335" s="2" t="s">
        <v>130</v>
      </c>
      <c r="Q2335" s="2" t="s">
        <v>131</v>
      </c>
      <c r="R2335" s="2" t="s">
        <v>30</v>
      </c>
      <c r="S2335">
        <v>2</v>
      </c>
      <c r="T2335" s="1">
        <v>43732</v>
      </c>
      <c r="U2335" s="1">
        <v>43737</v>
      </c>
      <c r="V2335" s="2"/>
      <c r="W2335" s="1">
        <f>fNotasFiscais[[#This Row],[Data da Coleta]]+fNotasFiscais[[#This Row],[Prazo Contratado]]</f>
        <v>43734</v>
      </c>
      <c r="X2335" s="3">
        <f>IF(fNotasFiscais[[#This Row],[Data da Entrega]]&gt;fNotasFiscais[[#This Row],[Data Contratada]],0,1)</f>
        <v>0</v>
      </c>
      <c r="Y2335" s="3">
        <f>IF(fNotasFiscais[[#This Row],[Ocorrência]]="",1,0)</f>
        <v>1</v>
      </c>
      <c r="Z2335" s="2">
        <f>fNotasFiscais[[#This Row],[On Time]]*fNotasFiscais[[#This Row],[In Full]]</f>
        <v>0</v>
      </c>
      <c r="AA2335">
        <f>IF(fNotasFiscais[[#This Row],[Nota Fiscal]]&lt;&gt;"",1,0)</f>
        <v>1</v>
      </c>
    </row>
    <row r="2336" spans="1:27" x14ac:dyDescent="0.25">
      <c r="A2336" s="1">
        <v>43732</v>
      </c>
      <c r="B2336">
        <v>12745</v>
      </c>
      <c r="C2336" s="2" t="s">
        <v>34</v>
      </c>
      <c r="D2336" s="2" t="s">
        <v>35</v>
      </c>
      <c r="E2336" s="2" t="s">
        <v>36</v>
      </c>
      <c r="F2336">
        <v>4216</v>
      </c>
      <c r="G2336" s="2" t="s">
        <v>299</v>
      </c>
      <c r="H2336" s="2" t="s">
        <v>183</v>
      </c>
      <c r="I2336" s="2" t="s">
        <v>33</v>
      </c>
      <c r="J2336" s="2" t="s">
        <v>60</v>
      </c>
      <c r="K2336" s="2" t="s">
        <v>33</v>
      </c>
      <c r="L2336">
        <v>1735.4</v>
      </c>
      <c r="M2336">
        <v>1</v>
      </c>
      <c r="N2336">
        <v>1.1200000000000001</v>
      </c>
      <c r="O2336">
        <v>6400835</v>
      </c>
      <c r="P2336" s="2" t="s">
        <v>130</v>
      </c>
      <c r="Q2336" s="2" t="s">
        <v>131</v>
      </c>
      <c r="R2336" s="2" t="s">
        <v>30</v>
      </c>
      <c r="S2336">
        <v>10</v>
      </c>
      <c r="T2336" s="1">
        <v>43732</v>
      </c>
      <c r="U2336" s="1">
        <v>43736</v>
      </c>
      <c r="V2336" s="2"/>
      <c r="W2336" s="1">
        <f>fNotasFiscais[[#This Row],[Data da Coleta]]+fNotasFiscais[[#This Row],[Prazo Contratado]]</f>
        <v>43742</v>
      </c>
      <c r="X2336" s="3">
        <f>IF(fNotasFiscais[[#This Row],[Data da Entrega]]&gt;fNotasFiscais[[#This Row],[Data Contratada]],0,1)</f>
        <v>1</v>
      </c>
      <c r="Y2336" s="3">
        <f>IF(fNotasFiscais[[#This Row],[Ocorrência]]="",1,0)</f>
        <v>1</v>
      </c>
      <c r="Z2336" s="2">
        <f>fNotasFiscais[[#This Row],[On Time]]*fNotasFiscais[[#This Row],[In Full]]</f>
        <v>1</v>
      </c>
      <c r="AA2336">
        <f>IF(fNotasFiscais[[#This Row],[Nota Fiscal]]&lt;&gt;"",1,0)</f>
        <v>1</v>
      </c>
    </row>
    <row r="2337" spans="1:27" x14ac:dyDescent="0.25">
      <c r="A2337" s="1">
        <v>43732</v>
      </c>
      <c r="B2337">
        <v>12746</v>
      </c>
      <c r="C2337" s="2" t="s">
        <v>43</v>
      </c>
      <c r="D2337" s="2" t="s">
        <v>44</v>
      </c>
      <c r="E2337" s="2" t="s">
        <v>45</v>
      </c>
      <c r="F2337">
        <v>4209</v>
      </c>
      <c r="G2337" s="2" t="s">
        <v>292</v>
      </c>
      <c r="H2337" s="2" t="s">
        <v>35</v>
      </c>
      <c r="I2337" s="2" t="s">
        <v>36</v>
      </c>
      <c r="J2337" s="2" t="s">
        <v>60</v>
      </c>
      <c r="K2337" s="2" t="s">
        <v>36</v>
      </c>
      <c r="L2337">
        <v>12317.98</v>
      </c>
      <c r="M2337">
        <v>14</v>
      </c>
      <c r="N2337">
        <v>104.73</v>
      </c>
      <c r="O2337">
        <v>6600879</v>
      </c>
      <c r="P2337" s="2" t="s">
        <v>61</v>
      </c>
      <c r="Q2337" s="2" t="s">
        <v>35</v>
      </c>
      <c r="R2337" s="2" t="s">
        <v>30</v>
      </c>
      <c r="S2337">
        <v>4</v>
      </c>
      <c r="T2337" s="1">
        <v>43732</v>
      </c>
      <c r="U2337" s="1">
        <v>43736</v>
      </c>
      <c r="V2337" s="2"/>
      <c r="W2337" s="1">
        <f>fNotasFiscais[[#This Row],[Data da Coleta]]+fNotasFiscais[[#This Row],[Prazo Contratado]]</f>
        <v>43736</v>
      </c>
      <c r="X2337" s="3">
        <f>IF(fNotasFiscais[[#This Row],[Data da Entrega]]&gt;fNotasFiscais[[#This Row],[Data Contratada]],0,1)</f>
        <v>1</v>
      </c>
      <c r="Y2337" s="3">
        <f>IF(fNotasFiscais[[#This Row],[Ocorrência]]="",1,0)</f>
        <v>1</v>
      </c>
      <c r="Z2337" s="2">
        <f>fNotasFiscais[[#This Row],[On Time]]*fNotasFiscais[[#This Row],[In Full]]</f>
        <v>1</v>
      </c>
      <c r="AA2337">
        <f>IF(fNotasFiscais[[#This Row],[Nota Fiscal]]&lt;&gt;"",1,0)</f>
        <v>1</v>
      </c>
    </row>
    <row r="2338" spans="1:27" x14ac:dyDescent="0.25">
      <c r="A2338" s="1">
        <v>43732</v>
      </c>
      <c r="B2338">
        <v>12747</v>
      </c>
      <c r="C2338" s="2" t="s">
        <v>54</v>
      </c>
      <c r="D2338" s="2" t="s">
        <v>55</v>
      </c>
      <c r="E2338" s="2" t="s">
        <v>56</v>
      </c>
      <c r="F2338">
        <v>4215</v>
      </c>
      <c r="G2338" s="2" t="s">
        <v>298</v>
      </c>
      <c r="H2338" s="2" t="s">
        <v>167</v>
      </c>
      <c r="I2338" s="2" t="s">
        <v>168</v>
      </c>
      <c r="J2338" s="2" t="s">
        <v>169</v>
      </c>
      <c r="K2338" s="2" t="s">
        <v>168</v>
      </c>
      <c r="L2338">
        <v>2033.39</v>
      </c>
      <c r="M2338">
        <v>1</v>
      </c>
      <c r="N2338">
        <v>1.1200000000000001</v>
      </c>
      <c r="O2338">
        <v>6900304</v>
      </c>
      <c r="P2338" s="2" t="s">
        <v>170</v>
      </c>
      <c r="Q2338" s="2" t="s">
        <v>171</v>
      </c>
      <c r="R2338" s="2" t="s">
        <v>30</v>
      </c>
      <c r="S2338">
        <v>8</v>
      </c>
      <c r="T2338" s="1">
        <v>43732</v>
      </c>
      <c r="U2338" s="1">
        <v>43733</v>
      </c>
      <c r="V2338" s="2"/>
      <c r="W2338" s="1">
        <f>fNotasFiscais[[#This Row],[Data da Coleta]]+fNotasFiscais[[#This Row],[Prazo Contratado]]</f>
        <v>43740</v>
      </c>
      <c r="X2338" s="3">
        <f>IF(fNotasFiscais[[#This Row],[Data da Entrega]]&gt;fNotasFiscais[[#This Row],[Data Contratada]],0,1)</f>
        <v>1</v>
      </c>
      <c r="Y2338" s="3">
        <f>IF(fNotasFiscais[[#This Row],[Ocorrência]]="",1,0)</f>
        <v>1</v>
      </c>
      <c r="Z2338" s="2">
        <f>fNotasFiscais[[#This Row],[On Time]]*fNotasFiscais[[#This Row],[In Full]]</f>
        <v>1</v>
      </c>
      <c r="AA2338">
        <f>IF(fNotasFiscais[[#This Row],[Nota Fiscal]]&lt;&gt;"",1,0)</f>
        <v>1</v>
      </c>
    </row>
    <row r="2339" spans="1:27" x14ac:dyDescent="0.25">
      <c r="A2339" s="1">
        <v>43732</v>
      </c>
      <c r="B2339">
        <v>12748</v>
      </c>
      <c r="C2339" s="2" t="s">
        <v>40</v>
      </c>
      <c r="D2339" s="2" t="s">
        <v>41</v>
      </c>
      <c r="E2339" s="2" t="s">
        <v>33</v>
      </c>
      <c r="F2339">
        <v>4068</v>
      </c>
      <c r="G2339" s="2" t="s">
        <v>63</v>
      </c>
      <c r="H2339" s="2" t="s">
        <v>64</v>
      </c>
      <c r="I2339" s="2" t="s">
        <v>65</v>
      </c>
      <c r="J2339" s="2" t="s">
        <v>49</v>
      </c>
      <c r="K2339" s="2" t="s">
        <v>65</v>
      </c>
      <c r="L2339">
        <v>249.04</v>
      </c>
      <c r="M2339">
        <v>2</v>
      </c>
      <c r="N2339">
        <v>12.01</v>
      </c>
      <c r="O2339">
        <v>6100231</v>
      </c>
      <c r="P2339" s="2" t="s">
        <v>50</v>
      </c>
      <c r="Q2339" s="2" t="s">
        <v>51</v>
      </c>
      <c r="R2339" s="2" t="s">
        <v>30</v>
      </c>
      <c r="S2339">
        <v>5</v>
      </c>
      <c r="T2339" s="1">
        <v>43732</v>
      </c>
      <c r="U2339" s="1">
        <v>43739</v>
      </c>
      <c r="V2339" s="2"/>
      <c r="W2339" s="1">
        <f>fNotasFiscais[[#This Row],[Data da Coleta]]+fNotasFiscais[[#This Row],[Prazo Contratado]]</f>
        <v>43737</v>
      </c>
      <c r="X2339" s="3">
        <f>IF(fNotasFiscais[[#This Row],[Data da Entrega]]&gt;fNotasFiscais[[#This Row],[Data Contratada]],0,1)</f>
        <v>0</v>
      </c>
      <c r="Y2339" s="3">
        <f>IF(fNotasFiscais[[#This Row],[Ocorrência]]="",1,0)</f>
        <v>1</v>
      </c>
      <c r="Z2339" s="2">
        <f>fNotasFiscais[[#This Row],[On Time]]*fNotasFiscais[[#This Row],[In Full]]</f>
        <v>0</v>
      </c>
      <c r="AA2339">
        <f>IF(fNotasFiscais[[#This Row],[Nota Fiscal]]&lt;&gt;"",1,0)</f>
        <v>1</v>
      </c>
    </row>
    <row r="2340" spans="1:27" x14ac:dyDescent="0.25">
      <c r="A2340" s="1">
        <v>43732</v>
      </c>
      <c r="B2340">
        <v>12749</v>
      </c>
      <c r="C2340" s="2" t="s">
        <v>54</v>
      </c>
      <c r="D2340" s="2" t="s">
        <v>55</v>
      </c>
      <c r="E2340" s="2" t="s">
        <v>56</v>
      </c>
      <c r="F2340">
        <v>4013</v>
      </c>
      <c r="G2340" s="2" t="s">
        <v>37</v>
      </c>
      <c r="H2340" s="2" t="s">
        <v>38</v>
      </c>
      <c r="I2340" s="2" t="s">
        <v>39</v>
      </c>
      <c r="J2340" s="2" t="s">
        <v>28</v>
      </c>
      <c r="K2340" s="2" t="s">
        <v>39</v>
      </c>
      <c r="L2340">
        <v>1262.54</v>
      </c>
      <c r="M2340">
        <v>1</v>
      </c>
      <c r="N2340">
        <v>1.1200000000000001</v>
      </c>
      <c r="O2340">
        <v>6500948</v>
      </c>
      <c r="P2340" s="2" t="s">
        <v>29</v>
      </c>
      <c r="Q2340" s="2" t="s">
        <v>23</v>
      </c>
      <c r="R2340" s="2" t="s">
        <v>30</v>
      </c>
      <c r="S2340">
        <v>11</v>
      </c>
      <c r="T2340" s="1">
        <v>43732</v>
      </c>
      <c r="U2340" s="1">
        <v>43733</v>
      </c>
      <c r="V2340" s="2"/>
      <c r="W2340" s="1">
        <f>fNotasFiscais[[#This Row],[Data da Coleta]]+fNotasFiscais[[#This Row],[Prazo Contratado]]</f>
        <v>43743</v>
      </c>
      <c r="X2340" s="3">
        <f>IF(fNotasFiscais[[#This Row],[Data da Entrega]]&gt;fNotasFiscais[[#This Row],[Data Contratada]],0,1)</f>
        <v>1</v>
      </c>
      <c r="Y2340" s="3">
        <f>IF(fNotasFiscais[[#This Row],[Ocorrência]]="",1,0)</f>
        <v>1</v>
      </c>
      <c r="Z2340" s="2">
        <f>fNotasFiscais[[#This Row],[On Time]]*fNotasFiscais[[#This Row],[In Full]]</f>
        <v>1</v>
      </c>
      <c r="AA2340">
        <f>IF(fNotasFiscais[[#This Row],[Nota Fiscal]]&lt;&gt;"",1,0)</f>
        <v>1</v>
      </c>
    </row>
    <row r="2341" spans="1:27" x14ac:dyDescent="0.25">
      <c r="A2341" s="1">
        <v>43732</v>
      </c>
      <c r="B2341">
        <v>12750</v>
      </c>
      <c r="C2341" s="2" t="s">
        <v>43</v>
      </c>
      <c r="D2341" s="2" t="s">
        <v>44</v>
      </c>
      <c r="E2341" s="2" t="s">
        <v>45</v>
      </c>
      <c r="F2341">
        <v>4035</v>
      </c>
      <c r="G2341" s="2" t="s">
        <v>111</v>
      </c>
      <c r="H2341" s="2" t="s">
        <v>47</v>
      </c>
      <c r="I2341" s="2" t="s">
        <v>48</v>
      </c>
      <c r="J2341" s="2" t="s">
        <v>49</v>
      </c>
      <c r="K2341" s="2" t="s">
        <v>48</v>
      </c>
      <c r="L2341">
        <v>92.36</v>
      </c>
      <c r="M2341">
        <v>2</v>
      </c>
      <c r="N2341">
        <v>6.1150000000000002</v>
      </c>
      <c r="O2341">
        <v>6100231</v>
      </c>
      <c r="P2341" s="2" t="s">
        <v>50</v>
      </c>
      <c r="Q2341" s="2" t="s">
        <v>51</v>
      </c>
      <c r="R2341" s="2" t="s">
        <v>30</v>
      </c>
      <c r="S2341">
        <v>12</v>
      </c>
      <c r="T2341" s="1">
        <v>43732</v>
      </c>
      <c r="U2341" s="1">
        <v>43740</v>
      </c>
      <c r="V2341" s="2"/>
      <c r="W2341" s="1">
        <f>fNotasFiscais[[#This Row],[Data da Coleta]]+fNotasFiscais[[#This Row],[Prazo Contratado]]</f>
        <v>43744</v>
      </c>
      <c r="X2341" s="3">
        <f>IF(fNotasFiscais[[#This Row],[Data da Entrega]]&gt;fNotasFiscais[[#This Row],[Data Contratada]],0,1)</f>
        <v>1</v>
      </c>
      <c r="Y2341" s="3">
        <f>IF(fNotasFiscais[[#This Row],[Ocorrência]]="",1,0)</f>
        <v>1</v>
      </c>
      <c r="Z2341" s="2">
        <f>fNotasFiscais[[#This Row],[On Time]]*fNotasFiscais[[#This Row],[In Full]]</f>
        <v>1</v>
      </c>
      <c r="AA2341">
        <f>IF(fNotasFiscais[[#This Row],[Nota Fiscal]]&lt;&gt;"",1,0)</f>
        <v>1</v>
      </c>
    </row>
    <row r="2342" spans="1:27" x14ac:dyDescent="0.25">
      <c r="A2342" s="1">
        <v>43732</v>
      </c>
      <c r="B2342">
        <v>12751</v>
      </c>
      <c r="C2342" s="2" t="s">
        <v>52</v>
      </c>
      <c r="D2342" s="2" t="s">
        <v>53</v>
      </c>
      <c r="E2342" s="2" t="s">
        <v>33</v>
      </c>
      <c r="F2342">
        <v>4035</v>
      </c>
      <c r="G2342" s="2" t="s">
        <v>111</v>
      </c>
      <c r="H2342" s="2" t="s">
        <v>47</v>
      </c>
      <c r="I2342" s="2" t="s">
        <v>48</v>
      </c>
      <c r="J2342" s="2" t="s">
        <v>49</v>
      </c>
      <c r="K2342" s="2" t="s">
        <v>48</v>
      </c>
      <c r="L2342">
        <v>755.83</v>
      </c>
      <c r="M2342">
        <v>1</v>
      </c>
      <c r="N2342">
        <v>1.1200000000000001</v>
      </c>
      <c r="O2342">
        <v>6100231</v>
      </c>
      <c r="P2342" s="2" t="s">
        <v>50</v>
      </c>
      <c r="Q2342" s="2" t="s">
        <v>51</v>
      </c>
      <c r="R2342" s="2" t="s">
        <v>30</v>
      </c>
      <c r="S2342">
        <v>12</v>
      </c>
      <c r="T2342" s="1">
        <v>43732</v>
      </c>
      <c r="U2342" s="1">
        <v>43737</v>
      </c>
      <c r="V2342" s="2"/>
      <c r="W2342" s="1">
        <f>fNotasFiscais[[#This Row],[Data da Coleta]]+fNotasFiscais[[#This Row],[Prazo Contratado]]</f>
        <v>43744</v>
      </c>
      <c r="X2342" s="3">
        <f>IF(fNotasFiscais[[#This Row],[Data da Entrega]]&gt;fNotasFiscais[[#This Row],[Data Contratada]],0,1)</f>
        <v>1</v>
      </c>
      <c r="Y2342" s="3">
        <f>IF(fNotasFiscais[[#This Row],[Ocorrência]]="",1,0)</f>
        <v>1</v>
      </c>
      <c r="Z2342" s="2">
        <f>fNotasFiscais[[#This Row],[On Time]]*fNotasFiscais[[#This Row],[In Full]]</f>
        <v>1</v>
      </c>
      <c r="AA2342">
        <f>IF(fNotasFiscais[[#This Row],[Nota Fiscal]]&lt;&gt;"",1,0)</f>
        <v>1</v>
      </c>
    </row>
    <row r="2343" spans="1:27" x14ac:dyDescent="0.25">
      <c r="A2343" s="1">
        <v>43732</v>
      </c>
      <c r="B2343">
        <v>12752</v>
      </c>
      <c r="C2343" s="2" t="s">
        <v>54</v>
      </c>
      <c r="D2343" s="2" t="s">
        <v>55</v>
      </c>
      <c r="E2343" s="2" t="s">
        <v>56</v>
      </c>
      <c r="F2343">
        <v>4032</v>
      </c>
      <c r="G2343" s="2" t="s">
        <v>108</v>
      </c>
      <c r="H2343" s="2" t="s">
        <v>51</v>
      </c>
      <c r="I2343" s="2" t="s">
        <v>73</v>
      </c>
      <c r="J2343" s="2" t="s">
        <v>49</v>
      </c>
      <c r="K2343" s="2" t="s">
        <v>73</v>
      </c>
      <c r="L2343">
        <v>1455.06</v>
      </c>
      <c r="M2343">
        <v>1</v>
      </c>
      <c r="N2343">
        <v>1.1200000000000001</v>
      </c>
      <c r="O2343">
        <v>6100231</v>
      </c>
      <c r="P2343" s="2" t="s">
        <v>50</v>
      </c>
      <c r="Q2343" s="2" t="s">
        <v>51</v>
      </c>
      <c r="R2343" s="2" t="s">
        <v>30</v>
      </c>
      <c r="S2343">
        <v>6</v>
      </c>
      <c r="T2343" s="1">
        <v>43732</v>
      </c>
      <c r="U2343" s="1">
        <v>43737</v>
      </c>
      <c r="V2343" s="2" t="s">
        <v>57</v>
      </c>
      <c r="W2343" s="1">
        <f>fNotasFiscais[[#This Row],[Data da Coleta]]+fNotasFiscais[[#This Row],[Prazo Contratado]]</f>
        <v>43738</v>
      </c>
      <c r="X2343" s="3">
        <f>IF(fNotasFiscais[[#This Row],[Data da Entrega]]&gt;fNotasFiscais[[#This Row],[Data Contratada]],0,1)</f>
        <v>1</v>
      </c>
      <c r="Y2343" s="3">
        <f>IF(fNotasFiscais[[#This Row],[Ocorrência]]="",1,0)</f>
        <v>0</v>
      </c>
      <c r="Z2343" s="2">
        <f>fNotasFiscais[[#This Row],[On Time]]*fNotasFiscais[[#This Row],[In Full]]</f>
        <v>0</v>
      </c>
      <c r="AA2343">
        <f>IF(fNotasFiscais[[#This Row],[Nota Fiscal]]&lt;&gt;"",1,0)</f>
        <v>1</v>
      </c>
    </row>
    <row r="2344" spans="1:27" x14ac:dyDescent="0.25">
      <c r="A2344" s="1">
        <v>43732</v>
      </c>
      <c r="B2344">
        <v>12753</v>
      </c>
      <c r="C2344" s="2" t="s">
        <v>54</v>
      </c>
      <c r="D2344" s="2" t="s">
        <v>55</v>
      </c>
      <c r="E2344" s="2" t="s">
        <v>56</v>
      </c>
      <c r="F2344">
        <v>4035</v>
      </c>
      <c r="G2344" s="2" t="s">
        <v>111</v>
      </c>
      <c r="H2344" s="2" t="s">
        <v>47</v>
      </c>
      <c r="I2344" s="2" t="s">
        <v>48</v>
      </c>
      <c r="J2344" s="2" t="s">
        <v>49</v>
      </c>
      <c r="K2344" s="2" t="s">
        <v>48</v>
      </c>
      <c r="L2344">
        <v>319.33</v>
      </c>
      <c r="M2344">
        <v>1</v>
      </c>
      <c r="N2344">
        <v>2.7050000000000001</v>
      </c>
      <c r="O2344">
        <v>6100231</v>
      </c>
      <c r="P2344" s="2" t="s">
        <v>50</v>
      </c>
      <c r="Q2344" s="2" t="s">
        <v>51</v>
      </c>
      <c r="R2344" s="2" t="s">
        <v>30</v>
      </c>
      <c r="S2344">
        <v>7</v>
      </c>
      <c r="T2344" s="1">
        <v>43732</v>
      </c>
      <c r="U2344" s="1">
        <v>43738</v>
      </c>
      <c r="V2344" s="2"/>
      <c r="W2344" s="1">
        <f>fNotasFiscais[[#This Row],[Data da Coleta]]+fNotasFiscais[[#This Row],[Prazo Contratado]]</f>
        <v>43739</v>
      </c>
      <c r="X2344" s="3">
        <f>IF(fNotasFiscais[[#This Row],[Data da Entrega]]&gt;fNotasFiscais[[#This Row],[Data Contratada]],0,1)</f>
        <v>1</v>
      </c>
      <c r="Y2344" s="3">
        <f>IF(fNotasFiscais[[#This Row],[Ocorrência]]="",1,0)</f>
        <v>1</v>
      </c>
      <c r="Z2344" s="2">
        <f>fNotasFiscais[[#This Row],[On Time]]*fNotasFiscais[[#This Row],[In Full]]</f>
        <v>1</v>
      </c>
      <c r="AA2344">
        <f>IF(fNotasFiscais[[#This Row],[Nota Fiscal]]&lt;&gt;"",1,0)</f>
        <v>1</v>
      </c>
    </row>
    <row r="2345" spans="1:27" x14ac:dyDescent="0.25">
      <c r="A2345" s="1">
        <v>43733</v>
      </c>
      <c r="B2345">
        <v>12754</v>
      </c>
      <c r="C2345" s="2" t="s">
        <v>52</v>
      </c>
      <c r="D2345" s="2" t="s">
        <v>53</v>
      </c>
      <c r="E2345" s="2" t="s">
        <v>33</v>
      </c>
      <c r="F2345">
        <v>4033</v>
      </c>
      <c r="G2345" s="2" t="s">
        <v>109</v>
      </c>
      <c r="H2345" s="2" t="s">
        <v>51</v>
      </c>
      <c r="I2345" s="2" t="s">
        <v>73</v>
      </c>
      <c r="J2345" s="2" t="s">
        <v>49</v>
      </c>
      <c r="K2345" s="2" t="s">
        <v>73</v>
      </c>
      <c r="L2345">
        <v>789.47</v>
      </c>
      <c r="M2345">
        <v>1</v>
      </c>
      <c r="N2345">
        <v>1.1200000000000001</v>
      </c>
      <c r="O2345">
        <v>6100231</v>
      </c>
      <c r="P2345" s="2" t="s">
        <v>50</v>
      </c>
      <c r="Q2345" s="2" t="s">
        <v>51</v>
      </c>
      <c r="R2345" s="2" t="s">
        <v>30</v>
      </c>
      <c r="S2345">
        <v>10</v>
      </c>
      <c r="T2345" s="1">
        <v>43733</v>
      </c>
      <c r="U2345" s="1">
        <v>43741</v>
      </c>
      <c r="V2345" s="2" t="s">
        <v>57</v>
      </c>
      <c r="W2345" s="1">
        <f>fNotasFiscais[[#This Row],[Data da Coleta]]+fNotasFiscais[[#This Row],[Prazo Contratado]]</f>
        <v>43743</v>
      </c>
      <c r="X2345" s="3">
        <f>IF(fNotasFiscais[[#This Row],[Data da Entrega]]&gt;fNotasFiscais[[#This Row],[Data Contratada]],0,1)</f>
        <v>1</v>
      </c>
      <c r="Y2345" s="3">
        <f>IF(fNotasFiscais[[#This Row],[Ocorrência]]="",1,0)</f>
        <v>0</v>
      </c>
      <c r="Z2345" s="2">
        <f>fNotasFiscais[[#This Row],[On Time]]*fNotasFiscais[[#This Row],[In Full]]</f>
        <v>0</v>
      </c>
      <c r="AA2345">
        <f>IF(fNotasFiscais[[#This Row],[Nota Fiscal]]&lt;&gt;"",1,0)</f>
        <v>1</v>
      </c>
    </row>
    <row r="2346" spans="1:27" x14ac:dyDescent="0.25">
      <c r="A2346" s="1">
        <v>43733</v>
      </c>
      <c r="B2346">
        <v>12755</v>
      </c>
      <c r="C2346" s="2" t="s">
        <v>22</v>
      </c>
      <c r="D2346" s="2" t="s">
        <v>23</v>
      </c>
      <c r="E2346" s="2" t="s">
        <v>24</v>
      </c>
      <c r="F2346">
        <v>4166</v>
      </c>
      <c r="G2346" s="2" t="s">
        <v>249</v>
      </c>
      <c r="H2346" s="2" t="s">
        <v>173</v>
      </c>
      <c r="I2346" s="2" t="s">
        <v>174</v>
      </c>
      <c r="J2346" s="2" t="s">
        <v>175</v>
      </c>
      <c r="K2346" s="2" t="s">
        <v>174</v>
      </c>
      <c r="L2346">
        <v>396.58</v>
      </c>
      <c r="M2346">
        <v>1</v>
      </c>
      <c r="N2346">
        <v>13.42</v>
      </c>
      <c r="O2346">
        <v>6700091</v>
      </c>
      <c r="P2346" s="2" t="s">
        <v>176</v>
      </c>
      <c r="Q2346" s="2" t="s">
        <v>173</v>
      </c>
      <c r="R2346" s="2" t="s">
        <v>30</v>
      </c>
      <c r="S2346">
        <v>3</v>
      </c>
      <c r="T2346" s="1">
        <v>43733</v>
      </c>
      <c r="U2346" s="1">
        <v>43739</v>
      </c>
      <c r="V2346" s="2"/>
      <c r="W2346" s="1">
        <f>fNotasFiscais[[#This Row],[Data da Coleta]]+fNotasFiscais[[#This Row],[Prazo Contratado]]</f>
        <v>43736</v>
      </c>
      <c r="X2346" s="3">
        <f>IF(fNotasFiscais[[#This Row],[Data da Entrega]]&gt;fNotasFiscais[[#This Row],[Data Contratada]],0,1)</f>
        <v>0</v>
      </c>
      <c r="Y2346" s="3">
        <f>IF(fNotasFiscais[[#This Row],[Ocorrência]]="",1,0)</f>
        <v>1</v>
      </c>
      <c r="Z2346" s="2">
        <f>fNotasFiscais[[#This Row],[On Time]]*fNotasFiscais[[#This Row],[In Full]]</f>
        <v>0</v>
      </c>
      <c r="AA2346">
        <f>IF(fNotasFiscais[[#This Row],[Nota Fiscal]]&lt;&gt;"",1,0)</f>
        <v>1</v>
      </c>
    </row>
    <row r="2347" spans="1:27" x14ac:dyDescent="0.25">
      <c r="A2347" s="1">
        <v>43733</v>
      </c>
      <c r="B2347">
        <v>12756</v>
      </c>
      <c r="C2347" s="2" t="s">
        <v>31</v>
      </c>
      <c r="D2347" s="2" t="s">
        <v>32</v>
      </c>
      <c r="E2347" s="2" t="s">
        <v>33</v>
      </c>
      <c r="F2347">
        <v>4252</v>
      </c>
      <c r="G2347" s="2" t="s">
        <v>335</v>
      </c>
      <c r="H2347" s="2" t="s">
        <v>32</v>
      </c>
      <c r="I2347" s="2" t="s">
        <v>33</v>
      </c>
      <c r="J2347" s="2" t="s">
        <v>60</v>
      </c>
      <c r="K2347" s="2" t="s">
        <v>33</v>
      </c>
      <c r="L2347">
        <v>22852.560000000001</v>
      </c>
      <c r="M2347">
        <v>6</v>
      </c>
      <c r="N2347">
        <v>122.66800000000001</v>
      </c>
      <c r="O2347">
        <v>6400835</v>
      </c>
      <c r="P2347" s="2" t="s">
        <v>130</v>
      </c>
      <c r="Q2347" s="2" t="s">
        <v>131</v>
      </c>
      <c r="R2347" s="2" t="s">
        <v>30</v>
      </c>
      <c r="S2347">
        <v>12</v>
      </c>
      <c r="T2347" s="1">
        <v>43733</v>
      </c>
      <c r="U2347" s="1">
        <v>43738</v>
      </c>
      <c r="V2347" s="2" t="s">
        <v>57</v>
      </c>
      <c r="W2347" s="1">
        <f>fNotasFiscais[[#This Row],[Data da Coleta]]+fNotasFiscais[[#This Row],[Prazo Contratado]]</f>
        <v>43745</v>
      </c>
      <c r="X2347" s="3">
        <f>IF(fNotasFiscais[[#This Row],[Data da Entrega]]&gt;fNotasFiscais[[#This Row],[Data Contratada]],0,1)</f>
        <v>1</v>
      </c>
      <c r="Y2347" s="3">
        <f>IF(fNotasFiscais[[#This Row],[Ocorrência]]="",1,0)</f>
        <v>0</v>
      </c>
      <c r="Z2347" s="2">
        <f>fNotasFiscais[[#This Row],[On Time]]*fNotasFiscais[[#This Row],[In Full]]</f>
        <v>0</v>
      </c>
      <c r="AA2347">
        <f>IF(fNotasFiscais[[#This Row],[Nota Fiscal]]&lt;&gt;"",1,0)</f>
        <v>1</v>
      </c>
    </row>
    <row r="2348" spans="1:27" x14ac:dyDescent="0.25">
      <c r="A2348" s="1">
        <v>43733</v>
      </c>
      <c r="B2348">
        <v>12757</v>
      </c>
      <c r="C2348" s="2" t="s">
        <v>52</v>
      </c>
      <c r="D2348" s="2" t="s">
        <v>53</v>
      </c>
      <c r="E2348" s="2" t="s">
        <v>33</v>
      </c>
      <c r="F2348">
        <v>4191</v>
      </c>
      <c r="G2348" s="2" t="s">
        <v>274</v>
      </c>
      <c r="H2348" s="2" t="s">
        <v>173</v>
      </c>
      <c r="I2348" s="2" t="s">
        <v>174</v>
      </c>
      <c r="J2348" s="2" t="s">
        <v>175</v>
      </c>
      <c r="K2348" s="2" t="s">
        <v>174</v>
      </c>
      <c r="L2348">
        <v>1959.07</v>
      </c>
      <c r="M2348">
        <v>1</v>
      </c>
      <c r="N2348">
        <v>1.1200000000000001</v>
      </c>
      <c r="O2348">
        <v>6700091</v>
      </c>
      <c r="P2348" s="2" t="s">
        <v>176</v>
      </c>
      <c r="Q2348" s="2" t="s">
        <v>173</v>
      </c>
      <c r="R2348" s="2" t="s">
        <v>30</v>
      </c>
      <c r="S2348">
        <v>12</v>
      </c>
      <c r="T2348" s="1">
        <v>43733</v>
      </c>
      <c r="U2348" s="1">
        <v>43740</v>
      </c>
      <c r="V2348" s="2"/>
      <c r="W2348" s="1">
        <f>fNotasFiscais[[#This Row],[Data da Coleta]]+fNotasFiscais[[#This Row],[Prazo Contratado]]</f>
        <v>43745</v>
      </c>
      <c r="X2348" s="3">
        <f>IF(fNotasFiscais[[#This Row],[Data da Entrega]]&gt;fNotasFiscais[[#This Row],[Data Contratada]],0,1)</f>
        <v>1</v>
      </c>
      <c r="Y2348" s="3">
        <f>IF(fNotasFiscais[[#This Row],[Ocorrência]]="",1,0)</f>
        <v>1</v>
      </c>
      <c r="Z2348" s="2">
        <f>fNotasFiscais[[#This Row],[On Time]]*fNotasFiscais[[#This Row],[In Full]]</f>
        <v>1</v>
      </c>
      <c r="AA2348">
        <f>IF(fNotasFiscais[[#This Row],[Nota Fiscal]]&lt;&gt;"",1,0)</f>
        <v>1</v>
      </c>
    </row>
    <row r="2349" spans="1:27" x14ac:dyDescent="0.25">
      <c r="A2349" s="1">
        <v>43733</v>
      </c>
      <c r="B2349">
        <v>12758</v>
      </c>
      <c r="C2349" s="2" t="s">
        <v>31</v>
      </c>
      <c r="D2349" s="2" t="s">
        <v>32</v>
      </c>
      <c r="E2349" s="2" t="s">
        <v>33</v>
      </c>
      <c r="F2349">
        <v>4128</v>
      </c>
      <c r="G2349" s="2" t="s">
        <v>211</v>
      </c>
      <c r="H2349" s="2" t="s">
        <v>167</v>
      </c>
      <c r="I2349" s="2" t="s">
        <v>168</v>
      </c>
      <c r="J2349" s="2" t="s">
        <v>169</v>
      </c>
      <c r="K2349" s="2" t="s">
        <v>168</v>
      </c>
      <c r="L2349">
        <v>5983.65</v>
      </c>
      <c r="M2349">
        <v>5</v>
      </c>
      <c r="N2349">
        <v>28.459</v>
      </c>
      <c r="O2349">
        <v>6900304</v>
      </c>
      <c r="P2349" s="2" t="s">
        <v>170</v>
      </c>
      <c r="Q2349" s="2" t="s">
        <v>171</v>
      </c>
      <c r="R2349" s="2" t="s">
        <v>30</v>
      </c>
      <c r="S2349">
        <v>10</v>
      </c>
      <c r="T2349" s="1">
        <v>43733</v>
      </c>
      <c r="U2349" s="1">
        <v>43737</v>
      </c>
      <c r="V2349" s="2"/>
      <c r="W2349" s="1">
        <f>fNotasFiscais[[#This Row],[Data da Coleta]]+fNotasFiscais[[#This Row],[Prazo Contratado]]</f>
        <v>43743</v>
      </c>
      <c r="X2349" s="3">
        <f>IF(fNotasFiscais[[#This Row],[Data da Entrega]]&gt;fNotasFiscais[[#This Row],[Data Contratada]],0,1)</f>
        <v>1</v>
      </c>
      <c r="Y2349" s="3">
        <f>IF(fNotasFiscais[[#This Row],[Ocorrência]]="",1,0)</f>
        <v>1</v>
      </c>
      <c r="Z2349" s="2">
        <f>fNotasFiscais[[#This Row],[On Time]]*fNotasFiscais[[#This Row],[In Full]]</f>
        <v>1</v>
      </c>
      <c r="AA2349">
        <f>IF(fNotasFiscais[[#This Row],[Nota Fiscal]]&lt;&gt;"",1,0)</f>
        <v>1</v>
      </c>
    </row>
    <row r="2350" spans="1:27" x14ac:dyDescent="0.25">
      <c r="A2350" s="1">
        <v>43734</v>
      </c>
      <c r="B2350">
        <v>12759</v>
      </c>
      <c r="C2350" s="2" t="s">
        <v>40</v>
      </c>
      <c r="D2350" s="2" t="s">
        <v>41</v>
      </c>
      <c r="E2350" s="2" t="s">
        <v>33</v>
      </c>
      <c r="F2350">
        <v>4157</v>
      </c>
      <c r="G2350" s="2" t="s">
        <v>240</v>
      </c>
      <c r="H2350" s="2" t="s">
        <v>35</v>
      </c>
      <c r="I2350" s="2" t="s">
        <v>36</v>
      </c>
      <c r="J2350" s="2" t="s">
        <v>60</v>
      </c>
      <c r="K2350" s="2" t="s">
        <v>36</v>
      </c>
      <c r="L2350">
        <v>1832.05</v>
      </c>
      <c r="M2350">
        <v>1</v>
      </c>
      <c r="N2350">
        <v>1.1200000000000001</v>
      </c>
      <c r="O2350">
        <v>6600879</v>
      </c>
      <c r="P2350" s="2" t="s">
        <v>61</v>
      </c>
      <c r="Q2350" s="2" t="s">
        <v>35</v>
      </c>
      <c r="R2350" s="2" t="s">
        <v>30</v>
      </c>
      <c r="S2350">
        <v>2</v>
      </c>
      <c r="T2350" s="1">
        <v>43734</v>
      </c>
      <c r="U2350" s="1">
        <v>43742</v>
      </c>
      <c r="V2350" s="2"/>
      <c r="W2350" s="1">
        <f>fNotasFiscais[[#This Row],[Data da Coleta]]+fNotasFiscais[[#This Row],[Prazo Contratado]]</f>
        <v>43736</v>
      </c>
      <c r="X2350" s="3">
        <f>IF(fNotasFiscais[[#This Row],[Data da Entrega]]&gt;fNotasFiscais[[#This Row],[Data Contratada]],0,1)</f>
        <v>0</v>
      </c>
      <c r="Y2350" s="3">
        <f>IF(fNotasFiscais[[#This Row],[Ocorrência]]="",1,0)</f>
        <v>1</v>
      </c>
      <c r="Z2350" s="2">
        <f>fNotasFiscais[[#This Row],[On Time]]*fNotasFiscais[[#This Row],[In Full]]</f>
        <v>0</v>
      </c>
      <c r="AA2350">
        <f>IF(fNotasFiscais[[#This Row],[Nota Fiscal]]&lt;&gt;"",1,0)</f>
        <v>1</v>
      </c>
    </row>
    <row r="2351" spans="1:27" x14ac:dyDescent="0.25">
      <c r="A2351" s="1">
        <v>43734</v>
      </c>
      <c r="B2351">
        <v>12760</v>
      </c>
      <c r="C2351" s="2" t="s">
        <v>40</v>
      </c>
      <c r="D2351" s="2" t="s">
        <v>41</v>
      </c>
      <c r="E2351" s="2" t="s">
        <v>33</v>
      </c>
      <c r="F2351">
        <v>4154</v>
      </c>
      <c r="G2351" s="2" t="s">
        <v>237</v>
      </c>
      <c r="H2351" s="2" t="s">
        <v>167</v>
      </c>
      <c r="I2351" s="2" t="s">
        <v>168</v>
      </c>
      <c r="J2351" s="2" t="s">
        <v>169</v>
      </c>
      <c r="K2351" s="2" t="s">
        <v>168</v>
      </c>
      <c r="L2351">
        <v>896.13</v>
      </c>
      <c r="M2351">
        <v>1</v>
      </c>
      <c r="N2351">
        <v>7.5270000000000001</v>
      </c>
      <c r="O2351">
        <v>6900304</v>
      </c>
      <c r="P2351" s="2" t="s">
        <v>170</v>
      </c>
      <c r="Q2351" s="2" t="s">
        <v>171</v>
      </c>
      <c r="R2351" s="2" t="s">
        <v>30</v>
      </c>
      <c r="S2351">
        <v>2</v>
      </c>
      <c r="T2351" s="1">
        <v>43734</v>
      </c>
      <c r="U2351" s="1">
        <v>43736</v>
      </c>
      <c r="V2351" s="2" t="s">
        <v>57</v>
      </c>
      <c r="W2351" s="1">
        <f>fNotasFiscais[[#This Row],[Data da Coleta]]+fNotasFiscais[[#This Row],[Prazo Contratado]]</f>
        <v>43736</v>
      </c>
      <c r="X2351" s="3">
        <f>IF(fNotasFiscais[[#This Row],[Data da Entrega]]&gt;fNotasFiscais[[#This Row],[Data Contratada]],0,1)</f>
        <v>1</v>
      </c>
      <c r="Y2351" s="3">
        <f>IF(fNotasFiscais[[#This Row],[Ocorrência]]="",1,0)</f>
        <v>0</v>
      </c>
      <c r="Z2351" s="2">
        <f>fNotasFiscais[[#This Row],[On Time]]*fNotasFiscais[[#This Row],[In Full]]</f>
        <v>0</v>
      </c>
      <c r="AA2351">
        <f>IF(fNotasFiscais[[#This Row],[Nota Fiscal]]&lt;&gt;"",1,0)</f>
        <v>1</v>
      </c>
    </row>
    <row r="2352" spans="1:27" x14ac:dyDescent="0.25">
      <c r="A2352" s="1">
        <v>43734</v>
      </c>
      <c r="B2352">
        <v>12761</v>
      </c>
      <c r="C2352" s="2" t="s">
        <v>31</v>
      </c>
      <c r="D2352" s="2" t="s">
        <v>32</v>
      </c>
      <c r="E2352" s="2" t="s">
        <v>33</v>
      </c>
      <c r="F2352">
        <v>4196</v>
      </c>
      <c r="G2352" s="2" t="s">
        <v>279</v>
      </c>
      <c r="H2352" s="2" t="s">
        <v>173</v>
      </c>
      <c r="I2352" s="2" t="s">
        <v>174</v>
      </c>
      <c r="J2352" s="2" t="s">
        <v>175</v>
      </c>
      <c r="K2352" s="2" t="s">
        <v>174</v>
      </c>
      <c r="L2352">
        <v>1574.68</v>
      </c>
      <c r="M2352">
        <v>1</v>
      </c>
      <c r="N2352">
        <v>16.5</v>
      </c>
      <c r="O2352">
        <v>6700091</v>
      </c>
      <c r="P2352" s="2" t="s">
        <v>176</v>
      </c>
      <c r="Q2352" s="2" t="s">
        <v>173</v>
      </c>
      <c r="R2352" s="2" t="s">
        <v>30</v>
      </c>
      <c r="S2352">
        <v>4</v>
      </c>
      <c r="T2352" s="1">
        <v>43734</v>
      </c>
      <c r="U2352" s="1">
        <v>43737</v>
      </c>
      <c r="V2352" s="2"/>
      <c r="W2352" s="1">
        <f>fNotasFiscais[[#This Row],[Data da Coleta]]+fNotasFiscais[[#This Row],[Prazo Contratado]]</f>
        <v>43738</v>
      </c>
      <c r="X2352" s="3">
        <f>IF(fNotasFiscais[[#This Row],[Data da Entrega]]&gt;fNotasFiscais[[#This Row],[Data Contratada]],0,1)</f>
        <v>1</v>
      </c>
      <c r="Y2352" s="3">
        <f>IF(fNotasFiscais[[#This Row],[Ocorrência]]="",1,0)</f>
        <v>1</v>
      </c>
      <c r="Z2352" s="2">
        <f>fNotasFiscais[[#This Row],[On Time]]*fNotasFiscais[[#This Row],[In Full]]</f>
        <v>1</v>
      </c>
      <c r="AA2352">
        <f>IF(fNotasFiscais[[#This Row],[Nota Fiscal]]&lt;&gt;"",1,0)</f>
        <v>1</v>
      </c>
    </row>
    <row r="2353" spans="1:27" x14ac:dyDescent="0.25">
      <c r="A2353" s="1">
        <v>43734</v>
      </c>
      <c r="B2353">
        <v>12762</v>
      </c>
      <c r="C2353" s="2" t="s">
        <v>40</v>
      </c>
      <c r="D2353" s="2" t="s">
        <v>41</v>
      </c>
      <c r="E2353" s="2" t="s">
        <v>33</v>
      </c>
      <c r="F2353">
        <v>4162</v>
      </c>
      <c r="G2353" s="2" t="s">
        <v>245</v>
      </c>
      <c r="H2353" s="2" t="s">
        <v>167</v>
      </c>
      <c r="I2353" s="2" t="s">
        <v>168</v>
      </c>
      <c r="J2353" s="2" t="s">
        <v>169</v>
      </c>
      <c r="K2353" s="2" t="s">
        <v>168</v>
      </c>
      <c r="L2353">
        <v>1080.8900000000001</v>
      </c>
      <c r="M2353">
        <v>2</v>
      </c>
      <c r="N2353">
        <v>14.74</v>
      </c>
      <c r="O2353">
        <v>6900304</v>
      </c>
      <c r="P2353" s="2" t="s">
        <v>170</v>
      </c>
      <c r="Q2353" s="2" t="s">
        <v>171</v>
      </c>
      <c r="R2353" s="2" t="s">
        <v>30</v>
      </c>
      <c r="S2353">
        <v>11</v>
      </c>
      <c r="T2353" s="1">
        <v>43734</v>
      </c>
      <c r="U2353" s="1">
        <v>43740</v>
      </c>
      <c r="V2353" s="2"/>
      <c r="W2353" s="1">
        <f>fNotasFiscais[[#This Row],[Data da Coleta]]+fNotasFiscais[[#This Row],[Prazo Contratado]]</f>
        <v>43745</v>
      </c>
      <c r="X2353" s="3">
        <f>IF(fNotasFiscais[[#This Row],[Data da Entrega]]&gt;fNotasFiscais[[#This Row],[Data Contratada]],0,1)</f>
        <v>1</v>
      </c>
      <c r="Y2353" s="3">
        <f>IF(fNotasFiscais[[#This Row],[Ocorrência]]="",1,0)</f>
        <v>1</v>
      </c>
      <c r="Z2353" s="2">
        <f>fNotasFiscais[[#This Row],[On Time]]*fNotasFiscais[[#This Row],[In Full]]</f>
        <v>1</v>
      </c>
      <c r="AA2353">
        <f>IF(fNotasFiscais[[#This Row],[Nota Fiscal]]&lt;&gt;"",1,0)</f>
        <v>1</v>
      </c>
    </row>
    <row r="2354" spans="1:27" x14ac:dyDescent="0.25">
      <c r="A2354" s="1">
        <v>43734</v>
      </c>
      <c r="B2354">
        <v>12763</v>
      </c>
      <c r="C2354" s="2" t="s">
        <v>34</v>
      </c>
      <c r="D2354" s="2" t="s">
        <v>35</v>
      </c>
      <c r="E2354" s="2" t="s">
        <v>36</v>
      </c>
      <c r="F2354">
        <v>4134</v>
      </c>
      <c r="G2354" s="2" t="s">
        <v>217</v>
      </c>
      <c r="H2354" s="2" t="s">
        <v>165</v>
      </c>
      <c r="I2354" s="2" t="s">
        <v>24</v>
      </c>
      <c r="J2354" s="2" t="s">
        <v>28</v>
      </c>
      <c r="K2354" s="2" t="s">
        <v>24</v>
      </c>
      <c r="L2354">
        <v>71.98</v>
      </c>
      <c r="M2354">
        <v>1</v>
      </c>
      <c r="N2354">
        <v>1.3089999999999999</v>
      </c>
      <c r="O2354">
        <v>6500948</v>
      </c>
      <c r="P2354" s="2" t="s">
        <v>29</v>
      </c>
      <c r="Q2354" s="2" t="s">
        <v>23</v>
      </c>
      <c r="R2354" s="2" t="s">
        <v>30</v>
      </c>
      <c r="S2354">
        <v>5</v>
      </c>
      <c r="T2354" s="1">
        <v>43734</v>
      </c>
      <c r="U2354" s="1">
        <v>43743</v>
      </c>
      <c r="V2354" s="2"/>
      <c r="W2354" s="1">
        <f>fNotasFiscais[[#This Row],[Data da Coleta]]+fNotasFiscais[[#This Row],[Prazo Contratado]]</f>
        <v>43739</v>
      </c>
      <c r="X2354" s="3">
        <f>IF(fNotasFiscais[[#This Row],[Data da Entrega]]&gt;fNotasFiscais[[#This Row],[Data Contratada]],0,1)</f>
        <v>0</v>
      </c>
      <c r="Y2354" s="3">
        <f>IF(fNotasFiscais[[#This Row],[Ocorrência]]="",1,0)</f>
        <v>1</v>
      </c>
      <c r="Z2354" s="2">
        <f>fNotasFiscais[[#This Row],[On Time]]*fNotasFiscais[[#This Row],[In Full]]</f>
        <v>0</v>
      </c>
      <c r="AA2354">
        <f>IF(fNotasFiscais[[#This Row],[Nota Fiscal]]&lt;&gt;"",1,0)</f>
        <v>1</v>
      </c>
    </row>
    <row r="2355" spans="1:27" x14ac:dyDescent="0.25">
      <c r="A2355" s="1">
        <v>43734</v>
      </c>
      <c r="B2355">
        <v>12764</v>
      </c>
      <c r="C2355" s="2" t="s">
        <v>22</v>
      </c>
      <c r="D2355" s="2" t="s">
        <v>23</v>
      </c>
      <c r="E2355" s="2" t="s">
        <v>24</v>
      </c>
      <c r="F2355">
        <v>4013</v>
      </c>
      <c r="G2355" s="2" t="s">
        <v>37</v>
      </c>
      <c r="H2355" s="2" t="s">
        <v>38</v>
      </c>
      <c r="I2355" s="2" t="s">
        <v>39</v>
      </c>
      <c r="J2355" s="2" t="s">
        <v>28</v>
      </c>
      <c r="K2355" s="2" t="s">
        <v>39</v>
      </c>
      <c r="L2355">
        <v>694.87</v>
      </c>
      <c r="M2355">
        <v>1</v>
      </c>
      <c r="N2355">
        <v>0.11</v>
      </c>
      <c r="O2355">
        <v>6500948</v>
      </c>
      <c r="P2355" s="2" t="s">
        <v>29</v>
      </c>
      <c r="Q2355" s="2" t="s">
        <v>23</v>
      </c>
      <c r="R2355" s="2" t="s">
        <v>30</v>
      </c>
      <c r="S2355">
        <v>2</v>
      </c>
      <c r="T2355" s="1">
        <v>43734</v>
      </c>
      <c r="U2355" s="1">
        <v>43743</v>
      </c>
      <c r="V2355" s="2"/>
      <c r="W2355" s="1">
        <f>fNotasFiscais[[#This Row],[Data da Coleta]]+fNotasFiscais[[#This Row],[Prazo Contratado]]</f>
        <v>43736</v>
      </c>
      <c r="X2355" s="3">
        <f>IF(fNotasFiscais[[#This Row],[Data da Entrega]]&gt;fNotasFiscais[[#This Row],[Data Contratada]],0,1)</f>
        <v>0</v>
      </c>
      <c r="Y2355" s="3">
        <f>IF(fNotasFiscais[[#This Row],[Ocorrência]]="",1,0)</f>
        <v>1</v>
      </c>
      <c r="Z2355" s="2">
        <f>fNotasFiscais[[#This Row],[On Time]]*fNotasFiscais[[#This Row],[In Full]]</f>
        <v>0</v>
      </c>
      <c r="AA2355">
        <f>IF(fNotasFiscais[[#This Row],[Nota Fiscal]]&lt;&gt;"",1,0)</f>
        <v>1</v>
      </c>
    </row>
    <row r="2356" spans="1:27" x14ac:dyDescent="0.25">
      <c r="A2356" s="1">
        <v>43734</v>
      </c>
      <c r="B2356">
        <v>12765</v>
      </c>
      <c r="C2356" s="2" t="s">
        <v>31</v>
      </c>
      <c r="D2356" s="2" t="s">
        <v>32</v>
      </c>
      <c r="E2356" s="2" t="s">
        <v>33</v>
      </c>
      <c r="F2356">
        <v>4013</v>
      </c>
      <c r="G2356" s="2" t="s">
        <v>37</v>
      </c>
      <c r="H2356" s="2" t="s">
        <v>38</v>
      </c>
      <c r="I2356" s="2" t="s">
        <v>39</v>
      </c>
      <c r="J2356" s="2" t="s">
        <v>28</v>
      </c>
      <c r="K2356" s="2" t="s">
        <v>39</v>
      </c>
      <c r="L2356">
        <v>1423.85</v>
      </c>
      <c r="M2356">
        <v>1</v>
      </c>
      <c r="N2356">
        <v>11</v>
      </c>
      <c r="O2356">
        <v>6500948</v>
      </c>
      <c r="P2356" s="2" t="s">
        <v>29</v>
      </c>
      <c r="Q2356" s="2" t="s">
        <v>23</v>
      </c>
      <c r="R2356" s="2" t="s">
        <v>30</v>
      </c>
      <c r="S2356">
        <v>7</v>
      </c>
      <c r="T2356" s="1">
        <v>43734</v>
      </c>
      <c r="U2356" s="1">
        <v>43735</v>
      </c>
      <c r="V2356" s="2"/>
      <c r="W2356" s="1">
        <f>fNotasFiscais[[#This Row],[Data da Coleta]]+fNotasFiscais[[#This Row],[Prazo Contratado]]</f>
        <v>43741</v>
      </c>
      <c r="X2356" s="3">
        <f>IF(fNotasFiscais[[#This Row],[Data da Entrega]]&gt;fNotasFiscais[[#This Row],[Data Contratada]],0,1)</f>
        <v>1</v>
      </c>
      <c r="Y2356" s="3">
        <f>IF(fNotasFiscais[[#This Row],[Ocorrência]]="",1,0)</f>
        <v>1</v>
      </c>
      <c r="Z2356" s="2">
        <f>fNotasFiscais[[#This Row],[On Time]]*fNotasFiscais[[#This Row],[In Full]]</f>
        <v>1</v>
      </c>
      <c r="AA2356">
        <f>IF(fNotasFiscais[[#This Row],[Nota Fiscal]]&lt;&gt;"",1,0)</f>
        <v>1</v>
      </c>
    </row>
    <row r="2357" spans="1:27" x14ac:dyDescent="0.25">
      <c r="A2357" s="1">
        <v>43734</v>
      </c>
      <c r="B2357">
        <v>12766</v>
      </c>
      <c r="C2357" s="2" t="s">
        <v>34</v>
      </c>
      <c r="D2357" s="2" t="s">
        <v>35</v>
      </c>
      <c r="E2357" s="2" t="s">
        <v>36</v>
      </c>
      <c r="F2357">
        <v>4022</v>
      </c>
      <c r="G2357" s="2" t="s">
        <v>86</v>
      </c>
      <c r="H2357" s="2" t="s">
        <v>87</v>
      </c>
      <c r="I2357" s="2" t="s">
        <v>27</v>
      </c>
      <c r="J2357" s="2" t="s">
        <v>28</v>
      </c>
      <c r="K2357" s="2" t="s">
        <v>27</v>
      </c>
      <c r="L2357">
        <v>1002.26</v>
      </c>
      <c r="M2357">
        <v>1</v>
      </c>
      <c r="N2357">
        <v>4.4960000000000004</v>
      </c>
      <c r="O2357">
        <v>6500948</v>
      </c>
      <c r="P2357" s="2" t="s">
        <v>29</v>
      </c>
      <c r="Q2357" s="2" t="s">
        <v>23</v>
      </c>
      <c r="R2357" s="2" t="s">
        <v>30</v>
      </c>
      <c r="S2357">
        <v>5</v>
      </c>
      <c r="T2357" s="1">
        <v>43734</v>
      </c>
      <c r="U2357" s="1">
        <v>43743</v>
      </c>
      <c r="V2357" s="2"/>
      <c r="W2357" s="1">
        <f>fNotasFiscais[[#This Row],[Data da Coleta]]+fNotasFiscais[[#This Row],[Prazo Contratado]]</f>
        <v>43739</v>
      </c>
      <c r="X2357" s="3">
        <f>IF(fNotasFiscais[[#This Row],[Data da Entrega]]&gt;fNotasFiscais[[#This Row],[Data Contratada]],0,1)</f>
        <v>0</v>
      </c>
      <c r="Y2357" s="3">
        <f>IF(fNotasFiscais[[#This Row],[Ocorrência]]="",1,0)</f>
        <v>1</v>
      </c>
      <c r="Z2357" s="2">
        <f>fNotasFiscais[[#This Row],[On Time]]*fNotasFiscais[[#This Row],[In Full]]</f>
        <v>0</v>
      </c>
      <c r="AA2357">
        <f>IF(fNotasFiscais[[#This Row],[Nota Fiscal]]&lt;&gt;"",1,0)</f>
        <v>1</v>
      </c>
    </row>
    <row r="2358" spans="1:27" x14ac:dyDescent="0.25">
      <c r="A2358" s="1">
        <v>43735</v>
      </c>
      <c r="B2358">
        <v>12767</v>
      </c>
      <c r="C2358" s="2" t="s">
        <v>52</v>
      </c>
      <c r="D2358" s="2" t="s">
        <v>53</v>
      </c>
      <c r="E2358" s="2" t="s">
        <v>33</v>
      </c>
      <c r="F2358">
        <v>4049</v>
      </c>
      <c r="G2358" s="2" t="s">
        <v>118</v>
      </c>
      <c r="H2358" s="2" t="s">
        <v>97</v>
      </c>
      <c r="I2358" s="2" t="s">
        <v>48</v>
      </c>
      <c r="J2358" s="2" t="s">
        <v>49</v>
      </c>
      <c r="K2358" s="2" t="s">
        <v>48</v>
      </c>
      <c r="L2358">
        <v>211.76</v>
      </c>
      <c r="M2358">
        <v>1</v>
      </c>
      <c r="N2358">
        <v>1.1200000000000001</v>
      </c>
      <c r="O2358">
        <v>6100231</v>
      </c>
      <c r="P2358" s="2" t="s">
        <v>50</v>
      </c>
      <c r="Q2358" s="2" t="s">
        <v>51</v>
      </c>
      <c r="R2358" s="2" t="s">
        <v>30</v>
      </c>
      <c r="S2358">
        <v>6</v>
      </c>
      <c r="T2358" s="1">
        <v>43735</v>
      </c>
      <c r="U2358" s="1">
        <v>43738</v>
      </c>
      <c r="V2358" s="2"/>
      <c r="W2358" s="1">
        <f>fNotasFiscais[[#This Row],[Data da Coleta]]+fNotasFiscais[[#This Row],[Prazo Contratado]]</f>
        <v>43741</v>
      </c>
      <c r="X2358" s="3">
        <f>IF(fNotasFiscais[[#This Row],[Data da Entrega]]&gt;fNotasFiscais[[#This Row],[Data Contratada]],0,1)</f>
        <v>1</v>
      </c>
      <c r="Y2358" s="3">
        <f>IF(fNotasFiscais[[#This Row],[Ocorrência]]="",1,0)</f>
        <v>1</v>
      </c>
      <c r="Z2358" s="2">
        <f>fNotasFiscais[[#This Row],[On Time]]*fNotasFiscais[[#This Row],[In Full]]</f>
        <v>1</v>
      </c>
      <c r="AA2358">
        <f>IF(fNotasFiscais[[#This Row],[Nota Fiscal]]&lt;&gt;"",1,0)</f>
        <v>1</v>
      </c>
    </row>
    <row r="2359" spans="1:27" x14ac:dyDescent="0.25">
      <c r="A2359" s="1">
        <v>43735</v>
      </c>
      <c r="B2359">
        <v>12768</v>
      </c>
      <c r="C2359" s="2" t="s">
        <v>31</v>
      </c>
      <c r="D2359" s="2" t="s">
        <v>32</v>
      </c>
      <c r="E2359" s="2" t="s">
        <v>33</v>
      </c>
      <c r="F2359">
        <v>4058</v>
      </c>
      <c r="G2359" s="2" t="s">
        <v>46</v>
      </c>
      <c r="H2359" s="2" t="s">
        <v>47</v>
      </c>
      <c r="I2359" s="2" t="s">
        <v>48</v>
      </c>
      <c r="J2359" s="2" t="s">
        <v>49</v>
      </c>
      <c r="K2359" s="2" t="s">
        <v>48</v>
      </c>
      <c r="L2359">
        <v>1126.57</v>
      </c>
      <c r="M2359">
        <v>2</v>
      </c>
      <c r="N2359">
        <v>5.2249999999999996</v>
      </c>
      <c r="O2359">
        <v>6100231</v>
      </c>
      <c r="P2359" s="2" t="s">
        <v>50</v>
      </c>
      <c r="Q2359" s="2" t="s">
        <v>51</v>
      </c>
      <c r="R2359" s="2" t="s">
        <v>30</v>
      </c>
      <c r="S2359">
        <v>12</v>
      </c>
      <c r="T2359" s="1">
        <v>43735</v>
      </c>
      <c r="U2359" s="1">
        <v>43736</v>
      </c>
      <c r="V2359" s="2"/>
      <c r="W2359" s="1">
        <f>fNotasFiscais[[#This Row],[Data da Coleta]]+fNotasFiscais[[#This Row],[Prazo Contratado]]</f>
        <v>43747</v>
      </c>
      <c r="X2359" s="3">
        <f>IF(fNotasFiscais[[#This Row],[Data da Entrega]]&gt;fNotasFiscais[[#This Row],[Data Contratada]],0,1)</f>
        <v>1</v>
      </c>
      <c r="Y2359" s="3">
        <f>IF(fNotasFiscais[[#This Row],[Ocorrência]]="",1,0)</f>
        <v>1</v>
      </c>
      <c r="Z2359" s="2">
        <f>fNotasFiscais[[#This Row],[On Time]]*fNotasFiscais[[#This Row],[In Full]]</f>
        <v>1</v>
      </c>
      <c r="AA2359">
        <f>IF(fNotasFiscais[[#This Row],[Nota Fiscal]]&lt;&gt;"",1,0)</f>
        <v>1</v>
      </c>
    </row>
    <row r="2360" spans="1:27" x14ac:dyDescent="0.25">
      <c r="A2360" s="1">
        <v>43735</v>
      </c>
      <c r="B2360">
        <v>12769</v>
      </c>
      <c r="C2360" s="2" t="s">
        <v>54</v>
      </c>
      <c r="D2360" s="2" t="s">
        <v>55</v>
      </c>
      <c r="E2360" s="2" t="s">
        <v>56</v>
      </c>
      <c r="F2360">
        <v>4049</v>
      </c>
      <c r="G2360" s="2" t="s">
        <v>118</v>
      </c>
      <c r="H2360" s="2" t="s">
        <v>97</v>
      </c>
      <c r="I2360" s="2" t="s">
        <v>48</v>
      </c>
      <c r="J2360" s="2" t="s">
        <v>49</v>
      </c>
      <c r="K2360" s="2" t="s">
        <v>48</v>
      </c>
      <c r="L2360">
        <v>1007.98</v>
      </c>
      <c r="M2360">
        <v>1</v>
      </c>
      <c r="N2360">
        <v>1.1200000000000001</v>
      </c>
      <c r="O2360">
        <v>6100231</v>
      </c>
      <c r="P2360" s="2" t="s">
        <v>50</v>
      </c>
      <c r="Q2360" s="2" t="s">
        <v>51</v>
      </c>
      <c r="R2360" s="2" t="s">
        <v>30</v>
      </c>
      <c r="S2360">
        <v>12</v>
      </c>
      <c r="T2360" s="1">
        <v>43735</v>
      </c>
      <c r="U2360" s="1">
        <v>43739</v>
      </c>
      <c r="V2360" s="2"/>
      <c r="W2360" s="1">
        <f>fNotasFiscais[[#This Row],[Data da Coleta]]+fNotasFiscais[[#This Row],[Prazo Contratado]]</f>
        <v>43747</v>
      </c>
      <c r="X2360" s="3">
        <f>IF(fNotasFiscais[[#This Row],[Data da Entrega]]&gt;fNotasFiscais[[#This Row],[Data Contratada]],0,1)</f>
        <v>1</v>
      </c>
      <c r="Y2360" s="3">
        <f>IF(fNotasFiscais[[#This Row],[Ocorrência]]="",1,0)</f>
        <v>1</v>
      </c>
      <c r="Z2360" s="2">
        <f>fNotasFiscais[[#This Row],[On Time]]*fNotasFiscais[[#This Row],[In Full]]</f>
        <v>1</v>
      </c>
      <c r="AA2360">
        <f>IF(fNotasFiscais[[#This Row],[Nota Fiscal]]&lt;&gt;"",1,0)</f>
        <v>1</v>
      </c>
    </row>
    <row r="2361" spans="1:27" x14ac:dyDescent="0.25">
      <c r="A2361" s="1">
        <v>43735</v>
      </c>
      <c r="B2361">
        <v>12770</v>
      </c>
      <c r="C2361" s="2" t="s">
        <v>43</v>
      </c>
      <c r="D2361" s="2" t="s">
        <v>44</v>
      </c>
      <c r="E2361" s="2" t="s">
        <v>45</v>
      </c>
      <c r="F2361">
        <v>4049</v>
      </c>
      <c r="G2361" s="2" t="s">
        <v>118</v>
      </c>
      <c r="H2361" s="2" t="s">
        <v>97</v>
      </c>
      <c r="I2361" s="2" t="s">
        <v>48</v>
      </c>
      <c r="J2361" s="2" t="s">
        <v>49</v>
      </c>
      <c r="K2361" s="2" t="s">
        <v>48</v>
      </c>
      <c r="L2361">
        <v>238.43</v>
      </c>
      <c r="M2361">
        <v>1</v>
      </c>
      <c r="N2361">
        <v>2.5190000000000001</v>
      </c>
      <c r="O2361">
        <v>6100231</v>
      </c>
      <c r="P2361" s="2" t="s">
        <v>50</v>
      </c>
      <c r="Q2361" s="2" t="s">
        <v>51</v>
      </c>
      <c r="R2361" s="2" t="s">
        <v>30</v>
      </c>
      <c r="S2361">
        <v>6</v>
      </c>
      <c r="T2361" s="1">
        <v>43735</v>
      </c>
      <c r="U2361" s="1">
        <v>43741</v>
      </c>
      <c r="V2361" s="2"/>
      <c r="W2361" s="1">
        <f>fNotasFiscais[[#This Row],[Data da Coleta]]+fNotasFiscais[[#This Row],[Prazo Contratado]]</f>
        <v>43741</v>
      </c>
      <c r="X2361" s="3">
        <f>IF(fNotasFiscais[[#This Row],[Data da Entrega]]&gt;fNotasFiscais[[#This Row],[Data Contratada]],0,1)</f>
        <v>1</v>
      </c>
      <c r="Y2361" s="3">
        <f>IF(fNotasFiscais[[#This Row],[Ocorrência]]="",1,0)</f>
        <v>1</v>
      </c>
      <c r="Z2361" s="2">
        <f>fNotasFiscais[[#This Row],[On Time]]*fNotasFiscais[[#This Row],[In Full]]</f>
        <v>1</v>
      </c>
      <c r="AA2361">
        <f>IF(fNotasFiscais[[#This Row],[Nota Fiscal]]&lt;&gt;"",1,0)</f>
        <v>1</v>
      </c>
    </row>
    <row r="2362" spans="1:27" x14ac:dyDescent="0.25">
      <c r="A2362" s="1">
        <v>43735</v>
      </c>
      <c r="B2362">
        <v>12771</v>
      </c>
      <c r="C2362" s="2" t="s">
        <v>31</v>
      </c>
      <c r="D2362" s="2" t="s">
        <v>32</v>
      </c>
      <c r="E2362" s="2" t="s">
        <v>33</v>
      </c>
      <c r="F2362">
        <v>4049</v>
      </c>
      <c r="G2362" s="2" t="s">
        <v>118</v>
      </c>
      <c r="H2362" s="2" t="s">
        <v>97</v>
      </c>
      <c r="I2362" s="2" t="s">
        <v>48</v>
      </c>
      <c r="J2362" s="2" t="s">
        <v>49</v>
      </c>
      <c r="K2362" s="2" t="s">
        <v>48</v>
      </c>
      <c r="L2362">
        <v>2778.91</v>
      </c>
      <c r="M2362">
        <v>1</v>
      </c>
      <c r="N2362">
        <v>1.1200000000000001</v>
      </c>
      <c r="O2362">
        <v>6100231</v>
      </c>
      <c r="P2362" s="2" t="s">
        <v>50</v>
      </c>
      <c r="Q2362" s="2" t="s">
        <v>51</v>
      </c>
      <c r="R2362" s="2" t="s">
        <v>30</v>
      </c>
      <c r="S2362">
        <v>5</v>
      </c>
      <c r="T2362" s="1">
        <v>43735</v>
      </c>
      <c r="U2362" s="1">
        <v>43742</v>
      </c>
      <c r="V2362" s="2"/>
      <c r="W2362" s="1">
        <f>fNotasFiscais[[#This Row],[Data da Coleta]]+fNotasFiscais[[#This Row],[Prazo Contratado]]</f>
        <v>43740</v>
      </c>
      <c r="X2362" s="3">
        <f>IF(fNotasFiscais[[#This Row],[Data da Entrega]]&gt;fNotasFiscais[[#This Row],[Data Contratada]],0,1)</f>
        <v>0</v>
      </c>
      <c r="Y2362" s="3">
        <f>IF(fNotasFiscais[[#This Row],[Ocorrência]]="",1,0)</f>
        <v>1</v>
      </c>
      <c r="Z2362" s="2">
        <f>fNotasFiscais[[#This Row],[On Time]]*fNotasFiscais[[#This Row],[In Full]]</f>
        <v>0</v>
      </c>
      <c r="AA2362">
        <f>IF(fNotasFiscais[[#This Row],[Nota Fiscal]]&lt;&gt;"",1,0)</f>
        <v>1</v>
      </c>
    </row>
    <row r="2363" spans="1:27" x14ac:dyDescent="0.25">
      <c r="A2363" s="1">
        <v>43735</v>
      </c>
      <c r="B2363">
        <v>12772</v>
      </c>
      <c r="C2363" s="2" t="s">
        <v>34</v>
      </c>
      <c r="D2363" s="2" t="s">
        <v>35</v>
      </c>
      <c r="E2363" s="2" t="s">
        <v>36</v>
      </c>
      <c r="F2363">
        <v>4049</v>
      </c>
      <c r="G2363" s="2" t="s">
        <v>118</v>
      </c>
      <c r="H2363" s="2" t="s">
        <v>97</v>
      </c>
      <c r="I2363" s="2" t="s">
        <v>48</v>
      </c>
      <c r="J2363" s="2" t="s">
        <v>49</v>
      </c>
      <c r="K2363" s="2" t="s">
        <v>48</v>
      </c>
      <c r="L2363">
        <v>7578.1</v>
      </c>
      <c r="M2363">
        <v>4</v>
      </c>
      <c r="N2363">
        <v>22.911000000000001</v>
      </c>
      <c r="O2363">
        <v>6100231</v>
      </c>
      <c r="P2363" s="2" t="s">
        <v>50</v>
      </c>
      <c r="Q2363" s="2" t="s">
        <v>51</v>
      </c>
      <c r="R2363" s="2" t="s">
        <v>30</v>
      </c>
      <c r="S2363">
        <v>2</v>
      </c>
      <c r="T2363" s="1">
        <v>43735</v>
      </c>
      <c r="U2363" s="1">
        <v>43738</v>
      </c>
      <c r="V2363" s="2"/>
      <c r="W2363" s="1">
        <f>fNotasFiscais[[#This Row],[Data da Coleta]]+fNotasFiscais[[#This Row],[Prazo Contratado]]</f>
        <v>43737</v>
      </c>
      <c r="X2363" s="3">
        <f>IF(fNotasFiscais[[#This Row],[Data da Entrega]]&gt;fNotasFiscais[[#This Row],[Data Contratada]],0,1)</f>
        <v>0</v>
      </c>
      <c r="Y2363" s="3">
        <f>IF(fNotasFiscais[[#This Row],[Ocorrência]]="",1,0)</f>
        <v>1</v>
      </c>
      <c r="Z2363" s="2">
        <f>fNotasFiscais[[#This Row],[On Time]]*fNotasFiscais[[#This Row],[In Full]]</f>
        <v>0</v>
      </c>
      <c r="AA2363">
        <f>IF(fNotasFiscais[[#This Row],[Nota Fiscal]]&lt;&gt;"",1,0)</f>
        <v>1</v>
      </c>
    </row>
    <row r="2364" spans="1:27" x14ac:dyDescent="0.25">
      <c r="A2364" s="1">
        <v>43735</v>
      </c>
      <c r="B2364">
        <v>12773</v>
      </c>
      <c r="C2364" s="2" t="s">
        <v>31</v>
      </c>
      <c r="D2364" s="2" t="s">
        <v>32</v>
      </c>
      <c r="E2364" s="2" t="s">
        <v>33</v>
      </c>
      <c r="F2364">
        <v>4049</v>
      </c>
      <c r="G2364" s="2" t="s">
        <v>118</v>
      </c>
      <c r="H2364" s="2" t="s">
        <v>97</v>
      </c>
      <c r="I2364" s="2" t="s">
        <v>48</v>
      </c>
      <c r="J2364" s="2" t="s">
        <v>49</v>
      </c>
      <c r="K2364" s="2" t="s">
        <v>48</v>
      </c>
      <c r="L2364">
        <v>1974.18</v>
      </c>
      <c r="M2364">
        <v>1</v>
      </c>
      <c r="N2364">
        <v>3.85</v>
      </c>
      <c r="O2364">
        <v>6100231</v>
      </c>
      <c r="P2364" s="2" t="s">
        <v>50</v>
      </c>
      <c r="Q2364" s="2" t="s">
        <v>51</v>
      </c>
      <c r="R2364" s="2" t="s">
        <v>30</v>
      </c>
      <c r="S2364">
        <v>7</v>
      </c>
      <c r="T2364" s="1">
        <v>43735</v>
      </c>
      <c r="U2364" s="1">
        <v>43739</v>
      </c>
      <c r="V2364" s="2"/>
      <c r="W2364" s="1">
        <f>fNotasFiscais[[#This Row],[Data da Coleta]]+fNotasFiscais[[#This Row],[Prazo Contratado]]</f>
        <v>43742</v>
      </c>
      <c r="X2364" s="3">
        <f>IF(fNotasFiscais[[#This Row],[Data da Entrega]]&gt;fNotasFiscais[[#This Row],[Data Contratada]],0,1)</f>
        <v>1</v>
      </c>
      <c r="Y2364" s="3">
        <f>IF(fNotasFiscais[[#This Row],[Ocorrência]]="",1,0)</f>
        <v>1</v>
      </c>
      <c r="Z2364" s="2">
        <f>fNotasFiscais[[#This Row],[On Time]]*fNotasFiscais[[#This Row],[In Full]]</f>
        <v>1</v>
      </c>
      <c r="AA2364">
        <f>IF(fNotasFiscais[[#This Row],[Nota Fiscal]]&lt;&gt;"",1,0)</f>
        <v>1</v>
      </c>
    </row>
    <row r="2365" spans="1:27" x14ac:dyDescent="0.25">
      <c r="A2365" s="1">
        <v>43735</v>
      </c>
      <c r="B2365">
        <v>12774</v>
      </c>
      <c r="C2365" s="2" t="s">
        <v>22</v>
      </c>
      <c r="D2365" s="2" t="s">
        <v>23</v>
      </c>
      <c r="E2365" s="2" t="s">
        <v>24</v>
      </c>
      <c r="F2365">
        <v>4049</v>
      </c>
      <c r="G2365" s="2" t="s">
        <v>118</v>
      </c>
      <c r="H2365" s="2" t="s">
        <v>97</v>
      </c>
      <c r="I2365" s="2" t="s">
        <v>48</v>
      </c>
      <c r="J2365" s="2" t="s">
        <v>49</v>
      </c>
      <c r="K2365" s="2" t="s">
        <v>48</v>
      </c>
      <c r="L2365">
        <v>33.700000000000003</v>
      </c>
      <c r="M2365">
        <v>1</v>
      </c>
      <c r="N2365">
        <v>6.6000000000000003E-2</v>
      </c>
      <c r="O2365">
        <v>6100231</v>
      </c>
      <c r="P2365" s="2" t="s">
        <v>50</v>
      </c>
      <c r="Q2365" s="2" t="s">
        <v>51</v>
      </c>
      <c r="R2365" s="2" t="s">
        <v>30</v>
      </c>
      <c r="S2365">
        <v>5</v>
      </c>
      <c r="T2365" s="1">
        <v>43735</v>
      </c>
      <c r="U2365" s="1">
        <v>43745</v>
      </c>
      <c r="V2365" s="2"/>
      <c r="W2365" s="1">
        <f>fNotasFiscais[[#This Row],[Data da Coleta]]+fNotasFiscais[[#This Row],[Prazo Contratado]]</f>
        <v>43740</v>
      </c>
      <c r="X2365" s="3">
        <f>IF(fNotasFiscais[[#This Row],[Data da Entrega]]&gt;fNotasFiscais[[#This Row],[Data Contratada]],0,1)</f>
        <v>0</v>
      </c>
      <c r="Y2365" s="3">
        <f>IF(fNotasFiscais[[#This Row],[Ocorrência]]="",1,0)</f>
        <v>1</v>
      </c>
      <c r="Z2365" s="2">
        <f>fNotasFiscais[[#This Row],[On Time]]*fNotasFiscais[[#This Row],[In Full]]</f>
        <v>0</v>
      </c>
      <c r="AA2365">
        <f>IF(fNotasFiscais[[#This Row],[Nota Fiscal]]&lt;&gt;"",1,0)</f>
        <v>1</v>
      </c>
    </row>
    <row r="2366" spans="1:27" x14ac:dyDescent="0.25">
      <c r="A2366" s="1">
        <v>43735</v>
      </c>
      <c r="B2366">
        <v>12775</v>
      </c>
      <c r="C2366" s="2" t="s">
        <v>52</v>
      </c>
      <c r="D2366" s="2" t="s">
        <v>53</v>
      </c>
      <c r="E2366" s="2" t="s">
        <v>33</v>
      </c>
      <c r="F2366">
        <v>4049</v>
      </c>
      <c r="G2366" s="2" t="s">
        <v>118</v>
      </c>
      <c r="H2366" s="2" t="s">
        <v>97</v>
      </c>
      <c r="I2366" s="2" t="s">
        <v>48</v>
      </c>
      <c r="J2366" s="2" t="s">
        <v>49</v>
      </c>
      <c r="K2366" s="2" t="s">
        <v>48</v>
      </c>
      <c r="L2366">
        <v>11.56</v>
      </c>
      <c r="M2366">
        <v>1</v>
      </c>
      <c r="N2366">
        <v>2.1999999999999999E-2</v>
      </c>
      <c r="O2366">
        <v>6100231</v>
      </c>
      <c r="P2366" s="2" t="s">
        <v>50</v>
      </c>
      <c r="Q2366" s="2" t="s">
        <v>51</v>
      </c>
      <c r="R2366" s="2" t="s">
        <v>30</v>
      </c>
      <c r="S2366">
        <v>7</v>
      </c>
      <c r="T2366" s="1">
        <v>43735</v>
      </c>
      <c r="U2366" s="1">
        <v>43741</v>
      </c>
      <c r="V2366" s="2"/>
      <c r="W2366" s="1">
        <f>fNotasFiscais[[#This Row],[Data da Coleta]]+fNotasFiscais[[#This Row],[Prazo Contratado]]</f>
        <v>43742</v>
      </c>
      <c r="X2366" s="3">
        <f>IF(fNotasFiscais[[#This Row],[Data da Entrega]]&gt;fNotasFiscais[[#This Row],[Data Contratada]],0,1)</f>
        <v>1</v>
      </c>
      <c r="Y2366" s="3">
        <f>IF(fNotasFiscais[[#This Row],[Ocorrência]]="",1,0)</f>
        <v>1</v>
      </c>
      <c r="Z2366" s="2">
        <f>fNotasFiscais[[#This Row],[On Time]]*fNotasFiscais[[#This Row],[In Full]]</f>
        <v>1</v>
      </c>
      <c r="AA2366">
        <f>IF(fNotasFiscais[[#This Row],[Nota Fiscal]]&lt;&gt;"",1,0)</f>
        <v>1</v>
      </c>
    </row>
    <row r="2367" spans="1:27" x14ac:dyDescent="0.25">
      <c r="A2367" s="1">
        <v>43735</v>
      </c>
      <c r="B2367">
        <v>12776</v>
      </c>
      <c r="C2367" s="2" t="s">
        <v>22</v>
      </c>
      <c r="D2367" s="2" t="s">
        <v>23</v>
      </c>
      <c r="E2367" s="2" t="s">
        <v>24</v>
      </c>
      <c r="F2367">
        <v>4049</v>
      </c>
      <c r="G2367" s="2" t="s">
        <v>118</v>
      </c>
      <c r="H2367" s="2" t="s">
        <v>97</v>
      </c>
      <c r="I2367" s="2" t="s">
        <v>48</v>
      </c>
      <c r="J2367" s="2" t="s">
        <v>49</v>
      </c>
      <c r="K2367" s="2" t="s">
        <v>48</v>
      </c>
      <c r="L2367">
        <v>426.22</v>
      </c>
      <c r="M2367">
        <v>1</v>
      </c>
      <c r="N2367">
        <v>16.5</v>
      </c>
      <c r="O2367">
        <v>6100231</v>
      </c>
      <c r="P2367" s="2" t="s">
        <v>50</v>
      </c>
      <c r="Q2367" s="2" t="s">
        <v>51</v>
      </c>
      <c r="R2367" s="2" t="s">
        <v>30</v>
      </c>
      <c r="S2367">
        <v>4</v>
      </c>
      <c r="T2367" s="1">
        <v>43735</v>
      </c>
      <c r="U2367" s="1">
        <v>43741</v>
      </c>
      <c r="V2367" s="2"/>
      <c r="W2367" s="1">
        <f>fNotasFiscais[[#This Row],[Data da Coleta]]+fNotasFiscais[[#This Row],[Prazo Contratado]]</f>
        <v>43739</v>
      </c>
      <c r="X2367" s="3">
        <f>IF(fNotasFiscais[[#This Row],[Data da Entrega]]&gt;fNotasFiscais[[#This Row],[Data Contratada]],0,1)</f>
        <v>0</v>
      </c>
      <c r="Y2367" s="3">
        <f>IF(fNotasFiscais[[#This Row],[Ocorrência]]="",1,0)</f>
        <v>1</v>
      </c>
      <c r="Z2367" s="2">
        <f>fNotasFiscais[[#This Row],[On Time]]*fNotasFiscais[[#This Row],[In Full]]</f>
        <v>0</v>
      </c>
      <c r="AA2367">
        <f>IF(fNotasFiscais[[#This Row],[Nota Fiscal]]&lt;&gt;"",1,0)</f>
        <v>1</v>
      </c>
    </row>
    <row r="2368" spans="1:27" x14ac:dyDescent="0.25">
      <c r="A2368" s="1">
        <v>43735</v>
      </c>
      <c r="B2368">
        <v>12777</v>
      </c>
      <c r="C2368" s="2" t="s">
        <v>54</v>
      </c>
      <c r="D2368" s="2" t="s">
        <v>55</v>
      </c>
      <c r="E2368" s="2" t="s">
        <v>56</v>
      </c>
      <c r="F2368">
        <v>4049</v>
      </c>
      <c r="G2368" s="2" t="s">
        <v>118</v>
      </c>
      <c r="H2368" s="2" t="s">
        <v>97</v>
      </c>
      <c r="I2368" s="2" t="s">
        <v>48</v>
      </c>
      <c r="J2368" s="2" t="s">
        <v>49</v>
      </c>
      <c r="K2368" s="2" t="s">
        <v>48</v>
      </c>
      <c r="L2368">
        <v>5138.55</v>
      </c>
      <c r="M2368">
        <v>18</v>
      </c>
      <c r="N2368">
        <v>197.28700000000001</v>
      </c>
      <c r="O2368">
        <v>6100231</v>
      </c>
      <c r="P2368" s="2" t="s">
        <v>50</v>
      </c>
      <c r="Q2368" s="2" t="s">
        <v>51</v>
      </c>
      <c r="R2368" s="2" t="s">
        <v>30</v>
      </c>
      <c r="S2368">
        <v>2</v>
      </c>
      <c r="T2368" s="1">
        <v>43735</v>
      </c>
      <c r="U2368" s="1">
        <v>43737</v>
      </c>
      <c r="V2368" s="2"/>
      <c r="W2368" s="1">
        <f>fNotasFiscais[[#This Row],[Data da Coleta]]+fNotasFiscais[[#This Row],[Prazo Contratado]]</f>
        <v>43737</v>
      </c>
      <c r="X2368" s="3">
        <f>IF(fNotasFiscais[[#This Row],[Data da Entrega]]&gt;fNotasFiscais[[#This Row],[Data Contratada]],0,1)</f>
        <v>1</v>
      </c>
      <c r="Y2368" s="3">
        <f>IF(fNotasFiscais[[#This Row],[Ocorrência]]="",1,0)</f>
        <v>1</v>
      </c>
      <c r="Z2368" s="2">
        <f>fNotasFiscais[[#This Row],[On Time]]*fNotasFiscais[[#This Row],[In Full]]</f>
        <v>1</v>
      </c>
      <c r="AA2368">
        <f>IF(fNotasFiscais[[#This Row],[Nota Fiscal]]&lt;&gt;"",1,0)</f>
        <v>1</v>
      </c>
    </row>
    <row r="2369" spans="1:27" x14ac:dyDescent="0.25">
      <c r="A2369" s="1">
        <v>43736</v>
      </c>
      <c r="B2369">
        <v>12778</v>
      </c>
      <c r="C2369" s="2" t="s">
        <v>40</v>
      </c>
      <c r="D2369" s="2" t="s">
        <v>41</v>
      </c>
      <c r="E2369" s="2" t="s">
        <v>33</v>
      </c>
      <c r="F2369">
        <v>4136</v>
      </c>
      <c r="G2369" s="2" t="s">
        <v>219</v>
      </c>
      <c r="H2369" s="2" t="s">
        <v>35</v>
      </c>
      <c r="I2369" s="2" t="s">
        <v>36</v>
      </c>
      <c r="J2369" s="2" t="s">
        <v>60</v>
      </c>
      <c r="K2369" s="2" t="s">
        <v>36</v>
      </c>
      <c r="L2369">
        <v>1987.7</v>
      </c>
      <c r="M2369">
        <v>1</v>
      </c>
      <c r="N2369">
        <v>1.1200000000000001</v>
      </c>
      <c r="O2369">
        <v>6600879</v>
      </c>
      <c r="P2369" s="2" t="s">
        <v>61</v>
      </c>
      <c r="Q2369" s="2" t="s">
        <v>35</v>
      </c>
      <c r="R2369" s="2" t="s">
        <v>62</v>
      </c>
      <c r="S2369">
        <v>6</v>
      </c>
      <c r="T2369" s="1">
        <v>43736</v>
      </c>
      <c r="U2369" s="1">
        <v>43739</v>
      </c>
      <c r="V2369" s="2"/>
      <c r="W2369" s="1">
        <f>fNotasFiscais[[#This Row],[Data da Coleta]]+fNotasFiscais[[#This Row],[Prazo Contratado]]</f>
        <v>43742</v>
      </c>
      <c r="X2369" s="3">
        <f>IF(fNotasFiscais[[#This Row],[Data da Entrega]]&gt;fNotasFiscais[[#This Row],[Data Contratada]],0,1)</f>
        <v>1</v>
      </c>
      <c r="Y2369" s="3">
        <f>IF(fNotasFiscais[[#This Row],[Ocorrência]]="",1,0)</f>
        <v>1</v>
      </c>
      <c r="Z2369" s="2">
        <f>fNotasFiscais[[#This Row],[On Time]]*fNotasFiscais[[#This Row],[In Full]]</f>
        <v>1</v>
      </c>
      <c r="AA2369">
        <f>IF(fNotasFiscais[[#This Row],[Nota Fiscal]]&lt;&gt;"",1,0)</f>
        <v>1</v>
      </c>
    </row>
    <row r="2370" spans="1:27" x14ac:dyDescent="0.25">
      <c r="A2370" s="1">
        <v>43736</v>
      </c>
      <c r="B2370">
        <v>12779</v>
      </c>
      <c r="C2370" s="2" t="s">
        <v>52</v>
      </c>
      <c r="D2370" s="2" t="s">
        <v>53</v>
      </c>
      <c r="E2370" s="2" t="s">
        <v>33</v>
      </c>
      <c r="F2370">
        <v>4056</v>
      </c>
      <c r="G2370" s="2" t="s">
        <v>119</v>
      </c>
      <c r="H2370" s="2" t="s">
        <v>51</v>
      </c>
      <c r="I2370" s="2" t="s">
        <v>73</v>
      </c>
      <c r="J2370" s="2" t="s">
        <v>49</v>
      </c>
      <c r="K2370" s="2" t="s">
        <v>73</v>
      </c>
      <c r="L2370">
        <v>2062.6799999999998</v>
      </c>
      <c r="M2370">
        <v>1</v>
      </c>
      <c r="N2370">
        <v>2.86</v>
      </c>
      <c r="O2370">
        <v>6100231</v>
      </c>
      <c r="P2370" s="2" t="s">
        <v>50</v>
      </c>
      <c r="Q2370" s="2" t="s">
        <v>51</v>
      </c>
      <c r="R2370" s="2" t="s">
        <v>30</v>
      </c>
      <c r="S2370">
        <v>9</v>
      </c>
      <c r="T2370" s="1">
        <v>43736</v>
      </c>
      <c r="U2370" s="1">
        <v>43739</v>
      </c>
      <c r="V2370" s="2"/>
      <c r="W2370" s="1">
        <f>fNotasFiscais[[#This Row],[Data da Coleta]]+fNotasFiscais[[#This Row],[Prazo Contratado]]</f>
        <v>43745</v>
      </c>
      <c r="X2370" s="3">
        <f>IF(fNotasFiscais[[#This Row],[Data da Entrega]]&gt;fNotasFiscais[[#This Row],[Data Contratada]],0,1)</f>
        <v>1</v>
      </c>
      <c r="Y2370" s="3">
        <f>IF(fNotasFiscais[[#This Row],[Ocorrência]]="",1,0)</f>
        <v>1</v>
      </c>
      <c r="Z2370" s="2">
        <f>fNotasFiscais[[#This Row],[On Time]]*fNotasFiscais[[#This Row],[In Full]]</f>
        <v>1</v>
      </c>
      <c r="AA2370">
        <f>IF(fNotasFiscais[[#This Row],[Nota Fiscal]]&lt;&gt;"",1,0)</f>
        <v>1</v>
      </c>
    </row>
    <row r="2371" spans="1:27" x14ac:dyDescent="0.25">
      <c r="A2371" s="1">
        <v>43736</v>
      </c>
      <c r="B2371">
        <v>12780</v>
      </c>
      <c r="C2371" s="2" t="s">
        <v>31</v>
      </c>
      <c r="D2371" s="2" t="s">
        <v>32</v>
      </c>
      <c r="E2371" s="2" t="s">
        <v>33</v>
      </c>
      <c r="F2371">
        <v>4022</v>
      </c>
      <c r="G2371" s="2" t="s">
        <v>86</v>
      </c>
      <c r="H2371" s="2" t="s">
        <v>87</v>
      </c>
      <c r="I2371" s="2" t="s">
        <v>27</v>
      </c>
      <c r="J2371" s="2" t="s">
        <v>28</v>
      </c>
      <c r="K2371" s="2" t="s">
        <v>27</v>
      </c>
      <c r="L2371">
        <v>2821.88</v>
      </c>
      <c r="M2371">
        <v>3</v>
      </c>
      <c r="N2371">
        <v>34.622999999999998</v>
      </c>
      <c r="O2371">
        <v>6500948</v>
      </c>
      <c r="P2371" s="2" t="s">
        <v>29</v>
      </c>
      <c r="Q2371" s="2" t="s">
        <v>23</v>
      </c>
      <c r="R2371" s="2" t="s">
        <v>30</v>
      </c>
      <c r="S2371">
        <v>8</v>
      </c>
      <c r="T2371" s="1">
        <v>43736</v>
      </c>
      <c r="U2371" s="1">
        <v>43737</v>
      </c>
      <c r="V2371" s="2"/>
      <c r="W2371" s="1">
        <f>fNotasFiscais[[#This Row],[Data da Coleta]]+fNotasFiscais[[#This Row],[Prazo Contratado]]</f>
        <v>43744</v>
      </c>
      <c r="X2371" s="3">
        <f>IF(fNotasFiscais[[#This Row],[Data da Entrega]]&gt;fNotasFiscais[[#This Row],[Data Contratada]],0,1)</f>
        <v>1</v>
      </c>
      <c r="Y2371" s="3">
        <f>IF(fNotasFiscais[[#This Row],[Ocorrência]]="",1,0)</f>
        <v>1</v>
      </c>
      <c r="Z2371" s="2">
        <f>fNotasFiscais[[#This Row],[On Time]]*fNotasFiscais[[#This Row],[In Full]]</f>
        <v>1</v>
      </c>
      <c r="AA2371">
        <f>IF(fNotasFiscais[[#This Row],[Nota Fiscal]]&lt;&gt;"",1,0)</f>
        <v>1</v>
      </c>
    </row>
    <row r="2372" spans="1:27" x14ac:dyDescent="0.25">
      <c r="A2372" s="1">
        <v>43736</v>
      </c>
      <c r="B2372">
        <v>12781</v>
      </c>
      <c r="C2372" s="2" t="s">
        <v>43</v>
      </c>
      <c r="D2372" s="2" t="s">
        <v>44</v>
      </c>
      <c r="E2372" s="2" t="s">
        <v>45</v>
      </c>
      <c r="F2372">
        <v>4056</v>
      </c>
      <c r="G2372" s="2" t="s">
        <v>119</v>
      </c>
      <c r="H2372" s="2" t="s">
        <v>51</v>
      </c>
      <c r="I2372" s="2" t="s">
        <v>73</v>
      </c>
      <c r="J2372" s="2" t="s">
        <v>49</v>
      </c>
      <c r="K2372" s="2" t="s">
        <v>73</v>
      </c>
      <c r="L2372">
        <v>2521.6</v>
      </c>
      <c r="M2372">
        <v>1</v>
      </c>
      <c r="N2372">
        <v>1.1200000000000001</v>
      </c>
      <c r="O2372">
        <v>6100231</v>
      </c>
      <c r="P2372" s="2" t="s">
        <v>50</v>
      </c>
      <c r="Q2372" s="2" t="s">
        <v>51</v>
      </c>
      <c r="R2372" s="2" t="s">
        <v>30</v>
      </c>
      <c r="S2372">
        <v>10</v>
      </c>
      <c r="T2372" s="1">
        <v>43736</v>
      </c>
      <c r="U2372" s="1">
        <v>43738</v>
      </c>
      <c r="V2372" s="2"/>
      <c r="W2372" s="1">
        <f>fNotasFiscais[[#This Row],[Data da Coleta]]+fNotasFiscais[[#This Row],[Prazo Contratado]]</f>
        <v>43746</v>
      </c>
      <c r="X2372" s="3">
        <f>IF(fNotasFiscais[[#This Row],[Data da Entrega]]&gt;fNotasFiscais[[#This Row],[Data Contratada]],0,1)</f>
        <v>1</v>
      </c>
      <c r="Y2372" s="3">
        <f>IF(fNotasFiscais[[#This Row],[Ocorrência]]="",1,0)</f>
        <v>1</v>
      </c>
      <c r="Z2372" s="2">
        <f>fNotasFiscais[[#This Row],[On Time]]*fNotasFiscais[[#This Row],[In Full]]</f>
        <v>1</v>
      </c>
      <c r="AA2372">
        <f>IF(fNotasFiscais[[#This Row],[Nota Fiscal]]&lt;&gt;"",1,0)</f>
        <v>1</v>
      </c>
    </row>
    <row r="2373" spans="1:27" x14ac:dyDescent="0.25">
      <c r="A2373" s="1">
        <v>43736</v>
      </c>
      <c r="B2373">
        <v>12782</v>
      </c>
      <c r="C2373" s="2" t="s">
        <v>54</v>
      </c>
      <c r="D2373" s="2" t="s">
        <v>55</v>
      </c>
      <c r="E2373" s="2" t="s">
        <v>56</v>
      </c>
      <c r="F2373">
        <v>4056</v>
      </c>
      <c r="G2373" s="2" t="s">
        <v>119</v>
      </c>
      <c r="H2373" s="2" t="s">
        <v>51</v>
      </c>
      <c r="I2373" s="2" t="s">
        <v>73</v>
      </c>
      <c r="J2373" s="2" t="s">
        <v>49</v>
      </c>
      <c r="K2373" s="2" t="s">
        <v>73</v>
      </c>
      <c r="L2373">
        <v>2228.5700000000002</v>
      </c>
      <c r="M2373">
        <v>1</v>
      </c>
      <c r="N2373">
        <v>3.41</v>
      </c>
      <c r="O2373">
        <v>6100231</v>
      </c>
      <c r="P2373" s="2" t="s">
        <v>50</v>
      </c>
      <c r="Q2373" s="2" t="s">
        <v>51</v>
      </c>
      <c r="R2373" s="2" t="s">
        <v>30</v>
      </c>
      <c r="S2373">
        <v>4</v>
      </c>
      <c r="T2373" s="1">
        <v>43736</v>
      </c>
      <c r="U2373" s="1">
        <v>43741</v>
      </c>
      <c r="V2373" s="2"/>
      <c r="W2373" s="1">
        <f>fNotasFiscais[[#This Row],[Data da Coleta]]+fNotasFiscais[[#This Row],[Prazo Contratado]]</f>
        <v>43740</v>
      </c>
      <c r="X2373" s="3">
        <f>IF(fNotasFiscais[[#This Row],[Data da Entrega]]&gt;fNotasFiscais[[#This Row],[Data Contratada]],0,1)</f>
        <v>0</v>
      </c>
      <c r="Y2373" s="3">
        <f>IF(fNotasFiscais[[#This Row],[Ocorrência]]="",1,0)</f>
        <v>1</v>
      </c>
      <c r="Z2373" s="2">
        <f>fNotasFiscais[[#This Row],[On Time]]*fNotasFiscais[[#This Row],[In Full]]</f>
        <v>0</v>
      </c>
      <c r="AA2373">
        <f>IF(fNotasFiscais[[#This Row],[Nota Fiscal]]&lt;&gt;"",1,0)</f>
        <v>1</v>
      </c>
    </row>
    <row r="2374" spans="1:27" x14ac:dyDescent="0.25">
      <c r="A2374" s="1">
        <v>43737</v>
      </c>
      <c r="B2374">
        <v>12783</v>
      </c>
      <c r="C2374" s="2" t="s">
        <v>31</v>
      </c>
      <c r="D2374" s="2" t="s">
        <v>32</v>
      </c>
      <c r="E2374" s="2" t="s">
        <v>33</v>
      </c>
      <c r="F2374">
        <v>4018</v>
      </c>
      <c r="G2374" s="2" t="s">
        <v>77</v>
      </c>
      <c r="H2374" s="2" t="s">
        <v>78</v>
      </c>
      <c r="I2374" s="2" t="s">
        <v>39</v>
      </c>
      <c r="J2374" s="2" t="s">
        <v>28</v>
      </c>
      <c r="K2374" s="2" t="s">
        <v>39</v>
      </c>
      <c r="L2374">
        <v>1002.42</v>
      </c>
      <c r="M2374">
        <v>1</v>
      </c>
      <c r="N2374">
        <v>1.1000000000000001</v>
      </c>
      <c r="O2374">
        <v>6500948</v>
      </c>
      <c r="P2374" s="2" t="s">
        <v>29</v>
      </c>
      <c r="Q2374" s="2" t="s">
        <v>23</v>
      </c>
      <c r="R2374" s="2" t="s">
        <v>30</v>
      </c>
      <c r="S2374">
        <v>11</v>
      </c>
      <c r="T2374" s="1">
        <v>43737</v>
      </c>
      <c r="U2374" s="1">
        <v>43742</v>
      </c>
      <c r="V2374" s="2"/>
      <c r="W2374" s="1">
        <f>fNotasFiscais[[#This Row],[Data da Coleta]]+fNotasFiscais[[#This Row],[Prazo Contratado]]</f>
        <v>43748</v>
      </c>
      <c r="X2374" s="3">
        <f>IF(fNotasFiscais[[#This Row],[Data da Entrega]]&gt;fNotasFiscais[[#This Row],[Data Contratada]],0,1)</f>
        <v>1</v>
      </c>
      <c r="Y2374" s="3">
        <f>IF(fNotasFiscais[[#This Row],[Ocorrência]]="",1,0)</f>
        <v>1</v>
      </c>
      <c r="Z2374" s="2">
        <f>fNotasFiscais[[#This Row],[On Time]]*fNotasFiscais[[#This Row],[In Full]]</f>
        <v>1</v>
      </c>
      <c r="AA2374">
        <f>IF(fNotasFiscais[[#This Row],[Nota Fiscal]]&lt;&gt;"",1,0)</f>
        <v>1</v>
      </c>
    </row>
    <row r="2375" spans="1:27" x14ac:dyDescent="0.25">
      <c r="A2375" s="1">
        <v>43737</v>
      </c>
      <c r="B2375">
        <v>12784</v>
      </c>
      <c r="C2375" s="2" t="s">
        <v>52</v>
      </c>
      <c r="D2375" s="2" t="s">
        <v>53</v>
      </c>
      <c r="E2375" s="2" t="s">
        <v>33</v>
      </c>
      <c r="F2375">
        <v>4018</v>
      </c>
      <c r="G2375" s="2" t="s">
        <v>77</v>
      </c>
      <c r="H2375" s="2" t="s">
        <v>78</v>
      </c>
      <c r="I2375" s="2" t="s">
        <v>39</v>
      </c>
      <c r="J2375" s="2" t="s">
        <v>28</v>
      </c>
      <c r="K2375" s="2" t="s">
        <v>39</v>
      </c>
      <c r="L2375">
        <v>1621.91</v>
      </c>
      <c r="M2375">
        <v>1</v>
      </c>
      <c r="N2375">
        <v>16.5</v>
      </c>
      <c r="O2375">
        <v>6500948</v>
      </c>
      <c r="P2375" s="2" t="s">
        <v>29</v>
      </c>
      <c r="Q2375" s="2" t="s">
        <v>23</v>
      </c>
      <c r="R2375" s="2" t="s">
        <v>30</v>
      </c>
      <c r="S2375">
        <v>11</v>
      </c>
      <c r="T2375" s="1">
        <v>43737</v>
      </c>
      <c r="U2375" s="1">
        <v>43739</v>
      </c>
      <c r="V2375" s="2"/>
      <c r="W2375" s="1">
        <f>fNotasFiscais[[#This Row],[Data da Coleta]]+fNotasFiscais[[#This Row],[Prazo Contratado]]</f>
        <v>43748</v>
      </c>
      <c r="X2375" s="3">
        <f>IF(fNotasFiscais[[#This Row],[Data da Entrega]]&gt;fNotasFiscais[[#This Row],[Data Contratada]],0,1)</f>
        <v>1</v>
      </c>
      <c r="Y2375" s="3">
        <f>IF(fNotasFiscais[[#This Row],[Ocorrência]]="",1,0)</f>
        <v>1</v>
      </c>
      <c r="Z2375" s="2">
        <f>fNotasFiscais[[#This Row],[On Time]]*fNotasFiscais[[#This Row],[In Full]]</f>
        <v>1</v>
      </c>
      <c r="AA2375">
        <f>IF(fNotasFiscais[[#This Row],[Nota Fiscal]]&lt;&gt;"",1,0)</f>
        <v>1</v>
      </c>
    </row>
    <row r="2376" spans="1:27" x14ac:dyDescent="0.25">
      <c r="A2376" s="1">
        <v>43737</v>
      </c>
      <c r="B2376">
        <v>12785</v>
      </c>
      <c r="C2376" s="2" t="s">
        <v>22</v>
      </c>
      <c r="D2376" s="2" t="s">
        <v>23</v>
      </c>
      <c r="E2376" s="2" t="s">
        <v>24</v>
      </c>
      <c r="F2376">
        <v>4119</v>
      </c>
      <c r="G2376" s="2" t="s">
        <v>202</v>
      </c>
      <c r="H2376" s="2" t="s">
        <v>167</v>
      </c>
      <c r="I2376" s="2" t="s">
        <v>168</v>
      </c>
      <c r="J2376" s="2" t="s">
        <v>169</v>
      </c>
      <c r="K2376" s="2" t="s">
        <v>168</v>
      </c>
      <c r="L2376">
        <v>1404.39</v>
      </c>
      <c r="M2376">
        <v>4</v>
      </c>
      <c r="N2376">
        <v>2.7280000000000002</v>
      </c>
      <c r="O2376">
        <v>6900304</v>
      </c>
      <c r="P2376" s="2" t="s">
        <v>170</v>
      </c>
      <c r="Q2376" s="2" t="s">
        <v>171</v>
      </c>
      <c r="R2376" s="2" t="s">
        <v>30</v>
      </c>
      <c r="S2376">
        <v>12</v>
      </c>
      <c r="T2376" s="1">
        <v>43737</v>
      </c>
      <c r="U2376" s="1">
        <v>43742</v>
      </c>
      <c r="V2376" s="2"/>
      <c r="W2376" s="1">
        <f>fNotasFiscais[[#This Row],[Data da Coleta]]+fNotasFiscais[[#This Row],[Prazo Contratado]]</f>
        <v>43749</v>
      </c>
      <c r="X2376" s="3">
        <f>IF(fNotasFiscais[[#This Row],[Data da Entrega]]&gt;fNotasFiscais[[#This Row],[Data Contratada]],0,1)</f>
        <v>1</v>
      </c>
      <c r="Y2376" s="3">
        <f>IF(fNotasFiscais[[#This Row],[Ocorrência]]="",1,0)</f>
        <v>1</v>
      </c>
      <c r="Z2376" s="2">
        <f>fNotasFiscais[[#This Row],[On Time]]*fNotasFiscais[[#This Row],[In Full]]</f>
        <v>1</v>
      </c>
      <c r="AA2376">
        <f>IF(fNotasFiscais[[#This Row],[Nota Fiscal]]&lt;&gt;"",1,0)</f>
        <v>1</v>
      </c>
    </row>
    <row r="2377" spans="1:27" x14ac:dyDescent="0.25">
      <c r="A2377" s="1">
        <v>43737</v>
      </c>
      <c r="B2377">
        <v>12786</v>
      </c>
      <c r="C2377" s="2" t="s">
        <v>22</v>
      </c>
      <c r="D2377" s="2" t="s">
        <v>23</v>
      </c>
      <c r="E2377" s="2" t="s">
        <v>24</v>
      </c>
      <c r="F2377">
        <v>4064</v>
      </c>
      <c r="G2377" s="2" t="s">
        <v>128</v>
      </c>
      <c r="H2377" s="2" t="s">
        <v>129</v>
      </c>
      <c r="I2377" s="2" t="s">
        <v>33</v>
      </c>
      <c r="J2377" s="2" t="s">
        <v>60</v>
      </c>
      <c r="K2377" s="2" t="s">
        <v>33</v>
      </c>
      <c r="L2377">
        <v>362.23</v>
      </c>
      <c r="M2377">
        <v>1</v>
      </c>
      <c r="N2377">
        <v>0.68200000000000005</v>
      </c>
      <c r="O2377">
        <v>6400835</v>
      </c>
      <c r="P2377" s="2" t="s">
        <v>130</v>
      </c>
      <c r="Q2377" s="2" t="s">
        <v>131</v>
      </c>
      <c r="R2377" s="2" t="s">
        <v>30</v>
      </c>
      <c r="S2377">
        <v>7</v>
      </c>
      <c r="T2377" s="1">
        <v>43737</v>
      </c>
      <c r="U2377" s="1">
        <v>43739</v>
      </c>
      <c r="V2377" s="2"/>
      <c r="W2377" s="1">
        <f>fNotasFiscais[[#This Row],[Data da Coleta]]+fNotasFiscais[[#This Row],[Prazo Contratado]]</f>
        <v>43744</v>
      </c>
      <c r="X2377" s="3">
        <f>IF(fNotasFiscais[[#This Row],[Data da Entrega]]&gt;fNotasFiscais[[#This Row],[Data Contratada]],0,1)</f>
        <v>1</v>
      </c>
      <c r="Y2377" s="3">
        <f>IF(fNotasFiscais[[#This Row],[Ocorrência]]="",1,0)</f>
        <v>1</v>
      </c>
      <c r="Z2377" s="2">
        <f>fNotasFiscais[[#This Row],[On Time]]*fNotasFiscais[[#This Row],[In Full]]</f>
        <v>1</v>
      </c>
      <c r="AA2377">
        <f>IF(fNotasFiscais[[#This Row],[Nota Fiscal]]&lt;&gt;"",1,0)</f>
        <v>1</v>
      </c>
    </row>
    <row r="2378" spans="1:27" x14ac:dyDescent="0.25">
      <c r="A2378" s="1">
        <v>43737</v>
      </c>
      <c r="B2378">
        <v>12787</v>
      </c>
      <c r="C2378" s="2" t="s">
        <v>31</v>
      </c>
      <c r="D2378" s="2" t="s">
        <v>32</v>
      </c>
      <c r="E2378" s="2" t="s">
        <v>33</v>
      </c>
      <c r="F2378">
        <v>4119</v>
      </c>
      <c r="G2378" s="2" t="s">
        <v>202</v>
      </c>
      <c r="H2378" s="2" t="s">
        <v>167</v>
      </c>
      <c r="I2378" s="2" t="s">
        <v>168</v>
      </c>
      <c r="J2378" s="2" t="s">
        <v>169</v>
      </c>
      <c r="K2378" s="2" t="s">
        <v>168</v>
      </c>
      <c r="L2378">
        <v>347.09</v>
      </c>
      <c r="M2378">
        <v>1</v>
      </c>
      <c r="N2378">
        <v>0.68200000000000005</v>
      </c>
      <c r="O2378">
        <v>6900304</v>
      </c>
      <c r="P2378" s="2" t="s">
        <v>170</v>
      </c>
      <c r="Q2378" s="2" t="s">
        <v>171</v>
      </c>
      <c r="R2378" s="2" t="s">
        <v>30</v>
      </c>
      <c r="S2378">
        <v>11</v>
      </c>
      <c r="T2378" s="1">
        <v>43737</v>
      </c>
      <c r="U2378" s="1">
        <v>43743</v>
      </c>
      <c r="V2378" s="2"/>
      <c r="W2378" s="1">
        <f>fNotasFiscais[[#This Row],[Data da Coleta]]+fNotasFiscais[[#This Row],[Prazo Contratado]]</f>
        <v>43748</v>
      </c>
      <c r="X2378" s="3">
        <f>IF(fNotasFiscais[[#This Row],[Data da Entrega]]&gt;fNotasFiscais[[#This Row],[Data Contratada]],0,1)</f>
        <v>1</v>
      </c>
      <c r="Y2378" s="3">
        <f>IF(fNotasFiscais[[#This Row],[Ocorrência]]="",1,0)</f>
        <v>1</v>
      </c>
      <c r="Z2378" s="2">
        <f>fNotasFiscais[[#This Row],[On Time]]*fNotasFiscais[[#This Row],[In Full]]</f>
        <v>1</v>
      </c>
      <c r="AA2378">
        <f>IF(fNotasFiscais[[#This Row],[Nota Fiscal]]&lt;&gt;"",1,0)</f>
        <v>1</v>
      </c>
    </row>
    <row r="2379" spans="1:27" x14ac:dyDescent="0.25">
      <c r="A2379" s="1">
        <v>43737</v>
      </c>
      <c r="B2379">
        <v>12788</v>
      </c>
      <c r="C2379" s="2" t="s">
        <v>22</v>
      </c>
      <c r="D2379" s="2" t="s">
        <v>23</v>
      </c>
      <c r="E2379" s="2" t="s">
        <v>24</v>
      </c>
      <c r="F2379">
        <v>4064</v>
      </c>
      <c r="G2379" s="2" t="s">
        <v>128</v>
      </c>
      <c r="H2379" s="2" t="s">
        <v>129</v>
      </c>
      <c r="I2379" s="2" t="s">
        <v>33</v>
      </c>
      <c r="J2379" s="2" t="s">
        <v>60</v>
      </c>
      <c r="K2379" s="2" t="s">
        <v>33</v>
      </c>
      <c r="L2379">
        <v>725.3</v>
      </c>
      <c r="M2379">
        <v>3</v>
      </c>
      <c r="N2379">
        <v>2.0459999999999998</v>
      </c>
      <c r="O2379">
        <v>6400835</v>
      </c>
      <c r="P2379" s="2" t="s">
        <v>130</v>
      </c>
      <c r="Q2379" s="2" t="s">
        <v>131</v>
      </c>
      <c r="R2379" s="2" t="s">
        <v>30</v>
      </c>
      <c r="S2379">
        <v>5</v>
      </c>
      <c r="T2379" s="1">
        <v>43737</v>
      </c>
      <c r="U2379" s="1">
        <v>43745</v>
      </c>
      <c r="V2379" s="2"/>
      <c r="W2379" s="1">
        <f>fNotasFiscais[[#This Row],[Data da Coleta]]+fNotasFiscais[[#This Row],[Prazo Contratado]]</f>
        <v>43742</v>
      </c>
      <c r="X2379" s="3">
        <f>IF(fNotasFiscais[[#This Row],[Data da Entrega]]&gt;fNotasFiscais[[#This Row],[Data Contratada]],0,1)</f>
        <v>0</v>
      </c>
      <c r="Y2379" s="3">
        <f>IF(fNotasFiscais[[#This Row],[Ocorrência]]="",1,0)</f>
        <v>1</v>
      </c>
      <c r="Z2379" s="2">
        <f>fNotasFiscais[[#This Row],[On Time]]*fNotasFiscais[[#This Row],[In Full]]</f>
        <v>0</v>
      </c>
      <c r="AA2379">
        <f>IF(fNotasFiscais[[#This Row],[Nota Fiscal]]&lt;&gt;"",1,0)</f>
        <v>1</v>
      </c>
    </row>
    <row r="2380" spans="1:27" x14ac:dyDescent="0.25">
      <c r="A2380" s="1">
        <v>43737</v>
      </c>
      <c r="B2380">
        <v>12789</v>
      </c>
      <c r="C2380" s="2" t="s">
        <v>54</v>
      </c>
      <c r="D2380" s="2" t="s">
        <v>55</v>
      </c>
      <c r="E2380" s="2" t="s">
        <v>56</v>
      </c>
      <c r="F2380">
        <v>4119</v>
      </c>
      <c r="G2380" s="2" t="s">
        <v>202</v>
      </c>
      <c r="H2380" s="2" t="s">
        <v>167</v>
      </c>
      <c r="I2380" s="2" t="s">
        <v>168</v>
      </c>
      <c r="J2380" s="2" t="s">
        <v>169</v>
      </c>
      <c r="K2380" s="2" t="s">
        <v>168</v>
      </c>
      <c r="L2380">
        <v>714.05</v>
      </c>
      <c r="M2380">
        <v>2</v>
      </c>
      <c r="N2380">
        <v>1.3640000000000001</v>
      </c>
      <c r="O2380">
        <v>6900304</v>
      </c>
      <c r="P2380" s="2" t="s">
        <v>170</v>
      </c>
      <c r="Q2380" s="2" t="s">
        <v>171</v>
      </c>
      <c r="R2380" s="2" t="s">
        <v>30</v>
      </c>
      <c r="S2380">
        <v>6</v>
      </c>
      <c r="T2380" s="1">
        <v>43737</v>
      </c>
      <c r="U2380" s="1">
        <v>43739</v>
      </c>
      <c r="V2380" s="2"/>
      <c r="W2380" s="1">
        <f>fNotasFiscais[[#This Row],[Data da Coleta]]+fNotasFiscais[[#This Row],[Prazo Contratado]]</f>
        <v>43743</v>
      </c>
      <c r="X2380" s="3">
        <f>IF(fNotasFiscais[[#This Row],[Data da Entrega]]&gt;fNotasFiscais[[#This Row],[Data Contratada]],0,1)</f>
        <v>1</v>
      </c>
      <c r="Y2380" s="3">
        <f>IF(fNotasFiscais[[#This Row],[Ocorrência]]="",1,0)</f>
        <v>1</v>
      </c>
      <c r="Z2380" s="2">
        <f>fNotasFiscais[[#This Row],[On Time]]*fNotasFiscais[[#This Row],[In Full]]</f>
        <v>1</v>
      </c>
      <c r="AA2380">
        <f>IF(fNotasFiscais[[#This Row],[Nota Fiscal]]&lt;&gt;"",1,0)</f>
        <v>1</v>
      </c>
    </row>
    <row r="2381" spans="1:27" x14ac:dyDescent="0.25">
      <c r="A2381" s="1">
        <v>43737</v>
      </c>
      <c r="B2381">
        <v>12790</v>
      </c>
      <c r="C2381" s="2" t="s">
        <v>40</v>
      </c>
      <c r="D2381" s="2" t="s">
        <v>41</v>
      </c>
      <c r="E2381" s="2" t="s">
        <v>33</v>
      </c>
      <c r="F2381">
        <v>4083</v>
      </c>
      <c r="G2381" s="2" t="s">
        <v>154</v>
      </c>
      <c r="H2381" s="2" t="s">
        <v>141</v>
      </c>
      <c r="I2381" s="2" t="s">
        <v>33</v>
      </c>
      <c r="J2381" s="2" t="s">
        <v>60</v>
      </c>
      <c r="K2381" s="2" t="s">
        <v>33</v>
      </c>
      <c r="L2381">
        <v>345.18</v>
      </c>
      <c r="M2381">
        <v>1</v>
      </c>
      <c r="N2381">
        <v>0.68200000000000005</v>
      </c>
      <c r="O2381">
        <v>6400835</v>
      </c>
      <c r="P2381" s="2" t="s">
        <v>130</v>
      </c>
      <c r="Q2381" s="2" t="s">
        <v>131</v>
      </c>
      <c r="R2381" s="2" t="s">
        <v>30</v>
      </c>
      <c r="S2381">
        <v>8</v>
      </c>
      <c r="T2381" s="1">
        <v>43737</v>
      </c>
      <c r="U2381" s="1">
        <v>43743</v>
      </c>
      <c r="V2381" s="2"/>
      <c r="W2381" s="1">
        <f>fNotasFiscais[[#This Row],[Data da Coleta]]+fNotasFiscais[[#This Row],[Prazo Contratado]]</f>
        <v>43745</v>
      </c>
      <c r="X2381" s="3">
        <f>IF(fNotasFiscais[[#This Row],[Data da Entrega]]&gt;fNotasFiscais[[#This Row],[Data Contratada]],0,1)</f>
        <v>1</v>
      </c>
      <c r="Y2381" s="3">
        <f>IF(fNotasFiscais[[#This Row],[Ocorrência]]="",1,0)</f>
        <v>1</v>
      </c>
      <c r="Z2381" s="2">
        <f>fNotasFiscais[[#This Row],[On Time]]*fNotasFiscais[[#This Row],[In Full]]</f>
        <v>1</v>
      </c>
      <c r="AA2381">
        <f>IF(fNotasFiscais[[#This Row],[Nota Fiscal]]&lt;&gt;"",1,0)</f>
        <v>1</v>
      </c>
    </row>
    <row r="2382" spans="1:27" x14ac:dyDescent="0.25">
      <c r="A2382" s="1">
        <v>43737</v>
      </c>
      <c r="B2382">
        <v>12791</v>
      </c>
      <c r="C2382" s="2" t="s">
        <v>22</v>
      </c>
      <c r="D2382" s="2" t="s">
        <v>23</v>
      </c>
      <c r="E2382" s="2" t="s">
        <v>24</v>
      </c>
      <c r="F2382">
        <v>4064</v>
      </c>
      <c r="G2382" s="2" t="s">
        <v>128</v>
      </c>
      <c r="H2382" s="2" t="s">
        <v>129</v>
      </c>
      <c r="I2382" s="2" t="s">
        <v>33</v>
      </c>
      <c r="J2382" s="2" t="s">
        <v>60</v>
      </c>
      <c r="K2382" s="2" t="s">
        <v>33</v>
      </c>
      <c r="L2382">
        <v>682.53</v>
      </c>
      <c r="M2382">
        <v>2</v>
      </c>
      <c r="N2382">
        <v>1.3640000000000001</v>
      </c>
      <c r="O2382">
        <v>6400835</v>
      </c>
      <c r="P2382" s="2" t="s">
        <v>130</v>
      </c>
      <c r="Q2382" s="2" t="s">
        <v>131</v>
      </c>
      <c r="R2382" s="2" t="s">
        <v>30</v>
      </c>
      <c r="S2382">
        <v>12</v>
      </c>
      <c r="T2382" s="1">
        <v>43737</v>
      </c>
      <c r="U2382" s="1">
        <v>43746</v>
      </c>
      <c r="V2382" s="2"/>
      <c r="W2382" s="1">
        <f>fNotasFiscais[[#This Row],[Data da Coleta]]+fNotasFiscais[[#This Row],[Prazo Contratado]]</f>
        <v>43749</v>
      </c>
      <c r="X2382" s="3">
        <f>IF(fNotasFiscais[[#This Row],[Data da Entrega]]&gt;fNotasFiscais[[#This Row],[Data Contratada]],0,1)</f>
        <v>1</v>
      </c>
      <c r="Y2382" s="3">
        <f>IF(fNotasFiscais[[#This Row],[Ocorrência]]="",1,0)</f>
        <v>1</v>
      </c>
      <c r="Z2382" s="2">
        <f>fNotasFiscais[[#This Row],[On Time]]*fNotasFiscais[[#This Row],[In Full]]</f>
        <v>1</v>
      </c>
      <c r="AA2382">
        <f>IF(fNotasFiscais[[#This Row],[Nota Fiscal]]&lt;&gt;"",1,0)</f>
        <v>1</v>
      </c>
    </row>
    <row r="2383" spans="1:27" x14ac:dyDescent="0.25">
      <c r="A2383" s="1">
        <v>43737</v>
      </c>
      <c r="B2383">
        <v>12792</v>
      </c>
      <c r="C2383" s="2" t="s">
        <v>52</v>
      </c>
      <c r="D2383" s="2" t="s">
        <v>53</v>
      </c>
      <c r="E2383" s="2" t="s">
        <v>33</v>
      </c>
      <c r="F2383">
        <v>4119</v>
      </c>
      <c r="G2383" s="2" t="s">
        <v>202</v>
      </c>
      <c r="H2383" s="2" t="s">
        <v>167</v>
      </c>
      <c r="I2383" s="2" t="s">
        <v>168</v>
      </c>
      <c r="J2383" s="2" t="s">
        <v>169</v>
      </c>
      <c r="K2383" s="2" t="s">
        <v>168</v>
      </c>
      <c r="L2383">
        <v>2419.11</v>
      </c>
      <c r="M2383">
        <v>2</v>
      </c>
      <c r="N2383">
        <v>4.774</v>
      </c>
      <c r="O2383">
        <v>6900304</v>
      </c>
      <c r="P2383" s="2" t="s">
        <v>170</v>
      </c>
      <c r="Q2383" s="2" t="s">
        <v>171</v>
      </c>
      <c r="R2383" s="2" t="s">
        <v>30</v>
      </c>
      <c r="S2383">
        <v>7</v>
      </c>
      <c r="T2383" s="1">
        <v>43737</v>
      </c>
      <c r="U2383" s="1">
        <v>43744</v>
      </c>
      <c r="V2383" s="2"/>
      <c r="W2383" s="1">
        <f>fNotasFiscais[[#This Row],[Data da Coleta]]+fNotasFiscais[[#This Row],[Prazo Contratado]]</f>
        <v>43744</v>
      </c>
      <c r="X2383" s="3">
        <f>IF(fNotasFiscais[[#This Row],[Data da Entrega]]&gt;fNotasFiscais[[#This Row],[Data Contratada]],0,1)</f>
        <v>1</v>
      </c>
      <c r="Y2383" s="3">
        <f>IF(fNotasFiscais[[#This Row],[Ocorrência]]="",1,0)</f>
        <v>1</v>
      </c>
      <c r="Z2383" s="2">
        <f>fNotasFiscais[[#This Row],[On Time]]*fNotasFiscais[[#This Row],[In Full]]</f>
        <v>1</v>
      </c>
      <c r="AA2383">
        <f>IF(fNotasFiscais[[#This Row],[Nota Fiscal]]&lt;&gt;"",1,0)</f>
        <v>1</v>
      </c>
    </row>
    <row r="2384" spans="1:27" x14ac:dyDescent="0.25">
      <c r="A2384" s="1">
        <v>43737</v>
      </c>
      <c r="B2384">
        <v>12793</v>
      </c>
      <c r="C2384" s="2" t="s">
        <v>22</v>
      </c>
      <c r="D2384" s="2" t="s">
        <v>23</v>
      </c>
      <c r="E2384" s="2" t="s">
        <v>24</v>
      </c>
      <c r="F2384">
        <v>4083</v>
      </c>
      <c r="G2384" s="2" t="s">
        <v>154</v>
      </c>
      <c r="H2384" s="2" t="s">
        <v>141</v>
      </c>
      <c r="I2384" s="2" t="s">
        <v>33</v>
      </c>
      <c r="J2384" s="2" t="s">
        <v>60</v>
      </c>
      <c r="K2384" s="2" t="s">
        <v>33</v>
      </c>
      <c r="L2384">
        <v>362.23</v>
      </c>
      <c r="M2384">
        <v>1</v>
      </c>
      <c r="N2384">
        <v>0.68200000000000005</v>
      </c>
      <c r="O2384">
        <v>6400835</v>
      </c>
      <c r="P2384" s="2" t="s">
        <v>130</v>
      </c>
      <c r="Q2384" s="2" t="s">
        <v>131</v>
      </c>
      <c r="R2384" s="2" t="s">
        <v>30</v>
      </c>
      <c r="S2384">
        <v>7</v>
      </c>
      <c r="T2384" s="1">
        <v>43737</v>
      </c>
      <c r="U2384" s="1">
        <v>43746</v>
      </c>
      <c r="V2384" s="2"/>
      <c r="W2384" s="1">
        <f>fNotasFiscais[[#This Row],[Data da Coleta]]+fNotasFiscais[[#This Row],[Prazo Contratado]]</f>
        <v>43744</v>
      </c>
      <c r="X2384" s="3">
        <f>IF(fNotasFiscais[[#This Row],[Data da Entrega]]&gt;fNotasFiscais[[#This Row],[Data Contratada]],0,1)</f>
        <v>0</v>
      </c>
      <c r="Y2384" s="3">
        <f>IF(fNotasFiscais[[#This Row],[Ocorrência]]="",1,0)</f>
        <v>1</v>
      </c>
      <c r="Z2384" s="2">
        <f>fNotasFiscais[[#This Row],[On Time]]*fNotasFiscais[[#This Row],[In Full]]</f>
        <v>0</v>
      </c>
      <c r="AA2384">
        <f>IF(fNotasFiscais[[#This Row],[Nota Fiscal]]&lt;&gt;"",1,0)</f>
        <v>1</v>
      </c>
    </row>
    <row r="2385" spans="1:27" x14ac:dyDescent="0.25">
      <c r="A2385" s="1">
        <v>43737</v>
      </c>
      <c r="B2385">
        <v>12794</v>
      </c>
      <c r="C2385" s="2" t="s">
        <v>22</v>
      </c>
      <c r="D2385" s="2" t="s">
        <v>23</v>
      </c>
      <c r="E2385" s="2" t="s">
        <v>24</v>
      </c>
      <c r="F2385">
        <v>4083</v>
      </c>
      <c r="G2385" s="2" t="s">
        <v>154</v>
      </c>
      <c r="H2385" s="2" t="s">
        <v>141</v>
      </c>
      <c r="I2385" s="2" t="s">
        <v>33</v>
      </c>
      <c r="J2385" s="2" t="s">
        <v>60</v>
      </c>
      <c r="K2385" s="2" t="s">
        <v>33</v>
      </c>
      <c r="L2385">
        <v>6237.32</v>
      </c>
      <c r="M2385">
        <v>3</v>
      </c>
      <c r="N2385">
        <v>12.276</v>
      </c>
      <c r="O2385">
        <v>6400835</v>
      </c>
      <c r="P2385" s="2" t="s">
        <v>130</v>
      </c>
      <c r="Q2385" s="2" t="s">
        <v>131</v>
      </c>
      <c r="R2385" s="2" t="s">
        <v>30</v>
      </c>
      <c r="S2385">
        <v>8</v>
      </c>
      <c r="T2385" s="1">
        <v>43737</v>
      </c>
      <c r="U2385" s="1">
        <v>43741</v>
      </c>
      <c r="V2385" s="2"/>
      <c r="W2385" s="1">
        <f>fNotasFiscais[[#This Row],[Data da Coleta]]+fNotasFiscais[[#This Row],[Prazo Contratado]]</f>
        <v>43745</v>
      </c>
      <c r="X2385" s="3">
        <f>IF(fNotasFiscais[[#This Row],[Data da Entrega]]&gt;fNotasFiscais[[#This Row],[Data Contratada]],0,1)</f>
        <v>1</v>
      </c>
      <c r="Y2385" s="3">
        <f>IF(fNotasFiscais[[#This Row],[Ocorrência]]="",1,0)</f>
        <v>1</v>
      </c>
      <c r="Z2385" s="2">
        <f>fNotasFiscais[[#This Row],[On Time]]*fNotasFiscais[[#This Row],[In Full]]</f>
        <v>1</v>
      </c>
      <c r="AA2385">
        <f>IF(fNotasFiscais[[#This Row],[Nota Fiscal]]&lt;&gt;"",1,0)</f>
        <v>1</v>
      </c>
    </row>
    <row r="2386" spans="1:27" x14ac:dyDescent="0.25">
      <c r="A2386" s="1">
        <v>43737</v>
      </c>
      <c r="B2386">
        <v>12795</v>
      </c>
      <c r="C2386" s="2" t="s">
        <v>34</v>
      </c>
      <c r="D2386" s="2" t="s">
        <v>35</v>
      </c>
      <c r="E2386" s="2" t="s">
        <v>36</v>
      </c>
      <c r="F2386">
        <v>4064</v>
      </c>
      <c r="G2386" s="2" t="s">
        <v>128</v>
      </c>
      <c r="H2386" s="2" t="s">
        <v>129</v>
      </c>
      <c r="I2386" s="2" t="s">
        <v>33</v>
      </c>
      <c r="J2386" s="2" t="s">
        <v>60</v>
      </c>
      <c r="K2386" s="2" t="s">
        <v>33</v>
      </c>
      <c r="L2386">
        <v>2776.72</v>
      </c>
      <c r="M2386">
        <v>1</v>
      </c>
      <c r="N2386">
        <v>5.4560000000000004</v>
      </c>
      <c r="O2386">
        <v>6400835</v>
      </c>
      <c r="P2386" s="2" t="s">
        <v>130</v>
      </c>
      <c r="Q2386" s="2" t="s">
        <v>131</v>
      </c>
      <c r="R2386" s="2" t="s">
        <v>30</v>
      </c>
      <c r="S2386">
        <v>9</v>
      </c>
      <c r="T2386" s="1">
        <v>43737</v>
      </c>
      <c r="U2386" s="1">
        <v>43746</v>
      </c>
      <c r="V2386" s="2" t="s">
        <v>57</v>
      </c>
      <c r="W2386" s="1">
        <f>fNotasFiscais[[#This Row],[Data da Coleta]]+fNotasFiscais[[#This Row],[Prazo Contratado]]</f>
        <v>43746</v>
      </c>
      <c r="X2386" s="3">
        <f>IF(fNotasFiscais[[#This Row],[Data da Entrega]]&gt;fNotasFiscais[[#This Row],[Data Contratada]],0,1)</f>
        <v>1</v>
      </c>
      <c r="Y2386" s="3">
        <f>IF(fNotasFiscais[[#This Row],[Ocorrência]]="",1,0)</f>
        <v>0</v>
      </c>
      <c r="Z2386" s="2">
        <f>fNotasFiscais[[#This Row],[On Time]]*fNotasFiscais[[#This Row],[In Full]]</f>
        <v>0</v>
      </c>
      <c r="AA2386">
        <f>IF(fNotasFiscais[[#This Row],[Nota Fiscal]]&lt;&gt;"",1,0)</f>
        <v>1</v>
      </c>
    </row>
    <row r="2387" spans="1:27" x14ac:dyDescent="0.25">
      <c r="A2387" s="1">
        <v>43737</v>
      </c>
      <c r="B2387">
        <v>12796</v>
      </c>
      <c r="C2387" s="2" t="s">
        <v>43</v>
      </c>
      <c r="D2387" s="2" t="s">
        <v>44</v>
      </c>
      <c r="E2387" s="2" t="s">
        <v>45</v>
      </c>
      <c r="F2387">
        <v>4119</v>
      </c>
      <c r="G2387" s="2" t="s">
        <v>202</v>
      </c>
      <c r="H2387" s="2" t="s">
        <v>167</v>
      </c>
      <c r="I2387" s="2" t="s">
        <v>168</v>
      </c>
      <c r="J2387" s="2" t="s">
        <v>169</v>
      </c>
      <c r="K2387" s="2" t="s">
        <v>168</v>
      </c>
      <c r="L2387">
        <v>3545.45</v>
      </c>
      <c r="M2387">
        <v>1</v>
      </c>
      <c r="N2387">
        <v>6.82</v>
      </c>
      <c r="O2387">
        <v>6900304</v>
      </c>
      <c r="P2387" s="2" t="s">
        <v>170</v>
      </c>
      <c r="Q2387" s="2" t="s">
        <v>171</v>
      </c>
      <c r="R2387" s="2" t="s">
        <v>30</v>
      </c>
      <c r="S2387">
        <v>12</v>
      </c>
      <c r="T2387" s="1">
        <v>43737</v>
      </c>
      <c r="U2387" s="1">
        <v>43747</v>
      </c>
      <c r="V2387" s="2"/>
      <c r="W2387" s="1">
        <f>fNotasFiscais[[#This Row],[Data da Coleta]]+fNotasFiscais[[#This Row],[Prazo Contratado]]</f>
        <v>43749</v>
      </c>
      <c r="X2387" s="3">
        <f>IF(fNotasFiscais[[#This Row],[Data da Entrega]]&gt;fNotasFiscais[[#This Row],[Data Contratada]],0,1)</f>
        <v>1</v>
      </c>
      <c r="Y2387" s="3">
        <f>IF(fNotasFiscais[[#This Row],[Ocorrência]]="",1,0)</f>
        <v>1</v>
      </c>
      <c r="Z2387" s="2">
        <f>fNotasFiscais[[#This Row],[On Time]]*fNotasFiscais[[#This Row],[In Full]]</f>
        <v>1</v>
      </c>
      <c r="AA2387">
        <f>IF(fNotasFiscais[[#This Row],[Nota Fiscal]]&lt;&gt;"",1,0)</f>
        <v>1</v>
      </c>
    </row>
    <row r="2388" spans="1:27" x14ac:dyDescent="0.25">
      <c r="A2388" s="1">
        <v>43737</v>
      </c>
      <c r="B2388">
        <v>12797</v>
      </c>
      <c r="C2388" s="2" t="s">
        <v>22</v>
      </c>
      <c r="D2388" s="2" t="s">
        <v>23</v>
      </c>
      <c r="E2388" s="2" t="s">
        <v>24</v>
      </c>
      <c r="F2388">
        <v>4064</v>
      </c>
      <c r="G2388" s="2" t="s">
        <v>128</v>
      </c>
      <c r="H2388" s="2" t="s">
        <v>129</v>
      </c>
      <c r="I2388" s="2" t="s">
        <v>33</v>
      </c>
      <c r="J2388" s="2" t="s">
        <v>60</v>
      </c>
      <c r="K2388" s="2" t="s">
        <v>33</v>
      </c>
      <c r="L2388">
        <v>724.47</v>
      </c>
      <c r="M2388">
        <v>2</v>
      </c>
      <c r="N2388">
        <v>1.3640000000000001</v>
      </c>
      <c r="O2388">
        <v>6400835</v>
      </c>
      <c r="P2388" s="2" t="s">
        <v>130</v>
      </c>
      <c r="Q2388" s="2" t="s">
        <v>131</v>
      </c>
      <c r="R2388" s="2" t="s">
        <v>30</v>
      </c>
      <c r="S2388">
        <v>9</v>
      </c>
      <c r="T2388" s="1">
        <v>43737</v>
      </c>
      <c r="U2388" s="1">
        <v>43746</v>
      </c>
      <c r="V2388" s="2"/>
      <c r="W2388" s="1">
        <f>fNotasFiscais[[#This Row],[Data da Coleta]]+fNotasFiscais[[#This Row],[Prazo Contratado]]</f>
        <v>43746</v>
      </c>
      <c r="X2388" s="3">
        <f>IF(fNotasFiscais[[#This Row],[Data da Entrega]]&gt;fNotasFiscais[[#This Row],[Data Contratada]],0,1)</f>
        <v>1</v>
      </c>
      <c r="Y2388" s="3">
        <f>IF(fNotasFiscais[[#This Row],[Ocorrência]]="",1,0)</f>
        <v>1</v>
      </c>
      <c r="Z2388" s="2">
        <f>fNotasFiscais[[#This Row],[On Time]]*fNotasFiscais[[#This Row],[In Full]]</f>
        <v>1</v>
      </c>
      <c r="AA2388">
        <f>IF(fNotasFiscais[[#This Row],[Nota Fiscal]]&lt;&gt;"",1,0)</f>
        <v>1</v>
      </c>
    </row>
    <row r="2389" spans="1:27" x14ac:dyDescent="0.25">
      <c r="A2389" s="1">
        <v>43737</v>
      </c>
      <c r="B2389">
        <v>12798</v>
      </c>
      <c r="C2389" s="2" t="s">
        <v>40</v>
      </c>
      <c r="D2389" s="2" t="s">
        <v>41</v>
      </c>
      <c r="E2389" s="2" t="s">
        <v>33</v>
      </c>
      <c r="F2389">
        <v>4083</v>
      </c>
      <c r="G2389" s="2" t="s">
        <v>154</v>
      </c>
      <c r="H2389" s="2" t="s">
        <v>141</v>
      </c>
      <c r="I2389" s="2" t="s">
        <v>33</v>
      </c>
      <c r="J2389" s="2" t="s">
        <v>60</v>
      </c>
      <c r="K2389" s="2" t="s">
        <v>33</v>
      </c>
      <c r="L2389">
        <v>762.33</v>
      </c>
      <c r="M2389">
        <v>1</v>
      </c>
      <c r="N2389">
        <v>5.72</v>
      </c>
      <c r="O2389">
        <v>6400835</v>
      </c>
      <c r="P2389" s="2" t="s">
        <v>130</v>
      </c>
      <c r="Q2389" s="2" t="s">
        <v>131</v>
      </c>
      <c r="R2389" s="2" t="s">
        <v>30</v>
      </c>
      <c r="S2389">
        <v>4</v>
      </c>
      <c r="T2389" s="1">
        <v>43737</v>
      </c>
      <c r="U2389" s="1">
        <v>43742</v>
      </c>
      <c r="V2389" s="2"/>
      <c r="W2389" s="1">
        <f>fNotasFiscais[[#This Row],[Data da Coleta]]+fNotasFiscais[[#This Row],[Prazo Contratado]]</f>
        <v>43741</v>
      </c>
      <c r="X2389" s="3">
        <f>IF(fNotasFiscais[[#This Row],[Data da Entrega]]&gt;fNotasFiscais[[#This Row],[Data Contratada]],0,1)</f>
        <v>0</v>
      </c>
      <c r="Y2389" s="3">
        <f>IF(fNotasFiscais[[#This Row],[Ocorrência]]="",1,0)</f>
        <v>1</v>
      </c>
      <c r="Z2389" s="2">
        <f>fNotasFiscais[[#This Row],[On Time]]*fNotasFiscais[[#This Row],[In Full]]</f>
        <v>0</v>
      </c>
      <c r="AA2389">
        <f>IF(fNotasFiscais[[#This Row],[Nota Fiscal]]&lt;&gt;"",1,0)</f>
        <v>1</v>
      </c>
    </row>
    <row r="2390" spans="1:27" x14ac:dyDescent="0.25">
      <c r="A2390" s="1">
        <v>43737</v>
      </c>
      <c r="B2390">
        <v>12799</v>
      </c>
      <c r="C2390" s="2" t="s">
        <v>54</v>
      </c>
      <c r="D2390" s="2" t="s">
        <v>55</v>
      </c>
      <c r="E2390" s="2" t="s">
        <v>56</v>
      </c>
      <c r="F2390">
        <v>4083</v>
      </c>
      <c r="G2390" s="2" t="s">
        <v>154</v>
      </c>
      <c r="H2390" s="2" t="s">
        <v>141</v>
      </c>
      <c r="I2390" s="2" t="s">
        <v>33</v>
      </c>
      <c r="J2390" s="2" t="s">
        <v>60</v>
      </c>
      <c r="K2390" s="2" t="s">
        <v>33</v>
      </c>
      <c r="L2390">
        <v>1139.3699999999999</v>
      </c>
      <c r="M2390">
        <v>3</v>
      </c>
      <c r="N2390">
        <v>2.0459999999999998</v>
      </c>
      <c r="O2390">
        <v>6400835</v>
      </c>
      <c r="P2390" s="2" t="s">
        <v>130</v>
      </c>
      <c r="Q2390" s="2" t="s">
        <v>131</v>
      </c>
      <c r="R2390" s="2" t="s">
        <v>30</v>
      </c>
      <c r="S2390">
        <v>12</v>
      </c>
      <c r="T2390" s="1">
        <v>43737</v>
      </c>
      <c r="U2390" s="1">
        <v>43743</v>
      </c>
      <c r="V2390" s="2"/>
      <c r="W2390" s="1">
        <f>fNotasFiscais[[#This Row],[Data da Coleta]]+fNotasFiscais[[#This Row],[Prazo Contratado]]</f>
        <v>43749</v>
      </c>
      <c r="X2390" s="3">
        <f>IF(fNotasFiscais[[#This Row],[Data da Entrega]]&gt;fNotasFiscais[[#This Row],[Data Contratada]],0,1)</f>
        <v>1</v>
      </c>
      <c r="Y2390" s="3">
        <f>IF(fNotasFiscais[[#This Row],[Ocorrência]]="",1,0)</f>
        <v>1</v>
      </c>
      <c r="Z2390" s="2">
        <f>fNotasFiscais[[#This Row],[On Time]]*fNotasFiscais[[#This Row],[In Full]]</f>
        <v>1</v>
      </c>
      <c r="AA2390">
        <f>IF(fNotasFiscais[[#This Row],[Nota Fiscal]]&lt;&gt;"",1,0)</f>
        <v>1</v>
      </c>
    </row>
    <row r="2391" spans="1:27" x14ac:dyDescent="0.25">
      <c r="A2391" s="1">
        <v>43737</v>
      </c>
      <c r="B2391">
        <v>12800</v>
      </c>
      <c r="C2391" s="2" t="s">
        <v>54</v>
      </c>
      <c r="D2391" s="2" t="s">
        <v>55</v>
      </c>
      <c r="E2391" s="2" t="s">
        <v>56</v>
      </c>
      <c r="F2391">
        <v>4064</v>
      </c>
      <c r="G2391" s="2" t="s">
        <v>128</v>
      </c>
      <c r="H2391" s="2" t="s">
        <v>129</v>
      </c>
      <c r="I2391" s="2" t="s">
        <v>33</v>
      </c>
      <c r="J2391" s="2" t="s">
        <v>60</v>
      </c>
      <c r="K2391" s="2" t="s">
        <v>33</v>
      </c>
      <c r="L2391">
        <v>1404.39</v>
      </c>
      <c r="M2391">
        <v>4</v>
      </c>
      <c r="N2391">
        <v>2.7280000000000002</v>
      </c>
      <c r="O2391">
        <v>6400835</v>
      </c>
      <c r="P2391" s="2" t="s">
        <v>130</v>
      </c>
      <c r="Q2391" s="2" t="s">
        <v>131</v>
      </c>
      <c r="R2391" s="2" t="s">
        <v>30</v>
      </c>
      <c r="S2391">
        <v>12</v>
      </c>
      <c r="T2391" s="1">
        <v>43737</v>
      </c>
      <c r="U2391" s="1">
        <v>43741</v>
      </c>
      <c r="V2391" s="2"/>
      <c r="W2391" s="1">
        <f>fNotasFiscais[[#This Row],[Data da Coleta]]+fNotasFiscais[[#This Row],[Prazo Contratado]]</f>
        <v>43749</v>
      </c>
      <c r="X2391" s="3">
        <f>IF(fNotasFiscais[[#This Row],[Data da Entrega]]&gt;fNotasFiscais[[#This Row],[Data Contratada]],0,1)</f>
        <v>1</v>
      </c>
      <c r="Y2391" s="3">
        <f>IF(fNotasFiscais[[#This Row],[Ocorrência]]="",1,0)</f>
        <v>1</v>
      </c>
      <c r="Z2391" s="2">
        <f>fNotasFiscais[[#This Row],[On Time]]*fNotasFiscais[[#This Row],[In Full]]</f>
        <v>1</v>
      </c>
      <c r="AA2391">
        <f>IF(fNotasFiscais[[#This Row],[Nota Fiscal]]&lt;&gt;"",1,0)</f>
        <v>1</v>
      </c>
    </row>
    <row r="2392" spans="1:27" x14ac:dyDescent="0.25">
      <c r="A2392" s="1">
        <v>43737</v>
      </c>
      <c r="B2392">
        <v>12801</v>
      </c>
      <c r="C2392" s="2" t="s">
        <v>54</v>
      </c>
      <c r="D2392" s="2" t="s">
        <v>55</v>
      </c>
      <c r="E2392" s="2" t="s">
        <v>56</v>
      </c>
      <c r="F2392">
        <v>4064</v>
      </c>
      <c r="G2392" s="2" t="s">
        <v>128</v>
      </c>
      <c r="H2392" s="2" t="s">
        <v>129</v>
      </c>
      <c r="I2392" s="2" t="s">
        <v>33</v>
      </c>
      <c r="J2392" s="2" t="s">
        <v>60</v>
      </c>
      <c r="K2392" s="2" t="s">
        <v>33</v>
      </c>
      <c r="L2392">
        <v>711.71</v>
      </c>
      <c r="M2392">
        <v>2</v>
      </c>
      <c r="N2392">
        <v>1.3640000000000001</v>
      </c>
      <c r="O2392">
        <v>6400835</v>
      </c>
      <c r="P2392" s="2" t="s">
        <v>130</v>
      </c>
      <c r="Q2392" s="2" t="s">
        <v>131</v>
      </c>
      <c r="R2392" s="2" t="s">
        <v>30</v>
      </c>
      <c r="S2392">
        <v>11</v>
      </c>
      <c r="T2392" s="1">
        <v>43737</v>
      </c>
      <c r="U2392" s="1">
        <v>43745</v>
      </c>
      <c r="V2392" s="2"/>
      <c r="W2392" s="1">
        <f>fNotasFiscais[[#This Row],[Data da Coleta]]+fNotasFiscais[[#This Row],[Prazo Contratado]]</f>
        <v>43748</v>
      </c>
      <c r="X2392" s="3">
        <f>IF(fNotasFiscais[[#This Row],[Data da Entrega]]&gt;fNotasFiscais[[#This Row],[Data Contratada]],0,1)</f>
        <v>1</v>
      </c>
      <c r="Y2392" s="3">
        <f>IF(fNotasFiscais[[#This Row],[Ocorrência]]="",1,0)</f>
        <v>1</v>
      </c>
      <c r="Z2392" s="2">
        <f>fNotasFiscais[[#This Row],[On Time]]*fNotasFiscais[[#This Row],[In Full]]</f>
        <v>1</v>
      </c>
      <c r="AA2392">
        <f>IF(fNotasFiscais[[#This Row],[Nota Fiscal]]&lt;&gt;"",1,0)</f>
        <v>1</v>
      </c>
    </row>
    <row r="2393" spans="1:27" x14ac:dyDescent="0.25">
      <c r="A2393" s="1">
        <v>43737</v>
      </c>
      <c r="B2393">
        <v>12802</v>
      </c>
      <c r="C2393" s="2" t="s">
        <v>22</v>
      </c>
      <c r="D2393" s="2" t="s">
        <v>23</v>
      </c>
      <c r="E2393" s="2" t="s">
        <v>24</v>
      </c>
      <c r="F2393">
        <v>4083</v>
      </c>
      <c r="G2393" s="2" t="s">
        <v>154</v>
      </c>
      <c r="H2393" s="2" t="s">
        <v>141</v>
      </c>
      <c r="I2393" s="2" t="s">
        <v>33</v>
      </c>
      <c r="J2393" s="2" t="s">
        <v>60</v>
      </c>
      <c r="K2393" s="2" t="s">
        <v>33</v>
      </c>
      <c r="L2393">
        <v>1061.69</v>
      </c>
      <c r="M2393">
        <v>3</v>
      </c>
      <c r="N2393">
        <v>2.0459999999999998</v>
      </c>
      <c r="O2393">
        <v>6400835</v>
      </c>
      <c r="P2393" s="2" t="s">
        <v>130</v>
      </c>
      <c r="Q2393" s="2" t="s">
        <v>131</v>
      </c>
      <c r="R2393" s="2" t="s">
        <v>30</v>
      </c>
      <c r="S2393">
        <v>8</v>
      </c>
      <c r="T2393" s="1">
        <v>43737</v>
      </c>
      <c r="U2393" s="1">
        <v>43738</v>
      </c>
      <c r="V2393" s="2"/>
      <c r="W2393" s="1">
        <f>fNotasFiscais[[#This Row],[Data da Coleta]]+fNotasFiscais[[#This Row],[Prazo Contratado]]</f>
        <v>43745</v>
      </c>
      <c r="X2393" s="3">
        <f>IF(fNotasFiscais[[#This Row],[Data da Entrega]]&gt;fNotasFiscais[[#This Row],[Data Contratada]],0,1)</f>
        <v>1</v>
      </c>
      <c r="Y2393" s="3">
        <f>IF(fNotasFiscais[[#This Row],[Ocorrência]]="",1,0)</f>
        <v>1</v>
      </c>
      <c r="Z2393" s="2">
        <f>fNotasFiscais[[#This Row],[On Time]]*fNotasFiscais[[#This Row],[In Full]]</f>
        <v>1</v>
      </c>
      <c r="AA2393">
        <f>IF(fNotasFiscais[[#This Row],[Nota Fiscal]]&lt;&gt;"",1,0)</f>
        <v>1</v>
      </c>
    </row>
    <row r="2394" spans="1:27" x14ac:dyDescent="0.25">
      <c r="A2394" s="1">
        <v>43737</v>
      </c>
      <c r="B2394">
        <v>12803</v>
      </c>
      <c r="C2394" s="2" t="s">
        <v>34</v>
      </c>
      <c r="D2394" s="2" t="s">
        <v>35</v>
      </c>
      <c r="E2394" s="2" t="s">
        <v>36</v>
      </c>
      <c r="F2394">
        <v>4083</v>
      </c>
      <c r="G2394" s="2" t="s">
        <v>154</v>
      </c>
      <c r="H2394" s="2" t="s">
        <v>141</v>
      </c>
      <c r="I2394" s="2" t="s">
        <v>33</v>
      </c>
      <c r="J2394" s="2" t="s">
        <v>60</v>
      </c>
      <c r="K2394" s="2" t="s">
        <v>33</v>
      </c>
      <c r="L2394">
        <v>3925.71</v>
      </c>
      <c r="M2394">
        <v>5</v>
      </c>
      <c r="N2394">
        <v>7.5019999999999998</v>
      </c>
      <c r="O2394">
        <v>6400835</v>
      </c>
      <c r="P2394" s="2" t="s">
        <v>130</v>
      </c>
      <c r="Q2394" s="2" t="s">
        <v>131</v>
      </c>
      <c r="R2394" s="2" t="s">
        <v>30</v>
      </c>
      <c r="S2394">
        <v>5</v>
      </c>
      <c r="T2394" s="1">
        <v>43737</v>
      </c>
      <c r="U2394" s="1">
        <v>43743</v>
      </c>
      <c r="V2394" s="2"/>
      <c r="W2394" s="1">
        <f>fNotasFiscais[[#This Row],[Data da Coleta]]+fNotasFiscais[[#This Row],[Prazo Contratado]]</f>
        <v>43742</v>
      </c>
      <c r="X2394" s="3">
        <f>IF(fNotasFiscais[[#This Row],[Data da Entrega]]&gt;fNotasFiscais[[#This Row],[Data Contratada]],0,1)</f>
        <v>0</v>
      </c>
      <c r="Y2394" s="3">
        <f>IF(fNotasFiscais[[#This Row],[Ocorrência]]="",1,0)</f>
        <v>1</v>
      </c>
      <c r="Z2394" s="2">
        <f>fNotasFiscais[[#This Row],[On Time]]*fNotasFiscais[[#This Row],[In Full]]</f>
        <v>0</v>
      </c>
      <c r="AA2394">
        <f>IF(fNotasFiscais[[#This Row],[Nota Fiscal]]&lt;&gt;"",1,0)</f>
        <v>1</v>
      </c>
    </row>
    <row r="2395" spans="1:27" x14ac:dyDescent="0.25">
      <c r="A2395" s="1">
        <v>43737</v>
      </c>
      <c r="B2395">
        <v>12804</v>
      </c>
      <c r="C2395" s="2" t="s">
        <v>34</v>
      </c>
      <c r="D2395" s="2" t="s">
        <v>35</v>
      </c>
      <c r="E2395" s="2" t="s">
        <v>36</v>
      </c>
      <c r="F2395">
        <v>4083</v>
      </c>
      <c r="G2395" s="2" t="s">
        <v>154</v>
      </c>
      <c r="H2395" s="2" t="s">
        <v>141</v>
      </c>
      <c r="I2395" s="2" t="s">
        <v>33</v>
      </c>
      <c r="J2395" s="2" t="s">
        <v>60</v>
      </c>
      <c r="K2395" s="2" t="s">
        <v>33</v>
      </c>
      <c r="L2395">
        <v>5481.59</v>
      </c>
      <c r="M2395">
        <v>2</v>
      </c>
      <c r="N2395">
        <v>10.912000000000001</v>
      </c>
      <c r="O2395">
        <v>6400835</v>
      </c>
      <c r="P2395" s="2" t="s">
        <v>130</v>
      </c>
      <c r="Q2395" s="2" t="s">
        <v>131</v>
      </c>
      <c r="R2395" s="2" t="s">
        <v>30</v>
      </c>
      <c r="S2395">
        <v>11</v>
      </c>
      <c r="T2395" s="1">
        <v>43737</v>
      </c>
      <c r="U2395" s="1">
        <v>43738</v>
      </c>
      <c r="V2395" s="2"/>
      <c r="W2395" s="1">
        <f>fNotasFiscais[[#This Row],[Data da Coleta]]+fNotasFiscais[[#This Row],[Prazo Contratado]]</f>
        <v>43748</v>
      </c>
      <c r="X2395" s="3">
        <f>IF(fNotasFiscais[[#This Row],[Data da Entrega]]&gt;fNotasFiscais[[#This Row],[Data Contratada]],0,1)</f>
        <v>1</v>
      </c>
      <c r="Y2395" s="3">
        <f>IF(fNotasFiscais[[#This Row],[Ocorrência]]="",1,0)</f>
        <v>1</v>
      </c>
      <c r="Z2395" s="2">
        <f>fNotasFiscais[[#This Row],[On Time]]*fNotasFiscais[[#This Row],[In Full]]</f>
        <v>1</v>
      </c>
      <c r="AA2395">
        <f>IF(fNotasFiscais[[#This Row],[Nota Fiscal]]&lt;&gt;"",1,0)</f>
        <v>1</v>
      </c>
    </row>
    <row r="2396" spans="1:27" x14ac:dyDescent="0.25">
      <c r="A2396" s="1">
        <v>43739</v>
      </c>
      <c r="B2396">
        <v>12805</v>
      </c>
      <c r="C2396" s="2" t="s">
        <v>54</v>
      </c>
      <c r="D2396" s="2" t="s">
        <v>55</v>
      </c>
      <c r="E2396" s="2" t="s">
        <v>56</v>
      </c>
      <c r="F2396">
        <v>4190</v>
      </c>
      <c r="G2396" s="2" t="s">
        <v>273</v>
      </c>
      <c r="H2396" s="2" t="s">
        <v>35</v>
      </c>
      <c r="I2396" s="2" t="s">
        <v>36</v>
      </c>
      <c r="J2396" s="2" t="s">
        <v>60</v>
      </c>
      <c r="K2396" s="2" t="s">
        <v>36</v>
      </c>
      <c r="L2396">
        <v>2139.58</v>
      </c>
      <c r="M2396">
        <v>1</v>
      </c>
      <c r="N2396">
        <v>4.0919999999999996</v>
      </c>
      <c r="O2396">
        <v>6600879</v>
      </c>
      <c r="P2396" s="2" t="s">
        <v>61</v>
      </c>
      <c r="Q2396" s="2" t="s">
        <v>35</v>
      </c>
      <c r="R2396" s="2" t="s">
        <v>30</v>
      </c>
      <c r="S2396">
        <v>4</v>
      </c>
      <c r="T2396" s="1">
        <v>43739</v>
      </c>
      <c r="U2396" s="1">
        <v>43741</v>
      </c>
      <c r="V2396" s="2"/>
      <c r="W2396" s="1">
        <f>fNotasFiscais[[#This Row],[Data da Coleta]]+fNotasFiscais[[#This Row],[Prazo Contratado]]</f>
        <v>43743</v>
      </c>
      <c r="X2396" s="3">
        <f>IF(fNotasFiscais[[#This Row],[Data da Entrega]]&gt;fNotasFiscais[[#This Row],[Data Contratada]],0,1)</f>
        <v>1</v>
      </c>
      <c r="Y2396" s="3">
        <f>IF(fNotasFiscais[[#This Row],[Ocorrência]]="",1,0)</f>
        <v>1</v>
      </c>
      <c r="Z2396" s="2">
        <f>fNotasFiscais[[#This Row],[On Time]]*fNotasFiscais[[#This Row],[In Full]]</f>
        <v>1</v>
      </c>
      <c r="AA2396">
        <f>IF(fNotasFiscais[[#This Row],[Nota Fiscal]]&lt;&gt;"",1,0)</f>
        <v>1</v>
      </c>
    </row>
    <row r="2397" spans="1:27" x14ac:dyDescent="0.25">
      <c r="A2397" s="1">
        <v>43739</v>
      </c>
      <c r="B2397">
        <v>12806</v>
      </c>
      <c r="C2397" s="2" t="s">
        <v>54</v>
      </c>
      <c r="D2397" s="2" t="s">
        <v>55</v>
      </c>
      <c r="E2397" s="2" t="s">
        <v>56</v>
      </c>
      <c r="F2397">
        <v>4157</v>
      </c>
      <c r="G2397" s="2" t="s">
        <v>240</v>
      </c>
      <c r="H2397" s="2" t="s">
        <v>35</v>
      </c>
      <c r="I2397" s="2" t="s">
        <v>36</v>
      </c>
      <c r="J2397" s="2" t="s">
        <v>60</v>
      </c>
      <c r="K2397" s="2" t="s">
        <v>36</v>
      </c>
      <c r="L2397">
        <v>8696.14</v>
      </c>
      <c r="M2397">
        <v>15</v>
      </c>
      <c r="N2397">
        <v>114.828</v>
      </c>
      <c r="O2397">
        <v>6600879</v>
      </c>
      <c r="P2397" s="2" t="s">
        <v>61</v>
      </c>
      <c r="Q2397" s="2" t="s">
        <v>35</v>
      </c>
      <c r="R2397" s="2" t="s">
        <v>30</v>
      </c>
      <c r="S2397">
        <v>9</v>
      </c>
      <c r="T2397" s="1">
        <v>43739</v>
      </c>
      <c r="U2397" s="1">
        <v>43749</v>
      </c>
      <c r="V2397" s="2"/>
      <c r="W2397" s="1">
        <f>fNotasFiscais[[#This Row],[Data da Coleta]]+fNotasFiscais[[#This Row],[Prazo Contratado]]</f>
        <v>43748</v>
      </c>
      <c r="X2397" s="3">
        <f>IF(fNotasFiscais[[#This Row],[Data da Entrega]]&gt;fNotasFiscais[[#This Row],[Data Contratada]],0,1)</f>
        <v>0</v>
      </c>
      <c r="Y2397" s="3">
        <f>IF(fNotasFiscais[[#This Row],[Ocorrência]]="",1,0)</f>
        <v>1</v>
      </c>
      <c r="Z2397" s="2">
        <f>fNotasFiscais[[#This Row],[On Time]]*fNotasFiscais[[#This Row],[In Full]]</f>
        <v>0</v>
      </c>
      <c r="AA2397">
        <f>IF(fNotasFiscais[[#This Row],[Nota Fiscal]]&lt;&gt;"",1,0)</f>
        <v>1</v>
      </c>
    </row>
    <row r="2398" spans="1:27" x14ac:dyDescent="0.25">
      <c r="A2398" s="1">
        <v>43739</v>
      </c>
      <c r="B2398">
        <v>12807</v>
      </c>
      <c r="C2398" s="2" t="s">
        <v>40</v>
      </c>
      <c r="D2398" s="2" t="s">
        <v>41</v>
      </c>
      <c r="E2398" s="2" t="s">
        <v>33</v>
      </c>
      <c r="F2398">
        <v>4023</v>
      </c>
      <c r="G2398" s="2" t="s">
        <v>88</v>
      </c>
      <c r="H2398" s="2" t="s">
        <v>78</v>
      </c>
      <c r="I2398" s="2" t="s">
        <v>39</v>
      </c>
      <c r="J2398" s="2" t="s">
        <v>28</v>
      </c>
      <c r="K2398" s="2" t="s">
        <v>39</v>
      </c>
      <c r="L2398">
        <v>3248.58</v>
      </c>
      <c r="M2398">
        <v>1</v>
      </c>
      <c r="N2398">
        <v>1.1200000000000001</v>
      </c>
      <c r="O2398">
        <v>6500948</v>
      </c>
      <c r="P2398" s="2" t="s">
        <v>29</v>
      </c>
      <c r="Q2398" s="2" t="s">
        <v>23</v>
      </c>
      <c r="R2398" s="2" t="s">
        <v>30</v>
      </c>
      <c r="S2398">
        <v>10</v>
      </c>
      <c r="T2398" s="1">
        <v>43739</v>
      </c>
      <c r="U2398" s="1">
        <v>43747</v>
      </c>
      <c r="V2398" s="2"/>
      <c r="W2398" s="1">
        <f>fNotasFiscais[[#This Row],[Data da Coleta]]+fNotasFiscais[[#This Row],[Prazo Contratado]]</f>
        <v>43749</v>
      </c>
      <c r="X2398" s="3">
        <f>IF(fNotasFiscais[[#This Row],[Data da Entrega]]&gt;fNotasFiscais[[#This Row],[Data Contratada]],0,1)</f>
        <v>1</v>
      </c>
      <c r="Y2398" s="3">
        <f>IF(fNotasFiscais[[#This Row],[Ocorrência]]="",1,0)</f>
        <v>1</v>
      </c>
      <c r="Z2398" s="2">
        <f>fNotasFiscais[[#This Row],[On Time]]*fNotasFiscais[[#This Row],[In Full]]</f>
        <v>1</v>
      </c>
      <c r="AA2398">
        <f>IF(fNotasFiscais[[#This Row],[Nota Fiscal]]&lt;&gt;"",1,0)</f>
        <v>1</v>
      </c>
    </row>
    <row r="2399" spans="1:27" x14ac:dyDescent="0.25">
      <c r="A2399" s="1">
        <v>43740</v>
      </c>
      <c r="B2399">
        <v>12808</v>
      </c>
      <c r="C2399" s="2" t="s">
        <v>54</v>
      </c>
      <c r="D2399" s="2" t="s">
        <v>55</v>
      </c>
      <c r="E2399" s="2" t="s">
        <v>56</v>
      </c>
      <c r="F2399">
        <v>4056</v>
      </c>
      <c r="G2399" s="2" t="s">
        <v>119</v>
      </c>
      <c r="H2399" s="2" t="s">
        <v>51</v>
      </c>
      <c r="I2399" s="2" t="s">
        <v>73</v>
      </c>
      <c r="J2399" s="2" t="s">
        <v>49</v>
      </c>
      <c r="K2399" s="2" t="s">
        <v>73</v>
      </c>
      <c r="L2399">
        <v>723.32</v>
      </c>
      <c r="M2399">
        <v>7</v>
      </c>
      <c r="N2399">
        <v>21.280999999999999</v>
      </c>
      <c r="O2399">
        <v>6100231</v>
      </c>
      <c r="P2399" s="2" t="s">
        <v>50</v>
      </c>
      <c r="Q2399" s="2" t="s">
        <v>51</v>
      </c>
      <c r="R2399" s="2" t="s">
        <v>30</v>
      </c>
      <c r="S2399">
        <v>8</v>
      </c>
      <c r="T2399" s="1">
        <v>43740</v>
      </c>
      <c r="U2399" s="1">
        <v>43745</v>
      </c>
      <c r="V2399" s="2"/>
      <c r="W2399" s="1">
        <f>fNotasFiscais[[#This Row],[Data da Coleta]]+fNotasFiscais[[#This Row],[Prazo Contratado]]</f>
        <v>43748</v>
      </c>
      <c r="X2399" s="3">
        <f>IF(fNotasFiscais[[#This Row],[Data da Entrega]]&gt;fNotasFiscais[[#This Row],[Data Contratada]],0,1)</f>
        <v>1</v>
      </c>
      <c r="Y2399" s="3">
        <f>IF(fNotasFiscais[[#This Row],[Ocorrência]]="",1,0)</f>
        <v>1</v>
      </c>
      <c r="Z2399" s="2">
        <f>fNotasFiscais[[#This Row],[On Time]]*fNotasFiscais[[#This Row],[In Full]]</f>
        <v>1</v>
      </c>
      <c r="AA2399">
        <f>IF(fNotasFiscais[[#This Row],[Nota Fiscal]]&lt;&gt;"",1,0)</f>
        <v>1</v>
      </c>
    </row>
    <row r="2400" spans="1:27" x14ac:dyDescent="0.25">
      <c r="A2400" s="1">
        <v>43740</v>
      </c>
      <c r="B2400">
        <v>12809</v>
      </c>
      <c r="C2400" s="2" t="s">
        <v>34</v>
      </c>
      <c r="D2400" s="2" t="s">
        <v>35</v>
      </c>
      <c r="E2400" s="2" t="s">
        <v>36</v>
      </c>
      <c r="F2400">
        <v>4143</v>
      </c>
      <c r="G2400" s="2" t="s">
        <v>226</v>
      </c>
      <c r="H2400" s="2" t="s">
        <v>173</v>
      </c>
      <c r="I2400" s="2" t="s">
        <v>174</v>
      </c>
      <c r="J2400" s="2" t="s">
        <v>175</v>
      </c>
      <c r="K2400" s="2" t="s">
        <v>174</v>
      </c>
      <c r="L2400">
        <v>3417.87</v>
      </c>
      <c r="M2400">
        <v>1</v>
      </c>
      <c r="N2400">
        <v>1.1200000000000001</v>
      </c>
      <c r="O2400">
        <v>6700091</v>
      </c>
      <c r="P2400" s="2" t="s">
        <v>176</v>
      </c>
      <c r="Q2400" s="2" t="s">
        <v>173</v>
      </c>
      <c r="R2400" s="2" t="s">
        <v>62</v>
      </c>
      <c r="S2400">
        <v>8</v>
      </c>
      <c r="T2400" s="1">
        <v>43740</v>
      </c>
      <c r="U2400" s="1">
        <v>43743</v>
      </c>
      <c r="V2400" s="2"/>
      <c r="W2400" s="1">
        <f>fNotasFiscais[[#This Row],[Data da Coleta]]+fNotasFiscais[[#This Row],[Prazo Contratado]]</f>
        <v>43748</v>
      </c>
      <c r="X2400" s="3">
        <f>IF(fNotasFiscais[[#This Row],[Data da Entrega]]&gt;fNotasFiscais[[#This Row],[Data Contratada]],0,1)</f>
        <v>1</v>
      </c>
      <c r="Y2400" s="3">
        <f>IF(fNotasFiscais[[#This Row],[Ocorrência]]="",1,0)</f>
        <v>1</v>
      </c>
      <c r="Z2400" s="2">
        <f>fNotasFiscais[[#This Row],[On Time]]*fNotasFiscais[[#This Row],[In Full]]</f>
        <v>1</v>
      </c>
      <c r="AA2400">
        <f>IF(fNotasFiscais[[#This Row],[Nota Fiscal]]&lt;&gt;"",1,0)</f>
        <v>1</v>
      </c>
    </row>
    <row r="2401" spans="1:27" x14ac:dyDescent="0.25">
      <c r="A2401" s="1">
        <v>43740</v>
      </c>
      <c r="B2401">
        <v>12810</v>
      </c>
      <c r="C2401" s="2" t="s">
        <v>22</v>
      </c>
      <c r="D2401" s="2" t="s">
        <v>23</v>
      </c>
      <c r="E2401" s="2" t="s">
        <v>24</v>
      </c>
      <c r="F2401">
        <v>4148</v>
      </c>
      <c r="G2401" s="2" t="s">
        <v>231</v>
      </c>
      <c r="H2401" s="2" t="s">
        <v>32</v>
      </c>
      <c r="I2401" s="2" t="s">
        <v>33</v>
      </c>
      <c r="J2401" s="2" t="s">
        <v>60</v>
      </c>
      <c r="K2401" s="2" t="s">
        <v>33</v>
      </c>
      <c r="L2401">
        <v>84.03</v>
      </c>
      <c r="M2401">
        <v>1</v>
      </c>
      <c r="N2401">
        <v>8.7999999999999995E-2</v>
      </c>
      <c r="O2401">
        <v>6400835</v>
      </c>
      <c r="P2401" s="2" t="s">
        <v>130</v>
      </c>
      <c r="Q2401" s="2" t="s">
        <v>131</v>
      </c>
      <c r="R2401" s="2" t="s">
        <v>30</v>
      </c>
      <c r="S2401">
        <v>7</v>
      </c>
      <c r="T2401" s="1">
        <v>43740</v>
      </c>
      <c r="U2401" s="1">
        <v>43744</v>
      </c>
      <c r="V2401" s="2"/>
      <c r="W2401" s="1">
        <f>fNotasFiscais[[#This Row],[Data da Coleta]]+fNotasFiscais[[#This Row],[Prazo Contratado]]</f>
        <v>43747</v>
      </c>
      <c r="X2401" s="3">
        <f>IF(fNotasFiscais[[#This Row],[Data da Entrega]]&gt;fNotasFiscais[[#This Row],[Data Contratada]],0,1)</f>
        <v>1</v>
      </c>
      <c r="Y2401" s="3">
        <f>IF(fNotasFiscais[[#This Row],[Ocorrência]]="",1,0)</f>
        <v>1</v>
      </c>
      <c r="Z2401" s="2">
        <f>fNotasFiscais[[#This Row],[On Time]]*fNotasFiscais[[#This Row],[In Full]]</f>
        <v>1</v>
      </c>
      <c r="AA2401">
        <f>IF(fNotasFiscais[[#This Row],[Nota Fiscal]]&lt;&gt;"",1,0)</f>
        <v>1</v>
      </c>
    </row>
    <row r="2402" spans="1:27" x14ac:dyDescent="0.25">
      <c r="A2402" s="1">
        <v>43740</v>
      </c>
      <c r="B2402">
        <v>12811</v>
      </c>
      <c r="C2402" s="2" t="s">
        <v>54</v>
      </c>
      <c r="D2402" s="2" t="s">
        <v>55</v>
      </c>
      <c r="E2402" s="2" t="s">
        <v>56</v>
      </c>
      <c r="F2402">
        <v>4141</v>
      </c>
      <c r="G2402" s="2" t="s">
        <v>224</v>
      </c>
      <c r="H2402" s="2" t="s">
        <v>44</v>
      </c>
      <c r="I2402" s="2" t="s">
        <v>45</v>
      </c>
      <c r="J2402" s="2" t="s">
        <v>60</v>
      </c>
      <c r="K2402" s="2" t="s">
        <v>45</v>
      </c>
      <c r="L2402">
        <v>2159.77</v>
      </c>
      <c r="M2402">
        <v>2</v>
      </c>
      <c r="N2402">
        <v>3.08</v>
      </c>
      <c r="O2402">
        <v>6140092</v>
      </c>
      <c r="P2402" s="2" t="s">
        <v>137</v>
      </c>
      <c r="Q2402" s="2" t="s">
        <v>138</v>
      </c>
      <c r="R2402" s="2" t="s">
        <v>62</v>
      </c>
      <c r="S2402">
        <v>4</v>
      </c>
      <c r="T2402" s="1">
        <v>43740</v>
      </c>
      <c r="U2402" s="1">
        <v>43741</v>
      </c>
      <c r="V2402" s="2"/>
      <c r="W2402" s="1">
        <f>fNotasFiscais[[#This Row],[Data da Coleta]]+fNotasFiscais[[#This Row],[Prazo Contratado]]</f>
        <v>43744</v>
      </c>
      <c r="X2402" s="3">
        <f>IF(fNotasFiscais[[#This Row],[Data da Entrega]]&gt;fNotasFiscais[[#This Row],[Data Contratada]],0,1)</f>
        <v>1</v>
      </c>
      <c r="Y2402" s="3">
        <f>IF(fNotasFiscais[[#This Row],[Ocorrência]]="",1,0)</f>
        <v>1</v>
      </c>
      <c r="Z2402" s="2">
        <f>fNotasFiscais[[#This Row],[On Time]]*fNotasFiscais[[#This Row],[In Full]]</f>
        <v>1</v>
      </c>
      <c r="AA2402">
        <f>IF(fNotasFiscais[[#This Row],[Nota Fiscal]]&lt;&gt;"",1,0)</f>
        <v>1</v>
      </c>
    </row>
    <row r="2403" spans="1:27" x14ac:dyDescent="0.25">
      <c r="A2403" s="1">
        <v>43740</v>
      </c>
      <c r="B2403">
        <v>12812</v>
      </c>
      <c r="C2403" s="2" t="s">
        <v>31</v>
      </c>
      <c r="D2403" s="2" t="s">
        <v>32</v>
      </c>
      <c r="E2403" s="2" t="s">
        <v>33</v>
      </c>
      <c r="F2403">
        <v>4068</v>
      </c>
      <c r="G2403" s="2" t="s">
        <v>63</v>
      </c>
      <c r="H2403" s="2" t="s">
        <v>64</v>
      </c>
      <c r="I2403" s="2" t="s">
        <v>65</v>
      </c>
      <c r="J2403" s="2" t="s">
        <v>49</v>
      </c>
      <c r="K2403" s="2" t="s">
        <v>65</v>
      </c>
      <c r="L2403">
        <v>7639.69</v>
      </c>
      <c r="M2403">
        <v>15</v>
      </c>
      <c r="N2403">
        <v>45.811999999999998</v>
      </c>
      <c r="O2403">
        <v>6100231</v>
      </c>
      <c r="P2403" s="2" t="s">
        <v>50</v>
      </c>
      <c r="Q2403" s="2" t="s">
        <v>51</v>
      </c>
      <c r="R2403" s="2" t="s">
        <v>30</v>
      </c>
      <c r="S2403">
        <v>10</v>
      </c>
      <c r="T2403" s="1">
        <v>43740</v>
      </c>
      <c r="U2403" s="1">
        <v>43742</v>
      </c>
      <c r="V2403" s="2"/>
      <c r="W2403" s="1">
        <f>fNotasFiscais[[#This Row],[Data da Coleta]]+fNotasFiscais[[#This Row],[Prazo Contratado]]</f>
        <v>43750</v>
      </c>
      <c r="X2403" s="3">
        <f>IF(fNotasFiscais[[#This Row],[Data da Entrega]]&gt;fNotasFiscais[[#This Row],[Data Contratada]],0,1)</f>
        <v>1</v>
      </c>
      <c r="Y2403" s="3">
        <f>IF(fNotasFiscais[[#This Row],[Ocorrência]]="",1,0)</f>
        <v>1</v>
      </c>
      <c r="Z2403" s="2">
        <f>fNotasFiscais[[#This Row],[On Time]]*fNotasFiscais[[#This Row],[In Full]]</f>
        <v>1</v>
      </c>
      <c r="AA2403">
        <f>IF(fNotasFiscais[[#This Row],[Nota Fiscal]]&lt;&gt;"",1,0)</f>
        <v>1</v>
      </c>
    </row>
    <row r="2404" spans="1:27" x14ac:dyDescent="0.25">
      <c r="A2404" s="1">
        <v>43741</v>
      </c>
      <c r="B2404">
        <v>12813</v>
      </c>
      <c r="C2404" s="2" t="s">
        <v>34</v>
      </c>
      <c r="D2404" s="2" t="s">
        <v>35</v>
      </c>
      <c r="E2404" s="2" t="s">
        <v>36</v>
      </c>
      <c r="F2404">
        <v>4156</v>
      </c>
      <c r="G2404" s="2" t="s">
        <v>239</v>
      </c>
      <c r="H2404" s="2" t="s">
        <v>165</v>
      </c>
      <c r="I2404" s="2" t="s">
        <v>24</v>
      </c>
      <c r="J2404" s="2" t="s">
        <v>28</v>
      </c>
      <c r="K2404" s="2" t="s">
        <v>24</v>
      </c>
      <c r="L2404">
        <v>4844.75</v>
      </c>
      <c r="M2404">
        <v>13</v>
      </c>
      <c r="N2404">
        <v>45.865000000000002</v>
      </c>
      <c r="O2404">
        <v>6500948</v>
      </c>
      <c r="P2404" s="2" t="s">
        <v>29</v>
      </c>
      <c r="Q2404" s="2" t="s">
        <v>23</v>
      </c>
      <c r="R2404" s="2" t="s">
        <v>30</v>
      </c>
      <c r="S2404">
        <v>3</v>
      </c>
      <c r="T2404" s="1">
        <v>43741</v>
      </c>
      <c r="U2404" s="1">
        <v>43745</v>
      </c>
      <c r="V2404" s="2"/>
      <c r="W2404" s="1">
        <f>fNotasFiscais[[#This Row],[Data da Coleta]]+fNotasFiscais[[#This Row],[Prazo Contratado]]</f>
        <v>43744</v>
      </c>
      <c r="X2404" s="3">
        <f>IF(fNotasFiscais[[#This Row],[Data da Entrega]]&gt;fNotasFiscais[[#This Row],[Data Contratada]],0,1)</f>
        <v>0</v>
      </c>
      <c r="Y2404" s="3">
        <f>IF(fNotasFiscais[[#This Row],[Ocorrência]]="",1,0)</f>
        <v>1</v>
      </c>
      <c r="Z2404" s="2">
        <f>fNotasFiscais[[#This Row],[On Time]]*fNotasFiscais[[#This Row],[In Full]]</f>
        <v>0</v>
      </c>
      <c r="AA2404">
        <f>IF(fNotasFiscais[[#This Row],[Nota Fiscal]]&lt;&gt;"",1,0)</f>
        <v>1</v>
      </c>
    </row>
    <row r="2405" spans="1:27" x14ac:dyDescent="0.25">
      <c r="A2405" s="1">
        <v>43741</v>
      </c>
      <c r="B2405">
        <v>12814</v>
      </c>
      <c r="C2405" s="2" t="s">
        <v>54</v>
      </c>
      <c r="D2405" s="2" t="s">
        <v>55</v>
      </c>
      <c r="E2405" s="2" t="s">
        <v>56</v>
      </c>
      <c r="F2405">
        <v>4161</v>
      </c>
      <c r="G2405" s="2" t="s">
        <v>244</v>
      </c>
      <c r="H2405" s="2" t="s">
        <v>167</v>
      </c>
      <c r="I2405" s="2" t="s">
        <v>168</v>
      </c>
      <c r="J2405" s="2" t="s">
        <v>169</v>
      </c>
      <c r="K2405" s="2" t="s">
        <v>168</v>
      </c>
      <c r="L2405">
        <v>547.75</v>
      </c>
      <c r="M2405">
        <v>1</v>
      </c>
      <c r="N2405">
        <v>1.76</v>
      </c>
      <c r="O2405">
        <v>6900304</v>
      </c>
      <c r="P2405" s="2" t="s">
        <v>170</v>
      </c>
      <c r="Q2405" s="2" t="s">
        <v>171</v>
      </c>
      <c r="R2405" s="2" t="s">
        <v>30</v>
      </c>
      <c r="S2405">
        <v>12</v>
      </c>
      <c r="T2405" s="1">
        <v>43741</v>
      </c>
      <c r="U2405" s="1">
        <v>43742</v>
      </c>
      <c r="V2405" s="2"/>
      <c r="W2405" s="1">
        <f>fNotasFiscais[[#This Row],[Data da Coleta]]+fNotasFiscais[[#This Row],[Prazo Contratado]]</f>
        <v>43753</v>
      </c>
      <c r="X2405" s="3">
        <f>IF(fNotasFiscais[[#This Row],[Data da Entrega]]&gt;fNotasFiscais[[#This Row],[Data Contratada]],0,1)</f>
        <v>1</v>
      </c>
      <c r="Y2405" s="3">
        <f>IF(fNotasFiscais[[#This Row],[Ocorrência]]="",1,0)</f>
        <v>1</v>
      </c>
      <c r="Z2405" s="2">
        <f>fNotasFiscais[[#This Row],[On Time]]*fNotasFiscais[[#This Row],[In Full]]</f>
        <v>1</v>
      </c>
      <c r="AA2405">
        <f>IF(fNotasFiscais[[#This Row],[Nota Fiscal]]&lt;&gt;"",1,0)</f>
        <v>1</v>
      </c>
    </row>
    <row r="2406" spans="1:27" x14ac:dyDescent="0.25">
      <c r="A2406" s="1">
        <v>43741</v>
      </c>
      <c r="B2406">
        <v>12815</v>
      </c>
      <c r="C2406" s="2" t="s">
        <v>34</v>
      </c>
      <c r="D2406" s="2" t="s">
        <v>35</v>
      </c>
      <c r="E2406" s="2" t="s">
        <v>36</v>
      </c>
      <c r="F2406">
        <v>4173</v>
      </c>
      <c r="G2406" s="2" t="s">
        <v>256</v>
      </c>
      <c r="H2406" s="2" t="s">
        <v>35</v>
      </c>
      <c r="I2406" s="2" t="s">
        <v>36</v>
      </c>
      <c r="J2406" s="2" t="s">
        <v>60</v>
      </c>
      <c r="K2406" s="2" t="s">
        <v>36</v>
      </c>
      <c r="L2406">
        <v>7028.78</v>
      </c>
      <c r="M2406">
        <v>15</v>
      </c>
      <c r="N2406">
        <v>22.262</v>
      </c>
      <c r="O2406">
        <v>6600879</v>
      </c>
      <c r="P2406" s="2" t="s">
        <v>61</v>
      </c>
      <c r="Q2406" s="2" t="s">
        <v>35</v>
      </c>
      <c r="R2406" s="2" t="s">
        <v>30</v>
      </c>
      <c r="S2406">
        <v>1</v>
      </c>
      <c r="T2406" s="1">
        <v>43741</v>
      </c>
      <c r="U2406" s="1">
        <v>43749</v>
      </c>
      <c r="V2406" s="2"/>
      <c r="W2406" s="1">
        <f>fNotasFiscais[[#This Row],[Data da Coleta]]+fNotasFiscais[[#This Row],[Prazo Contratado]]</f>
        <v>43742</v>
      </c>
      <c r="X2406" s="3">
        <f>IF(fNotasFiscais[[#This Row],[Data da Entrega]]&gt;fNotasFiscais[[#This Row],[Data Contratada]],0,1)</f>
        <v>0</v>
      </c>
      <c r="Y2406" s="3">
        <f>IF(fNotasFiscais[[#This Row],[Ocorrência]]="",1,0)</f>
        <v>1</v>
      </c>
      <c r="Z2406" s="2">
        <f>fNotasFiscais[[#This Row],[On Time]]*fNotasFiscais[[#This Row],[In Full]]</f>
        <v>0</v>
      </c>
      <c r="AA2406">
        <f>IF(fNotasFiscais[[#This Row],[Nota Fiscal]]&lt;&gt;"",1,0)</f>
        <v>1</v>
      </c>
    </row>
    <row r="2407" spans="1:27" x14ac:dyDescent="0.25">
      <c r="A2407" s="1">
        <v>43741</v>
      </c>
      <c r="B2407">
        <v>12816</v>
      </c>
      <c r="C2407" s="2" t="s">
        <v>40</v>
      </c>
      <c r="D2407" s="2" t="s">
        <v>41</v>
      </c>
      <c r="E2407" s="2" t="s">
        <v>33</v>
      </c>
      <c r="F2407">
        <v>4023</v>
      </c>
      <c r="G2407" s="2" t="s">
        <v>88</v>
      </c>
      <c r="H2407" s="2" t="s">
        <v>78</v>
      </c>
      <c r="I2407" s="2" t="s">
        <v>39</v>
      </c>
      <c r="J2407" s="2" t="s">
        <v>28</v>
      </c>
      <c r="K2407" s="2" t="s">
        <v>39</v>
      </c>
      <c r="L2407">
        <v>1038.1400000000001</v>
      </c>
      <c r="M2407">
        <v>3</v>
      </c>
      <c r="N2407">
        <v>21.722999999999999</v>
      </c>
      <c r="O2407">
        <v>6500948</v>
      </c>
      <c r="P2407" s="2" t="s">
        <v>29</v>
      </c>
      <c r="Q2407" s="2" t="s">
        <v>23</v>
      </c>
      <c r="R2407" s="2" t="s">
        <v>62</v>
      </c>
      <c r="S2407">
        <v>10</v>
      </c>
      <c r="T2407" s="1">
        <v>43741</v>
      </c>
      <c r="U2407" s="1">
        <v>43744</v>
      </c>
      <c r="V2407" s="2"/>
      <c r="W2407" s="1">
        <f>fNotasFiscais[[#This Row],[Data da Coleta]]+fNotasFiscais[[#This Row],[Prazo Contratado]]</f>
        <v>43751</v>
      </c>
      <c r="X2407" s="3">
        <f>IF(fNotasFiscais[[#This Row],[Data da Entrega]]&gt;fNotasFiscais[[#This Row],[Data Contratada]],0,1)</f>
        <v>1</v>
      </c>
      <c r="Y2407" s="3">
        <f>IF(fNotasFiscais[[#This Row],[Ocorrência]]="",1,0)</f>
        <v>1</v>
      </c>
      <c r="Z2407" s="2">
        <f>fNotasFiscais[[#This Row],[On Time]]*fNotasFiscais[[#This Row],[In Full]]</f>
        <v>1</v>
      </c>
      <c r="AA2407">
        <f>IF(fNotasFiscais[[#This Row],[Nota Fiscal]]&lt;&gt;"",1,0)</f>
        <v>1</v>
      </c>
    </row>
    <row r="2408" spans="1:27" x14ac:dyDescent="0.25">
      <c r="A2408" s="1">
        <v>43742</v>
      </c>
      <c r="B2408">
        <v>12817</v>
      </c>
      <c r="C2408" s="2" t="s">
        <v>43</v>
      </c>
      <c r="D2408" s="2" t="s">
        <v>44</v>
      </c>
      <c r="E2408" s="2" t="s">
        <v>45</v>
      </c>
      <c r="F2408">
        <v>4231</v>
      </c>
      <c r="G2408" s="2" t="s">
        <v>314</v>
      </c>
      <c r="H2408" s="2" t="s">
        <v>44</v>
      </c>
      <c r="I2408" s="2" t="s">
        <v>45</v>
      </c>
      <c r="J2408" s="2" t="s">
        <v>60</v>
      </c>
      <c r="K2408" s="2" t="s">
        <v>45</v>
      </c>
      <c r="L2408">
        <v>993.44</v>
      </c>
      <c r="M2408">
        <v>1</v>
      </c>
      <c r="N2408">
        <v>1.101</v>
      </c>
      <c r="O2408">
        <v>6140092</v>
      </c>
      <c r="P2408" s="2" t="s">
        <v>137</v>
      </c>
      <c r="Q2408" s="2" t="s">
        <v>138</v>
      </c>
      <c r="R2408" s="2" t="s">
        <v>30</v>
      </c>
      <c r="S2408">
        <v>2</v>
      </c>
      <c r="T2408" s="1">
        <v>43742</v>
      </c>
      <c r="U2408" s="1">
        <v>43747</v>
      </c>
      <c r="V2408" s="2"/>
      <c r="W2408" s="1">
        <f>fNotasFiscais[[#This Row],[Data da Coleta]]+fNotasFiscais[[#This Row],[Prazo Contratado]]</f>
        <v>43744</v>
      </c>
      <c r="X2408" s="3">
        <f>IF(fNotasFiscais[[#This Row],[Data da Entrega]]&gt;fNotasFiscais[[#This Row],[Data Contratada]],0,1)</f>
        <v>0</v>
      </c>
      <c r="Y2408" s="3">
        <f>IF(fNotasFiscais[[#This Row],[Ocorrência]]="",1,0)</f>
        <v>1</v>
      </c>
      <c r="Z2408" s="2">
        <f>fNotasFiscais[[#This Row],[On Time]]*fNotasFiscais[[#This Row],[In Full]]</f>
        <v>0</v>
      </c>
      <c r="AA2408">
        <f>IF(fNotasFiscais[[#This Row],[Nota Fiscal]]&lt;&gt;"",1,0)</f>
        <v>1</v>
      </c>
    </row>
    <row r="2409" spans="1:27" x14ac:dyDescent="0.25">
      <c r="A2409" s="1">
        <v>43742</v>
      </c>
      <c r="B2409">
        <v>12818</v>
      </c>
      <c r="C2409" s="2" t="s">
        <v>40</v>
      </c>
      <c r="D2409" s="2" t="s">
        <v>41</v>
      </c>
      <c r="E2409" s="2" t="s">
        <v>33</v>
      </c>
      <c r="F2409">
        <v>4132</v>
      </c>
      <c r="G2409" s="2" t="s">
        <v>215</v>
      </c>
      <c r="H2409" s="2" t="s">
        <v>183</v>
      </c>
      <c r="I2409" s="2" t="s">
        <v>33</v>
      </c>
      <c r="J2409" s="2" t="s">
        <v>60</v>
      </c>
      <c r="K2409" s="2" t="s">
        <v>33</v>
      </c>
      <c r="L2409">
        <v>23781.119999999999</v>
      </c>
      <c r="M2409">
        <v>32</v>
      </c>
      <c r="N2409">
        <v>164.32900000000001</v>
      </c>
      <c r="O2409">
        <v>6400835</v>
      </c>
      <c r="P2409" s="2" t="s">
        <v>130</v>
      </c>
      <c r="Q2409" s="2" t="s">
        <v>131</v>
      </c>
      <c r="R2409" s="2" t="s">
        <v>30</v>
      </c>
      <c r="S2409">
        <v>1</v>
      </c>
      <c r="T2409" s="1">
        <v>43742</v>
      </c>
      <c r="U2409" s="1">
        <v>43743</v>
      </c>
      <c r="V2409" s="2"/>
      <c r="W2409" s="1">
        <f>fNotasFiscais[[#This Row],[Data da Coleta]]+fNotasFiscais[[#This Row],[Prazo Contratado]]</f>
        <v>43743</v>
      </c>
      <c r="X2409" s="3">
        <f>IF(fNotasFiscais[[#This Row],[Data da Entrega]]&gt;fNotasFiscais[[#This Row],[Data Contratada]],0,1)</f>
        <v>1</v>
      </c>
      <c r="Y2409" s="3">
        <f>IF(fNotasFiscais[[#This Row],[Ocorrência]]="",1,0)</f>
        <v>1</v>
      </c>
      <c r="Z2409" s="2">
        <f>fNotasFiscais[[#This Row],[On Time]]*fNotasFiscais[[#This Row],[In Full]]</f>
        <v>1</v>
      </c>
      <c r="AA2409">
        <f>IF(fNotasFiscais[[#This Row],[Nota Fiscal]]&lt;&gt;"",1,0)</f>
        <v>1</v>
      </c>
    </row>
    <row r="2410" spans="1:27" x14ac:dyDescent="0.25">
      <c r="A2410" s="1">
        <v>43742</v>
      </c>
      <c r="B2410">
        <v>12819</v>
      </c>
      <c r="C2410" s="2" t="s">
        <v>31</v>
      </c>
      <c r="D2410" s="2" t="s">
        <v>32</v>
      </c>
      <c r="E2410" s="2" t="s">
        <v>33</v>
      </c>
      <c r="F2410">
        <v>4253</v>
      </c>
      <c r="G2410" s="2" t="s">
        <v>336</v>
      </c>
      <c r="H2410" s="2" t="s">
        <v>167</v>
      </c>
      <c r="I2410" s="2" t="s">
        <v>168</v>
      </c>
      <c r="J2410" s="2" t="s">
        <v>169</v>
      </c>
      <c r="K2410" s="2" t="s">
        <v>168</v>
      </c>
      <c r="L2410">
        <v>421.72</v>
      </c>
      <c r="M2410">
        <v>1</v>
      </c>
      <c r="N2410">
        <v>0.749</v>
      </c>
      <c r="O2410">
        <v>6900304</v>
      </c>
      <c r="P2410" s="2" t="s">
        <v>170</v>
      </c>
      <c r="Q2410" s="2" t="s">
        <v>171</v>
      </c>
      <c r="R2410" s="2" t="s">
        <v>62</v>
      </c>
      <c r="S2410">
        <v>2</v>
      </c>
      <c r="T2410" s="1">
        <v>43742</v>
      </c>
      <c r="U2410" s="1">
        <v>43745</v>
      </c>
      <c r="V2410" s="2"/>
      <c r="W2410" s="1">
        <f>fNotasFiscais[[#This Row],[Data da Coleta]]+fNotasFiscais[[#This Row],[Prazo Contratado]]</f>
        <v>43744</v>
      </c>
      <c r="X2410" s="3">
        <f>IF(fNotasFiscais[[#This Row],[Data da Entrega]]&gt;fNotasFiscais[[#This Row],[Data Contratada]],0,1)</f>
        <v>0</v>
      </c>
      <c r="Y2410" s="3">
        <f>IF(fNotasFiscais[[#This Row],[Ocorrência]]="",1,0)</f>
        <v>1</v>
      </c>
      <c r="Z2410" s="2">
        <f>fNotasFiscais[[#This Row],[On Time]]*fNotasFiscais[[#This Row],[In Full]]</f>
        <v>0</v>
      </c>
      <c r="AA2410">
        <f>IF(fNotasFiscais[[#This Row],[Nota Fiscal]]&lt;&gt;"",1,0)</f>
        <v>1</v>
      </c>
    </row>
    <row r="2411" spans="1:27" x14ac:dyDescent="0.25">
      <c r="A2411" s="1">
        <v>43742</v>
      </c>
      <c r="B2411">
        <v>12820</v>
      </c>
      <c r="C2411" s="2" t="s">
        <v>52</v>
      </c>
      <c r="D2411" s="2" t="s">
        <v>53</v>
      </c>
      <c r="E2411" s="2" t="s">
        <v>33</v>
      </c>
      <c r="F2411">
        <v>4159</v>
      </c>
      <c r="G2411" s="2" t="s">
        <v>242</v>
      </c>
      <c r="H2411" s="2" t="s">
        <v>173</v>
      </c>
      <c r="I2411" s="2" t="s">
        <v>174</v>
      </c>
      <c r="J2411" s="2" t="s">
        <v>175</v>
      </c>
      <c r="K2411" s="2" t="s">
        <v>174</v>
      </c>
      <c r="L2411">
        <v>174.8</v>
      </c>
      <c r="M2411">
        <v>1</v>
      </c>
      <c r="N2411">
        <v>1.111</v>
      </c>
      <c r="O2411">
        <v>6700091</v>
      </c>
      <c r="P2411" s="2" t="s">
        <v>176</v>
      </c>
      <c r="Q2411" s="2" t="s">
        <v>173</v>
      </c>
      <c r="R2411" s="2" t="s">
        <v>30</v>
      </c>
      <c r="S2411">
        <v>2</v>
      </c>
      <c r="T2411" s="1">
        <v>43742</v>
      </c>
      <c r="U2411" s="1">
        <v>43743</v>
      </c>
      <c r="V2411" s="2"/>
      <c r="W2411" s="1">
        <f>fNotasFiscais[[#This Row],[Data da Coleta]]+fNotasFiscais[[#This Row],[Prazo Contratado]]</f>
        <v>43744</v>
      </c>
      <c r="X2411" s="3">
        <f>IF(fNotasFiscais[[#This Row],[Data da Entrega]]&gt;fNotasFiscais[[#This Row],[Data Contratada]],0,1)</f>
        <v>1</v>
      </c>
      <c r="Y2411" s="3">
        <f>IF(fNotasFiscais[[#This Row],[Ocorrência]]="",1,0)</f>
        <v>1</v>
      </c>
      <c r="Z2411" s="2">
        <f>fNotasFiscais[[#This Row],[On Time]]*fNotasFiscais[[#This Row],[In Full]]</f>
        <v>1</v>
      </c>
      <c r="AA2411">
        <f>IF(fNotasFiscais[[#This Row],[Nota Fiscal]]&lt;&gt;"",1,0)</f>
        <v>1</v>
      </c>
    </row>
    <row r="2412" spans="1:27" x14ac:dyDescent="0.25">
      <c r="A2412" s="1">
        <v>43742</v>
      </c>
      <c r="B2412">
        <v>12821</v>
      </c>
      <c r="C2412" s="2" t="s">
        <v>43</v>
      </c>
      <c r="D2412" s="2" t="s">
        <v>44</v>
      </c>
      <c r="E2412" s="2" t="s">
        <v>45</v>
      </c>
      <c r="F2412">
        <v>4127</v>
      </c>
      <c r="G2412" s="2" t="s">
        <v>210</v>
      </c>
      <c r="H2412" s="2" t="s">
        <v>44</v>
      </c>
      <c r="I2412" s="2" t="s">
        <v>45</v>
      </c>
      <c r="J2412" s="2" t="s">
        <v>60</v>
      </c>
      <c r="K2412" s="2" t="s">
        <v>45</v>
      </c>
      <c r="L2412">
        <v>905.14</v>
      </c>
      <c r="M2412">
        <v>3</v>
      </c>
      <c r="N2412">
        <v>4.4029999999999996</v>
      </c>
      <c r="O2412">
        <v>6140092</v>
      </c>
      <c r="P2412" s="2" t="s">
        <v>137</v>
      </c>
      <c r="Q2412" s="2" t="s">
        <v>138</v>
      </c>
      <c r="R2412" s="2" t="s">
        <v>62</v>
      </c>
      <c r="S2412">
        <v>4</v>
      </c>
      <c r="T2412" s="1">
        <v>43742</v>
      </c>
      <c r="U2412" s="1">
        <v>43743</v>
      </c>
      <c r="V2412" s="2"/>
      <c r="W2412" s="1">
        <f>fNotasFiscais[[#This Row],[Data da Coleta]]+fNotasFiscais[[#This Row],[Prazo Contratado]]</f>
        <v>43746</v>
      </c>
      <c r="X2412" s="3">
        <f>IF(fNotasFiscais[[#This Row],[Data da Entrega]]&gt;fNotasFiscais[[#This Row],[Data Contratada]],0,1)</f>
        <v>1</v>
      </c>
      <c r="Y2412" s="3">
        <f>IF(fNotasFiscais[[#This Row],[Ocorrência]]="",1,0)</f>
        <v>1</v>
      </c>
      <c r="Z2412" s="2">
        <f>fNotasFiscais[[#This Row],[On Time]]*fNotasFiscais[[#This Row],[In Full]]</f>
        <v>1</v>
      </c>
      <c r="AA2412">
        <f>IF(fNotasFiscais[[#This Row],[Nota Fiscal]]&lt;&gt;"",1,0)</f>
        <v>1</v>
      </c>
    </row>
    <row r="2413" spans="1:27" x14ac:dyDescent="0.25">
      <c r="A2413" s="1">
        <v>43742</v>
      </c>
      <c r="B2413">
        <v>12822</v>
      </c>
      <c r="C2413" s="2" t="s">
        <v>52</v>
      </c>
      <c r="D2413" s="2" t="s">
        <v>53</v>
      </c>
      <c r="E2413" s="2" t="s">
        <v>33</v>
      </c>
      <c r="F2413">
        <v>4127</v>
      </c>
      <c r="G2413" s="2" t="s">
        <v>210</v>
      </c>
      <c r="H2413" s="2" t="s">
        <v>44</v>
      </c>
      <c r="I2413" s="2" t="s">
        <v>45</v>
      </c>
      <c r="J2413" s="2" t="s">
        <v>60</v>
      </c>
      <c r="K2413" s="2" t="s">
        <v>45</v>
      </c>
      <c r="L2413">
        <v>496.79</v>
      </c>
      <c r="M2413">
        <v>1</v>
      </c>
      <c r="N2413">
        <v>1.1200000000000001</v>
      </c>
      <c r="O2413">
        <v>6140092</v>
      </c>
      <c r="P2413" s="2" t="s">
        <v>137</v>
      </c>
      <c r="Q2413" s="2" t="s">
        <v>138</v>
      </c>
      <c r="R2413" s="2" t="s">
        <v>30</v>
      </c>
      <c r="S2413">
        <v>6</v>
      </c>
      <c r="T2413" s="1">
        <v>43742</v>
      </c>
      <c r="U2413" s="1">
        <v>43747</v>
      </c>
      <c r="V2413" s="2"/>
      <c r="W2413" s="1">
        <f>fNotasFiscais[[#This Row],[Data da Coleta]]+fNotasFiscais[[#This Row],[Prazo Contratado]]</f>
        <v>43748</v>
      </c>
      <c r="X2413" s="3">
        <f>IF(fNotasFiscais[[#This Row],[Data da Entrega]]&gt;fNotasFiscais[[#This Row],[Data Contratada]],0,1)</f>
        <v>1</v>
      </c>
      <c r="Y2413" s="3">
        <f>IF(fNotasFiscais[[#This Row],[Ocorrência]]="",1,0)</f>
        <v>1</v>
      </c>
      <c r="Z2413" s="2">
        <f>fNotasFiscais[[#This Row],[On Time]]*fNotasFiscais[[#This Row],[In Full]]</f>
        <v>1</v>
      </c>
      <c r="AA2413">
        <f>IF(fNotasFiscais[[#This Row],[Nota Fiscal]]&lt;&gt;"",1,0)</f>
        <v>1</v>
      </c>
    </row>
    <row r="2414" spans="1:27" x14ac:dyDescent="0.25">
      <c r="A2414" s="1">
        <v>43743</v>
      </c>
      <c r="B2414">
        <v>12823</v>
      </c>
      <c r="C2414" s="2" t="s">
        <v>54</v>
      </c>
      <c r="D2414" s="2" t="s">
        <v>55</v>
      </c>
      <c r="E2414" s="2" t="s">
        <v>56</v>
      </c>
      <c r="F2414">
        <v>4208</v>
      </c>
      <c r="G2414" s="2" t="s">
        <v>291</v>
      </c>
      <c r="H2414" s="2" t="s">
        <v>32</v>
      </c>
      <c r="I2414" s="2" t="s">
        <v>33</v>
      </c>
      <c r="J2414" s="2" t="s">
        <v>60</v>
      </c>
      <c r="K2414" s="2" t="s">
        <v>33</v>
      </c>
      <c r="L2414">
        <v>113610.98</v>
      </c>
      <c r="M2414">
        <v>230</v>
      </c>
      <c r="N2414">
        <v>789.74</v>
      </c>
      <c r="O2414">
        <v>6400835</v>
      </c>
      <c r="P2414" s="2" t="s">
        <v>130</v>
      </c>
      <c r="Q2414" s="2" t="s">
        <v>131</v>
      </c>
      <c r="R2414" s="2" t="s">
        <v>30</v>
      </c>
      <c r="S2414">
        <v>8</v>
      </c>
      <c r="T2414" s="1">
        <v>43743</v>
      </c>
      <c r="U2414" s="1">
        <v>43744</v>
      </c>
      <c r="V2414" s="2"/>
      <c r="W2414" s="1">
        <f>fNotasFiscais[[#This Row],[Data da Coleta]]+fNotasFiscais[[#This Row],[Prazo Contratado]]</f>
        <v>43751</v>
      </c>
      <c r="X2414" s="3">
        <f>IF(fNotasFiscais[[#This Row],[Data da Entrega]]&gt;fNotasFiscais[[#This Row],[Data Contratada]],0,1)</f>
        <v>1</v>
      </c>
      <c r="Y2414" s="3">
        <f>IF(fNotasFiscais[[#This Row],[Ocorrência]]="",1,0)</f>
        <v>1</v>
      </c>
      <c r="Z2414" s="2">
        <f>fNotasFiscais[[#This Row],[On Time]]*fNotasFiscais[[#This Row],[In Full]]</f>
        <v>1</v>
      </c>
      <c r="AA2414">
        <f>IF(fNotasFiscais[[#This Row],[Nota Fiscal]]&lt;&gt;"",1,0)</f>
        <v>1</v>
      </c>
    </row>
    <row r="2415" spans="1:27" x14ac:dyDescent="0.25">
      <c r="A2415" s="1">
        <v>43743</v>
      </c>
      <c r="B2415">
        <v>12824</v>
      </c>
      <c r="C2415" s="2" t="s">
        <v>43</v>
      </c>
      <c r="D2415" s="2" t="s">
        <v>44</v>
      </c>
      <c r="E2415" s="2" t="s">
        <v>45</v>
      </c>
      <c r="F2415">
        <v>4230</v>
      </c>
      <c r="G2415" s="2" t="s">
        <v>313</v>
      </c>
      <c r="H2415" s="2" t="s">
        <v>35</v>
      </c>
      <c r="I2415" s="2" t="s">
        <v>36</v>
      </c>
      <c r="J2415" s="2" t="s">
        <v>60</v>
      </c>
      <c r="K2415" s="2" t="s">
        <v>36</v>
      </c>
      <c r="L2415">
        <v>627.21</v>
      </c>
      <c r="M2415">
        <v>1</v>
      </c>
      <c r="N2415">
        <v>3.3</v>
      </c>
      <c r="O2415">
        <v>6600879</v>
      </c>
      <c r="P2415" s="2" t="s">
        <v>61</v>
      </c>
      <c r="Q2415" s="2" t="s">
        <v>35</v>
      </c>
      <c r="R2415" s="2" t="s">
        <v>30</v>
      </c>
      <c r="S2415">
        <v>1</v>
      </c>
      <c r="T2415" s="1">
        <v>43743</v>
      </c>
      <c r="U2415" s="1">
        <v>43752</v>
      </c>
      <c r="V2415" s="2"/>
      <c r="W2415" s="1">
        <f>fNotasFiscais[[#This Row],[Data da Coleta]]+fNotasFiscais[[#This Row],[Prazo Contratado]]</f>
        <v>43744</v>
      </c>
      <c r="X2415" s="3">
        <f>IF(fNotasFiscais[[#This Row],[Data da Entrega]]&gt;fNotasFiscais[[#This Row],[Data Contratada]],0,1)</f>
        <v>0</v>
      </c>
      <c r="Y2415" s="3">
        <f>IF(fNotasFiscais[[#This Row],[Ocorrência]]="",1,0)</f>
        <v>1</v>
      </c>
      <c r="Z2415" s="2">
        <f>fNotasFiscais[[#This Row],[On Time]]*fNotasFiscais[[#This Row],[In Full]]</f>
        <v>0</v>
      </c>
      <c r="AA2415">
        <f>IF(fNotasFiscais[[#This Row],[Nota Fiscal]]&lt;&gt;"",1,0)</f>
        <v>1</v>
      </c>
    </row>
    <row r="2416" spans="1:27" x14ac:dyDescent="0.25">
      <c r="A2416" s="1">
        <v>43743</v>
      </c>
      <c r="B2416">
        <v>12825</v>
      </c>
      <c r="C2416" s="2" t="s">
        <v>54</v>
      </c>
      <c r="D2416" s="2" t="s">
        <v>55</v>
      </c>
      <c r="E2416" s="2" t="s">
        <v>56</v>
      </c>
      <c r="F2416">
        <v>4068</v>
      </c>
      <c r="G2416" s="2" t="s">
        <v>63</v>
      </c>
      <c r="H2416" s="2" t="s">
        <v>64</v>
      </c>
      <c r="I2416" s="2" t="s">
        <v>65</v>
      </c>
      <c r="J2416" s="2" t="s">
        <v>49</v>
      </c>
      <c r="K2416" s="2" t="s">
        <v>65</v>
      </c>
      <c r="L2416">
        <v>5500.2</v>
      </c>
      <c r="M2416">
        <v>13</v>
      </c>
      <c r="N2416">
        <v>9.8699999999999992</v>
      </c>
      <c r="O2416">
        <v>6100231</v>
      </c>
      <c r="P2416" s="2" t="s">
        <v>50</v>
      </c>
      <c r="Q2416" s="2" t="s">
        <v>51</v>
      </c>
      <c r="R2416" s="2" t="s">
        <v>30</v>
      </c>
      <c r="S2416">
        <v>4</v>
      </c>
      <c r="T2416" s="1">
        <v>43743</v>
      </c>
      <c r="U2416" s="1">
        <v>43750</v>
      </c>
      <c r="V2416" s="2" t="s">
        <v>57</v>
      </c>
      <c r="W2416" s="1">
        <f>fNotasFiscais[[#This Row],[Data da Coleta]]+fNotasFiscais[[#This Row],[Prazo Contratado]]</f>
        <v>43747</v>
      </c>
      <c r="X2416" s="3">
        <f>IF(fNotasFiscais[[#This Row],[Data da Entrega]]&gt;fNotasFiscais[[#This Row],[Data Contratada]],0,1)</f>
        <v>0</v>
      </c>
      <c r="Y2416" s="3">
        <f>IF(fNotasFiscais[[#This Row],[Ocorrência]]="",1,0)</f>
        <v>0</v>
      </c>
      <c r="Z2416" s="2">
        <f>fNotasFiscais[[#This Row],[On Time]]*fNotasFiscais[[#This Row],[In Full]]</f>
        <v>0</v>
      </c>
      <c r="AA2416">
        <f>IF(fNotasFiscais[[#This Row],[Nota Fiscal]]&lt;&gt;"",1,0)</f>
        <v>1</v>
      </c>
    </row>
    <row r="2417" spans="1:27" x14ac:dyDescent="0.25">
      <c r="A2417" s="1">
        <v>43746</v>
      </c>
      <c r="B2417">
        <v>12826</v>
      </c>
      <c r="C2417" s="2" t="s">
        <v>34</v>
      </c>
      <c r="D2417" s="2" t="s">
        <v>35</v>
      </c>
      <c r="E2417" s="2" t="s">
        <v>36</v>
      </c>
      <c r="F2417">
        <v>4165</v>
      </c>
      <c r="G2417" s="2" t="s">
        <v>248</v>
      </c>
      <c r="H2417" s="2" t="s">
        <v>167</v>
      </c>
      <c r="I2417" s="2" t="s">
        <v>168</v>
      </c>
      <c r="J2417" s="2" t="s">
        <v>169</v>
      </c>
      <c r="K2417" s="2" t="s">
        <v>168</v>
      </c>
      <c r="L2417">
        <v>884.55</v>
      </c>
      <c r="M2417">
        <v>1</v>
      </c>
      <c r="N2417">
        <v>11.837999999999999</v>
      </c>
      <c r="O2417">
        <v>6900304</v>
      </c>
      <c r="P2417" s="2" t="s">
        <v>170</v>
      </c>
      <c r="Q2417" s="2" t="s">
        <v>171</v>
      </c>
      <c r="R2417" s="2" t="s">
        <v>30</v>
      </c>
      <c r="S2417">
        <v>11</v>
      </c>
      <c r="T2417" s="1">
        <v>43746</v>
      </c>
      <c r="U2417" s="1">
        <v>43755</v>
      </c>
      <c r="V2417" s="2"/>
      <c r="W2417" s="1">
        <f>fNotasFiscais[[#This Row],[Data da Coleta]]+fNotasFiscais[[#This Row],[Prazo Contratado]]</f>
        <v>43757</v>
      </c>
      <c r="X2417" s="3">
        <f>IF(fNotasFiscais[[#This Row],[Data da Entrega]]&gt;fNotasFiscais[[#This Row],[Data Contratada]],0,1)</f>
        <v>1</v>
      </c>
      <c r="Y2417" s="3">
        <f>IF(fNotasFiscais[[#This Row],[Ocorrência]]="",1,0)</f>
        <v>1</v>
      </c>
      <c r="Z2417" s="2">
        <f>fNotasFiscais[[#This Row],[On Time]]*fNotasFiscais[[#This Row],[In Full]]</f>
        <v>1</v>
      </c>
      <c r="AA2417">
        <f>IF(fNotasFiscais[[#This Row],[Nota Fiscal]]&lt;&gt;"",1,0)</f>
        <v>1</v>
      </c>
    </row>
    <row r="2418" spans="1:27" x14ac:dyDescent="0.25">
      <c r="A2418" s="1">
        <v>43746</v>
      </c>
      <c r="B2418">
        <v>12827</v>
      </c>
      <c r="C2418" s="2" t="s">
        <v>31</v>
      </c>
      <c r="D2418" s="2" t="s">
        <v>32</v>
      </c>
      <c r="E2418" s="2" t="s">
        <v>33</v>
      </c>
      <c r="F2418">
        <v>4033</v>
      </c>
      <c r="G2418" s="2" t="s">
        <v>109</v>
      </c>
      <c r="H2418" s="2" t="s">
        <v>51</v>
      </c>
      <c r="I2418" s="2" t="s">
        <v>73</v>
      </c>
      <c r="J2418" s="2" t="s">
        <v>49</v>
      </c>
      <c r="K2418" s="2" t="s">
        <v>73</v>
      </c>
      <c r="L2418">
        <v>291.19</v>
      </c>
      <c r="M2418">
        <v>1</v>
      </c>
      <c r="N2418">
        <v>4.4039999999999999</v>
      </c>
      <c r="O2418">
        <v>6100231</v>
      </c>
      <c r="P2418" s="2" t="s">
        <v>50</v>
      </c>
      <c r="Q2418" s="2" t="s">
        <v>51</v>
      </c>
      <c r="R2418" s="2" t="s">
        <v>30</v>
      </c>
      <c r="S2418">
        <v>12</v>
      </c>
      <c r="T2418" s="1">
        <v>43746</v>
      </c>
      <c r="U2418" s="1">
        <v>43748</v>
      </c>
      <c r="V2418" s="2"/>
      <c r="W2418" s="1">
        <f>fNotasFiscais[[#This Row],[Data da Coleta]]+fNotasFiscais[[#This Row],[Prazo Contratado]]</f>
        <v>43758</v>
      </c>
      <c r="X2418" s="3">
        <f>IF(fNotasFiscais[[#This Row],[Data da Entrega]]&gt;fNotasFiscais[[#This Row],[Data Contratada]],0,1)</f>
        <v>1</v>
      </c>
      <c r="Y2418" s="3">
        <f>IF(fNotasFiscais[[#This Row],[Ocorrência]]="",1,0)</f>
        <v>1</v>
      </c>
      <c r="Z2418" s="2">
        <f>fNotasFiscais[[#This Row],[On Time]]*fNotasFiscais[[#This Row],[In Full]]</f>
        <v>1</v>
      </c>
      <c r="AA2418">
        <f>IF(fNotasFiscais[[#This Row],[Nota Fiscal]]&lt;&gt;"",1,0)</f>
        <v>1</v>
      </c>
    </row>
    <row r="2419" spans="1:27" x14ac:dyDescent="0.25">
      <c r="A2419" s="1">
        <v>43746</v>
      </c>
      <c r="B2419">
        <v>12828</v>
      </c>
      <c r="C2419" s="2" t="s">
        <v>40</v>
      </c>
      <c r="D2419" s="2" t="s">
        <v>41</v>
      </c>
      <c r="E2419" s="2" t="s">
        <v>33</v>
      </c>
      <c r="F2419">
        <v>4096</v>
      </c>
      <c r="G2419" s="2" t="s">
        <v>178</v>
      </c>
      <c r="H2419" s="2" t="s">
        <v>44</v>
      </c>
      <c r="I2419" s="2" t="s">
        <v>45</v>
      </c>
      <c r="J2419" s="2" t="s">
        <v>60</v>
      </c>
      <c r="K2419" s="2" t="s">
        <v>45</v>
      </c>
      <c r="L2419">
        <v>6597.58</v>
      </c>
      <c r="M2419">
        <v>7</v>
      </c>
      <c r="N2419">
        <v>22.242999999999999</v>
      </c>
      <c r="O2419">
        <v>6140092</v>
      </c>
      <c r="P2419" s="2" t="s">
        <v>137</v>
      </c>
      <c r="Q2419" s="2" t="s">
        <v>138</v>
      </c>
      <c r="R2419" s="2" t="s">
        <v>30</v>
      </c>
      <c r="S2419">
        <v>12</v>
      </c>
      <c r="T2419" s="1">
        <v>43746</v>
      </c>
      <c r="U2419" s="1">
        <v>43755</v>
      </c>
      <c r="V2419" s="2"/>
      <c r="W2419" s="1">
        <f>fNotasFiscais[[#This Row],[Data da Coleta]]+fNotasFiscais[[#This Row],[Prazo Contratado]]</f>
        <v>43758</v>
      </c>
      <c r="X2419" s="3">
        <f>IF(fNotasFiscais[[#This Row],[Data da Entrega]]&gt;fNotasFiscais[[#This Row],[Data Contratada]],0,1)</f>
        <v>1</v>
      </c>
      <c r="Y2419" s="3">
        <f>IF(fNotasFiscais[[#This Row],[Ocorrência]]="",1,0)</f>
        <v>1</v>
      </c>
      <c r="Z2419" s="2">
        <f>fNotasFiscais[[#This Row],[On Time]]*fNotasFiscais[[#This Row],[In Full]]</f>
        <v>1</v>
      </c>
      <c r="AA2419">
        <f>IF(fNotasFiscais[[#This Row],[Nota Fiscal]]&lt;&gt;"",1,0)</f>
        <v>1</v>
      </c>
    </row>
    <row r="2420" spans="1:27" x14ac:dyDescent="0.25">
      <c r="A2420" s="1">
        <v>43746</v>
      </c>
      <c r="B2420">
        <v>12829</v>
      </c>
      <c r="C2420" s="2" t="s">
        <v>40</v>
      </c>
      <c r="D2420" s="2" t="s">
        <v>41</v>
      </c>
      <c r="E2420" s="2" t="s">
        <v>33</v>
      </c>
      <c r="F2420">
        <v>4133</v>
      </c>
      <c r="G2420" s="2" t="s">
        <v>216</v>
      </c>
      <c r="H2420" s="2" t="s">
        <v>35</v>
      </c>
      <c r="I2420" s="2" t="s">
        <v>36</v>
      </c>
      <c r="J2420" s="2" t="s">
        <v>60</v>
      </c>
      <c r="K2420" s="2" t="s">
        <v>36</v>
      </c>
      <c r="L2420">
        <v>1457.97</v>
      </c>
      <c r="M2420">
        <v>2</v>
      </c>
      <c r="N2420">
        <v>1.272</v>
      </c>
      <c r="O2420">
        <v>6600879</v>
      </c>
      <c r="P2420" s="2" t="s">
        <v>61</v>
      </c>
      <c r="Q2420" s="2" t="s">
        <v>35</v>
      </c>
      <c r="R2420" s="2" t="s">
        <v>30</v>
      </c>
      <c r="S2420">
        <v>6</v>
      </c>
      <c r="T2420" s="1">
        <v>43746</v>
      </c>
      <c r="U2420" s="1">
        <v>43756</v>
      </c>
      <c r="V2420" s="2"/>
      <c r="W2420" s="1">
        <f>fNotasFiscais[[#This Row],[Data da Coleta]]+fNotasFiscais[[#This Row],[Prazo Contratado]]</f>
        <v>43752</v>
      </c>
      <c r="X2420" s="3">
        <f>IF(fNotasFiscais[[#This Row],[Data da Entrega]]&gt;fNotasFiscais[[#This Row],[Data Contratada]],0,1)</f>
        <v>0</v>
      </c>
      <c r="Y2420" s="3">
        <f>IF(fNotasFiscais[[#This Row],[Ocorrência]]="",1,0)</f>
        <v>1</v>
      </c>
      <c r="Z2420" s="2">
        <f>fNotasFiscais[[#This Row],[On Time]]*fNotasFiscais[[#This Row],[In Full]]</f>
        <v>0</v>
      </c>
      <c r="AA2420">
        <f>IF(fNotasFiscais[[#This Row],[Nota Fiscal]]&lt;&gt;"",1,0)</f>
        <v>1</v>
      </c>
    </row>
    <row r="2421" spans="1:27" x14ac:dyDescent="0.25">
      <c r="A2421" s="1">
        <v>43746</v>
      </c>
      <c r="B2421">
        <v>12830</v>
      </c>
      <c r="C2421" s="2" t="s">
        <v>31</v>
      </c>
      <c r="D2421" s="2" t="s">
        <v>32</v>
      </c>
      <c r="E2421" s="2" t="s">
        <v>33</v>
      </c>
      <c r="F2421">
        <v>4068</v>
      </c>
      <c r="G2421" s="2" t="s">
        <v>63</v>
      </c>
      <c r="H2421" s="2" t="s">
        <v>64</v>
      </c>
      <c r="I2421" s="2" t="s">
        <v>65</v>
      </c>
      <c r="J2421" s="2" t="s">
        <v>49</v>
      </c>
      <c r="K2421" s="2" t="s">
        <v>65</v>
      </c>
      <c r="L2421">
        <v>3619.98</v>
      </c>
      <c r="M2421">
        <v>7</v>
      </c>
      <c r="N2421">
        <v>47.5</v>
      </c>
      <c r="O2421">
        <v>6100231</v>
      </c>
      <c r="P2421" s="2" t="s">
        <v>50</v>
      </c>
      <c r="Q2421" s="2" t="s">
        <v>51</v>
      </c>
      <c r="R2421" s="2" t="s">
        <v>30</v>
      </c>
      <c r="S2421">
        <v>12</v>
      </c>
      <c r="T2421" s="1">
        <v>43746</v>
      </c>
      <c r="U2421" s="1">
        <v>43755</v>
      </c>
      <c r="V2421" s="2" t="s">
        <v>57</v>
      </c>
      <c r="W2421" s="1">
        <f>fNotasFiscais[[#This Row],[Data da Coleta]]+fNotasFiscais[[#This Row],[Prazo Contratado]]</f>
        <v>43758</v>
      </c>
      <c r="X2421" s="3">
        <f>IF(fNotasFiscais[[#This Row],[Data da Entrega]]&gt;fNotasFiscais[[#This Row],[Data Contratada]],0,1)</f>
        <v>1</v>
      </c>
      <c r="Y2421" s="3">
        <f>IF(fNotasFiscais[[#This Row],[Ocorrência]]="",1,0)</f>
        <v>0</v>
      </c>
      <c r="Z2421" s="2">
        <f>fNotasFiscais[[#This Row],[On Time]]*fNotasFiscais[[#This Row],[In Full]]</f>
        <v>0</v>
      </c>
      <c r="AA2421">
        <f>IF(fNotasFiscais[[#This Row],[Nota Fiscal]]&lt;&gt;"",1,0)</f>
        <v>1</v>
      </c>
    </row>
    <row r="2422" spans="1:27" x14ac:dyDescent="0.25">
      <c r="A2422" s="1">
        <v>43746</v>
      </c>
      <c r="B2422">
        <v>12831</v>
      </c>
      <c r="C2422" s="2" t="s">
        <v>52</v>
      </c>
      <c r="D2422" s="2" t="s">
        <v>53</v>
      </c>
      <c r="E2422" s="2" t="s">
        <v>33</v>
      </c>
      <c r="F2422">
        <v>4013</v>
      </c>
      <c r="G2422" s="2" t="s">
        <v>37</v>
      </c>
      <c r="H2422" s="2" t="s">
        <v>38</v>
      </c>
      <c r="I2422" s="2" t="s">
        <v>39</v>
      </c>
      <c r="J2422" s="2" t="s">
        <v>28</v>
      </c>
      <c r="K2422" s="2" t="s">
        <v>39</v>
      </c>
      <c r="L2422">
        <v>469.04</v>
      </c>
      <c r="M2422">
        <v>1</v>
      </c>
      <c r="N2422">
        <v>1.1200000000000001</v>
      </c>
      <c r="O2422">
        <v>6500948</v>
      </c>
      <c r="P2422" s="2" t="s">
        <v>29</v>
      </c>
      <c r="Q2422" s="2" t="s">
        <v>23</v>
      </c>
      <c r="R2422" s="2" t="s">
        <v>30</v>
      </c>
      <c r="S2422">
        <v>10</v>
      </c>
      <c r="T2422" s="1">
        <v>43746</v>
      </c>
      <c r="U2422" s="1">
        <v>43754</v>
      </c>
      <c r="V2422" s="2"/>
      <c r="W2422" s="1">
        <f>fNotasFiscais[[#This Row],[Data da Coleta]]+fNotasFiscais[[#This Row],[Prazo Contratado]]</f>
        <v>43756</v>
      </c>
      <c r="X2422" s="3">
        <f>IF(fNotasFiscais[[#This Row],[Data da Entrega]]&gt;fNotasFiscais[[#This Row],[Data Contratada]],0,1)</f>
        <v>1</v>
      </c>
      <c r="Y2422" s="3">
        <f>IF(fNotasFiscais[[#This Row],[Ocorrência]]="",1,0)</f>
        <v>1</v>
      </c>
      <c r="Z2422" s="2">
        <f>fNotasFiscais[[#This Row],[On Time]]*fNotasFiscais[[#This Row],[In Full]]</f>
        <v>1</v>
      </c>
      <c r="AA2422">
        <f>IF(fNotasFiscais[[#This Row],[Nota Fiscal]]&lt;&gt;"",1,0)</f>
        <v>1</v>
      </c>
    </row>
    <row r="2423" spans="1:27" x14ac:dyDescent="0.25">
      <c r="A2423" s="1">
        <v>43746</v>
      </c>
      <c r="B2423">
        <v>12832</v>
      </c>
      <c r="C2423" s="2" t="s">
        <v>52</v>
      </c>
      <c r="D2423" s="2" t="s">
        <v>53</v>
      </c>
      <c r="E2423" s="2" t="s">
        <v>33</v>
      </c>
      <c r="F2423">
        <v>4032</v>
      </c>
      <c r="G2423" s="2" t="s">
        <v>108</v>
      </c>
      <c r="H2423" s="2" t="s">
        <v>51</v>
      </c>
      <c r="I2423" s="2" t="s">
        <v>73</v>
      </c>
      <c r="J2423" s="2" t="s">
        <v>49</v>
      </c>
      <c r="K2423" s="2" t="s">
        <v>73</v>
      </c>
      <c r="L2423">
        <v>914.22</v>
      </c>
      <c r="M2423">
        <v>2</v>
      </c>
      <c r="N2423">
        <v>11.22</v>
      </c>
      <c r="O2423">
        <v>6100231</v>
      </c>
      <c r="P2423" s="2" t="s">
        <v>50</v>
      </c>
      <c r="Q2423" s="2" t="s">
        <v>51</v>
      </c>
      <c r="R2423" s="2" t="s">
        <v>30</v>
      </c>
      <c r="S2423">
        <v>10</v>
      </c>
      <c r="T2423" s="1">
        <v>43746</v>
      </c>
      <c r="U2423" s="1">
        <v>43749</v>
      </c>
      <c r="V2423" s="2"/>
      <c r="W2423" s="1">
        <f>fNotasFiscais[[#This Row],[Data da Coleta]]+fNotasFiscais[[#This Row],[Prazo Contratado]]</f>
        <v>43756</v>
      </c>
      <c r="X2423" s="3">
        <f>IF(fNotasFiscais[[#This Row],[Data da Entrega]]&gt;fNotasFiscais[[#This Row],[Data Contratada]],0,1)</f>
        <v>1</v>
      </c>
      <c r="Y2423" s="3">
        <f>IF(fNotasFiscais[[#This Row],[Ocorrência]]="",1,0)</f>
        <v>1</v>
      </c>
      <c r="Z2423" s="2">
        <f>fNotasFiscais[[#This Row],[On Time]]*fNotasFiscais[[#This Row],[In Full]]</f>
        <v>1</v>
      </c>
      <c r="AA2423">
        <f>IF(fNotasFiscais[[#This Row],[Nota Fiscal]]&lt;&gt;"",1,0)</f>
        <v>1</v>
      </c>
    </row>
    <row r="2424" spans="1:27" x14ac:dyDescent="0.25">
      <c r="A2424" s="1">
        <v>43746</v>
      </c>
      <c r="B2424">
        <v>12833</v>
      </c>
      <c r="C2424" s="2" t="s">
        <v>34</v>
      </c>
      <c r="D2424" s="2" t="s">
        <v>35</v>
      </c>
      <c r="E2424" s="2" t="s">
        <v>36</v>
      </c>
      <c r="F2424">
        <v>4126</v>
      </c>
      <c r="G2424" s="2" t="s">
        <v>209</v>
      </c>
      <c r="H2424" s="2" t="s">
        <v>35</v>
      </c>
      <c r="I2424" s="2" t="s">
        <v>36</v>
      </c>
      <c r="J2424" s="2" t="s">
        <v>60</v>
      </c>
      <c r="K2424" s="2" t="s">
        <v>36</v>
      </c>
      <c r="L2424">
        <v>1581.57</v>
      </c>
      <c r="M2424">
        <v>7</v>
      </c>
      <c r="N2424">
        <v>40.954000000000001</v>
      </c>
      <c r="O2424">
        <v>6600879</v>
      </c>
      <c r="P2424" s="2" t="s">
        <v>61</v>
      </c>
      <c r="Q2424" s="2" t="s">
        <v>35</v>
      </c>
      <c r="R2424" s="2" t="s">
        <v>30</v>
      </c>
      <c r="S2424">
        <v>5</v>
      </c>
      <c r="T2424" s="1">
        <v>43746</v>
      </c>
      <c r="U2424" s="1">
        <v>43749</v>
      </c>
      <c r="V2424" s="2" t="s">
        <v>42</v>
      </c>
      <c r="W2424" s="1">
        <f>fNotasFiscais[[#This Row],[Data da Coleta]]+fNotasFiscais[[#This Row],[Prazo Contratado]]</f>
        <v>43751</v>
      </c>
      <c r="X2424" s="3">
        <f>IF(fNotasFiscais[[#This Row],[Data da Entrega]]&gt;fNotasFiscais[[#This Row],[Data Contratada]],0,1)</f>
        <v>1</v>
      </c>
      <c r="Y2424" s="3">
        <f>IF(fNotasFiscais[[#This Row],[Ocorrência]]="",1,0)</f>
        <v>0</v>
      </c>
      <c r="Z2424" s="2">
        <f>fNotasFiscais[[#This Row],[On Time]]*fNotasFiscais[[#This Row],[In Full]]</f>
        <v>0</v>
      </c>
      <c r="AA2424">
        <f>IF(fNotasFiscais[[#This Row],[Nota Fiscal]]&lt;&gt;"",1,0)</f>
        <v>1</v>
      </c>
    </row>
    <row r="2425" spans="1:27" x14ac:dyDescent="0.25">
      <c r="A2425" s="1">
        <v>43747</v>
      </c>
      <c r="B2425">
        <v>12834</v>
      </c>
      <c r="C2425" s="2" t="s">
        <v>31</v>
      </c>
      <c r="D2425" s="2" t="s">
        <v>32</v>
      </c>
      <c r="E2425" s="2" t="s">
        <v>33</v>
      </c>
      <c r="F2425">
        <v>4194</v>
      </c>
      <c r="G2425" s="2" t="s">
        <v>277</v>
      </c>
      <c r="H2425" s="2" t="s">
        <v>173</v>
      </c>
      <c r="I2425" s="2" t="s">
        <v>174</v>
      </c>
      <c r="J2425" s="2" t="s">
        <v>175</v>
      </c>
      <c r="K2425" s="2" t="s">
        <v>174</v>
      </c>
      <c r="L2425">
        <v>5686.65</v>
      </c>
      <c r="M2425">
        <v>1</v>
      </c>
      <c r="N2425">
        <v>1.1200000000000001</v>
      </c>
      <c r="O2425">
        <v>6700091</v>
      </c>
      <c r="P2425" s="2" t="s">
        <v>176</v>
      </c>
      <c r="Q2425" s="2" t="s">
        <v>173</v>
      </c>
      <c r="R2425" s="2" t="s">
        <v>30</v>
      </c>
      <c r="S2425">
        <v>10</v>
      </c>
      <c r="T2425" s="1">
        <v>43747</v>
      </c>
      <c r="U2425" s="1">
        <v>43748</v>
      </c>
      <c r="V2425" s="2"/>
      <c r="W2425" s="1">
        <f>fNotasFiscais[[#This Row],[Data da Coleta]]+fNotasFiscais[[#This Row],[Prazo Contratado]]</f>
        <v>43757</v>
      </c>
      <c r="X2425" s="3">
        <f>IF(fNotasFiscais[[#This Row],[Data da Entrega]]&gt;fNotasFiscais[[#This Row],[Data Contratada]],0,1)</f>
        <v>1</v>
      </c>
      <c r="Y2425" s="3">
        <f>IF(fNotasFiscais[[#This Row],[Ocorrência]]="",1,0)</f>
        <v>1</v>
      </c>
      <c r="Z2425" s="2">
        <f>fNotasFiscais[[#This Row],[On Time]]*fNotasFiscais[[#This Row],[In Full]]</f>
        <v>1</v>
      </c>
      <c r="AA2425">
        <f>IF(fNotasFiscais[[#This Row],[Nota Fiscal]]&lt;&gt;"",1,0)</f>
        <v>1</v>
      </c>
    </row>
    <row r="2426" spans="1:27" x14ac:dyDescent="0.25">
      <c r="A2426" s="1">
        <v>43747</v>
      </c>
      <c r="B2426">
        <v>12835</v>
      </c>
      <c r="C2426" s="2" t="s">
        <v>52</v>
      </c>
      <c r="D2426" s="2" t="s">
        <v>53</v>
      </c>
      <c r="E2426" s="2" t="s">
        <v>33</v>
      </c>
      <c r="F2426">
        <v>4254</v>
      </c>
      <c r="G2426" s="2" t="s">
        <v>337</v>
      </c>
      <c r="H2426" s="2" t="s">
        <v>32</v>
      </c>
      <c r="I2426" s="2" t="s">
        <v>33</v>
      </c>
      <c r="J2426" s="2" t="s">
        <v>60</v>
      </c>
      <c r="K2426" s="2" t="s">
        <v>33</v>
      </c>
      <c r="L2426">
        <v>6702.21</v>
      </c>
      <c r="M2426">
        <v>13</v>
      </c>
      <c r="N2426">
        <v>24.725000000000001</v>
      </c>
      <c r="O2426">
        <v>6400835</v>
      </c>
      <c r="P2426" s="2" t="s">
        <v>130</v>
      </c>
      <c r="Q2426" s="2" t="s">
        <v>131</v>
      </c>
      <c r="R2426" s="2" t="s">
        <v>30</v>
      </c>
      <c r="S2426">
        <v>1</v>
      </c>
      <c r="T2426" s="1">
        <v>43747</v>
      </c>
      <c r="U2426" s="1">
        <v>43752</v>
      </c>
      <c r="V2426" s="2"/>
      <c r="W2426" s="1">
        <f>fNotasFiscais[[#This Row],[Data da Coleta]]+fNotasFiscais[[#This Row],[Prazo Contratado]]</f>
        <v>43748</v>
      </c>
      <c r="X2426" s="3">
        <f>IF(fNotasFiscais[[#This Row],[Data da Entrega]]&gt;fNotasFiscais[[#This Row],[Data Contratada]],0,1)</f>
        <v>0</v>
      </c>
      <c r="Y2426" s="3">
        <f>IF(fNotasFiscais[[#This Row],[Ocorrência]]="",1,0)</f>
        <v>1</v>
      </c>
      <c r="Z2426" s="2">
        <f>fNotasFiscais[[#This Row],[On Time]]*fNotasFiscais[[#This Row],[In Full]]</f>
        <v>0</v>
      </c>
      <c r="AA2426">
        <f>IF(fNotasFiscais[[#This Row],[Nota Fiscal]]&lt;&gt;"",1,0)</f>
        <v>1</v>
      </c>
    </row>
    <row r="2427" spans="1:27" x14ac:dyDescent="0.25">
      <c r="A2427" s="1">
        <v>43747</v>
      </c>
      <c r="B2427">
        <v>12836</v>
      </c>
      <c r="C2427" s="2" t="s">
        <v>52</v>
      </c>
      <c r="D2427" s="2" t="s">
        <v>53</v>
      </c>
      <c r="E2427" s="2" t="s">
        <v>33</v>
      </c>
      <c r="F2427">
        <v>4255</v>
      </c>
      <c r="G2427" s="2" t="s">
        <v>338</v>
      </c>
      <c r="H2427" s="2" t="s">
        <v>35</v>
      </c>
      <c r="I2427" s="2" t="s">
        <v>36</v>
      </c>
      <c r="J2427" s="2" t="s">
        <v>60</v>
      </c>
      <c r="K2427" s="2" t="s">
        <v>36</v>
      </c>
      <c r="L2427">
        <v>405.12</v>
      </c>
      <c r="M2427">
        <v>8</v>
      </c>
      <c r="N2427">
        <v>27.675000000000001</v>
      </c>
      <c r="O2427">
        <v>6600879</v>
      </c>
      <c r="P2427" s="2" t="s">
        <v>61</v>
      </c>
      <c r="Q2427" s="2" t="s">
        <v>35</v>
      </c>
      <c r="R2427" s="2" t="s">
        <v>30</v>
      </c>
      <c r="S2427">
        <v>10</v>
      </c>
      <c r="T2427" s="1">
        <v>43747</v>
      </c>
      <c r="U2427" s="1">
        <v>43757</v>
      </c>
      <c r="V2427" s="2" t="s">
        <v>42</v>
      </c>
      <c r="W2427" s="1">
        <f>fNotasFiscais[[#This Row],[Data da Coleta]]+fNotasFiscais[[#This Row],[Prazo Contratado]]</f>
        <v>43757</v>
      </c>
      <c r="X2427" s="3">
        <f>IF(fNotasFiscais[[#This Row],[Data da Entrega]]&gt;fNotasFiscais[[#This Row],[Data Contratada]],0,1)</f>
        <v>1</v>
      </c>
      <c r="Y2427" s="3">
        <f>IF(fNotasFiscais[[#This Row],[Ocorrência]]="",1,0)</f>
        <v>0</v>
      </c>
      <c r="Z2427" s="2">
        <f>fNotasFiscais[[#This Row],[On Time]]*fNotasFiscais[[#This Row],[In Full]]</f>
        <v>0</v>
      </c>
      <c r="AA2427">
        <f>IF(fNotasFiscais[[#This Row],[Nota Fiscal]]&lt;&gt;"",1,0)</f>
        <v>1</v>
      </c>
    </row>
    <row r="2428" spans="1:27" x14ac:dyDescent="0.25">
      <c r="A2428" s="1">
        <v>43747</v>
      </c>
      <c r="B2428">
        <v>12837</v>
      </c>
      <c r="C2428" s="2" t="s">
        <v>40</v>
      </c>
      <c r="D2428" s="2" t="s">
        <v>41</v>
      </c>
      <c r="E2428" s="2" t="s">
        <v>33</v>
      </c>
      <c r="F2428">
        <v>4142</v>
      </c>
      <c r="G2428" s="2" t="s">
        <v>225</v>
      </c>
      <c r="H2428" s="2" t="s">
        <v>173</v>
      </c>
      <c r="I2428" s="2" t="s">
        <v>174</v>
      </c>
      <c r="J2428" s="2" t="s">
        <v>175</v>
      </c>
      <c r="K2428" s="2" t="s">
        <v>174</v>
      </c>
      <c r="L2428">
        <v>2446.0100000000002</v>
      </c>
      <c r="M2428">
        <v>1</v>
      </c>
      <c r="N2428">
        <v>1.1200000000000001</v>
      </c>
      <c r="O2428">
        <v>6700091</v>
      </c>
      <c r="P2428" s="2" t="s">
        <v>176</v>
      </c>
      <c r="Q2428" s="2" t="s">
        <v>173</v>
      </c>
      <c r="R2428" s="2" t="s">
        <v>30</v>
      </c>
      <c r="S2428">
        <v>3</v>
      </c>
      <c r="T2428" s="1">
        <v>43747</v>
      </c>
      <c r="U2428" s="1">
        <v>43755</v>
      </c>
      <c r="V2428" s="2" t="s">
        <v>42</v>
      </c>
      <c r="W2428" s="1">
        <f>fNotasFiscais[[#This Row],[Data da Coleta]]+fNotasFiscais[[#This Row],[Prazo Contratado]]</f>
        <v>43750</v>
      </c>
      <c r="X2428" s="3">
        <f>IF(fNotasFiscais[[#This Row],[Data da Entrega]]&gt;fNotasFiscais[[#This Row],[Data Contratada]],0,1)</f>
        <v>0</v>
      </c>
      <c r="Y2428" s="3">
        <f>IF(fNotasFiscais[[#This Row],[Ocorrência]]="",1,0)</f>
        <v>0</v>
      </c>
      <c r="Z2428" s="2">
        <f>fNotasFiscais[[#This Row],[On Time]]*fNotasFiscais[[#This Row],[In Full]]</f>
        <v>0</v>
      </c>
      <c r="AA2428">
        <f>IF(fNotasFiscais[[#This Row],[Nota Fiscal]]&lt;&gt;"",1,0)</f>
        <v>1</v>
      </c>
    </row>
    <row r="2429" spans="1:27" x14ac:dyDescent="0.25">
      <c r="A2429" s="1">
        <v>43747</v>
      </c>
      <c r="B2429">
        <v>12838</v>
      </c>
      <c r="C2429" s="2" t="s">
        <v>31</v>
      </c>
      <c r="D2429" s="2" t="s">
        <v>32</v>
      </c>
      <c r="E2429" s="2" t="s">
        <v>33</v>
      </c>
      <c r="F2429">
        <v>4171</v>
      </c>
      <c r="G2429" s="2" t="s">
        <v>254</v>
      </c>
      <c r="H2429" s="2" t="s">
        <v>173</v>
      </c>
      <c r="I2429" s="2" t="s">
        <v>174</v>
      </c>
      <c r="J2429" s="2" t="s">
        <v>175</v>
      </c>
      <c r="K2429" s="2" t="s">
        <v>174</v>
      </c>
      <c r="L2429">
        <v>99.38</v>
      </c>
      <c r="M2429">
        <v>1</v>
      </c>
      <c r="N2429">
        <v>0.14099999999999999</v>
      </c>
      <c r="O2429">
        <v>6700091</v>
      </c>
      <c r="P2429" s="2" t="s">
        <v>176</v>
      </c>
      <c r="Q2429" s="2" t="s">
        <v>173</v>
      </c>
      <c r="R2429" s="2" t="s">
        <v>30</v>
      </c>
      <c r="S2429">
        <v>8</v>
      </c>
      <c r="T2429" s="1">
        <v>43747</v>
      </c>
      <c r="U2429" s="1">
        <v>43755</v>
      </c>
      <c r="V2429" s="2"/>
      <c r="W2429" s="1">
        <f>fNotasFiscais[[#This Row],[Data da Coleta]]+fNotasFiscais[[#This Row],[Prazo Contratado]]</f>
        <v>43755</v>
      </c>
      <c r="X2429" s="3">
        <f>IF(fNotasFiscais[[#This Row],[Data da Entrega]]&gt;fNotasFiscais[[#This Row],[Data Contratada]],0,1)</f>
        <v>1</v>
      </c>
      <c r="Y2429" s="3">
        <f>IF(fNotasFiscais[[#This Row],[Ocorrência]]="",1,0)</f>
        <v>1</v>
      </c>
      <c r="Z2429" s="2">
        <f>fNotasFiscais[[#This Row],[On Time]]*fNotasFiscais[[#This Row],[In Full]]</f>
        <v>1</v>
      </c>
      <c r="AA2429">
        <f>IF(fNotasFiscais[[#This Row],[Nota Fiscal]]&lt;&gt;"",1,0)</f>
        <v>1</v>
      </c>
    </row>
    <row r="2430" spans="1:27" x14ac:dyDescent="0.25">
      <c r="A2430" s="1">
        <v>43747</v>
      </c>
      <c r="B2430">
        <v>12839</v>
      </c>
      <c r="C2430" s="2" t="s">
        <v>40</v>
      </c>
      <c r="D2430" s="2" t="s">
        <v>41</v>
      </c>
      <c r="E2430" s="2" t="s">
        <v>33</v>
      </c>
      <c r="F2430">
        <v>4147</v>
      </c>
      <c r="G2430" s="2" t="s">
        <v>230</v>
      </c>
      <c r="H2430" s="2" t="s">
        <v>35</v>
      </c>
      <c r="I2430" s="2" t="s">
        <v>36</v>
      </c>
      <c r="J2430" s="2" t="s">
        <v>60</v>
      </c>
      <c r="K2430" s="2" t="s">
        <v>36</v>
      </c>
      <c r="L2430">
        <v>1529.62</v>
      </c>
      <c r="M2430">
        <v>2</v>
      </c>
      <c r="N2430">
        <v>3.5289999999999999</v>
      </c>
      <c r="O2430">
        <v>6600879</v>
      </c>
      <c r="P2430" s="2" t="s">
        <v>61</v>
      </c>
      <c r="Q2430" s="2" t="s">
        <v>35</v>
      </c>
      <c r="R2430" s="2" t="s">
        <v>30</v>
      </c>
      <c r="S2430">
        <v>5</v>
      </c>
      <c r="T2430" s="1">
        <v>43747</v>
      </c>
      <c r="U2430" s="1">
        <v>43755</v>
      </c>
      <c r="V2430" s="2"/>
      <c r="W2430" s="1">
        <f>fNotasFiscais[[#This Row],[Data da Coleta]]+fNotasFiscais[[#This Row],[Prazo Contratado]]</f>
        <v>43752</v>
      </c>
      <c r="X2430" s="3">
        <f>IF(fNotasFiscais[[#This Row],[Data da Entrega]]&gt;fNotasFiscais[[#This Row],[Data Contratada]],0,1)</f>
        <v>0</v>
      </c>
      <c r="Y2430" s="3">
        <f>IF(fNotasFiscais[[#This Row],[Ocorrência]]="",1,0)</f>
        <v>1</v>
      </c>
      <c r="Z2430" s="2">
        <f>fNotasFiscais[[#This Row],[On Time]]*fNotasFiscais[[#This Row],[In Full]]</f>
        <v>0</v>
      </c>
      <c r="AA2430">
        <f>IF(fNotasFiscais[[#This Row],[Nota Fiscal]]&lt;&gt;"",1,0)</f>
        <v>1</v>
      </c>
    </row>
    <row r="2431" spans="1:27" x14ac:dyDescent="0.25">
      <c r="A2431" s="1">
        <v>43747</v>
      </c>
      <c r="B2431">
        <v>12840</v>
      </c>
      <c r="C2431" s="2" t="s">
        <v>31</v>
      </c>
      <c r="D2431" s="2" t="s">
        <v>32</v>
      </c>
      <c r="E2431" s="2" t="s">
        <v>33</v>
      </c>
      <c r="F2431">
        <v>4155</v>
      </c>
      <c r="G2431" s="2" t="s">
        <v>238</v>
      </c>
      <c r="H2431" s="2" t="s">
        <v>32</v>
      </c>
      <c r="I2431" s="2" t="s">
        <v>33</v>
      </c>
      <c r="J2431" s="2" t="s">
        <v>60</v>
      </c>
      <c r="K2431" s="2" t="s">
        <v>33</v>
      </c>
      <c r="L2431">
        <v>447.47</v>
      </c>
      <c r="M2431">
        <v>1</v>
      </c>
      <c r="N2431">
        <v>0.749</v>
      </c>
      <c r="O2431">
        <v>6400835</v>
      </c>
      <c r="P2431" s="2" t="s">
        <v>130</v>
      </c>
      <c r="Q2431" s="2" t="s">
        <v>131</v>
      </c>
      <c r="R2431" s="2" t="s">
        <v>30</v>
      </c>
      <c r="S2431">
        <v>9</v>
      </c>
      <c r="T2431" s="1">
        <v>43747</v>
      </c>
      <c r="U2431" s="1">
        <v>43755</v>
      </c>
      <c r="V2431" s="2"/>
      <c r="W2431" s="1">
        <f>fNotasFiscais[[#This Row],[Data da Coleta]]+fNotasFiscais[[#This Row],[Prazo Contratado]]</f>
        <v>43756</v>
      </c>
      <c r="X2431" s="3">
        <f>IF(fNotasFiscais[[#This Row],[Data da Entrega]]&gt;fNotasFiscais[[#This Row],[Data Contratada]],0,1)</f>
        <v>1</v>
      </c>
      <c r="Y2431" s="3">
        <f>IF(fNotasFiscais[[#This Row],[Ocorrência]]="",1,0)</f>
        <v>1</v>
      </c>
      <c r="Z2431" s="2">
        <f>fNotasFiscais[[#This Row],[On Time]]*fNotasFiscais[[#This Row],[In Full]]</f>
        <v>1</v>
      </c>
      <c r="AA2431">
        <f>IF(fNotasFiscais[[#This Row],[Nota Fiscal]]&lt;&gt;"",1,0)</f>
        <v>1</v>
      </c>
    </row>
    <row r="2432" spans="1:27" x14ac:dyDescent="0.25">
      <c r="A2432" s="1">
        <v>43747</v>
      </c>
      <c r="B2432">
        <v>12841</v>
      </c>
      <c r="C2432" s="2" t="s">
        <v>40</v>
      </c>
      <c r="D2432" s="2" t="s">
        <v>41</v>
      </c>
      <c r="E2432" s="2" t="s">
        <v>33</v>
      </c>
      <c r="F2432">
        <v>4205</v>
      </c>
      <c r="G2432" s="2" t="s">
        <v>288</v>
      </c>
      <c r="H2432" s="2" t="s">
        <v>35</v>
      </c>
      <c r="I2432" s="2" t="s">
        <v>36</v>
      </c>
      <c r="J2432" s="2" t="s">
        <v>60</v>
      </c>
      <c r="K2432" s="2" t="s">
        <v>36</v>
      </c>
      <c r="L2432">
        <v>2493.14</v>
      </c>
      <c r="M2432">
        <v>4</v>
      </c>
      <c r="N2432">
        <v>25.207000000000001</v>
      </c>
      <c r="O2432">
        <v>6600879</v>
      </c>
      <c r="P2432" s="2" t="s">
        <v>61</v>
      </c>
      <c r="Q2432" s="2" t="s">
        <v>35</v>
      </c>
      <c r="R2432" s="2" t="s">
        <v>30</v>
      </c>
      <c r="S2432">
        <v>10</v>
      </c>
      <c r="T2432" s="1">
        <v>43747</v>
      </c>
      <c r="U2432" s="1">
        <v>43756</v>
      </c>
      <c r="V2432" s="2"/>
      <c r="W2432" s="1">
        <f>fNotasFiscais[[#This Row],[Data da Coleta]]+fNotasFiscais[[#This Row],[Prazo Contratado]]</f>
        <v>43757</v>
      </c>
      <c r="X2432" s="3">
        <f>IF(fNotasFiscais[[#This Row],[Data da Entrega]]&gt;fNotasFiscais[[#This Row],[Data Contratada]],0,1)</f>
        <v>1</v>
      </c>
      <c r="Y2432" s="3">
        <f>IF(fNotasFiscais[[#This Row],[Ocorrência]]="",1,0)</f>
        <v>1</v>
      </c>
      <c r="Z2432" s="2">
        <f>fNotasFiscais[[#This Row],[On Time]]*fNotasFiscais[[#This Row],[In Full]]</f>
        <v>1</v>
      </c>
      <c r="AA2432">
        <f>IF(fNotasFiscais[[#This Row],[Nota Fiscal]]&lt;&gt;"",1,0)</f>
        <v>1</v>
      </c>
    </row>
    <row r="2433" spans="1:27" x14ac:dyDescent="0.25">
      <c r="A2433" s="1">
        <v>43747</v>
      </c>
      <c r="B2433">
        <v>12842</v>
      </c>
      <c r="C2433" s="2" t="s">
        <v>22</v>
      </c>
      <c r="D2433" s="2" t="s">
        <v>23</v>
      </c>
      <c r="E2433" s="2" t="s">
        <v>24</v>
      </c>
      <c r="F2433">
        <v>4218</v>
      </c>
      <c r="G2433" s="2" t="s">
        <v>301</v>
      </c>
      <c r="H2433" s="2" t="s">
        <v>183</v>
      </c>
      <c r="I2433" s="2" t="s">
        <v>33</v>
      </c>
      <c r="J2433" s="2" t="s">
        <v>60</v>
      </c>
      <c r="K2433" s="2" t="s">
        <v>33</v>
      </c>
      <c r="L2433">
        <v>5804.56</v>
      </c>
      <c r="M2433">
        <v>14</v>
      </c>
      <c r="N2433">
        <v>61.433</v>
      </c>
      <c r="O2433">
        <v>6400835</v>
      </c>
      <c r="P2433" s="2" t="s">
        <v>130</v>
      </c>
      <c r="Q2433" s="2" t="s">
        <v>131</v>
      </c>
      <c r="R2433" s="2" t="s">
        <v>30</v>
      </c>
      <c r="S2433">
        <v>6</v>
      </c>
      <c r="T2433" s="1">
        <v>43747</v>
      </c>
      <c r="U2433" s="1">
        <v>43757</v>
      </c>
      <c r="V2433" s="2"/>
      <c r="W2433" s="1">
        <f>fNotasFiscais[[#This Row],[Data da Coleta]]+fNotasFiscais[[#This Row],[Prazo Contratado]]</f>
        <v>43753</v>
      </c>
      <c r="X2433" s="3">
        <f>IF(fNotasFiscais[[#This Row],[Data da Entrega]]&gt;fNotasFiscais[[#This Row],[Data Contratada]],0,1)</f>
        <v>0</v>
      </c>
      <c r="Y2433" s="3">
        <f>IF(fNotasFiscais[[#This Row],[Ocorrência]]="",1,0)</f>
        <v>1</v>
      </c>
      <c r="Z2433" s="2">
        <f>fNotasFiscais[[#This Row],[On Time]]*fNotasFiscais[[#This Row],[In Full]]</f>
        <v>0</v>
      </c>
      <c r="AA2433">
        <f>IF(fNotasFiscais[[#This Row],[Nota Fiscal]]&lt;&gt;"",1,0)</f>
        <v>1</v>
      </c>
    </row>
    <row r="2434" spans="1:27" x14ac:dyDescent="0.25">
      <c r="A2434" s="1">
        <v>43747</v>
      </c>
      <c r="B2434">
        <v>12843</v>
      </c>
      <c r="C2434" s="2" t="s">
        <v>31</v>
      </c>
      <c r="D2434" s="2" t="s">
        <v>32</v>
      </c>
      <c r="E2434" s="2" t="s">
        <v>33</v>
      </c>
      <c r="F2434">
        <v>4142</v>
      </c>
      <c r="G2434" s="2" t="s">
        <v>225</v>
      </c>
      <c r="H2434" s="2" t="s">
        <v>173</v>
      </c>
      <c r="I2434" s="2" t="s">
        <v>174</v>
      </c>
      <c r="J2434" s="2" t="s">
        <v>175</v>
      </c>
      <c r="K2434" s="2" t="s">
        <v>174</v>
      </c>
      <c r="L2434">
        <v>2093</v>
      </c>
      <c r="M2434">
        <v>1</v>
      </c>
      <c r="N2434">
        <v>1.1200000000000001</v>
      </c>
      <c r="O2434">
        <v>6700091</v>
      </c>
      <c r="P2434" s="2" t="s">
        <v>176</v>
      </c>
      <c r="Q2434" s="2" t="s">
        <v>173</v>
      </c>
      <c r="R2434" s="2" t="s">
        <v>30</v>
      </c>
      <c r="S2434">
        <v>7</v>
      </c>
      <c r="T2434" s="1">
        <v>43747</v>
      </c>
      <c r="U2434" s="1">
        <v>43753</v>
      </c>
      <c r="V2434" s="2"/>
      <c r="W2434" s="1">
        <f>fNotasFiscais[[#This Row],[Data da Coleta]]+fNotasFiscais[[#This Row],[Prazo Contratado]]</f>
        <v>43754</v>
      </c>
      <c r="X2434" s="3">
        <f>IF(fNotasFiscais[[#This Row],[Data da Entrega]]&gt;fNotasFiscais[[#This Row],[Data Contratada]],0,1)</f>
        <v>1</v>
      </c>
      <c r="Y2434" s="3">
        <f>IF(fNotasFiscais[[#This Row],[Ocorrência]]="",1,0)</f>
        <v>1</v>
      </c>
      <c r="Z2434" s="2">
        <f>fNotasFiscais[[#This Row],[On Time]]*fNotasFiscais[[#This Row],[In Full]]</f>
        <v>1</v>
      </c>
      <c r="AA2434">
        <f>IF(fNotasFiscais[[#This Row],[Nota Fiscal]]&lt;&gt;"",1,0)</f>
        <v>1</v>
      </c>
    </row>
    <row r="2435" spans="1:27" x14ac:dyDescent="0.25">
      <c r="A2435" s="1">
        <v>43747</v>
      </c>
      <c r="B2435">
        <v>12844</v>
      </c>
      <c r="C2435" s="2" t="s">
        <v>40</v>
      </c>
      <c r="D2435" s="2" t="s">
        <v>41</v>
      </c>
      <c r="E2435" s="2" t="s">
        <v>33</v>
      </c>
      <c r="F2435">
        <v>4060</v>
      </c>
      <c r="G2435" s="2" t="s">
        <v>134</v>
      </c>
      <c r="H2435" s="2" t="s">
        <v>115</v>
      </c>
      <c r="I2435" s="2" t="s">
        <v>107</v>
      </c>
      <c r="J2435" s="2" t="s">
        <v>49</v>
      </c>
      <c r="K2435" s="2" t="s">
        <v>107</v>
      </c>
      <c r="L2435">
        <v>321.17</v>
      </c>
      <c r="M2435">
        <v>4</v>
      </c>
      <c r="N2435">
        <v>7.8159999999999998</v>
      </c>
      <c r="O2435">
        <v>6100231</v>
      </c>
      <c r="P2435" s="2" t="s">
        <v>50</v>
      </c>
      <c r="Q2435" s="2" t="s">
        <v>51</v>
      </c>
      <c r="R2435" s="2" t="s">
        <v>30</v>
      </c>
      <c r="S2435">
        <v>3</v>
      </c>
      <c r="T2435" s="1">
        <v>43747</v>
      </c>
      <c r="U2435" s="1">
        <v>43757</v>
      </c>
      <c r="V2435" s="2"/>
      <c r="W2435" s="1">
        <f>fNotasFiscais[[#This Row],[Data da Coleta]]+fNotasFiscais[[#This Row],[Prazo Contratado]]</f>
        <v>43750</v>
      </c>
      <c r="X2435" s="3">
        <f>IF(fNotasFiscais[[#This Row],[Data da Entrega]]&gt;fNotasFiscais[[#This Row],[Data Contratada]],0,1)</f>
        <v>0</v>
      </c>
      <c r="Y2435" s="3">
        <f>IF(fNotasFiscais[[#This Row],[Ocorrência]]="",1,0)</f>
        <v>1</v>
      </c>
      <c r="Z2435" s="2">
        <f>fNotasFiscais[[#This Row],[On Time]]*fNotasFiscais[[#This Row],[In Full]]</f>
        <v>0</v>
      </c>
      <c r="AA2435">
        <f>IF(fNotasFiscais[[#This Row],[Nota Fiscal]]&lt;&gt;"",1,0)</f>
        <v>1</v>
      </c>
    </row>
    <row r="2436" spans="1:27" x14ac:dyDescent="0.25">
      <c r="A2436" s="1">
        <v>43748</v>
      </c>
      <c r="B2436">
        <v>12845</v>
      </c>
      <c r="C2436" s="2" t="s">
        <v>31</v>
      </c>
      <c r="D2436" s="2" t="s">
        <v>32</v>
      </c>
      <c r="E2436" s="2" t="s">
        <v>33</v>
      </c>
      <c r="F2436">
        <v>4024</v>
      </c>
      <c r="G2436" s="2" t="s">
        <v>89</v>
      </c>
      <c r="H2436" s="2" t="s">
        <v>23</v>
      </c>
      <c r="I2436" s="2" t="s">
        <v>24</v>
      </c>
      <c r="J2436" s="2" t="s">
        <v>28</v>
      </c>
      <c r="K2436" s="2" t="s">
        <v>24</v>
      </c>
      <c r="L2436">
        <v>763.07</v>
      </c>
      <c r="M2436">
        <v>1</v>
      </c>
      <c r="N2436">
        <v>1.1200000000000001</v>
      </c>
      <c r="O2436">
        <v>6500948</v>
      </c>
      <c r="P2436" s="2" t="s">
        <v>29</v>
      </c>
      <c r="Q2436" s="2" t="s">
        <v>23</v>
      </c>
      <c r="R2436" s="2" t="s">
        <v>30</v>
      </c>
      <c r="S2436">
        <v>1</v>
      </c>
      <c r="T2436" s="1">
        <v>43748</v>
      </c>
      <c r="U2436" s="1">
        <v>43750</v>
      </c>
      <c r="V2436" s="2"/>
      <c r="W2436" s="1">
        <f>fNotasFiscais[[#This Row],[Data da Coleta]]+fNotasFiscais[[#This Row],[Prazo Contratado]]</f>
        <v>43749</v>
      </c>
      <c r="X2436" s="3">
        <f>IF(fNotasFiscais[[#This Row],[Data da Entrega]]&gt;fNotasFiscais[[#This Row],[Data Contratada]],0,1)</f>
        <v>0</v>
      </c>
      <c r="Y2436" s="3">
        <f>IF(fNotasFiscais[[#This Row],[Ocorrência]]="",1,0)</f>
        <v>1</v>
      </c>
      <c r="Z2436" s="2">
        <f>fNotasFiscais[[#This Row],[On Time]]*fNotasFiscais[[#This Row],[In Full]]</f>
        <v>0</v>
      </c>
      <c r="AA2436">
        <f>IF(fNotasFiscais[[#This Row],[Nota Fiscal]]&lt;&gt;"",1,0)</f>
        <v>1</v>
      </c>
    </row>
    <row r="2437" spans="1:27" x14ac:dyDescent="0.25">
      <c r="A2437" s="1">
        <v>43748</v>
      </c>
      <c r="B2437">
        <v>12846</v>
      </c>
      <c r="C2437" s="2" t="s">
        <v>43</v>
      </c>
      <c r="D2437" s="2" t="s">
        <v>44</v>
      </c>
      <c r="E2437" s="2" t="s">
        <v>45</v>
      </c>
      <c r="F2437">
        <v>4128</v>
      </c>
      <c r="G2437" s="2" t="s">
        <v>211</v>
      </c>
      <c r="H2437" s="2" t="s">
        <v>167</v>
      </c>
      <c r="I2437" s="2" t="s">
        <v>168</v>
      </c>
      <c r="J2437" s="2" t="s">
        <v>169</v>
      </c>
      <c r="K2437" s="2" t="s">
        <v>168</v>
      </c>
      <c r="L2437">
        <v>22174.98</v>
      </c>
      <c r="M2437">
        <v>34</v>
      </c>
      <c r="N2437">
        <v>147.429</v>
      </c>
      <c r="O2437">
        <v>6900304</v>
      </c>
      <c r="P2437" s="2" t="s">
        <v>170</v>
      </c>
      <c r="Q2437" s="2" t="s">
        <v>171</v>
      </c>
      <c r="R2437" s="2" t="s">
        <v>30</v>
      </c>
      <c r="S2437">
        <v>2</v>
      </c>
      <c r="T2437" s="1">
        <v>43748</v>
      </c>
      <c r="U2437" s="1">
        <v>43756</v>
      </c>
      <c r="V2437" s="2"/>
      <c r="W2437" s="1">
        <f>fNotasFiscais[[#This Row],[Data da Coleta]]+fNotasFiscais[[#This Row],[Prazo Contratado]]</f>
        <v>43750</v>
      </c>
      <c r="X2437" s="3">
        <f>IF(fNotasFiscais[[#This Row],[Data da Entrega]]&gt;fNotasFiscais[[#This Row],[Data Contratada]],0,1)</f>
        <v>0</v>
      </c>
      <c r="Y2437" s="3">
        <f>IF(fNotasFiscais[[#This Row],[Ocorrência]]="",1,0)</f>
        <v>1</v>
      </c>
      <c r="Z2437" s="2">
        <f>fNotasFiscais[[#This Row],[On Time]]*fNotasFiscais[[#This Row],[In Full]]</f>
        <v>0</v>
      </c>
      <c r="AA2437">
        <f>IF(fNotasFiscais[[#This Row],[Nota Fiscal]]&lt;&gt;"",1,0)</f>
        <v>1</v>
      </c>
    </row>
    <row r="2438" spans="1:27" x14ac:dyDescent="0.25">
      <c r="A2438" s="1">
        <v>43748</v>
      </c>
      <c r="B2438">
        <v>12847</v>
      </c>
      <c r="C2438" s="2" t="s">
        <v>54</v>
      </c>
      <c r="D2438" s="2" t="s">
        <v>55</v>
      </c>
      <c r="E2438" s="2" t="s">
        <v>56</v>
      </c>
      <c r="F2438">
        <v>4069</v>
      </c>
      <c r="G2438" s="2" t="s">
        <v>135</v>
      </c>
      <c r="H2438" s="2" t="s">
        <v>47</v>
      </c>
      <c r="I2438" s="2" t="s">
        <v>48</v>
      </c>
      <c r="J2438" s="2" t="s">
        <v>49</v>
      </c>
      <c r="K2438" s="2" t="s">
        <v>48</v>
      </c>
      <c r="L2438">
        <v>1153.22</v>
      </c>
      <c r="M2438">
        <v>1</v>
      </c>
      <c r="N2438">
        <v>11.837999999999999</v>
      </c>
      <c r="O2438">
        <v>6100231</v>
      </c>
      <c r="P2438" s="2" t="s">
        <v>50</v>
      </c>
      <c r="Q2438" s="2" t="s">
        <v>51</v>
      </c>
      <c r="R2438" s="2" t="s">
        <v>30</v>
      </c>
      <c r="S2438">
        <v>8</v>
      </c>
      <c r="T2438" s="1">
        <v>43748</v>
      </c>
      <c r="U2438" s="1">
        <v>43749</v>
      </c>
      <c r="V2438" s="2"/>
      <c r="W2438" s="1">
        <f>fNotasFiscais[[#This Row],[Data da Coleta]]+fNotasFiscais[[#This Row],[Prazo Contratado]]</f>
        <v>43756</v>
      </c>
      <c r="X2438" s="3">
        <f>IF(fNotasFiscais[[#This Row],[Data da Entrega]]&gt;fNotasFiscais[[#This Row],[Data Contratada]],0,1)</f>
        <v>1</v>
      </c>
      <c r="Y2438" s="3">
        <f>IF(fNotasFiscais[[#This Row],[Ocorrência]]="",1,0)</f>
        <v>1</v>
      </c>
      <c r="Z2438" s="2">
        <f>fNotasFiscais[[#This Row],[On Time]]*fNotasFiscais[[#This Row],[In Full]]</f>
        <v>1</v>
      </c>
      <c r="AA2438">
        <f>IF(fNotasFiscais[[#This Row],[Nota Fiscal]]&lt;&gt;"",1,0)</f>
        <v>1</v>
      </c>
    </row>
    <row r="2439" spans="1:27" x14ac:dyDescent="0.25">
      <c r="A2439" s="1">
        <v>43748</v>
      </c>
      <c r="B2439">
        <v>12848</v>
      </c>
      <c r="C2439" s="2" t="s">
        <v>52</v>
      </c>
      <c r="D2439" s="2" t="s">
        <v>53</v>
      </c>
      <c r="E2439" s="2" t="s">
        <v>33</v>
      </c>
      <c r="F2439">
        <v>4022</v>
      </c>
      <c r="G2439" s="2" t="s">
        <v>86</v>
      </c>
      <c r="H2439" s="2" t="s">
        <v>87</v>
      </c>
      <c r="I2439" s="2" t="s">
        <v>27</v>
      </c>
      <c r="J2439" s="2" t="s">
        <v>28</v>
      </c>
      <c r="K2439" s="2" t="s">
        <v>27</v>
      </c>
      <c r="L2439">
        <v>321.17</v>
      </c>
      <c r="M2439">
        <v>1</v>
      </c>
      <c r="N2439">
        <v>4.4039999999999999</v>
      </c>
      <c r="O2439">
        <v>6500948</v>
      </c>
      <c r="P2439" s="2" t="s">
        <v>29</v>
      </c>
      <c r="Q2439" s="2" t="s">
        <v>23</v>
      </c>
      <c r="R2439" s="2" t="s">
        <v>30</v>
      </c>
      <c r="S2439">
        <v>8</v>
      </c>
      <c r="T2439" s="1">
        <v>43748</v>
      </c>
      <c r="U2439" s="1">
        <v>43757</v>
      </c>
      <c r="V2439" s="2"/>
      <c r="W2439" s="1">
        <f>fNotasFiscais[[#This Row],[Data da Coleta]]+fNotasFiscais[[#This Row],[Prazo Contratado]]</f>
        <v>43756</v>
      </c>
      <c r="X2439" s="3">
        <f>IF(fNotasFiscais[[#This Row],[Data da Entrega]]&gt;fNotasFiscais[[#This Row],[Data Contratada]],0,1)</f>
        <v>0</v>
      </c>
      <c r="Y2439" s="3">
        <f>IF(fNotasFiscais[[#This Row],[Ocorrência]]="",1,0)</f>
        <v>1</v>
      </c>
      <c r="Z2439" s="2">
        <f>fNotasFiscais[[#This Row],[On Time]]*fNotasFiscais[[#This Row],[In Full]]</f>
        <v>0</v>
      </c>
      <c r="AA2439">
        <f>IF(fNotasFiscais[[#This Row],[Nota Fiscal]]&lt;&gt;"",1,0)</f>
        <v>1</v>
      </c>
    </row>
    <row r="2440" spans="1:27" x14ac:dyDescent="0.25">
      <c r="A2440" s="1">
        <v>43749</v>
      </c>
      <c r="B2440">
        <v>12849</v>
      </c>
      <c r="C2440" s="2" t="s">
        <v>22</v>
      </c>
      <c r="D2440" s="2" t="s">
        <v>23</v>
      </c>
      <c r="E2440" s="2" t="s">
        <v>24</v>
      </c>
      <c r="F2440">
        <v>4164</v>
      </c>
      <c r="G2440" s="2" t="s">
        <v>247</v>
      </c>
      <c r="H2440" s="2" t="s">
        <v>165</v>
      </c>
      <c r="I2440" s="2" t="s">
        <v>24</v>
      </c>
      <c r="J2440" s="2" t="s">
        <v>28</v>
      </c>
      <c r="K2440" s="2" t="s">
        <v>24</v>
      </c>
      <c r="L2440">
        <v>351.66</v>
      </c>
      <c r="M2440">
        <v>1</v>
      </c>
      <c r="N2440">
        <v>0.749</v>
      </c>
      <c r="O2440">
        <v>6500948</v>
      </c>
      <c r="P2440" s="2" t="s">
        <v>29</v>
      </c>
      <c r="Q2440" s="2" t="s">
        <v>23</v>
      </c>
      <c r="R2440" s="2" t="s">
        <v>30</v>
      </c>
      <c r="S2440">
        <v>7</v>
      </c>
      <c r="T2440" s="1">
        <v>43749</v>
      </c>
      <c r="U2440" s="1">
        <v>43752</v>
      </c>
      <c r="V2440" s="2"/>
      <c r="W2440" s="1">
        <f>fNotasFiscais[[#This Row],[Data da Coleta]]+fNotasFiscais[[#This Row],[Prazo Contratado]]</f>
        <v>43756</v>
      </c>
      <c r="X2440" s="3">
        <f>IF(fNotasFiscais[[#This Row],[Data da Entrega]]&gt;fNotasFiscais[[#This Row],[Data Contratada]],0,1)</f>
        <v>1</v>
      </c>
      <c r="Y2440" s="3">
        <f>IF(fNotasFiscais[[#This Row],[Ocorrência]]="",1,0)</f>
        <v>1</v>
      </c>
      <c r="Z2440" s="2">
        <f>fNotasFiscais[[#This Row],[On Time]]*fNotasFiscais[[#This Row],[In Full]]</f>
        <v>1</v>
      </c>
      <c r="AA2440">
        <f>IF(fNotasFiscais[[#This Row],[Nota Fiscal]]&lt;&gt;"",1,0)</f>
        <v>1</v>
      </c>
    </row>
    <row r="2441" spans="1:27" x14ac:dyDescent="0.25">
      <c r="A2441" s="1">
        <v>43749</v>
      </c>
      <c r="B2441">
        <v>12850</v>
      </c>
      <c r="C2441" s="2" t="s">
        <v>40</v>
      </c>
      <c r="D2441" s="2" t="s">
        <v>41</v>
      </c>
      <c r="E2441" s="2" t="s">
        <v>33</v>
      </c>
      <c r="F2441">
        <v>4205</v>
      </c>
      <c r="G2441" s="2" t="s">
        <v>288</v>
      </c>
      <c r="H2441" s="2" t="s">
        <v>35</v>
      </c>
      <c r="I2441" s="2" t="s">
        <v>36</v>
      </c>
      <c r="J2441" s="2" t="s">
        <v>60</v>
      </c>
      <c r="K2441" s="2" t="s">
        <v>36</v>
      </c>
      <c r="L2441">
        <v>712.35</v>
      </c>
      <c r="M2441">
        <v>9</v>
      </c>
      <c r="N2441">
        <v>18.901</v>
      </c>
      <c r="O2441">
        <v>6600879</v>
      </c>
      <c r="P2441" s="2" t="s">
        <v>61</v>
      </c>
      <c r="Q2441" s="2" t="s">
        <v>35</v>
      </c>
      <c r="R2441" s="2" t="s">
        <v>30</v>
      </c>
      <c r="S2441">
        <v>2</v>
      </c>
      <c r="T2441" s="1">
        <v>43749</v>
      </c>
      <c r="U2441" s="1">
        <v>43750</v>
      </c>
      <c r="V2441" s="2"/>
      <c r="W2441" s="1">
        <f>fNotasFiscais[[#This Row],[Data da Coleta]]+fNotasFiscais[[#This Row],[Prazo Contratado]]</f>
        <v>43751</v>
      </c>
      <c r="X2441" s="3">
        <f>IF(fNotasFiscais[[#This Row],[Data da Entrega]]&gt;fNotasFiscais[[#This Row],[Data Contratada]],0,1)</f>
        <v>1</v>
      </c>
      <c r="Y2441" s="3">
        <f>IF(fNotasFiscais[[#This Row],[Ocorrência]]="",1,0)</f>
        <v>1</v>
      </c>
      <c r="Z2441" s="2">
        <f>fNotasFiscais[[#This Row],[On Time]]*fNotasFiscais[[#This Row],[In Full]]</f>
        <v>1</v>
      </c>
      <c r="AA2441">
        <f>IF(fNotasFiscais[[#This Row],[Nota Fiscal]]&lt;&gt;"",1,0)</f>
        <v>1</v>
      </c>
    </row>
    <row r="2442" spans="1:27" x14ac:dyDescent="0.25">
      <c r="A2442" s="1">
        <v>43753</v>
      </c>
      <c r="B2442">
        <v>12851</v>
      </c>
      <c r="C2442" s="2" t="s">
        <v>31</v>
      </c>
      <c r="D2442" s="2" t="s">
        <v>32</v>
      </c>
      <c r="E2442" s="2" t="s">
        <v>33</v>
      </c>
      <c r="F2442">
        <v>4193</v>
      </c>
      <c r="G2442" s="2" t="s">
        <v>276</v>
      </c>
      <c r="H2442" s="2" t="s">
        <v>32</v>
      </c>
      <c r="I2442" s="2" t="s">
        <v>33</v>
      </c>
      <c r="J2442" s="2" t="s">
        <v>60</v>
      </c>
      <c r="K2442" s="2" t="s">
        <v>33</v>
      </c>
      <c r="L2442">
        <v>292.42</v>
      </c>
      <c r="M2442">
        <v>1</v>
      </c>
      <c r="N2442">
        <v>1.1200000000000001</v>
      </c>
      <c r="O2442">
        <v>6400835</v>
      </c>
      <c r="P2442" s="2" t="s">
        <v>130</v>
      </c>
      <c r="Q2442" s="2" t="s">
        <v>131</v>
      </c>
      <c r="R2442" s="2" t="s">
        <v>30</v>
      </c>
      <c r="S2442">
        <v>11</v>
      </c>
      <c r="T2442" s="1">
        <v>43753</v>
      </c>
      <c r="U2442" s="1">
        <v>43763</v>
      </c>
      <c r="V2442" s="2"/>
      <c r="W2442" s="1">
        <f>fNotasFiscais[[#This Row],[Data da Coleta]]+fNotasFiscais[[#This Row],[Prazo Contratado]]</f>
        <v>43764</v>
      </c>
      <c r="X2442" s="3">
        <f>IF(fNotasFiscais[[#This Row],[Data da Entrega]]&gt;fNotasFiscais[[#This Row],[Data Contratada]],0,1)</f>
        <v>1</v>
      </c>
      <c r="Y2442" s="3">
        <f>IF(fNotasFiscais[[#This Row],[Ocorrência]]="",1,0)</f>
        <v>1</v>
      </c>
      <c r="Z2442" s="2">
        <f>fNotasFiscais[[#This Row],[On Time]]*fNotasFiscais[[#This Row],[In Full]]</f>
        <v>1</v>
      </c>
      <c r="AA2442">
        <f>IF(fNotasFiscais[[#This Row],[Nota Fiscal]]&lt;&gt;"",1,0)</f>
        <v>1</v>
      </c>
    </row>
    <row r="2443" spans="1:27" x14ac:dyDescent="0.25">
      <c r="A2443" s="1">
        <v>43753</v>
      </c>
      <c r="B2443">
        <v>12852</v>
      </c>
      <c r="C2443" s="2" t="s">
        <v>22</v>
      </c>
      <c r="D2443" s="2" t="s">
        <v>23</v>
      </c>
      <c r="E2443" s="2" t="s">
        <v>24</v>
      </c>
      <c r="F2443">
        <v>4020</v>
      </c>
      <c r="G2443" s="2" t="s">
        <v>82</v>
      </c>
      <c r="H2443" s="2" t="s">
        <v>67</v>
      </c>
      <c r="I2443" s="2" t="s">
        <v>27</v>
      </c>
      <c r="J2443" s="2" t="s">
        <v>28</v>
      </c>
      <c r="K2443" s="2" t="s">
        <v>27</v>
      </c>
      <c r="L2443">
        <v>1600.38</v>
      </c>
      <c r="M2443">
        <v>1</v>
      </c>
      <c r="N2443">
        <v>1.1200000000000001</v>
      </c>
      <c r="O2443">
        <v>6500948</v>
      </c>
      <c r="P2443" s="2" t="s">
        <v>29</v>
      </c>
      <c r="Q2443" s="2" t="s">
        <v>23</v>
      </c>
      <c r="R2443" s="2" t="s">
        <v>30</v>
      </c>
      <c r="S2443">
        <v>4</v>
      </c>
      <c r="T2443" s="1">
        <v>43753</v>
      </c>
      <c r="U2443" s="1">
        <v>43761</v>
      </c>
      <c r="V2443" s="2"/>
      <c r="W2443" s="1">
        <f>fNotasFiscais[[#This Row],[Data da Coleta]]+fNotasFiscais[[#This Row],[Prazo Contratado]]</f>
        <v>43757</v>
      </c>
      <c r="X2443" s="3">
        <f>IF(fNotasFiscais[[#This Row],[Data da Entrega]]&gt;fNotasFiscais[[#This Row],[Data Contratada]],0,1)</f>
        <v>0</v>
      </c>
      <c r="Y2443" s="3">
        <f>IF(fNotasFiscais[[#This Row],[Ocorrência]]="",1,0)</f>
        <v>1</v>
      </c>
      <c r="Z2443" s="2">
        <f>fNotasFiscais[[#This Row],[On Time]]*fNotasFiscais[[#This Row],[In Full]]</f>
        <v>0</v>
      </c>
      <c r="AA2443">
        <f>IF(fNotasFiscais[[#This Row],[Nota Fiscal]]&lt;&gt;"",1,0)</f>
        <v>1</v>
      </c>
    </row>
    <row r="2444" spans="1:27" x14ac:dyDescent="0.25">
      <c r="A2444" s="1">
        <v>43753</v>
      </c>
      <c r="B2444">
        <v>12853</v>
      </c>
      <c r="C2444" s="2" t="s">
        <v>43</v>
      </c>
      <c r="D2444" s="2" t="s">
        <v>44</v>
      </c>
      <c r="E2444" s="2" t="s">
        <v>45</v>
      </c>
      <c r="F2444">
        <v>4146</v>
      </c>
      <c r="G2444" s="2" t="s">
        <v>229</v>
      </c>
      <c r="H2444" s="2" t="s">
        <v>35</v>
      </c>
      <c r="I2444" s="2" t="s">
        <v>36</v>
      </c>
      <c r="J2444" s="2" t="s">
        <v>60</v>
      </c>
      <c r="K2444" s="2" t="s">
        <v>36</v>
      </c>
      <c r="L2444">
        <v>304.99</v>
      </c>
      <c r="M2444">
        <v>1</v>
      </c>
      <c r="N2444">
        <v>4.4039999999999999</v>
      </c>
      <c r="O2444">
        <v>6600879</v>
      </c>
      <c r="P2444" s="2" t="s">
        <v>61</v>
      </c>
      <c r="Q2444" s="2" t="s">
        <v>35</v>
      </c>
      <c r="R2444" s="2" t="s">
        <v>30</v>
      </c>
      <c r="S2444">
        <v>4</v>
      </c>
      <c r="T2444" s="1">
        <v>43753</v>
      </c>
      <c r="U2444" s="1">
        <v>43754</v>
      </c>
      <c r="V2444" s="2"/>
      <c r="W2444" s="1">
        <f>fNotasFiscais[[#This Row],[Data da Coleta]]+fNotasFiscais[[#This Row],[Prazo Contratado]]</f>
        <v>43757</v>
      </c>
      <c r="X2444" s="3">
        <f>IF(fNotasFiscais[[#This Row],[Data da Entrega]]&gt;fNotasFiscais[[#This Row],[Data Contratada]],0,1)</f>
        <v>1</v>
      </c>
      <c r="Y2444" s="3">
        <f>IF(fNotasFiscais[[#This Row],[Ocorrência]]="",1,0)</f>
        <v>1</v>
      </c>
      <c r="Z2444" s="2">
        <f>fNotasFiscais[[#This Row],[On Time]]*fNotasFiscais[[#This Row],[In Full]]</f>
        <v>1</v>
      </c>
      <c r="AA2444">
        <f>IF(fNotasFiscais[[#This Row],[Nota Fiscal]]&lt;&gt;"",1,0)</f>
        <v>1</v>
      </c>
    </row>
    <row r="2445" spans="1:27" x14ac:dyDescent="0.25">
      <c r="A2445" s="1">
        <v>43753</v>
      </c>
      <c r="B2445">
        <v>12854</v>
      </c>
      <c r="C2445" s="2" t="s">
        <v>43</v>
      </c>
      <c r="D2445" s="2" t="s">
        <v>44</v>
      </c>
      <c r="E2445" s="2" t="s">
        <v>45</v>
      </c>
      <c r="F2445">
        <v>4219</v>
      </c>
      <c r="G2445" s="2" t="s">
        <v>302</v>
      </c>
      <c r="H2445" s="2" t="s">
        <v>35</v>
      </c>
      <c r="I2445" s="2" t="s">
        <v>36</v>
      </c>
      <c r="J2445" s="2" t="s">
        <v>60</v>
      </c>
      <c r="K2445" s="2" t="s">
        <v>36</v>
      </c>
      <c r="L2445">
        <v>7944.85</v>
      </c>
      <c r="M2445">
        <v>3</v>
      </c>
      <c r="N2445">
        <v>20.68</v>
      </c>
      <c r="O2445">
        <v>6600879</v>
      </c>
      <c r="P2445" s="2" t="s">
        <v>61</v>
      </c>
      <c r="Q2445" s="2" t="s">
        <v>35</v>
      </c>
      <c r="R2445" s="2" t="s">
        <v>30</v>
      </c>
      <c r="S2445">
        <v>12</v>
      </c>
      <c r="T2445" s="1">
        <v>43753</v>
      </c>
      <c r="U2445" s="1">
        <v>43760</v>
      </c>
      <c r="V2445" s="2"/>
      <c r="W2445" s="1">
        <f>fNotasFiscais[[#This Row],[Data da Coleta]]+fNotasFiscais[[#This Row],[Prazo Contratado]]</f>
        <v>43765</v>
      </c>
      <c r="X2445" s="3">
        <f>IF(fNotasFiscais[[#This Row],[Data da Entrega]]&gt;fNotasFiscais[[#This Row],[Data Contratada]],0,1)</f>
        <v>1</v>
      </c>
      <c r="Y2445" s="3">
        <f>IF(fNotasFiscais[[#This Row],[Ocorrência]]="",1,0)</f>
        <v>1</v>
      </c>
      <c r="Z2445" s="2">
        <f>fNotasFiscais[[#This Row],[On Time]]*fNotasFiscais[[#This Row],[In Full]]</f>
        <v>1</v>
      </c>
      <c r="AA2445">
        <f>IF(fNotasFiscais[[#This Row],[Nota Fiscal]]&lt;&gt;"",1,0)</f>
        <v>1</v>
      </c>
    </row>
    <row r="2446" spans="1:27" x14ac:dyDescent="0.25">
      <c r="A2446" s="1">
        <v>43753</v>
      </c>
      <c r="B2446">
        <v>12855</v>
      </c>
      <c r="C2446" s="2" t="s">
        <v>52</v>
      </c>
      <c r="D2446" s="2" t="s">
        <v>53</v>
      </c>
      <c r="E2446" s="2" t="s">
        <v>33</v>
      </c>
      <c r="F2446">
        <v>4205</v>
      </c>
      <c r="G2446" s="2" t="s">
        <v>288</v>
      </c>
      <c r="H2446" s="2" t="s">
        <v>35</v>
      </c>
      <c r="I2446" s="2" t="s">
        <v>36</v>
      </c>
      <c r="J2446" s="2" t="s">
        <v>60</v>
      </c>
      <c r="K2446" s="2" t="s">
        <v>36</v>
      </c>
      <c r="L2446">
        <v>11964.12</v>
      </c>
      <c r="M2446">
        <v>19</v>
      </c>
      <c r="N2446">
        <v>79.525000000000006</v>
      </c>
      <c r="O2446">
        <v>6600879</v>
      </c>
      <c r="P2446" s="2" t="s">
        <v>61</v>
      </c>
      <c r="Q2446" s="2" t="s">
        <v>35</v>
      </c>
      <c r="R2446" s="2" t="s">
        <v>30</v>
      </c>
      <c r="S2446">
        <v>8</v>
      </c>
      <c r="T2446" s="1">
        <v>43753</v>
      </c>
      <c r="U2446" s="1">
        <v>43760</v>
      </c>
      <c r="V2446" s="2"/>
      <c r="W2446" s="1">
        <f>fNotasFiscais[[#This Row],[Data da Coleta]]+fNotasFiscais[[#This Row],[Prazo Contratado]]</f>
        <v>43761</v>
      </c>
      <c r="X2446" s="3">
        <f>IF(fNotasFiscais[[#This Row],[Data da Entrega]]&gt;fNotasFiscais[[#This Row],[Data Contratada]],0,1)</f>
        <v>1</v>
      </c>
      <c r="Y2446" s="3">
        <f>IF(fNotasFiscais[[#This Row],[Ocorrência]]="",1,0)</f>
        <v>1</v>
      </c>
      <c r="Z2446" s="2">
        <f>fNotasFiscais[[#This Row],[On Time]]*fNotasFiscais[[#This Row],[In Full]]</f>
        <v>1</v>
      </c>
      <c r="AA2446">
        <f>IF(fNotasFiscais[[#This Row],[Nota Fiscal]]&lt;&gt;"",1,0)</f>
        <v>1</v>
      </c>
    </row>
    <row r="2447" spans="1:27" x14ac:dyDescent="0.25">
      <c r="A2447" s="1">
        <v>43753</v>
      </c>
      <c r="B2447">
        <v>12856</v>
      </c>
      <c r="C2447" s="2" t="s">
        <v>22</v>
      </c>
      <c r="D2447" s="2" t="s">
        <v>23</v>
      </c>
      <c r="E2447" s="2" t="s">
        <v>24</v>
      </c>
      <c r="F2447">
        <v>4218</v>
      </c>
      <c r="G2447" s="2" t="s">
        <v>301</v>
      </c>
      <c r="H2447" s="2" t="s">
        <v>183</v>
      </c>
      <c r="I2447" s="2" t="s">
        <v>33</v>
      </c>
      <c r="J2447" s="2" t="s">
        <v>60</v>
      </c>
      <c r="K2447" s="2" t="s">
        <v>33</v>
      </c>
      <c r="L2447">
        <v>2595.42</v>
      </c>
      <c r="M2447">
        <v>1</v>
      </c>
      <c r="N2447">
        <v>16.5</v>
      </c>
      <c r="O2447">
        <v>6400835</v>
      </c>
      <c r="P2447" s="2" t="s">
        <v>130</v>
      </c>
      <c r="Q2447" s="2" t="s">
        <v>131</v>
      </c>
      <c r="R2447" s="2" t="s">
        <v>30</v>
      </c>
      <c r="S2447">
        <v>11</v>
      </c>
      <c r="T2447" s="1">
        <v>43753</v>
      </c>
      <c r="U2447" s="1">
        <v>43754</v>
      </c>
      <c r="V2447" s="2"/>
      <c r="W2447" s="1">
        <f>fNotasFiscais[[#This Row],[Data da Coleta]]+fNotasFiscais[[#This Row],[Prazo Contratado]]</f>
        <v>43764</v>
      </c>
      <c r="X2447" s="3">
        <f>IF(fNotasFiscais[[#This Row],[Data da Entrega]]&gt;fNotasFiscais[[#This Row],[Data Contratada]],0,1)</f>
        <v>1</v>
      </c>
      <c r="Y2447" s="3">
        <f>IF(fNotasFiscais[[#This Row],[Ocorrência]]="",1,0)</f>
        <v>1</v>
      </c>
      <c r="Z2447" s="2">
        <f>fNotasFiscais[[#This Row],[On Time]]*fNotasFiscais[[#This Row],[In Full]]</f>
        <v>1</v>
      </c>
      <c r="AA2447">
        <f>IF(fNotasFiscais[[#This Row],[Nota Fiscal]]&lt;&gt;"",1,0)</f>
        <v>1</v>
      </c>
    </row>
    <row r="2448" spans="1:27" x14ac:dyDescent="0.25">
      <c r="A2448" s="1">
        <v>43753</v>
      </c>
      <c r="B2448">
        <v>12857</v>
      </c>
      <c r="C2448" s="2" t="s">
        <v>34</v>
      </c>
      <c r="D2448" s="2" t="s">
        <v>35</v>
      </c>
      <c r="E2448" s="2" t="s">
        <v>36</v>
      </c>
      <c r="F2448">
        <v>4013</v>
      </c>
      <c r="G2448" s="2" t="s">
        <v>37</v>
      </c>
      <c r="H2448" s="2" t="s">
        <v>38</v>
      </c>
      <c r="I2448" s="2" t="s">
        <v>39</v>
      </c>
      <c r="J2448" s="2" t="s">
        <v>28</v>
      </c>
      <c r="K2448" s="2" t="s">
        <v>39</v>
      </c>
      <c r="L2448">
        <v>7816.7</v>
      </c>
      <c r="M2448">
        <v>13</v>
      </c>
      <c r="N2448">
        <v>29.852</v>
      </c>
      <c r="O2448">
        <v>6500948</v>
      </c>
      <c r="P2448" s="2" t="s">
        <v>29</v>
      </c>
      <c r="Q2448" s="2" t="s">
        <v>23</v>
      </c>
      <c r="R2448" s="2" t="s">
        <v>30</v>
      </c>
      <c r="S2448">
        <v>11</v>
      </c>
      <c r="T2448" s="1">
        <v>43753</v>
      </c>
      <c r="U2448" s="1">
        <v>43757</v>
      </c>
      <c r="V2448" s="2"/>
      <c r="W2448" s="1">
        <f>fNotasFiscais[[#This Row],[Data da Coleta]]+fNotasFiscais[[#This Row],[Prazo Contratado]]</f>
        <v>43764</v>
      </c>
      <c r="X2448" s="3">
        <f>IF(fNotasFiscais[[#This Row],[Data da Entrega]]&gt;fNotasFiscais[[#This Row],[Data Contratada]],0,1)</f>
        <v>1</v>
      </c>
      <c r="Y2448" s="3">
        <f>IF(fNotasFiscais[[#This Row],[Ocorrência]]="",1,0)</f>
        <v>1</v>
      </c>
      <c r="Z2448" s="2">
        <f>fNotasFiscais[[#This Row],[On Time]]*fNotasFiscais[[#This Row],[In Full]]</f>
        <v>1</v>
      </c>
      <c r="AA2448">
        <f>IF(fNotasFiscais[[#This Row],[Nota Fiscal]]&lt;&gt;"",1,0)</f>
        <v>1</v>
      </c>
    </row>
    <row r="2449" spans="1:27" x14ac:dyDescent="0.25">
      <c r="A2449" s="1">
        <v>43753</v>
      </c>
      <c r="B2449">
        <v>12858</v>
      </c>
      <c r="C2449" s="2" t="s">
        <v>54</v>
      </c>
      <c r="D2449" s="2" t="s">
        <v>55</v>
      </c>
      <c r="E2449" s="2" t="s">
        <v>56</v>
      </c>
      <c r="F2449">
        <v>4019</v>
      </c>
      <c r="G2449" s="2" t="s">
        <v>79</v>
      </c>
      <c r="H2449" s="2" t="s">
        <v>80</v>
      </c>
      <c r="I2449" s="2" t="s">
        <v>39</v>
      </c>
      <c r="J2449" s="2" t="s">
        <v>28</v>
      </c>
      <c r="K2449" s="2" t="s">
        <v>39</v>
      </c>
      <c r="L2449">
        <v>1895.81</v>
      </c>
      <c r="M2449">
        <v>7</v>
      </c>
      <c r="N2449">
        <v>7.2670000000000003</v>
      </c>
      <c r="O2449">
        <v>6500948</v>
      </c>
      <c r="P2449" s="2" t="s">
        <v>29</v>
      </c>
      <c r="Q2449" s="2" t="s">
        <v>23</v>
      </c>
      <c r="R2449" s="2" t="s">
        <v>30</v>
      </c>
      <c r="S2449">
        <v>7</v>
      </c>
      <c r="T2449" s="1">
        <v>43753</v>
      </c>
      <c r="U2449" s="1">
        <v>43761</v>
      </c>
      <c r="V2449" s="2" t="s">
        <v>42</v>
      </c>
      <c r="W2449" s="1">
        <f>fNotasFiscais[[#This Row],[Data da Coleta]]+fNotasFiscais[[#This Row],[Prazo Contratado]]</f>
        <v>43760</v>
      </c>
      <c r="X2449" s="3">
        <f>IF(fNotasFiscais[[#This Row],[Data da Entrega]]&gt;fNotasFiscais[[#This Row],[Data Contratada]],0,1)</f>
        <v>0</v>
      </c>
      <c r="Y2449" s="3">
        <f>IF(fNotasFiscais[[#This Row],[Ocorrência]]="",1,0)</f>
        <v>0</v>
      </c>
      <c r="Z2449" s="2">
        <f>fNotasFiscais[[#This Row],[On Time]]*fNotasFiscais[[#This Row],[In Full]]</f>
        <v>0</v>
      </c>
      <c r="AA2449">
        <f>IF(fNotasFiscais[[#This Row],[Nota Fiscal]]&lt;&gt;"",1,0)</f>
        <v>1</v>
      </c>
    </row>
    <row r="2450" spans="1:27" x14ac:dyDescent="0.25">
      <c r="A2450" s="1">
        <v>43753</v>
      </c>
      <c r="B2450">
        <v>12859</v>
      </c>
      <c r="C2450" s="2" t="s">
        <v>31</v>
      </c>
      <c r="D2450" s="2" t="s">
        <v>32</v>
      </c>
      <c r="E2450" s="2" t="s">
        <v>33</v>
      </c>
      <c r="F2450">
        <v>4019</v>
      </c>
      <c r="G2450" s="2" t="s">
        <v>79</v>
      </c>
      <c r="H2450" s="2" t="s">
        <v>80</v>
      </c>
      <c r="I2450" s="2" t="s">
        <v>39</v>
      </c>
      <c r="J2450" s="2" t="s">
        <v>28</v>
      </c>
      <c r="K2450" s="2" t="s">
        <v>39</v>
      </c>
      <c r="L2450">
        <v>2096.5</v>
      </c>
      <c r="M2450">
        <v>1</v>
      </c>
      <c r="N2450">
        <v>1.1200000000000001</v>
      </c>
      <c r="O2450">
        <v>6500948</v>
      </c>
      <c r="P2450" s="2" t="s">
        <v>29</v>
      </c>
      <c r="Q2450" s="2" t="s">
        <v>23</v>
      </c>
      <c r="R2450" s="2" t="s">
        <v>30</v>
      </c>
      <c r="S2450">
        <v>8</v>
      </c>
      <c r="T2450" s="1">
        <v>43753</v>
      </c>
      <c r="U2450" s="1">
        <v>43760</v>
      </c>
      <c r="V2450" s="2"/>
      <c r="W2450" s="1">
        <f>fNotasFiscais[[#This Row],[Data da Coleta]]+fNotasFiscais[[#This Row],[Prazo Contratado]]</f>
        <v>43761</v>
      </c>
      <c r="X2450" s="3">
        <f>IF(fNotasFiscais[[#This Row],[Data da Entrega]]&gt;fNotasFiscais[[#This Row],[Data Contratada]],0,1)</f>
        <v>1</v>
      </c>
      <c r="Y2450" s="3">
        <f>IF(fNotasFiscais[[#This Row],[Ocorrência]]="",1,0)</f>
        <v>1</v>
      </c>
      <c r="Z2450" s="2">
        <f>fNotasFiscais[[#This Row],[On Time]]*fNotasFiscais[[#This Row],[In Full]]</f>
        <v>1</v>
      </c>
      <c r="AA2450">
        <f>IF(fNotasFiscais[[#This Row],[Nota Fiscal]]&lt;&gt;"",1,0)</f>
        <v>1</v>
      </c>
    </row>
    <row r="2451" spans="1:27" x14ac:dyDescent="0.25">
      <c r="A2451" s="1">
        <v>43753</v>
      </c>
      <c r="B2451">
        <v>12860</v>
      </c>
      <c r="C2451" s="2" t="s">
        <v>54</v>
      </c>
      <c r="D2451" s="2" t="s">
        <v>55</v>
      </c>
      <c r="E2451" s="2" t="s">
        <v>56</v>
      </c>
      <c r="F2451">
        <v>4032</v>
      </c>
      <c r="G2451" s="2" t="s">
        <v>108</v>
      </c>
      <c r="H2451" s="2" t="s">
        <v>51</v>
      </c>
      <c r="I2451" s="2" t="s">
        <v>73</v>
      </c>
      <c r="J2451" s="2" t="s">
        <v>49</v>
      </c>
      <c r="K2451" s="2" t="s">
        <v>73</v>
      </c>
      <c r="L2451">
        <v>460.02</v>
      </c>
      <c r="M2451">
        <v>1</v>
      </c>
      <c r="N2451">
        <v>0.44</v>
      </c>
      <c r="O2451">
        <v>6100231</v>
      </c>
      <c r="P2451" s="2" t="s">
        <v>50</v>
      </c>
      <c r="Q2451" s="2" t="s">
        <v>51</v>
      </c>
      <c r="R2451" s="2" t="s">
        <v>30</v>
      </c>
      <c r="S2451">
        <v>5</v>
      </c>
      <c r="T2451" s="1">
        <v>43753</v>
      </c>
      <c r="U2451" s="1">
        <v>43757</v>
      </c>
      <c r="V2451" s="2"/>
      <c r="W2451" s="1">
        <f>fNotasFiscais[[#This Row],[Data da Coleta]]+fNotasFiscais[[#This Row],[Prazo Contratado]]</f>
        <v>43758</v>
      </c>
      <c r="X2451" s="3">
        <f>IF(fNotasFiscais[[#This Row],[Data da Entrega]]&gt;fNotasFiscais[[#This Row],[Data Contratada]],0,1)</f>
        <v>1</v>
      </c>
      <c r="Y2451" s="3">
        <f>IF(fNotasFiscais[[#This Row],[Ocorrência]]="",1,0)</f>
        <v>1</v>
      </c>
      <c r="Z2451" s="2">
        <f>fNotasFiscais[[#This Row],[On Time]]*fNotasFiscais[[#This Row],[In Full]]</f>
        <v>1</v>
      </c>
      <c r="AA2451">
        <f>IF(fNotasFiscais[[#This Row],[Nota Fiscal]]&lt;&gt;"",1,0)</f>
        <v>1</v>
      </c>
    </row>
    <row r="2452" spans="1:27" x14ac:dyDescent="0.25">
      <c r="A2452" s="1">
        <v>43753</v>
      </c>
      <c r="B2452">
        <v>12861</v>
      </c>
      <c r="C2452" s="2" t="s">
        <v>34</v>
      </c>
      <c r="D2452" s="2" t="s">
        <v>35</v>
      </c>
      <c r="E2452" s="2" t="s">
        <v>36</v>
      </c>
      <c r="F2452">
        <v>4019</v>
      </c>
      <c r="G2452" s="2" t="s">
        <v>79</v>
      </c>
      <c r="H2452" s="2" t="s">
        <v>80</v>
      </c>
      <c r="I2452" s="2" t="s">
        <v>39</v>
      </c>
      <c r="J2452" s="2" t="s">
        <v>28</v>
      </c>
      <c r="K2452" s="2" t="s">
        <v>39</v>
      </c>
      <c r="L2452">
        <v>1802.15</v>
      </c>
      <c r="M2452">
        <v>3</v>
      </c>
      <c r="N2452">
        <v>15.798</v>
      </c>
      <c r="O2452">
        <v>6500948</v>
      </c>
      <c r="P2452" s="2" t="s">
        <v>29</v>
      </c>
      <c r="Q2452" s="2" t="s">
        <v>23</v>
      </c>
      <c r="R2452" s="2" t="s">
        <v>30</v>
      </c>
      <c r="S2452">
        <v>3</v>
      </c>
      <c r="T2452" s="1">
        <v>43753</v>
      </c>
      <c r="U2452" s="1">
        <v>43760</v>
      </c>
      <c r="V2452" s="2"/>
      <c r="W2452" s="1">
        <f>fNotasFiscais[[#This Row],[Data da Coleta]]+fNotasFiscais[[#This Row],[Prazo Contratado]]</f>
        <v>43756</v>
      </c>
      <c r="X2452" s="3">
        <f>IF(fNotasFiscais[[#This Row],[Data da Entrega]]&gt;fNotasFiscais[[#This Row],[Data Contratada]],0,1)</f>
        <v>0</v>
      </c>
      <c r="Y2452" s="3">
        <f>IF(fNotasFiscais[[#This Row],[Ocorrência]]="",1,0)</f>
        <v>1</v>
      </c>
      <c r="Z2452" s="2">
        <f>fNotasFiscais[[#This Row],[On Time]]*fNotasFiscais[[#This Row],[In Full]]</f>
        <v>0</v>
      </c>
      <c r="AA2452">
        <f>IF(fNotasFiscais[[#This Row],[Nota Fiscal]]&lt;&gt;"",1,0)</f>
        <v>1</v>
      </c>
    </row>
    <row r="2453" spans="1:27" x14ac:dyDescent="0.25">
      <c r="A2453" s="1">
        <v>43753</v>
      </c>
      <c r="B2453">
        <v>12862</v>
      </c>
      <c r="C2453" s="2" t="s">
        <v>43</v>
      </c>
      <c r="D2453" s="2" t="s">
        <v>44</v>
      </c>
      <c r="E2453" s="2" t="s">
        <v>45</v>
      </c>
      <c r="F2453">
        <v>4019</v>
      </c>
      <c r="G2453" s="2" t="s">
        <v>79</v>
      </c>
      <c r="H2453" s="2" t="s">
        <v>80</v>
      </c>
      <c r="I2453" s="2" t="s">
        <v>39</v>
      </c>
      <c r="J2453" s="2" t="s">
        <v>28</v>
      </c>
      <c r="K2453" s="2" t="s">
        <v>39</v>
      </c>
      <c r="L2453">
        <v>9834.93</v>
      </c>
      <c r="M2453">
        <v>18</v>
      </c>
      <c r="N2453">
        <v>62.427</v>
      </c>
      <c r="O2453">
        <v>6500948</v>
      </c>
      <c r="P2453" s="2" t="s">
        <v>29</v>
      </c>
      <c r="Q2453" s="2" t="s">
        <v>23</v>
      </c>
      <c r="R2453" s="2" t="s">
        <v>30</v>
      </c>
      <c r="S2453">
        <v>2</v>
      </c>
      <c r="T2453" s="1">
        <v>43753</v>
      </c>
      <c r="U2453" s="1">
        <v>43754</v>
      </c>
      <c r="V2453" s="2"/>
      <c r="W2453" s="1">
        <f>fNotasFiscais[[#This Row],[Data da Coleta]]+fNotasFiscais[[#This Row],[Prazo Contratado]]</f>
        <v>43755</v>
      </c>
      <c r="X2453" s="3">
        <f>IF(fNotasFiscais[[#This Row],[Data da Entrega]]&gt;fNotasFiscais[[#This Row],[Data Contratada]],0,1)</f>
        <v>1</v>
      </c>
      <c r="Y2453" s="3">
        <f>IF(fNotasFiscais[[#This Row],[Ocorrência]]="",1,0)</f>
        <v>1</v>
      </c>
      <c r="Z2453" s="2">
        <f>fNotasFiscais[[#This Row],[On Time]]*fNotasFiscais[[#This Row],[In Full]]</f>
        <v>1</v>
      </c>
      <c r="AA2453">
        <f>IF(fNotasFiscais[[#This Row],[Nota Fiscal]]&lt;&gt;"",1,0)</f>
        <v>1</v>
      </c>
    </row>
    <row r="2454" spans="1:27" x14ac:dyDescent="0.25">
      <c r="A2454" s="1">
        <v>43753</v>
      </c>
      <c r="B2454">
        <v>12863</v>
      </c>
      <c r="C2454" s="2" t="s">
        <v>40</v>
      </c>
      <c r="D2454" s="2" t="s">
        <v>41</v>
      </c>
      <c r="E2454" s="2" t="s">
        <v>33</v>
      </c>
      <c r="F2454">
        <v>4019</v>
      </c>
      <c r="G2454" s="2" t="s">
        <v>79</v>
      </c>
      <c r="H2454" s="2" t="s">
        <v>80</v>
      </c>
      <c r="I2454" s="2" t="s">
        <v>39</v>
      </c>
      <c r="J2454" s="2" t="s">
        <v>28</v>
      </c>
      <c r="K2454" s="2" t="s">
        <v>39</v>
      </c>
      <c r="L2454">
        <v>91.76</v>
      </c>
      <c r="M2454">
        <v>1</v>
      </c>
      <c r="N2454">
        <v>0.316</v>
      </c>
      <c r="O2454">
        <v>6500948</v>
      </c>
      <c r="P2454" s="2" t="s">
        <v>29</v>
      </c>
      <c r="Q2454" s="2" t="s">
        <v>23</v>
      </c>
      <c r="R2454" s="2" t="s">
        <v>30</v>
      </c>
      <c r="S2454">
        <v>8</v>
      </c>
      <c r="T2454" s="1">
        <v>43753</v>
      </c>
      <c r="U2454" s="1">
        <v>43760</v>
      </c>
      <c r="V2454" s="2"/>
      <c r="W2454" s="1">
        <f>fNotasFiscais[[#This Row],[Data da Coleta]]+fNotasFiscais[[#This Row],[Prazo Contratado]]</f>
        <v>43761</v>
      </c>
      <c r="X2454" s="3">
        <f>IF(fNotasFiscais[[#This Row],[Data da Entrega]]&gt;fNotasFiscais[[#This Row],[Data Contratada]],0,1)</f>
        <v>1</v>
      </c>
      <c r="Y2454" s="3">
        <f>IF(fNotasFiscais[[#This Row],[Ocorrência]]="",1,0)</f>
        <v>1</v>
      </c>
      <c r="Z2454" s="2">
        <f>fNotasFiscais[[#This Row],[On Time]]*fNotasFiscais[[#This Row],[In Full]]</f>
        <v>1</v>
      </c>
      <c r="AA2454">
        <f>IF(fNotasFiscais[[#This Row],[Nota Fiscal]]&lt;&gt;"",1,0)</f>
        <v>1</v>
      </c>
    </row>
    <row r="2455" spans="1:27" x14ac:dyDescent="0.25">
      <c r="A2455" s="1">
        <v>43753</v>
      </c>
      <c r="B2455">
        <v>12864</v>
      </c>
      <c r="C2455" s="2" t="s">
        <v>34</v>
      </c>
      <c r="D2455" s="2" t="s">
        <v>35</v>
      </c>
      <c r="E2455" s="2" t="s">
        <v>36</v>
      </c>
      <c r="F2455">
        <v>4019</v>
      </c>
      <c r="G2455" s="2" t="s">
        <v>79</v>
      </c>
      <c r="H2455" s="2" t="s">
        <v>80</v>
      </c>
      <c r="I2455" s="2" t="s">
        <v>39</v>
      </c>
      <c r="J2455" s="2" t="s">
        <v>28</v>
      </c>
      <c r="K2455" s="2" t="s">
        <v>39</v>
      </c>
      <c r="L2455">
        <v>177.53</v>
      </c>
      <c r="M2455">
        <v>1</v>
      </c>
      <c r="N2455">
        <v>1.111</v>
      </c>
      <c r="O2455">
        <v>6500948</v>
      </c>
      <c r="P2455" s="2" t="s">
        <v>29</v>
      </c>
      <c r="Q2455" s="2" t="s">
        <v>23</v>
      </c>
      <c r="R2455" s="2" t="s">
        <v>30</v>
      </c>
      <c r="S2455">
        <v>9</v>
      </c>
      <c r="T2455" s="1">
        <v>43753</v>
      </c>
      <c r="U2455" s="1">
        <v>43754</v>
      </c>
      <c r="V2455" s="2"/>
      <c r="W2455" s="1">
        <f>fNotasFiscais[[#This Row],[Data da Coleta]]+fNotasFiscais[[#This Row],[Prazo Contratado]]</f>
        <v>43762</v>
      </c>
      <c r="X2455" s="3">
        <f>IF(fNotasFiscais[[#This Row],[Data da Entrega]]&gt;fNotasFiscais[[#This Row],[Data Contratada]],0,1)</f>
        <v>1</v>
      </c>
      <c r="Y2455" s="3">
        <f>IF(fNotasFiscais[[#This Row],[Ocorrência]]="",1,0)</f>
        <v>1</v>
      </c>
      <c r="Z2455" s="2">
        <f>fNotasFiscais[[#This Row],[On Time]]*fNotasFiscais[[#This Row],[In Full]]</f>
        <v>1</v>
      </c>
      <c r="AA2455">
        <f>IF(fNotasFiscais[[#This Row],[Nota Fiscal]]&lt;&gt;"",1,0)</f>
        <v>1</v>
      </c>
    </row>
    <row r="2456" spans="1:27" x14ac:dyDescent="0.25">
      <c r="A2456" s="1">
        <v>43753</v>
      </c>
      <c r="B2456">
        <v>12865</v>
      </c>
      <c r="C2456" s="2" t="s">
        <v>31</v>
      </c>
      <c r="D2456" s="2" t="s">
        <v>32</v>
      </c>
      <c r="E2456" s="2" t="s">
        <v>33</v>
      </c>
      <c r="F2456">
        <v>4019</v>
      </c>
      <c r="G2456" s="2" t="s">
        <v>79</v>
      </c>
      <c r="H2456" s="2" t="s">
        <v>80</v>
      </c>
      <c r="I2456" s="2" t="s">
        <v>39</v>
      </c>
      <c r="J2456" s="2" t="s">
        <v>28</v>
      </c>
      <c r="K2456" s="2" t="s">
        <v>39</v>
      </c>
      <c r="L2456">
        <v>177.85</v>
      </c>
      <c r="M2456">
        <v>1</v>
      </c>
      <c r="N2456">
        <v>0.31900000000000001</v>
      </c>
      <c r="O2456">
        <v>6500948</v>
      </c>
      <c r="P2456" s="2" t="s">
        <v>29</v>
      </c>
      <c r="Q2456" s="2" t="s">
        <v>23</v>
      </c>
      <c r="R2456" s="2" t="s">
        <v>30</v>
      </c>
      <c r="S2456">
        <v>4</v>
      </c>
      <c r="T2456" s="1">
        <v>43753</v>
      </c>
      <c r="U2456" s="1">
        <v>43754</v>
      </c>
      <c r="V2456" s="2"/>
      <c r="W2456" s="1">
        <f>fNotasFiscais[[#This Row],[Data da Coleta]]+fNotasFiscais[[#This Row],[Prazo Contratado]]</f>
        <v>43757</v>
      </c>
      <c r="X2456" s="3">
        <f>IF(fNotasFiscais[[#This Row],[Data da Entrega]]&gt;fNotasFiscais[[#This Row],[Data Contratada]],0,1)</f>
        <v>1</v>
      </c>
      <c r="Y2456" s="3">
        <f>IF(fNotasFiscais[[#This Row],[Ocorrência]]="",1,0)</f>
        <v>1</v>
      </c>
      <c r="Z2456" s="2">
        <f>fNotasFiscais[[#This Row],[On Time]]*fNotasFiscais[[#This Row],[In Full]]</f>
        <v>1</v>
      </c>
      <c r="AA2456">
        <f>IF(fNotasFiscais[[#This Row],[Nota Fiscal]]&lt;&gt;"",1,0)</f>
        <v>1</v>
      </c>
    </row>
    <row r="2457" spans="1:27" x14ac:dyDescent="0.25">
      <c r="A2457" s="1">
        <v>43754</v>
      </c>
      <c r="B2457">
        <v>12866</v>
      </c>
      <c r="C2457" s="2" t="s">
        <v>40</v>
      </c>
      <c r="D2457" s="2" t="s">
        <v>41</v>
      </c>
      <c r="E2457" s="2" t="s">
        <v>33</v>
      </c>
      <c r="F2457">
        <v>4190</v>
      </c>
      <c r="G2457" s="2" t="s">
        <v>273</v>
      </c>
      <c r="H2457" s="2" t="s">
        <v>35</v>
      </c>
      <c r="I2457" s="2" t="s">
        <v>36</v>
      </c>
      <c r="J2457" s="2" t="s">
        <v>60</v>
      </c>
      <c r="K2457" s="2" t="s">
        <v>36</v>
      </c>
      <c r="L2457">
        <v>1027.33</v>
      </c>
      <c r="M2457">
        <v>1</v>
      </c>
      <c r="N2457">
        <v>15.18</v>
      </c>
      <c r="O2457">
        <v>6600879</v>
      </c>
      <c r="P2457" s="2" t="s">
        <v>61</v>
      </c>
      <c r="Q2457" s="2" t="s">
        <v>35</v>
      </c>
      <c r="R2457" s="2" t="s">
        <v>30</v>
      </c>
      <c r="S2457">
        <v>1</v>
      </c>
      <c r="T2457" s="1">
        <v>43754</v>
      </c>
      <c r="U2457" s="1">
        <v>43764</v>
      </c>
      <c r="V2457" s="2"/>
      <c r="W2457" s="1">
        <f>fNotasFiscais[[#This Row],[Data da Coleta]]+fNotasFiscais[[#This Row],[Prazo Contratado]]</f>
        <v>43755</v>
      </c>
      <c r="X2457" s="3">
        <f>IF(fNotasFiscais[[#This Row],[Data da Entrega]]&gt;fNotasFiscais[[#This Row],[Data Contratada]],0,1)</f>
        <v>0</v>
      </c>
      <c r="Y2457" s="3">
        <f>IF(fNotasFiscais[[#This Row],[Ocorrência]]="",1,0)</f>
        <v>1</v>
      </c>
      <c r="Z2457" s="2">
        <f>fNotasFiscais[[#This Row],[On Time]]*fNotasFiscais[[#This Row],[In Full]]</f>
        <v>0</v>
      </c>
      <c r="AA2457">
        <f>IF(fNotasFiscais[[#This Row],[Nota Fiscal]]&lt;&gt;"",1,0)</f>
        <v>1</v>
      </c>
    </row>
    <row r="2458" spans="1:27" x14ac:dyDescent="0.25">
      <c r="A2458" s="1">
        <v>43754</v>
      </c>
      <c r="B2458">
        <v>12867</v>
      </c>
      <c r="C2458" s="2" t="s">
        <v>52</v>
      </c>
      <c r="D2458" s="2" t="s">
        <v>53</v>
      </c>
      <c r="E2458" s="2" t="s">
        <v>33</v>
      </c>
      <c r="F2458">
        <v>4182</v>
      </c>
      <c r="G2458" s="2" t="s">
        <v>265</v>
      </c>
      <c r="H2458" s="2" t="s">
        <v>32</v>
      </c>
      <c r="I2458" s="2" t="s">
        <v>33</v>
      </c>
      <c r="J2458" s="2" t="s">
        <v>60</v>
      </c>
      <c r="K2458" s="2" t="s">
        <v>33</v>
      </c>
      <c r="L2458">
        <v>11366.12</v>
      </c>
      <c r="M2458">
        <v>11</v>
      </c>
      <c r="N2458">
        <v>95.010999999999996</v>
      </c>
      <c r="O2458">
        <v>6400835</v>
      </c>
      <c r="P2458" s="2" t="s">
        <v>130</v>
      </c>
      <c r="Q2458" s="2" t="s">
        <v>131</v>
      </c>
      <c r="R2458" s="2" t="s">
        <v>30</v>
      </c>
      <c r="S2458">
        <v>5</v>
      </c>
      <c r="T2458" s="1">
        <v>43754</v>
      </c>
      <c r="U2458" s="1">
        <v>43755</v>
      </c>
      <c r="V2458" s="2"/>
      <c r="W2458" s="1">
        <f>fNotasFiscais[[#This Row],[Data da Coleta]]+fNotasFiscais[[#This Row],[Prazo Contratado]]</f>
        <v>43759</v>
      </c>
      <c r="X2458" s="3">
        <f>IF(fNotasFiscais[[#This Row],[Data da Entrega]]&gt;fNotasFiscais[[#This Row],[Data Contratada]],0,1)</f>
        <v>1</v>
      </c>
      <c r="Y2458" s="3">
        <f>IF(fNotasFiscais[[#This Row],[Ocorrência]]="",1,0)</f>
        <v>1</v>
      </c>
      <c r="Z2458" s="2">
        <f>fNotasFiscais[[#This Row],[On Time]]*fNotasFiscais[[#This Row],[In Full]]</f>
        <v>1</v>
      </c>
      <c r="AA2458">
        <f>IF(fNotasFiscais[[#This Row],[Nota Fiscal]]&lt;&gt;"",1,0)</f>
        <v>1</v>
      </c>
    </row>
    <row r="2459" spans="1:27" x14ac:dyDescent="0.25">
      <c r="A2459" s="1">
        <v>43754</v>
      </c>
      <c r="B2459">
        <v>12868</v>
      </c>
      <c r="C2459" s="2" t="s">
        <v>40</v>
      </c>
      <c r="D2459" s="2" t="s">
        <v>41</v>
      </c>
      <c r="E2459" s="2" t="s">
        <v>33</v>
      </c>
      <c r="F2459">
        <v>4231</v>
      </c>
      <c r="G2459" s="2" t="s">
        <v>314</v>
      </c>
      <c r="H2459" s="2" t="s">
        <v>44</v>
      </c>
      <c r="I2459" s="2" t="s">
        <v>45</v>
      </c>
      <c r="J2459" s="2" t="s">
        <v>60</v>
      </c>
      <c r="K2459" s="2" t="s">
        <v>45</v>
      </c>
      <c r="L2459">
        <v>1424.42</v>
      </c>
      <c r="M2459">
        <v>10</v>
      </c>
      <c r="N2459">
        <v>6.4020000000000001</v>
      </c>
      <c r="O2459">
        <v>6140092</v>
      </c>
      <c r="P2459" s="2" t="s">
        <v>137</v>
      </c>
      <c r="Q2459" s="2" t="s">
        <v>138</v>
      </c>
      <c r="R2459" s="2" t="s">
        <v>30</v>
      </c>
      <c r="S2459">
        <v>10</v>
      </c>
      <c r="T2459" s="1">
        <v>43754</v>
      </c>
      <c r="U2459" s="1">
        <v>43757</v>
      </c>
      <c r="V2459" s="2" t="s">
        <v>42</v>
      </c>
      <c r="W2459" s="1">
        <f>fNotasFiscais[[#This Row],[Data da Coleta]]+fNotasFiscais[[#This Row],[Prazo Contratado]]</f>
        <v>43764</v>
      </c>
      <c r="X2459" s="3">
        <f>IF(fNotasFiscais[[#This Row],[Data da Entrega]]&gt;fNotasFiscais[[#This Row],[Data Contratada]],0,1)</f>
        <v>1</v>
      </c>
      <c r="Y2459" s="3">
        <f>IF(fNotasFiscais[[#This Row],[Ocorrência]]="",1,0)</f>
        <v>0</v>
      </c>
      <c r="Z2459" s="2">
        <f>fNotasFiscais[[#This Row],[On Time]]*fNotasFiscais[[#This Row],[In Full]]</f>
        <v>0</v>
      </c>
      <c r="AA2459">
        <f>IF(fNotasFiscais[[#This Row],[Nota Fiscal]]&lt;&gt;"",1,0)</f>
        <v>1</v>
      </c>
    </row>
    <row r="2460" spans="1:27" x14ac:dyDescent="0.25">
      <c r="A2460" s="1">
        <v>43755</v>
      </c>
      <c r="B2460">
        <v>12869</v>
      </c>
      <c r="C2460" s="2" t="s">
        <v>34</v>
      </c>
      <c r="D2460" s="2" t="s">
        <v>35</v>
      </c>
      <c r="E2460" s="2" t="s">
        <v>36</v>
      </c>
      <c r="F2460">
        <v>4256</v>
      </c>
      <c r="G2460" s="2" t="s">
        <v>339</v>
      </c>
      <c r="H2460" s="2" t="s">
        <v>167</v>
      </c>
      <c r="I2460" s="2" t="s">
        <v>168</v>
      </c>
      <c r="J2460" s="2" t="s">
        <v>169</v>
      </c>
      <c r="K2460" s="2" t="s">
        <v>168</v>
      </c>
      <c r="L2460">
        <v>349.76</v>
      </c>
      <c r="M2460">
        <v>1</v>
      </c>
      <c r="N2460">
        <v>0.45200000000000001</v>
      </c>
      <c r="O2460">
        <v>6900304</v>
      </c>
      <c r="P2460" s="2" t="s">
        <v>170</v>
      </c>
      <c r="Q2460" s="2" t="s">
        <v>171</v>
      </c>
      <c r="R2460" s="2" t="s">
        <v>30</v>
      </c>
      <c r="S2460">
        <v>11</v>
      </c>
      <c r="T2460" s="1">
        <v>43755</v>
      </c>
      <c r="U2460" s="1">
        <v>43756</v>
      </c>
      <c r="V2460" s="2"/>
      <c r="W2460" s="1">
        <f>fNotasFiscais[[#This Row],[Data da Coleta]]+fNotasFiscais[[#This Row],[Prazo Contratado]]</f>
        <v>43766</v>
      </c>
      <c r="X2460" s="3">
        <f>IF(fNotasFiscais[[#This Row],[Data da Entrega]]&gt;fNotasFiscais[[#This Row],[Data Contratada]],0,1)</f>
        <v>1</v>
      </c>
      <c r="Y2460" s="3">
        <f>IF(fNotasFiscais[[#This Row],[Ocorrência]]="",1,0)</f>
        <v>1</v>
      </c>
      <c r="Z2460" s="2">
        <f>fNotasFiscais[[#This Row],[On Time]]*fNotasFiscais[[#This Row],[In Full]]</f>
        <v>1</v>
      </c>
      <c r="AA2460">
        <f>IF(fNotasFiscais[[#This Row],[Nota Fiscal]]&lt;&gt;"",1,0)</f>
        <v>1</v>
      </c>
    </row>
    <row r="2461" spans="1:27" x14ac:dyDescent="0.25">
      <c r="A2461" s="1">
        <v>43755</v>
      </c>
      <c r="B2461">
        <v>12870</v>
      </c>
      <c r="C2461" s="2" t="s">
        <v>40</v>
      </c>
      <c r="D2461" s="2" t="s">
        <v>41</v>
      </c>
      <c r="E2461" s="2" t="s">
        <v>33</v>
      </c>
      <c r="F2461">
        <v>4257</v>
      </c>
      <c r="G2461" s="2" t="s">
        <v>340</v>
      </c>
      <c r="H2461" s="2" t="s">
        <v>165</v>
      </c>
      <c r="I2461" s="2" t="s">
        <v>24</v>
      </c>
      <c r="J2461" s="2" t="s">
        <v>28</v>
      </c>
      <c r="K2461" s="2" t="s">
        <v>24</v>
      </c>
      <c r="L2461">
        <v>58.49</v>
      </c>
      <c r="M2461">
        <v>1</v>
      </c>
      <c r="N2461">
        <v>0.32100000000000001</v>
      </c>
      <c r="O2461">
        <v>6500948</v>
      </c>
      <c r="P2461" s="2" t="s">
        <v>29</v>
      </c>
      <c r="Q2461" s="2" t="s">
        <v>23</v>
      </c>
      <c r="R2461" s="2" t="s">
        <v>30</v>
      </c>
      <c r="S2461">
        <v>9</v>
      </c>
      <c r="T2461" s="1">
        <v>43755</v>
      </c>
      <c r="U2461" s="1">
        <v>43760</v>
      </c>
      <c r="V2461" s="2"/>
      <c r="W2461" s="1">
        <f>fNotasFiscais[[#This Row],[Data da Coleta]]+fNotasFiscais[[#This Row],[Prazo Contratado]]</f>
        <v>43764</v>
      </c>
      <c r="X2461" s="3">
        <f>IF(fNotasFiscais[[#This Row],[Data da Entrega]]&gt;fNotasFiscais[[#This Row],[Data Contratada]],0,1)</f>
        <v>1</v>
      </c>
      <c r="Y2461" s="3">
        <f>IF(fNotasFiscais[[#This Row],[Ocorrência]]="",1,0)</f>
        <v>1</v>
      </c>
      <c r="Z2461" s="2">
        <f>fNotasFiscais[[#This Row],[On Time]]*fNotasFiscais[[#This Row],[In Full]]</f>
        <v>1</v>
      </c>
      <c r="AA2461">
        <f>IF(fNotasFiscais[[#This Row],[Nota Fiscal]]&lt;&gt;"",1,0)</f>
        <v>1</v>
      </c>
    </row>
    <row r="2462" spans="1:27" x14ac:dyDescent="0.25">
      <c r="A2462" s="1">
        <v>43756</v>
      </c>
      <c r="B2462">
        <v>12871</v>
      </c>
      <c r="C2462" s="2" t="s">
        <v>52</v>
      </c>
      <c r="D2462" s="2" t="s">
        <v>53</v>
      </c>
      <c r="E2462" s="2" t="s">
        <v>33</v>
      </c>
      <c r="F2462">
        <v>4022</v>
      </c>
      <c r="G2462" s="2" t="s">
        <v>86</v>
      </c>
      <c r="H2462" s="2" t="s">
        <v>87</v>
      </c>
      <c r="I2462" s="2" t="s">
        <v>27</v>
      </c>
      <c r="J2462" s="2" t="s">
        <v>28</v>
      </c>
      <c r="K2462" s="2" t="s">
        <v>27</v>
      </c>
      <c r="L2462">
        <v>4829.1099999999997</v>
      </c>
      <c r="M2462">
        <v>7</v>
      </c>
      <c r="N2462">
        <v>54.247999999999998</v>
      </c>
      <c r="O2462">
        <v>6500948</v>
      </c>
      <c r="P2462" s="2" t="s">
        <v>29</v>
      </c>
      <c r="Q2462" s="2" t="s">
        <v>23</v>
      </c>
      <c r="R2462" s="2" t="s">
        <v>30</v>
      </c>
      <c r="S2462">
        <v>9</v>
      </c>
      <c r="T2462" s="1">
        <v>43756</v>
      </c>
      <c r="U2462" s="1">
        <v>43762</v>
      </c>
      <c r="V2462" s="2"/>
      <c r="W2462" s="1">
        <f>fNotasFiscais[[#This Row],[Data da Coleta]]+fNotasFiscais[[#This Row],[Prazo Contratado]]</f>
        <v>43765</v>
      </c>
      <c r="X2462" s="3">
        <f>IF(fNotasFiscais[[#This Row],[Data da Entrega]]&gt;fNotasFiscais[[#This Row],[Data Contratada]],0,1)</f>
        <v>1</v>
      </c>
      <c r="Y2462" s="3">
        <f>IF(fNotasFiscais[[#This Row],[Ocorrência]]="",1,0)</f>
        <v>1</v>
      </c>
      <c r="Z2462" s="2">
        <f>fNotasFiscais[[#This Row],[On Time]]*fNotasFiscais[[#This Row],[In Full]]</f>
        <v>1</v>
      </c>
      <c r="AA2462">
        <f>IF(fNotasFiscais[[#This Row],[Nota Fiscal]]&lt;&gt;"",1,0)</f>
        <v>1</v>
      </c>
    </row>
    <row r="2463" spans="1:27" x14ac:dyDescent="0.25">
      <c r="A2463" s="1">
        <v>43756</v>
      </c>
      <c r="B2463">
        <v>12872</v>
      </c>
      <c r="C2463" s="2" t="s">
        <v>43</v>
      </c>
      <c r="D2463" s="2" t="s">
        <v>44</v>
      </c>
      <c r="E2463" s="2" t="s">
        <v>45</v>
      </c>
      <c r="F2463">
        <v>4022</v>
      </c>
      <c r="G2463" s="2" t="s">
        <v>86</v>
      </c>
      <c r="H2463" s="2" t="s">
        <v>87</v>
      </c>
      <c r="I2463" s="2" t="s">
        <v>27</v>
      </c>
      <c r="J2463" s="2" t="s">
        <v>28</v>
      </c>
      <c r="K2463" s="2" t="s">
        <v>27</v>
      </c>
      <c r="L2463">
        <v>1156.96</v>
      </c>
      <c r="M2463">
        <v>3</v>
      </c>
      <c r="N2463">
        <v>40.26</v>
      </c>
      <c r="O2463">
        <v>6500948</v>
      </c>
      <c r="P2463" s="2" t="s">
        <v>29</v>
      </c>
      <c r="Q2463" s="2" t="s">
        <v>23</v>
      </c>
      <c r="R2463" s="2" t="s">
        <v>30</v>
      </c>
      <c r="S2463">
        <v>5</v>
      </c>
      <c r="T2463" s="1">
        <v>43756</v>
      </c>
      <c r="U2463" s="1">
        <v>43760</v>
      </c>
      <c r="V2463" s="2"/>
      <c r="W2463" s="1">
        <f>fNotasFiscais[[#This Row],[Data da Coleta]]+fNotasFiscais[[#This Row],[Prazo Contratado]]</f>
        <v>43761</v>
      </c>
      <c r="X2463" s="3">
        <f>IF(fNotasFiscais[[#This Row],[Data da Entrega]]&gt;fNotasFiscais[[#This Row],[Data Contratada]],0,1)</f>
        <v>1</v>
      </c>
      <c r="Y2463" s="3">
        <f>IF(fNotasFiscais[[#This Row],[Ocorrência]]="",1,0)</f>
        <v>1</v>
      </c>
      <c r="Z2463" s="2">
        <f>fNotasFiscais[[#This Row],[On Time]]*fNotasFiscais[[#This Row],[In Full]]</f>
        <v>1</v>
      </c>
      <c r="AA2463">
        <f>IF(fNotasFiscais[[#This Row],[Nota Fiscal]]&lt;&gt;"",1,0)</f>
        <v>1</v>
      </c>
    </row>
    <row r="2464" spans="1:27" x14ac:dyDescent="0.25">
      <c r="A2464" s="1">
        <v>43757</v>
      </c>
      <c r="B2464">
        <v>12873</v>
      </c>
      <c r="C2464" s="2" t="s">
        <v>54</v>
      </c>
      <c r="D2464" s="2" t="s">
        <v>55</v>
      </c>
      <c r="E2464" s="2" t="s">
        <v>56</v>
      </c>
      <c r="F2464">
        <v>4173</v>
      </c>
      <c r="G2464" s="2" t="s">
        <v>256</v>
      </c>
      <c r="H2464" s="2" t="s">
        <v>35</v>
      </c>
      <c r="I2464" s="2" t="s">
        <v>36</v>
      </c>
      <c r="J2464" s="2" t="s">
        <v>60</v>
      </c>
      <c r="K2464" s="2" t="s">
        <v>36</v>
      </c>
      <c r="L2464">
        <v>3721.2</v>
      </c>
      <c r="M2464">
        <v>4</v>
      </c>
      <c r="N2464">
        <v>26.132000000000001</v>
      </c>
      <c r="O2464">
        <v>6600879</v>
      </c>
      <c r="P2464" s="2" t="s">
        <v>61</v>
      </c>
      <c r="Q2464" s="2" t="s">
        <v>35</v>
      </c>
      <c r="R2464" s="2" t="s">
        <v>30</v>
      </c>
      <c r="S2464">
        <v>10</v>
      </c>
      <c r="T2464" s="1">
        <v>43757</v>
      </c>
      <c r="U2464" s="1">
        <v>43764</v>
      </c>
      <c r="V2464" s="2"/>
      <c r="W2464" s="1">
        <f>fNotasFiscais[[#This Row],[Data da Coleta]]+fNotasFiscais[[#This Row],[Prazo Contratado]]</f>
        <v>43767</v>
      </c>
      <c r="X2464" s="3">
        <f>IF(fNotasFiscais[[#This Row],[Data da Entrega]]&gt;fNotasFiscais[[#This Row],[Data Contratada]],0,1)</f>
        <v>1</v>
      </c>
      <c r="Y2464" s="3">
        <f>IF(fNotasFiscais[[#This Row],[Ocorrência]]="",1,0)</f>
        <v>1</v>
      </c>
      <c r="Z2464" s="2">
        <f>fNotasFiscais[[#This Row],[On Time]]*fNotasFiscais[[#This Row],[In Full]]</f>
        <v>1</v>
      </c>
      <c r="AA2464">
        <f>IF(fNotasFiscais[[#This Row],[Nota Fiscal]]&lt;&gt;"",1,0)</f>
        <v>1</v>
      </c>
    </row>
    <row r="2465" spans="1:27" x14ac:dyDescent="0.25">
      <c r="A2465" s="1">
        <v>43757</v>
      </c>
      <c r="B2465">
        <v>12874</v>
      </c>
      <c r="C2465" s="2" t="s">
        <v>34</v>
      </c>
      <c r="D2465" s="2" t="s">
        <v>35</v>
      </c>
      <c r="E2465" s="2" t="s">
        <v>36</v>
      </c>
      <c r="F2465">
        <v>4172</v>
      </c>
      <c r="G2465" s="2" t="s">
        <v>255</v>
      </c>
      <c r="H2465" s="2" t="s">
        <v>183</v>
      </c>
      <c r="I2465" s="2" t="s">
        <v>33</v>
      </c>
      <c r="J2465" s="2" t="s">
        <v>60</v>
      </c>
      <c r="K2465" s="2" t="s">
        <v>33</v>
      </c>
      <c r="L2465">
        <v>4606.1899999999996</v>
      </c>
      <c r="M2465">
        <v>2</v>
      </c>
      <c r="N2465">
        <v>2.0979999999999999</v>
      </c>
      <c r="O2465">
        <v>6400835</v>
      </c>
      <c r="P2465" s="2" t="s">
        <v>130</v>
      </c>
      <c r="Q2465" s="2" t="s">
        <v>131</v>
      </c>
      <c r="R2465" s="2" t="s">
        <v>30</v>
      </c>
      <c r="S2465">
        <v>10</v>
      </c>
      <c r="T2465" s="1">
        <v>43757</v>
      </c>
      <c r="U2465" s="1">
        <v>43760</v>
      </c>
      <c r="V2465" s="2"/>
      <c r="W2465" s="1">
        <f>fNotasFiscais[[#This Row],[Data da Coleta]]+fNotasFiscais[[#This Row],[Prazo Contratado]]</f>
        <v>43767</v>
      </c>
      <c r="X2465" s="3">
        <f>IF(fNotasFiscais[[#This Row],[Data da Entrega]]&gt;fNotasFiscais[[#This Row],[Data Contratada]],0,1)</f>
        <v>1</v>
      </c>
      <c r="Y2465" s="3">
        <f>IF(fNotasFiscais[[#This Row],[Ocorrência]]="",1,0)</f>
        <v>1</v>
      </c>
      <c r="Z2465" s="2">
        <f>fNotasFiscais[[#This Row],[On Time]]*fNotasFiscais[[#This Row],[In Full]]</f>
        <v>1</v>
      </c>
      <c r="AA2465">
        <f>IF(fNotasFiscais[[#This Row],[Nota Fiscal]]&lt;&gt;"",1,0)</f>
        <v>1</v>
      </c>
    </row>
    <row r="2466" spans="1:27" x14ac:dyDescent="0.25">
      <c r="A2466" s="1">
        <v>43757</v>
      </c>
      <c r="B2466">
        <v>12875</v>
      </c>
      <c r="C2466" s="2" t="s">
        <v>31</v>
      </c>
      <c r="D2466" s="2" t="s">
        <v>32</v>
      </c>
      <c r="E2466" s="2" t="s">
        <v>33</v>
      </c>
      <c r="F2466">
        <v>4128</v>
      </c>
      <c r="G2466" s="2" t="s">
        <v>211</v>
      </c>
      <c r="H2466" s="2" t="s">
        <v>167</v>
      </c>
      <c r="I2466" s="2" t="s">
        <v>168</v>
      </c>
      <c r="J2466" s="2" t="s">
        <v>169</v>
      </c>
      <c r="K2466" s="2" t="s">
        <v>168</v>
      </c>
      <c r="L2466">
        <v>3495.31</v>
      </c>
      <c r="M2466">
        <v>1</v>
      </c>
      <c r="N2466">
        <v>11.253</v>
      </c>
      <c r="O2466">
        <v>6900304</v>
      </c>
      <c r="P2466" s="2" t="s">
        <v>170</v>
      </c>
      <c r="Q2466" s="2" t="s">
        <v>171</v>
      </c>
      <c r="R2466" s="2" t="s">
        <v>30</v>
      </c>
      <c r="S2466">
        <v>9</v>
      </c>
      <c r="T2466" s="1">
        <v>43757</v>
      </c>
      <c r="U2466" s="1">
        <v>43759</v>
      </c>
      <c r="V2466" s="2"/>
      <c r="W2466" s="1">
        <f>fNotasFiscais[[#This Row],[Data da Coleta]]+fNotasFiscais[[#This Row],[Prazo Contratado]]</f>
        <v>43766</v>
      </c>
      <c r="X2466" s="3">
        <f>IF(fNotasFiscais[[#This Row],[Data da Entrega]]&gt;fNotasFiscais[[#This Row],[Data Contratada]],0,1)</f>
        <v>1</v>
      </c>
      <c r="Y2466" s="3">
        <f>IF(fNotasFiscais[[#This Row],[Ocorrência]]="",1,0)</f>
        <v>1</v>
      </c>
      <c r="Z2466" s="2">
        <f>fNotasFiscais[[#This Row],[On Time]]*fNotasFiscais[[#This Row],[In Full]]</f>
        <v>1</v>
      </c>
      <c r="AA2466">
        <f>IF(fNotasFiscais[[#This Row],[Nota Fiscal]]&lt;&gt;"",1,0)</f>
        <v>1</v>
      </c>
    </row>
    <row r="2467" spans="1:27" x14ac:dyDescent="0.25">
      <c r="A2467" s="1">
        <v>43760</v>
      </c>
      <c r="B2467">
        <v>12876</v>
      </c>
      <c r="C2467" s="2" t="s">
        <v>34</v>
      </c>
      <c r="D2467" s="2" t="s">
        <v>35</v>
      </c>
      <c r="E2467" s="2" t="s">
        <v>36</v>
      </c>
      <c r="F2467">
        <v>4033</v>
      </c>
      <c r="G2467" s="2" t="s">
        <v>109</v>
      </c>
      <c r="H2467" s="2" t="s">
        <v>51</v>
      </c>
      <c r="I2467" s="2" t="s">
        <v>73</v>
      </c>
      <c r="J2467" s="2" t="s">
        <v>49</v>
      </c>
      <c r="K2467" s="2" t="s">
        <v>73</v>
      </c>
      <c r="L2467">
        <v>259.64999999999998</v>
      </c>
      <c r="M2467">
        <v>1</v>
      </c>
      <c r="N2467">
        <v>13.42</v>
      </c>
      <c r="O2467">
        <v>6100231</v>
      </c>
      <c r="P2467" s="2" t="s">
        <v>50</v>
      </c>
      <c r="Q2467" s="2" t="s">
        <v>51</v>
      </c>
      <c r="R2467" s="2" t="s">
        <v>30</v>
      </c>
      <c r="S2467">
        <v>7</v>
      </c>
      <c r="T2467" s="1">
        <v>43760</v>
      </c>
      <c r="U2467" s="1">
        <v>43767</v>
      </c>
      <c r="V2467" s="2"/>
      <c r="W2467" s="1">
        <f>fNotasFiscais[[#This Row],[Data da Coleta]]+fNotasFiscais[[#This Row],[Prazo Contratado]]</f>
        <v>43767</v>
      </c>
      <c r="X2467" s="3">
        <f>IF(fNotasFiscais[[#This Row],[Data da Entrega]]&gt;fNotasFiscais[[#This Row],[Data Contratada]],0,1)</f>
        <v>1</v>
      </c>
      <c r="Y2467" s="3">
        <f>IF(fNotasFiscais[[#This Row],[Ocorrência]]="",1,0)</f>
        <v>1</v>
      </c>
      <c r="Z2467" s="2">
        <f>fNotasFiscais[[#This Row],[On Time]]*fNotasFiscais[[#This Row],[In Full]]</f>
        <v>1</v>
      </c>
      <c r="AA2467">
        <f>IF(fNotasFiscais[[#This Row],[Nota Fiscal]]&lt;&gt;"",1,0)</f>
        <v>1</v>
      </c>
    </row>
    <row r="2468" spans="1:27" x14ac:dyDescent="0.25">
      <c r="A2468" s="1">
        <v>43760</v>
      </c>
      <c r="B2468">
        <v>12877</v>
      </c>
      <c r="C2468" s="2" t="s">
        <v>54</v>
      </c>
      <c r="D2468" s="2" t="s">
        <v>55</v>
      </c>
      <c r="E2468" s="2" t="s">
        <v>56</v>
      </c>
      <c r="F2468">
        <v>4168</v>
      </c>
      <c r="G2468" s="2" t="s">
        <v>251</v>
      </c>
      <c r="H2468" s="2" t="s">
        <v>183</v>
      </c>
      <c r="I2468" s="2" t="s">
        <v>33</v>
      </c>
      <c r="J2468" s="2" t="s">
        <v>60</v>
      </c>
      <c r="K2468" s="2" t="s">
        <v>33</v>
      </c>
      <c r="L2468">
        <v>282.58</v>
      </c>
      <c r="M2468">
        <v>1</v>
      </c>
      <c r="N2468">
        <v>1.2649999999999999</v>
      </c>
      <c r="O2468">
        <v>6400835</v>
      </c>
      <c r="P2468" s="2" t="s">
        <v>130</v>
      </c>
      <c r="Q2468" s="2" t="s">
        <v>131</v>
      </c>
      <c r="R2468" s="2" t="s">
        <v>30</v>
      </c>
      <c r="S2468">
        <v>4</v>
      </c>
      <c r="T2468" s="1">
        <v>43760</v>
      </c>
      <c r="U2468" s="1">
        <v>43762</v>
      </c>
      <c r="V2468" s="2"/>
      <c r="W2468" s="1">
        <f>fNotasFiscais[[#This Row],[Data da Coleta]]+fNotasFiscais[[#This Row],[Prazo Contratado]]</f>
        <v>43764</v>
      </c>
      <c r="X2468" s="3">
        <f>IF(fNotasFiscais[[#This Row],[Data da Entrega]]&gt;fNotasFiscais[[#This Row],[Data Contratada]],0,1)</f>
        <v>1</v>
      </c>
      <c r="Y2468" s="3">
        <f>IF(fNotasFiscais[[#This Row],[Ocorrência]]="",1,0)</f>
        <v>1</v>
      </c>
      <c r="Z2468" s="2">
        <f>fNotasFiscais[[#This Row],[On Time]]*fNotasFiscais[[#This Row],[In Full]]</f>
        <v>1</v>
      </c>
      <c r="AA2468">
        <f>IF(fNotasFiscais[[#This Row],[Nota Fiscal]]&lt;&gt;"",1,0)</f>
        <v>1</v>
      </c>
    </row>
    <row r="2469" spans="1:27" x14ac:dyDescent="0.25">
      <c r="A2469" s="1">
        <v>43760</v>
      </c>
      <c r="B2469">
        <v>12878</v>
      </c>
      <c r="C2469" s="2" t="s">
        <v>40</v>
      </c>
      <c r="D2469" s="2" t="s">
        <v>41</v>
      </c>
      <c r="E2469" s="2" t="s">
        <v>33</v>
      </c>
      <c r="F2469">
        <v>4161</v>
      </c>
      <c r="G2469" s="2" t="s">
        <v>244</v>
      </c>
      <c r="H2469" s="2" t="s">
        <v>167</v>
      </c>
      <c r="I2469" s="2" t="s">
        <v>168</v>
      </c>
      <c r="J2469" s="2" t="s">
        <v>169</v>
      </c>
      <c r="K2469" s="2" t="s">
        <v>168</v>
      </c>
      <c r="L2469">
        <v>1506.78</v>
      </c>
      <c r="M2469">
        <v>2</v>
      </c>
      <c r="N2469">
        <v>3.218</v>
      </c>
      <c r="O2469">
        <v>6900304</v>
      </c>
      <c r="P2469" s="2" t="s">
        <v>170</v>
      </c>
      <c r="Q2469" s="2" t="s">
        <v>171</v>
      </c>
      <c r="R2469" s="2" t="s">
        <v>30</v>
      </c>
      <c r="S2469">
        <v>7</v>
      </c>
      <c r="T2469" s="1">
        <v>43760</v>
      </c>
      <c r="U2469" s="1">
        <v>43768</v>
      </c>
      <c r="V2469" s="2"/>
      <c r="W2469" s="1">
        <f>fNotasFiscais[[#This Row],[Data da Coleta]]+fNotasFiscais[[#This Row],[Prazo Contratado]]</f>
        <v>43767</v>
      </c>
      <c r="X2469" s="3">
        <f>IF(fNotasFiscais[[#This Row],[Data da Entrega]]&gt;fNotasFiscais[[#This Row],[Data Contratada]],0,1)</f>
        <v>0</v>
      </c>
      <c r="Y2469" s="3">
        <f>IF(fNotasFiscais[[#This Row],[Ocorrência]]="",1,0)</f>
        <v>1</v>
      </c>
      <c r="Z2469" s="2">
        <f>fNotasFiscais[[#This Row],[On Time]]*fNotasFiscais[[#This Row],[In Full]]</f>
        <v>0</v>
      </c>
      <c r="AA2469">
        <f>IF(fNotasFiscais[[#This Row],[Nota Fiscal]]&lt;&gt;"",1,0)</f>
        <v>1</v>
      </c>
    </row>
    <row r="2470" spans="1:27" x14ac:dyDescent="0.25">
      <c r="A2470" s="1">
        <v>43760</v>
      </c>
      <c r="B2470">
        <v>12879</v>
      </c>
      <c r="C2470" s="2" t="s">
        <v>31</v>
      </c>
      <c r="D2470" s="2" t="s">
        <v>32</v>
      </c>
      <c r="E2470" s="2" t="s">
        <v>33</v>
      </c>
      <c r="F2470">
        <v>4218</v>
      </c>
      <c r="G2470" s="2" t="s">
        <v>301</v>
      </c>
      <c r="H2470" s="2" t="s">
        <v>183</v>
      </c>
      <c r="I2470" s="2" t="s">
        <v>33</v>
      </c>
      <c r="J2470" s="2" t="s">
        <v>60</v>
      </c>
      <c r="K2470" s="2" t="s">
        <v>33</v>
      </c>
      <c r="L2470">
        <v>2318.54</v>
      </c>
      <c r="M2470">
        <v>4</v>
      </c>
      <c r="N2470">
        <v>24.116</v>
      </c>
      <c r="O2470">
        <v>6400835</v>
      </c>
      <c r="P2470" s="2" t="s">
        <v>130</v>
      </c>
      <c r="Q2470" s="2" t="s">
        <v>131</v>
      </c>
      <c r="R2470" s="2" t="s">
        <v>30</v>
      </c>
      <c r="S2470">
        <v>9</v>
      </c>
      <c r="T2470" s="1">
        <v>43760</v>
      </c>
      <c r="U2470" s="1">
        <v>43764</v>
      </c>
      <c r="V2470" s="2"/>
      <c r="W2470" s="1">
        <f>fNotasFiscais[[#This Row],[Data da Coleta]]+fNotasFiscais[[#This Row],[Prazo Contratado]]</f>
        <v>43769</v>
      </c>
      <c r="X2470" s="3">
        <f>IF(fNotasFiscais[[#This Row],[Data da Entrega]]&gt;fNotasFiscais[[#This Row],[Data Contratada]],0,1)</f>
        <v>1</v>
      </c>
      <c r="Y2470" s="3">
        <f>IF(fNotasFiscais[[#This Row],[Ocorrência]]="",1,0)</f>
        <v>1</v>
      </c>
      <c r="Z2470" s="2">
        <f>fNotasFiscais[[#This Row],[On Time]]*fNotasFiscais[[#This Row],[In Full]]</f>
        <v>1</v>
      </c>
      <c r="AA2470">
        <f>IF(fNotasFiscais[[#This Row],[Nota Fiscal]]&lt;&gt;"",1,0)</f>
        <v>1</v>
      </c>
    </row>
    <row r="2471" spans="1:27" x14ac:dyDescent="0.25">
      <c r="A2471" s="1">
        <v>43760</v>
      </c>
      <c r="B2471">
        <v>12880</v>
      </c>
      <c r="C2471" s="2" t="s">
        <v>40</v>
      </c>
      <c r="D2471" s="2" t="s">
        <v>41</v>
      </c>
      <c r="E2471" s="2" t="s">
        <v>33</v>
      </c>
      <c r="F2471">
        <v>4068</v>
      </c>
      <c r="G2471" s="2" t="s">
        <v>63</v>
      </c>
      <c r="H2471" s="2" t="s">
        <v>64</v>
      </c>
      <c r="I2471" s="2" t="s">
        <v>65</v>
      </c>
      <c r="J2471" s="2" t="s">
        <v>49</v>
      </c>
      <c r="K2471" s="2" t="s">
        <v>65</v>
      </c>
      <c r="L2471">
        <v>71.849999999999994</v>
      </c>
      <c r="M2471">
        <v>1</v>
      </c>
      <c r="N2471">
        <v>0.11</v>
      </c>
      <c r="O2471">
        <v>6100231</v>
      </c>
      <c r="P2471" s="2" t="s">
        <v>50</v>
      </c>
      <c r="Q2471" s="2" t="s">
        <v>51</v>
      </c>
      <c r="R2471" s="2" t="s">
        <v>30</v>
      </c>
      <c r="S2471">
        <v>6</v>
      </c>
      <c r="T2471" s="1">
        <v>43760</v>
      </c>
      <c r="U2471" s="1">
        <v>43769</v>
      </c>
      <c r="V2471" s="2"/>
      <c r="W2471" s="1">
        <f>fNotasFiscais[[#This Row],[Data da Coleta]]+fNotasFiscais[[#This Row],[Prazo Contratado]]</f>
        <v>43766</v>
      </c>
      <c r="X2471" s="3">
        <f>IF(fNotasFiscais[[#This Row],[Data da Entrega]]&gt;fNotasFiscais[[#This Row],[Data Contratada]],0,1)</f>
        <v>0</v>
      </c>
      <c r="Y2471" s="3">
        <f>IF(fNotasFiscais[[#This Row],[Ocorrência]]="",1,0)</f>
        <v>1</v>
      </c>
      <c r="Z2471" s="2">
        <f>fNotasFiscais[[#This Row],[On Time]]*fNotasFiscais[[#This Row],[In Full]]</f>
        <v>0</v>
      </c>
      <c r="AA2471">
        <f>IF(fNotasFiscais[[#This Row],[Nota Fiscal]]&lt;&gt;"",1,0)</f>
        <v>1</v>
      </c>
    </row>
    <row r="2472" spans="1:27" x14ac:dyDescent="0.25">
      <c r="A2472" s="1">
        <v>43760</v>
      </c>
      <c r="B2472">
        <v>12881</v>
      </c>
      <c r="C2472" s="2" t="s">
        <v>22</v>
      </c>
      <c r="D2472" s="2" t="s">
        <v>23</v>
      </c>
      <c r="E2472" s="2" t="s">
        <v>24</v>
      </c>
      <c r="F2472">
        <v>4060</v>
      </c>
      <c r="G2472" s="2" t="s">
        <v>134</v>
      </c>
      <c r="H2472" s="2" t="s">
        <v>115</v>
      </c>
      <c r="I2472" s="2" t="s">
        <v>107</v>
      </c>
      <c r="J2472" s="2" t="s">
        <v>49</v>
      </c>
      <c r="K2472" s="2" t="s">
        <v>107</v>
      </c>
      <c r="L2472">
        <v>1589.83</v>
      </c>
      <c r="M2472">
        <v>1</v>
      </c>
      <c r="N2472">
        <v>19.821999999999999</v>
      </c>
      <c r="O2472">
        <v>6100231</v>
      </c>
      <c r="P2472" s="2" t="s">
        <v>50</v>
      </c>
      <c r="Q2472" s="2" t="s">
        <v>51</v>
      </c>
      <c r="R2472" s="2" t="s">
        <v>30</v>
      </c>
      <c r="S2472">
        <v>4</v>
      </c>
      <c r="T2472" s="1">
        <v>43760</v>
      </c>
      <c r="U2472" s="1">
        <v>43770</v>
      </c>
      <c r="V2472" s="2"/>
      <c r="W2472" s="1">
        <f>fNotasFiscais[[#This Row],[Data da Coleta]]+fNotasFiscais[[#This Row],[Prazo Contratado]]</f>
        <v>43764</v>
      </c>
      <c r="X2472" s="3">
        <f>IF(fNotasFiscais[[#This Row],[Data da Entrega]]&gt;fNotasFiscais[[#This Row],[Data Contratada]],0,1)</f>
        <v>0</v>
      </c>
      <c r="Y2472" s="3">
        <f>IF(fNotasFiscais[[#This Row],[Ocorrência]]="",1,0)</f>
        <v>1</v>
      </c>
      <c r="Z2472" s="2">
        <f>fNotasFiscais[[#This Row],[On Time]]*fNotasFiscais[[#This Row],[In Full]]</f>
        <v>0</v>
      </c>
      <c r="AA2472">
        <f>IF(fNotasFiscais[[#This Row],[Nota Fiscal]]&lt;&gt;"",1,0)</f>
        <v>1</v>
      </c>
    </row>
    <row r="2473" spans="1:27" x14ac:dyDescent="0.25">
      <c r="A2473" s="1">
        <v>43760</v>
      </c>
      <c r="B2473">
        <v>12882</v>
      </c>
      <c r="C2473" s="2" t="s">
        <v>34</v>
      </c>
      <c r="D2473" s="2" t="s">
        <v>35</v>
      </c>
      <c r="E2473" s="2" t="s">
        <v>36</v>
      </c>
      <c r="F2473">
        <v>4013</v>
      </c>
      <c r="G2473" s="2" t="s">
        <v>37</v>
      </c>
      <c r="H2473" s="2" t="s">
        <v>38</v>
      </c>
      <c r="I2473" s="2" t="s">
        <v>39</v>
      </c>
      <c r="J2473" s="2" t="s">
        <v>28</v>
      </c>
      <c r="K2473" s="2" t="s">
        <v>39</v>
      </c>
      <c r="L2473">
        <v>1927.05</v>
      </c>
      <c r="M2473">
        <v>1</v>
      </c>
      <c r="N2473">
        <v>9.9</v>
      </c>
      <c r="O2473">
        <v>6500948</v>
      </c>
      <c r="P2473" s="2" t="s">
        <v>29</v>
      </c>
      <c r="Q2473" s="2" t="s">
        <v>23</v>
      </c>
      <c r="R2473" s="2" t="s">
        <v>30</v>
      </c>
      <c r="S2473">
        <v>9</v>
      </c>
      <c r="T2473" s="1">
        <v>43760</v>
      </c>
      <c r="U2473" s="1">
        <v>43767</v>
      </c>
      <c r="V2473" s="2"/>
      <c r="W2473" s="1">
        <f>fNotasFiscais[[#This Row],[Data da Coleta]]+fNotasFiscais[[#This Row],[Prazo Contratado]]</f>
        <v>43769</v>
      </c>
      <c r="X2473" s="3">
        <f>IF(fNotasFiscais[[#This Row],[Data da Entrega]]&gt;fNotasFiscais[[#This Row],[Data Contratada]],0,1)</f>
        <v>1</v>
      </c>
      <c r="Y2473" s="3">
        <f>IF(fNotasFiscais[[#This Row],[Ocorrência]]="",1,0)</f>
        <v>1</v>
      </c>
      <c r="Z2473" s="2">
        <f>fNotasFiscais[[#This Row],[On Time]]*fNotasFiscais[[#This Row],[In Full]]</f>
        <v>1</v>
      </c>
      <c r="AA2473">
        <f>IF(fNotasFiscais[[#This Row],[Nota Fiscal]]&lt;&gt;"",1,0)</f>
        <v>1</v>
      </c>
    </row>
    <row r="2474" spans="1:27" x14ac:dyDescent="0.25">
      <c r="A2474" s="1">
        <v>43761</v>
      </c>
      <c r="B2474">
        <v>12883</v>
      </c>
      <c r="C2474" s="2" t="s">
        <v>22</v>
      </c>
      <c r="D2474" s="2" t="s">
        <v>23</v>
      </c>
      <c r="E2474" s="2" t="s">
        <v>24</v>
      </c>
      <c r="F2474">
        <v>4143</v>
      </c>
      <c r="G2474" s="2" t="s">
        <v>226</v>
      </c>
      <c r="H2474" s="2" t="s">
        <v>173</v>
      </c>
      <c r="I2474" s="2" t="s">
        <v>174</v>
      </c>
      <c r="J2474" s="2" t="s">
        <v>175</v>
      </c>
      <c r="K2474" s="2" t="s">
        <v>174</v>
      </c>
      <c r="L2474">
        <v>1331.11</v>
      </c>
      <c r="M2474">
        <v>2</v>
      </c>
      <c r="N2474">
        <v>21.297999999999998</v>
      </c>
      <c r="O2474">
        <v>6700091</v>
      </c>
      <c r="P2474" s="2" t="s">
        <v>176</v>
      </c>
      <c r="Q2474" s="2" t="s">
        <v>173</v>
      </c>
      <c r="R2474" s="2" t="s">
        <v>30</v>
      </c>
      <c r="S2474">
        <v>7</v>
      </c>
      <c r="T2474" s="1">
        <v>43761</v>
      </c>
      <c r="U2474" s="1">
        <v>43765</v>
      </c>
      <c r="V2474" s="2"/>
      <c r="W2474" s="1">
        <f>fNotasFiscais[[#This Row],[Data da Coleta]]+fNotasFiscais[[#This Row],[Prazo Contratado]]</f>
        <v>43768</v>
      </c>
      <c r="X2474" s="3">
        <f>IF(fNotasFiscais[[#This Row],[Data da Entrega]]&gt;fNotasFiscais[[#This Row],[Data Contratada]],0,1)</f>
        <v>1</v>
      </c>
      <c r="Y2474" s="3">
        <f>IF(fNotasFiscais[[#This Row],[Ocorrência]]="",1,0)</f>
        <v>1</v>
      </c>
      <c r="Z2474" s="2">
        <f>fNotasFiscais[[#This Row],[On Time]]*fNotasFiscais[[#This Row],[In Full]]</f>
        <v>1</v>
      </c>
      <c r="AA2474">
        <f>IF(fNotasFiscais[[#This Row],[Nota Fiscal]]&lt;&gt;"",1,0)</f>
        <v>1</v>
      </c>
    </row>
    <row r="2475" spans="1:27" x14ac:dyDescent="0.25">
      <c r="A2475" s="1">
        <v>43761</v>
      </c>
      <c r="B2475">
        <v>12884</v>
      </c>
      <c r="C2475" s="2" t="s">
        <v>31</v>
      </c>
      <c r="D2475" s="2" t="s">
        <v>32</v>
      </c>
      <c r="E2475" s="2" t="s">
        <v>33</v>
      </c>
      <c r="F2475">
        <v>4035</v>
      </c>
      <c r="G2475" s="2" t="s">
        <v>111</v>
      </c>
      <c r="H2475" s="2" t="s">
        <v>47</v>
      </c>
      <c r="I2475" s="2" t="s">
        <v>48</v>
      </c>
      <c r="J2475" s="2" t="s">
        <v>49</v>
      </c>
      <c r="K2475" s="2" t="s">
        <v>48</v>
      </c>
      <c r="L2475">
        <v>1360.3</v>
      </c>
      <c r="M2475">
        <v>2</v>
      </c>
      <c r="N2475">
        <v>20.262</v>
      </c>
      <c r="O2475">
        <v>6100231</v>
      </c>
      <c r="P2475" s="2" t="s">
        <v>50</v>
      </c>
      <c r="Q2475" s="2" t="s">
        <v>51</v>
      </c>
      <c r="R2475" s="2" t="s">
        <v>30</v>
      </c>
      <c r="S2475">
        <v>8</v>
      </c>
      <c r="T2475" s="1">
        <v>43761</v>
      </c>
      <c r="U2475" s="1">
        <v>43771</v>
      </c>
      <c r="V2475" s="2"/>
      <c r="W2475" s="1">
        <f>fNotasFiscais[[#This Row],[Data da Coleta]]+fNotasFiscais[[#This Row],[Prazo Contratado]]</f>
        <v>43769</v>
      </c>
      <c r="X2475" s="3">
        <f>IF(fNotasFiscais[[#This Row],[Data da Entrega]]&gt;fNotasFiscais[[#This Row],[Data Contratada]],0,1)</f>
        <v>0</v>
      </c>
      <c r="Y2475" s="3">
        <f>IF(fNotasFiscais[[#This Row],[Ocorrência]]="",1,0)</f>
        <v>1</v>
      </c>
      <c r="Z2475" s="2">
        <f>fNotasFiscais[[#This Row],[On Time]]*fNotasFiscais[[#This Row],[In Full]]</f>
        <v>0</v>
      </c>
      <c r="AA2475">
        <f>IF(fNotasFiscais[[#This Row],[Nota Fiscal]]&lt;&gt;"",1,0)</f>
        <v>1</v>
      </c>
    </row>
    <row r="2476" spans="1:27" x14ac:dyDescent="0.25">
      <c r="A2476" s="1">
        <v>43761</v>
      </c>
      <c r="B2476">
        <v>12885</v>
      </c>
      <c r="C2476" s="2" t="s">
        <v>31</v>
      </c>
      <c r="D2476" s="2" t="s">
        <v>32</v>
      </c>
      <c r="E2476" s="2" t="s">
        <v>33</v>
      </c>
      <c r="F2476">
        <v>4035</v>
      </c>
      <c r="G2476" s="2" t="s">
        <v>111</v>
      </c>
      <c r="H2476" s="2" t="s">
        <v>47</v>
      </c>
      <c r="I2476" s="2" t="s">
        <v>48</v>
      </c>
      <c r="J2476" s="2" t="s">
        <v>49</v>
      </c>
      <c r="K2476" s="2" t="s">
        <v>48</v>
      </c>
      <c r="L2476">
        <v>6546.21</v>
      </c>
      <c r="M2476">
        <v>9</v>
      </c>
      <c r="N2476">
        <v>42.761000000000003</v>
      </c>
      <c r="O2476">
        <v>6100231</v>
      </c>
      <c r="P2476" s="2" t="s">
        <v>50</v>
      </c>
      <c r="Q2476" s="2" t="s">
        <v>51</v>
      </c>
      <c r="R2476" s="2" t="s">
        <v>30</v>
      </c>
      <c r="S2476">
        <v>11</v>
      </c>
      <c r="T2476" s="1">
        <v>43761</v>
      </c>
      <c r="U2476" s="1">
        <v>43763</v>
      </c>
      <c r="V2476" s="2" t="s">
        <v>42</v>
      </c>
      <c r="W2476" s="1">
        <f>fNotasFiscais[[#This Row],[Data da Coleta]]+fNotasFiscais[[#This Row],[Prazo Contratado]]</f>
        <v>43772</v>
      </c>
      <c r="X2476" s="3">
        <f>IF(fNotasFiscais[[#This Row],[Data da Entrega]]&gt;fNotasFiscais[[#This Row],[Data Contratada]],0,1)</f>
        <v>1</v>
      </c>
      <c r="Y2476" s="3">
        <f>IF(fNotasFiscais[[#This Row],[Ocorrência]]="",1,0)</f>
        <v>0</v>
      </c>
      <c r="Z2476" s="2">
        <f>fNotasFiscais[[#This Row],[On Time]]*fNotasFiscais[[#This Row],[In Full]]</f>
        <v>0</v>
      </c>
      <c r="AA2476">
        <f>IF(fNotasFiscais[[#This Row],[Nota Fiscal]]&lt;&gt;"",1,0)</f>
        <v>1</v>
      </c>
    </row>
    <row r="2477" spans="1:27" x14ac:dyDescent="0.25">
      <c r="A2477" s="1">
        <v>43760</v>
      </c>
      <c r="B2477">
        <v>12886</v>
      </c>
      <c r="C2477" s="2" t="s">
        <v>31</v>
      </c>
      <c r="D2477" s="2" t="s">
        <v>32</v>
      </c>
      <c r="E2477" s="2" t="s">
        <v>33</v>
      </c>
      <c r="F2477">
        <v>4035</v>
      </c>
      <c r="G2477" s="2" t="s">
        <v>111</v>
      </c>
      <c r="H2477" s="2" t="s">
        <v>47</v>
      </c>
      <c r="I2477" s="2" t="s">
        <v>48</v>
      </c>
      <c r="J2477" s="2" t="s">
        <v>49</v>
      </c>
      <c r="K2477" s="2" t="s">
        <v>48</v>
      </c>
      <c r="L2477">
        <v>5420.93</v>
      </c>
      <c r="M2477">
        <v>7</v>
      </c>
      <c r="N2477">
        <v>60.201999999999998</v>
      </c>
      <c r="O2477">
        <v>6100231</v>
      </c>
      <c r="P2477" s="2" t="s">
        <v>50</v>
      </c>
      <c r="Q2477" s="2" t="s">
        <v>51</v>
      </c>
      <c r="R2477" s="2" t="s">
        <v>30</v>
      </c>
      <c r="S2477">
        <v>12</v>
      </c>
      <c r="T2477" s="1">
        <v>43761</v>
      </c>
      <c r="U2477" s="1">
        <v>43770</v>
      </c>
      <c r="V2477" s="2"/>
      <c r="W2477" s="1">
        <f>fNotasFiscais[[#This Row],[Data da Coleta]]+fNotasFiscais[[#This Row],[Prazo Contratado]]</f>
        <v>43773</v>
      </c>
      <c r="X2477" s="3">
        <f>IF(fNotasFiscais[[#This Row],[Data da Entrega]]&gt;fNotasFiscais[[#This Row],[Data Contratada]],0,1)</f>
        <v>1</v>
      </c>
      <c r="Y2477" s="3">
        <f>IF(fNotasFiscais[[#This Row],[Ocorrência]]="",1,0)</f>
        <v>1</v>
      </c>
      <c r="Z2477" s="2">
        <f>fNotasFiscais[[#This Row],[On Time]]*fNotasFiscais[[#This Row],[In Full]]</f>
        <v>1</v>
      </c>
      <c r="AA2477">
        <f>IF(fNotasFiscais[[#This Row],[Nota Fiscal]]&lt;&gt;"",1,0)</f>
        <v>1</v>
      </c>
    </row>
    <row r="2478" spans="1:27" x14ac:dyDescent="0.25">
      <c r="A2478" s="1">
        <v>43761</v>
      </c>
      <c r="B2478">
        <v>12887</v>
      </c>
      <c r="C2478" s="2" t="s">
        <v>22</v>
      </c>
      <c r="D2478" s="2" t="s">
        <v>23</v>
      </c>
      <c r="E2478" s="2" t="s">
        <v>24</v>
      </c>
      <c r="F2478">
        <v>4172</v>
      </c>
      <c r="G2478" s="2" t="s">
        <v>255</v>
      </c>
      <c r="H2478" s="2" t="s">
        <v>183</v>
      </c>
      <c r="I2478" s="2" t="s">
        <v>33</v>
      </c>
      <c r="J2478" s="2" t="s">
        <v>60</v>
      </c>
      <c r="K2478" s="2" t="s">
        <v>33</v>
      </c>
      <c r="L2478">
        <v>451.5</v>
      </c>
      <c r="M2478">
        <v>1</v>
      </c>
      <c r="N2478">
        <v>1.1200000000000001</v>
      </c>
      <c r="O2478">
        <v>6400835</v>
      </c>
      <c r="P2478" s="2" t="s">
        <v>130</v>
      </c>
      <c r="Q2478" s="2" t="s">
        <v>131</v>
      </c>
      <c r="R2478" s="2" t="s">
        <v>30</v>
      </c>
      <c r="S2478">
        <v>3</v>
      </c>
      <c r="T2478" s="1">
        <v>43762</v>
      </c>
      <c r="U2478" s="1">
        <v>43772</v>
      </c>
      <c r="V2478" s="2"/>
      <c r="W2478" s="1">
        <f>fNotasFiscais[[#This Row],[Data da Coleta]]+fNotasFiscais[[#This Row],[Prazo Contratado]]</f>
        <v>43765</v>
      </c>
      <c r="X2478" s="3">
        <f>IF(fNotasFiscais[[#This Row],[Data da Entrega]]&gt;fNotasFiscais[[#This Row],[Data Contratada]],0,1)</f>
        <v>0</v>
      </c>
      <c r="Y2478" s="3">
        <f>IF(fNotasFiscais[[#This Row],[Ocorrência]]="",1,0)</f>
        <v>1</v>
      </c>
      <c r="Z2478" s="2">
        <f>fNotasFiscais[[#This Row],[On Time]]*fNotasFiscais[[#This Row],[In Full]]</f>
        <v>0</v>
      </c>
      <c r="AA2478">
        <f>IF(fNotasFiscais[[#This Row],[Nota Fiscal]]&lt;&gt;"",1,0)</f>
        <v>1</v>
      </c>
    </row>
    <row r="2479" spans="1:27" x14ac:dyDescent="0.25">
      <c r="A2479" s="1">
        <v>43761</v>
      </c>
      <c r="B2479">
        <v>12888</v>
      </c>
      <c r="C2479" s="2" t="s">
        <v>22</v>
      </c>
      <c r="D2479" s="2" t="s">
        <v>23</v>
      </c>
      <c r="E2479" s="2" t="s">
        <v>24</v>
      </c>
      <c r="F2479">
        <v>4210</v>
      </c>
      <c r="G2479" s="2" t="s">
        <v>293</v>
      </c>
      <c r="H2479" s="2" t="s">
        <v>35</v>
      </c>
      <c r="I2479" s="2" t="s">
        <v>36</v>
      </c>
      <c r="J2479" s="2" t="s">
        <v>60</v>
      </c>
      <c r="K2479" s="2" t="s">
        <v>36</v>
      </c>
      <c r="L2479">
        <v>4267.3599999999997</v>
      </c>
      <c r="M2479">
        <v>4</v>
      </c>
      <c r="N2479">
        <v>47.353000000000002</v>
      </c>
      <c r="O2479">
        <v>6600879</v>
      </c>
      <c r="P2479" s="2" t="s">
        <v>61</v>
      </c>
      <c r="Q2479" s="2" t="s">
        <v>35</v>
      </c>
      <c r="R2479" s="2" t="s">
        <v>30</v>
      </c>
      <c r="S2479">
        <v>4</v>
      </c>
      <c r="T2479" s="1">
        <v>43762</v>
      </c>
      <c r="U2479" s="1">
        <v>43771</v>
      </c>
      <c r="V2479" s="2"/>
      <c r="W2479" s="1">
        <f>fNotasFiscais[[#This Row],[Data da Coleta]]+fNotasFiscais[[#This Row],[Prazo Contratado]]</f>
        <v>43766</v>
      </c>
      <c r="X2479" s="3">
        <f>IF(fNotasFiscais[[#This Row],[Data da Entrega]]&gt;fNotasFiscais[[#This Row],[Data Contratada]],0,1)</f>
        <v>0</v>
      </c>
      <c r="Y2479" s="3">
        <f>IF(fNotasFiscais[[#This Row],[Ocorrência]]="",1,0)</f>
        <v>1</v>
      </c>
      <c r="Z2479" s="2">
        <f>fNotasFiscais[[#This Row],[On Time]]*fNotasFiscais[[#This Row],[In Full]]</f>
        <v>0</v>
      </c>
      <c r="AA2479">
        <f>IF(fNotasFiscais[[#This Row],[Nota Fiscal]]&lt;&gt;"",1,0)</f>
        <v>1</v>
      </c>
    </row>
    <row r="2480" spans="1:27" x14ac:dyDescent="0.25">
      <c r="A2480" s="1">
        <v>43761</v>
      </c>
      <c r="B2480">
        <v>12889</v>
      </c>
      <c r="C2480" s="2" t="s">
        <v>31</v>
      </c>
      <c r="D2480" s="2" t="s">
        <v>32</v>
      </c>
      <c r="E2480" s="2" t="s">
        <v>33</v>
      </c>
      <c r="F2480">
        <v>4211</v>
      </c>
      <c r="G2480" s="2" t="s">
        <v>294</v>
      </c>
      <c r="H2480" s="2" t="s">
        <v>183</v>
      </c>
      <c r="I2480" s="2" t="s">
        <v>33</v>
      </c>
      <c r="J2480" s="2" t="s">
        <v>60</v>
      </c>
      <c r="K2480" s="2" t="s">
        <v>33</v>
      </c>
      <c r="L2480">
        <v>1456.09</v>
      </c>
      <c r="M2480">
        <v>2</v>
      </c>
      <c r="N2480">
        <v>1.617</v>
      </c>
      <c r="O2480">
        <v>6400835</v>
      </c>
      <c r="P2480" s="2" t="s">
        <v>130</v>
      </c>
      <c r="Q2480" s="2" t="s">
        <v>131</v>
      </c>
      <c r="R2480" s="2" t="s">
        <v>30</v>
      </c>
      <c r="S2480">
        <v>7</v>
      </c>
      <c r="T2480" s="1">
        <v>43762</v>
      </c>
      <c r="U2480" s="1">
        <v>43771</v>
      </c>
      <c r="V2480" s="2"/>
      <c r="W2480" s="1">
        <f>fNotasFiscais[[#This Row],[Data da Coleta]]+fNotasFiscais[[#This Row],[Prazo Contratado]]</f>
        <v>43769</v>
      </c>
      <c r="X2480" s="3">
        <f>IF(fNotasFiscais[[#This Row],[Data da Entrega]]&gt;fNotasFiscais[[#This Row],[Data Contratada]],0,1)</f>
        <v>0</v>
      </c>
      <c r="Y2480" s="3">
        <f>IF(fNotasFiscais[[#This Row],[Ocorrência]]="",1,0)</f>
        <v>1</v>
      </c>
      <c r="Z2480" s="2">
        <f>fNotasFiscais[[#This Row],[On Time]]*fNotasFiscais[[#This Row],[In Full]]</f>
        <v>0</v>
      </c>
      <c r="AA2480">
        <f>IF(fNotasFiscais[[#This Row],[Nota Fiscal]]&lt;&gt;"",1,0)</f>
        <v>1</v>
      </c>
    </row>
    <row r="2481" spans="1:27" x14ac:dyDescent="0.25">
      <c r="A2481" s="1">
        <v>43761</v>
      </c>
      <c r="B2481">
        <v>12890</v>
      </c>
      <c r="C2481" s="2" t="s">
        <v>40</v>
      </c>
      <c r="D2481" s="2" t="s">
        <v>41</v>
      </c>
      <c r="E2481" s="2" t="s">
        <v>33</v>
      </c>
      <c r="F2481">
        <v>4212</v>
      </c>
      <c r="G2481" s="2" t="s">
        <v>295</v>
      </c>
      <c r="H2481" s="2" t="s">
        <v>165</v>
      </c>
      <c r="I2481" s="2" t="s">
        <v>24</v>
      </c>
      <c r="J2481" s="2" t="s">
        <v>28</v>
      </c>
      <c r="K2481" s="2" t="s">
        <v>24</v>
      </c>
      <c r="L2481">
        <v>967.41</v>
      </c>
      <c r="M2481">
        <v>1</v>
      </c>
      <c r="N2481">
        <v>3.1819999999999999</v>
      </c>
      <c r="O2481">
        <v>6500948</v>
      </c>
      <c r="P2481" s="2" t="s">
        <v>29</v>
      </c>
      <c r="Q2481" s="2" t="s">
        <v>23</v>
      </c>
      <c r="R2481" s="2" t="s">
        <v>30</v>
      </c>
      <c r="S2481">
        <v>4</v>
      </c>
      <c r="T2481" s="1">
        <v>43762</v>
      </c>
      <c r="U2481" s="1">
        <v>43766</v>
      </c>
      <c r="V2481" s="2" t="s">
        <v>42</v>
      </c>
      <c r="W2481" s="1">
        <f>fNotasFiscais[[#This Row],[Data da Coleta]]+fNotasFiscais[[#This Row],[Prazo Contratado]]</f>
        <v>43766</v>
      </c>
      <c r="X2481" s="3">
        <f>IF(fNotasFiscais[[#This Row],[Data da Entrega]]&gt;fNotasFiscais[[#This Row],[Data Contratada]],0,1)</f>
        <v>1</v>
      </c>
      <c r="Y2481" s="3">
        <f>IF(fNotasFiscais[[#This Row],[Ocorrência]]="",1,0)</f>
        <v>0</v>
      </c>
      <c r="Z2481" s="2">
        <f>fNotasFiscais[[#This Row],[On Time]]*fNotasFiscais[[#This Row],[In Full]]</f>
        <v>0</v>
      </c>
      <c r="AA2481">
        <f>IF(fNotasFiscais[[#This Row],[Nota Fiscal]]&lt;&gt;"",1,0)</f>
        <v>1</v>
      </c>
    </row>
    <row r="2482" spans="1:27" x14ac:dyDescent="0.25">
      <c r="A2482" s="1">
        <v>43761</v>
      </c>
      <c r="B2482">
        <v>12891</v>
      </c>
      <c r="C2482" s="2" t="s">
        <v>31</v>
      </c>
      <c r="D2482" s="2" t="s">
        <v>32</v>
      </c>
      <c r="E2482" s="2" t="s">
        <v>33</v>
      </c>
      <c r="F2482">
        <v>4213</v>
      </c>
      <c r="G2482" s="2" t="s">
        <v>296</v>
      </c>
      <c r="H2482" s="2" t="s">
        <v>32</v>
      </c>
      <c r="I2482" s="2" t="s">
        <v>33</v>
      </c>
      <c r="J2482" s="2" t="s">
        <v>60</v>
      </c>
      <c r="K2482" s="2" t="s">
        <v>33</v>
      </c>
      <c r="L2482">
        <v>5572.78</v>
      </c>
      <c r="M2482">
        <v>6</v>
      </c>
      <c r="N2482">
        <v>28.693999999999999</v>
      </c>
      <c r="O2482">
        <v>6400835</v>
      </c>
      <c r="P2482" s="2" t="s">
        <v>130</v>
      </c>
      <c r="Q2482" s="2" t="s">
        <v>131</v>
      </c>
      <c r="R2482" s="2" t="s">
        <v>30</v>
      </c>
      <c r="S2482">
        <v>11</v>
      </c>
      <c r="T2482" s="1">
        <v>43762</v>
      </c>
      <c r="U2482" s="1">
        <v>43769</v>
      </c>
      <c r="V2482" s="2"/>
      <c r="W2482" s="1">
        <f>fNotasFiscais[[#This Row],[Data da Coleta]]+fNotasFiscais[[#This Row],[Prazo Contratado]]</f>
        <v>43773</v>
      </c>
      <c r="X2482" s="3">
        <f>IF(fNotasFiscais[[#This Row],[Data da Entrega]]&gt;fNotasFiscais[[#This Row],[Data Contratada]],0,1)</f>
        <v>1</v>
      </c>
      <c r="Y2482" s="3">
        <f>IF(fNotasFiscais[[#This Row],[Ocorrência]]="",1,0)</f>
        <v>1</v>
      </c>
      <c r="Z2482" s="2">
        <f>fNotasFiscais[[#This Row],[On Time]]*fNotasFiscais[[#This Row],[In Full]]</f>
        <v>1</v>
      </c>
      <c r="AA2482">
        <f>IF(fNotasFiscais[[#This Row],[Nota Fiscal]]&lt;&gt;"",1,0)</f>
        <v>1</v>
      </c>
    </row>
    <row r="2483" spans="1:27" x14ac:dyDescent="0.25">
      <c r="A2483" s="1">
        <v>43761</v>
      </c>
      <c r="B2483">
        <v>12892</v>
      </c>
      <c r="C2483" s="2" t="s">
        <v>34</v>
      </c>
      <c r="D2483" s="2" t="s">
        <v>35</v>
      </c>
      <c r="E2483" s="2" t="s">
        <v>36</v>
      </c>
      <c r="F2483">
        <v>4216</v>
      </c>
      <c r="G2483" s="2" t="s">
        <v>299</v>
      </c>
      <c r="H2483" s="2" t="s">
        <v>183</v>
      </c>
      <c r="I2483" s="2" t="s">
        <v>33</v>
      </c>
      <c r="J2483" s="2" t="s">
        <v>60</v>
      </c>
      <c r="K2483" s="2" t="s">
        <v>33</v>
      </c>
      <c r="L2483">
        <v>20415.77</v>
      </c>
      <c r="M2483">
        <v>36</v>
      </c>
      <c r="N2483">
        <v>170.30199999999999</v>
      </c>
      <c r="O2483">
        <v>6400835</v>
      </c>
      <c r="P2483" s="2" t="s">
        <v>130</v>
      </c>
      <c r="Q2483" s="2" t="s">
        <v>131</v>
      </c>
      <c r="R2483" s="2" t="s">
        <v>30</v>
      </c>
      <c r="S2483">
        <v>10</v>
      </c>
      <c r="T2483" s="1">
        <v>43762</v>
      </c>
      <c r="U2483" s="1">
        <v>43769</v>
      </c>
      <c r="V2483" s="2"/>
      <c r="W2483" s="1">
        <f>fNotasFiscais[[#This Row],[Data da Coleta]]+fNotasFiscais[[#This Row],[Prazo Contratado]]</f>
        <v>43772</v>
      </c>
      <c r="X2483" s="3">
        <f>IF(fNotasFiscais[[#This Row],[Data da Entrega]]&gt;fNotasFiscais[[#This Row],[Data Contratada]],0,1)</f>
        <v>1</v>
      </c>
      <c r="Y2483" s="3">
        <f>IF(fNotasFiscais[[#This Row],[Ocorrência]]="",1,0)</f>
        <v>1</v>
      </c>
      <c r="Z2483" s="2">
        <f>fNotasFiscais[[#This Row],[On Time]]*fNotasFiscais[[#This Row],[In Full]]</f>
        <v>1</v>
      </c>
      <c r="AA2483">
        <f>IF(fNotasFiscais[[#This Row],[Nota Fiscal]]&lt;&gt;"",1,0)</f>
        <v>1</v>
      </c>
    </row>
    <row r="2484" spans="1:27" x14ac:dyDescent="0.25">
      <c r="A2484" s="1">
        <v>43761</v>
      </c>
      <c r="B2484">
        <v>12893</v>
      </c>
      <c r="C2484" s="2" t="s">
        <v>54</v>
      </c>
      <c r="D2484" s="2" t="s">
        <v>55</v>
      </c>
      <c r="E2484" s="2" t="s">
        <v>56</v>
      </c>
      <c r="F2484">
        <v>4208</v>
      </c>
      <c r="G2484" s="2" t="s">
        <v>291</v>
      </c>
      <c r="H2484" s="2" t="s">
        <v>32</v>
      </c>
      <c r="I2484" s="2" t="s">
        <v>33</v>
      </c>
      <c r="J2484" s="2" t="s">
        <v>60</v>
      </c>
      <c r="K2484" s="2" t="s">
        <v>33</v>
      </c>
      <c r="L2484">
        <v>182.22</v>
      </c>
      <c r="M2484">
        <v>1</v>
      </c>
      <c r="N2484">
        <v>0.30599999999999999</v>
      </c>
      <c r="O2484">
        <v>6400835</v>
      </c>
      <c r="P2484" s="2" t="s">
        <v>130</v>
      </c>
      <c r="Q2484" s="2" t="s">
        <v>131</v>
      </c>
      <c r="R2484" s="2" t="s">
        <v>30</v>
      </c>
      <c r="S2484">
        <v>7</v>
      </c>
      <c r="T2484" s="1">
        <v>43762</v>
      </c>
      <c r="U2484" s="1">
        <v>43769</v>
      </c>
      <c r="V2484" s="2"/>
      <c r="W2484" s="1">
        <f>fNotasFiscais[[#This Row],[Data da Coleta]]+fNotasFiscais[[#This Row],[Prazo Contratado]]</f>
        <v>43769</v>
      </c>
      <c r="X2484" s="3">
        <f>IF(fNotasFiscais[[#This Row],[Data da Entrega]]&gt;fNotasFiscais[[#This Row],[Data Contratada]],0,1)</f>
        <v>1</v>
      </c>
      <c r="Y2484" s="3">
        <f>IF(fNotasFiscais[[#This Row],[Ocorrência]]="",1,0)</f>
        <v>1</v>
      </c>
      <c r="Z2484" s="2">
        <f>fNotasFiscais[[#This Row],[On Time]]*fNotasFiscais[[#This Row],[In Full]]</f>
        <v>1</v>
      </c>
      <c r="AA2484">
        <f>IF(fNotasFiscais[[#This Row],[Nota Fiscal]]&lt;&gt;"",1,0)</f>
        <v>1</v>
      </c>
    </row>
    <row r="2485" spans="1:27" x14ac:dyDescent="0.25">
      <c r="A2485" s="1">
        <v>43761</v>
      </c>
      <c r="B2485">
        <v>12894</v>
      </c>
      <c r="C2485" s="2" t="s">
        <v>43</v>
      </c>
      <c r="D2485" s="2" t="s">
        <v>44</v>
      </c>
      <c r="E2485" s="2" t="s">
        <v>45</v>
      </c>
      <c r="F2485">
        <v>4209</v>
      </c>
      <c r="G2485" s="2" t="s">
        <v>292</v>
      </c>
      <c r="H2485" s="2" t="s">
        <v>35</v>
      </c>
      <c r="I2485" s="2" t="s">
        <v>36</v>
      </c>
      <c r="J2485" s="2" t="s">
        <v>60</v>
      </c>
      <c r="K2485" s="2" t="s">
        <v>36</v>
      </c>
      <c r="L2485">
        <v>671.38</v>
      </c>
      <c r="M2485">
        <v>1</v>
      </c>
      <c r="N2485">
        <v>0.64600000000000002</v>
      </c>
      <c r="O2485">
        <v>6600879</v>
      </c>
      <c r="P2485" s="2" t="s">
        <v>61</v>
      </c>
      <c r="Q2485" s="2" t="s">
        <v>35</v>
      </c>
      <c r="R2485" s="2" t="s">
        <v>30</v>
      </c>
      <c r="S2485">
        <v>12</v>
      </c>
      <c r="T2485" s="1">
        <v>43762</v>
      </c>
      <c r="U2485" s="1">
        <v>43765</v>
      </c>
      <c r="V2485" s="2"/>
      <c r="W2485" s="1">
        <f>fNotasFiscais[[#This Row],[Data da Coleta]]+fNotasFiscais[[#This Row],[Prazo Contratado]]</f>
        <v>43774</v>
      </c>
      <c r="X2485" s="3">
        <f>IF(fNotasFiscais[[#This Row],[Data da Entrega]]&gt;fNotasFiscais[[#This Row],[Data Contratada]],0,1)</f>
        <v>1</v>
      </c>
      <c r="Y2485" s="3">
        <f>IF(fNotasFiscais[[#This Row],[Ocorrência]]="",1,0)</f>
        <v>1</v>
      </c>
      <c r="Z2485" s="2">
        <f>fNotasFiscais[[#This Row],[On Time]]*fNotasFiscais[[#This Row],[In Full]]</f>
        <v>1</v>
      </c>
      <c r="AA2485">
        <f>IF(fNotasFiscais[[#This Row],[Nota Fiscal]]&lt;&gt;"",1,0)</f>
        <v>1</v>
      </c>
    </row>
    <row r="2486" spans="1:27" x14ac:dyDescent="0.25">
      <c r="A2486" s="1">
        <v>43761</v>
      </c>
      <c r="B2486">
        <v>12895</v>
      </c>
      <c r="C2486" s="2" t="s">
        <v>22</v>
      </c>
      <c r="D2486" s="2" t="s">
        <v>23</v>
      </c>
      <c r="E2486" s="2" t="s">
        <v>24</v>
      </c>
      <c r="F2486">
        <v>4215</v>
      </c>
      <c r="G2486" s="2" t="s">
        <v>298</v>
      </c>
      <c r="H2486" s="2" t="s">
        <v>167</v>
      </c>
      <c r="I2486" s="2" t="s">
        <v>168</v>
      </c>
      <c r="J2486" s="2" t="s">
        <v>169</v>
      </c>
      <c r="K2486" s="2" t="s">
        <v>168</v>
      </c>
      <c r="L2486">
        <v>2421.62</v>
      </c>
      <c r="M2486">
        <v>5</v>
      </c>
      <c r="N2486">
        <v>3.948</v>
      </c>
      <c r="O2486">
        <v>6900304</v>
      </c>
      <c r="P2486" s="2" t="s">
        <v>170</v>
      </c>
      <c r="Q2486" s="2" t="s">
        <v>171</v>
      </c>
      <c r="R2486" s="2" t="s">
        <v>30</v>
      </c>
      <c r="S2486">
        <v>5</v>
      </c>
      <c r="T2486" s="1">
        <v>43762</v>
      </c>
      <c r="U2486" s="1">
        <v>43770</v>
      </c>
      <c r="V2486" s="2"/>
      <c r="W2486" s="1">
        <f>fNotasFiscais[[#This Row],[Data da Coleta]]+fNotasFiscais[[#This Row],[Prazo Contratado]]</f>
        <v>43767</v>
      </c>
      <c r="X2486" s="3">
        <f>IF(fNotasFiscais[[#This Row],[Data da Entrega]]&gt;fNotasFiscais[[#This Row],[Data Contratada]],0,1)</f>
        <v>0</v>
      </c>
      <c r="Y2486" s="3">
        <f>IF(fNotasFiscais[[#This Row],[Ocorrência]]="",1,0)</f>
        <v>1</v>
      </c>
      <c r="Z2486" s="2">
        <f>fNotasFiscais[[#This Row],[On Time]]*fNotasFiscais[[#This Row],[In Full]]</f>
        <v>0</v>
      </c>
      <c r="AA2486">
        <f>IF(fNotasFiscais[[#This Row],[Nota Fiscal]]&lt;&gt;"",1,0)</f>
        <v>1</v>
      </c>
    </row>
    <row r="2487" spans="1:27" x14ac:dyDescent="0.25">
      <c r="A2487" s="1">
        <v>43761</v>
      </c>
      <c r="B2487">
        <v>12896</v>
      </c>
      <c r="C2487" s="2" t="s">
        <v>54</v>
      </c>
      <c r="D2487" s="2" t="s">
        <v>55</v>
      </c>
      <c r="E2487" s="2" t="s">
        <v>56</v>
      </c>
      <c r="F2487">
        <v>4252</v>
      </c>
      <c r="G2487" s="2" t="s">
        <v>335</v>
      </c>
      <c r="H2487" s="2" t="s">
        <v>32</v>
      </c>
      <c r="I2487" s="2" t="s">
        <v>33</v>
      </c>
      <c r="J2487" s="2" t="s">
        <v>60</v>
      </c>
      <c r="K2487" s="2" t="s">
        <v>33</v>
      </c>
      <c r="L2487">
        <v>573.11</v>
      </c>
      <c r="M2487">
        <v>2</v>
      </c>
      <c r="N2487">
        <v>0.94299999999999995</v>
      </c>
      <c r="O2487">
        <v>6400835</v>
      </c>
      <c r="P2487" s="2" t="s">
        <v>130</v>
      </c>
      <c r="Q2487" s="2" t="s">
        <v>131</v>
      </c>
      <c r="R2487" s="2" t="s">
        <v>30</v>
      </c>
      <c r="S2487">
        <v>7</v>
      </c>
      <c r="T2487" s="1">
        <v>43762</v>
      </c>
      <c r="U2487" s="1">
        <v>43767</v>
      </c>
      <c r="V2487" s="2"/>
      <c r="W2487" s="1">
        <f>fNotasFiscais[[#This Row],[Data da Coleta]]+fNotasFiscais[[#This Row],[Prazo Contratado]]</f>
        <v>43769</v>
      </c>
      <c r="X2487" s="3">
        <f>IF(fNotasFiscais[[#This Row],[Data da Entrega]]&gt;fNotasFiscais[[#This Row],[Data Contratada]],0,1)</f>
        <v>1</v>
      </c>
      <c r="Y2487" s="3">
        <f>IF(fNotasFiscais[[#This Row],[Ocorrência]]="",1,0)</f>
        <v>1</v>
      </c>
      <c r="Z2487" s="2">
        <f>fNotasFiscais[[#This Row],[On Time]]*fNotasFiscais[[#This Row],[In Full]]</f>
        <v>1</v>
      </c>
      <c r="AA2487">
        <f>IF(fNotasFiscais[[#This Row],[Nota Fiscal]]&lt;&gt;"",1,0)</f>
        <v>1</v>
      </c>
    </row>
    <row r="2488" spans="1:27" x14ac:dyDescent="0.25">
      <c r="A2488" s="1">
        <v>43761</v>
      </c>
      <c r="B2488">
        <v>12897</v>
      </c>
      <c r="C2488" s="2" t="s">
        <v>31</v>
      </c>
      <c r="D2488" s="2" t="s">
        <v>32</v>
      </c>
      <c r="E2488" s="2" t="s">
        <v>33</v>
      </c>
      <c r="F2488">
        <v>4023</v>
      </c>
      <c r="G2488" s="2" t="s">
        <v>88</v>
      </c>
      <c r="H2488" s="2" t="s">
        <v>78</v>
      </c>
      <c r="I2488" s="2" t="s">
        <v>39</v>
      </c>
      <c r="J2488" s="2" t="s">
        <v>28</v>
      </c>
      <c r="K2488" s="2" t="s">
        <v>39</v>
      </c>
      <c r="L2488">
        <v>233.4</v>
      </c>
      <c r="M2488">
        <v>1</v>
      </c>
      <c r="N2488">
        <v>1.1200000000000001</v>
      </c>
      <c r="O2488">
        <v>6500948</v>
      </c>
      <c r="P2488" s="2" t="s">
        <v>29</v>
      </c>
      <c r="Q2488" s="2" t="s">
        <v>23</v>
      </c>
      <c r="R2488" s="2" t="s">
        <v>30</v>
      </c>
      <c r="S2488">
        <v>9</v>
      </c>
      <c r="T2488" s="1">
        <v>43762</v>
      </c>
      <c r="U2488" s="1">
        <v>43772</v>
      </c>
      <c r="V2488" s="2"/>
      <c r="W2488" s="1">
        <f>fNotasFiscais[[#This Row],[Data da Coleta]]+fNotasFiscais[[#This Row],[Prazo Contratado]]</f>
        <v>43771</v>
      </c>
      <c r="X2488" s="3">
        <f>IF(fNotasFiscais[[#This Row],[Data da Entrega]]&gt;fNotasFiscais[[#This Row],[Data Contratada]],0,1)</f>
        <v>0</v>
      </c>
      <c r="Y2488" s="3">
        <f>IF(fNotasFiscais[[#This Row],[Ocorrência]]="",1,0)</f>
        <v>1</v>
      </c>
      <c r="Z2488" s="2">
        <f>fNotasFiscais[[#This Row],[On Time]]*fNotasFiscais[[#This Row],[In Full]]</f>
        <v>0</v>
      </c>
      <c r="AA2488">
        <f>IF(fNotasFiscais[[#This Row],[Nota Fiscal]]&lt;&gt;"",1,0)</f>
        <v>1</v>
      </c>
    </row>
    <row r="2489" spans="1:27" x14ac:dyDescent="0.25">
      <c r="A2489" s="1">
        <v>43761</v>
      </c>
      <c r="B2489">
        <v>12898</v>
      </c>
      <c r="C2489" s="2" t="s">
        <v>54</v>
      </c>
      <c r="D2489" s="2" t="s">
        <v>55</v>
      </c>
      <c r="E2489" s="2" t="s">
        <v>56</v>
      </c>
      <c r="F2489">
        <v>4013</v>
      </c>
      <c r="G2489" s="2" t="s">
        <v>37</v>
      </c>
      <c r="H2489" s="2" t="s">
        <v>38</v>
      </c>
      <c r="I2489" s="2" t="s">
        <v>39</v>
      </c>
      <c r="J2489" s="2" t="s">
        <v>28</v>
      </c>
      <c r="K2489" s="2" t="s">
        <v>39</v>
      </c>
      <c r="L2489">
        <v>1334.15</v>
      </c>
      <c r="M2489">
        <v>4</v>
      </c>
      <c r="N2489">
        <v>53.68</v>
      </c>
      <c r="O2489">
        <v>6500948</v>
      </c>
      <c r="P2489" s="2" t="s">
        <v>29</v>
      </c>
      <c r="Q2489" s="2" t="s">
        <v>23</v>
      </c>
      <c r="R2489" s="2" t="s">
        <v>30</v>
      </c>
      <c r="S2489">
        <v>2</v>
      </c>
      <c r="T2489" s="1">
        <v>43762</v>
      </c>
      <c r="U2489" s="1">
        <v>43770</v>
      </c>
      <c r="V2489" s="2"/>
      <c r="W2489" s="1">
        <f>fNotasFiscais[[#This Row],[Data da Coleta]]+fNotasFiscais[[#This Row],[Prazo Contratado]]</f>
        <v>43764</v>
      </c>
      <c r="X2489" s="3">
        <f>IF(fNotasFiscais[[#This Row],[Data da Entrega]]&gt;fNotasFiscais[[#This Row],[Data Contratada]],0,1)</f>
        <v>0</v>
      </c>
      <c r="Y2489" s="3">
        <f>IF(fNotasFiscais[[#This Row],[Ocorrência]]="",1,0)</f>
        <v>1</v>
      </c>
      <c r="Z2489" s="2">
        <f>fNotasFiscais[[#This Row],[On Time]]*fNotasFiscais[[#This Row],[In Full]]</f>
        <v>0</v>
      </c>
      <c r="AA2489">
        <f>IF(fNotasFiscais[[#This Row],[Nota Fiscal]]&lt;&gt;"",1,0)</f>
        <v>1</v>
      </c>
    </row>
    <row r="2490" spans="1:27" x14ac:dyDescent="0.25">
      <c r="A2490" s="1">
        <v>43762</v>
      </c>
      <c r="B2490">
        <v>12899</v>
      </c>
      <c r="C2490" s="2" t="s">
        <v>43</v>
      </c>
      <c r="D2490" s="2" t="s">
        <v>44</v>
      </c>
      <c r="E2490" s="2" t="s">
        <v>45</v>
      </c>
      <c r="F2490">
        <v>4205</v>
      </c>
      <c r="G2490" s="2" t="s">
        <v>288</v>
      </c>
      <c r="H2490" s="2" t="s">
        <v>35</v>
      </c>
      <c r="I2490" s="2" t="s">
        <v>36</v>
      </c>
      <c r="J2490" s="2" t="s">
        <v>60</v>
      </c>
      <c r="K2490" s="2" t="s">
        <v>36</v>
      </c>
      <c r="L2490">
        <v>1844.29</v>
      </c>
      <c r="M2490">
        <v>1</v>
      </c>
      <c r="N2490">
        <v>9.91</v>
      </c>
      <c r="O2490">
        <v>6600879</v>
      </c>
      <c r="P2490" s="2" t="s">
        <v>61</v>
      </c>
      <c r="Q2490" s="2" t="s">
        <v>35</v>
      </c>
      <c r="R2490" s="2" t="s">
        <v>30</v>
      </c>
      <c r="S2490">
        <v>5</v>
      </c>
      <c r="T2490" s="1">
        <v>43763</v>
      </c>
      <c r="U2490" s="1">
        <v>43766</v>
      </c>
      <c r="V2490" s="2"/>
      <c r="W2490" s="1">
        <f>fNotasFiscais[[#This Row],[Data da Coleta]]+fNotasFiscais[[#This Row],[Prazo Contratado]]</f>
        <v>43768</v>
      </c>
      <c r="X2490" s="3">
        <f>IF(fNotasFiscais[[#This Row],[Data da Entrega]]&gt;fNotasFiscais[[#This Row],[Data Contratada]],0,1)</f>
        <v>1</v>
      </c>
      <c r="Y2490" s="3">
        <f>IF(fNotasFiscais[[#This Row],[Ocorrência]]="",1,0)</f>
        <v>1</v>
      </c>
      <c r="Z2490" s="2">
        <f>fNotasFiscais[[#This Row],[On Time]]*fNotasFiscais[[#This Row],[In Full]]</f>
        <v>1</v>
      </c>
      <c r="AA2490">
        <f>IF(fNotasFiscais[[#This Row],[Nota Fiscal]]&lt;&gt;"",1,0)</f>
        <v>1</v>
      </c>
    </row>
    <row r="2491" spans="1:27" x14ac:dyDescent="0.25">
      <c r="A2491" s="1">
        <v>43762</v>
      </c>
      <c r="B2491">
        <v>12900</v>
      </c>
      <c r="C2491" s="2" t="s">
        <v>22</v>
      </c>
      <c r="D2491" s="2" t="s">
        <v>23</v>
      </c>
      <c r="E2491" s="2" t="s">
        <v>24</v>
      </c>
      <c r="F2491">
        <v>4069</v>
      </c>
      <c r="G2491" s="2" t="s">
        <v>135</v>
      </c>
      <c r="H2491" s="2" t="s">
        <v>47</v>
      </c>
      <c r="I2491" s="2" t="s">
        <v>48</v>
      </c>
      <c r="J2491" s="2" t="s">
        <v>49</v>
      </c>
      <c r="K2491" s="2" t="s">
        <v>48</v>
      </c>
      <c r="L2491">
        <v>7677.7</v>
      </c>
      <c r="M2491">
        <v>8</v>
      </c>
      <c r="N2491">
        <v>56.177999999999997</v>
      </c>
      <c r="O2491">
        <v>6100231</v>
      </c>
      <c r="P2491" s="2" t="s">
        <v>50</v>
      </c>
      <c r="Q2491" s="2" t="s">
        <v>51</v>
      </c>
      <c r="R2491" s="2" t="s">
        <v>30</v>
      </c>
      <c r="S2491">
        <v>6</v>
      </c>
      <c r="T2491" s="1">
        <v>43763</v>
      </c>
      <c r="U2491" s="1">
        <v>43771</v>
      </c>
      <c r="V2491" s="2"/>
      <c r="W2491" s="1">
        <f>fNotasFiscais[[#This Row],[Data da Coleta]]+fNotasFiscais[[#This Row],[Prazo Contratado]]</f>
        <v>43769</v>
      </c>
      <c r="X2491" s="3">
        <f>IF(fNotasFiscais[[#This Row],[Data da Entrega]]&gt;fNotasFiscais[[#This Row],[Data Contratada]],0,1)</f>
        <v>0</v>
      </c>
      <c r="Y2491" s="3">
        <f>IF(fNotasFiscais[[#This Row],[Ocorrência]]="",1,0)</f>
        <v>1</v>
      </c>
      <c r="Z2491" s="2">
        <f>fNotasFiscais[[#This Row],[On Time]]*fNotasFiscais[[#This Row],[In Full]]</f>
        <v>0</v>
      </c>
      <c r="AA2491">
        <f>IF(fNotasFiscais[[#This Row],[Nota Fiscal]]&lt;&gt;"",1,0)</f>
        <v>1</v>
      </c>
    </row>
    <row r="2492" spans="1:27" x14ac:dyDescent="0.25">
      <c r="A2492" s="1">
        <v>43762</v>
      </c>
      <c r="B2492">
        <v>12901</v>
      </c>
      <c r="C2492" s="2" t="s">
        <v>52</v>
      </c>
      <c r="D2492" s="2" t="s">
        <v>53</v>
      </c>
      <c r="E2492" s="2" t="s">
        <v>33</v>
      </c>
      <c r="F2492">
        <v>4022</v>
      </c>
      <c r="G2492" s="2" t="s">
        <v>86</v>
      </c>
      <c r="H2492" s="2" t="s">
        <v>87</v>
      </c>
      <c r="I2492" s="2" t="s">
        <v>27</v>
      </c>
      <c r="J2492" s="2" t="s">
        <v>28</v>
      </c>
      <c r="K2492" s="2" t="s">
        <v>27</v>
      </c>
      <c r="L2492">
        <v>2153.83</v>
      </c>
      <c r="M2492">
        <v>2</v>
      </c>
      <c r="N2492">
        <v>6.4790000000000001</v>
      </c>
      <c r="O2492">
        <v>6500948</v>
      </c>
      <c r="P2492" s="2" t="s">
        <v>29</v>
      </c>
      <c r="Q2492" s="2" t="s">
        <v>23</v>
      </c>
      <c r="R2492" s="2" t="s">
        <v>30</v>
      </c>
      <c r="S2492">
        <v>9</v>
      </c>
      <c r="T2492" s="1">
        <v>43763</v>
      </c>
      <c r="U2492" s="1">
        <v>43772</v>
      </c>
      <c r="V2492" s="2"/>
      <c r="W2492" s="1">
        <f>fNotasFiscais[[#This Row],[Data da Coleta]]+fNotasFiscais[[#This Row],[Prazo Contratado]]</f>
        <v>43772</v>
      </c>
      <c r="X2492" s="3">
        <f>IF(fNotasFiscais[[#This Row],[Data da Entrega]]&gt;fNotasFiscais[[#This Row],[Data Contratada]],0,1)</f>
        <v>1</v>
      </c>
      <c r="Y2492" s="3">
        <f>IF(fNotasFiscais[[#This Row],[Ocorrência]]="",1,0)</f>
        <v>1</v>
      </c>
      <c r="Z2492" s="2">
        <f>fNotasFiscais[[#This Row],[On Time]]*fNotasFiscais[[#This Row],[In Full]]</f>
        <v>1</v>
      </c>
      <c r="AA2492">
        <f>IF(fNotasFiscais[[#This Row],[Nota Fiscal]]&lt;&gt;"",1,0)</f>
        <v>1</v>
      </c>
    </row>
    <row r="2493" spans="1:27" x14ac:dyDescent="0.25">
      <c r="A2493" s="1">
        <v>43762</v>
      </c>
      <c r="B2493">
        <v>12902</v>
      </c>
      <c r="C2493" s="2" t="s">
        <v>40</v>
      </c>
      <c r="D2493" s="2" t="s">
        <v>41</v>
      </c>
      <c r="E2493" s="2" t="s">
        <v>33</v>
      </c>
      <c r="F2493">
        <v>4022</v>
      </c>
      <c r="G2493" s="2" t="s">
        <v>86</v>
      </c>
      <c r="H2493" s="2" t="s">
        <v>87</v>
      </c>
      <c r="I2493" s="2" t="s">
        <v>27</v>
      </c>
      <c r="J2493" s="2" t="s">
        <v>28</v>
      </c>
      <c r="K2493" s="2" t="s">
        <v>27</v>
      </c>
      <c r="L2493">
        <v>726.84</v>
      </c>
      <c r="M2493">
        <v>2</v>
      </c>
      <c r="N2493">
        <v>26.84</v>
      </c>
      <c r="O2493">
        <v>6500948</v>
      </c>
      <c r="P2493" s="2" t="s">
        <v>29</v>
      </c>
      <c r="Q2493" s="2" t="s">
        <v>23</v>
      </c>
      <c r="R2493" s="2" t="s">
        <v>30</v>
      </c>
      <c r="S2493">
        <v>1</v>
      </c>
      <c r="T2493" s="1">
        <v>43763</v>
      </c>
      <c r="U2493" s="1">
        <v>43764</v>
      </c>
      <c r="V2493" s="2"/>
      <c r="W2493" s="1">
        <f>fNotasFiscais[[#This Row],[Data da Coleta]]+fNotasFiscais[[#This Row],[Prazo Contratado]]</f>
        <v>43764</v>
      </c>
      <c r="X2493" s="3">
        <f>IF(fNotasFiscais[[#This Row],[Data da Entrega]]&gt;fNotasFiscais[[#This Row],[Data Contratada]],0,1)</f>
        <v>1</v>
      </c>
      <c r="Y2493" s="3">
        <f>IF(fNotasFiscais[[#This Row],[Ocorrência]]="",1,0)</f>
        <v>1</v>
      </c>
      <c r="Z2493" s="2">
        <f>fNotasFiscais[[#This Row],[On Time]]*fNotasFiscais[[#This Row],[In Full]]</f>
        <v>1</v>
      </c>
      <c r="AA2493">
        <f>IF(fNotasFiscais[[#This Row],[Nota Fiscal]]&lt;&gt;"",1,0)</f>
        <v>1</v>
      </c>
    </row>
    <row r="2494" spans="1:27" x14ac:dyDescent="0.25">
      <c r="A2494" s="1">
        <v>43762</v>
      </c>
      <c r="B2494">
        <v>12903</v>
      </c>
      <c r="C2494" s="2" t="s">
        <v>40</v>
      </c>
      <c r="D2494" s="2" t="s">
        <v>41</v>
      </c>
      <c r="E2494" s="2" t="s">
        <v>33</v>
      </c>
      <c r="F2494">
        <v>4119</v>
      </c>
      <c r="G2494" s="2" t="s">
        <v>202</v>
      </c>
      <c r="H2494" s="2" t="s">
        <v>167</v>
      </c>
      <c r="I2494" s="2" t="s">
        <v>168</v>
      </c>
      <c r="J2494" s="2" t="s">
        <v>169</v>
      </c>
      <c r="K2494" s="2" t="s">
        <v>168</v>
      </c>
      <c r="L2494">
        <v>2113.2800000000002</v>
      </c>
      <c r="M2494">
        <v>2</v>
      </c>
      <c r="N2494">
        <v>8.6739999999999995</v>
      </c>
      <c r="O2494">
        <v>6900304</v>
      </c>
      <c r="P2494" s="2" t="s">
        <v>170</v>
      </c>
      <c r="Q2494" s="2" t="s">
        <v>171</v>
      </c>
      <c r="R2494" s="2" t="s">
        <v>30</v>
      </c>
      <c r="S2494">
        <v>9</v>
      </c>
      <c r="T2494" s="1">
        <v>43763</v>
      </c>
      <c r="U2494" s="1">
        <v>43773</v>
      </c>
      <c r="V2494" s="2"/>
      <c r="W2494" s="1">
        <f>fNotasFiscais[[#This Row],[Data da Coleta]]+fNotasFiscais[[#This Row],[Prazo Contratado]]</f>
        <v>43772</v>
      </c>
      <c r="X2494" s="3">
        <f>IF(fNotasFiscais[[#This Row],[Data da Entrega]]&gt;fNotasFiscais[[#This Row],[Data Contratada]],0,1)</f>
        <v>0</v>
      </c>
      <c r="Y2494" s="3">
        <f>IF(fNotasFiscais[[#This Row],[Ocorrência]]="",1,0)</f>
        <v>1</v>
      </c>
      <c r="Z2494" s="2">
        <f>fNotasFiscais[[#This Row],[On Time]]*fNotasFiscais[[#This Row],[In Full]]</f>
        <v>0</v>
      </c>
      <c r="AA2494">
        <f>IF(fNotasFiscais[[#This Row],[Nota Fiscal]]&lt;&gt;"",1,0)</f>
        <v>1</v>
      </c>
    </row>
    <row r="2495" spans="1:27" x14ac:dyDescent="0.25">
      <c r="A2495" s="1">
        <v>43762</v>
      </c>
      <c r="B2495">
        <v>12904</v>
      </c>
      <c r="C2495" s="2" t="s">
        <v>52</v>
      </c>
      <c r="D2495" s="2" t="s">
        <v>53</v>
      </c>
      <c r="E2495" s="2" t="s">
        <v>33</v>
      </c>
      <c r="F2495">
        <v>4119</v>
      </c>
      <c r="G2495" s="2" t="s">
        <v>202</v>
      </c>
      <c r="H2495" s="2" t="s">
        <v>167</v>
      </c>
      <c r="I2495" s="2" t="s">
        <v>168</v>
      </c>
      <c r="J2495" s="2" t="s">
        <v>169</v>
      </c>
      <c r="K2495" s="2" t="s">
        <v>168</v>
      </c>
      <c r="L2495">
        <v>508.8</v>
      </c>
      <c r="M2495">
        <v>6</v>
      </c>
      <c r="N2495">
        <v>36.069000000000003</v>
      </c>
      <c r="O2495">
        <v>6900304</v>
      </c>
      <c r="P2495" s="2" t="s">
        <v>170</v>
      </c>
      <c r="Q2495" s="2" t="s">
        <v>171</v>
      </c>
      <c r="R2495" s="2" t="s">
        <v>30</v>
      </c>
      <c r="S2495">
        <v>8</v>
      </c>
      <c r="T2495" s="1">
        <v>43763</v>
      </c>
      <c r="U2495" s="1">
        <v>43771</v>
      </c>
      <c r="V2495" s="2"/>
      <c r="W2495" s="1">
        <f>fNotasFiscais[[#This Row],[Data da Coleta]]+fNotasFiscais[[#This Row],[Prazo Contratado]]</f>
        <v>43771</v>
      </c>
      <c r="X2495" s="3">
        <f>IF(fNotasFiscais[[#This Row],[Data da Entrega]]&gt;fNotasFiscais[[#This Row],[Data Contratada]],0,1)</f>
        <v>1</v>
      </c>
      <c r="Y2495" s="3">
        <f>IF(fNotasFiscais[[#This Row],[Ocorrência]]="",1,0)</f>
        <v>1</v>
      </c>
      <c r="Z2495" s="2">
        <f>fNotasFiscais[[#This Row],[On Time]]*fNotasFiscais[[#This Row],[In Full]]</f>
        <v>1</v>
      </c>
      <c r="AA2495">
        <f>IF(fNotasFiscais[[#This Row],[Nota Fiscal]]&lt;&gt;"",1,0)</f>
        <v>1</v>
      </c>
    </row>
    <row r="2496" spans="1:27" x14ac:dyDescent="0.25">
      <c r="A2496" s="1">
        <v>43762</v>
      </c>
      <c r="B2496">
        <v>12905</v>
      </c>
      <c r="C2496" s="2" t="s">
        <v>52</v>
      </c>
      <c r="D2496" s="2" t="s">
        <v>53</v>
      </c>
      <c r="E2496" s="2" t="s">
        <v>33</v>
      </c>
      <c r="F2496">
        <v>4119</v>
      </c>
      <c r="G2496" s="2" t="s">
        <v>202</v>
      </c>
      <c r="H2496" s="2" t="s">
        <v>167</v>
      </c>
      <c r="I2496" s="2" t="s">
        <v>168</v>
      </c>
      <c r="J2496" s="2" t="s">
        <v>169</v>
      </c>
      <c r="K2496" s="2" t="s">
        <v>168</v>
      </c>
      <c r="L2496">
        <v>6166.58</v>
      </c>
      <c r="M2496">
        <v>1</v>
      </c>
      <c r="N2496">
        <v>1.1200000000000001</v>
      </c>
      <c r="O2496">
        <v>6900304</v>
      </c>
      <c r="P2496" s="2" t="s">
        <v>170</v>
      </c>
      <c r="Q2496" s="2" t="s">
        <v>171</v>
      </c>
      <c r="R2496" s="2" t="s">
        <v>30</v>
      </c>
      <c r="S2496">
        <v>4</v>
      </c>
      <c r="T2496" s="1">
        <v>43763</v>
      </c>
      <c r="U2496" s="1">
        <v>43771</v>
      </c>
      <c r="V2496" s="2"/>
      <c r="W2496" s="1">
        <f>fNotasFiscais[[#This Row],[Data da Coleta]]+fNotasFiscais[[#This Row],[Prazo Contratado]]</f>
        <v>43767</v>
      </c>
      <c r="X2496" s="3">
        <f>IF(fNotasFiscais[[#This Row],[Data da Entrega]]&gt;fNotasFiscais[[#This Row],[Data Contratada]],0,1)</f>
        <v>0</v>
      </c>
      <c r="Y2496" s="3">
        <f>IF(fNotasFiscais[[#This Row],[Ocorrência]]="",1,0)</f>
        <v>1</v>
      </c>
      <c r="Z2496" s="2">
        <f>fNotasFiscais[[#This Row],[On Time]]*fNotasFiscais[[#This Row],[In Full]]</f>
        <v>0</v>
      </c>
      <c r="AA2496">
        <f>IF(fNotasFiscais[[#This Row],[Nota Fiscal]]&lt;&gt;"",1,0)</f>
        <v>1</v>
      </c>
    </row>
    <row r="2497" spans="1:27" x14ac:dyDescent="0.25">
      <c r="A2497" s="1">
        <v>43763</v>
      </c>
      <c r="B2497">
        <v>12906</v>
      </c>
      <c r="C2497" s="2" t="s">
        <v>52</v>
      </c>
      <c r="D2497" s="2" t="s">
        <v>53</v>
      </c>
      <c r="E2497" s="2" t="s">
        <v>33</v>
      </c>
      <c r="F2497">
        <v>4168</v>
      </c>
      <c r="G2497" s="2" t="s">
        <v>251</v>
      </c>
      <c r="H2497" s="2" t="s">
        <v>183</v>
      </c>
      <c r="I2497" s="2" t="s">
        <v>33</v>
      </c>
      <c r="J2497" s="2" t="s">
        <v>60</v>
      </c>
      <c r="K2497" s="2" t="s">
        <v>33</v>
      </c>
      <c r="L2497">
        <v>513.91</v>
      </c>
      <c r="M2497">
        <v>2</v>
      </c>
      <c r="N2497">
        <v>1.4359999999999999</v>
      </c>
      <c r="O2497">
        <v>6400835</v>
      </c>
      <c r="P2497" s="2" t="s">
        <v>130</v>
      </c>
      <c r="Q2497" s="2" t="s">
        <v>131</v>
      </c>
      <c r="R2497" s="2" t="s">
        <v>30</v>
      </c>
      <c r="S2497">
        <v>3</v>
      </c>
      <c r="T2497" s="1">
        <v>43764</v>
      </c>
      <c r="U2497" s="1">
        <v>43768</v>
      </c>
      <c r="V2497" s="2"/>
      <c r="W2497" s="1">
        <f>fNotasFiscais[[#This Row],[Data da Coleta]]+fNotasFiscais[[#This Row],[Prazo Contratado]]</f>
        <v>43767</v>
      </c>
      <c r="X2497" s="3">
        <f>IF(fNotasFiscais[[#This Row],[Data da Entrega]]&gt;fNotasFiscais[[#This Row],[Data Contratada]],0,1)</f>
        <v>0</v>
      </c>
      <c r="Y2497" s="3">
        <f>IF(fNotasFiscais[[#This Row],[Ocorrência]]="",1,0)</f>
        <v>1</v>
      </c>
      <c r="Z2497" s="2">
        <f>fNotasFiscais[[#This Row],[On Time]]*fNotasFiscais[[#This Row],[In Full]]</f>
        <v>0</v>
      </c>
      <c r="AA2497">
        <f>IF(fNotasFiscais[[#This Row],[Nota Fiscal]]&lt;&gt;"",1,0)</f>
        <v>1</v>
      </c>
    </row>
    <row r="2498" spans="1:27" x14ac:dyDescent="0.25">
      <c r="A2498" s="1">
        <v>43763</v>
      </c>
      <c r="B2498">
        <v>12907</v>
      </c>
      <c r="C2498" s="2" t="s">
        <v>54</v>
      </c>
      <c r="D2498" s="2" t="s">
        <v>55</v>
      </c>
      <c r="E2498" s="2" t="s">
        <v>56</v>
      </c>
      <c r="F2498">
        <v>4157</v>
      </c>
      <c r="G2498" s="2" t="s">
        <v>240</v>
      </c>
      <c r="H2498" s="2" t="s">
        <v>35</v>
      </c>
      <c r="I2498" s="2" t="s">
        <v>36</v>
      </c>
      <c r="J2498" s="2" t="s">
        <v>60</v>
      </c>
      <c r="K2498" s="2" t="s">
        <v>36</v>
      </c>
      <c r="L2498">
        <v>71.849999999999994</v>
      </c>
      <c r="M2498">
        <v>1</v>
      </c>
      <c r="N2498">
        <v>0.11</v>
      </c>
      <c r="O2498">
        <v>6600879</v>
      </c>
      <c r="P2498" s="2" t="s">
        <v>61</v>
      </c>
      <c r="Q2498" s="2" t="s">
        <v>35</v>
      </c>
      <c r="R2498" s="2" t="s">
        <v>30</v>
      </c>
      <c r="S2498">
        <v>7</v>
      </c>
      <c r="T2498" s="1">
        <v>43764</v>
      </c>
      <c r="U2498" s="1">
        <v>43766</v>
      </c>
      <c r="V2498" s="2"/>
      <c r="W2498" s="1">
        <f>fNotasFiscais[[#This Row],[Data da Coleta]]+fNotasFiscais[[#This Row],[Prazo Contratado]]</f>
        <v>43771</v>
      </c>
      <c r="X2498" s="3">
        <f>IF(fNotasFiscais[[#This Row],[Data da Entrega]]&gt;fNotasFiscais[[#This Row],[Data Contratada]],0,1)</f>
        <v>1</v>
      </c>
      <c r="Y2498" s="3">
        <f>IF(fNotasFiscais[[#This Row],[Ocorrência]]="",1,0)</f>
        <v>1</v>
      </c>
      <c r="Z2498" s="2">
        <f>fNotasFiscais[[#This Row],[On Time]]*fNotasFiscais[[#This Row],[In Full]]</f>
        <v>1</v>
      </c>
      <c r="AA2498">
        <f>IF(fNotasFiscais[[#This Row],[Nota Fiscal]]&lt;&gt;"",1,0)</f>
        <v>1</v>
      </c>
    </row>
    <row r="2499" spans="1:27" x14ac:dyDescent="0.25">
      <c r="A2499" s="1">
        <v>43763</v>
      </c>
      <c r="B2499">
        <v>12908</v>
      </c>
      <c r="C2499" s="2" t="s">
        <v>40</v>
      </c>
      <c r="D2499" s="2" t="s">
        <v>41</v>
      </c>
      <c r="E2499" s="2" t="s">
        <v>33</v>
      </c>
      <c r="F2499">
        <v>4230</v>
      </c>
      <c r="G2499" s="2" t="s">
        <v>313</v>
      </c>
      <c r="H2499" s="2" t="s">
        <v>35</v>
      </c>
      <c r="I2499" s="2" t="s">
        <v>36</v>
      </c>
      <c r="J2499" s="2" t="s">
        <v>60</v>
      </c>
      <c r="K2499" s="2" t="s">
        <v>36</v>
      </c>
      <c r="L2499">
        <v>137.30000000000001</v>
      </c>
      <c r="M2499">
        <v>1</v>
      </c>
      <c r="N2499">
        <v>8.6059999999999999</v>
      </c>
      <c r="O2499">
        <v>6600879</v>
      </c>
      <c r="P2499" s="2" t="s">
        <v>61</v>
      </c>
      <c r="Q2499" s="2" t="s">
        <v>35</v>
      </c>
      <c r="R2499" s="2" t="s">
        <v>30</v>
      </c>
      <c r="S2499">
        <v>2</v>
      </c>
      <c r="T2499" s="1">
        <v>43764</v>
      </c>
      <c r="U2499" s="1">
        <v>43767</v>
      </c>
      <c r="V2499" s="2"/>
      <c r="W2499" s="1">
        <f>fNotasFiscais[[#This Row],[Data da Coleta]]+fNotasFiscais[[#This Row],[Prazo Contratado]]</f>
        <v>43766</v>
      </c>
      <c r="X2499" s="3">
        <f>IF(fNotasFiscais[[#This Row],[Data da Entrega]]&gt;fNotasFiscais[[#This Row],[Data Contratada]],0,1)</f>
        <v>0</v>
      </c>
      <c r="Y2499" s="3">
        <f>IF(fNotasFiscais[[#This Row],[Ocorrência]]="",1,0)</f>
        <v>1</v>
      </c>
      <c r="Z2499" s="2">
        <f>fNotasFiscais[[#This Row],[On Time]]*fNotasFiscais[[#This Row],[In Full]]</f>
        <v>0</v>
      </c>
      <c r="AA2499">
        <f>IF(fNotasFiscais[[#This Row],[Nota Fiscal]]&lt;&gt;"",1,0)</f>
        <v>1</v>
      </c>
    </row>
    <row r="2500" spans="1:27" x14ac:dyDescent="0.25">
      <c r="A2500" s="1">
        <v>43766</v>
      </c>
      <c r="B2500">
        <v>12909</v>
      </c>
      <c r="C2500" s="2" t="s">
        <v>40</v>
      </c>
      <c r="D2500" s="2" t="s">
        <v>41</v>
      </c>
      <c r="E2500" s="2" t="s">
        <v>33</v>
      </c>
      <c r="F2500">
        <v>4190</v>
      </c>
      <c r="G2500" s="2" t="s">
        <v>273</v>
      </c>
      <c r="H2500" s="2" t="s">
        <v>35</v>
      </c>
      <c r="I2500" s="2" t="s">
        <v>36</v>
      </c>
      <c r="J2500" s="2" t="s">
        <v>60</v>
      </c>
      <c r="K2500" s="2" t="s">
        <v>36</v>
      </c>
      <c r="L2500">
        <v>1314.6</v>
      </c>
      <c r="M2500">
        <v>2</v>
      </c>
      <c r="N2500">
        <v>1.6020000000000001</v>
      </c>
      <c r="O2500">
        <v>6600879</v>
      </c>
      <c r="P2500" s="2" t="s">
        <v>61</v>
      </c>
      <c r="Q2500" s="2" t="s">
        <v>35</v>
      </c>
      <c r="R2500" s="2" t="s">
        <v>30</v>
      </c>
      <c r="S2500">
        <v>12</v>
      </c>
      <c r="T2500" s="1">
        <v>43767</v>
      </c>
      <c r="U2500" s="1">
        <v>43775</v>
      </c>
      <c r="V2500" s="2"/>
      <c r="W2500" s="1">
        <f>fNotasFiscais[[#This Row],[Data da Coleta]]+fNotasFiscais[[#This Row],[Prazo Contratado]]</f>
        <v>43779</v>
      </c>
      <c r="X2500" s="3">
        <f>IF(fNotasFiscais[[#This Row],[Data da Entrega]]&gt;fNotasFiscais[[#This Row],[Data Contratada]],0,1)</f>
        <v>1</v>
      </c>
      <c r="Y2500" s="3">
        <f>IF(fNotasFiscais[[#This Row],[Ocorrência]]="",1,0)</f>
        <v>1</v>
      </c>
      <c r="Z2500" s="2">
        <f>fNotasFiscais[[#This Row],[On Time]]*fNotasFiscais[[#This Row],[In Full]]</f>
        <v>1</v>
      </c>
      <c r="AA2500">
        <f>IF(fNotasFiscais[[#This Row],[Nota Fiscal]]&lt;&gt;"",1,0)</f>
        <v>1</v>
      </c>
    </row>
    <row r="2501" spans="1:27" x14ac:dyDescent="0.25">
      <c r="A2501" s="1">
        <v>43766</v>
      </c>
      <c r="B2501">
        <v>12910</v>
      </c>
      <c r="C2501" s="2" t="s">
        <v>52</v>
      </c>
      <c r="D2501" s="2" t="s">
        <v>53</v>
      </c>
      <c r="E2501" s="2" t="s">
        <v>33</v>
      </c>
      <c r="F2501">
        <v>4154</v>
      </c>
      <c r="G2501" s="2" t="s">
        <v>237</v>
      </c>
      <c r="H2501" s="2" t="s">
        <v>167</v>
      </c>
      <c r="I2501" s="2" t="s">
        <v>168</v>
      </c>
      <c r="J2501" s="2" t="s">
        <v>169</v>
      </c>
      <c r="K2501" s="2" t="s">
        <v>168</v>
      </c>
      <c r="L2501">
        <v>272.04000000000002</v>
      </c>
      <c r="M2501">
        <v>3</v>
      </c>
      <c r="N2501">
        <v>0.66</v>
      </c>
      <c r="O2501">
        <v>6900304</v>
      </c>
      <c r="P2501" s="2" t="s">
        <v>170</v>
      </c>
      <c r="Q2501" s="2" t="s">
        <v>171</v>
      </c>
      <c r="R2501" s="2" t="s">
        <v>30</v>
      </c>
      <c r="S2501">
        <v>7</v>
      </c>
      <c r="T2501" s="1">
        <v>43767</v>
      </c>
      <c r="U2501" s="1">
        <v>43776</v>
      </c>
      <c r="V2501" s="2" t="s">
        <v>57</v>
      </c>
      <c r="W2501" s="1">
        <f>fNotasFiscais[[#This Row],[Data da Coleta]]+fNotasFiscais[[#This Row],[Prazo Contratado]]</f>
        <v>43774</v>
      </c>
      <c r="X2501" s="3">
        <f>IF(fNotasFiscais[[#This Row],[Data da Entrega]]&gt;fNotasFiscais[[#This Row],[Data Contratada]],0,1)</f>
        <v>0</v>
      </c>
      <c r="Y2501" s="3">
        <f>IF(fNotasFiscais[[#This Row],[Ocorrência]]="",1,0)</f>
        <v>0</v>
      </c>
      <c r="Z2501" s="2">
        <f>fNotasFiscais[[#This Row],[On Time]]*fNotasFiscais[[#This Row],[In Full]]</f>
        <v>0</v>
      </c>
      <c r="AA2501">
        <f>IF(fNotasFiscais[[#This Row],[Nota Fiscal]]&lt;&gt;"",1,0)</f>
        <v>1</v>
      </c>
    </row>
    <row r="2502" spans="1:27" x14ac:dyDescent="0.25">
      <c r="A2502" s="1">
        <v>43766</v>
      </c>
      <c r="B2502">
        <v>12911</v>
      </c>
      <c r="C2502" s="2" t="s">
        <v>22</v>
      </c>
      <c r="D2502" s="2" t="s">
        <v>23</v>
      </c>
      <c r="E2502" s="2" t="s">
        <v>24</v>
      </c>
      <c r="F2502">
        <v>4166</v>
      </c>
      <c r="G2502" s="2" t="s">
        <v>249</v>
      </c>
      <c r="H2502" s="2" t="s">
        <v>173</v>
      </c>
      <c r="I2502" s="2" t="s">
        <v>174</v>
      </c>
      <c r="J2502" s="2" t="s">
        <v>175</v>
      </c>
      <c r="K2502" s="2" t="s">
        <v>174</v>
      </c>
      <c r="L2502">
        <v>613.05999999999995</v>
      </c>
      <c r="M2502">
        <v>5</v>
      </c>
      <c r="N2502">
        <v>3.597</v>
      </c>
      <c r="O2502">
        <v>6700091</v>
      </c>
      <c r="P2502" s="2" t="s">
        <v>176</v>
      </c>
      <c r="Q2502" s="2" t="s">
        <v>173</v>
      </c>
      <c r="R2502" s="2" t="s">
        <v>30</v>
      </c>
      <c r="S2502">
        <v>10</v>
      </c>
      <c r="T2502" s="1">
        <v>43767</v>
      </c>
      <c r="U2502" s="1">
        <v>43777</v>
      </c>
      <c r="V2502" s="2"/>
      <c r="W2502" s="1">
        <f>fNotasFiscais[[#This Row],[Data da Coleta]]+fNotasFiscais[[#This Row],[Prazo Contratado]]</f>
        <v>43777</v>
      </c>
      <c r="X2502" s="3">
        <f>IF(fNotasFiscais[[#This Row],[Data da Entrega]]&gt;fNotasFiscais[[#This Row],[Data Contratada]],0,1)</f>
        <v>1</v>
      </c>
      <c r="Y2502" s="3">
        <f>IF(fNotasFiscais[[#This Row],[Ocorrência]]="",1,0)</f>
        <v>1</v>
      </c>
      <c r="Z2502" s="2">
        <f>fNotasFiscais[[#This Row],[On Time]]*fNotasFiscais[[#This Row],[In Full]]</f>
        <v>1</v>
      </c>
      <c r="AA2502">
        <f>IF(fNotasFiscais[[#This Row],[Nota Fiscal]]&lt;&gt;"",1,0)</f>
        <v>1</v>
      </c>
    </row>
    <row r="2503" spans="1:27" x14ac:dyDescent="0.25">
      <c r="A2503" s="1">
        <v>43766</v>
      </c>
      <c r="B2503">
        <v>12912</v>
      </c>
      <c r="C2503" s="2" t="s">
        <v>40</v>
      </c>
      <c r="D2503" s="2" t="s">
        <v>41</v>
      </c>
      <c r="E2503" s="2" t="s">
        <v>33</v>
      </c>
      <c r="F2503">
        <v>4068</v>
      </c>
      <c r="G2503" s="2" t="s">
        <v>63</v>
      </c>
      <c r="H2503" s="2" t="s">
        <v>64</v>
      </c>
      <c r="I2503" s="2" t="s">
        <v>65</v>
      </c>
      <c r="J2503" s="2" t="s">
        <v>49</v>
      </c>
      <c r="K2503" s="2" t="s">
        <v>65</v>
      </c>
      <c r="L2503">
        <v>1762.17</v>
      </c>
      <c r="M2503">
        <v>5</v>
      </c>
      <c r="N2503">
        <v>6.7709999999999999</v>
      </c>
      <c r="O2503">
        <v>6100231</v>
      </c>
      <c r="P2503" s="2" t="s">
        <v>50</v>
      </c>
      <c r="Q2503" s="2" t="s">
        <v>51</v>
      </c>
      <c r="R2503" s="2" t="s">
        <v>30</v>
      </c>
      <c r="S2503">
        <v>2</v>
      </c>
      <c r="T2503" s="1">
        <v>43767</v>
      </c>
      <c r="U2503" s="1">
        <v>43776</v>
      </c>
      <c r="V2503" s="2"/>
      <c r="W2503" s="1">
        <f>fNotasFiscais[[#This Row],[Data da Coleta]]+fNotasFiscais[[#This Row],[Prazo Contratado]]</f>
        <v>43769</v>
      </c>
      <c r="X2503" s="3">
        <f>IF(fNotasFiscais[[#This Row],[Data da Entrega]]&gt;fNotasFiscais[[#This Row],[Data Contratada]],0,1)</f>
        <v>0</v>
      </c>
      <c r="Y2503" s="3">
        <f>IF(fNotasFiscais[[#This Row],[Ocorrência]]="",1,0)</f>
        <v>1</v>
      </c>
      <c r="Z2503" s="2">
        <f>fNotasFiscais[[#This Row],[On Time]]*fNotasFiscais[[#This Row],[In Full]]</f>
        <v>0</v>
      </c>
      <c r="AA2503">
        <f>IF(fNotasFiscais[[#This Row],[Nota Fiscal]]&lt;&gt;"",1,0)</f>
        <v>1</v>
      </c>
    </row>
    <row r="2504" spans="1:27" x14ac:dyDescent="0.25">
      <c r="A2504" s="1">
        <v>43766</v>
      </c>
      <c r="B2504">
        <v>12913</v>
      </c>
      <c r="C2504" s="2" t="s">
        <v>31</v>
      </c>
      <c r="D2504" s="2" t="s">
        <v>32</v>
      </c>
      <c r="E2504" s="2" t="s">
        <v>33</v>
      </c>
      <c r="F2504">
        <v>4013</v>
      </c>
      <c r="G2504" s="2" t="s">
        <v>37</v>
      </c>
      <c r="H2504" s="2" t="s">
        <v>38</v>
      </c>
      <c r="I2504" s="2" t="s">
        <v>39</v>
      </c>
      <c r="J2504" s="2" t="s">
        <v>28</v>
      </c>
      <c r="K2504" s="2" t="s">
        <v>39</v>
      </c>
      <c r="L2504">
        <v>1437.36</v>
      </c>
      <c r="M2504">
        <v>1</v>
      </c>
      <c r="N2504">
        <v>1.1200000000000001</v>
      </c>
      <c r="O2504">
        <v>6500948</v>
      </c>
      <c r="P2504" s="2" t="s">
        <v>29</v>
      </c>
      <c r="Q2504" s="2" t="s">
        <v>23</v>
      </c>
      <c r="R2504" s="2" t="s">
        <v>30</v>
      </c>
      <c r="S2504">
        <v>1</v>
      </c>
      <c r="T2504" s="1">
        <v>43767</v>
      </c>
      <c r="U2504" s="1">
        <v>43774</v>
      </c>
      <c r="V2504" s="2" t="s">
        <v>57</v>
      </c>
      <c r="W2504" s="1">
        <f>fNotasFiscais[[#This Row],[Data da Coleta]]+fNotasFiscais[[#This Row],[Prazo Contratado]]</f>
        <v>43768</v>
      </c>
      <c r="X2504" s="3">
        <f>IF(fNotasFiscais[[#This Row],[Data da Entrega]]&gt;fNotasFiscais[[#This Row],[Data Contratada]],0,1)</f>
        <v>0</v>
      </c>
      <c r="Y2504" s="3">
        <f>IF(fNotasFiscais[[#This Row],[Ocorrência]]="",1,0)</f>
        <v>0</v>
      </c>
      <c r="Z2504" s="2">
        <f>fNotasFiscais[[#This Row],[On Time]]*fNotasFiscais[[#This Row],[In Full]]</f>
        <v>0</v>
      </c>
      <c r="AA2504">
        <f>IF(fNotasFiscais[[#This Row],[Nota Fiscal]]&lt;&gt;"",1,0)</f>
        <v>1</v>
      </c>
    </row>
    <row r="2505" spans="1:27" x14ac:dyDescent="0.25">
      <c r="A2505" s="1">
        <v>43766</v>
      </c>
      <c r="B2505">
        <v>12914</v>
      </c>
      <c r="C2505" s="2" t="s">
        <v>31</v>
      </c>
      <c r="D2505" s="2" t="s">
        <v>32</v>
      </c>
      <c r="E2505" s="2" t="s">
        <v>33</v>
      </c>
      <c r="F2505">
        <v>4032</v>
      </c>
      <c r="G2505" s="2" t="s">
        <v>108</v>
      </c>
      <c r="H2505" s="2" t="s">
        <v>51</v>
      </c>
      <c r="I2505" s="2" t="s">
        <v>73</v>
      </c>
      <c r="J2505" s="2" t="s">
        <v>49</v>
      </c>
      <c r="K2505" s="2" t="s">
        <v>73</v>
      </c>
      <c r="L2505">
        <v>744.65</v>
      </c>
      <c r="M2505">
        <v>2</v>
      </c>
      <c r="N2505">
        <v>5.5549999999999997</v>
      </c>
      <c r="O2505">
        <v>6100231</v>
      </c>
      <c r="P2505" s="2" t="s">
        <v>50</v>
      </c>
      <c r="Q2505" s="2" t="s">
        <v>51</v>
      </c>
      <c r="R2505" s="2" t="s">
        <v>30</v>
      </c>
      <c r="S2505">
        <v>11</v>
      </c>
      <c r="T2505" s="1">
        <v>43767</v>
      </c>
      <c r="U2505" s="1">
        <v>43768</v>
      </c>
      <c r="V2505" s="2"/>
      <c r="W2505" s="1">
        <f>fNotasFiscais[[#This Row],[Data da Coleta]]+fNotasFiscais[[#This Row],[Prazo Contratado]]</f>
        <v>43778</v>
      </c>
      <c r="X2505" s="3">
        <f>IF(fNotasFiscais[[#This Row],[Data da Entrega]]&gt;fNotasFiscais[[#This Row],[Data Contratada]],0,1)</f>
        <v>1</v>
      </c>
      <c r="Y2505" s="3">
        <f>IF(fNotasFiscais[[#This Row],[Ocorrência]]="",1,0)</f>
        <v>1</v>
      </c>
      <c r="Z2505" s="2">
        <f>fNotasFiscais[[#This Row],[On Time]]*fNotasFiscais[[#This Row],[In Full]]</f>
        <v>1</v>
      </c>
      <c r="AA2505">
        <f>IF(fNotasFiscais[[#This Row],[Nota Fiscal]]&lt;&gt;"",1,0)</f>
        <v>1</v>
      </c>
    </row>
    <row r="2506" spans="1:27" x14ac:dyDescent="0.25">
      <c r="A2506" s="1">
        <v>43767</v>
      </c>
      <c r="B2506">
        <v>12915</v>
      </c>
      <c r="C2506" s="2" t="s">
        <v>22</v>
      </c>
      <c r="D2506" s="2" t="s">
        <v>23</v>
      </c>
      <c r="E2506" s="2" t="s">
        <v>24</v>
      </c>
      <c r="F2506">
        <v>4172</v>
      </c>
      <c r="G2506" s="2" t="s">
        <v>255</v>
      </c>
      <c r="H2506" s="2" t="s">
        <v>183</v>
      </c>
      <c r="I2506" s="2" t="s">
        <v>33</v>
      </c>
      <c r="J2506" s="2" t="s">
        <v>60</v>
      </c>
      <c r="K2506" s="2" t="s">
        <v>33</v>
      </c>
      <c r="L2506">
        <v>1004.13</v>
      </c>
      <c r="M2506">
        <v>1</v>
      </c>
      <c r="N2506">
        <v>1.32</v>
      </c>
      <c r="O2506">
        <v>6400835</v>
      </c>
      <c r="P2506" s="2" t="s">
        <v>130</v>
      </c>
      <c r="Q2506" s="2" t="s">
        <v>131</v>
      </c>
      <c r="R2506" s="2" t="s">
        <v>30</v>
      </c>
      <c r="S2506">
        <v>9</v>
      </c>
      <c r="T2506" s="1">
        <v>43768</v>
      </c>
      <c r="U2506" s="1">
        <v>43769</v>
      </c>
      <c r="V2506" s="2"/>
      <c r="W2506" s="1">
        <f>fNotasFiscais[[#This Row],[Data da Coleta]]+fNotasFiscais[[#This Row],[Prazo Contratado]]</f>
        <v>43777</v>
      </c>
      <c r="X2506" s="3">
        <f>IF(fNotasFiscais[[#This Row],[Data da Entrega]]&gt;fNotasFiscais[[#This Row],[Data Contratada]],0,1)</f>
        <v>1</v>
      </c>
      <c r="Y2506" s="3">
        <f>IF(fNotasFiscais[[#This Row],[Ocorrência]]="",1,0)</f>
        <v>1</v>
      </c>
      <c r="Z2506" s="2">
        <f>fNotasFiscais[[#This Row],[On Time]]*fNotasFiscais[[#This Row],[In Full]]</f>
        <v>1</v>
      </c>
      <c r="AA2506">
        <f>IF(fNotasFiscais[[#This Row],[Nota Fiscal]]&lt;&gt;"",1,0)</f>
        <v>1</v>
      </c>
    </row>
    <row r="2507" spans="1:27" x14ac:dyDescent="0.25">
      <c r="A2507" s="1">
        <v>43767</v>
      </c>
      <c r="B2507">
        <v>12916</v>
      </c>
      <c r="C2507" s="2" t="s">
        <v>34</v>
      </c>
      <c r="D2507" s="2" t="s">
        <v>35</v>
      </c>
      <c r="E2507" s="2" t="s">
        <v>36</v>
      </c>
      <c r="F2507">
        <v>4168</v>
      </c>
      <c r="G2507" s="2" t="s">
        <v>251</v>
      </c>
      <c r="H2507" s="2" t="s">
        <v>183</v>
      </c>
      <c r="I2507" s="2" t="s">
        <v>33</v>
      </c>
      <c r="J2507" s="2" t="s">
        <v>60</v>
      </c>
      <c r="K2507" s="2" t="s">
        <v>33</v>
      </c>
      <c r="L2507">
        <v>347.66</v>
      </c>
      <c r="M2507">
        <v>1</v>
      </c>
      <c r="N2507">
        <v>1.177</v>
      </c>
      <c r="O2507">
        <v>6400835</v>
      </c>
      <c r="P2507" s="2" t="s">
        <v>130</v>
      </c>
      <c r="Q2507" s="2" t="s">
        <v>131</v>
      </c>
      <c r="R2507" s="2" t="s">
        <v>30</v>
      </c>
      <c r="S2507">
        <v>8</v>
      </c>
      <c r="T2507" s="1">
        <v>43768</v>
      </c>
      <c r="U2507" s="1">
        <v>43774</v>
      </c>
      <c r="V2507" s="2"/>
      <c r="W2507" s="1">
        <f>fNotasFiscais[[#This Row],[Data da Coleta]]+fNotasFiscais[[#This Row],[Prazo Contratado]]</f>
        <v>43776</v>
      </c>
      <c r="X2507" s="3">
        <f>IF(fNotasFiscais[[#This Row],[Data da Entrega]]&gt;fNotasFiscais[[#This Row],[Data Contratada]],0,1)</f>
        <v>1</v>
      </c>
      <c r="Y2507" s="3">
        <f>IF(fNotasFiscais[[#This Row],[Ocorrência]]="",1,0)</f>
        <v>1</v>
      </c>
      <c r="Z2507" s="2">
        <f>fNotasFiscais[[#This Row],[On Time]]*fNotasFiscais[[#This Row],[In Full]]</f>
        <v>1</v>
      </c>
      <c r="AA2507">
        <f>IF(fNotasFiscais[[#This Row],[Nota Fiscal]]&lt;&gt;"",1,0)</f>
        <v>1</v>
      </c>
    </row>
    <row r="2508" spans="1:27" x14ac:dyDescent="0.25">
      <c r="A2508" s="1">
        <v>43767</v>
      </c>
      <c r="B2508">
        <v>12917</v>
      </c>
      <c r="C2508" s="2" t="s">
        <v>40</v>
      </c>
      <c r="D2508" s="2" t="s">
        <v>41</v>
      </c>
      <c r="E2508" s="2" t="s">
        <v>33</v>
      </c>
      <c r="F2508">
        <v>4023</v>
      </c>
      <c r="G2508" s="2" t="s">
        <v>88</v>
      </c>
      <c r="H2508" s="2" t="s">
        <v>78</v>
      </c>
      <c r="I2508" s="2" t="s">
        <v>39</v>
      </c>
      <c r="J2508" s="2" t="s">
        <v>28</v>
      </c>
      <c r="K2508" s="2" t="s">
        <v>39</v>
      </c>
      <c r="L2508">
        <v>4311.2299999999996</v>
      </c>
      <c r="M2508">
        <v>5</v>
      </c>
      <c r="N2508">
        <v>49.5</v>
      </c>
      <c r="O2508">
        <v>6500948</v>
      </c>
      <c r="P2508" s="2" t="s">
        <v>29</v>
      </c>
      <c r="Q2508" s="2" t="s">
        <v>23</v>
      </c>
      <c r="R2508" s="2" t="s">
        <v>30</v>
      </c>
      <c r="S2508">
        <v>10</v>
      </c>
      <c r="T2508" s="1">
        <v>43768</v>
      </c>
      <c r="U2508" s="1">
        <v>43777</v>
      </c>
      <c r="V2508" s="2" t="s">
        <v>42</v>
      </c>
      <c r="W2508" s="1">
        <f>fNotasFiscais[[#This Row],[Data da Coleta]]+fNotasFiscais[[#This Row],[Prazo Contratado]]</f>
        <v>43778</v>
      </c>
      <c r="X2508" s="3">
        <f>IF(fNotasFiscais[[#This Row],[Data da Entrega]]&gt;fNotasFiscais[[#This Row],[Data Contratada]],0,1)</f>
        <v>1</v>
      </c>
      <c r="Y2508" s="3">
        <f>IF(fNotasFiscais[[#This Row],[Ocorrência]]="",1,0)</f>
        <v>0</v>
      </c>
      <c r="Z2508" s="2">
        <f>fNotasFiscais[[#This Row],[On Time]]*fNotasFiscais[[#This Row],[In Full]]</f>
        <v>0</v>
      </c>
      <c r="AA2508">
        <f>IF(fNotasFiscais[[#This Row],[Nota Fiscal]]&lt;&gt;"",1,0)</f>
        <v>1</v>
      </c>
    </row>
    <row r="2509" spans="1:27" x14ac:dyDescent="0.25">
      <c r="A2509" s="1">
        <v>43767</v>
      </c>
      <c r="B2509">
        <v>12918</v>
      </c>
      <c r="C2509" s="2" t="s">
        <v>34</v>
      </c>
      <c r="D2509" s="2" t="s">
        <v>35</v>
      </c>
      <c r="E2509" s="2" t="s">
        <v>36</v>
      </c>
      <c r="F2509">
        <v>4045</v>
      </c>
      <c r="G2509" s="2" t="s">
        <v>124</v>
      </c>
      <c r="H2509" s="2" t="s">
        <v>35</v>
      </c>
      <c r="I2509" s="2" t="s">
        <v>36</v>
      </c>
      <c r="J2509" s="2" t="s">
        <v>60</v>
      </c>
      <c r="K2509" s="2" t="s">
        <v>36</v>
      </c>
      <c r="L2509">
        <v>416.34</v>
      </c>
      <c r="M2509">
        <v>1</v>
      </c>
      <c r="N2509">
        <v>1.177</v>
      </c>
      <c r="O2509">
        <v>6600879</v>
      </c>
      <c r="P2509" s="2" t="s">
        <v>61</v>
      </c>
      <c r="Q2509" s="2" t="s">
        <v>35</v>
      </c>
      <c r="R2509" s="2" t="s">
        <v>30</v>
      </c>
      <c r="S2509">
        <v>4</v>
      </c>
      <c r="T2509" s="1">
        <v>43768</v>
      </c>
      <c r="U2509" s="1">
        <v>43773</v>
      </c>
      <c r="V2509" s="2"/>
      <c r="W2509" s="1">
        <f>fNotasFiscais[[#This Row],[Data da Coleta]]+fNotasFiscais[[#This Row],[Prazo Contratado]]</f>
        <v>43772</v>
      </c>
      <c r="X2509" s="3">
        <f>IF(fNotasFiscais[[#This Row],[Data da Entrega]]&gt;fNotasFiscais[[#This Row],[Data Contratada]],0,1)</f>
        <v>0</v>
      </c>
      <c r="Y2509" s="3">
        <f>IF(fNotasFiscais[[#This Row],[Ocorrência]]="",1,0)</f>
        <v>1</v>
      </c>
      <c r="Z2509" s="2">
        <f>fNotasFiscais[[#This Row],[On Time]]*fNotasFiscais[[#This Row],[In Full]]</f>
        <v>0</v>
      </c>
      <c r="AA2509">
        <f>IF(fNotasFiscais[[#This Row],[Nota Fiscal]]&lt;&gt;"",1,0)</f>
        <v>1</v>
      </c>
    </row>
    <row r="2510" spans="1:27" x14ac:dyDescent="0.25">
      <c r="A2510" s="1">
        <v>43767</v>
      </c>
      <c r="B2510">
        <v>12919</v>
      </c>
      <c r="C2510" s="2" t="s">
        <v>54</v>
      </c>
      <c r="D2510" s="2" t="s">
        <v>55</v>
      </c>
      <c r="E2510" s="2" t="s">
        <v>56</v>
      </c>
      <c r="F2510">
        <v>4044</v>
      </c>
      <c r="G2510" s="2" t="s">
        <v>123</v>
      </c>
      <c r="H2510" s="2" t="s">
        <v>35</v>
      </c>
      <c r="I2510" s="2" t="s">
        <v>36</v>
      </c>
      <c r="J2510" s="2" t="s">
        <v>60</v>
      </c>
      <c r="K2510" s="2" t="s">
        <v>36</v>
      </c>
      <c r="L2510">
        <v>44.22</v>
      </c>
      <c r="M2510">
        <v>2</v>
      </c>
      <c r="N2510">
        <v>0.13200000000000001</v>
      </c>
      <c r="O2510">
        <v>6600879</v>
      </c>
      <c r="P2510" s="2" t="s">
        <v>61</v>
      </c>
      <c r="Q2510" s="2" t="s">
        <v>35</v>
      </c>
      <c r="R2510" s="2" t="s">
        <v>30</v>
      </c>
      <c r="S2510">
        <v>8</v>
      </c>
      <c r="T2510" s="1">
        <v>43768</v>
      </c>
      <c r="U2510" s="1">
        <v>43776</v>
      </c>
      <c r="V2510" s="2"/>
      <c r="W2510" s="1">
        <f>fNotasFiscais[[#This Row],[Data da Coleta]]+fNotasFiscais[[#This Row],[Prazo Contratado]]</f>
        <v>43776</v>
      </c>
      <c r="X2510" s="3">
        <f>IF(fNotasFiscais[[#This Row],[Data da Entrega]]&gt;fNotasFiscais[[#This Row],[Data Contratada]],0,1)</f>
        <v>1</v>
      </c>
      <c r="Y2510" s="3">
        <f>IF(fNotasFiscais[[#This Row],[Ocorrência]]="",1,0)</f>
        <v>1</v>
      </c>
      <c r="Z2510" s="2">
        <f>fNotasFiscais[[#This Row],[On Time]]*fNotasFiscais[[#This Row],[In Full]]</f>
        <v>1</v>
      </c>
      <c r="AA2510">
        <f>IF(fNotasFiscais[[#This Row],[Nota Fiscal]]&lt;&gt;"",1,0)</f>
        <v>1</v>
      </c>
    </row>
    <row r="2511" spans="1:27" x14ac:dyDescent="0.25">
      <c r="A2511" s="1">
        <v>43767</v>
      </c>
      <c r="B2511">
        <v>12920</v>
      </c>
      <c r="C2511" s="2" t="s">
        <v>31</v>
      </c>
      <c r="D2511" s="2" t="s">
        <v>32</v>
      </c>
      <c r="E2511" s="2" t="s">
        <v>33</v>
      </c>
      <c r="F2511">
        <v>4044</v>
      </c>
      <c r="G2511" s="2" t="s">
        <v>123</v>
      </c>
      <c r="H2511" s="2" t="s">
        <v>35</v>
      </c>
      <c r="I2511" s="2" t="s">
        <v>36</v>
      </c>
      <c r="J2511" s="2" t="s">
        <v>60</v>
      </c>
      <c r="K2511" s="2" t="s">
        <v>36</v>
      </c>
      <c r="L2511">
        <v>2790.83</v>
      </c>
      <c r="M2511">
        <v>1</v>
      </c>
      <c r="N2511">
        <v>16.5</v>
      </c>
      <c r="O2511">
        <v>6600879</v>
      </c>
      <c r="P2511" s="2" t="s">
        <v>61</v>
      </c>
      <c r="Q2511" s="2" t="s">
        <v>35</v>
      </c>
      <c r="R2511" s="2" t="s">
        <v>30</v>
      </c>
      <c r="S2511">
        <v>11</v>
      </c>
      <c r="T2511" s="1">
        <v>43768</v>
      </c>
      <c r="U2511" s="1">
        <v>43771</v>
      </c>
      <c r="V2511" s="2" t="s">
        <v>42</v>
      </c>
      <c r="W2511" s="1">
        <f>fNotasFiscais[[#This Row],[Data da Coleta]]+fNotasFiscais[[#This Row],[Prazo Contratado]]</f>
        <v>43779</v>
      </c>
      <c r="X2511" s="3">
        <f>IF(fNotasFiscais[[#This Row],[Data da Entrega]]&gt;fNotasFiscais[[#This Row],[Data Contratada]],0,1)</f>
        <v>1</v>
      </c>
      <c r="Y2511" s="3">
        <f>IF(fNotasFiscais[[#This Row],[Ocorrência]]="",1,0)</f>
        <v>0</v>
      </c>
      <c r="Z2511" s="2">
        <f>fNotasFiscais[[#This Row],[On Time]]*fNotasFiscais[[#This Row],[In Full]]</f>
        <v>0</v>
      </c>
      <c r="AA2511">
        <f>IF(fNotasFiscais[[#This Row],[Nota Fiscal]]&lt;&gt;"",1,0)</f>
        <v>1</v>
      </c>
    </row>
    <row r="2512" spans="1:27" x14ac:dyDescent="0.25">
      <c r="A2512" s="1">
        <v>43767</v>
      </c>
      <c r="B2512">
        <v>12921</v>
      </c>
      <c r="C2512" s="2" t="s">
        <v>22</v>
      </c>
      <c r="D2512" s="2" t="s">
        <v>23</v>
      </c>
      <c r="E2512" s="2" t="s">
        <v>24</v>
      </c>
      <c r="F2512">
        <v>4045</v>
      </c>
      <c r="G2512" s="2" t="s">
        <v>124</v>
      </c>
      <c r="H2512" s="2" t="s">
        <v>35</v>
      </c>
      <c r="I2512" s="2" t="s">
        <v>36</v>
      </c>
      <c r="J2512" s="2" t="s">
        <v>60</v>
      </c>
      <c r="K2512" s="2" t="s">
        <v>36</v>
      </c>
      <c r="L2512">
        <v>348.04</v>
      </c>
      <c r="M2512">
        <v>1</v>
      </c>
      <c r="N2512">
        <v>0.48399999999999999</v>
      </c>
      <c r="O2512">
        <v>6600879</v>
      </c>
      <c r="P2512" s="2" t="s">
        <v>61</v>
      </c>
      <c r="Q2512" s="2" t="s">
        <v>35</v>
      </c>
      <c r="R2512" s="2" t="s">
        <v>30</v>
      </c>
      <c r="S2512">
        <v>2</v>
      </c>
      <c r="T2512" s="1">
        <v>43768</v>
      </c>
      <c r="U2512" s="1">
        <v>43778</v>
      </c>
      <c r="V2512" s="2"/>
      <c r="W2512" s="1">
        <f>fNotasFiscais[[#This Row],[Data da Coleta]]+fNotasFiscais[[#This Row],[Prazo Contratado]]</f>
        <v>43770</v>
      </c>
      <c r="X2512" s="3">
        <f>IF(fNotasFiscais[[#This Row],[Data da Entrega]]&gt;fNotasFiscais[[#This Row],[Data Contratada]],0,1)</f>
        <v>0</v>
      </c>
      <c r="Y2512" s="3">
        <f>IF(fNotasFiscais[[#This Row],[Ocorrência]]="",1,0)</f>
        <v>1</v>
      </c>
      <c r="Z2512" s="2">
        <f>fNotasFiscais[[#This Row],[On Time]]*fNotasFiscais[[#This Row],[In Full]]</f>
        <v>0</v>
      </c>
      <c r="AA2512">
        <f>IF(fNotasFiscais[[#This Row],[Nota Fiscal]]&lt;&gt;"",1,0)</f>
        <v>1</v>
      </c>
    </row>
    <row r="2513" spans="1:27" x14ac:dyDescent="0.25">
      <c r="A2513" s="1">
        <v>43767</v>
      </c>
      <c r="B2513">
        <v>12922</v>
      </c>
      <c r="C2513" s="2" t="s">
        <v>54</v>
      </c>
      <c r="D2513" s="2" t="s">
        <v>55</v>
      </c>
      <c r="E2513" s="2" t="s">
        <v>56</v>
      </c>
      <c r="F2513">
        <v>4035</v>
      </c>
      <c r="G2513" s="2" t="s">
        <v>111</v>
      </c>
      <c r="H2513" s="2" t="s">
        <v>47</v>
      </c>
      <c r="I2513" s="2" t="s">
        <v>48</v>
      </c>
      <c r="J2513" s="2" t="s">
        <v>49</v>
      </c>
      <c r="K2513" s="2" t="s">
        <v>48</v>
      </c>
      <c r="L2513">
        <v>1483.32</v>
      </c>
      <c r="M2513">
        <v>2</v>
      </c>
      <c r="N2513">
        <v>3.3980000000000001</v>
      </c>
      <c r="O2513">
        <v>6100231</v>
      </c>
      <c r="P2513" s="2" t="s">
        <v>50</v>
      </c>
      <c r="Q2513" s="2" t="s">
        <v>51</v>
      </c>
      <c r="R2513" s="2" t="s">
        <v>30</v>
      </c>
      <c r="S2513">
        <v>11</v>
      </c>
      <c r="T2513" s="1">
        <v>43768</v>
      </c>
      <c r="U2513" s="1">
        <v>43778</v>
      </c>
      <c r="V2513" s="2" t="s">
        <v>57</v>
      </c>
      <c r="W2513" s="1">
        <f>fNotasFiscais[[#This Row],[Data da Coleta]]+fNotasFiscais[[#This Row],[Prazo Contratado]]</f>
        <v>43779</v>
      </c>
      <c r="X2513" s="3">
        <f>IF(fNotasFiscais[[#This Row],[Data da Entrega]]&gt;fNotasFiscais[[#This Row],[Data Contratada]],0,1)</f>
        <v>1</v>
      </c>
      <c r="Y2513" s="3">
        <f>IF(fNotasFiscais[[#This Row],[Ocorrência]]="",1,0)</f>
        <v>0</v>
      </c>
      <c r="Z2513" s="2">
        <f>fNotasFiscais[[#This Row],[On Time]]*fNotasFiscais[[#This Row],[In Full]]</f>
        <v>0</v>
      </c>
      <c r="AA2513">
        <f>IF(fNotasFiscais[[#This Row],[Nota Fiscal]]&lt;&gt;"",1,0)</f>
        <v>1</v>
      </c>
    </row>
    <row r="2514" spans="1:27" x14ac:dyDescent="0.25">
      <c r="A2514" s="1">
        <v>43768</v>
      </c>
      <c r="B2514">
        <v>12923</v>
      </c>
      <c r="C2514" s="2" t="s">
        <v>43</v>
      </c>
      <c r="D2514" s="2" t="s">
        <v>44</v>
      </c>
      <c r="E2514" s="2" t="s">
        <v>45</v>
      </c>
      <c r="F2514">
        <v>4044</v>
      </c>
      <c r="G2514" s="2" t="s">
        <v>123</v>
      </c>
      <c r="H2514" s="2" t="s">
        <v>35</v>
      </c>
      <c r="I2514" s="2" t="s">
        <v>36</v>
      </c>
      <c r="J2514" s="2" t="s">
        <v>60</v>
      </c>
      <c r="K2514" s="2" t="s">
        <v>36</v>
      </c>
      <c r="L2514">
        <v>494.51</v>
      </c>
      <c r="M2514">
        <v>1</v>
      </c>
      <c r="N2514">
        <v>4.1790000000000003</v>
      </c>
      <c r="O2514">
        <v>6600879</v>
      </c>
      <c r="P2514" s="2" t="s">
        <v>61</v>
      </c>
      <c r="Q2514" s="2" t="s">
        <v>35</v>
      </c>
      <c r="R2514" s="2" t="s">
        <v>30</v>
      </c>
      <c r="S2514">
        <v>2</v>
      </c>
      <c r="T2514" s="1">
        <v>43768</v>
      </c>
      <c r="U2514" s="1">
        <v>43774</v>
      </c>
      <c r="V2514" s="2"/>
      <c r="W2514" s="1">
        <f>fNotasFiscais[[#This Row],[Data da Coleta]]+fNotasFiscais[[#This Row],[Prazo Contratado]]</f>
        <v>43770</v>
      </c>
      <c r="X2514" s="3">
        <f>IF(fNotasFiscais[[#This Row],[Data da Entrega]]&gt;fNotasFiscais[[#This Row],[Data Contratada]],0,1)</f>
        <v>0</v>
      </c>
      <c r="Y2514" s="3">
        <f>IF(fNotasFiscais[[#This Row],[Ocorrência]]="",1,0)</f>
        <v>1</v>
      </c>
      <c r="Z2514" s="2">
        <f>fNotasFiscais[[#This Row],[On Time]]*fNotasFiscais[[#This Row],[In Full]]</f>
        <v>0</v>
      </c>
      <c r="AA2514">
        <f>IF(fNotasFiscais[[#This Row],[Nota Fiscal]]&lt;&gt;"",1,0)</f>
        <v>1</v>
      </c>
    </row>
    <row r="2515" spans="1:27" x14ac:dyDescent="0.25">
      <c r="A2515" s="1">
        <v>43767</v>
      </c>
      <c r="B2515">
        <v>12924</v>
      </c>
      <c r="C2515" s="2" t="s">
        <v>40</v>
      </c>
      <c r="D2515" s="2" t="s">
        <v>41</v>
      </c>
      <c r="E2515" s="2" t="s">
        <v>33</v>
      </c>
      <c r="F2515">
        <v>4045</v>
      </c>
      <c r="G2515" s="2" t="s">
        <v>124</v>
      </c>
      <c r="H2515" s="2" t="s">
        <v>35</v>
      </c>
      <c r="I2515" s="2" t="s">
        <v>36</v>
      </c>
      <c r="J2515" s="2" t="s">
        <v>60</v>
      </c>
      <c r="K2515" s="2" t="s">
        <v>36</v>
      </c>
      <c r="L2515">
        <v>2538.8200000000002</v>
      </c>
      <c r="M2515">
        <v>2</v>
      </c>
      <c r="N2515">
        <v>2.8820000000000001</v>
      </c>
      <c r="O2515">
        <v>6600879</v>
      </c>
      <c r="P2515" s="2" t="s">
        <v>61</v>
      </c>
      <c r="Q2515" s="2" t="s">
        <v>35</v>
      </c>
      <c r="R2515" s="2" t="s">
        <v>30</v>
      </c>
      <c r="S2515">
        <v>5</v>
      </c>
      <c r="T2515" s="1">
        <v>43768</v>
      </c>
      <c r="U2515" s="1">
        <v>43775</v>
      </c>
      <c r="V2515" s="2"/>
      <c r="W2515" s="1">
        <f>fNotasFiscais[[#This Row],[Data da Coleta]]+fNotasFiscais[[#This Row],[Prazo Contratado]]</f>
        <v>43773</v>
      </c>
      <c r="X2515" s="3">
        <f>IF(fNotasFiscais[[#This Row],[Data da Entrega]]&gt;fNotasFiscais[[#This Row],[Data Contratada]],0,1)</f>
        <v>0</v>
      </c>
      <c r="Y2515" s="3">
        <f>IF(fNotasFiscais[[#This Row],[Ocorrência]]="",1,0)</f>
        <v>1</v>
      </c>
      <c r="Z2515" s="2">
        <f>fNotasFiscais[[#This Row],[On Time]]*fNotasFiscais[[#This Row],[In Full]]</f>
        <v>0</v>
      </c>
      <c r="AA2515">
        <f>IF(fNotasFiscais[[#This Row],[Nota Fiscal]]&lt;&gt;"",1,0)</f>
        <v>1</v>
      </c>
    </row>
    <row r="2516" spans="1:27" x14ac:dyDescent="0.25">
      <c r="A2516" s="1">
        <v>43767</v>
      </c>
      <c r="B2516">
        <v>12925</v>
      </c>
      <c r="C2516" s="2" t="s">
        <v>22</v>
      </c>
      <c r="D2516" s="2" t="s">
        <v>23</v>
      </c>
      <c r="E2516" s="2" t="s">
        <v>24</v>
      </c>
      <c r="F2516">
        <v>4035</v>
      </c>
      <c r="G2516" s="2" t="s">
        <v>111</v>
      </c>
      <c r="H2516" s="2" t="s">
        <v>47</v>
      </c>
      <c r="I2516" s="2" t="s">
        <v>48</v>
      </c>
      <c r="J2516" s="2" t="s">
        <v>49</v>
      </c>
      <c r="K2516" s="2" t="s">
        <v>48</v>
      </c>
      <c r="L2516">
        <v>3325.51</v>
      </c>
      <c r="M2516">
        <v>4</v>
      </c>
      <c r="N2516">
        <v>16.96</v>
      </c>
      <c r="O2516">
        <v>6100231</v>
      </c>
      <c r="P2516" s="2" t="s">
        <v>50</v>
      </c>
      <c r="Q2516" s="2" t="s">
        <v>51</v>
      </c>
      <c r="R2516" s="2" t="s">
        <v>30</v>
      </c>
      <c r="S2516">
        <v>11</v>
      </c>
      <c r="T2516" s="1">
        <v>43768</v>
      </c>
      <c r="U2516" s="1">
        <v>43776</v>
      </c>
      <c r="V2516" s="2"/>
      <c r="W2516" s="1">
        <f>fNotasFiscais[[#This Row],[Data da Coleta]]+fNotasFiscais[[#This Row],[Prazo Contratado]]</f>
        <v>43779</v>
      </c>
      <c r="X2516" s="3">
        <f>IF(fNotasFiscais[[#This Row],[Data da Entrega]]&gt;fNotasFiscais[[#This Row],[Data Contratada]],0,1)</f>
        <v>1</v>
      </c>
      <c r="Y2516" s="3">
        <f>IF(fNotasFiscais[[#This Row],[Ocorrência]]="",1,0)</f>
        <v>1</v>
      </c>
      <c r="Z2516" s="2">
        <f>fNotasFiscais[[#This Row],[On Time]]*fNotasFiscais[[#This Row],[In Full]]</f>
        <v>1</v>
      </c>
      <c r="AA2516">
        <f>IF(fNotasFiscais[[#This Row],[Nota Fiscal]]&lt;&gt;"",1,0)</f>
        <v>1</v>
      </c>
    </row>
    <row r="2517" spans="1:27" x14ac:dyDescent="0.25">
      <c r="A2517" s="1">
        <v>43767</v>
      </c>
      <c r="B2517">
        <v>12926</v>
      </c>
      <c r="C2517" s="2" t="s">
        <v>34</v>
      </c>
      <c r="D2517" s="2" t="s">
        <v>35</v>
      </c>
      <c r="E2517" s="2" t="s">
        <v>36</v>
      </c>
      <c r="F2517">
        <v>4044</v>
      </c>
      <c r="G2517" s="2" t="s">
        <v>123</v>
      </c>
      <c r="H2517" s="2" t="s">
        <v>35</v>
      </c>
      <c r="I2517" s="2" t="s">
        <v>36</v>
      </c>
      <c r="J2517" s="2" t="s">
        <v>60</v>
      </c>
      <c r="K2517" s="2" t="s">
        <v>36</v>
      </c>
      <c r="L2517">
        <v>2081.61</v>
      </c>
      <c r="M2517">
        <v>2</v>
      </c>
      <c r="N2517">
        <v>6.1070000000000002</v>
      </c>
      <c r="O2517">
        <v>6600879</v>
      </c>
      <c r="P2517" s="2" t="s">
        <v>61</v>
      </c>
      <c r="Q2517" s="2" t="s">
        <v>35</v>
      </c>
      <c r="R2517" s="2" t="s">
        <v>30</v>
      </c>
      <c r="S2517">
        <v>1</v>
      </c>
      <c r="T2517" s="1">
        <v>43768</v>
      </c>
      <c r="U2517" s="1">
        <v>43772</v>
      </c>
      <c r="V2517" s="2"/>
      <c r="W2517" s="1">
        <f>fNotasFiscais[[#This Row],[Data da Coleta]]+fNotasFiscais[[#This Row],[Prazo Contratado]]</f>
        <v>43769</v>
      </c>
      <c r="X2517" s="3">
        <f>IF(fNotasFiscais[[#This Row],[Data da Entrega]]&gt;fNotasFiscais[[#This Row],[Data Contratada]],0,1)</f>
        <v>0</v>
      </c>
      <c r="Y2517" s="3">
        <f>IF(fNotasFiscais[[#This Row],[Ocorrência]]="",1,0)</f>
        <v>1</v>
      </c>
      <c r="Z2517" s="2">
        <f>fNotasFiscais[[#This Row],[On Time]]*fNotasFiscais[[#This Row],[In Full]]</f>
        <v>0</v>
      </c>
      <c r="AA2517">
        <f>IF(fNotasFiscais[[#This Row],[Nota Fiscal]]&lt;&gt;"",1,0)</f>
        <v>1</v>
      </c>
    </row>
    <row r="2518" spans="1:27" x14ac:dyDescent="0.25">
      <c r="A2518" s="1">
        <v>43767</v>
      </c>
      <c r="B2518">
        <v>12927</v>
      </c>
      <c r="C2518" s="2" t="s">
        <v>31</v>
      </c>
      <c r="D2518" s="2" t="s">
        <v>32</v>
      </c>
      <c r="E2518" s="2" t="s">
        <v>33</v>
      </c>
      <c r="F2518">
        <v>4035</v>
      </c>
      <c r="G2518" s="2" t="s">
        <v>111</v>
      </c>
      <c r="H2518" s="2" t="s">
        <v>47</v>
      </c>
      <c r="I2518" s="2" t="s">
        <v>48</v>
      </c>
      <c r="J2518" s="2" t="s">
        <v>49</v>
      </c>
      <c r="K2518" s="2" t="s">
        <v>48</v>
      </c>
      <c r="L2518">
        <v>2239.58</v>
      </c>
      <c r="M2518">
        <v>2</v>
      </c>
      <c r="N2518">
        <v>11.752000000000001</v>
      </c>
      <c r="O2518">
        <v>6100231</v>
      </c>
      <c r="P2518" s="2" t="s">
        <v>50</v>
      </c>
      <c r="Q2518" s="2" t="s">
        <v>51</v>
      </c>
      <c r="R2518" s="2" t="s">
        <v>30</v>
      </c>
      <c r="S2518">
        <v>11</v>
      </c>
      <c r="T2518" s="1">
        <v>43768</v>
      </c>
      <c r="U2518" s="1">
        <v>43770</v>
      </c>
      <c r="V2518" s="2"/>
      <c r="W2518" s="1">
        <f>fNotasFiscais[[#This Row],[Data da Coleta]]+fNotasFiscais[[#This Row],[Prazo Contratado]]</f>
        <v>43779</v>
      </c>
      <c r="X2518" s="3">
        <f>IF(fNotasFiscais[[#This Row],[Data da Entrega]]&gt;fNotasFiscais[[#This Row],[Data Contratada]],0,1)</f>
        <v>1</v>
      </c>
      <c r="Y2518" s="3">
        <f>IF(fNotasFiscais[[#This Row],[Ocorrência]]="",1,0)</f>
        <v>1</v>
      </c>
      <c r="Z2518" s="2">
        <f>fNotasFiscais[[#This Row],[On Time]]*fNotasFiscais[[#This Row],[In Full]]</f>
        <v>1</v>
      </c>
      <c r="AA2518">
        <f>IF(fNotasFiscais[[#This Row],[Nota Fiscal]]&lt;&gt;"",1,0)</f>
        <v>1</v>
      </c>
    </row>
    <row r="2519" spans="1:27" x14ac:dyDescent="0.25">
      <c r="A2519" s="1">
        <v>43767</v>
      </c>
      <c r="B2519">
        <v>12928</v>
      </c>
      <c r="C2519" s="2" t="s">
        <v>22</v>
      </c>
      <c r="D2519" s="2" t="s">
        <v>23</v>
      </c>
      <c r="E2519" s="2" t="s">
        <v>24</v>
      </c>
      <c r="F2519">
        <v>4044</v>
      </c>
      <c r="G2519" s="2" t="s">
        <v>123</v>
      </c>
      <c r="H2519" s="2" t="s">
        <v>35</v>
      </c>
      <c r="I2519" s="2" t="s">
        <v>36</v>
      </c>
      <c r="J2519" s="2" t="s">
        <v>60</v>
      </c>
      <c r="K2519" s="2" t="s">
        <v>36</v>
      </c>
      <c r="L2519">
        <v>65.78</v>
      </c>
      <c r="M2519">
        <v>2</v>
      </c>
      <c r="N2519">
        <v>0.29799999999999999</v>
      </c>
      <c r="O2519">
        <v>6600879</v>
      </c>
      <c r="P2519" s="2" t="s">
        <v>61</v>
      </c>
      <c r="Q2519" s="2" t="s">
        <v>35</v>
      </c>
      <c r="R2519" s="2" t="s">
        <v>30</v>
      </c>
      <c r="S2519">
        <v>4</v>
      </c>
      <c r="T2519" s="1">
        <v>43768</v>
      </c>
      <c r="U2519" s="1">
        <v>43777</v>
      </c>
      <c r="V2519" s="2"/>
      <c r="W2519" s="1">
        <f>fNotasFiscais[[#This Row],[Data da Coleta]]+fNotasFiscais[[#This Row],[Prazo Contratado]]</f>
        <v>43772</v>
      </c>
      <c r="X2519" s="3">
        <f>IF(fNotasFiscais[[#This Row],[Data da Entrega]]&gt;fNotasFiscais[[#This Row],[Data Contratada]],0,1)</f>
        <v>0</v>
      </c>
      <c r="Y2519" s="3">
        <f>IF(fNotasFiscais[[#This Row],[Ocorrência]]="",1,0)</f>
        <v>1</v>
      </c>
      <c r="Z2519" s="2">
        <f>fNotasFiscais[[#This Row],[On Time]]*fNotasFiscais[[#This Row],[In Full]]</f>
        <v>0</v>
      </c>
      <c r="AA2519">
        <f>IF(fNotasFiscais[[#This Row],[Nota Fiscal]]&lt;&gt;"",1,0)</f>
        <v>1</v>
      </c>
    </row>
    <row r="2520" spans="1:27" x14ac:dyDescent="0.25">
      <c r="A2520" s="1">
        <v>43767</v>
      </c>
      <c r="B2520">
        <v>12929</v>
      </c>
      <c r="C2520" s="2" t="s">
        <v>54</v>
      </c>
      <c r="D2520" s="2" t="s">
        <v>55</v>
      </c>
      <c r="E2520" s="2" t="s">
        <v>56</v>
      </c>
      <c r="F2520">
        <v>4045</v>
      </c>
      <c r="G2520" s="2" t="s">
        <v>124</v>
      </c>
      <c r="H2520" s="2" t="s">
        <v>35</v>
      </c>
      <c r="I2520" s="2" t="s">
        <v>36</v>
      </c>
      <c r="J2520" s="2" t="s">
        <v>60</v>
      </c>
      <c r="K2520" s="2" t="s">
        <v>36</v>
      </c>
      <c r="L2520">
        <v>24.88</v>
      </c>
      <c r="M2520">
        <v>1</v>
      </c>
      <c r="N2520">
        <v>2.1999999999999999E-2</v>
      </c>
      <c r="O2520">
        <v>6600879</v>
      </c>
      <c r="P2520" s="2" t="s">
        <v>61</v>
      </c>
      <c r="Q2520" s="2" t="s">
        <v>35</v>
      </c>
      <c r="R2520" s="2" t="s">
        <v>30</v>
      </c>
      <c r="S2520">
        <v>5</v>
      </c>
      <c r="T2520" s="1">
        <v>43768</v>
      </c>
      <c r="U2520" s="1">
        <v>43771</v>
      </c>
      <c r="V2520" s="2"/>
      <c r="W2520" s="1">
        <f>fNotasFiscais[[#This Row],[Data da Coleta]]+fNotasFiscais[[#This Row],[Prazo Contratado]]</f>
        <v>43773</v>
      </c>
      <c r="X2520" s="3">
        <f>IF(fNotasFiscais[[#This Row],[Data da Entrega]]&gt;fNotasFiscais[[#This Row],[Data Contratada]],0,1)</f>
        <v>1</v>
      </c>
      <c r="Y2520" s="3">
        <f>IF(fNotasFiscais[[#This Row],[Ocorrência]]="",1,0)</f>
        <v>1</v>
      </c>
      <c r="Z2520" s="2">
        <f>fNotasFiscais[[#This Row],[On Time]]*fNotasFiscais[[#This Row],[In Full]]</f>
        <v>1</v>
      </c>
      <c r="AA2520">
        <f>IF(fNotasFiscais[[#This Row],[Nota Fiscal]]&lt;&gt;"",1,0)</f>
        <v>1</v>
      </c>
    </row>
    <row r="2521" spans="1:27" x14ac:dyDescent="0.25">
      <c r="A2521" s="1">
        <v>43767</v>
      </c>
      <c r="B2521">
        <v>12930</v>
      </c>
      <c r="C2521" s="2" t="s">
        <v>54</v>
      </c>
      <c r="D2521" s="2" t="s">
        <v>55</v>
      </c>
      <c r="E2521" s="2" t="s">
        <v>56</v>
      </c>
      <c r="F2521">
        <v>4045</v>
      </c>
      <c r="G2521" s="2" t="s">
        <v>124</v>
      </c>
      <c r="H2521" s="2" t="s">
        <v>35</v>
      </c>
      <c r="I2521" s="2" t="s">
        <v>36</v>
      </c>
      <c r="J2521" s="2" t="s">
        <v>60</v>
      </c>
      <c r="K2521" s="2" t="s">
        <v>36</v>
      </c>
      <c r="L2521">
        <v>285.04000000000002</v>
      </c>
      <c r="M2521">
        <v>2</v>
      </c>
      <c r="N2521">
        <v>1.1879999999999999</v>
      </c>
      <c r="O2521">
        <v>6600879</v>
      </c>
      <c r="P2521" s="2" t="s">
        <v>61</v>
      </c>
      <c r="Q2521" s="2" t="s">
        <v>35</v>
      </c>
      <c r="R2521" s="2" t="s">
        <v>30</v>
      </c>
      <c r="S2521">
        <v>9</v>
      </c>
      <c r="T2521" s="1">
        <v>43768</v>
      </c>
      <c r="U2521" s="1">
        <v>43770</v>
      </c>
      <c r="V2521" s="2"/>
      <c r="W2521" s="1">
        <f>fNotasFiscais[[#This Row],[Data da Coleta]]+fNotasFiscais[[#This Row],[Prazo Contratado]]</f>
        <v>43777</v>
      </c>
      <c r="X2521" s="3">
        <f>IF(fNotasFiscais[[#This Row],[Data da Entrega]]&gt;fNotasFiscais[[#This Row],[Data Contratada]],0,1)</f>
        <v>1</v>
      </c>
      <c r="Y2521" s="3">
        <f>IF(fNotasFiscais[[#This Row],[Ocorrência]]="",1,0)</f>
        <v>1</v>
      </c>
      <c r="Z2521" s="2">
        <f>fNotasFiscais[[#This Row],[On Time]]*fNotasFiscais[[#This Row],[In Full]]</f>
        <v>1</v>
      </c>
      <c r="AA2521">
        <f>IF(fNotasFiscais[[#This Row],[Nota Fiscal]]&lt;&gt;"",1,0)</f>
        <v>1</v>
      </c>
    </row>
    <row r="2522" spans="1:27" x14ac:dyDescent="0.25">
      <c r="A2522" s="1">
        <v>43768</v>
      </c>
      <c r="B2522">
        <v>12931</v>
      </c>
      <c r="C2522" s="2" t="s">
        <v>43</v>
      </c>
      <c r="D2522" s="2" t="s">
        <v>44</v>
      </c>
      <c r="E2522" s="2" t="s">
        <v>45</v>
      </c>
      <c r="F2522">
        <v>4155</v>
      </c>
      <c r="G2522" s="2" t="s">
        <v>238</v>
      </c>
      <c r="H2522" s="2" t="s">
        <v>32</v>
      </c>
      <c r="I2522" s="2" t="s">
        <v>33</v>
      </c>
      <c r="J2522" s="2" t="s">
        <v>60</v>
      </c>
      <c r="K2522" s="2" t="s">
        <v>33</v>
      </c>
      <c r="L2522">
        <v>5.83</v>
      </c>
      <c r="M2522">
        <v>1</v>
      </c>
      <c r="N2522">
        <v>0.16</v>
      </c>
      <c r="O2522">
        <v>6400835</v>
      </c>
      <c r="P2522" s="2" t="s">
        <v>130</v>
      </c>
      <c r="Q2522" s="2" t="s">
        <v>131</v>
      </c>
      <c r="R2522" s="2" t="s">
        <v>30</v>
      </c>
      <c r="S2522">
        <v>1</v>
      </c>
      <c r="T2522" s="1">
        <v>43769</v>
      </c>
      <c r="U2522" s="1">
        <v>43776</v>
      </c>
      <c r="V2522" s="2"/>
      <c r="W2522" s="1">
        <f>fNotasFiscais[[#This Row],[Data da Coleta]]+fNotasFiscais[[#This Row],[Prazo Contratado]]</f>
        <v>43770</v>
      </c>
      <c r="X2522" s="3">
        <f>IF(fNotasFiscais[[#This Row],[Data da Entrega]]&gt;fNotasFiscais[[#This Row],[Data Contratada]],0,1)</f>
        <v>0</v>
      </c>
      <c r="Y2522" s="3">
        <f>IF(fNotasFiscais[[#This Row],[Ocorrência]]="",1,0)</f>
        <v>1</v>
      </c>
      <c r="Z2522" s="2">
        <f>fNotasFiscais[[#This Row],[On Time]]*fNotasFiscais[[#This Row],[In Full]]</f>
        <v>0</v>
      </c>
      <c r="AA2522">
        <f>IF(fNotasFiscais[[#This Row],[Nota Fiscal]]&lt;&gt;"",1,0)</f>
        <v>1</v>
      </c>
    </row>
    <row r="2523" spans="1:27" x14ac:dyDescent="0.25">
      <c r="A2523" s="1">
        <v>43768</v>
      </c>
      <c r="B2523">
        <v>12932</v>
      </c>
      <c r="C2523" s="2" t="s">
        <v>43</v>
      </c>
      <c r="D2523" s="2" t="s">
        <v>44</v>
      </c>
      <c r="E2523" s="2" t="s">
        <v>45</v>
      </c>
      <c r="F2523">
        <v>4173</v>
      </c>
      <c r="G2523" s="2" t="s">
        <v>256</v>
      </c>
      <c r="H2523" s="2" t="s">
        <v>35</v>
      </c>
      <c r="I2523" s="2" t="s">
        <v>36</v>
      </c>
      <c r="J2523" s="2" t="s">
        <v>60</v>
      </c>
      <c r="K2523" s="2" t="s">
        <v>36</v>
      </c>
      <c r="L2523">
        <v>45.21</v>
      </c>
      <c r="M2523">
        <v>1</v>
      </c>
      <c r="N2523">
        <v>0.56399999999999995</v>
      </c>
      <c r="O2523">
        <v>6600879</v>
      </c>
      <c r="P2523" s="2" t="s">
        <v>61</v>
      </c>
      <c r="Q2523" s="2" t="s">
        <v>35</v>
      </c>
      <c r="R2523" s="2" t="s">
        <v>30</v>
      </c>
      <c r="S2523">
        <v>5</v>
      </c>
      <c r="T2523" s="1">
        <v>43769</v>
      </c>
      <c r="U2523" s="1">
        <v>43770</v>
      </c>
      <c r="V2523" s="2"/>
      <c r="W2523" s="1">
        <f>fNotasFiscais[[#This Row],[Data da Coleta]]+fNotasFiscais[[#This Row],[Prazo Contratado]]</f>
        <v>43774</v>
      </c>
      <c r="X2523" s="3">
        <f>IF(fNotasFiscais[[#This Row],[Data da Entrega]]&gt;fNotasFiscais[[#This Row],[Data Contratada]],0,1)</f>
        <v>1</v>
      </c>
      <c r="Y2523" s="3">
        <f>IF(fNotasFiscais[[#This Row],[Ocorrência]]="",1,0)</f>
        <v>1</v>
      </c>
      <c r="Z2523" s="2">
        <f>fNotasFiscais[[#This Row],[On Time]]*fNotasFiscais[[#This Row],[In Full]]</f>
        <v>1</v>
      </c>
      <c r="AA2523">
        <f>IF(fNotasFiscais[[#This Row],[Nota Fiscal]]&lt;&gt;"",1,0)</f>
        <v>1</v>
      </c>
    </row>
    <row r="2524" spans="1:27" x14ac:dyDescent="0.25">
      <c r="A2524" s="1">
        <v>43768</v>
      </c>
      <c r="B2524">
        <v>12933</v>
      </c>
      <c r="C2524" s="2" t="s">
        <v>40</v>
      </c>
      <c r="D2524" s="2" t="s">
        <v>41</v>
      </c>
      <c r="E2524" s="2" t="s">
        <v>33</v>
      </c>
      <c r="F2524">
        <v>4219</v>
      </c>
      <c r="G2524" s="2" t="s">
        <v>302</v>
      </c>
      <c r="H2524" s="2" t="s">
        <v>35</v>
      </c>
      <c r="I2524" s="2" t="s">
        <v>36</v>
      </c>
      <c r="J2524" s="2" t="s">
        <v>60</v>
      </c>
      <c r="K2524" s="2" t="s">
        <v>36</v>
      </c>
      <c r="L2524">
        <v>623.99</v>
      </c>
      <c r="M2524">
        <v>2</v>
      </c>
      <c r="N2524">
        <v>5.03</v>
      </c>
      <c r="O2524">
        <v>6600879</v>
      </c>
      <c r="P2524" s="2" t="s">
        <v>61</v>
      </c>
      <c r="Q2524" s="2" t="s">
        <v>35</v>
      </c>
      <c r="R2524" s="2" t="s">
        <v>30</v>
      </c>
      <c r="S2524">
        <v>1</v>
      </c>
      <c r="T2524" s="1">
        <v>43769</v>
      </c>
      <c r="U2524" s="1">
        <v>43775</v>
      </c>
      <c r="V2524" s="2"/>
      <c r="W2524" s="1">
        <f>fNotasFiscais[[#This Row],[Data da Coleta]]+fNotasFiscais[[#This Row],[Prazo Contratado]]</f>
        <v>43770</v>
      </c>
      <c r="X2524" s="3">
        <f>IF(fNotasFiscais[[#This Row],[Data da Entrega]]&gt;fNotasFiscais[[#This Row],[Data Contratada]],0,1)</f>
        <v>0</v>
      </c>
      <c r="Y2524" s="3">
        <f>IF(fNotasFiscais[[#This Row],[Ocorrência]]="",1,0)</f>
        <v>1</v>
      </c>
      <c r="Z2524" s="2">
        <f>fNotasFiscais[[#This Row],[On Time]]*fNotasFiscais[[#This Row],[In Full]]</f>
        <v>0</v>
      </c>
      <c r="AA2524">
        <f>IF(fNotasFiscais[[#This Row],[Nota Fiscal]]&lt;&gt;"",1,0)</f>
        <v>1</v>
      </c>
    </row>
    <row r="2525" spans="1:27" x14ac:dyDescent="0.25">
      <c r="A2525" s="1">
        <v>43768</v>
      </c>
      <c r="B2525">
        <v>12934</v>
      </c>
      <c r="C2525" s="2" t="s">
        <v>40</v>
      </c>
      <c r="D2525" s="2" t="s">
        <v>41</v>
      </c>
      <c r="E2525" s="2" t="s">
        <v>33</v>
      </c>
      <c r="F2525">
        <v>4205</v>
      </c>
      <c r="G2525" s="2" t="s">
        <v>288</v>
      </c>
      <c r="H2525" s="2" t="s">
        <v>35</v>
      </c>
      <c r="I2525" s="2" t="s">
        <v>36</v>
      </c>
      <c r="J2525" s="2" t="s">
        <v>60</v>
      </c>
      <c r="K2525" s="2" t="s">
        <v>36</v>
      </c>
      <c r="L2525">
        <v>225.43</v>
      </c>
      <c r="M2525">
        <v>1</v>
      </c>
      <c r="N2525">
        <v>1.1200000000000001</v>
      </c>
      <c r="O2525">
        <v>6600879</v>
      </c>
      <c r="P2525" s="2" t="s">
        <v>61</v>
      </c>
      <c r="Q2525" s="2" t="s">
        <v>35</v>
      </c>
      <c r="R2525" s="2" t="s">
        <v>30</v>
      </c>
      <c r="S2525">
        <v>5</v>
      </c>
      <c r="T2525" s="1">
        <v>43769</v>
      </c>
      <c r="U2525" s="1">
        <v>43777</v>
      </c>
      <c r="V2525" s="2"/>
      <c r="W2525" s="1">
        <f>fNotasFiscais[[#This Row],[Data da Coleta]]+fNotasFiscais[[#This Row],[Prazo Contratado]]</f>
        <v>43774</v>
      </c>
      <c r="X2525" s="3">
        <f>IF(fNotasFiscais[[#This Row],[Data da Entrega]]&gt;fNotasFiscais[[#This Row],[Data Contratada]],0,1)</f>
        <v>0</v>
      </c>
      <c r="Y2525" s="3">
        <f>IF(fNotasFiscais[[#This Row],[Ocorrência]]="",1,0)</f>
        <v>1</v>
      </c>
      <c r="Z2525" s="2">
        <f>fNotasFiscais[[#This Row],[On Time]]*fNotasFiscais[[#This Row],[In Full]]</f>
        <v>0</v>
      </c>
      <c r="AA2525">
        <f>IF(fNotasFiscais[[#This Row],[Nota Fiscal]]&lt;&gt;"",1,0)</f>
        <v>1</v>
      </c>
    </row>
    <row r="2526" spans="1:27" x14ac:dyDescent="0.25">
      <c r="A2526" s="1">
        <v>43768</v>
      </c>
      <c r="B2526">
        <v>12935</v>
      </c>
      <c r="C2526" s="2" t="s">
        <v>54</v>
      </c>
      <c r="D2526" s="2" t="s">
        <v>55</v>
      </c>
      <c r="E2526" s="2" t="s">
        <v>56</v>
      </c>
      <c r="F2526">
        <v>4218</v>
      </c>
      <c r="G2526" s="2" t="s">
        <v>301</v>
      </c>
      <c r="H2526" s="2" t="s">
        <v>183</v>
      </c>
      <c r="I2526" s="2" t="s">
        <v>33</v>
      </c>
      <c r="J2526" s="2" t="s">
        <v>60</v>
      </c>
      <c r="K2526" s="2" t="s">
        <v>33</v>
      </c>
      <c r="L2526">
        <v>770.82</v>
      </c>
      <c r="M2526">
        <v>2</v>
      </c>
      <c r="N2526">
        <v>4.2</v>
      </c>
      <c r="O2526">
        <v>6400835</v>
      </c>
      <c r="P2526" s="2" t="s">
        <v>130</v>
      </c>
      <c r="Q2526" s="2" t="s">
        <v>131</v>
      </c>
      <c r="R2526" s="2" t="s">
        <v>30</v>
      </c>
      <c r="S2526">
        <v>8</v>
      </c>
      <c r="T2526" s="1">
        <v>43769</v>
      </c>
      <c r="U2526" s="1">
        <v>43776</v>
      </c>
      <c r="V2526" s="2"/>
      <c r="W2526" s="1">
        <f>fNotasFiscais[[#This Row],[Data da Coleta]]+fNotasFiscais[[#This Row],[Prazo Contratado]]</f>
        <v>43777</v>
      </c>
      <c r="X2526" s="3">
        <f>IF(fNotasFiscais[[#This Row],[Data da Entrega]]&gt;fNotasFiscais[[#This Row],[Data Contratada]],0,1)</f>
        <v>1</v>
      </c>
      <c r="Y2526" s="3">
        <f>IF(fNotasFiscais[[#This Row],[Ocorrência]]="",1,0)</f>
        <v>1</v>
      </c>
      <c r="Z2526" s="2">
        <f>fNotasFiscais[[#This Row],[On Time]]*fNotasFiscais[[#This Row],[In Full]]</f>
        <v>1</v>
      </c>
      <c r="AA2526">
        <f>IF(fNotasFiscais[[#This Row],[Nota Fiscal]]&lt;&gt;"",1,0)</f>
        <v>1</v>
      </c>
    </row>
    <row r="2527" spans="1:27" x14ac:dyDescent="0.25">
      <c r="A2527" s="1">
        <v>43768</v>
      </c>
      <c r="B2527">
        <v>12936</v>
      </c>
      <c r="C2527" s="2" t="s">
        <v>22</v>
      </c>
      <c r="D2527" s="2" t="s">
        <v>23</v>
      </c>
      <c r="E2527" s="2" t="s">
        <v>24</v>
      </c>
      <c r="F2527">
        <v>4161</v>
      </c>
      <c r="G2527" s="2" t="s">
        <v>244</v>
      </c>
      <c r="H2527" s="2" t="s">
        <v>167</v>
      </c>
      <c r="I2527" s="2" t="s">
        <v>168</v>
      </c>
      <c r="J2527" s="2" t="s">
        <v>169</v>
      </c>
      <c r="K2527" s="2" t="s">
        <v>168</v>
      </c>
      <c r="L2527">
        <v>3397.01</v>
      </c>
      <c r="M2527">
        <v>2</v>
      </c>
      <c r="N2527">
        <v>1.5680000000000001</v>
      </c>
      <c r="O2527">
        <v>6900304</v>
      </c>
      <c r="P2527" s="2" t="s">
        <v>170</v>
      </c>
      <c r="Q2527" s="2" t="s">
        <v>171</v>
      </c>
      <c r="R2527" s="2" t="s">
        <v>30</v>
      </c>
      <c r="S2527">
        <v>5</v>
      </c>
      <c r="T2527" s="1">
        <v>43769</v>
      </c>
      <c r="U2527" s="1">
        <v>43776</v>
      </c>
      <c r="V2527" s="2"/>
      <c r="W2527" s="1">
        <f>fNotasFiscais[[#This Row],[Data da Coleta]]+fNotasFiscais[[#This Row],[Prazo Contratado]]</f>
        <v>43774</v>
      </c>
      <c r="X2527" s="3">
        <f>IF(fNotasFiscais[[#This Row],[Data da Entrega]]&gt;fNotasFiscais[[#This Row],[Data Contratada]],0,1)</f>
        <v>0</v>
      </c>
      <c r="Y2527" s="3">
        <f>IF(fNotasFiscais[[#This Row],[Ocorrência]]="",1,0)</f>
        <v>1</v>
      </c>
      <c r="Z2527" s="2">
        <f>fNotasFiscais[[#This Row],[On Time]]*fNotasFiscais[[#This Row],[In Full]]</f>
        <v>0</v>
      </c>
      <c r="AA2527">
        <f>IF(fNotasFiscais[[#This Row],[Nota Fiscal]]&lt;&gt;"",1,0)</f>
        <v>1</v>
      </c>
    </row>
    <row r="2528" spans="1:27" x14ac:dyDescent="0.25">
      <c r="A2528" s="1">
        <v>43768</v>
      </c>
      <c r="B2528">
        <v>12937</v>
      </c>
      <c r="C2528" s="2" t="s">
        <v>43</v>
      </c>
      <c r="D2528" s="2" t="s">
        <v>44</v>
      </c>
      <c r="E2528" s="2" t="s">
        <v>45</v>
      </c>
      <c r="F2528">
        <v>4258</v>
      </c>
      <c r="G2528" s="2" t="s">
        <v>341</v>
      </c>
      <c r="H2528" s="2" t="s">
        <v>173</v>
      </c>
      <c r="I2528" s="2" t="s">
        <v>174</v>
      </c>
      <c r="J2528" s="2" t="s">
        <v>175</v>
      </c>
      <c r="K2528" s="2" t="s">
        <v>174</v>
      </c>
      <c r="L2528">
        <v>2343.4</v>
      </c>
      <c r="M2528">
        <v>4</v>
      </c>
      <c r="N2528">
        <v>16.97</v>
      </c>
      <c r="O2528">
        <v>6700091</v>
      </c>
      <c r="P2528" s="2" t="s">
        <v>176</v>
      </c>
      <c r="Q2528" s="2" t="s">
        <v>173</v>
      </c>
      <c r="R2528" s="2" t="s">
        <v>30</v>
      </c>
      <c r="S2528">
        <v>6</v>
      </c>
      <c r="T2528" s="1">
        <v>43769</v>
      </c>
      <c r="U2528" s="1">
        <v>43772</v>
      </c>
      <c r="V2528" s="2"/>
      <c r="W2528" s="1">
        <f>fNotasFiscais[[#This Row],[Data da Coleta]]+fNotasFiscais[[#This Row],[Prazo Contratado]]</f>
        <v>43775</v>
      </c>
      <c r="X2528" s="3">
        <f>IF(fNotasFiscais[[#This Row],[Data da Entrega]]&gt;fNotasFiscais[[#This Row],[Data Contratada]],0,1)</f>
        <v>1</v>
      </c>
      <c r="Y2528" s="3">
        <f>IF(fNotasFiscais[[#This Row],[Ocorrência]]="",1,0)</f>
        <v>1</v>
      </c>
      <c r="Z2528" s="2">
        <f>fNotasFiscais[[#This Row],[On Time]]*fNotasFiscais[[#This Row],[In Full]]</f>
        <v>1</v>
      </c>
      <c r="AA2528">
        <f>IF(fNotasFiscais[[#This Row],[Nota Fiscal]]&lt;&gt;"",1,0)</f>
        <v>1</v>
      </c>
    </row>
    <row r="2529" spans="1:27" x14ac:dyDescent="0.25">
      <c r="A2529" s="1">
        <v>43768</v>
      </c>
      <c r="B2529">
        <v>12938</v>
      </c>
      <c r="C2529" s="2" t="s">
        <v>31</v>
      </c>
      <c r="D2529" s="2" t="s">
        <v>32</v>
      </c>
      <c r="E2529" s="2" t="s">
        <v>33</v>
      </c>
      <c r="F2529">
        <v>4233</v>
      </c>
      <c r="G2529" s="2" t="s">
        <v>316</v>
      </c>
      <c r="H2529" s="2" t="s">
        <v>35</v>
      </c>
      <c r="I2529" s="2" t="s">
        <v>36</v>
      </c>
      <c r="J2529" s="2" t="s">
        <v>60</v>
      </c>
      <c r="K2529" s="2" t="s">
        <v>36</v>
      </c>
      <c r="L2529">
        <v>1424.41</v>
      </c>
      <c r="M2529">
        <v>4</v>
      </c>
      <c r="N2529">
        <v>5.5830000000000002</v>
      </c>
      <c r="O2529">
        <v>6600879</v>
      </c>
      <c r="P2529" s="2" t="s">
        <v>61</v>
      </c>
      <c r="Q2529" s="2" t="s">
        <v>35</v>
      </c>
      <c r="R2529" s="2" t="s">
        <v>30</v>
      </c>
      <c r="S2529">
        <v>12</v>
      </c>
      <c r="T2529" s="1">
        <v>43769</v>
      </c>
      <c r="U2529" s="1">
        <v>43779</v>
      </c>
      <c r="V2529" s="2"/>
      <c r="W2529" s="1">
        <f>fNotasFiscais[[#This Row],[Data da Coleta]]+fNotasFiscais[[#This Row],[Prazo Contratado]]</f>
        <v>43781</v>
      </c>
      <c r="X2529" s="3">
        <f>IF(fNotasFiscais[[#This Row],[Data da Entrega]]&gt;fNotasFiscais[[#This Row],[Data Contratada]],0,1)</f>
        <v>1</v>
      </c>
      <c r="Y2529" s="3">
        <f>IF(fNotasFiscais[[#This Row],[Ocorrência]]="",1,0)</f>
        <v>1</v>
      </c>
      <c r="Z2529" s="2">
        <f>fNotasFiscais[[#This Row],[On Time]]*fNotasFiscais[[#This Row],[In Full]]</f>
        <v>1</v>
      </c>
      <c r="AA2529">
        <f>IF(fNotasFiscais[[#This Row],[Nota Fiscal]]&lt;&gt;"",1,0)</f>
        <v>1</v>
      </c>
    </row>
    <row r="2530" spans="1:27" x14ac:dyDescent="0.25">
      <c r="A2530" s="1">
        <v>43768</v>
      </c>
      <c r="B2530">
        <v>12939</v>
      </c>
      <c r="C2530" s="2" t="s">
        <v>43</v>
      </c>
      <c r="D2530" s="2" t="s">
        <v>44</v>
      </c>
      <c r="E2530" s="2" t="s">
        <v>45</v>
      </c>
      <c r="F2530">
        <v>4013</v>
      </c>
      <c r="G2530" s="2" t="s">
        <v>37</v>
      </c>
      <c r="H2530" s="2" t="s">
        <v>38</v>
      </c>
      <c r="I2530" s="2" t="s">
        <v>39</v>
      </c>
      <c r="J2530" s="2" t="s">
        <v>28</v>
      </c>
      <c r="K2530" s="2" t="s">
        <v>39</v>
      </c>
      <c r="L2530">
        <v>119.05</v>
      </c>
      <c r="M2530">
        <v>1</v>
      </c>
      <c r="N2530">
        <v>0.42799999999999999</v>
      </c>
      <c r="O2530">
        <v>6500948</v>
      </c>
      <c r="P2530" s="2" t="s">
        <v>29</v>
      </c>
      <c r="Q2530" s="2" t="s">
        <v>23</v>
      </c>
      <c r="R2530" s="2" t="s">
        <v>30</v>
      </c>
      <c r="S2530">
        <v>8</v>
      </c>
      <c r="T2530" s="1">
        <v>43769</v>
      </c>
      <c r="U2530" s="1">
        <v>43779</v>
      </c>
      <c r="V2530" s="2"/>
      <c r="W2530" s="1">
        <f>fNotasFiscais[[#This Row],[Data da Coleta]]+fNotasFiscais[[#This Row],[Prazo Contratado]]</f>
        <v>43777</v>
      </c>
      <c r="X2530" s="3">
        <f>IF(fNotasFiscais[[#This Row],[Data da Entrega]]&gt;fNotasFiscais[[#This Row],[Data Contratada]],0,1)</f>
        <v>0</v>
      </c>
      <c r="Y2530" s="3">
        <f>IF(fNotasFiscais[[#This Row],[Ocorrência]]="",1,0)</f>
        <v>1</v>
      </c>
      <c r="Z2530" s="2">
        <f>fNotasFiscais[[#This Row],[On Time]]*fNotasFiscais[[#This Row],[In Full]]</f>
        <v>0</v>
      </c>
      <c r="AA2530">
        <f>IF(fNotasFiscais[[#This Row],[Nota Fiscal]]&lt;&gt;"",1,0)</f>
        <v>1</v>
      </c>
    </row>
    <row r="2531" spans="1:27" x14ac:dyDescent="0.25">
      <c r="A2531" s="1">
        <v>43768</v>
      </c>
      <c r="B2531">
        <v>12940</v>
      </c>
      <c r="C2531" s="2" t="s">
        <v>31</v>
      </c>
      <c r="D2531" s="2" t="s">
        <v>32</v>
      </c>
      <c r="E2531" s="2" t="s">
        <v>33</v>
      </c>
      <c r="F2531">
        <v>4233</v>
      </c>
      <c r="G2531" s="2" t="s">
        <v>316</v>
      </c>
      <c r="H2531" s="2" t="s">
        <v>35</v>
      </c>
      <c r="I2531" s="2" t="s">
        <v>36</v>
      </c>
      <c r="J2531" s="2" t="s">
        <v>60</v>
      </c>
      <c r="K2531" s="2" t="s">
        <v>36</v>
      </c>
      <c r="L2531">
        <v>58.77</v>
      </c>
      <c r="M2531">
        <v>1</v>
      </c>
      <c r="N2531">
        <v>2.2850000000000001</v>
      </c>
      <c r="O2531">
        <v>6600879</v>
      </c>
      <c r="P2531" s="2" t="s">
        <v>61</v>
      </c>
      <c r="Q2531" s="2" t="s">
        <v>35</v>
      </c>
      <c r="R2531" s="2" t="s">
        <v>30</v>
      </c>
      <c r="S2531">
        <v>9</v>
      </c>
      <c r="T2531" s="1">
        <v>43769</v>
      </c>
      <c r="U2531" s="1">
        <v>43777</v>
      </c>
      <c r="V2531" s="2"/>
      <c r="W2531" s="1">
        <f>fNotasFiscais[[#This Row],[Data da Coleta]]+fNotasFiscais[[#This Row],[Prazo Contratado]]</f>
        <v>43778</v>
      </c>
      <c r="X2531" s="3">
        <f>IF(fNotasFiscais[[#This Row],[Data da Entrega]]&gt;fNotasFiscais[[#This Row],[Data Contratada]],0,1)</f>
        <v>1</v>
      </c>
      <c r="Y2531" s="3">
        <f>IF(fNotasFiscais[[#This Row],[Ocorrência]]="",1,0)</f>
        <v>1</v>
      </c>
      <c r="Z2531" s="2">
        <f>fNotasFiscais[[#This Row],[On Time]]*fNotasFiscais[[#This Row],[In Full]]</f>
        <v>1</v>
      </c>
      <c r="AA2531">
        <f>IF(fNotasFiscais[[#This Row],[Nota Fiscal]]&lt;&gt;"",1,0)</f>
        <v>1</v>
      </c>
    </row>
    <row r="2532" spans="1:27" x14ac:dyDescent="0.25">
      <c r="A2532" s="1">
        <v>43768</v>
      </c>
      <c r="B2532">
        <v>12941</v>
      </c>
      <c r="C2532" s="2" t="s">
        <v>40</v>
      </c>
      <c r="D2532" s="2" t="s">
        <v>41</v>
      </c>
      <c r="E2532" s="2" t="s">
        <v>33</v>
      </c>
      <c r="F2532">
        <v>4034</v>
      </c>
      <c r="G2532" s="2" t="s">
        <v>110</v>
      </c>
      <c r="H2532" s="2" t="s">
        <v>51</v>
      </c>
      <c r="I2532" s="2" t="s">
        <v>73</v>
      </c>
      <c r="J2532" s="2" t="s">
        <v>49</v>
      </c>
      <c r="K2532" s="2" t="s">
        <v>73</v>
      </c>
      <c r="L2532">
        <v>865.47</v>
      </c>
      <c r="M2532">
        <v>1</v>
      </c>
      <c r="N2532">
        <v>2.9580000000000002</v>
      </c>
      <c r="O2532">
        <v>6100231</v>
      </c>
      <c r="P2532" s="2" t="s">
        <v>50</v>
      </c>
      <c r="Q2532" s="2" t="s">
        <v>51</v>
      </c>
      <c r="R2532" s="2" t="s">
        <v>30</v>
      </c>
      <c r="S2532">
        <v>1</v>
      </c>
      <c r="T2532" s="1">
        <v>43769</v>
      </c>
      <c r="U2532" s="1">
        <v>43775</v>
      </c>
      <c r="V2532" s="2"/>
      <c r="W2532" s="1">
        <f>fNotasFiscais[[#This Row],[Data da Coleta]]+fNotasFiscais[[#This Row],[Prazo Contratado]]</f>
        <v>43770</v>
      </c>
      <c r="X2532" s="3">
        <f>IF(fNotasFiscais[[#This Row],[Data da Entrega]]&gt;fNotasFiscais[[#This Row],[Data Contratada]],0,1)</f>
        <v>0</v>
      </c>
      <c r="Y2532" s="3">
        <f>IF(fNotasFiscais[[#This Row],[Ocorrência]]="",1,0)</f>
        <v>1</v>
      </c>
      <c r="Z2532" s="2">
        <f>fNotasFiscais[[#This Row],[On Time]]*fNotasFiscais[[#This Row],[In Full]]</f>
        <v>0</v>
      </c>
      <c r="AA2532">
        <f>IF(fNotasFiscais[[#This Row],[Nota Fiscal]]&lt;&gt;"",1,0)</f>
        <v>1</v>
      </c>
    </row>
    <row r="2533" spans="1:27" x14ac:dyDescent="0.25">
      <c r="A2533" s="1">
        <v>43768</v>
      </c>
      <c r="B2533">
        <v>12942</v>
      </c>
      <c r="C2533" s="2" t="s">
        <v>54</v>
      </c>
      <c r="D2533" s="2" t="s">
        <v>55</v>
      </c>
      <c r="E2533" s="2" t="s">
        <v>56</v>
      </c>
      <c r="F2533">
        <v>4013</v>
      </c>
      <c r="G2533" s="2" t="s">
        <v>37</v>
      </c>
      <c r="H2533" s="2" t="s">
        <v>38</v>
      </c>
      <c r="I2533" s="2" t="s">
        <v>39</v>
      </c>
      <c r="J2533" s="2" t="s">
        <v>28</v>
      </c>
      <c r="K2533" s="2" t="s">
        <v>39</v>
      </c>
      <c r="L2533">
        <v>1791.61</v>
      </c>
      <c r="M2533">
        <v>3</v>
      </c>
      <c r="N2533">
        <v>4.827</v>
      </c>
      <c r="O2533">
        <v>6500948</v>
      </c>
      <c r="P2533" s="2" t="s">
        <v>29</v>
      </c>
      <c r="Q2533" s="2" t="s">
        <v>23</v>
      </c>
      <c r="R2533" s="2" t="s">
        <v>30</v>
      </c>
      <c r="S2533">
        <v>7</v>
      </c>
      <c r="T2533" s="1">
        <v>43769</v>
      </c>
      <c r="U2533" s="1">
        <v>43775</v>
      </c>
      <c r="V2533" s="2"/>
      <c r="W2533" s="1">
        <f>fNotasFiscais[[#This Row],[Data da Coleta]]+fNotasFiscais[[#This Row],[Prazo Contratado]]</f>
        <v>43776</v>
      </c>
      <c r="X2533" s="3">
        <f>IF(fNotasFiscais[[#This Row],[Data da Entrega]]&gt;fNotasFiscais[[#This Row],[Data Contratada]],0,1)</f>
        <v>1</v>
      </c>
      <c r="Y2533" s="3">
        <f>IF(fNotasFiscais[[#This Row],[Ocorrência]]="",1,0)</f>
        <v>1</v>
      </c>
      <c r="Z2533" s="2">
        <f>fNotasFiscais[[#This Row],[On Time]]*fNotasFiscais[[#This Row],[In Full]]</f>
        <v>1</v>
      </c>
      <c r="AA2533">
        <f>IF(fNotasFiscais[[#This Row],[Nota Fiscal]]&lt;&gt;"",1,0)</f>
        <v>1</v>
      </c>
    </row>
    <row r="2534" spans="1:27" x14ac:dyDescent="0.25">
      <c r="A2534" s="1">
        <v>43768</v>
      </c>
      <c r="B2534">
        <v>12943</v>
      </c>
      <c r="C2534" s="2" t="s">
        <v>54</v>
      </c>
      <c r="D2534" s="2" t="s">
        <v>55</v>
      </c>
      <c r="E2534" s="2" t="s">
        <v>56</v>
      </c>
      <c r="F2534">
        <v>4014</v>
      </c>
      <c r="G2534" s="2" t="s">
        <v>58</v>
      </c>
      <c r="H2534" s="2" t="s">
        <v>59</v>
      </c>
      <c r="I2534" s="2" t="s">
        <v>36</v>
      </c>
      <c r="J2534" s="2" t="s">
        <v>60</v>
      </c>
      <c r="K2534" s="2" t="s">
        <v>36</v>
      </c>
      <c r="L2534">
        <v>43.68</v>
      </c>
      <c r="M2534">
        <v>1</v>
      </c>
      <c r="N2534">
        <v>0.24</v>
      </c>
      <c r="O2534">
        <v>6600879</v>
      </c>
      <c r="P2534" s="2" t="s">
        <v>61</v>
      </c>
      <c r="Q2534" s="2" t="s">
        <v>35</v>
      </c>
      <c r="R2534" s="2" t="s">
        <v>30</v>
      </c>
      <c r="S2534">
        <v>6</v>
      </c>
      <c r="T2534" s="1">
        <v>43769</v>
      </c>
      <c r="U2534" s="1">
        <v>43779</v>
      </c>
      <c r="V2534" s="2"/>
      <c r="W2534" s="1">
        <f>fNotasFiscais[[#This Row],[Data da Coleta]]+fNotasFiscais[[#This Row],[Prazo Contratado]]</f>
        <v>43775</v>
      </c>
      <c r="X2534" s="3">
        <f>IF(fNotasFiscais[[#This Row],[Data da Entrega]]&gt;fNotasFiscais[[#This Row],[Data Contratada]],0,1)</f>
        <v>0</v>
      </c>
      <c r="Y2534" s="3">
        <f>IF(fNotasFiscais[[#This Row],[Ocorrência]]="",1,0)</f>
        <v>1</v>
      </c>
      <c r="Z2534" s="2">
        <f>fNotasFiscais[[#This Row],[On Time]]*fNotasFiscais[[#This Row],[In Full]]</f>
        <v>0</v>
      </c>
      <c r="AA2534">
        <f>IF(fNotasFiscais[[#This Row],[Nota Fiscal]]&lt;&gt;"",1,0)</f>
        <v>1</v>
      </c>
    </row>
    <row r="2535" spans="1:27" x14ac:dyDescent="0.25">
      <c r="A2535" s="1">
        <v>43768</v>
      </c>
      <c r="B2535">
        <v>12944</v>
      </c>
      <c r="C2535" s="2" t="s">
        <v>43</v>
      </c>
      <c r="D2535" s="2" t="s">
        <v>44</v>
      </c>
      <c r="E2535" s="2" t="s">
        <v>45</v>
      </c>
      <c r="F2535">
        <v>4064</v>
      </c>
      <c r="G2535" s="2" t="s">
        <v>128</v>
      </c>
      <c r="H2535" s="2" t="s">
        <v>129</v>
      </c>
      <c r="I2535" s="2" t="s">
        <v>33</v>
      </c>
      <c r="J2535" s="2" t="s">
        <v>60</v>
      </c>
      <c r="K2535" s="2" t="s">
        <v>33</v>
      </c>
      <c r="L2535">
        <v>210.89</v>
      </c>
      <c r="M2535">
        <v>1</v>
      </c>
      <c r="N2535">
        <v>0.13900000000000001</v>
      </c>
      <c r="O2535">
        <v>6400835</v>
      </c>
      <c r="P2535" s="2" t="s">
        <v>130</v>
      </c>
      <c r="Q2535" s="2" t="s">
        <v>131</v>
      </c>
      <c r="R2535" s="2" t="s">
        <v>30</v>
      </c>
      <c r="S2535">
        <v>5</v>
      </c>
      <c r="T2535" s="1">
        <v>43769</v>
      </c>
      <c r="U2535" s="1">
        <v>43777</v>
      </c>
      <c r="V2535" s="2"/>
      <c r="W2535" s="1">
        <f>fNotasFiscais[[#This Row],[Data da Coleta]]+fNotasFiscais[[#This Row],[Prazo Contratado]]</f>
        <v>43774</v>
      </c>
      <c r="X2535" s="3">
        <f>IF(fNotasFiscais[[#This Row],[Data da Entrega]]&gt;fNotasFiscais[[#This Row],[Data Contratada]],0,1)</f>
        <v>0</v>
      </c>
      <c r="Y2535" s="3">
        <f>IF(fNotasFiscais[[#This Row],[Ocorrência]]="",1,0)</f>
        <v>1</v>
      </c>
      <c r="Z2535" s="2">
        <f>fNotasFiscais[[#This Row],[On Time]]*fNotasFiscais[[#This Row],[In Full]]</f>
        <v>0</v>
      </c>
      <c r="AA2535">
        <f>IF(fNotasFiscais[[#This Row],[Nota Fiscal]]&lt;&gt;"",1,0)</f>
        <v>1</v>
      </c>
    </row>
    <row r="2536" spans="1:27" x14ac:dyDescent="0.25">
      <c r="A2536" s="1">
        <v>43768</v>
      </c>
      <c r="B2536">
        <v>12945</v>
      </c>
      <c r="C2536" s="2" t="s">
        <v>54</v>
      </c>
      <c r="D2536" s="2" t="s">
        <v>55</v>
      </c>
      <c r="E2536" s="2" t="s">
        <v>56</v>
      </c>
      <c r="F2536">
        <v>4064</v>
      </c>
      <c r="G2536" s="2" t="s">
        <v>128</v>
      </c>
      <c r="H2536" s="2" t="s">
        <v>129</v>
      </c>
      <c r="I2536" s="2" t="s">
        <v>33</v>
      </c>
      <c r="J2536" s="2" t="s">
        <v>60</v>
      </c>
      <c r="K2536" s="2" t="s">
        <v>33</v>
      </c>
      <c r="L2536">
        <v>638.72</v>
      </c>
      <c r="M2536">
        <v>2</v>
      </c>
      <c r="N2536">
        <v>1.1000000000000001</v>
      </c>
      <c r="O2536">
        <v>6400835</v>
      </c>
      <c r="P2536" s="2" t="s">
        <v>130</v>
      </c>
      <c r="Q2536" s="2" t="s">
        <v>131</v>
      </c>
      <c r="R2536" s="2" t="s">
        <v>30</v>
      </c>
      <c r="S2536">
        <v>8</v>
      </c>
      <c r="T2536" s="1">
        <v>43769</v>
      </c>
      <c r="U2536" s="1">
        <v>43770</v>
      </c>
      <c r="V2536" s="2"/>
      <c r="W2536" s="1">
        <f>fNotasFiscais[[#This Row],[Data da Coleta]]+fNotasFiscais[[#This Row],[Prazo Contratado]]</f>
        <v>43777</v>
      </c>
      <c r="X2536" s="3">
        <f>IF(fNotasFiscais[[#This Row],[Data da Entrega]]&gt;fNotasFiscais[[#This Row],[Data Contratada]],0,1)</f>
        <v>1</v>
      </c>
      <c r="Y2536" s="3">
        <f>IF(fNotasFiscais[[#This Row],[Ocorrência]]="",1,0)</f>
        <v>1</v>
      </c>
      <c r="Z2536" s="2">
        <f>fNotasFiscais[[#This Row],[On Time]]*fNotasFiscais[[#This Row],[In Full]]</f>
        <v>1</v>
      </c>
      <c r="AA2536">
        <f>IF(fNotasFiscais[[#This Row],[Nota Fiscal]]&lt;&gt;"",1,0)</f>
        <v>1</v>
      </c>
    </row>
    <row r="2537" spans="1:27" x14ac:dyDescent="0.25">
      <c r="A2537" s="1">
        <v>43768</v>
      </c>
      <c r="B2537">
        <v>12946</v>
      </c>
      <c r="C2537" s="2" t="s">
        <v>52</v>
      </c>
      <c r="D2537" s="2" t="s">
        <v>53</v>
      </c>
      <c r="E2537" s="2" t="s">
        <v>33</v>
      </c>
      <c r="F2537">
        <v>4259</v>
      </c>
      <c r="G2537" s="2" t="s">
        <v>342</v>
      </c>
      <c r="H2537" s="2" t="s">
        <v>167</v>
      </c>
      <c r="I2537" s="2" t="s">
        <v>168</v>
      </c>
      <c r="J2537" s="2" t="s">
        <v>169</v>
      </c>
      <c r="K2537" s="2" t="s">
        <v>168</v>
      </c>
      <c r="L2537">
        <v>2159.86</v>
      </c>
      <c r="M2537">
        <v>1</v>
      </c>
      <c r="N2537">
        <v>5.2359999999999998</v>
      </c>
      <c r="O2537">
        <v>6900304</v>
      </c>
      <c r="P2537" s="2" t="s">
        <v>170</v>
      </c>
      <c r="Q2537" s="2" t="s">
        <v>171</v>
      </c>
      <c r="R2537" s="2" t="s">
        <v>30</v>
      </c>
      <c r="S2537">
        <v>5</v>
      </c>
      <c r="T2537" s="1">
        <v>43769</v>
      </c>
      <c r="U2537" s="1">
        <v>43770</v>
      </c>
      <c r="V2537" s="2"/>
      <c r="W2537" s="1">
        <f>fNotasFiscais[[#This Row],[Data da Coleta]]+fNotasFiscais[[#This Row],[Prazo Contratado]]</f>
        <v>43774</v>
      </c>
      <c r="X2537" s="3">
        <f>IF(fNotasFiscais[[#This Row],[Data da Entrega]]&gt;fNotasFiscais[[#This Row],[Data Contratada]],0,1)</f>
        <v>1</v>
      </c>
      <c r="Y2537" s="3">
        <f>IF(fNotasFiscais[[#This Row],[Ocorrência]]="",1,0)</f>
        <v>1</v>
      </c>
      <c r="Z2537" s="2">
        <f>fNotasFiscais[[#This Row],[On Time]]*fNotasFiscais[[#This Row],[In Full]]</f>
        <v>1</v>
      </c>
      <c r="AA2537">
        <f>IF(fNotasFiscais[[#This Row],[Nota Fiscal]]&lt;&gt;"",1,0)</f>
        <v>1</v>
      </c>
    </row>
    <row r="2538" spans="1:27" x14ac:dyDescent="0.25">
      <c r="A2538" s="1">
        <v>43768</v>
      </c>
      <c r="B2538">
        <v>12947</v>
      </c>
      <c r="C2538" s="2" t="s">
        <v>22</v>
      </c>
      <c r="D2538" s="2" t="s">
        <v>23</v>
      </c>
      <c r="E2538" s="2" t="s">
        <v>24</v>
      </c>
      <c r="F2538">
        <v>4014</v>
      </c>
      <c r="G2538" s="2" t="s">
        <v>58</v>
      </c>
      <c r="H2538" s="2" t="s">
        <v>59</v>
      </c>
      <c r="I2538" s="2" t="s">
        <v>36</v>
      </c>
      <c r="J2538" s="2" t="s">
        <v>60</v>
      </c>
      <c r="K2538" s="2" t="s">
        <v>36</v>
      </c>
      <c r="L2538">
        <v>199.3</v>
      </c>
      <c r="M2538">
        <v>1</v>
      </c>
      <c r="N2538">
        <v>1.32</v>
      </c>
      <c r="O2538">
        <v>6600879</v>
      </c>
      <c r="P2538" s="2" t="s">
        <v>61</v>
      </c>
      <c r="Q2538" s="2" t="s">
        <v>35</v>
      </c>
      <c r="R2538" s="2" t="s">
        <v>30</v>
      </c>
      <c r="S2538">
        <v>8</v>
      </c>
      <c r="T2538" s="1">
        <v>43769</v>
      </c>
      <c r="U2538" s="1">
        <v>43779</v>
      </c>
      <c r="V2538" s="2"/>
      <c r="W2538" s="1">
        <f>fNotasFiscais[[#This Row],[Data da Coleta]]+fNotasFiscais[[#This Row],[Prazo Contratado]]</f>
        <v>43777</v>
      </c>
      <c r="X2538" s="3">
        <f>IF(fNotasFiscais[[#This Row],[Data da Entrega]]&gt;fNotasFiscais[[#This Row],[Data Contratada]],0,1)</f>
        <v>0</v>
      </c>
      <c r="Y2538" s="3">
        <f>IF(fNotasFiscais[[#This Row],[Ocorrência]]="",1,0)</f>
        <v>1</v>
      </c>
      <c r="Z2538" s="2">
        <f>fNotasFiscais[[#This Row],[On Time]]*fNotasFiscais[[#This Row],[In Full]]</f>
        <v>0</v>
      </c>
      <c r="AA2538">
        <f>IF(fNotasFiscais[[#This Row],[Nota Fiscal]]&lt;&gt;"",1,0)</f>
        <v>1</v>
      </c>
    </row>
    <row r="2539" spans="1:27" x14ac:dyDescent="0.25">
      <c r="A2539" s="1">
        <v>43768</v>
      </c>
      <c r="B2539">
        <v>12948</v>
      </c>
      <c r="C2539" s="2" t="s">
        <v>54</v>
      </c>
      <c r="D2539" s="2" t="s">
        <v>55</v>
      </c>
      <c r="E2539" s="2" t="s">
        <v>56</v>
      </c>
      <c r="F2539">
        <v>4056</v>
      </c>
      <c r="G2539" s="2" t="s">
        <v>119</v>
      </c>
      <c r="H2539" s="2" t="s">
        <v>51</v>
      </c>
      <c r="I2539" s="2" t="s">
        <v>73</v>
      </c>
      <c r="J2539" s="2" t="s">
        <v>49</v>
      </c>
      <c r="K2539" s="2" t="s">
        <v>73</v>
      </c>
      <c r="L2539">
        <v>1066.8399999999999</v>
      </c>
      <c r="M2539">
        <v>2</v>
      </c>
      <c r="N2539">
        <v>12.048</v>
      </c>
      <c r="O2539">
        <v>6100231</v>
      </c>
      <c r="P2539" s="2" t="s">
        <v>50</v>
      </c>
      <c r="Q2539" s="2" t="s">
        <v>51</v>
      </c>
      <c r="R2539" s="2" t="s">
        <v>30</v>
      </c>
      <c r="S2539">
        <v>3</v>
      </c>
      <c r="T2539" s="1">
        <v>43769</v>
      </c>
      <c r="U2539" s="1">
        <v>43773</v>
      </c>
      <c r="V2539" s="2"/>
      <c r="W2539" s="1">
        <f>fNotasFiscais[[#This Row],[Data da Coleta]]+fNotasFiscais[[#This Row],[Prazo Contratado]]</f>
        <v>43772</v>
      </c>
      <c r="X2539" s="3">
        <f>IF(fNotasFiscais[[#This Row],[Data da Entrega]]&gt;fNotasFiscais[[#This Row],[Data Contratada]],0,1)</f>
        <v>0</v>
      </c>
      <c r="Y2539" s="3">
        <f>IF(fNotasFiscais[[#This Row],[Ocorrência]]="",1,0)</f>
        <v>1</v>
      </c>
      <c r="Z2539" s="2">
        <f>fNotasFiscais[[#This Row],[On Time]]*fNotasFiscais[[#This Row],[In Full]]</f>
        <v>0</v>
      </c>
      <c r="AA2539">
        <f>IF(fNotasFiscais[[#This Row],[Nota Fiscal]]&lt;&gt;"",1,0)</f>
        <v>1</v>
      </c>
    </row>
    <row r="2540" spans="1:27" x14ac:dyDescent="0.25">
      <c r="A2540" s="1">
        <v>43768</v>
      </c>
      <c r="B2540">
        <v>12949</v>
      </c>
      <c r="C2540" s="2" t="s">
        <v>40</v>
      </c>
      <c r="D2540" s="2" t="s">
        <v>41</v>
      </c>
      <c r="E2540" s="2" t="s">
        <v>33</v>
      </c>
      <c r="F2540">
        <v>4049</v>
      </c>
      <c r="G2540" s="2" t="s">
        <v>118</v>
      </c>
      <c r="H2540" s="2" t="s">
        <v>97</v>
      </c>
      <c r="I2540" s="2" t="s">
        <v>48</v>
      </c>
      <c r="J2540" s="2" t="s">
        <v>49</v>
      </c>
      <c r="K2540" s="2" t="s">
        <v>48</v>
      </c>
      <c r="L2540">
        <v>2189.06</v>
      </c>
      <c r="M2540">
        <v>1</v>
      </c>
      <c r="N2540">
        <v>9.548</v>
      </c>
      <c r="O2540">
        <v>6100231</v>
      </c>
      <c r="P2540" s="2" t="s">
        <v>50</v>
      </c>
      <c r="Q2540" s="2" t="s">
        <v>51</v>
      </c>
      <c r="R2540" s="2" t="s">
        <v>30</v>
      </c>
      <c r="S2540">
        <v>1</v>
      </c>
      <c r="T2540" s="1">
        <v>43769</v>
      </c>
      <c r="U2540" s="1">
        <v>43772</v>
      </c>
      <c r="V2540" s="2"/>
      <c r="W2540" s="1">
        <f>fNotasFiscais[[#This Row],[Data da Coleta]]+fNotasFiscais[[#This Row],[Prazo Contratado]]</f>
        <v>43770</v>
      </c>
      <c r="X2540" s="3">
        <f>IF(fNotasFiscais[[#This Row],[Data da Entrega]]&gt;fNotasFiscais[[#This Row],[Data Contratada]],0,1)</f>
        <v>0</v>
      </c>
      <c r="Y2540" s="3">
        <f>IF(fNotasFiscais[[#This Row],[Ocorrência]]="",1,0)</f>
        <v>1</v>
      </c>
      <c r="Z2540" s="2">
        <f>fNotasFiscais[[#This Row],[On Time]]*fNotasFiscais[[#This Row],[In Full]]</f>
        <v>0</v>
      </c>
      <c r="AA2540">
        <f>IF(fNotasFiscais[[#This Row],[Nota Fiscal]]&lt;&gt;"",1,0)</f>
        <v>1</v>
      </c>
    </row>
    <row r="2541" spans="1:27" x14ac:dyDescent="0.25">
      <c r="A2541" s="1">
        <v>43768</v>
      </c>
      <c r="B2541">
        <v>12950</v>
      </c>
      <c r="C2541" s="2" t="s">
        <v>22</v>
      </c>
      <c r="D2541" s="2" t="s">
        <v>23</v>
      </c>
      <c r="E2541" s="2" t="s">
        <v>24</v>
      </c>
      <c r="F2541">
        <v>4049</v>
      </c>
      <c r="G2541" s="2" t="s">
        <v>118</v>
      </c>
      <c r="H2541" s="2" t="s">
        <v>97</v>
      </c>
      <c r="I2541" s="2" t="s">
        <v>48</v>
      </c>
      <c r="J2541" s="2" t="s">
        <v>49</v>
      </c>
      <c r="K2541" s="2" t="s">
        <v>48</v>
      </c>
      <c r="L2541">
        <v>30013.8</v>
      </c>
      <c r="M2541">
        <v>15</v>
      </c>
      <c r="N2541">
        <v>207.11199999999999</v>
      </c>
      <c r="O2541">
        <v>6100231</v>
      </c>
      <c r="P2541" s="2" t="s">
        <v>50</v>
      </c>
      <c r="Q2541" s="2" t="s">
        <v>51</v>
      </c>
      <c r="R2541" s="2" t="s">
        <v>30</v>
      </c>
      <c r="S2541">
        <v>2</v>
      </c>
      <c r="T2541" s="1">
        <v>43769</v>
      </c>
      <c r="U2541" s="1">
        <v>43772</v>
      </c>
      <c r="V2541" s="2"/>
      <c r="W2541" s="1">
        <f>fNotasFiscais[[#This Row],[Data da Coleta]]+fNotasFiscais[[#This Row],[Prazo Contratado]]</f>
        <v>43771</v>
      </c>
      <c r="X2541" s="3">
        <f>IF(fNotasFiscais[[#This Row],[Data da Entrega]]&gt;fNotasFiscais[[#This Row],[Data Contratada]],0,1)</f>
        <v>0</v>
      </c>
      <c r="Y2541" s="3">
        <f>IF(fNotasFiscais[[#This Row],[Ocorrência]]="",1,0)</f>
        <v>1</v>
      </c>
      <c r="Z2541" s="2">
        <f>fNotasFiscais[[#This Row],[On Time]]*fNotasFiscais[[#This Row],[In Full]]</f>
        <v>0</v>
      </c>
      <c r="AA2541">
        <f>IF(fNotasFiscais[[#This Row],[Nota Fiscal]]&lt;&gt;"",1,0)</f>
        <v>1</v>
      </c>
    </row>
    <row r="2542" spans="1:27" x14ac:dyDescent="0.25">
      <c r="A2542" s="1">
        <v>43769</v>
      </c>
      <c r="B2542">
        <v>12951</v>
      </c>
      <c r="C2542" s="2" t="s">
        <v>43</v>
      </c>
      <c r="D2542" s="2" t="s">
        <v>44</v>
      </c>
      <c r="E2542" s="2" t="s">
        <v>45</v>
      </c>
      <c r="F2542">
        <v>4259</v>
      </c>
      <c r="G2542" s="2" t="s">
        <v>342</v>
      </c>
      <c r="H2542" s="2" t="s">
        <v>167</v>
      </c>
      <c r="I2542" s="2" t="s">
        <v>168</v>
      </c>
      <c r="J2542" s="2" t="s">
        <v>169</v>
      </c>
      <c r="K2542" s="2" t="s">
        <v>168</v>
      </c>
      <c r="L2542">
        <v>382.72</v>
      </c>
      <c r="M2542">
        <v>1</v>
      </c>
      <c r="N2542">
        <v>1.1200000000000001</v>
      </c>
      <c r="O2542">
        <v>6900304</v>
      </c>
      <c r="P2542" s="2" t="s">
        <v>170</v>
      </c>
      <c r="Q2542" s="2" t="s">
        <v>171</v>
      </c>
      <c r="R2542" s="2" t="s">
        <v>30</v>
      </c>
      <c r="S2542">
        <v>10</v>
      </c>
      <c r="T2542" s="1">
        <v>43769</v>
      </c>
      <c r="U2542" s="1">
        <v>43778</v>
      </c>
      <c r="V2542" s="2"/>
      <c r="W2542" s="1">
        <f>fNotasFiscais[[#This Row],[Data da Coleta]]+fNotasFiscais[[#This Row],[Prazo Contratado]]</f>
        <v>43779</v>
      </c>
      <c r="X2542" s="3">
        <f>IF(fNotasFiscais[[#This Row],[Data da Entrega]]&gt;fNotasFiscais[[#This Row],[Data Contratada]],0,1)</f>
        <v>1</v>
      </c>
      <c r="Y2542" s="3">
        <f>IF(fNotasFiscais[[#This Row],[Ocorrência]]="",1,0)</f>
        <v>1</v>
      </c>
      <c r="Z2542" s="2">
        <f>fNotasFiscais[[#This Row],[On Time]]*fNotasFiscais[[#This Row],[In Full]]</f>
        <v>1</v>
      </c>
      <c r="AA2542">
        <f>IF(fNotasFiscais[[#This Row],[Nota Fiscal]]&lt;&gt;"",1,0)</f>
        <v>1</v>
      </c>
    </row>
    <row r="2543" spans="1:27" x14ac:dyDescent="0.25">
      <c r="A2543" s="1">
        <v>43769</v>
      </c>
      <c r="B2543">
        <v>12952</v>
      </c>
      <c r="C2543" s="2" t="s">
        <v>22</v>
      </c>
      <c r="D2543" s="2" t="s">
        <v>23</v>
      </c>
      <c r="E2543" s="2" t="s">
        <v>24</v>
      </c>
      <c r="F2543">
        <v>4014</v>
      </c>
      <c r="G2543" s="2" t="s">
        <v>58</v>
      </c>
      <c r="H2543" s="2" t="s">
        <v>59</v>
      </c>
      <c r="I2543" s="2" t="s">
        <v>36</v>
      </c>
      <c r="J2543" s="2" t="s">
        <v>60</v>
      </c>
      <c r="K2543" s="2" t="s">
        <v>36</v>
      </c>
      <c r="L2543">
        <v>17034.939999999999</v>
      </c>
      <c r="M2543">
        <v>1</v>
      </c>
      <c r="N2543">
        <v>1.1200000000000001</v>
      </c>
      <c r="O2543">
        <v>6600879</v>
      </c>
      <c r="P2543" s="2" t="s">
        <v>61</v>
      </c>
      <c r="Q2543" s="2" t="s">
        <v>35</v>
      </c>
      <c r="R2543" s="2" t="s">
        <v>30</v>
      </c>
      <c r="S2543">
        <v>1</v>
      </c>
      <c r="T2543" s="1">
        <v>43769</v>
      </c>
      <c r="U2543" s="1">
        <v>43775</v>
      </c>
      <c r="V2543" s="2"/>
      <c r="W2543" s="1">
        <f>fNotasFiscais[[#This Row],[Data da Coleta]]+fNotasFiscais[[#This Row],[Prazo Contratado]]</f>
        <v>43770</v>
      </c>
      <c r="X2543" s="3">
        <f>IF(fNotasFiscais[[#This Row],[Data da Entrega]]&gt;fNotasFiscais[[#This Row],[Data Contratada]],0,1)</f>
        <v>0</v>
      </c>
      <c r="Y2543" s="3">
        <f>IF(fNotasFiscais[[#This Row],[Ocorrência]]="",1,0)</f>
        <v>1</v>
      </c>
      <c r="Z2543" s="2">
        <f>fNotasFiscais[[#This Row],[On Time]]*fNotasFiscais[[#This Row],[In Full]]</f>
        <v>0</v>
      </c>
      <c r="AA2543">
        <f>IF(fNotasFiscais[[#This Row],[Nota Fiscal]]&lt;&gt;"",1,0)</f>
        <v>1</v>
      </c>
    </row>
    <row r="2544" spans="1:27" x14ac:dyDescent="0.25">
      <c r="A2544" s="1">
        <v>43769</v>
      </c>
      <c r="B2544">
        <v>12953</v>
      </c>
      <c r="C2544" s="2" t="s">
        <v>52</v>
      </c>
      <c r="D2544" s="2" t="s">
        <v>53</v>
      </c>
      <c r="E2544" s="2" t="s">
        <v>33</v>
      </c>
      <c r="F2544">
        <v>4058</v>
      </c>
      <c r="G2544" s="2" t="s">
        <v>46</v>
      </c>
      <c r="H2544" s="2" t="s">
        <v>47</v>
      </c>
      <c r="I2544" s="2" t="s">
        <v>48</v>
      </c>
      <c r="J2544" s="2" t="s">
        <v>49</v>
      </c>
      <c r="K2544" s="2" t="s">
        <v>48</v>
      </c>
      <c r="L2544">
        <v>403.04</v>
      </c>
      <c r="M2544">
        <v>1</v>
      </c>
      <c r="N2544">
        <v>1.0109999999999999</v>
      </c>
      <c r="O2544">
        <v>6100231</v>
      </c>
      <c r="P2544" s="2" t="s">
        <v>50</v>
      </c>
      <c r="Q2544" s="2" t="s">
        <v>51</v>
      </c>
      <c r="R2544" s="2" t="s">
        <v>30</v>
      </c>
      <c r="S2544">
        <v>2</v>
      </c>
      <c r="T2544" s="1">
        <v>43769</v>
      </c>
      <c r="U2544" s="1">
        <v>43775</v>
      </c>
      <c r="V2544" s="2"/>
      <c r="W2544" s="1">
        <f>fNotasFiscais[[#This Row],[Data da Coleta]]+fNotasFiscais[[#This Row],[Prazo Contratado]]</f>
        <v>43771</v>
      </c>
      <c r="X2544" s="3">
        <f>IF(fNotasFiscais[[#This Row],[Data da Entrega]]&gt;fNotasFiscais[[#This Row],[Data Contratada]],0,1)</f>
        <v>0</v>
      </c>
      <c r="Y2544" s="3">
        <f>IF(fNotasFiscais[[#This Row],[Ocorrência]]="",1,0)</f>
        <v>1</v>
      </c>
      <c r="Z2544" s="2">
        <f>fNotasFiscais[[#This Row],[On Time]]*fNotasFiscais[[#This Row],[In Full]]</f>
        <v>0</v>
      </c>
      <c r="AA2544">
        <f>IF(fNotasFiscais[[#This Row],[Nota Fiscal]]&lt;&gt;"",1,0)</f>
        <v>1</v>
      </c>
    </row>
    <row r="2545" spans="1:27" x14ac:dyDescent="0.25">
      <c r="A2545" s="1">
        <v>43769</v>
      </c>
      <c r="B2545">
        <v>12954</v>
      </c>
      <c r="C2545" s="2" t="s">
        <v>52</v>
      </c>
      <c r="D2545" s="2" t="s">
        <v>53</v>
      </c>
      <c r="E2545" s="2" t="s">
        <v>33</v>
      </c>
      <c r="F2545">
        <v>4056</v>
      </c>
      <c r="G2545" s="2" t="s">
        <v>119</v>
      </c>
      <c r="H2545" s="2" t="s">
        <v>51</v>
      </c>
      <c r="I2545" s="2" t="s">
        <v>73</v>
      </c>
      <c r="J2545" s="2" t="s">
        <v>49</v>
      </c>
      <c r="K2545" s="2" t="s">
        <v>73</v>
      </c>
      <c r="L2545">
        <v>2791.65</v>
      </c>
      <c r="M2545">
        <v>3</v>
      </c>
      <c r="N2545">
        <v>3.4940000000000002</v>
      </c>
      <c r="O2545">
        <v>6100231</v>
      </c>
      <c r="P2545" s="2" t="s">
        <v>50</v>
      </c>
      <c r="Q2545" s="2" t="s">
        <v>51</v>
      </c>
      <c r="R2545" s="2" t="s">
        <v>30</v>
      </c>
      <c r="S2545">
        <v>4</v>
      </c>
      <c r="T2545" s="1">
        <v>43769</v>
      </c>
      <c r="U2545" s="1">
        <v>43776</v>
      </c>
      <c r="V2545" s="2"/>
      <c r="W2545" s="1">
        <f>fNotasFiscais[[#This Row],[Data da Coleta]]+fNotasFiscais[[#This Row],[Prazo Contratado]]</f>
        <v>43773</v>
      </c>
      <c r="X2545" s="3">
        <f>IF(fNotasFiscais[[#This Row],[Data da Entrega]]&gt;fNotasFiscais[[#This Row],[Data Contratada]],0,1)</f>
        <v>0</v>
      </c>
      <c r="Y2545" s="3">
        <f>IF(fNotasFiscais[[#This Row],[Ocorrência]]="",1,0)</f>
        <v>1</v>
      </c>
      <c r="Z2545" s="2">
        <f>fNotasFiscais[[#This Row],[On Time]]*fNotasFiscais[[#This Row],[In Full]]</f>
        <v>0</v>
      </c>
      <c r="AA2545">
        <f>IF(fNotasFiscais[[#This Row],[Nota Fiscal]]&lt;&gt;"",1,0)</f>
        <v>1</v>
      </c>
    </row>
    <row r="2546" spans="1:27" x14ac:dyDescent="0.25">
      <c r="A2546" s="1">
        <v>43769</v>
      </c>
      <c r="B2546">
        <v>12955</v>
      </c>
      <c r="C2546" s="2" t="s">
        <v>40</v>
      </c>
      <c r="D2546" s="2" t="s">
        <v>41</v>
      </c>
      <c r="E2546" s="2" t="s">
        <v>33</v>
      </c>
      <c r="F2546">
        <v>4064</v>
      </c>
      <c r="G2546" s="2" t="s">
        <v>128</v>
      </c>
      <c r="H2546" s="2" t="s">
        <v>129</v>
      </c>
      <c r="I2546" s="2" t="s">
        <v>33</v>
      </c>
      <c r="J2546" s="2" t="s">
        <v>60</v>
      </c>
      <c r="K2546" s="2" t="s">
        <v>33</v>
      </c>
      <c r="L2546">
        <v>14998.11</v>
      </c>
      <c r="M2546">
        <v>4</v>
      </c>
      <c r="N2546">
        <v>47.982999999999997</v>
      </c>
      <c r="O2546">
        <v>6400835</v>
      </c>
      <c r="P2546" s="2" t="s">
        <v>130</v>
      </c>
      <c r="Q2546" s="2" t="s">
        <v>131</v>
      </c>
      <c r="R2546" s="2" t="s">
        <v>30</v>
      </c>
      <c r="S2546">
        <v>7</v>
      </c>
      <c r="T2546" s="1">
        <v>43769</v>
      </c>
      <c r="U2546" s="1">
        <v>43778</v>
      </c>
      <c r="V2546" s="2"/>
      <c r="W2546" s="1">
        <f>fNotasFiscais[[#This Row],[Data da Coleta]]+fNotasFiscais[[#This Row],[Prazo Contratado]]</f>
        <v>43776</v>
      </c>
      <c r="X2546" s="3">
        <f>IF(fNotasFiscais[[#This Row],[Data da Entrega]]&gt;fNotasFiscais[[#This Row],[Data Contratada]],0,1)</f>
        <v>0</v>
      </c>
      <c r="Y2546" s="3">
        <f>IF(fNotasFiscais[[#This Row],[Ocorrência]]="",1,0)</f>
        <v>1</v>
      </c>
      <c r="Z2546" s="2">
        <f>fNotasFiscais[[#This Row],[On Time]]*fNotasFiscais[[#This Row],[In Full]]</f>
        <v>0</v>
      </c>
      <c r="AA2546">
        <f>IF(fNotasFiscais[[#This Row],[Nota Fiscal]]&lt;&gt;"",1,0)</f>
        <v>1</v>
      </c>
    </row>
    <row r="2547" spans="1:27" x14ac:dyDescent="0.25">
      <c r="A2547" s="1">
        <v>43769</v>
      </c>
      <c r="B2547">
        <v>12956</v>
      </c>
      <c r="C2547" s="2" t="s">
        <v>34</v>
      </c>
      <c r="D2547" s="2" t="s">
        <v>35</v>
      </c>
      <c r="E2547" s="2" t="s">
        <v>36</v>
      </c>
      <c r="F2547">
        <v>4049</v>
      </c>
      <c r="G2547" s="2" t="s">
        <v>118</v>
      </c>
      <c r="H2547" s="2" t="s">
        <v>97</v>
      </c>
      <c r="I2547" s="2" t="s">
        <v>48</v>
      </c>
      <c r="J2547" s="2" t="s">
        <v>49</v>
      </c>
      <c r="K2547" s="2" t="s">
        <v>48</v>
      </c>
      <c r="L2547">
        <v>1454.01</v>
      </c>
      <c r="M2547">
        <v>2</v>
      </c>
      <c r="N2547">
        <v>14.304</v>
      </c>
      <c r="O2547">
        <v>6100231</v>
      </c>
      <c r="P2547" s="2" t="s">
        <v>50</v>
      </c>
      <c r="Q2547" s="2" t="s">
        <v>51</v>
      </c>
      <c r="R2547" s="2" t="s">
        <v>30</v>
      </c>
      <c r="S2547">
        <v>6</v>
      </c>
      <c r="T2547" s="1">
        <v>43769</v>
      </c>
      <c r="U2547" s="1">
        <v>43779</v>
      </c>
      <c r="V2547" s="2"/>
      <c r="W2547" s="1">
        <f>fNotasFiscais[[#This Row],[Data da Coleta]]+fNotasFiscais[[#This Row],[Prazo Contratado]]</f>
        <v>43775</v>
      </c>
      <c r="X2547" s="3">
        <f>IF(fNotasFiscais[[#This Row],[Data da Entrega]]&gt;fNotasFiscais[[#This Row],[Data Contratada]],0,1)</f>
        <v>0</v>
      </c>
      <c r="Y2547" s="3">
        <f>IF(fNotasFiscais[[#This Row],[Ocorrência]]="",1,0)</f>
        <v>1</v>
      </c>
      <c r="Z2547" s="2">
        <f>fNotasFiscais[[#This Row],[On Time]]*fNotasFiscais[[#This Row],[In Full]]</f>
        <v>0</v>
      </c>
      <c r="AA2547">
        <f>IF(fNotasFiscais[[#This Row],[Nota Fiscal]]&lt;&gt;"",1,0)</f>
        <v>1</v>
      </c>
    </row>
    <row r="2548" spans="1:27" x14ac:dyDescent="0.25">
      <c r="A2548" s="1">
        <v>43769</v>
      </c>
      <c r="B2548">
        <v>12957</v>
      </c>
      <c r="C2548" s="2" t="s">
        <v>43</v>
      </c>
      <c r="D2548" s="2" t="s">
        <v>44</v>
      </c>
      <c r="E2548" s="2" t="s">
        <v>45</v>
      </c>
      <c r="F2548">
        <v>4049</v>
      </c>
      <c r="G2548" s="2" t="s">
        <v>118</v>
      </c>
      <c r="H2548" s="2" t="s">
        <v>97</v>
      </c>
      <c r="I2548" s="2" t="s">
        <v>48</v>
      </c>
      <c r="J2548" s="2" t="s">
        <v>49</v>
      </c>
      <c r="K2548" s="2" t="s">
        <v>48</v>
      </c>
      <c r="L2548">
        <v>1336.49</v>
      </c>
      <c r="M2548">
        <v>2</v>
      </c>
      <c r="N2548">
        <v>1.73</v>
      </c>
      <c r="O2548">
        <v>6100231</v>
      </c>
      <c r="P2548" s="2" t="s">
        <v>50</v>
      </c>
      <c r="Q2548" s="2" t="s">
        <v>51</v>
      </c>
      <c r="R2548" s="2" t="s">
        <v>30</v>
      </c>
      <c r="S2548">
        <v>10</v>
      </c>
      <c r="T2548" s="1">
        <v>43769</v>
      </c>
      <c r="U2548" s="1">
        <v>43778</v>
      </c>
      <c r="V2548" s="2"/>
      <c r="W2548" s="1">
        <f>fNotasFiscais[[#This Row],[Data da Coleta]]+fNotasFiscais[[#This Row],[Prazo Contratado]]</f>
        <v>43779</v>
      </c>
      <c r="X2548" s="3">
        <f>IF(fNotasFiscais[[#This Row],[Data da Entrega]]&gt;fNotasFiscais[[#This Row],[Data Contratada]],0,1)</f>
        <v>1</v>
      </c>
      <c r="Y2548" s="3">
        <f>IF(fNotasFiscais[[#This Row],[Ocorrência]]="",1,0)</f>
        <v>1</v>
      </c>
      <c r="Z2548" s="2">
        <f>fNotasFiscais[[#This Row],[On Time]]*fNotasFiscais[[#This Row],[In Full]]</f>
        <v>1</v>
      </c>
      <c r="AA2548">
        <f>IF(fNotasFiscais[[#This Row],[Nota Fiscal]]&lt;&gt;"",1,0)</f>
        <v>1</v>
      </c>
    </row>
    <row r="2549" spans="1:27" x14ac:dyDescent="0.25">
      <c r="A2549" s="1">
        <v>43769</v>
      </c>
      <c r="B2549">
        <v>12958</v>
      </c>
      <c r="C2549" s="2" t="s">
        <v>31</v>
      </c>
      <c r="D2549" s="2" t="s">
        <v>32</v>
      </c>
      <c r="E2549" s="2" t="s">
        <v>33</v>
      </c>
      <c r="F2549">
        <v>4259</v>
      </c>
      <c r="G2549" s="2" t="s">
        <v>342</v>
      </c>
      <c r="H2549" s="2" t="s">
        <v>167</v>
      </c>
      <c r="I2549" s="2" t="s">
        <v>168</v>
      </c>
      <c r="J2549" s="2" t="s">
        <v>169</v>
      </c>
      <c r="K2549" s="2" t="s">
        <v>168</v>
      </c>
      <c r="L2549">
        <v>533.84</v>
      </c>
      <c r="M2549">
        <v>3</v>
      </c>
      <c r="N2549">
        <v>1.8979999999999999</v>
      </c>
      <c r="O2549">
        <v>6900304</v>
      </c>
      <c r="P2549" s="2" t="s">
        <v>170</v>
      </c>
      <c r="Q2549" s="2" t="s">
        <v>171</v>
      </c>
      <c r="R2549" s="2" t="s">
        <v>30</v>
      </c>
      <c r="S2549">
        <v>11</v>
      </c>
      <c r="T2549" s="1">
        <v>43769</v>
      </c>
      <c r="U2549" s="1">
        <v>43777</v>
      </c>
      <c r="V2549" s="2"/>
      <c r="W2549" s="1">
        <f>fNotasFiscais[[#This Row],[Data da Coleta]]+fNotasFiscais[[#This Row],[Prazo Contratado]]</f>
        <v>43780</v>
      </c>
      <c r="X2549" s="3">
        <f>IF(fNotasFiscais[[#This Row],[Data da Entrega]]&gt;fNotasFiscais[[#This Row],[Data Contratada]],0,1)</f>
        <v>1</v>
      </c>
      <c r="Y2549" s="3">
        <f>IF(fNotasFiscais[[#This Row],[Ocorrência]]="",1,0)</f>
        <v>1</v>
      </c>
      <c r="Z2549" s="2">
        <f>fNotasFiscais[[#This Row],[On Time]]*fNotasFiscais[[#This Row],[In Full]]</f>
        <v>1</v>
      </c>
      <c r="AA2549">
        <f>IF(fNotasFiscais[[#This Row],[Nota Fiscal]]&lt;&gt;"",1,0)</f>
        <v>1</v>
      </c>
    </row>
    <row r="2550" spans="1:27" x14ac:dyDescent="0.25">
      <c r="A2550" s="1">
        <v>43769</v>
      </c>
      <c r="B2550">
        <v>12959</v>
      </c>
      <c r="C2550" s="2" t="s">
        <v>22</v>
      </c>
      <c r="D2550" s="2" t="s">
        <v>23</v>
      </c>
      <c r="E2550" s="2" t="s">
        <v>24</v>
      </c>
      <c r="F2550">
        <v>4064</v>
      </c>
      <c r="G2550" s="2" t="s">
        <v>128</v>
      </c>
      <c r="H2550" s="2" t="s">
        <v>129</v>
      </c>
      <c r="I2550" s="2" t="s">
        <v>33</v>
      </c>
      <c r="J2550" s="2" t="s">
        <v>60</v>
      </c>
      <c r="K2550" s="2" t="s">
        <v>33</v>
      </c>
      <c r="L2550">
        <v>364.92</v>
      </c>
      <c r="M2550">
        <v>5</v>
      </c>
      <c r="N2550">
        <v>27.652999999999999</v>
      </c>
      <c r="O2550">
        <v>6400835</v>
      </c>
      <c r="P2550" s="2" t="s">
        <v>130</v>
      </c>
      <c r="Q2550" s="2" t="s">
        <v>131</v>
      </c>
      <c r="R2550" s="2" t="s">
        <v>30</v>
      </c>
      <c r="S2550">
        <v>4</v>
      </c>
      <c r="T2550" s="1">
        <v>43769</v>
      </c>
      <c r="U2550" s="1">
        <v>43775</v>
      </c>
      <c r="V2550" s="2"/>
      <c r="W2550" s="1">
        <f>fNotasFiscais[[#This Row],[Data da Coleta]]+fNotasFiscais[[#This Row],[Prazo Contratado]]</f>
        <v>43773</v>
      </c>
      <c r="X2550" s="3">
        <f>IF(fNotasFiscais[[#This Row],[Data da Entrega]]&gt;fNotasFiscais[[#This Row],[Data Contratada]],0,1)</f>
        <v>0</v>
      </c>
      <c r="Y2550" s="3">
        <f>IF(fNotasFiscais[[#This Row],[Ocorrência]]="",1,0)</f>
        <v>1</v>
      </c>
      <c r="Z2550" s="2">
        <f>fNotasFiscais[[#This Row],[On Time]]*fNotasFiscais[[#This Row],[In Full]]</f>
        <v>0</v>
      </c>
      <c r="AA2550">
        <f>IF(fNotasFiscais[[#This Row],[Nota Fiscal]]&lt;&gt;"",1,0)</f>
        <v>1</v>
      </c>
    </row>
    <row r="2551" spans="1:27" x14ac:dyDescent="0.25">
      <c r="A2551" s="1">
        <v>43769</v>
      </c>
      <c r="B2551">
        <v>12960</v>
      </c>
      <c r="C2551" s="2" t="s">
        <v>40</v>
      </c>
      <c r="D2551" s="2" t="s">
        <v>41</v>
      </c>
      <c r="E2551" s="2" t="s">
        <v>33</v>
      </c>
      <c r="F2551">
        <v>4056</v>
      </c>
      <c r="G2551" s="2" t="s">
        <v>119</v>
      </c>
      <c r="H2551" s="2" t="s">
        <v>51</v>
      </c>
      <c r="I2551" s="2" t="s">
        <v>73</v>
      </c>
      <c r="J2551" s="2" t="s">
        <v>49</v>
      </c>
      <c r="K2551" s="2" t="s">
        <v>73</v>
      </c>
      <c r="L2551">
        <v>2579.46</v>
      </c>
      <c r="M2551">
        <v>1</v>
      </c>
      <c r="N2551">
        <v>1.1200000000000001</v>
      </c>
      <c r="O2551">
        <v>6100231</v>
      </c>
      <c r="P2551" s="2" t="s">
        <v>50</v>
      </c>
      <c r="Q2551" s="2" t="s">
        <v>51</v>
      </c>
      <c r="R2551" s="2" t="s">
        <v>30</v>
      </c>
      <c r="S2551">
        <v>5</v>
      </c>
      <c r="T2551" s="1">
        <v>43769</v>
      </c>
      <c r="U2551" s="1">
        <v>43775</v>
      </c>
      <c r="V2551" s="2"/>
      <c r="W2551" s="1">
        <f>fNotasFiscais[[#This Row],[Data da Coleta]]+fNotasFiscais[[#This Row],[Prazo Contratado]]</f>
        <v>43774</v>
      </c>
      <c r="X2551" s="3">
        <f>IF(fNotasFiscais[[#This Row],[Data da Entrega]]&gt;fNotasFiscais[[#This Row],[Data Contratada]],0,1)</f>
        <v>0</v>
      </c>
      <c r="Y2551" s="3">
        <f>IF(fNotasFiscais[[#This Row],[Ocorrência]]="",1,0)</f>
        <v>1</v>
      </c>
      <c r="Z2551" s="2">
        <f>fNotasFiscais[[#This Row],[On Time]]*fNotasFiscais[[#This Row],[In Full]]</f>
        <v>0</v>
      </c>
      <c r="AA2551">
        <f>IF(fNotasFiscais[[#This Row],[Nota Fiscal]]&lt;&gt;"",1,0)</f>
        <v>1</v>
      </c>
    </row>
    <row r="2552" spans="1:27" x14ac:dyDescent="0.25">
      <c r="A2552" s="1">
        <v>43769</v>
      </c>
      <c r="B2552">
        <v>12961</v>
      </c>
      <c r="C2552" s="2" t="s">
        <v>34</v>
      </c>
      <c r="D2552" s="2" t="s">
        <v>35</v>
      </c>
      <c r="E2552" s="2" t="s">
        <v>36</v>
      </c>
      <c r="F2552">
        <v>4049</v>
      </c>
      <c r="G2552" s="2" t="s">
        <v>118</v>
      </c>
      <c r="H2552" s="2" t="s">
        <v>97</v>
      </c>
      <c r="I2552" s="2" t="s">
        <v>48</v>
      </c>
      <c r="J2552" s="2" t="s">
        <v>49</v>
      </c>
      <c r="K2552" s="2" t="s">
        <v>48</v>
      </c>
      <c r="L2552">
        <v>230.63</v>
      </c>
      <c r="M2552">
        <v>1</v>
      </c>
      <c r="N2552">
        <v>1.1200000000000001</v>
      </c>
      <c r="O2552">
        <v>6100231</v>
      </c>
      <c r="P2552" s="2" t="s">
        <v>50</v>
      </c>
      <c r="Q2552" s="2" t="s">
        <v>51</v>
      </c>
      <c r="R2552" s="2" t="s">
        <v>30</v>
      </c>
      <c r="S2552">
        <v>9</v>
      </c>
      <c r="T2552" s="1">
        <v>43769</v>
      </c>
      <c r="U2552" s="1">
        <v>43777</v>
      </c>
      <c r="V2552" s="2" t="s">
        <v>42</v>
      </c>
      <c r="W2552" s="1">
        <f>fNotasFiscais[[#This Row],[Data da Coleta]]+fNotasFiscais[[#This Row],[Prazo Contratado]]</f>
        <v>43778</v>
      </c>
      <c r="X2552" s="3">
        <f>IF(fNotasFiscais[[#This Row],[Data da Entrega]]&gt;fNotasFiscais[[#This Row],[Data Contratada]],0,1)</f>
        <v>1</v>
      </c>
      <c r="Y2552" s="3">
        <f>IF(fNotasFiscais[[#This Row],[Ocorrência]]="",1,0)</f>
        <v>0</v>
      </c>
      <c r="Z2552" s="2">
        <f>fNotasFiscais[[#This Row],[On Time]]*fNotasFiscais[[#This Row],[In Full]]</f>
        <v>0</v>
      </c>
      <c r="AA2552">
        <f>IF(fNotasFiscais[[#This Row],[Nota Fiscal]]&lt;&gt;"",1,0)</f>
        <v>1</v>
      </c>
    </row>
    <row r="2553" spans="1:27" x14ac:dyDescent="0.25">
      <c r="A2553" s="1">
        <v>43769</v>
      </c>
      <c r="B2553">
        <v>12962</v>
      </c>
      <c r="C2553" s="2" t="s">
        <v>54</v>
      </c>
      <c r="D2553" s="2" t="s">
        <v>55</v>
      </c>
      <c r="E2553" s="2" t="s">
        <v>56</v>
      </c>
      <c r="F2553">
        <v>4049</v>
      </c>
      <c r="G2553" s="2" t="s">
        <v>118</v>
      </c>
      <c r="H2553" s="2" t="s">
        <v>97</v>
      </c>
      <c r="I2553" s="2" t="s">
        <v>48</v>
      </c>
      <c r="J2553" s="2" t="s">
        <v>49</v>
      </c>
      <c r="K2553" s="2" t="s">
        <v>48</v>
      </c>
      <c r="L2553">
        <v>728.97</v>
      </c>
      <c r="M2553">
        <v>1</v>
      </c>
      <c r="N2553">
        <v>0.63600000000000001</v>
      </c>
      <c r="O2553">
        <v>6100231</v>
      </c>
      <c r="P2553" s="2" t="s">
        <v>50</v>
      </c>
      <c r="Q2553" s="2" t="s">
        <v>51</v>
      </c>
      <c r="R2553" s="2" t="s">
        <v>30</v>
      </c>
      <c r="S2553">
        <v>5</v>
      </c>
      <c r="T2553" s="1">
        <v>43769</v>
      </c>
      <c r="U2553" s="1">
        <v>43777</v>
      </c>
      <c r="V2553" s="2" t="s">
        <v>57</v>
      </c>
      <c r="W2553" s="1">
        <f>fNotasFiscais[[#This Row],[Data da Coleta]]+fNotasFiscais[[#This Row],[Prazo Contratado]]</f>
        <v>43774</v>
      </c>
      <c r="X2553" s="3">
        <f>IF(fNotasFiscais[[#This Row],[Data da Entrega]]&gt;fNotasFiscais[[#This Row],[Data Contratada]],0,1)</f>
        <v>0</v>
      </c>
      <c r="Y2553" s="3">
        <f>IF(fNotasFiscais[[#This Row],[Ocorrência]]="",1,0)</f>
        <v>0</v>
      </c>
      <c r="Z2553" s="2">
        <f>fNotasFiscais[[#This Row],[On Time]]*fNotasFiscais[[#This Row],[In Full]]</f>
        <v>0</v>
      </c>
      <c r="AA2553">
        <f>IF(fNotasFiscais[[#This Row],[Nota Fiscal]]&lt;&gt;"",1,0)</f>
        <v>1</v>
      </c>
    </row>
    <row r="2554" spans="1:27" x14ac:dyDescent="0.25">
      <c r="A2554" s="1">
        <v>43769</v>
      </c>
      <c r="B2554">
        <v>12963</v>
      </c>
      <c r="C2554" s="2" t="s">
        <v>22</v>
      </c>
      <c r="D2554" s="2" t="s">
        <v>23</v>
      </c>
      <c r="E2554" s="2" t="s">
        <v>24</v>
      </c>
      <c r="F2554">
        <v>4049</v>
      </c>
      <c r="G2554" s="2" t="s">
        <v>118</v>
      </c>
      <c r="H2554" s="2" t="s">
        <v>97</v>
      </c>
      <c r="I2554" s="2" t="s">
        <v>48</v>
      </c>
      <c r="J2554" s="2" t="s">
        <v>49</v>
      </c>
      <c r="K2554" s="2" t="s">
        <v>48</v>
      </c>
      <c r="L2554">
        <v>4890.82</v>
      </c>
      <c r="M2554">
        <v>6</v>
      </c>
      <c r="N2554">
        <v>30.059000000000001</v>
      </c>
      <c r="O2554">
        <v>6100231</v>
      </c>
      <c r="P2554" s="2" t="s">
        <v>50</v>
      </c>
      <c r="Q2554" s="2" t="s">
        <v>51</v>
      </c>
      <c r="R2554" s="2" t="s">
        <v>30</v>
      </c>
      <c r="S2554">
        <v>1</v>
      </c>
      <c r="T2554" s="1">
        <v>43769</v>
      </c>
      <c r="U2554" s="1">
        <v>43776</v>
      </c>
      <c r="V2554" s="2"/>
      <c r="W2554" s="1">
        <f>fNotasFiscais[[#This Row],[Data da Coleta]]+fNotasFiscais[[#This Row],[Prazo Contratado]]</f>
        <v>43770</v>
      </c>
      <c r="X2554" s="3">
        <f>IF(fNotasFiscais[[#This Row],[Data da Entrega]]&gt;fNotasFiscais[[#This Row],[Data Contratada]],0,1)</f>
        <v>0</v>
      </c>
      <c r="Y2554" s="3">
        <f>IF(fNotasFiscais[[#This Row],[Ocorrência]]="",1,0)</f>
        <v>1</v>
      </c>
      <c r="Z2554" s="2">
        <f>fNotasFiscais[[#This Row],[On Time]]*fNotasFiscais[[#This Row],[In Full]]</f>
        <v>0</v>
      </c>
      <c r="AA2554">
        <f>IF(fNotasFiscais[[#This Row],[Nota Fiscal]]&lt;&gt;"",1,0)</f>
        <v>1</v>
      </c>
    </row>
    <row r="2555" spans="1:27" x14ac:dyDescent="0.25">
      <c r="A2555" s="1">
        <v>43769</v>
      </c>
      <c r="B2555">
        <v>12964</v>
      </c>
      <c r="C2555" s="2" t="s">
        <v>40</v>
      </c>
      <c r="D2555" s="2" t="s">
        <v>41</v>
      </c>
      <c r="E2555" s="2" t="s">
        <v>33</v>
      </c>
      <c r="F2555">
        <v>4049</v>
      </c>
      <c r="G2555" s="2" t="s">
        <v>118</v>
      </c>
      <c r="H2555" s="2" t="s">
        <v>97</v>
      </c>
      <c r="I2555" s="2" t="s">
        <v>48</v>
      </c>
      <c r="J2555" s="2" t="s">
        <v>49</v>
      </c>
      <c r="K2555" s="2" t="s">
        <v>48</v>
      </c>
      <c r="L2555">
        <v>1124.48</v>
      </c>
      <c r="M2555">
        <v>2</v>
      </c>
      <c r="N2555">
        <v>19.481000000000002</v>
      </c>
      <c r="O2555">
        <v>6100231</v>
      </c>
      <c r="P2555" s="2" t="s">
        <v>50</v>
      </c>
      <c r="Q2555" s="2" t="s">
        <v>51</v>
      </c>
      <c r="R2555" s="2" t="s">
        <v>30</v>
      </c>
      <c r="S2555">
        <v>4</v>
      </c>
      <c r="T2555" s="1">
        <v>43769</v>
      </c>
      <c r="U2555" s="1">
        <v>43770</v>
      </c>
      <c r="V2555" s="2"/>
      <c r="W2555" s="1">
        <f>fNotasFiscais[[#This Row],[Data da Coleta]]+fNotasFiscais[[#This Row],[Prazo Contratado]]</f>
        <v>43773</v>
      </c>
      <c r="X2555" s="3">
        <f>IF(fNotasFiscais[[#This Row],[Data da Entrega]]&gt;fNotasFiscais[[#This Row],[Data Contratada]],0,1)</f>
        <v>1</v>
      </c>
      <c r="Y2555" s="3">
        <f>IF(fNotasFiscais[[#This Row],[Ocorrência]]="",1,0)</f>
        <v>1</v>
      </c>
      <c r="Z2555" s="2">
        <f>fNotasFiscais[[#This Row],[On Time]]*fNotasFiscais[[#This Row],[In Full]]</f>
        <v>1</v>
      </c>
      <c r="AA2555">
        <f>IF(fNotasFiscais[[#This Row],[Nota Fiscal]]&lt;&gt;"",1,0)</f>
        <v>1</v>
      </c>
    </row>
    <row r="2556" spans="1:27" x14ac:dyDescent="0.25">
      <c r="A2556" s="1">
        <v>43769</v>
      </c>
      <c r="B2556">
        <v>12965</v>
      </c>
      <c r="C2556" s="2" t="s">
        <v>22</v>
      </c>
      <c r="D2556" s="2" t="s">
        <v>23</v>
      </c>
      <c r="E2556" s="2" t="s">
        <v>24</v>
      </c>
      <c r="F2556">
        <v>4049</v>
      </c>
      <c r="G2556" s="2" t="s">
        <v>118</v>
      </c>
      <c r="H2556" s="2" t="s">
        <v>97</v>
      </c>
      <c r="I2556" s="2" t="s">
        <v>48</v>
      </c>
      <c r="J2556" s="2" t="s">
        <v>49</v>
      </c>
      <c r="K2556" s="2" t="s">
        <v>48</v>
      </c>
      <c r="L2556">
        <v>4500.7</v>
      </c>
      <c r="M2556">
        <v>7</v>
      </c>
      <c r="N2556">
        <v>126.5</v>
      </c>
      <c r="O2556">
        <v>6100231</v>
      </c>
      <c r="P2556" s="2" t="s">
        <v>50</v>
      </c>
      <c r="Q2556" s="2" t="s">
        <v>51</v>
      </c>
      <c r="R2556" s="2" t="s">
        <v>30</v>
      </c>
      <c r="S2556">
        <v>4</v>
      </c>
      <c r="T2556" s="1">
        <v>43769</v>
      </c>
      <c r="U2556" s="1">
        <v>43776</v>
      </c>
      <c r="V2556" s="2" t="s">
        <v>57</v>
      </c>
      <c r="W2556" s="1">
        <f>fNotasFiscais[[#This Row],[Data da Coleta]]+fNotasFiscais[[#This Row],[Prazo Contratado]]</f>
        <v>43773</v>
      </c>
      <c r="X2556" s="3">
        <f>IF(fNotasFiscais[[#This Row],[Data da Entrega]]&gt;fNotasFiscais[[#This Row],[Data Contratada]],0,1)</f>
        <v>0</v>
      </c>
      <c r="Y2556" s="3">
        <f>IF(fNotasFiscais[[#This Row],[Ocorrência]]="",1,0)</f>
        <v>0</v>
      </c>
      <c r="Z2556" s="2">
        <f>fNotasFiscais[[#This Row],[On Time]]*fNotasFiscais[[#This Row],[In Full]]</f>
        <v>0</v>
      </c>
      <c r="AA2556">
        <f>IF(fNotasFiscais[[#This Row],[Nota Fiscal]]&lt;&gt;"",1,0)</f>
        <v>1</v>
      </c>
    </row>
    <row r="2557" spans="1:27" x14ac:dyDescent="0.25">
      <c r="A2557" s="1">
        <v>43769</v>
      </c>
      <c r="B2557">
        <v>12966</v>
      </c>
      <c r="C2557" s="2" t="s">
        <v>22</v>
      </c>
      <c r="D2557" s="2" t="s">
        <v>23</v>
      </c>
      <c r="E2557" s="2" t="s">
        <v>24</v>
      </c>
      <c r="F2557">
        <v>4049</v>
      </c>
      <c r="G2557" s="2" t="s">
        <v>118</v>
      </c>
      <c r="H2557" s="2" t="s">
        <v>97</v>
      </c>
      <c r="I2557" s="2" t="s">
        <v>48</v>
      </c>
      <c r="J2557" s="2" t="s">
        <v>49</v>
      </c>
      <c r="K2557" s="2" t="s">
        <v>48</v>
      </c>
      <c r="L2557">
        <v>4348.12</v>
      </c>
      <c r="M2557">
        <v>10</v>
      </c>
      <c r="N2557">
        <v>92.344999999999999</v>
      </c>
      <c r="O2557">
        <v>6100231</v>
      </c>
      <c r="P2557" s="2" t="s">
        <v>50</v>
      </c>
      <c r="Q2557" s="2" t="s">
        <v>51</v>
      </c>
      <c r="R2557" s="2" t="s">
        <v>30</v>
      </c>
      <c r="S2557">
        <v>6</v>
      </c>
      <c r="T2557" s="1">
        <v>43769</v>
      </c>
      <c r="U2557" s="1">
        <v>43779</v>
      </c>
      <c r="V2557" s="2"/>
      <c r="W2557" s="1">
        <f>fNotasFiscais[[#This Row],[Data da Coleta]]+fNotasFiscais[[#This Row],[Prazo Contratado]]</f>
        <v>43775</v>
      </c>
      <c r="X2557" s="3">
        <f>IF(fNotasFiscais[[#This Row],[Data da Entrega]]&gt;fNotasFiscais[[#This Row],[Data Contratada]],0,1)</f>
        <v>0</v>
      </c>
      <c r="Y2557" s="3">
        <f>IF(fNotasFiscais[[#This Row],[Ocorrência]]="",1,0)</f>
        <v>1</v>
      </c>
      <c r="Z2557" s="2">
        <f>fNotasFiscais[[#This Row],[On Time]]*fNotasFiscais[[#This Row],[In Full]]</f>
        <v>0</v>
      </c>
      <c r="AA2557">
        <f>IF(fNotasFiscais[[#This Row],[Nota Fiscal]]&lt;&gt;"",1,0)</f>
        <v>1</v>
      </c>
    </row>
    <row r="2558" spans="1:27" x14ac:dyDescent="0.25">
      <c r="A2558" s="1">
        <v>43774</v>
      </c>
      <c r="B2558">
        <v>12967</v>
      </c>
      <c r="C2558" s="2" t="s">
        <v>54</v>
      </c>
      <c r="D2558" s="2" t="s">
        <v>55</v>
      </c>
      <c r="E2558" s="2" t="s">
        <v>56</v>
      </c>
      <c r="F2558">
        <v>4032</v>
      </c>
      <c r="G2558" s="2" t="s">
        <v>108</v>
      </c>
      <c r="H2558" s="2" t="s">
        <v>51</v>
      </c>
      <c r="I2558" s="2" t="s">
        <v>73</v>
      </c>
      <c r="J2558" s="2" t="s">
        <v>49</v>
      </c>
      <c r="K2558" s="2" t="s">
        <v>73</v>
      </c>
      <c r="L2558">
        <v>1336.5</v>
      </c>
      <c r="M2558">
        <v>3</v>
      </c>
      <c r="N2558">
        <v>50.6</v>
      </c>
      <c r="O2558">
        <v>6100231</v>
      </c>
      <c r="P2558" s="2" t="s">
        <v>50</v>
      </c>
      <c r="Q2558" s="2" t="s">
        <v>51</v>
      </c>
      <c r="R2558" s="2" t="s">
        <v>30</v>
      </c>
      <c r="S2558">
        <v>2</v>
      </c>
      <c r="T2558" s="1">
        <v>43774</v>
      </c>
      <c r="U2558" s="1">
        <v>43780</v>
      </c>
      <c r="V2558" s="2"/>
      <c r="W2558" s="1">
        <f>fNotasFiscais[[#This Row],[Data da Coleta]]+fNotasFiscais[[#This Row],[Prazo Contratado]]</f>
        <v>43776</v>
      </c>
      <c r="X2558" s="3">
        <f>IF(fNotasFiscais[[#This Row],[Data da Entrega]]&gt;fNotasFiscais[[#This Row],[Data Contratada]],0,1)</f>
        <v>0</v>
      </c>
      <c r="Y2558" s="3">
        <f>IF(fNotasFiscais[[#This Row],[Ocorrência]]="",1,0)</f>
        <v>1</v>
      </c>
      <c r="Z2558" s="2">
        <f>fNotasFiscais[[#This Row],[On Time]]*fNotasFiscais[[#This Row],[In Full]]</f>
        <v>0</v>
      </c>
      <c r="AA2558">
        <f>IF(fNotasFiscais[[#This Row],[Nota Fiscal]]&lt;&gt;"",1,0)</f>
        <v>1</v>
      </c>
    </row>
    <row r="2559" spans="1:27" x14ac:dyDescent="0.25">
      <c r="A2559" s="1">
        <v>43775</v>
      </c>
      <c r="B2559">
        <v>12968</v>
      </c>
      <c r="C2559" s="2" t="s">
        <v>40</v>
      </c>
      <c r="D2559" s="2" t="s">
        <v>41</v>
      </c>
      <c r="E2559" s="2" t="s">
        <v>33</v>
      </c>
      <c r="F2559">
        <v>4146</v>
      </c>
      <c r="G2559" s="2" t="s">
        <v>229</v>
      </c>
      <c r="H2559" s="2" t="s">
        <v>35</v>
      </c>
      <c r="I2559" s="2" t="s">
        <v>36</v>
      </c>
      <c r="J2559" s="2" t="s">
        <v>60</v>
      </c>
      <c r="K2559" s="2" t="s">
        <v>36</v>
      </c>
      <c r="L2559">
        <v>2053.48</v>
      </c>
      <c r="M2559">
        <v>5</v>
      </c>
      <c r="N2559">
        <v>82.5</v>
      </c>
      <c r="O2559">
        <v>6600879</v>
      </c>
      <c r="P2559" s="2" t="s">
        <v>61</v>
      </c>
      <c r="Q2559" s="2" t="s">
        <v>35</v>
      </c>
      <c r="R2559" s="2" t="s">
        <v>30</v>
      </c>
      <c r="S2559">
        <v>3</v>
      </c>
      <c r="T2559" s="1">
        <v>43775</v>
      </c>
      <c r="U2559" s="1">
        <v>43778</v>
      </c>
      <c r="V2559" s="2"/>
      <c r="W2559" s="1">
        <f>fNotasFiscais[[#This Row],[Data da Coleta]]+fNotasFiscais[[#This Row],[Prazo Contratado]]</f>
        <v>43778</v>
      </c>
      <c r="X2559" s="3">
        <f>IF(fNotasFiscais[[#This Row],[Data da Entrega]]&gt;fNotasFiscais[[#This Row],[Data Contratada]],0,1)</f>
        <v>1</v>
      </c>
      <c r="Y2559" s="3">
        <f>IF(fNotasFiscais[[#This Row],[Ocorrência]]="",1,0)</f>
        <v>1</v>
      </c>
      <c r="Z2559" s="2">
        <f>fNotasFiscais[[#This Row],[On Time]]*fNotasFiscais[[#This Row],[In Full]]</f>
        <v>1</v>
      </c>
      <c r="AA2559">
        <f>IF(fNotasFiscais[[#This Row],[Nota Fiscal]]&lt;&gt;"",1,0)</f>
        <v>1</v>
      </c>
    </row>
    <row r="2560" spans="1:27" x14ac:dyDescent="0.25">
      <c r="A2560" s="1">
        <v>43775</v>
      </c>
      <c r="B2560">
        <v>12969</v>
      </c>
      <c r="C2560" s="2" t="s">
        <v>31</v>
      </c>
      <c r="D2560" s="2" t="s">
        <v>32</v>
      </c>
      <c r="E2560" s="2" t="s">
        <v>33</v>
      </c>
      <c r="F2560">
        <v>4191</v>
      </c>
      <c r="G2560" s="2" t="s">
        <v>274</v>
      </c>
      <c r="H2560" s="2" t="s">
        <v>173</v>
      </c>
      <c r="I2560" s="2" t="s">
        <v>174</v>
      </c>
      <c r="J2560" s="2" t="s">
        <v>175</v>
      </c>
      <c r="K2560" s="2" t="s">
        <v>174</v>
      </c>
      <c r="L2560">
        <v>1298.53</v>
      </c>
      <c r="M2560">
        <v>1</v>
      </c>
      <c r="N2560">
        <v>16.72</v>
      </c>
      <c r="O2560">
        <v>6700091</v>
      </c>
      <c r="P2560" s="2" t="s">
        <v>176</v>
      </c>
      <c r="Q2560" s="2" t="s">
        <v>173</v>
      </c>
      <c r="R2560" s="2" t="s">
        <v>30</v>
      </c>
      <c r="S2560">
        <v>8</v>
      </c>
      <c r="T2560" s="1">
        <v>43775</v>
      </c>
      <c r="U2560" s="1">
        <v>43784</v>
      </c>
      <c r="V2560" s="2"/>
      <c r="W2560" s="1">
        <f>fNotasFiscais[[#This Row],[Data da Coleta]]+fNotasFiscais[[#This Row],[Prazo Contratado]]</f>
        <v>43783</v>
      </c>
      <c r="X2560" s="3">
        <f>IF(fNotasFiscais[[#This Row],[Data da Entrega]]&gt;fNotasFiscais[[#This Row],[Data Contratada]],0,1)</f>
        <v>0</v>
      </c>
      <c r="Y2560" s="3">
        <f>IF(fNotasFiscais[[#This Row],[Ocorrência]]="",1,0)</f>
        <v>1</v>
      </c>
      <c r="Z2560" s="2">
        <f>fNotasFiscais[[#This Row],[On Time]]*fNotasFiscais[[#This Row],[In Full]]</f>
        <v>0</v>
      </c>
      <c r="AA2560">
        <f>IF(fNotasFiscais[[#This Row],[Nota Fiscal]]&lt;&gt;"",1,0)</f>
        <v>1</v>
      </c>
    </row>
    <row r="2561" spans="1:27" x14ac:dyDescent="0.25">
      <c r="A2561" s="1">
        <v>43775</v>
      </c>
      <c r="B2561">
        <v>12970</v>
      </c>
      <c r="C2561" s="2" t="s">
        <v>40</v>
      </c>
      <c r="D2561" s="2" t="s">
        <v>41</v>
      </c>
      <c r="E2561" s="2" t="s">
        <v>33</v>
      </c>
      <c r="F2561">
        <v>4068</v>
      </c>
      <c r="G2561" s="2" t="s">
        <v>63</v>
      </c>
      <c r="H2561" s="2" t="s">
        <v>64</v>
      </c>
      <c r="I2561" s="2" t="s">
        <v>65</v>
      </c>
      <c r="J2561" s="2" t="s">
        <v>49</v>
      </c>
      <c r="K2561" s="2" t="s">
        <v>65</v>
      </c>
      <c r="L2561">
        <v>642.91999999999996</v>
      </c>
      <c r="M2561">
        <v>4</v>
      </c>
      <c r="N2561">
        <v>12.711</v>
      </c>
      <c r="O2561">
        <v>6100231</v>
      </c>
      <c r="P2561" s="2" t="s">
        <v>50</v>
      </c>
      <c r="Q2561" s="2" t="s">
        <v>51</v>
      </c>
      <c r="R2561" s="2" t="s">
        <v>30</v>
      </c>
      <c r="S2561">
        <v>4</v>
      </c>
      <c r="T2561" s="1">
        <v>43775</v>
      </c>
      <c r="U2561" s="1">
        <v>43776</v>
      </c>
      <c r="V2561" s="2"/>
      <c r="W2561" s="1">
        <f>fNotasFiscais[[#This Row],[Data da Coleta]]+fNotasFiscais[[#This Row],[Prazo Contratado]]</f>
        <v>43779</v>
      </c>
      <c r="X2561" s="3">
        <f>IF(fNotasFiscais[[#This Row],[Data da Entrega]]&gt;fNotasFiscais[[#This Row],[Data Contratada]],0,1)</f>
        <v>1</v>
      </c>
      <c r="Y2561" s="3">
        <f>IF(fNotasFiscais[[#This Row],[Ocorrência]]="",1,0)</f>
        <v>1</v>
      </c>
      <c r="Z2561" s="2">
        <f>fNotasFiscais[[#This Row],[On Time]]*fNotasFiscais[[#This Row],[In Full]]</f>
        <v>1</v>
      </c>
      <c r="AA2561">
        <f>IF(fNotasFiscais[[#This Row],[Nota Fiscal]]&lt;&gt;"",1,0)</f>
        <v>1</v>
      </c>
    </row>
    <row r="2562" spans="1:27" x14ac:dyDescent="0.25">
      <c r="A2562" s="1">
        <v>43775</v>
      </c>
      <c r="B2562">
        <v>12971</v>
      </c>
      <c r="C2562" s="2" t="s">
        <v>34</v>
      </c>
      <c r="D2562" s="2" t="s">
        <v>35</v>
      </c>
      <c r="E2562" s="2" t="s">
        <v>36</v>
      </c>
      <c r="F2562">
        <v>4060</v>
      </c>
      <c r="G2562" s="2" t="s">
        <v>134</v>
      </c>
      <c r="H2562" s="2" t="s">
        <v>115</v>
      </c>
      <c r="I2562" s="2" t="s">
        <v>107</v>
      </c>
      <c r="J2562" s="2" t="s">
        <v>49</v>
      </c>
      <c r="K2562" s="2" t="s">
        <v>107</v>
      </c>
      <c r="L2562">
        <v>170.56</v>
      </c>
      <c r="M2562">
        <v>1</v>
      </c>
      <c r="N2562">
        <v>0.17799999999999999</v>
      </c>
      <c r="O2562">
        <v>6100231</v>
      </c>
      <c r="P2562" s="2" t="s">
        <v>50</v>
      </c>
      <c r="Q2562" s="2" t="s">
        <v>51</v>
      </c>
      <c r="R2562" s="2" t="s">
        <v>30</v>
      </c>
      <c r="S2562">
        <v>7</v>
      </c>
      <c r="T2562" s="1">
        <v>43775</v>
      </c>
      <c r="U2562" s="1">
        <v>43779</v>
      </c>
      <c r="V2562" s="2"/>
      <c r="W2562" s="1">
        <f>fNotasFiscais[[#This Row],[Data da Coleta]]+fNotasFiscais[[#This Row],[Prazo Contratado]]</f>
        <v>43782</v>
      </c>
      <c r="X2562" s="3">
        <f>IF(fNotasFiscais[[#This Row],[Data da Entrega]]&gt;fNotasFiscais[[#This Row],[Data Contratada]],0,1)</f>
        <v>1</v>
      </c>
      <c r="Y2562" s="3">
        <f>IF(fNotasFiscais[[#This Row],[Ocorrência]]="",1,0)</f>
        <v>1</v>
      </c>
      <c r="Z2562" s="2">
        <f>fNotasFiscais[[#This Row],[On Time]]*fNotasFiscais[[#This Row],[In Full]]</f>
        <v>1</v>
      </c>
      <c r="AA2562">
        <f>IF(fNotasFiscais[[#This Row],[Nota Fiscal]]&lt;&gt;"",1,0)</f>
        <v>1</v>
      </c>
    </row>
    <row r="2563" spans="1:27" x14ac:dyDescent="0.25">
      <c r="A2563" s="1">
        <v>43776</v>
      </c>
      <c r="B2563">
        <v>12972</v>
      </c>
      <c r="C2563" s="2" t="s">
        <v>52</v>
      </c>
      <c r="D2563" s="2" t="s">
        <v>53</v>
      </c>
      <c r="E2563" s="2" t="s">
        <v>33</v>
      </c>
      <c r="F2563">
        <v>4171</v>
      </c>
      <c r="G2563" s="2" t="s">
        <v>254</v>
      </c>
      <c r="H2563" s="2" t="s">
        <v>173</v>
      </c>
      <c r="I2563" s="2" t="s">
        <v>174</v>
      </c>
      <c r="J2563" s="2" t="s">
        <v>175</v>
      </c>
      <c r="K2563" s="2" t="s">
        <v>174</v>
      </c>
      <c r="L2563">
        <v>2584.87</v>
      </c>
      <c r="M2563">
        <v>1</v>
      </c>
      <c r="N2563">
        <v>16.5</v>
      </c>
      <c r="O2563">
        <v>6700091</v>
      </c>
      <c r="P2563" s="2" t="s">
        <v>176</v>
      </c>
      <c r="Q2563" s="2" t="s">
        <v>173</v>
      </c>
      <c r="R2563" s="2" t="s">
        <v>30</v>
      </c>
      <c r="S2563">
        <v>6</v>
      </c>
      <c r="T2563" s="1">
        <v>43776</v>
      </c>
      <c r="U2563" s="1">
        <v>43779</v>
      </c>
      <c r="V2563" s="2"/>
      <c r="W2563" s="1">
        <f>fNotasFiscais[[#This Row],[Data da Coleta]]+fNotasFiscais[[#This Row],[Prazo Contratado]]</f>
        <v>43782</v>
      </c>
      <c r="X2563" s="3">
        <f>IF(fNotasFiscais[[#This Row],[Data da Entrega]]&gt;fNotasFiscais[[#This Row],[Data Contratada]],0,1)</f>
        <v>1</v>
      </c>
      <c r="Y2563" s="3">
        <f>IF(fNotasFiscais[[#This Row],[Ocorrência]]="",1,0)</f>
        <v>1</v>
      </c>
      <c r="Z2563" s="2">
        <f>fNotasFiscais[[#This Row],[On Time]]*fNotasFiscais[[#This Row],[In Full]]</f>
        <v>1</v>
      </c>
      <c r="AA2563">
        <f>IF(fNotasFiscais[[#This Row],[Nota Fiscal]]&lt;&gt;"",1,0)</f>
        <v>1</v>
      </c>
    </row>
    <row r="2564" spans="1:27" x14ac:dyDescent="0.25">
      <c r="A2564" s="1">
        <v>43776</v>
      </c>
      <c r="B2564">
        <v>12973</v>
      </c>
      <c r="C2564" s="2" t="s">
        <v>34</v>
      </c>
      <c r="D2564" s="2" t="s">
        <v>35</v>
      </c>
      <c r="E2564" s="2" t="s">
        <v>36</v>
      </c>
      <c r="F2564">
        <v>4156</v>
      </c>
      <c r="G2564" s="2" t="s">
        <v>239</v>
      </c>
      <c r="H2564" s="2" t="s">
        <v>165</v>
      </c>
      <c r="I2564" s="2" t="s">
        <v>24</v>
      </c>
      <c r="J2564" s="2" t="s">
        <v>28</v>
      </c>
      <c r="K2564" s="2" t="s">
        <v>24</v>
      </c>
      <c r="L2564">
        <v>2153.73</v>
      </c>
      <c r="M2564">
        <v>1</v>
      </c>
      <c r="N2564">
        <v>22</v>
      </c>
      <c r="O2564">
        <v>6500948</v>
      </c>
      <c r="P2564" s="2" t="s">
        <v>29</v>
      </c>
      <c r="Q2564" s="2" t="s">
        <v>23</v>
      </c>
      <c r="R2564" s="2" t="s">
        <v>30</v>
      </c>
      <c r="S2564">
        <v>11</v>
      </c>
      <c r="T2564" s="1">
        <v>43776</v>
      </c>
      <c r="U2564" s="1">
        <v>43785</v>
      </c>
      <c r="V2564" s="2"/>
      <c r="W2564" s="1">
        <f>fNotasFiscais[[#This Row],[Data da Coleta]]+fNotasFiscais[[#This Row],[Prazo Contratado]]</f>
        <v>43787</v>
      </c>
      <c r="X2564" s="3">
        <f>IF(fNotasFiscais[[#This Row],[Data da Entrega]]&gt;fNotasFiscais[[#This Row],[Data Contratada]],0,1)</f>
        <v>1</v>
      </c>
      <c r="Y2564" s="3">
        <f>IF(fNotasFiscais[[#This Row],[Ocorrência]]="",1,0)</f>
        <v>1</v>
      </c>
      <c r="Z2564" s="2">
        <f>fNotasFiscais[[#This Row],[On Time]]*fNotasFiscais[[#This Row],[In Full]]</f>
        <v>1</v>
      </c>
      <c r="AA2564">
        <f>IF(fNotasFiscais[[#This Row],[Nota Fiscal]]&lt;&gt;"",1,0)</f>
        <v>1</v>
      </c>
    </row>
    <row r="2565" spans="1:27" x14ac:dyDescent="0.25">
      <c r="A2565" s="1">
        <v>43776</v>
      </c>
      <c r="B2565">
        <v>12974</v>
      </c>
      <c r="C2565" s="2" t="s">
        <v>34</v>
      </c>
      <c r="D2565" s="2" t="s">
        <v>35</v>
      </c>
      <c r="E2565" s="2" t="s">
        <v>36</v>
      </c>
      <c r="F2565">
        <v>4068</v>
      </c>
      <c r="G2565" s="2" t="s">
        <v>63</v>
      </c>
      <c r="H2565" s="2" t="s">
        <v>64</v>
      </c>
      <c r="I2565" s="2" t="s">
        <v>65</v>
      </c>
      <c r="J2565" s="2" t="s">
        <v>49</v>
      </c>
      <c r="K2565" s="2" t="s">
        <v>65</v>
      </c>
      <c r="L2565">
        <v>440.45</v>
      </c>
      <c r="M2565">
        <v>1</v>
      </c>
      <c r="N2565">
        <v>1.177</v>
      </c>
      <c r="O2565">
        <v>6100231</v>
      </c>
      <c r="P2565" s="2" t="s">
        <v>50</v>
      </c>
      <c r="Q2565" s="2" t="s">
        <v>51</v>
      </c>
      <c r="R2565" s="2" t="s">
        <v>30</v>
      </c>
      <c r="S2565">
        <v>11</v>
      </c>
      <c r="T2565" s="1">
        <v>43776</v>
      </c>
      <c r="U2565" s="1">
        <v>43785</v>
      </c>
      <c r="V2565" s="2"/>
      <c r="W2565" s="1">
        <f>fNotasFiscais[[#This Row],[Data da Coleta]]+fNotasFiscais[[#This Row],[Prazo Contratado]]</f>
        <v>43787</v>
      </c>
      <c r="X2565" s="3">
        <f>IF(fNotasFiscais[[#This Row],[Data da Entrega]]&gt;fNotasFiscais[[#This Row],[Data Contratada]],0,1)</f>
        <v>1</v>
      </c>
      <c r="Y2565" s="3">
        <f>IF(fNotasFiscais[[#This Row],[Ocorrência]]="",1,0)</f>
        <v>1</v>
      </c>
      <c r="Z2565" s="2">
        <f>fNotasFiscais[[#This Row],[On Time]]*fNotasFiscais[[#This Row],[In Full]]</f>
        <v>1</v>
      </c>
      <c r="AA2565">
        <f>IF(fNotasFiscais[[#This Row],[Nota Fiscal]]&lt;&gt;"",1,0)</f>
        <v>1</v>
      </c>
    </row>
    <row r="2566" spans="1:27" x14ac:dyDescent="0.25">
      <c r="A2566" s="1">
        <v>43776</v>
      </c>
      <c r="B2566">
        <v>12975</v>
      </c>
      <c r="C2566" s="2" t="s">
        <v>34</v>
      </c>
      <c r="D2566" s="2" t="s">
        <v>35</v>
      </c>
      <c r="E2566" s="2" t="s">
        <v>36</v>
      </c>
      <c r="F2566">
        <v>4056</v>
      </c>
      <c r="G2566" s="2" t="s">
        <v>119</v>
      </c>
      <c r="H2566" s="2" t="s">
        <v>51</v>
      </c>
      <c r="I2566" s="2" t="s">
        <v>73</v>
      </c>
      <c r="J2566" s="2" t="s">
        <v>49</v>
      </c>
      <c r="K2566" s="2" t="s">
        <v>73</v>
      </c>
      <c r="L2566">
        <v>50.16</v>
      </c>
      <c r="M2566">
        <v>1</v>
      </c>
      <c r="N2566">
        <v>0.22700000000000001</v>
      </c>
      <c r="O2566">
        <v>6100231</v>
      </c>
      <c r="P2566" s="2" t="s">
        <v>50</v>
      </c>
      <c r="Q2566" s="2" t="s">
        <v>51</v>
      </c>
      <c r="R2566" s="2" t="s">
        <v>30</v>
      </c>
      <c r="S2566">
        <v>11</v>
      </c>
      <c r="T2566" s="1">
        <v>43776</v>
      </c>
      <c r="U2566" s="1">
        <v>43777</v>
      </c>
      <c r="V2566" s="2"/>
      <c r="W2566" s="1">
        <f>fNotasFiscais[[#This Row],[Data da Coleta]]+fNotasFiscais[[#This Row],[Prazo Contratado]]</f>
        <v>43787</v>
      </c>
      <c r="X2566" s="3">
        <f>IF(fNotasFiscais[[#This Row],[Data da Entrega]]&gt;fNotasFiscais[[#This Row],[Data Contratada]],0,1)</f>
        <v>1</v>
      </c>
      <c r="Y2566" s="3">
        <f>IF(fNotasFiscais[[#This Row],[Ocorrência]]="",1,0)</f>
        <v>1</v>
      </c>
      <c r="Z2566" s="2">
        <f>fNotasFiscais[[#This Row],[On Time]]*fNotasFiscais[[#This Row],[In Full]]</f>
        <v>1</v>
      </c>
      <c r="AA2566">
        <f>IF(fNotasFiscais[[#This Row],[Nota Fiscal]]&lt;&gt;"",1,0)</f>
        <v>1</v>
      </c>
    </row>
    <row r="2567" spans="1:27" x14ac:dyDescent="0.25">
      <c r="A2567" s="1">
        <v>43776</v>
      </c>
      <c r="B2567">
        <v>12976</v>
      </c>
      <c r="C2567" s="2" t="s">
        <v>34</v>
      </c>
      <c r="D2567" s="2" t="s">
        <v>35</v>
      </c>
      <c r="E2567" s="2" t="s">
        <v>36</v>
      </c>
      <c r="F2567">
        <v>4056</v>
      </c>
      <c r="G2567" s="2" t="s">
        <v>119</v>
      </c>
      <c r="H2567" s="2" t="s">
        <v>51</v>
      </c>
      <c r="I2567" s="2" t="s">
        <v>73</v>
      </c>
      <c r="J2567" s="2" t="s">
        <v>49</v>
      </c>
      <c r="K2567" s="2" t="s">
        <v>73</v>
      </c>
      <c r="L2567">
        <v>1271.17</v>
      </c>
      <c r="M2567">
        <v>1</v>
      </c>
      <c r="N2567">
        <v>1.1879999999999999</v>
      </c>
      <c r="O2567">
        <v>6100231</v>
      </c>
      <c r="P2567" s="2" t="s">
        <v>50</v>
      </c>
      <c r="Q2567" s="2" t="s">
        <v>51</v>
      </c>
      <c r="R2567" s="2" t="s">
        <v>30</v>
      </c>
      <c r="S2567">
        <v>4</v>
      </c>
      <c r="T2567" s="1">
        <v>43776</v>
      </c>
      <c r="U2567" s="1">
        <v>43777</v>
      </c>
      <c r="V2567" s="2"/>
      <c r="W2567" s="1">
        <f>fNotasFiscais[[#This Row],[Data da Coleta]]+fNotasFiscais[[#This Row],[Prazo Contratado]]</f>
        <v>43780</v>
      </c>
      <c r="X2567" s="3">
        <f>IF(fNotasFiscais[[#This Row],[Data da Entrega]]&gt;fNotasFiscais[[#This Row],[Data Contratada]],0,1)</f>
        <v>1</v>
      </c>
      <c r="Y2567" s="3">
        <f>IF(fNotasFiscais[[#This Row],[Ocorrência]]="",1,0)</f>
        <v>1</v>
      </c>
      <c r="Z2567" s="2">
        <f>fNotasFiscais[[#This Row],[On Time]]*fNotasFiscais[[#This Row],[In Full]]</f>
        <v>1</v>
      </c>
      <c r="AA2567">
        <f>IF(fNotasFiscais[[#This Row],[Nota Fiscal]]&lt;&gt;"",1,0)</f>
        <v>1</v>
      </c>
    </row>
    <row r="2568" spans="1:27" x14ac:dyDescent="0.25">
      <c r="A2568" s="1">
        <v>43776</v>
      </c>
      <c r="B2568">
        <v>12977</v>
      </c>
      <c r="C2568" s="2" t="s">
        <v>40</v>
      </c>
      <c r="D2568" s="2" t="s">
        <v>41</v>
      </c>
      <c r="E2568" s="2" t="s">
        <v>33</v>
      </c>
      <c r="F2568">
        <v>4056</v>
      </c>
      <c r="G2568" s="2" t="s">
        <v>119</v>
      </c>
      <c r="H2568" s="2" t="s">
        <v>51</v>
      </c>
      <c r="I2568" s="2" t="s">
        <v>73</v>
      </c>
      <c r="J2568" s="2" t="s">
        <v>49</v>
      </c>
      <c r="K2568" s="2" t="s">
        <v>73</v>
      </c>
      <c r="L2568">
        <v>49.3</v>
      </c>
      <c r="M2568">
        <v>1</v>
      </c>
      <c r="N2568">
        <v>0.22700000000000001</v>
      </c>
      <c r="O2568">
        <v>6100231</v>
      </c>
      <c r="P2568" s="2" t="s">
        <v>50</v>
      </c>
      <c r="Q2568" s="2" t="s">
        <v>51</v>
      </c>
      <c r="R2568" s="2" t="s">
        <v>30</v>
      </c>
      <c r="S2568">
        <v>11</v>
      </c>
      <c r="T2568" s="1">
        <v>43776</v>
      </c>
      <c r="U2568" s="1">
        <v>43780</v>
      </c>
      <c r="V2568" s="2"/>
      <c r="W2568" s="1">
        <f>fNotasFiscais[[#This Row],[Data da Coleta]]+fNotasFiscais[[#This Row],[Prazo Contratado]]</f>
        <v>43787</v>
      </c>
      <c r="X2568" s="3">
        <f>IF(fNotasFiscais[[#This Row],[Data da Entrega]]&gt;fNotasFiscais[[#This Row],[Data Contratada]],0,1)</f>
        <v>1</v>
      </c>
      <c r="Y2568" s="3">
        <f>IF(fNotasFiscais[[#This Row],[Ocorrência]]="",1,0)</f>
        <v>1</v>
      </c>
      <c r="Z2568" s="2">
        <f>fNotasFiscais[[#This Row],[On Time]]*fNotasFiscais[[#This Row],[In Full]]</f>
        <v>1</v>
      </c>
      <c r="AA2568">
        <f>IF(fNotasFiscais[[#This Row],[Nota Fiscal]]&lt;&gt;"",1,0)</f>
        <v>1</v>
      </c>
    </row>
    <row r="2569" spans="1:27" x14ac:dyDescent="0.25">
      <c r="A2569" s="1">
        <v>43777</v>
      </c>
      <c r="B2569">
        <v>12978</v>
      </c>
      <c r="C2569" s="2" t="s">
        <v>40</v>
      </c>
      <c r="D2569" s="2" t="s">
        <v>41</v>
      </c>
      <c r="E2569" s="2" t="s">
        <v>33</v>
      </c>
      <c r="F2569">
        <v>4233</v>
      </c>
      <c r="G2569" s="2" t="s">
        <v>316</v>
      </c>
      <c r="H2569" s="2" t="s">
        <v>35</v>
      </c>
      <c r="I2569" s="2" t="s">
        <v>36</v>
      </c>
      <c r="J2569" s="2" t="s">
        <v>60</v>
      </c>
      <c r="K2569" s="2" t="s">
        <v>36</v>
      </c>
      <c r="L2569">
        <v>1071.29</v>
      </c>
      <c r="M2569">
        <v>1</v>
      </c>
      <c r="N2569">
        <v>17.16</v>
      </c>
      <c r="O2569">
        <v>6600879</v>
      </c>
      <c r="P2569" s="2" t="s">
        <v>61</v>
      </c>
      <c r="Q2569" s="2" t="s">
        <v>35</v>
      </c>
      <c r="R2569" s="2" t="s">
        <v>30</v>
      </c>
      <c r="S2569">
        <v>7</v>
      </c>
      <c r="T2569" s="1">
        <v>43777</v>
      </c>
      <c r="U2569" s="1">
        <v>43784</v>
      </c>
      <c r="V2569" s="2"/>
      <c r="W2569" s="1">
        <f>fNotasFiscais[[#This Row],[Data da Coleta]]+fNotasFiscais[[#This Row],[Prazo Contratado]]</f>
        <v>43784</v>
      </c>
      <c r="X2569" s="3">
        <f>IF(fNotasFiscais[[#This Row],[Data da Entrega]]&gt;fNotasFiscais[[#This Row],[Data Contratada]],0,1)</f>
        <v>1</v>
      </c>
      <c r="Y2569" s="3">
        <f>IF(fNotasFiscais[[#This Row],[Ocorrência]]="",1,0)</f>
        <v>1</v>
      </c>
      <c r="Z2569" s="2">
        <f>fNotasFiscais[[#This Row],[On Time]]*fNotasFiscais[[#This Row],[In Full]]</f>
        <v>1</v>
      </c>
      <c r="AA2569">
        <f>IF(fNotasFiscais[[#This Row],[Nota Fiscal]]&lt;&gt;"",1,0)</f>
        <v>1</v>
      </c>
    </row>
    <row r="2570" spans="1:27" x14ac:dyDescent="0.25">
      <c r="A2570" s="1">
        <v>43777</v>
      </c>
      <c r="B2570">
        <v>12979</v>
      </c>
      <c r="C2570" s="2" t="s">
        <v>34</v>
      </c>
      <c r="D2570" s="2" t="s">
        <v>35</v>
      </c>
      <c r="E2570" s="2" t="s">
        <v>36</v>
      </c>
      <c r="F2570">
        <v>4233</v>
      </c>
      <c r="G2570" s="2" t="s">
        <v>316</v>
      </c>
      <c r="H2570" s="2" t="s">
        <v>35</v>
      </c>
      <c r="I2570" s="2" t="s">
        <v>36</v>
      </c>
      <c r="J2570" s="2" t="s">
        <v>60</v>
      </c>
      <c r="K2570" s="2" t="s">
        <v>36</v>
      </c>
      <c r="L2570">
        <v>1589.19</v>
      </c>
      <c r="M2570">
        <v>3</v>
      </c>
      <c r="N2570">
        <v>16.998000000000001</v>
      </c>
      <c r="O2570">
        <v>6600879</v>
      </c>
      <c r="P2570" s="2" t="s">
        <v>61</v>
      </c>
      <c r="Q2570" s="2" t="s">
        <v>35</v>
      </c>
      <c r="R2570" s="2" t="s">
        <v>30</v>
      </c>
      <c r="S2570">
        <v>10</v>
      </c>
      <c r="T2570" s="1">
        <v>43777</v>
      </c>
      <c r="U2570" s="1">
        <v>43782</v>
      </c>
      <c r="V2570" s="2"/>
      <c r="W2570" s="1">
        <f>fNotasFiscais[[#This Row],[Data da Coleta]]+fNotasFiscais[[#This Row],[Prazo Contratado]]</f>
        <v>43787</v>
      </c>
      <c r="X2570" s="3">
        <f>IF(fNotasFiscais[[#This Row],[Data da Entrega]]&gt;fNotasFiscais[[#This Row],[Data Contratada]],0,1)</f>
        <v>1</v>
      </c>
      <c r="Y2570" s="3">
        <f>IF(fNotasFiscais[[#This Row],[Ocorrência]]="",1,0)</f>
        <v>1</v>
      </c>
      <c r="Z2570" s="2">
        <f>fNotasFiscais[[#This Row],[On Time]]*fNotasFiscais[[#This Row],[In Full]]</f>
        <v>1</v>
      </c>
      <c r="AA2570">
        <f>IF(fNotasFiscais[[#This Row],[Nota Fiscal]]&lt;&gt;"",1,0)</f>
        <v>1</v>
      </c>
    </row>
    <row r="2571" spans="1:27" x14ac:dyDescent="0.25">
      <c r="A2571" s="1">
        <v>43777</v>
      </c>
      <c r="B2571">
        <v>12980</v>
      </c>
      <c r="C2571" s="2" t="s">
        <v>31</v>
      </c>
      <c r="D2571" s="2" t="s">
        <v>32</v>
      </c>
      <c r="E2571" s="2" t="s">
        <v>33</v>
      </c>
      <c r="F2571">
        <v>4019</v>
      </c>
      <c r="G2571" s="2" t="s">
        <v>79</v>
      </c>
      <c r="H2571" s="2" t="s">
        <v>80</v>
      </c>
      <c r="I2571" s="2" t="s">
        <v>39</v>
      </c>
      <c r="J2571" s="2" t="s">
        <v>28</v>
      </c>
      <c r="K2571" s="2" t="s">
        <v>39</v>
      </c>
      <c r="L2571">
        <v>227.29</v>
      </c>
      <c r="M2571">
        <v>1</v>
      </c>
      <c r="N2571">
        <v>1.1200000000000001</v>
      </c>
      <c r="O2571">
        <v>6500948</v>
      </c>
      <c r="P2571" s="2" t="s">
        <v>29</v>
      </c>
      <c r="Q2571" s="2" t="s">
        <v>23</v>
      </c>
      <c r="R2571" s="2" t="s">
        <v>30</v>
      </c>
      <c r="S2571">
        <v>10</v>
      </c>
      <c r="T2571" s="1">
        <v>43777</v>
      </c>
      <c r="U2571" s="1">
        <v>43780</v>
      </c>
      <c r="V2571" s="2"/>
      <c r="W2571" s="1">
        <f>fNotasFiscais[[#This Row],[Data da Coleta]]+fNotasFiscais[[#This Row],[Prazo Contratado]]</f>
        <v>43787</v>
      </c>
      <c r="X2571" s="3">
        <f>IF(fNotasFiscais[[#This Row],[Data da Entrega]]&gt;fNotasFiscais[[#This Row],[Data Contratada]],0,1)</f>
        <v>1</v>
      </c>
      <c r="Y2571" s="3">
        <f>IF(fNotasFiscais[[#This Row],[Ocorrência]]="",1,0)</f>
        <v>1</v>
      </c>
      <c r="Z2571" s="2">
        <f>fNotasFiscais[[#This Row],[On Time]]*fNotasFiscais[[#This Row],[In Full]]</f>
        <v>1</v>
      </c>
      <c r="AA2571">
        <f>IF(fNotasFiscais[[#This Row],[Nota Fiscal]]&lt;&gt;"",1,0)</f>
        <v>1</v>
      </c>
    </row>
    <row r="2572" spans="1:27" x14ac:dyDescent="0.25">
      <c r="A2572" s="1">
        <v>43777</v>
      </c>
      <c r="B2572">
        <v>12981</v>
      </c>
      <c r="C2572" s="2" t="s">
        <v>34</v>
      </c>
      <c r="D2572" s="2" t="s">
        <v>35</v>
      </c>
      <c r="E2572" s="2" t="s">
        <v>36</v>
      </c>
      <c r="F2572">
        <v>4019</v>
      </c>
      <c r="G2572" s="2" t="s">
        <v>79</v>
      </c>
      <c r="H2572" s="2" t="s">
        <v>80</v>
      </c>
      <c r="I2572" s="2" t="s">
        <v>39</v>
      </c>
      <c r="J2572" s="2" t="s">
        <v>28</v>
      </c>
      <c r="K2572" s="2" t="s">
        <v>39</v>
      </c>
      <c r="L2572">
        <v>565.80999999999995</v>
      </c>
      <c r="M2572">
        <v>1</v>
      </c>
      <c r="N2572">
        <v>1.65</v>
      </c>
      <c r="O2572">
        <v>6500948</v>
      </c>
      <c r="P2572" s="2" t="s">
        <v>29</v>
      </c>
      <c r="Q2572" s="2" t="s">
        <v>23</v>
      </c>
      <c r="R2572" s="2" t="s">
        <v>30</v>
      </c>
      <c r="S2572">
        <v>10</v>
      </c>
      <c r="T2572" s="1">
        <v>43777</v>
      </c>
      <c r="U2572" s="1">
        <v>43783</v>
      </c>
      <c r="V2572" s="2"/>
      <c r="W2572" s="1">
        <f>fNotasFiscais[[#This Row],[Data da Coleta]]+fNotasFiscais[[#This Row],[Prazo Contratado]]</f>
        <v>43787</v>
      </c>
      <c r="X2572" s="3">
        <f>IF(fNotasFiscais[[#This Row],[Data da Entrega]]&gt;fNotasFiscais[[#This Row],[Data Contratada]],0,1)</f>
        <v>1</v>
      </c>
      <c r="Y2572" s="3">
        <f>IF(fNotasFiscais[[#This Row],[Ocorrência]]="",1,0)</f>
        <v>1</v>
      </c>
      <c r="Z2572" s="2">
        <f>fNotasFiscais[[#This Row],[On Time]]*fNotasFiscais[[#This Row],[In Full]]</f>
        <v>1</v>
      </c>
      <c r="AA2572">
        <f>IF(fNotasFiscais[[#This Row],[Nota Fiscal]]&lt;&gt;"",1,0)</f>
        <v>1</v>
      </c>
    </row>
    <row r="2573" spans="1:27" x14ac:dyDescent="0.25">
      <c r="A2573" s="1">
        <v>43777</v>
      </c>
      <c r="B2573">
        <v>12982</v>
      </c>
      <c r="C2573" s="2" t="s">
        <v>52</v>
      </c>
      <c r="D2573" s="2" t="s">
        <v>53</v>
      </c>
      <c r="E2573" s="2" t="s">
        <v>33</v>
      </c>
      <c r="F2573">
        <v>4022</v>
      </c>
      <c r="G2573" s="2" t="s">
        <v>86</v>
      </c>
      <c r="H2573" s="2" t="s">
        <v>87</v>
      </c>
      <c r="I2573" s="2" t="s">
        <v>27</v>
      </c>
      <c r="J2573" s="2" t="s">
        <v>28</v>
      </c>
      <c r="K2573" s="2" t="s">
        <v>27</v>
      </c>
      <c r="L2573">
        <v>545.95000000000005</v>
      </c>
      <c r="M2573">
        <v>2</v>
      </c>
      <c r="N2573">
        <v>10.45</v>
      </c>
      <c r="O2573">
        <v>6500948</v>
      </c>
      <c r="P2573" s="2" t="s">
        <v>29</v>
      </c>
      <c r="Q2573" s="2" t="s">
        <v>23</v>
      </c>
      <c r="R2573" s="2" t="s">
        <v>30</v>
      </c>
      <c r="S2573">
        <v>4</v>
      </c>
      <c r="T2573" s="1">
        <v>43777</v>
      </c>
      <c r="U2573" s="1">
        <v>43783</v>
      </c>
      <c r="V2573" s="2" t="s">
        <v>42</v>
      </c>
      <c r="W2573" s="1">
        <f>fNotasFiscais[[#This Row],[Data da Coleta]]+fNotasFiscais[[#This Row],[Prazo Contratado]]</f>
        <v>43781</v>
      </c>
      <c r="X2573" s="3">
        <f>IF(fNotasFiscais[[#This Row],[Data da Entrega]]&gt;fNotasFiscais[[#This Row],[Data Contratada]],0,1)</f>
        <v>0</v>
      </c>
      <c r="Y2573" s="3">
        <f>IF(fNotasFiscais[[#This Row],[Ocorrência]]="",1,0)</f>
        <v>0</v>
      </c>
      <c r="Z2573" s="2">
        <f>fNotasFiscais[[#This Row],[On Time]]*fNotasFiscais[[#This Row],[In Full]]</f>
        <v>0</v>
      </c>
      <c r="AA2573">
        <f>IF(fNotasFiscais[[#This Row],[Nota Fiscal]]&lt;&gt;"",1,0)</f>
        <v>1</v>
      </c>
    </row>
    <row r="2574" spans="1:27" x14ac:dyDescent="0.25">
      <c r="A2574" s="1">
        <v>43777</v>
      </c>
      <c r="B2574">
        <v>12983</v>
      </c>
      <c r="C2574" s="2" t="s">
        <v>34</v>
      </c>
      <c r="D2574" s="2" t="s">
        <v>35</v>
      </c>
      <c r="E2574" s="2" t="s">
        <v>36</v>
      </c>
      <c r="F2574">
        <v>4019</v>
      </c>
      <c r="G2574" s="2" t="s">
        <v>79</v>
      </c>
      <c r="H2574" s="2" t="s">
        <v>80</v>
      </c>
      <c r="I2574" s="2" t="s">
        <v>39</v>
      </c>
      <c r="J2574" s="2" t="s">
        <v>28</v>
      </c>
      <c r="K2574" s="2" t="s">
        <v>39</v>
      </c>
      <c r="L2574">
        <v>1078.6099999999999</v>
      </c>
      <c r="M2574">
        <v>1</v>
      </c>
      <c r="N2574">
        <v>1.1200000000000001</v>
      </c>
      <c r="O2574">
        <v>6500948</v>
      </c>
      <c r="P2574" s="2" t="s">
        <v>29</v>
      </c>
      <c r="Q2574" s="2" t="s">
        <v>23</v>
      </c>
      <c r="R2574" s="2" t="s">
        <v>30</v>
      </c>
      <c r="S2574">
        <v>7</v>
      </c>
      <c r="T2574" s="1">
        <v>43777</v>
      </c>
      <c r="U2574" s="1">
        <v>43778</v>
      </c>
      <c r="V2574" s="2" t="s">
        <v>42</v>
      </c>
      <c r="W2574" s="1">
        <f>fNotasFiscais[[#This Row],[Data da Coleta]]+fNotasFiscais[[#This Row],[Prazo Contratado]]</f>
        <v>43784</v>
      </c>
      <c r="X2574" s="3">
        <f>IF(fNotasFiscais[[#This Row],[Data da Entrega]]&gt;fNotasFiscais[[#This Row],[Data Contratada]],0,1)</f>
        <v>1</v>
      </c>
      <c r="Y2574" s="3">
        <f>IF(fNotasFiscais[[#This Row],[Ocorrência]]="",1,0)</f>
        <v>0</v>
      </c>
      <c r="Z2574" s="2">
        <f>fNotasFiscais[[#This Row],[On Time]]*fNotasFiscais[[#This Row],[In Full]]</f>
        <v>0</v>
      </c>
      <c r="AA2574">
        <f>IF(fNotasFiscais[[#This Row],[Nota Fiscal]]&lt;&gt;"",1,0)</f>
        <v>1</v>
      </c>
    </row>
    <row r="2575" spans="1:27" x14ac:dyDescent="0.25">
      <c r="A2575" s="1">
        <v>43777</v>
      </c>
      <c r="B2575">
        <v>12984</v>
      </c>
      <c r="C2575" s="2" t="s">
        <v>34</v>
      </c>
      <c r="D2575" s="2" t="s">
        <v>35</v>
      </c>
      <c r="E2575" s="2" t="s">
        <v>36</v>
      </c>
      <c r="F2575">
        <v>4019</v>
      </c>
      <c r="G2575" s="2" t="s">
        <v>79</v>
      </c>
      <c r="H2575" s="2" t="s">
        <v>80</v>
      </c>
      <c r="I2575" s="2" t="s">
        <v>39</v>
      </c>
      <c r="J2575" s="2" t="s">
        <v>28</v>
      </c>
      <c r="K2575" s="2" t="s">
        <v>39</v>
      </c>
      <c r="L2575">
        <v>1142.82</v>
      </c>
      <c r="M2575">
        <v>1</v>
      </c>
      <c r="N2575">
        <v>11.837999999999999</v>
      </c>
      <c r="O2575">
        <v>6500948</v>
      </c>
      <c r="P2575" s="2" t="s">
        <v>29</v>
      </c>
      <c r="Q2575" s="2" t="s">
        <v>23</v>
      </c>
      <c r="R2575" s="2" t="s">
        <v>30</v>
      </c>
      <c r="S2575">
        <v>5</v>
      </c>
      <c r="T2575" s="1">
        <v>43777</v>
      </c>
      <c r="U2575" s="1">
        <v>43781</v>
      </c>
      <c r="V2575" s="2"/>
      <c r="W2575" s="1">
        <f>fNotasFiscais[[#This Row],[Data da Coleta]]+fNotasFiscais[[#This Row],[Prazo Contratado]]</f>
        <v>43782</v>
      </c>
      <c r="X2575" s="3">
        <f>IF(fNotasFiscais[[#This Row],[Data da Entrega]]&gt;fNotasFiscais[[#This Row],[Data Contratada]],0,1)</f>
        <v>1</v>
      </c>
      <c r="Y2575" s="3">
        <f>IF(fNotasFiscais[[#This Row],[Ocorrência]]="",1,0)</f>
        <v>1</v>
      </c>
      <c r="Z2575" s="2">
        <f>fNotasFiscais[[#This Row],[On Time]]*fNotasFiscais[[#This Row],[In Full]]</f>
        <v>1</v>
      </c>
      <c r="AA2575">
        <f>IF(fNotasFiscais[[#This Row],[Nota Fiscal]]&lt;&gt;"",1,0)</f>
        <v>1</v>
      </c>
    </row>
    <row r="2576" spans="1:27" x14ac:dyDescent="0.25">
      <c r="A2576" s="1">
        <v>43778</v>
      </c>
      <c r="B2576">
        <v>12985</v>
      </c>
      <c r="C2576" s="2" t="s">
        <v>34</v>
      </c>
      <c r="D2576" s="2" t="s">
        <v>35</v>
      </c>
      <c r="E2576" s="2" t="s">
        <v>36</v>
      </c>
      <c r="F2576">
        <v>4132</v>
      </c>
      <c r="G2576" s="2" t="s">
        <v>215</v>
      </c>
      <c r="H2576" s="2" t="s">
        <v>183</v>
      </c>
      <c r="I2576" s="2" t="s">
        <v>33</v>
      </c>
      <c r="J2576" s="2" t="s">
        <v>60</v>
      </c>
      <c r="K2576" s="2" t="s">
        <v>33</v>
      </c>
      <c r="L2576">
        <v>310.33999999999997</v>
      </c>
      <c r="M2576">
        <v>2</v>
      </c>
      <c r="N2576">
        <v>10.461</v>
      </c>
      <c r="O2576">
        <v>6400835</v>
      </c>
      <c r="P2576" s="2" t="s">
        <v>130</v>
      </c>
      <c r="Q2576" s="2" t="s">
        <v>131</v>
      </c>
      <c r="R2576" s="2" t="s">
        <v>30</v>
      </c>
      <c r="S2576">
        <v>6</v>
      </c>
      <c r="T2576" s="1">
        <v>43778</v>
      </c>
      <c r="U2576" s="1">
        <v>43787</v>
      </c>
      <c r="V2576" s="2" t="s">
        <v>42</v>
      </c>
      <c r="W2576" s="1">
        <f>fNotasFiscais[[#This Row],[Data da Coleta]]+fNotasFiscais[[#This Row],[Prazo Contratado]]</f>
        <v>43784</v>
      </c>
      <c r="X2576" s="3">
        <f>IF(fNotasFiscais[[#This Row],[Data da Entrega]]&gt;fNotasFiscais[[#This Row],[Data Contratada]],0,1)</f>
        <v>0</v>
      </c>
      <c r="Y2576" s="3">
        <f>IF(fNotasFiscais[[#This Row],[Ocorrência]]="",1,0)</f>
        <v>0</v>
      </c>
      <c r="Z2576" s="2">
        <f>fNotasFiscais[[#This Row],[On Time]]*fNotasFiscais[[#This Row],[In Full]]</f>
        <v>0</v>
      </c>
      <c r="AA2576">
        <f>IF(fNotasFiscais[[#This Row],[Nota Fiscal]]&lt;&gt;"",1,0)</f>
        <v>1</v>
      </c>
    </row>
    <row r="2577" spans="1:27" x14ac:dyDescent="0.25">
      <c r="A2577" s="1">
        <v>43778</v>
      </c>
      <c r="B2577">
        <v>12986</v>
      </c>
      <c r="C2577" s="2" t="s">
        <v>40</v>
      </c>
      <c r="D2577" s="2" t="s">
        <v>41</v>
      </c>
      <c r="E2577" s="2" t="s">
        <v>33</v>
      </c>
      <c r="F2577">
        <v>4133</v>
      </c>
      <c r="G2577" s="2" t="s">
        <v>216</v>
      </c>
      <c r="H2577" s="2" t="s">
        <v>35</v>
      </c>
      <c r="I2577" s="2" t="s">
        <v>36</v>
      </c>
      <c r="J2577" s="2" t="s">
        <v>60</v>
      </c>
      <c r="K2577" s="2" t="s">
        <v>36</v>
      </c>
      <c r="L2577">
        <v>3214.98</v>
      </c>
      <c r="M2577">
        <v>1</v>
      </c>
      <c r="N2577">
        <v>1.1200000000000001</v>
      </c>
      <c r="O2577">
        <v>6600879</v>
      </c>
      <c r="P2577" s="2" t="s">
        <v>61</v>
      </c>
      <c r="Q2577" s="2" t="s">
        <v>35</v>
      </c>
      <c r="R2577" s="2" t="s">
        <v>30</v>
      </c>
      <c r="S2577">
        <v>4</v>
      </c>
      <c r="T2577" s="1">
        <v>43778</v>
      </c>
      <c r="U2577" s="1">
        <v>43779</v>
      </c>
      <c r="V2577" s="2"/>
      <c r="W2577" s="1">
        <f>fNotasFiscais[[#This Row],[Data da Coleta]]+fNotasFiscais[[#This Row],[Prazo Contratado]]</f>
        <v>43782</v>
      </c>
      <c r="X2577" s="3">
        <f>IF(fNotasFiscais[[#This Row],[Data da Entrega]]&gt;fNotasFiscais[[#This Row],[Data Contratada]],0,1)</f>
        <v>1</v>
      </c>
      <c r="Y2577" s="3">
        <f>IF(fNotasFiscais[[#This Row],[Ocorrência]]="",1,0)</f>
        <v>1</v>
      </c>
      <c r="Z2577" s="2">
        <f>fNotasFiscais[[#This Row],[On Time]]*fNotasFiscais[[#This Row],[In Full]]</f>
        <v>1</v>
      </c>
      <c r="AA2577">
        <f>IF(fNotasFiscais[[#This Row],[Nota Fiscal]]&lt;&gt;"",1,0)</f>
        <v>1</v>
      </c>
    </row>
    <row r="2578" spans="1:27" x14ac:dyDescent="0.25">
      <c r="A2578" s="1">
        <v>43778</v>
      </c>
      <c r="B2578">
        <v>12987</v>
      </c>
      <c r="C2578" s="2" t="s">
        <v>40</v>
      </c>
      <c r="D2578" s="2" t="s">
        <v>41</v>
      </c>
      <c r="E2578" s="2" t="s">
        <v>33</v>
      </c>
      <c r="F2578">
        <v>4164</v>
      </c>
      <c r="G2578" s="2" t="s">
        <v>247</v>
      </c>
      <c r="H2578" s="2" t="s">
        <v>165</v>
      </c>
      <c r="I2578" s="2" t="s">
        <v>24</v>
      </c>
      <c r="J2578" s="2" t="s">
        <v>28</v>
      </c>
      <c r="K2578" s="2" t="s">
        <v>24</v>
      </c>
      <c r="L2578">
        <v>1326.52</v>
      </c>
      <c r="M2578">
        <v>3</v>
      </c>
      <c r="N2578">
        <v>12.605</v>
      </c>
      <c r="O2578">
        <v>6500948</v>
      </c>
      <c r="P2578" s="2" t="s">
        <v>29</v>
      </c>
      <c r="Q2578" s="2" t="s">
        <v>23</v>
      </c>
      <c r="R2578" s="2" t="s">
        <v>30</v>
      </c>
      <c r="S2578">
        <v>4</v>
      </c>
      <c r="T2578" s="1">
        <v>43778</v>
      </c>
      <c r="U2578" s="1">
        <v>43780</v>
      </c>
      <c r="V2578" s="2"/>
      <c r="W2578" s="1">
        <f>fNotasFiscais[[#This Row],[Data da Coleta]]+fNotasFiscais[[#This Row],[Prazo Contratado]]</f>
        <v>43782</v>
      </c>
      <c r="X2578" s="3">
        <f>IF(fNotasFiscais[[#This Row],[Data da Entrega]]&gt;fNotasFiscais[[#This Row],[Data Contratada]],0,1)</f>
        <v>1</v>
      </c>
      <c r="Y2578" s="3">
        <f>IF(fNotasFiscais[[#This Row],[Ocorrência]]="",1,0)</f>
        <v>1</v>
      </c>
      <c r="Z2578" s="2">
        <f>fNotasFiscais[[#This Row],[On Time]]*fNotasFiscais[[#This Row],[In Full]]</f>
        <v>1</v>
      </c>
      <c r="AA2578">
        <f>IF(fNotasFiscais[[#This Row],[Nota Fiscal]]&lt;&gt;"",1,0)</f>
        <v>1</v>
      </c>
    </row>
    <row r="2579" spans="1:27" x14ac:dyDescent="0.25">
      <c r="A2579" s="1">
        <v>43778</v>
      </c>
      <c r="B2579">
        <v>12988</v>
      </c>
      <c r="C2579" s="2" t="s">
        <v>22</v>
      </c>
      <c r="D2579" s="2" t="s">
        <v>23</v>
      </c>
      <c r="E2579" s="2" t="s">
        <v>24</v>
      </c>
      <c r="F2579">
        <v>4096</v>
      </c>
      <c r="G2579" s="2" t="s">
        <v>178</v>
      </c>
      <c r="H2579" s="2" t="s">
        <v>44</v>
      </c>
      <c r="I2579" s="2" t="s">
        <v>45</v>
      </c>
      <c r="J2579" s="2" t="s">
        <v>60</v>
      </c>
      <c r="K2579" s="2" t="s">
        <v>45</v>
      </c>
      <c r="L2579">
        <v>456.01</v>
      </c>
      <c r="M2579">
        <v>4</v>
      </c>
      <c r="N2579">
        <v>3.6819999999999999</v>
      </c>
      <c r="O2579">
        <v>6140092</v>
      </c>
      <c r="P2579" s="2" t="s">
        <v>137</v>
      </c>
      <c r="Q2579" s="2" t="s">
        <v>138</v>
      </c>
      <c r="R2579" s="2" t="s">
        <v>30</v>
      </c>
      <c r="S2579">
        <v>10</v>
      </c>
      <c r="T2579" s="1">
        <v>43778</v>
      </c>
      <c r="U2579" s="1">
        <v>43784</v>
      </c>
      <c r="V2579" s="2" t="s">
        <v>42</v>
      </c>
      <c r="W2579" s="1">
        <f>fNotasFiscais[[#This Row],[Data da Coleta]]+fNotasFiscais[[#This Row],[Prazo Contratado]]</f>
        <v>43788</v>
      </c>
      <c r="X2579" s="3">
        <f>IF(fNotasFiscais[[#This Row],[Data da Entrega]]&gt;fNotasFiscais[[#This Row],[Data Contratada]],0,1)</f>
        <v>1</v>
      </c>
      <c r="Y2579" s="3">
        <f>IF(fNotasFiscais[[#This Row],[Ocorrência]]="",1,0)</f>
        <v>0</v>
      </c>
      <c r="Z2579" s="2">
        <f>fNotasFiscais[[#This Row],[On Time]]*fNotasFiscais[[#This Row],[In Full]]</f>
        <v>0</v>
      </c>
      <c r="AA2579">
        <f>IF(fNotasFiscais[[#This Row],[Nota Fiscal]]&lt;&gt;"",1,0)</f>
        <v>1</v>
      </c>
    </row>
    <row r="2580" spans="1:27" x14ac:dyDescent="0.25">
      <c r="A2580" s="1">
        <v>43778</v>
      </c>
      <c r="B2580">
        <v>12989</v>
      </c>
      <c r="C2580" s="2" t="s">
        <v>34</v>
      </c>
      <c r="D2580" s="2" t="s">
        <v>35</v>
      </c>
      <c r="E2580" s="2" t="s">
        <v>36</v>
      </c>
      <c r="F2580">
        <v>4218</v>
      </c>
      <c r="G2580" s="2" t="s">
        <v>301</v>
      </c>
      <c r="H2580" s="2" t="s">
        <v>183</v>
      </c>
      <c r="I2580" s="2" t="s">
        <v>33</v>
      </c>
      <c r="J2580" s="2" t="s">
        <v>60</v>
      </c>
      <c r="K2580" s="2" t="s">
        <v>33</v>
      </c>
      <c r="L2580">
        <v>336.19</v>
      </c>
      <c r="M2580">
        <v>1</v>
      </c>
      <c r="N2580">
        <v>1.1200000000000001</v>
      </c>
      <c r="O2580">
        <v>6400835</v>
      </c>
      <c r="P2580" s="2" t="s">
        <v>130</v>
      </c>
      <c r="Q2580" s="2" t="s">
        <v>131</v>
      </c>
      <c r="R2580" s="2" t="s">
        <v>30</v>
      </c>
      <c r="S2580">
        <v>6</v>
      </c>
      <c r="T2580" s="1">
        <v>43778</v>
      </c>
      <c r="U2580" s="1">
        <v>43786</v>
      </c>
      <c r="V2580" s="2"/>
      <c r="W2580" s="1">
        <f>fNotasFiscais[[#This Row],[Data da Coleta]]+fNotasFiscais[[#This Row],[Prazo Contratado]]</f>
        <v>43784</v>
      </c>
      <c r="X2580" s="3">
        <f>IF(fNotasFiscais[[#This Row],[Data da Entrega]]&gt;fNotasFiscais[[#This Row],[Data Contratada]],0,1)</f>
        <v>0</v>
      </c>
      <c r="Y2580" s="3">
        <f>IF(fNotasFiscais[[#This Row],[Ocorrência]]="",1,0)</f>
        <v>1</v>
      </c>
      <c r="Z2580" s="2">
        <f>fNotasFiscais[[#This Row],[On Time]]*fNotasFiscais[[#This Row],[In Full]]</f>
        <v>0</v>
      </c>
      <c r="AA2580">
        <f>IF(fNotasFiscais[[#This Row],[Nota Fiscal]]&lt;&gt;"",1,0)</f>
        <v>1</v>
      </c>
    </row>
    <row r="2581" spans="1:27" x14ac:dyDescent="0.25">
      <c r="A2581" s="1">
        <v>43778</v>
      </c>
      <c r="B2581">
        <v>12990</v>
      </c>
      <c r="C2581" s="2" t="s">
        <v>40</v>
      </c>
      <c r="D2581" s="2" t="s">
        <v>41</v>
      </c>
      <c r="E2581" s="2" t="s">
        <v>33</v>
      </c>
      <c r="F2581">
        <v>4260</v>
      </c>
      <c r="G2581" s="2" t="s">
        <v>343</v>
      </c>
      <c r="H2581" s="2" t="s">
        <v>44</v>
      </c>
      <c r="I2581" s="2" t="s">
        <v>45</v>
      </c>
      <c r="J2581" s="2" t="s">
        <v>60</v>
      </c>
      <c r="K2581" s="2" t="s">
        <v>45</v>
      </c>
      <c r="L2581">
        <v>1458.32</v>
      </c>
      <c r="M2581">
        <v>1</v>
      </c>
      <c r="N2581">
        <v>14.3</v>
      </c>
      <c r="O2581">
        <v>6140092</v>
      </c>
      <c r="P2581" s="2" t="s">
        <v>137</v>
      </c>
      <c r="Q2581" s="2" t="s">
        <v>138</v>
      </c>
      <c r="R2581" s="2" t="s">
        <v>30</v>
      </c>
      <c r="S2581">
        <v>7</v>
      </c>
      <c r="T2581" s="1">
        <v>43778</v>
      </c>
      <c r="U2581" s="1">
        <v>43786</v>
      </c>
      <c r="V2581" s="2" t="s">
        <v>42</v>
      </c>
      <c r="W2581" s="1">
        <f>fNotasFiscais[[#This Row],[Data da Coleta]]+fNotasFiscais[[#This Row],[Prazo Contratado]]</f>
        <v>43785</v>
      </c>
      <c r="X2581" s="3">
        <f>IF(fNotasFiscais[[#This Row],[Data da Entrega]]&gt;fNotasFiscais[[#This Row],[Data Contratada]],0,1)</f>
        <v>0</v>
      </c>
      <c r="Y2581" s="3">
        <f>IF(fNotasFiscais[[#This Row],[Ocorrência]]="",1,0)</f>
        <v>0</v>
      </c>
      <c r="Z2581" s="2">
        <f>fNotasFiscais[[#This Row],[On Time]]*fNotasFiscais[[#This Row],[In Full]]</f>
        <v>0</v>
      </c>
      <c r="AA2581">
        <f>IF(fNotasFiscais[[#This Row],[Nota Fiscal]]&lt;&gt;"",1,0)</f>
        <v>1</v>
      </c>
    </row>
    <row r="2582" spans="1:27" x14ac:dyDescent="0.25">
      <c r="A2582" s="1">
        <v>43778</v>
      </c>
      <c r="B2582">
        <v>12991</v>
      </c>
      <c r="C2582" s="2" t="s">
        <v>40</v>
      </c>
      <c r="D2582" s="2" t="s">
        <v>41</v>
      </c>
      <c r="E2582" s="2" t="s">
        <v>33</v>
      </c>
      <c r="F2582">
        <v>4128</v>
      </c>
      <c r="G2582" s="2" t="s">
        <v>211</v>
      </c>
      <c r="H2582" s="2" t="s">
        <v>167</v>
      </c>
      <c r="I2582" s="2" t="s">
        <v>168</v>
      </c>
      <c r="J2582" s="2" t="s">
        <v>169</v>
      </c>
      <c r="K2582" s="2" t="s">
        <v>168</v>
      </c>
      <c r="L2582">
        <v>3152.21</v>
      </c>
      <c r="M2582">
        <v>1</v>
      </c>
      <c r="N2582">
        <v>0.88</v>
      </c>
      <c r="O2582">
        <v>6900304</v>
      </c>
      <c r="P2582" s="2" t="s">
        <v>170</v>
      </c>
      <c r="Q2582" s="2" t="s">
        <v>171</v>
      </c>
      <c r="R2582" s="2" t="s">
        <v>30</v>
      </c>
      <c r="S2582">
        <v>4</v>
      </c>
      <c r="T2582" s="1">
        <v>43778</v>
      </c>
      <c r="U2582" s="1">
        <v>43783</v>
      </c>
      <c r="V2582" s="2"/>
      <c r="W2582" s="1">
        <f>fNotasFiscais[[#This Row],[Data da Coleta]]+fNotasFiscais[[#This Row],[Prazo Contratado]]</f>
        <v>43782</v>
      </c>
      <c r="X2582" s="3">
        <f>IF(fNotasFiscais[[#This Row],[Data da Entrega]]&gt;fNotasFiscais[[#This Row],[Data Contratada]],0,1)</f>
        <v>0</v>
      </c>
      <c r="Y2582" s="3">
        <f>IF(fNotasFiscais[[#This Row],[Ocorrência]]="",1,0)</f>
        <v>1</v>
      </c>
      <c r="Z2582" s="2">
        <f>fNotasFiscais[[#This Row],[On Time]]*fNotasFiscais[[#This Row],[In Full]]</f>
        <v>0</v>
      </c>
      <c r="AA2582">
        <f>IF(fNotasFiscais[[#This Row],[Nota Fiscal]]&lt;&gt;"",1,0)</f>
        <v>1</v>
      </c>
    </row>
    <row r="2583" spans="1:27" x14ac:dyDescent="0.25">
      <c r="A2583" s="1">
        <v>43778</v>
      </c>
      <c r="B2583">
        <v>12992</v>
      </c>
      <c r="C2583" s="2" t="s">
        <v>34</v>
      </c>
      <c r="D2583" s="2" t="s">
        <v>35</v>
      </c>
      <c r="E2583" s="2" t="s">
        <v>36</v>
      </c>
      <c r="F2583">
        <v>4233</v>
      </c>
      <c r="G2583" s="2" t="s">
        <v>316</v>
      </c>
      <c r="H2583" s="2" t="s">
        <v>35</v>
      </c>
      <c r="I2583" s="2" t="s">
        <v>36</v>
      </c>
      <c r="J2583" s="2" t="s">
        <v>60</v>
      </c>
      <c r="K2583" s="2" t="s">
        <v>36</v>
      </c>
      <c r="L2583">
        <v>1579.81</v>
      </c>
      <c r="M2583">
        <v>2</v>
      </c>
      <c r="N2583">
        <v>2.0550000000000002</v>
      </c>
      <c r="O2583">
        <v>6600879</v>
      </c>
      <c r="P2583" s="2" t="s">
        <v>61</v>
      </c>
      <c r="Q2583" s="2" t="s">
        <v>35</v>
      </c>
      <c r="R2583" s="2" t="s">
        <v>30</v>
      </c>
      <c r="S2583">
        <v>8</v>
      </c>
      <c r="T2583" s="1">
        <v>43778</v>
      </c>
      <c r="U2583" s="1">
        <v>43780</v>
      </c>
      <c r="V2583" s="2"/>
      <c r="W2583" s="1">
        <f>fNotasFiscais[[#This Row],[Data da Coleta]]+fNotasFiscais[[#This Row],[Prazo Contratado]]</f>
        <v>43786</v>
      </c>
      <c r="X2583" s="3">
        <f>IF(fNotasFiscais[[#This Row],[Data da Entrega]]&gt;fNotasFiscais[[#This Row],[Data Contratada]],0,1)</f>
        <v>1</v>
      </c>
      <c r="Y2583" s="3">
        <f>IF(fNotasFiscais[[#This Row],[Ocorrência]]="",1,0)</f>
        <v>1</v>
      </c>
      <c r="Z2583" s="2">
        <f>fNotasFiscais[[#This Row],[On Time]]*fNotasFiscais[[#This Row],[In Full]]</f>
        <v>1</v>
      </c>
      <c r="AA2583">
        <f>IF(fNotasFiscais[[#This Row],[Nota Fiscal]]&lt;&gt;"",1,0)</f>
        <v>1</v>
      </c>
    </row>
    <row r="2584" spans="1:27" x14ac:dyDescent="0.25">
      <c r="A2584" s="1">
        <v>43778</v>
      </c>
      <c r="B2584">
        <v>12993</v>
      </c>
      <c r="C2584" s="2" t="s">
        <v>52</v>
      </c>
      <c r="D2584" s="2" t="s">
        <v>53</v>
      </c>
      <c r="E2584" s="2" t="s">
        <v>33</v>
      </c>
      <c r="F2584">
        <v>4032</v>
      </c>
      <c r="G2584" s="2" t="s">
        <v>108</v>
      </c>
      <c r="H2584" s="2" t="s">
        <v>51</v>
      </c>
      <c r="I2584" s="2" t="s">
        <v>73</v>
      </c>
      <c r="J2584" s="2" t="s">
        <v>49</v>
      </c>
      <c r="K2584" s="2" t="s">
        <v>73</v>
      </c>
      <c r="L2584">
        <v>2148.6</v>
      </c>
      <c r="M2584">
        <v>4</v>
      </c>
      <c r="N2584">
        <v>5.8760000000000003</v>
      </c>
      <c r="O2584">
        <v>6100231</v>
      </c>
      <c r="P2584" s="2" t="s">
        <v>50</v>
      </c>
      <c r="Q2584" s="2" t="s">
        <v>51</v>
      </c>
      <c r="R2584" s="2" t="s">
        <v>30</v>
      </c>
      <c r="S2584">
        <v>4</v>
      </c>
      <c r="T2584" s="1">
        <v>43778</v>
      </c>
      <c r="U2584" s="1">
        <v>43784</v>
      </c>
      <c r="V2584" s="2"/>
      <c r="W2584" s="1">
        <f>fNotasFiscais[[#This Row],[Data da Coleta]]+fNotasFiscais[[#This Row],[Prazo Contratado]]</f>
        <v>43782</v>
      </c>
      <c r="X2584" s="3">
        <f>IF(fNotasFiscais[[#This Row],[Data da Entrega]]&gt;fNotasFiscais[[#This Row],[Data Contratada]],0,1)</f>
        <v>0</v>
      </c>
      <c r="Y2584" s="3">
        <f>IF(fNotasFiscais[[#This Row],[Ocorrência]]="",1,0)</f>
        <v>1</v>
      </c>
      <c r="Z2584" s="2">
        <f>fNotasFiscais[[#This Row],[On Time]]*fNotasFiscais[[#This Row],[In Full]]</f>
        <v>0</v>
      </c>
      <c r="AA2584">
        <f>IF(fNotasFiscais[[#This Row],[Nota Fiscal]]&lt;&gt;"",1,0)</f>
        <v>1</v>
      </c>
    </row>
    <row r="2585" spans="1:27" x14ac:dyDescent="0.25">
      <c r="A2585" s="1">
        <v>43781</v>
      </c>
      <c r="B2585">
        <v>12994</v>
      </c>
      <c r="C2585" s="2" t="s">
        <v>40</v>
      </c>
      <c r="D2585" s="2" t="s">
        <v>41</v>
      </c>
      <c r="E2585" s="2" t="s">
        <v>33</v>
      </c>
      <c r="F2585">
        <v>4165</v>
      </c>
      <c r="G2585" s="2" t="s">
        <v>248</v>
      </c>
      <c r="H2585" s="2" t="s">
        <v>167</v>
      </c>
      <c r="I2585" s="2" t="s">
        <v>168</v>
      </c>
      <c r="J2585" s="2" t="s">
        <v>169</v>
      </c>
      <c r="K2585" s="2" t="s">
        <v>168</v>
      </c>
      <c r="L2585">
        <v>197.27</v>
      </c>
      <c r="M2585">
        <v>2</v>
      </c>
      <c r="N2585">
        <v>5.3920000000000003</v>
      </c>
      <c r="O2585">
        <v>6900304</v>
      </c>
      <c r="P2585" s="2" t="s">
        <v>170</v>
      </c>
      <c r="Q2585" s="2" t="s">
        <v>171</v>
      </c>
      <c r="R2585" s="2" t="s">
        <v>30</v>
      </c>
      <c r="S2585">
        <v>4</v>
      </c>
      <c r="T2585" s="1">
        <v>43781</v>
      </c>
      <c r="U2585" s="1">
        <v>43782</v>
      </c>
      <c r="V2585" s="2"/>
      <c r="W2585" s="1">
        <f>fNotasFiscais[[#This Row],[Data da Coleta]]+fNotasFiscais[[#This Row],[Prazo Contratado]]</f>
        <v>43785</v>
      </c>
      <c r="X2585" s="3">
        <f>IF(fNotasFiscais[[#This Row],[Data da Entrega]]&gt;fNotasFiscais[[#This Row],[Data Contratada]],0,1)</f>
        <v>1</v>
      </c>
      <c r="Y2585" s="3">
        <f>IF(fNotasFiscais[[#This Row],[Ocorrência]]="",1,0)</f>
        <v>1</v>
      </c>
      <c r="Z2585" s="2">
        <f>fNotasFiscais[[#This Row],[On Time]]*fNotasFiscais[[#This Row],[In Full]]</f>
        <v>1</v>
      </c>
      <c r="AA2585">
        <f>IF(fNotasFiscais[[#This Row],[Nota Fiscal]]&lt;&gt;"",1,0)</f>
        <v>1</v>
      </c>
    </row>
    <row r="2586" spans="1:27" x14ac:dyDescent="0.25">
      <c r="A2586" s="1">
        <v>43781</v>
      </c>
      <c r="B2586">
        <v>12995</v>
      </c>
      <c r="C2586" s="2" t="s">
        <v>31</v>
      </c>
      <c r="D2586" s="2" t="s">
        <v>32</v>
      </c>
      <c r="E2586" s="2" t="s">
        <v>33</v>
      </c>
      <c r="F2586">
        <v>4155</v>
      </c>
      <c r="G2586" s="2" t="s">
        <v>238</v>
      </c>
      <c r="H2586" s="2" t="s">
        <v>32</v>
      </c>
      <c r="I2586" s="2" t="s">
        <v>33</v>
      </c>
      <c r="J2586" s="2" t="s">
        <v>60</v>
      </c>
      <c r="K2586" s="2" t="s">
        <v>33</v>
      </c>
      <c r="L2586">
        <v>1769.77</v>
      </c>
      <c r="M2586">
        <v>1</v>
      </c>
      <c r="N2586">
        <v>1.1200000000000001</v>
      </c>
      <c r="O2586">
        <v>6400835</v>
      </c>
      <c r="P2586" s="2" t="s">
        <v>130</v>
      </c>
      <c r="Q2586" s="2" t="s">
        <v>131</v>
      </c>
      <c r="R2586" s="2" t="s">
        <v>30</v>
      </c>
      <c r="S2586">
        <v>6</v>
      </c>
      <c r="T2586" s="1">
        <v>43781</v>
      </c>
      <c r="U2586" s="1">
        <v>43791</v>
      </c>
      <c r="V2586" s="2"/>
      <c r="W2586" s="1">
        <f>fNotasFiscais[[#This Row],[Data da Coleta]]+fNotasFiscais[[#This Row],[Prazo Contratado]]</f>
        <v>43787</v>
      </c>
      <c r="X2586" s="3">
        <f>IF(fNotasFiscais[[#This Row],[Data da Entrega]]&gt;fNotasFiscais[[#This Row],[Data Contratada]],0,1)</f>
        <v>0</v>
      </c>
      <c r="Y2586" s="3">
        <f>IF(fNotasFiscais[[#This Row],[Ocorrência]]="",1,0)</f>
        <v>1</v>
      </c>
      <c r="Z2586" s="2">
        <f>fNotasFiscais[[#This Row],[On Time]]*fNotasFiscais[[#This Row],[In Full]]</f>
        <v>0</v>
      </c>
      <c r="AA2586">
        <f>IF(fNotasFiscais[[#This Row],[Nota Fiscal]]&lt;&gt;"",1,0)</f>
        <v>1</v>
      </c>
    </row>
    <row r="2587" spans="1:27" x14ac:dyDescent="0.25">
      <c r="A2587" s="1">
        <v>43781</v>
      </c>
      <c r="B2587">
        <v>12996</v>
      </c>
      <c r="C2587" s="2" t="s">
        <v>40</v>
      </c>
      <c r="D2587" s="2" t="s">
        <v>41</v>
      </c>
      <c r="E2587" s="2" t="s">
        <v>33</v>
      </c>
      <c r="F2587">
        <v>4173</v>
      </c>
      <c r="G2587" s="2" t="s">
        <v>256</v>
      </c>
      <c r="H2587" s="2" t="s">
        <v>35</v>
      </c>
      <c r="I2587" s="2" t="s">
        <v>36</v>
      </c>
      <c r="J2587" s="2" t="s">
        <v>60</v>
      </c>
      <c r="K2587" s="2" t="s">
        <v>36</v>
      </c>
      <c r="L2587">
        <v>957.72</v>
      </c>
      <c r="M2587">
        <v>3</v>
      </c>
      <c r="N2587">
        <v>4.5970000000000004</v>
      </c>
      <c r="O2587">
        <v>6600879</v>
      </c>
      <c r="P2587" s="2" t="s">
        <v>61</v>
      </c>
      <c r="Q2587" s="2" t="s">
        <v>35</v>
      </c>
      <c r="R2587" s="2" t="s">
        <v>30</v>
      </c>
      <c r="S2587">
        <v>5</v>
      </c>
      <c r="T2587" s="1">
        <v>43781</v>
      </c>
      <c r="U2587" s="1">
        <v>43784</v>
      </c>
      <c r="V2587" s="2"/>
      <c r="W2587" s="1">
        <f>fNotasFiscais[[#This Row],[Data da Coleta]]+fNotasFiscais[[#This Row],[Prazo Contratado]]</f>
        <v>43786</v>
      </c>
      <c r="X2587" s="3">
        <f>IF(fNotasFiscais[[#This Row],[Data da Entrega]]&gt;fNotasFiscais[[#This Row],[Data Contratada]],0,1)</f>
        <v>1</v>
      </c>
      <c r="Y2587" s="3">
        <f>IF(fNotasFiscais[[#This Row],[Ocorrência]]="",1,0)</f>
        <v>1</v>
      </c>
      <c r="Z2587" s="2">
        <f>fNotasFiscais[[#This Row],[On Time]]*fNotasFiscais[[#This Row],[In Full]]</f>
        <v>1</v>
      </c>
      <c r="AA2587">
        <f>IF(fNotasFiscais[[#This Row],[Nota Fiscal]]&lt;&gt;"",1,0)</f>
        <v>1</v>
      </c>
    </row>
    <row r="2588" spans="1:27" x14ac:dyDescent="0.25">
      <c r="A2588" s="1">
        <v>43781</v>
      </c>
      <c r="B2588">
        <v>12997</v>
      </c>
      <c r="C2588" s="2" t="s">
        <v>52</v>
      </c>
      <c r="D2588" s="2" t="s">
        <v>53</v>
      </c>
      <c r="E2588" s="2" t="s">
        <v>33</v>
      </c>
      <c r="F2588">
        <v>4231</v>
      </c>
      <c r="G2588" s="2" t="s">
        <v>314</v>
      </c>
      <c r="H2588" s="2" t="s">
        <v>44</v>
      </c>
      <c r="I2588" s="2" t="s">
        <v>45</v>
      </c>
      <c r="J2588" s="2" t="s">
        <v>60</v>
      </c>
      <c r="K2588" s="2" t="s">
        <v>45</v>
      </c>
      <c r="L2588">
        <v>2324.84</v>
      </c>
      <c r="M2588">
        <v>4</v>
      </c>
      <c r="N2588">
        <v>4.774</v>
      </c>
      <c r="O2588">
        <v>6140092</v>
      </c>
      <c r="P2588" s="2" t="s">
        <v>137</v>
      </c>
      <c r="Q2588" s="2" t="s">
        <v>138</v>
      </c>
      <c r="R2588" s="2" t="s">
        <v>30</v>
      </c>
      <c r="S2588">
        <v>10</v>
      </c>
      <c r="T2588" s="1">
        <v>43781</v>
      </c>
      <c r="U2588" s="1">
        <v>43790</v>
      </c>
      <c r="V2588" s="2"/>
      <c r="W2588" s="1">
        <f>fNotasFiscais[[#This Row],[Data da Coleta]]+fNotasFiscais[[#This Row],[Prazo Contratado]]</f>
        <v>43791</v>
      </c>
      <c r="X2588" s="3">
        <f>IF(fNotasFiscais[[#This Row],[Data da Entrega]]&gt;fNotasFiscais[[#This Row],[Data Contratada]],0,1)</f>
        <v>1</v>
      </c>
      <c r="Y2588" s="3">
        <f>IF(fNotasFiscais[[#This Row],[Ocorrência]]="",1,0)</f>
        <v>1</v>
      </c>
      <c r="Z2588" s="2">
        <f>fNotasFiscais[[#This Row],[On Time]]*fNotasFiscais[[#This Row],[In Full]]</f>
        <v>1</v>
      </c>
      <c r="AA2588">
        <f>IF(fNotasFiscais[[#This Row],[Nota Fiscal]]&lt;&gt;"",1,0)</f>
        <v>1</v>
      </c>
    </row>
    <row r="2589" spans="1:27" x14ac:dyDescent="0.25">
      <c r="A2589" s="1">
        <v>43781</v>
      </c>
      <c r="B2589">
        <v>12998</v>
      </c>
      <c r="C2589" s="2" t="s">
        <v>52</v>
      </c>
      <c r="D2589" s="2" t="s">
        <v>53</v>
      </c>
      <c r="E2589" s="2" t="s">
        <v>33</v>
      </c>
      <c r="F2589">
        <v>4068</v>
      </c>
      <c r="G2589" s="2" t="s">
        <v>63</v>
      </c>
      <c r="H2589" s="2" t="s">
        <v>64</v>
      </c>
      <c r="I2589" s="2" t="s">
        <v>65</v>
      </c>
      <c r="J2589" s="2" t="s">
        <v>49</v>
      </c>
      <c r="K2589" s="2" t="s">
        <v>65</v>
      </c>
      <c r="L2589">
        <v>764.6</v>
      </c>
      <c r="M2589">
        <v>2</v>
      </c>
      <c r="N2589">
        <v>1.3640000000000001</v>
      </c>
      <c r="O2589">
        <v>6100231</v>
      </c>
      <c r="P2589" s="2" t="s">
        <v>50</v>
      </c>
      <c r="Q2589" s="2" t="s">
        <v>51</v>
      </c>
      <c r="R2589" s="2" t="s">
        <v>30</v>
      </c>
      <c r="S2589">
        <v>3</v>
      </c>
      <c r="T2589" s="1">
        <v>43781</v>
      </c>
      <c r="U2589" s="1">
        <v>43788</v>
      </c>
      <c r="V2589" s="2"/>
      <c r="W2589" s="1">
        <f>fNotasFiscais[[#This Row],[Data da Coleta]]+fNotasFiscais[[#This Row],[Prazo Contratado]]</f>
        <v>43784</v>
      </c>
      <c r="X2589" s="3">
        <f>IF(fNotasFiscais[[#This Row],[Data da Entrega]]&gt;fNotasFiscais[[#This Row],[Data Contratada]],0,1)</f>
        <v>0</v>
      </c>
      <c r="Y2589" s="3">
        <f>IF(fNotasFiscais[[#This Row],[Ocorrência]]="",1,0)</f>
        <v>1</v>
      </c>
      <c r="Z2589" s="2">
        <f>fNotasFiscais[[#This Row],[On Time]]*fNotasFiscais[[#This Row],[In Full]]</f>
        <v>0</v>
      </c>
      <c r="AA2589">
        <f>IF(fNotasFiscais[[#This Row],[Nota Fiscal]]&lt;&gt;"",1,0)</f>
        <v>1</v>
      </c>
    </row>
    <row r="2590" spans="1:27" x14ac:dyDescent="0.25">
      <c r="A2590" s="1">
        <v>43782</v>
      </c>
      <c r="B2590">
        <v>12999</v>
      </c>
      <c r="C2590" s="2" t="s">
        <v>43</v>
      </c>
      <c r="D2590" s="2" t="s">
        <v>44</v>
      </c>
      <c r="E2590" s="2" t="s">
        <v>45</v>
      </c>
      <c r="F2590">
        <v>4190</v>
      </c>
      <c r="G2590" s="2" t="s">
        <v>273</v>
      </c>
      <c r="H2590" s="2" t="s">
        <v>35</v>
      </c>
      <c r="I2590" s="2" t="s">
        <v>36</v>
      </c>
      <c r="J2590" s="2" t="s">
        <v>60</v>
      </c>
      <c r="K2590" s="2" t="s">
        <v>36</v>
      </c>
      <c r="L2590">
        <v>2818.45</v>
      </c>
      <c r="M2590">
        <v>4</v>
      </c>
      <c r="N2590">
        <v>6.5449999999999999</v>
      </c>
      <c r="O2590">
        <v>6600879</v>
      </c>
      <c r="P2590" s="2" t="s">
        <v>61</v>
      </c>
      <c r="Q2590" s="2" t="s">
        <v>35</v>
      </c>
      <c r="R2590" s="2" t="s">
        <v>30</v>
      </c>
      <c r="S2590">
        <v>4</v>
      </c>
      <c r="T2590" s="1">
        <v>43782</v>
      </c>
      <c r="U2590" s="1">
        <v>43788</v>
      </c>
      <c r="V2590" s="2"/>
      <c r="W2590" s="1">
        <f>fNotasFiscais[[#This Row],[Data da Coleta]]+fNotasFiscais[[#This Row],[Prazo Contratado]]</f>
        <v>43786</v>
      </c>
      <c r="X2590" s="3">
        <f>IF(fNotasFiscais[[#This Row],[Data da Entrega]]&gt;fNotasFiscais[[#This Row],[Data Contratada]],0,1)</f>
        <v>0</v>
      </c>
      <c r="Y2590" s="3">
        <f>IF(fNotasFiscais[[#This Row],[Ocorrência]]="",1,0)</f>
        <v>1</v>
      </c>
      <c r="Z2590" s="2">
        <f>fNotasFiscais[[#This Row],[On Time]]*fNotasFiscais[[#This Row],[In Full]]</f>
        <v>0</v>
      </c>
      <c r="AA2590">
        <f>IF(fNotasFiscais[[#This Row],[Nota Fiscal]]&lt;&gt;"",1,0)</f>
        <v>1</v>
      </c>
    </row>
    <row r="2591" spans="1:27" x14ac:dyDescent="0.25">
      <c r="A2591" s="1">
        <v>43782</v>
      </c>
      <c r="B2591">
        <v>13000</v>
      </c>
      <c r="C2591" s="2" t="s">
        <v>22</v>
      </c>
      <c r="D2591" s="2" t="s">
        <v>23</v>
      </c>
      <c r="E2591" s="2" t="s">
        <v>24</v>
      </c>
      <c r="F2591">
        <v>4261</v>
      </c>
      <c r="G2591" s="2" t="s">
        <v>344</v>
      </c>
      <c r="H2591" s="2" t="s">
        <v>44</v>
      </c>
      <c r="I2591" s="2" t="s">
        <v>45</v>
      </c>
      <c r="J2591" s="2" t="s">
        <v>60</v>
      </c>
      <c r="K2591" s="2" t="s">
        <v>45</v>
      </c>
      <c r="L2591">
        <v>1318.94</v>
      </c>
      <c r="M2591">
        <v>1</v>
      </c>
      <c r="N2591">
        <v>0.66</v>
      </c>
      <c r="O2591">
        <v>6140092</v>
      </c>
      <c r="P2591" s="2" t="s">
        <v>137</v>
      </c>
      <c r="Q2591" s="2" t="s">
        <v>138</v>
      </c>
      <c r="R2591" s="2" t="s">
        <v>30</v>
      </c>
      <c r="S2591">
        <v>4</v>
      </c>
      <c r="T2591" s="1">
        <v>43782</v>
      </c>
      <c r="U2591" s="1">
        <v>43790</v>
      </c>
      <c r="V2591" s="2"/>
      <c r="W2591" s="1">
        <f>fNotasFiscais[[#This Row],[Data da Coleta]]+fNotasFiscais[[#This Row],[Prazo Contratado]]</f>
        <v>43786</v>
      </c>
      <c r="X2591" s="3">
        <f>IF(fNotasFiscais[[#This Row],[Data da Entrega]]&gt;fNotasFiscais[[#This Row],[Data Contratada]],0,1)</f>
        <v>0</v>
      </c>
      <c r="Y2591" s="3">
        <f>IF(fNotasFiscais[[#This Row],[Ocorrência]]="",1,0)</f>
        <v>1</v>
      </c>
      <c r="Z2591" s="2">
        <f>fNotasFiscais[[#This Row],[On Time]]*fNotasFiscais[[#This Row],[In Full]]</f>
        <v>0</v>
      </c>
      <c r="AA2591">
        <f>IF(fNotasFiscais[[#This Row],[Nota Fiscal]]&lt;&gt;"",1,0)</f>
        <v>1</v>
      </c>
    </row>
    <row r="2592" spans="1:27" x14ac:dyDescent="0.25">
      <c r="A2592" s="1">
        <v>43783</v>
      </c>
      <c r="B2592">
        <v>13001</v>
      </c>
      <c r="C2592" s="2" t="s">
        <v>40</v>
      </c>
      <c r="D2592" s="2" t="s">
        <v>41</v>
      </c>
      <c r="E2592" s="2" t="s">
        <v>33</v>
      </c>
      <c r="F2592">
        <v>4262</v>
      </c>
      <c r="G2592" s="2" t="s">
        <v>345</v>
      </c>
      <c r="H2592" s="2" t="s">
        <v>32</v>
      </c>
      <c r="I2592" s="2" t="s">
        <v>33</v>
      </c>
      <c r="J2592" s="2" t="s">
        <v>60</v>
      </c>
      <c r="K2592" s="2" t="s">
        <v>33</v>
      </c>
      <c r="L2592">
        <v>21.71</v>
      </c>
      <c r="M2592">
        <v>1</v>
      </c>
      <c r="N2592">
        <v>1.0999999999999999E-2</v>
      </c>
      <c r="O2592">
        <v>6400835</v>
      </c>
      <c r="P2592" s="2" t="s">
        <v>130</v>
      </c>
      <c r="Q2592" s="2" t="s">
        <v>131</v>
      </c>
      <c r="R2592" s="2" t="s">
        <v>30</v>
      </c>
      <c r="S2592">
        <v>5</v>
      </c>
      <c r="T2592" s="1">
        <v>43783</v>
      </c>
      <c r="U2592" s="1">
        <v>43792</v>
      </c>
      <c r="V2592" s="2"/>
      <c r="W2592" s="1">
        <f>fNotasFiscais[[#This Row],[Data da Coleta]]+fNotasFiscais[[#This Row],[Prazo Contratado]]</f>
        <v>43788</v>
      </c>
      <c r="X2592" s="3">
        <f>IF(fNotasFiscais[[#This Row],[Data da Entrega]]&gt;fNotasFiscais[[#This Row],[Data Contratada]],0,1)</f>
        <v>0</v>
      </c>
      <c r="Y2592" s="3">
        <f>IF(fNotasFiscais[[#This Row],[Ocorrência]]="",1,0)</f>
        <v>1</v>
      </c>
      <c r="Z2592" s="2">
        <f>fNotasFiscais[[#This Row],[On Time]]*fNotasFiscais[[#This Row],[In Full]]</f>
        <v>0</v>
      </c>
      <c r="AA2592">
        <f>IF(fNotasFiscais[[#This Row],[Nota Fiscal]]&lt;&gt;"",1,0)</f>
        <v>1</v>
      </c>
    </row>
    <row r="2593" spans="1:27" x14ac:dyDescent="0.25">
      <c r="A2593" s="1">
        <v>43783</v>
      </c>
      <c r="B2593">
        <v>13002</v>
      </c>
      <c r="C2593" s="2" t="s">
        <v>34</v>
      </c>
      <c r="D2593" s="2" t="s">
        <v>35</v>
      </c>
      <c r="E2593" s="2" t="s">
        <v>36</v>
      </c>
      <c r="F2593">
        <v>4038</v>
      </c>
      <c r="G2593" s="2" t="s">
        <v>72</v>
      </c>
      <c r="H2593" s="2" t="s">
        <v>51</v>
      </c>
      <c r="I2593" s="2" t="s">
        <v>73</v>
      </c>
      <c r="J2593" s="2" t="s">
        <v>49</v>
      </c>
      <c r="K2593" s="2" t="s">
        <v>73</v>
      </c>
      <c r="L2593">
        <v>23853.21</v>
      </c>
      <c r="M2593">
        <v>22</v>
      </c>
      <c r="N2593">
        <v>82.245000000000005</v>
      </c>
      <c r="O2593">
        <v>6100231</v>
      </c>
      <c r="P2593" s="2" t="s">
        <v>50</v>
      </c>
      <c r="Q2593" s="2" t="s">
        <v>51</v>
      </c>
      <c r="R2593" s="2" t="s">
        <v>30</v>
      </c>
      <c r="S2593">
        <v>1</v>
      </c>
      <c r="T2593" s="1">
        <v>43783</v>
      </c>
      <c r="U2593" s="1">
        <v>43786</v>
      </c>
      <c r="V2593" s="2"/>
      <c r="W2593" s="1">
        <f>fNotasFiscais[[#This Row],[Data da Coleta]]+fNotasFiscais[[#This Row],[Prazo Contratado]]</f>
        <v>43784</v>
      </c>
      <c r="X2593" s="3">
        <f>IF(fNotasFiscais[[#This Row],[Data da Entrega]]&gt;fNotasFiscais[[#This Row],[Data Contratada]],0,1)</f>
        <v>0</v>
      </c>
      <c r="Y2593" s="3">
        <f>IF(fNotasFiscais[[#This Row],[Ocorrência]]="",1,0)</f>
        <v>1</v>
      </c>
      <c r="Z2593" s="2">
        <f>fNotasFiscais[[#This Row],[On Time]]*fNotasFiscais[[#This Row],[In Full]]</f>
        <v>0</v>
      </c>
      <c r="AA2593">
        <f>IF(fNotasFiscais[[#This Row],[Nota Fiscal]]&lt;&gt;"",1,0)</f>
        <v>1</v>
      </c>
    </row>
    <row r="2594" spans="1:27" x14ac:dyDescent="0.25">
      <c r="A2594" s="1">
        <v>43783</v>
      </c>
      <c r="B2594">
        <v>13003</v>
      </c>
      <c r="C2594" s="2" t="s">
        <v>43</v>
      </c>
      <c r="D2594" s="2" t="s">
        <v>44</v>
      </c>
      <c r="E2594" s="2" t="s">
        <v>45</v>
      </c>
      <c r="F2594">
        <v>4141</v>
      </c>
      <c r="G2594" s="2" t="s">
        <v>224</v>
      </c>
      <c r="H2594" s="2" t="s">
        <v>44</v>
      </c>
      <c r="I2594" s="2" t="s">
        <v>45</v>
      </c>
      <c r="J2594" s="2" t="s">
        <v>60</v>
      </c>
      <c r="K2594" s="2" t="s">
        <v>45</v>
      </c>
      <c r="L2594">
        <v>47.48</v>
      </c>
      <c r="M2594">
        <v>2</v>
      </c>
      <c r="N2594">
        <v>1.7709999999999999</v>
      </c>
      <c r="O2594">
        <v>6140092</v>
      </c>
      <c r="P2594" s="2" t="s">
        <v>137</v>
      </c>
      <c r="Q2594" s="2" t="s">
        <v>138</v>
      </c>
      <c r="R2594" s="2" t="s">
        <v>30</v>
      </c>
      <c r="S2594">
        <v>7</v>
      </c>
      <c r="T2594" s="1">
        <v>43783</v>
      </c>
      <c r="U2594" s="1">
        <v>43786</v>
      </c>
      <c r="V2594" s="2"/>
      <c r="W2594" s="1">
        <f>fNotasFiscais[[#This Row],[Data da Coleta]]+fNotasFiscais[[#This Row],[Prazo Contratado]]</f>
        <v>43790</v>
      </c>
      <c r="X2594" s="3">
        <f>IF(fNotasFiscais[[#This Row],[Data da Entrega]]&gt;fNotasFiscais[[#This Row],[Data Contratada]],0,1)</f>
        <v>1</v>
      </c>
      <c r="Y2594" s="3">
        <f>IF(fNotasFiscais[[#This Row],[Ocorrência]]="",1,0)</f>
        <v>1</v>
      </c>
      <c r="Z2594" s="2">
        <f>fNotasFiscais[[#This Row],[On Time]]*fNotasFiscais[[#This Row],[In Full]]</f>
        <v>1</v>
      </c>
      <c r="AA2594">
        <f>IF(fNotasFiscais[[#This Row],[Nota Fiscal]]&lt;&gt;"",1,0)</f>
        <v>1</v>
      </c>
    </row>
    <row r="2595" spans="1:27" x14ac:dyDescent="0.25">
      <c r="A2595" s="1">
        <v>43783</v>
      </c>
      <c r="B2595">
        <v>13004</v>
      </c>
      <c r="C2595" s="2" t="s">
        <v>43</v>
      </c>
      <c r="D2595" s="2" t="s">
        <v>44</v>
      </c>
      <c r="E2595" s="2" t="s">
        <v>45</v>
      </c>
      <c r="F2595">
        <v>4140</v>
      </c>
      <c r="G2595" s="2" t="s">
        <v>223</v>
      </c>
      <c r="H2595" s="2" t="s">
        <v>167</v>
      </c>
      <c r="I2595" s="2" t="s">
        <v>168</v>
      </c>
      <c r="J2595" s="2" t="s">
        <v>169</v>
      </c>
      <c r="K2595" s="2" t="s">
        <v>168</v>
      </c>
      <c r="L2595">
        <v>936.62</v>
      </c>
      <c r="M2595">
        <v>1</v>
      </c>
      <c r="N2595">
        <v>1.1200000000000001</v>
      </c>
      <c r="O2595">
        <v>6900304</v>
      </c>
      <c r="P2595" s="2" t="s">
        <v>170</v>
      </c>
      <c r="Q2595" s="2" t="s">
        <v>171</v>
      </c>
      <c r="R2595" s="2" t="s">
        <v>30</v>
      </c>
      <c r="S2595">
        <v>12</v>
      </c>
      <c r="T2595" s="1">
        <v>43783</v>
      </c>
      <c r="U2595" s="1">
        <v>43787</v>
      </c>
      <c r="V2595" s="2"/>
      <c r="W2595" s="1">
        <f>fNotasFiscais[[#This Row],[Data da Coleta]]+fNotasFiscais[[#This Row],[Prazo Contratado]]</f>
        <v>43795</v>
      </c>
      <c r="X2595" s="3">
        <f>IF(fNotasFiscais[[#This Row],[Data da Entrega]]&gt;fNotasFiscais[[#This Row],[Data Contratada]],0,1)</f>
        <v>1</v>
      </c>
      <c r="Y2595" s="3">
        <f>IF(fNotasFiscais[[#This Row],[Ocorrência]]="",1,0)</f>
        <v>1</v>
      </c>
      <c r="Z2595" s="2">
        <f>fNotasFiscais[[#This Row],[On Time]]*fNotasFiscais[[#This Row],[In Full]]</f>
        <v>1</v>
      </c>
      <c r="AA2595">
        <f>IF(fNotasFiscais[[#This Row],[Nota Fiscal]]&lt;&gt;"",1,0)</f>
        <v>1</v>
      </c>
    </row>
    <row r="2596" spans="1:27" x14ac:dyDescent="0.25">
      <c r="A2596" s="1">
        <v>43783</v>
      </c>
      <c r="B2596">
        <v>13005</v>
      </c>
      <c r="C2596" s="2" t="s">
        <v>43</v>
      </c>
      <c r="D2596" s="2" t="s">
        <v>44</v>
      </c>
      <c r="E2596" s="2" t="s">
        <v>45</v>
      </c>
      <c r="F2596">
        <v>4154</v>
      </c>
      <c r="G2596" s="2" t="s">
        <v>237</v>
      </c>
      <c r="H2596" s="2" t="s">
        <v>167</v>
      </c>
      <c r="I2596" s="2" t="s">
        <v>168</v>
      </c>
      <c r="J2596" s="2" t="s">
        <v>169</v>
      </c>
      <c r="K2596" s="2" t="s">
        <v>168</v>
      </c>
      <c r="L2596">
        <v>3808.64</v>
      </c>
      <c r="M2596">
        <v>2</v>
      </c>
      <c r="N2596">
        <v>10.304</v>
      </c>
      <c r="O2596">
        <v>6900304</v>
      </c>
      <c r="P2596" s="2" t="s">
        <v>170</v>
      </c>
      <c r="Q2596" s="2" t="s">
        <v>171</v>
      </c>
      <c r="R2596" s="2" t="s">
        <v>30</v>
      </c>
      <c r="S2596">
        <v>6</v>
      </c>
      <c r="T2596" s="1">
        <v>43783</v>
      </c>
      <c r="U2596" s="1">
        <v>43786</v>
      </c>
      <c r="V2596" s="2"/>
      <c r="W2596" s="1">
        <f>fNotasFiscais[[#This Row],[Data da Coleta]]+fNotasFiscais[[#This Row],[Prazo Contratado]]</f>
        <v>43789</v>
      </c>
      <c r="X2596" s="3">
        <f>IF(fNotasFiscais[[#This Row],[Data da Entrega]]&gt;fNotasFiscais[[#This Row],[Data Contratada]],0,1)</f>
        <v>1</v>
      </c>
      <c r="Y2596" s="3">
        <f>IF(fNotasFiscais[[#This Row],[Ocorrência]]="",1,0)</f>
        <v>1</v>
      </c>
      <c r="Z2596" s="2">
        <f>fNotasFiscais[[#This Row],[On Time]]*fNotasFiscais[[#This Row],[In Full]]</f>
        <v>1</v>
      </c>
      <c r="AA2596">
        <f>IF(fNotasFiscais[[#This Row],[Nota Fiscal]]&lt;&gt;"",1,0)</f>
        <v>1</v>
      </c>
    </row>
    <row r="2597" spans="1:27" x14ac:dyDescent="0.25">
      <c r="A2597" s="1">
        <v>43783</v>
      </c>
      <c r="B2597">
        <v>13006</v>
      </c>
      <c r="C2597" s="2" t="s">
        <v>40</v>
      </c>
      <c r="D2597" s="2" t="s">
        <v>41</v>
      </c>
      <c r="E2597" s="2" t="s">
        <v>33</v>
      </c>
      <c r="F2597">
        <v>4197</v>
      </c>
      <c r="G2597" s="2" t="s">
        <v>280</v>
      </c>
      <c r="H2597" s="2" t="s">
        <v>32</v>
      </c>
      <c r="I2597" s="2" t="s">
        <v>33</v>
      </c>
      <c r="J2597" s="2" t="s">
        <v>60</v>
      </c>
      <c r="K2597" s="2" t="s">
        <v>33</v>
      </c>
      <c r="L2597">
        <v>923.71</v>
      </c>
      <c r="M2597">
        <v>1</v>
      </c>
      <c r="N2597">
        <v>1.4470000000000001</v>
      </c>
      <c r="O2597">
        <v>6400835</v>
      </c>
      <c r="P2597" s="2" t="s">
        <v>130</v>
      </c>
      <c r="Q2597" s="2" t="s">
        <v>131</v>
      </c>
      <c r="R2597" s="2" t="s">
        <v>30</v>
      </c>
      <c r="S2597">
        <v>8</v>
      </c>
      <c r="T2597" s="1">
        <v>43783</v>
      </c>
      <c r="U2597" s="1">
        <v>43790</v>
      </c>
      <c r="V2597" s="2"/>
      <c r="W2597" s="1">
        <f>fNotasFiscais[[#This Row],[Data da Coleta]]+fNotasFiscais[[#This Row],[Prazo Contratado]]</f>
        <v>43791</v>
      </c>
      <c r="X2597" s="3">
        <f>IF(fNotasFiscais[[#This Row],[Data da Entrega]]&gt;fNotasFiscais[[#This Row],[Data Contratada]],0,1)</f>
        <v>1</v>
      </c>
      <c r="Y2597" s="3">
        <f>IF(fNotasFiscais[[#This Row],[Ocorrência]]="",1,0)</f>
        <v>1</v>
      </c>
      <c r="Z2597" s="2">
        <f>fNotasFiscais[[#This Row],[On Time]]*fNotasFiscais[[#This Row],[In Full]]</f>
        <v>1</v>
      </c>
      <c r="AA2597">
        <f>IF(fNotasFiscais[[#This Row],[Nota Fiscal]]&lt;&gt;"",1,0)</f>
        <v>1</v>
      </c>
    </row>
    <row r="2598" spans="1:27" x14ac:dyDescent="0.25">
      <c r="A2598" s="1">
        <v>43783</v>
      </c>
      <c r="B2598">
        <v>13007</v>
      </c>
      <c r="C2598" s="2" t="s">
        <v>34</v>
      </c>
      <c r="D2598" s="2" t="s">
        <v>35</v>
      </c>
      <c r="E2598" s="2" t="s">
        <v>36</v>
      </c>
      <c r="F2598">
        <v>4263</v>
      </c>
      <c r="G2598" s="2" t="s">
        <v>346</v>
      </c>
      <c r="H2598" s="2" t="s">
        <v>35</v>
      </c>
      <c r="I2598" s="2" t="s">
        <v>36</v>
      </c>
      <c r="J2598" s="2" t="s">
        <v>60</v>
      </c>
      <c r="K2598" s="2" t="s">
        <v>36</v>
      </c>
      <c r="L2598">
        <v>1084.79</v>
      </c>
      <c r="M2598">
        <v>3</v>
      </c>
      <c r="N2598">
        <v>2.0459999999999998</v>
      </c>
      <c r="O2598">
        <v>6600879</v>
      </c>
      <c r="P2598" s="2" t="s">
        <v>61</v>
      </c>
      <c r="Q2598" s="2" t="s">
        <v>35</v>
      </c>
      <c r="R2598" s="2" t="s">
        <v>30</v>
      </c>
      <c r="S2598">
        <v>9</v>
      </c>
      <c r="T2598" s="1">
        <v>43783</v>
      </c>
      <c r="U2598" s="1">
        <v>43785</v>
      </c>
      <c r="V2598" s="2"/>
      <c r="W2598" s="1">
        <f>fNotasFiscais[[#This Row],[Data da Coleta]]+fNotasFiscais[[#This Row],[Prazo Contratado]]</f>
        <v>43792</v>
      </c>
      <c r="X2598" s="3">
        <f>IF(fNotasFiscais[[#This Row],[Data da Entrega]]&gt;fNotasFiscais[[#This Row],[Data Contratada]],0,1)</f>
        <v>1</v>
      </c>
      <c r="Y2598" s="3">
        <f>IF(fNotasFiscais[[#This Row],[Ocorrência]]="",1,0)</f>
        <v>1</v>
      </c>
      <c r="Z2598" s="2">
        <f>fNotasFiscais[[#This Row],[On Time]]*fNotasFiscais[[#This Row],[In Full]]</f>
        <v>1</v>
      </c>
      <c r="AA2598">
        <f>IF(fNotasFiscais[[#This Row],[Nota Fiscal]]&lt;&gt;"",1,0)</f>
        <v>1</v>
      </c>
    </row>
    <row r="2599" spans="1:27" x14ac:dyDescent="0.25">
      <c r="A2599" s="1">
        <v>43783</v>
      </c>
      <c r="B2599">
        <v>13008</v>
      </c>
      <c r="C2599" s="2" t="s">
        <v>52</v>
      </c>
      <c r="D2599" s="2" t="s">
        <v>53</v>
      </c>
      <c r="E2599" s="2" t="s">
        <v>33</v>
      </c>
      <c r="F2599">
        <v>4068</v>
      </c>
      <c r="G2599" s="2" t="s">
        <v>63</v>
      </c>
      <c r="H2599" s="2" t="s">
        <v>64</v>
      </c>
      <c r="I2599" s="2" t="s">
        <v>65</v>
      </c>
      <c r="J2599" s="2" t="s">
        <v>49</v>
      </c>
      <c r="K2599" s="2" t="s">
        <v>65</v>
      </c>
      <c r="L2599">
        <v>893.24</v>
      </c>
      <c r="M2599">
        <v>3</v>
      </c>
      <c r="N2599">
        <v>9.24</v>
      </c>
      <c r="O2599">
        <v>6100231</v>
      </c>
      <c r="P2599" s="2" t="s">
        <v>50</v>
      </c>
      <c r="Q2599" s="2" t="s">
        <v>51</v>
      </c>
      <c r="R2599" s="2" t="s">
        <v>30</v>
      </c>
      <c r="S2599">
        <v>1</v>
      </c>
      <c r="T2599" s="1">
        <v>43783</v>
      </c>
      <c r="U2599" s="1">
        <v>43785</v>
      </c>
      <c r="V2599" s="2"/>
      <c r="W2599" s="1">
        <f>fNotasFiscais[[#This Row],[Data da Coleta]]+fNotasFiscais[[#This Row],[Prazo Contratado]]</f>
        <v>43784</v>
      </c>
      <c r="X2599" s="3">
        <f>IF(fNotasFiscais[[#This Row],[Data da Entrega]]&gt;fNotasFiscais[[#This Row],[Data Contratada]],0,1)</f>
        <v>0</v>
      </c>
      <c r="Y2599" s="3">
        <f>IF(fNotasFiscais[[#This Row],[Ocorrência]]="",1,0)</f>
        <v>1</v>
      </c>
      <c r="Z2599" s="2">
        <f>fNotasFiscais[[#This Row],[On Time]]*fNotasFiscais[[#This Row],[In Full]]</f>
        <v>0</v>
      </c>
      <c r="AA2599">
        <f>IF(fNotasFiscais[[#This Row],[Nota Fiscal]]&lt;&gt;"",1,0)</f>
        <v>1</v>
      </c>
    </row>
    <row r="2600" spans="1:27" x14ac:dyDescent="0.25">
      <c r="A2600" s="1">
        <v>43783</v>
      </c>
      <c r="B2600">
        <v>13009</v>
      </c>
      <c r="C2600" s="2" t="s">
        <v>34</v>
      </c>
      <c r="D2600" s="2" t="s">
        <v>35</v>
      </c>
      <c r="E2600" s="2" t="s">
        <v>36</v>
      </c>
      <c r="F2600">
        <v>4060</v>
      </c>
      <c r="G2600" s="2" t="s">
        <v>134</v>
      </c>
      <c r="H2600" s="2" t="s">
        <v>115</v>
      </c>
      <c r="I2600" s="2" t="s">
        <v>107</v>
      </c>
      <c r="J2600" s="2" t="s">
        <v>49</v>
      </c>
      <c r="K2600" s="2" t="s">
        <v>107</v>
      </c>
      <c r="L2600">
        <v>6279.22</v>
      </c>
      <c r="M2600">
        <v>18</v>
      </c>
      <c r="N2600">
        <v>41.052</v>
      </c>
      <c r="O2600">
        <v>6100231</v>
      </c>
      <c r="P2600" s="2" t="s">
        <v>50</v>
      </c>
      <c r="Q2600" s="2" t="s">
        <v>51</v>
      </c>
      <c r="R2600" s="2" t="s">
        <v>30</v>
      </c>
      <c r="S2600">
        <v>6</v>
      </c>
      <c r="T2600" s="1">
        <v>43783</v>
      </c>
      <c r="U2600" s="1">
        <v>43790</v>
      </c>
      <c r="V2600" s="2"/>
      <c r="W2600" s="1">
        <f>fNotasFiscais[[#This Row],[Data da Coleta]]+fNotasFiscais[[#This Row],[Prazo Contratado]]</f>
        <v>43789</v>
      </c>
      <c r="X2600" s="3">
        <f>IF(fNotasFiscais[[#This Row],[Data da Entrega]]&gt;fNotasFiscais[[#This Row],[Data Contratada]],0,1)</f>
        <v>0</v>
      </c>
      <c r="Y2600" s="3">
        <f>IF(fNotasFiscais[[#This Row],[Ocorrência]]="",1,0)</f>
        <v>1</v>
      </c>
      <c r="Z2600" s="2">
        <f>fNotasFiscais[[#This Row],[On Time]]*fNotasFiscais[[#This Row],[In Full]]</f>
        <v>0</v>
      </c>
      <c r="AA2600">
        <f>IF(fNotasFiscais[[#This Row],[Nota Fiscal]]&lt;&gt;"",1,0)</f>
        <v>1</v>
      </c>
    </row>
    <row r="2601" spans="1:27" x14ac:dyDescent="0.25">
      <c r="A2601" s="1">
        <v>43783</v>
      </c>
      <c r="B2601">
        <v>13010</v>
      </c>
      <c r="C2601" s="2" t="s">
        <v>22</v>
      </c>
      <c r="D2601" s="2" t="s">
        <v>23</v>
      </c>
      <c r="E2601" s="2" t="s">
        <v>24</v>
      </c>
      <c r="F2601">
        <v>4233</v>
      </c>
      <c r="G2601" s="2" t="s">
        <v>316</v>
      </c>
      <c r="H2601" s="2" t="s">
        <v>35</v>
      </c>
      <c r="I2601" s="2" t="s">
        <v>36</v>
      </c>
      <c r="J2601" s="2" t="s">
        <v>60</v>
      </c>
      <c r="K2601" s="2" t="s">
        <v>36</v>
      </c>
      <c r="L2601">
        <v>362.01</v>
      </c>
      <c r="M2601">
        <v>1</v>
      </c>
      <c r="N2601">
        <v>0.68200000000000005</v>
      </c>
      <c r="O2601">
        <v>6600879</v>
      </c>
      <c r="P2601" s="2" t="s">
        <v>61</v>
      </c>
      <c r="Q2601" s="2" t="s">
        <v>35</v>
      </c>
      <c r="R2601" s="2" t="s">
        <v>30</v>
      </c>
      <c r="S2601">
        <v>1</v>
      </c>
      <c r="T2601" s="1">
        <v>43783</v>
      </c>
      <c r="U2601" s="1">
        <v>43790</v>
      </c>
      <c r="V2601" s="2"/>
      <c r="W2601" s="1">
        <f>fNotasFiscais[[#This Row],[Data da Coleta]]+fNotasFiscais[[#This Row],[Prazo Contratado]]</f>
        <v>43784</v>
      </c>
      <c r="X2601" s="3">
        <f>IF(fNotasFiscais[[#This Row],[Data da Entrega]]&gt;fNotasFiscais[[#This Row],[Data Contratada]],0,1)</f>
        <v>0</v>
      </c>
      <c r="Y2601" s="3">
        <f>IF(fNotasFiscais[[#This Row],[Ocorrência]]="",1,0)</f>
        <v>1</v>
      </c>
      <c r="Z2601" s="2">
        <f>fNotasFiscais[[#This Row],[On Time]]*fNotasFiscais[[#This Row],[In Full]]</f>
        <v>0</v>
      </c>
      <c r="AA2601">
        <f>IF(fNotasFiscais[[#This Row],[Nota Fiscal]]&lt;&gt;"",1,0)</f>
        <v>1</v>
      </c>
    </row>
    <row r="2602" spans="1:27" x14ac:dyDescent="0.25">
      <c r="A2602" s="1">
        <v>43783</v>
      </c>
      <c r="B2602">
        <v>13011</v>
      </c>
      <c r="C2602" s="2" t="s">
        <v>22</v>
      </c>
      <c r="D2602" s="2" t="s">
        <v>23</v>
      </c>
      <c r="E2602" s="2" t="s">
        <v>24</v>
      </c>
      <c r="F2602">
        <v>4233</v>
      </c>
      <c r="G2602" s="2" t="s">
        <v>316</v>
      </c>
      <c r="H2602" s="2" t="s">
        <v>35</v>
      </c>
      <c r="I2602" s="2" t="s">
        <v>36</v>
      </c>
      <c r="J2602" s="2" t="s">
        <v>60</v>
      </c>
      <c r="K2602" s="2" t="s">
        <v>36</v>
      </c>
      <c r="L2602">
        <v>356.38</v>
      </c>
      <c r="M2602">
        <v>1</v>
      </c>
      <c r="N2602">
        <v>0.68200000000000005</v>
      </c>
      <c r="O2602">
        <v>6600879</v>
      </c>
      <c r="P2602" s="2" t="s">
        <v>61</v>
      </c>
      <c r="Q2602" s="2" t="s">
        <v>35</v>
      </c>
      <c r="R2602" s="2" t="s">
        <v>30</v>
      </c>
      <c r="S2602">
        <v>11</v>
      </c>
      <c r="T2602" s="1">
        <v>43783</v>
      </c>
      <c r="U2602" s="1">
        <v>43789</v>
      </c>
      <c r="V2602" s="2"/>
      <c r="W2602" s="1">
        <f>fNotasFiscais[[#This Row],[Data da Coleta]]+fNotasFiscais[[#This Row],[Prazo Contratado]]</f>
        <v>43794</v>
      </c>
      <c r="X2602" s="3">
        <f>IF(fNotasFiscais[[#This Row],[Data da Entrega]]&gt;fNotasFiscais[[#This Row],[Data Contratada]],0,1)</f>
        <v>1</v>
      </c>
      <c r="Y2602" s="3">
        <f>IF(fNotasFiscais[[#This Row],[Ocorrência]]="",1,0)</f>
        <v>1</v>
      </c>
      <c r="Z2602" s="2">
        <f>fNotasFiscais[[#This Row],[On Time]]*fNotasFiscais[[#This Row],[In Full]]</f>
        <v>1</v>
      </c>
      <c r="AA2602">
        <f>IF(fNotasFiscais[[#This Row],[Nota Fiscal]]&lt;&gt;"",1,0)</f>
        <v>1</v>
      </c>
    </row>
    <row r="2603" spans="1:27" x14ac:dyDescent="0.25">
      <c r="A2603" s="1">
        <v>43783</v>
      </c>
      <c r="B2603">
        <v>13012</v>
      </c>
      <c r="C2603" s="2" t="s">
        <v>34</v>
      </c>
      <c r="D2603" s="2" t="s">
        <v>35</v>
      </c>
      <c r="E2603" s="2" t="s">
        <v>36</v>
      </c>
      <c r="F2603">
        <v>4018</v>
      </c>
      <c r="G2603" s="2" t="s">
        <v>77</v>
      </c>
      <c r="H2603" s="2" t="s">
        <v>78</v>
      </c>
      <c r="I2603" s="2" t="s">
        <v>39</v>
      </c>
      <c r="J2603" s="2" t="s">
        <v>28</v>
      </c>
      <c r="K2603" s="2" t="s">
        <v>39</v>
      </c>
      <c r="L2603">
        <v>239.68</v>
      </c>
      <c r="M2603">
        <v>1</v>
      </c>
      <c r="N2603">
        <v>0.246</v>
      </c>
      <c r="O2603">
        <v>6500948</v>
      </c>
      <c r="P2603" s="2" t="s">
        <v>29</v>
      </c>
      <c r="Q2603" s="2" t="s">
        <v>23</v>
      </c>
      <c r="R2603" s="2" t="s">
        <v>30</v>
      </c>
      <c r="S2603">
        <v>4</v>
      </c>
      <c r="T2603" s="1">
        <v>43783</v>
      </c>
      <c r="U2603" s="1">
        <v>43786</v>
      </c>
      <c r="V2603" s="2"/>
      <c r="W2603" s="1">
        <f>fNotasFiscais[[#This Row],[Data da Coleta]]+fNotasFiscais[[#This Row],[Prazo Contratado]]</f>
        <v>43787</v>
      </c>
      <c r="X2603" s="3">
        <f>IF(fNotasFiscais[[#This Row],[Data da Entrega]]&gt;fNotasFiscais[[#This Row],[Data Contratada]],0,1)</f>
        <v>1</v>
      </c>
      <c r="Y2603" s="3">
        <f>IF(fNotasFiscais[[#This Row],[Ocorrência]]="",1,0)</f>
        <v>1</v>
      </c>
      <c r="Z2603" s="2">
        <f>fNotasFiscais[[#This Row],[On Time]]*fNotasFiscais[[#This Row],[In Full]]</f>
        <v>1</v>
      </c>
      <c r="AA2603">
        <f>IF(fNotasFiscais[[#This Row],[Nota Fiscal]]&lt;&gt;"",1,0)</f>
        <v>1</v>
      </c>
    </row>
    <row r="2604" spans="1:27" x14ac:dyDescent="0.25">
      <c r="A2604" s="1">
        <v>43783</v>
      </c>
      <c r="B2604">
        <v>13013</v>
      </c>
      <c r="C2604" s="2" t="s">
        <v>31</v>
      </c>
      <c r="D2604" s="2" t="s">
        <v>32</v>
      </c>
      <c r="E2604" s="2" t="s">
        <v>33</v>
      </c>
      <c r="F2604">
        <v>4018</v>
      </c>
      <c r="G2604" s="2" t="s">
        <v>77</v>
      </c>
      <c r="H2604" s="2" t="s">
        <v>78</v>
      </c>
      <c r="I2604" s="2" t="s">
        <v>39</v>
      </c>
      <c r="J2604" s="2" t="s">
        <v>28</v>
      </c>
      <c r="K2604" s="2" t="s">
        <v>39</v>
      </c>
      <c r="L2604">
        <v>255.31</v>
      </c>
      <c r="M2604">
        <v>2</v>
      </c>
      <c r="N2604">
        <v>0.55100000000000005</v>
      </c>
      <c r="O2604">
        <v>6500948</v>
      </c>
      <c r="P2604" s="2" t="s">
        <v>29</v>
      </c>
      <c r="Q2604" s="2" t="s">
        <v>23</v>
      </c>
      <c r="R2604" s="2" t="s">
        <v>30</v>
      </c>
      <c r="S2604">
        <v>2</v>
      </c>
      <c r="T2604" s="1">
        <v>43783</v>
      </c>
      <c r="U2604" s="1">
        <v>43788</v>
      </c>
      <c r="V2604" s="2"/>
      <c r="W2604" s="1">
        <f>fNotasFiscais[[#This Row],[Data da Coleta]]+fNotasFiscais[[#This Row],[Prazo Contratado]]</f>
        <v>43785</v>
      </c>
      <c r="X2604" s="3">
        <f>IF(fNotasFiscais[[#This Row],[Data da Entrega]]&gt;fNotasFiscais[[#This Row],[Data Contratada]],0,1)</f>
        <v>0</v>
      </c>
      <c r="Y2604" s="3">
        <f>IF(fNotasFiscais[[#This Row],[Ocorrência]]="",1,0)</f>
        <v>1</v>
      </c>
      <c r="Z2604" s="2">
        <f>fNotasFiscais[[#This Row],[On Time]]*fNotasFiscais[[#This Row],[In Full]]</f>
        <v>0</v>
      </c>
      <c r="AA2604">
        <f>IF(fNotasFiscais[[#This Row],[Nota Fiscal]]&lt;&gt;"",1,0)</f>
        <v>1</v>
      </c>
    </row>
    <row r="2605" spans="1:27" x14ac:dyDescent="0.25">
      <c r="A2605" s="1">
        <v>43783</v>
      </c>
      <c r="B2605">
        <v>13014</v>
      </c>
      <c r="C2605" s="2" t="s">
        <v>31</v>
      </c>
      <c r="D2605" s="2" t="s">
        <v>32</v>
      </c>
      <c r="E2605" s="2" t="s">
        <v>33</v>
      </c>
      <c r="F2605">
        <v>4022</v>
      </c>
      <c r="G2605" s="2" t="s">
        <v>86</v>
      </c>
      <c r="H2605" s="2" t="s">
        <v>87</v>
      </c>
      <c r="I2605" s="2" t="s">
        <v>27</v>
      </c>
      <c r="J2605" s="2" t="s">
        <v>28</v>
      </c>
      <c r="K2605" s="2" t="s">
        <v>27</v>
      </c>
      <c r="L2605">
        <v>762.56</v>
      </c>
      <c r="M2605">
        <v>1</v>
      </c>
      <c r="N2605">
        <v>1.6970000000000001</v>
      </c>
      <c r="O2605">
        <v>6500948</v>
      </c>
      <c r="P2605" s="2" t="s">
        <v>29</v>
      </c>
      <c r="Q2605" s="2" t="s">
        <v>23</v>
      </c>
      <c r="R2605" s="2" t="s">
        <v>30</v>
      </c>
      <c r="S2605">
        <v>4</v>
      </c>
      <c r="T2605" s="1">
        <v>43783</v>
      </c>
      <c r="U2605" s="1">
        <v>43787</v>
      </c>
      <c r="V2605" s="2"/>
      <c r="W2605" s="1">
        <f>fNotasFiscais[[#This Row],[Data da Coleta]]+fNotasFiscais[[#This Row],[Prazo Contratado]]</f>
        <v>43787</v>
      </c>
      <c r="X2605" s="3">
        <f>IF(fNotasFiscais[[#This Row],[Data da Entrega]]&gt;fNotasFiscais[[#This Row],[Data Contratada]],0,1)</f>
        <v>1</v>
      </c>
      <c r="Y2605" s="3">
        <f>IF(fNotasFiscais[[#This Row],[Ocorrência]]="",1,0)</f>
        <v>1</v>
      </c>
      <c r="Z2605" s="2">
        <f>fNotasFiscais[[#This Row],[On Time]]*fNotasFiscais[[#This Row],[In Full]]</f>
        <v>1</v>
      </c>
      <c r="AA2605">
        <f>IF(fNotasFiscais[[#This Row],[Nota Fiscal]]&lt;&gt;"",1,0)</f>
        <v>1</v>
      </c>
    </row>
    <row r="2606" spans="1:27" x14ac:dyDescent="0.25">
      <c r="A2606" s="1">
        <v>43788</v>
      </c>
      <c r="B2606">
        <v>13015</v>
      </c>
      <c r="C2606" s="2" t="s">
        <v>52</v>
      </c>
      <c r="D2606" s="2" t="s">
        <v>53</v>
      </c>
      <c r="E2606" s="2" t="s">
        <v>33</v>
      </c>
      <c r="F2606">
        <v>4147</v>
      </c>
      <c r="G2606" s="2" t="s">
        <v>230</v>
      </c>
      <c r="H2606" s="2" t="s">
        <v>35</v>
      </c>
      <c r="I2606" s="2" t="s">
        <v>36</v>
      </c>
      <c r="J2606" s="2" t="s">
        <v>60</v>
      </c>
      <c r="K2606" s="2" t="s">
        <v>36</v>
      </c>
      <c r="L2606">
        <v>7402</v>
      </c>
      <c r="M2606">
        <v>2</v>
      </c>
      <c r="N2606">
        <v>35.104999999999997</v>
      </c>
      <c r="O2606">
        <v>6600879</v>
      </c>
      <c r="P2606" s="2" t="s">
        <v>61</v>
      </c>
      <c r="Q2606" s="2" t="s">
        <v>35</v>
      </c>
      <c r="R2606" s="2" t="s">
        <v>30</v>
      </c>
      <c r="S2606">
        <v>6</v>
      </c>
      <c r="T2606" s="1">
        <v>43788</v>
      </c>
      <c r="U2606" s="1">
        <v>43792</v>
      </c>
      <c r="V2606" s="2"/>
      <c r="W2606" s="1">
        <f>fNotasFiscais[[#This Row],[Data da Coleta]]+fNotasFiscais[[#This Row],[Prazo Contratado]]</f>
        <v>43794</v>
      </c>
      <c r="X2606" s="3">
        <f>IF(fNotasFiscais[[#This Row],[Data da Entrega]]&gt;fNotasFiscais[[#This Row],[Data Contratada]],0,1)</f>
        <v>1</v>
      </c>
      <c r="Y2606" s="3">
        <f>IF(fNotasFiscais[[#This Row],[Ocorrência]]="",1,0)</f>
        <v>1</v>
      </c>
      <c r="Z2606" s="2">
        <f>fNotasFiscais[[#This Row],[On Time]]*fNotasFiscais[[#This Row],[In Full]]</f>
        <v>1</v>
      </c>
      <c r="AA2606">
        <f>IF(fNotasFiscais[[#This Row],[Nota Fiscal]]&lt;&gt;"",1,0)</f>
        <v>1</v>
      </c>
    </row>
    <row r="2607" spans="1:27" x14ac:dyDescent="0.25">
      <c r="A2607" s="1">
        <v>43788</v>
      </c>
      <c r="B2607">
        <v>13016</v>
      </c>
      <c r="C2607" s="2" t="s">
        <v>34</v>
      </c>
      <c r="D2607" s="2" t="s">
        <v>35</v>
      </c>
      <c r="E2607" s="2" t="s">
        <v>36</v>
      </c>
      <c r="F2607">
        <v>4264</v>
      </c>
      <c r="G2607" s="2" t="s">
        <v>347</v>
      </c>
      <c r="H2607" s="2" t="s">
        <v>183</v>
      </c>
      <c r="I2607" s="2" t="s">
        <v>33</v>
      </c>
      <c r="J2607" s="2" t="s">
        <v>60</v>
      </c>
      <c r="K2607" s="2" t="s">
        <v>33</v>
      </c>
      <c r="L2607">
        <v>1819.75</v>
      </c>
      <c r="M2607">
        <v>1</v>
      </c>
      <c r="N2607">
        <v>3.41</v>
      </c>
      <c r="O2607">
        <v>6400835</v>
      </c>
      <c r="P2607" s="2" t="s">
        <v>130</v>
      </c>
      <c r="Q2607" s="2" t="s">
        <v>131</v>
      </c>
      <c r="R2607" s="2" t="s">
        <v>30</v>
      </c>
      <c r="S2607">
        <v>5</v>
      </c>
      <c r="T2607" s="1">
        <v>43788</v>
      </c>
      <c r="U2607" s="1">
        <v>43789</v>
      </c>
      <c r="V2607" s="2"/>
      <c r="W2607" s="1">
        <f>fNotasFiscais[[#This Row],[Data da Coleta]]+fNotasFiscais[[#This Row],[Prazo Contratado]]</f>
        <v>43793</v>
      </c>
      <c r="X2607" s="3">
        <f>IF(fNotasFiscais[[#This Row],[Data da Entrega]]&gt;fNotasFiscais[[#This Row],[Data Contratada]],0,1)</f>
        <v>1</v>
      </c>
      <c r="Y2607" s="3">
        <f>IF(fNotasFiscais[[#This Row],[Ocorrência]]="",1,0)</f>
        <v>1</v>
      </c>
      <c r="Z2607" s="2">
        <f>fNotasFiscais[[#This Row],[On Time]]*fNotasFiscais[[#This Row],[In Full]]</f>
        <v>1</v>
      </c>
      <c r="AA2607">
        <f>IF(fNotasFiscais[[#This Row],[Nota Fiscal]]&lt;&gt;"",1,0)</f>
        <v>1</v>
      </c>
    </row>
    <row r="2608" spans="1:27" x14ac:dyDescent="0.25">
      <c r="A2608" s="1">
        <v>43789</v>
      </c>
      <c r="B2608">
        <v>13017</v>
      </c>
      <c r="C2608" s="2" t="s">
        <v>31</v>
      </c>
      <c r="D2608" s="2" t="s">
        <v>32</v>
      </c>
      <c r="E2608" s="2" t="s">
        <v>33</v>
      </c>
      <c r="F2608">
        <v>4172</v>
      </c>
      <c r="G2608" s="2" t="s">
        <v>255</v>
      </c>
      <c r="H2608" s="2" t="s">
        <v>183</v>
      </c>
      <c r="I2608" s="2" t="s">
        <v>33</v>
      </c>
      <c r="J2608" s="2" t="s">
        <v>60</v>
      </c>
      <c r="K2608" s="2" t="s">
        <v>33</v>
      </c>
      <c r="L2608">
        <v>823.01</v>
      </c>
      <c r="M2608">
        <v>2</v>
      </c>
      <c r="N2608">
        <v>2.399</v>
      </c>
      <c r="O2608">
        <v>6400835</v>
      </c>
      <c r="P2608" s="2" t="s">
        <v>130</v>
      </c>
      <c r="Q2608" s="2" t="s">
        <v>131</v>
      </c>
      <c r="R2608" s="2" t="s">
        <v>30</v>
      </c>
      <c r="S2608">
        <v>12</v>
      </c>
      <c r="T2608" s="1">
        <v>43789</v>
      </c>
      <c r="U2608" s="1">
        <v>43798</v>
      </c>
      <c r="V2608" s="2"/>
      <c r="W2608" s="1">
        <f>fNotasFiscais[[#This Row],[Data da Coleta]]+fNotasFiscais[[#This Row],[Prazo Contratado]]</f>
        <v>43801</v>
      </c>
      <c r="X2608" s="3">
        <f>IF(fNotasFiscais[[#This Row],[Data da Entrega]]&gt;fNotasFiscais[[#This Row],[Data Contratada]],0,1)</f>
        <v>1</v>
      </c>
      <c r="Y2608" s="3">
        <f>IF(fNotasFiscais[[#This Row],[Ocorrência]]="",1,0)</f>
        <v>1</v>
      </c>
      <c r="Z2608" s="2">
        <f>fNotasFiscais[[#This Row],[On Time]]*fNotasFiscais[[#This Row],[In Full]]</f>
        <v>1</v>
      </c>
      <c r="AA2608">
        <f>IF(fNotasFiscais[[#This Row],[Nota Fiscal]]&lt;&gt;"",1,0)</f>
        <v>1</v>
      </c>
    </row>
    <row r="2609" spans="1:27" x14ac:dyDescent="0.25">
      <c r="A2609" s="1">
        <v>43789</v>
      </c>
      <c r="B2609">
        <v>13018</v>
      </c>
      <c r="C2609" s="2" t="s">
        <v>22</v>
      </c>
      <c r="D2609" s="2" t="s">
        <v>23</v>
      </c>
      <c r="E2609" s="2" t="s">
        <v>24</v>
      </c>
      <c r="F2609">
        <v>4033</v>
      </c>
      <c r="G2609" s="2" t="s">
        <v>109</v>
      </c>
      <c r="H2609" s="2" t="s">
        <v>51</v>
      </c>
      <c r="I2609" s="2" t="s">
        <v>73</v>
      </c>
      <c r="J2609" s="2" t="s">
        <v>49</v>
      </c>
      <c r="K2609" s="2" t="s">
        <v>73</v>
      </c>
      <c r="L2609">
        <v>12078.93</v>
      </c>
      <c r="M2609">
        <v>17</v>
      </c>
      <c r="N2609">
        <v>61.457000000000001</v>
      </c>
      <c r="O2609">
        <v>6100231</v>
      </c>
      <c r="P2609" s="2" t="s">
        <v>50</v>
      </c>
      <c r="Q2609" s="2" t="s">
        <v>51</v>
      </c>
      <c r="R2609" s="2" t="s">
        <v>62</v>
      </c>
      <c r="S2609">
        <v>8</v>
      </c>
      <c r="T2609" s="1">
        <v>43789</v>
      </c>
      <c r="U2609" s="1">
        <v>43792</v>
      </c>
      <c r="V2609" s="2"/>
      <c r="W2609" s="1">
        <f>fNotasFiscais[[#This Row],[Data da Coleta]]+fNotasFiscais[[#This Row],[Prazo Contratado]]</f>
        <v>43797</v>
      </c>
      <c r="X2609" s="3">
        <f>IF(fNotasFiscais[[#This Row],[Data da Entrega]]&gt;fNotasFiscais[[#This Row],[Data Contratada]],0,1)</f>
        <v>1</v>
      </c>
      <c r="Y2609" s="3">
        <f>IF(fNotasFiscais[[#This Row],[Ocorrência]]="",1,0)</f>
        <v>1</v>
      </c>
      <c r="Z2609" s="2">
        <f>fNotasFiscais[[#This Row],[On Time]]*fNotasFiscais[[#This Row],[In Full]]</f>
        <v>1</v>
      </c>
      <c r="AA2609">
        <f>IF(fNotasFiscais[[#This Row],[Nota Fiscal]]&lt;&gt;"",1,0)</f>
        <v>1</v>
      </c>
    </row>
    <row r="2610" spans="1:27" x14ac:dyDescent="0.25">
      <c r="A2610" s="1">
        <v>43789</v>
      </c>
      <c r="B2610">
        <v>13019</v>
      </c>
      <c r="C2610" s="2" t="s">
        <v>52</v>
      </c>
      <c r="D2610" s="2" t="s">
        <v>53</v>
      </c>
      <c r="E2610" s="2" t="s">
        <v>33</v>
      </c>
      <c r="F2610">
        <v>4161</v>
      </c>
      <c r="G2610" s="2" t="s">
        <v>244</v>
      </c>
      <c r="H2610" s="2" t="s">
        <v>167</v>
      </c>
      <c r="I2610" s="2" t="s">
        <v>168</v>
      </c>
      <c r="J2610" s="2" t="s">
        <v>169</v>
      </c>
      <c r="K2610" s="2" t="s">
        <v>168</v>
      </c>
      <c r="L2610">
        <v>41.07</v>
      </c>
      <c r="M2610">
        <v>1</v>
      </c>
      <c r="N2610">
        <v>1.1200000000000001</v>
      </c>
      <c r="O2610">
        <v>6900304</v>
      </c>
      <c r="P2610" s="2" t="s">
        <v>170</v>
      </c>
      <c r="Q2610" s="2" t="s">
        <v>171</v>
      </c>
      <c r="R2610" s="2" t="s">
        <v>30</v>
      </c>
      <c r="S2610">
        <v>1</v>
      </c>
      <c r="T2610" s="1">
        <v>43789</v>
      </c>
      <c r="U2610" s="1">
        <v>43791</v>
      </c>
      <c r="V2610" s="2"/>
      <c r="W2610" s="1">
        <f>fNotasFiscais[[#This Row],[Data da Coleta]]+fNotasFiscais[[#This Row],[Prazo Contratado]]</f>
        <v>43790</v>
      </c>
      <c r="X2610" s="3">
        <f>IF(fNotasFiscais[[#This Row],[Data da Entrega]]&gt;fNotasFiscais[[#This Row],[Data Contratada]],0,1)</f>
        <v>0</v>
      </c>
      <c r="Y2610" s="3">
        <f>IF(fNotasFiscais[[#This Row],[Ocorrência]]="",1,0)</f>
        <v>1</v>
      </c>
      <c r="Z2610" s="2">
        <f>fNotasFiscais[[#This Row],[On Time]]*fNotasFiscais[[#This Row],[In Full]]</f>
        <v>0</v>
      </c>
      <c r="AA2610">
        <f>IF(fNotasFiscais[[#This Row],[Nota Fiscal]]&lt;&gt;"",1,0)</f>
        <v>1</v>
      </c>
    </row>
    <row r="2611" spans="1:27" x14ac:dyDescent="0.25">
      <c r="A2611" s="1">
        <v>43789</v>
      </c>
      <c r="B2611">
        <v>13020</v>
      </c>
      <c r="C2611" s="2" t="s">
        <v>40</v>
      </c>
      <c r="D2611" s="2" t="s">
        <v>41</v>
      </c>
      <c r="E2611" s="2" t="s">
        <v>33</v>
      </c>
      <c r="F2611">
        <v>4173</v>
      </c>
      <c r="G2611" s="2" t="s">
        <v>256</v>
      </c>
      <c r="H2611" s="2" t="s">
        <v>35</v>
      </c>
      <c r="I2611" s="2" t="s">
        <v>36</v>
      </c>
      <c r="J2611" s="2" t="s">
        <v>60</v>
      </c>
      <c r="K2611" s="2" t="s">
        <v>36</v>
      </c>
      <c r="L2611">
        <v>177.53</v>
      </c>
      <c r="M2611">
        <v>1</v>
      </c>
      <c r="N2611">
        <v>1.111</v>
      </c>
      <c r="O2611">
        <v>6600879</v>
      </c>
      <c r="P2611" s="2" t="s">
        <v>61</v>
      </c>
      <c r="Q2611" s="2" t="s">
        <v>35</v>
      </c>
      <c r="R2611" s="2" t="s">
        <v>30</v>
      </c>
      <c r="S2611">
        <v>4</v>
      </c>
      <c r="T2611" s="1">
        <v>43789</v>
      </c>
      <c r="U2611" s="1">
        <v>43790</v>
      </c>
      <c r="V2611" s="2" t="s">
        <v>57</v>
      </c>
      <c r="W2611" s="1">
        <f>fNotasFiscais[[#This Row],[Data da Coleta]]+fNotasFiscais[[#This Row],[Prazo Contratado]]</f>
        <v>43793</v>
      </c>
      <c r="X2611" s="3">
        <f>IF(fNotasFiscais[[#This Row],[Data da Entrega]]&gt;fNotasFiscais[[#This Row],[Data Contratada]],0,1)</f>
        <v>1</v>
      </c>
      <c r="Y2611" s="3">
        <f>IF(fNotasFiscais[[#This Row],[Ocorrência]]="",1,0)</f>
        <v>0</v>
      </c>
      <c r="Z2611" s="2">
        <f>fNotasFiscais[[#This Row],[On Time]]*fNotasFiscais[[#This Row],[In Full]]</f>
        <v>0</v>
      </c>
      <c r="AA2611">
        <f>IF(fNotasFiscais[[#This Row],[Nota Fiscal]]&lt;&gt;"",1,0)</f>
        <v>1</v>
      </c>
    </row>
    <row r="2612" spans="1:27" x14ac:dyDescent="0.25">
      <c r="A2612" s="1">
        <v>43789</v>
      </c>
      <c r="B2612">
        <v>13021</v>
      </c>
      <c r="C2612" s="2" t="s">
        <v>43</v>
      </c>
      <c r="D2612" s="2" t="s">
        <v>44</v>
      </c>
      <c r="E2612" s="2" t="s">
        <v>45</v>
      </c>
      <c r="F2612">
        <v>4072</v>
      </c>
      <c r="G2612" s="2" t="s">
        <v>140</v>
      </c>
      <c r="H2612" s="2" t="s">
        <v>141</v>
      </c>
      <c r="I2612" s="2" t="s">
        <v>33</v>
      </c>
      <c r="J2612" s="2" t="s">
        <v>60</v>
      </c>
      <c r="K2612" s="2" t="s">
        <v>33</v>
      </c>
      <c r="L2612">
        <v>527.02</v>
      </c>
      <c r="M2612">
        <v>1</v>
      </c>
      <c r="N2612">
        <v>0.51200000000000001</v>
      </c>
      <c r="O2612">
        <v>6400835</v>
      </c>
      <c r="P2612" s="2" t="s">
        <v>130</v>
      </c>
      <c r="Q2612" s="2" t="s">
        <v>131</v>
      </c>
      <c r="R2612" s="2" t="s">
        <v>30</v>
      </c>
      <c r="S2612">
        <v>2</v>
      </c>
      <c r="T2612" s="1">
        <v>43789</v>
      </c>
      <c r="U2612" s="1">
        <v>43796</v>
      </c>
      <c r="V2612" s="2"/>
      <c r="W2612" s="1">
        <f>fNotasFiscais[[#This Row],[Data da Coleta]]+fNotasFiscais[[#This Row],[Prazo Contratado]]</f>
        <v>43791</v>
      </c>
      <c r="X2612" s="3">
        <f>IF(fNotasFiscais[[#This Row],[Data da Entrega]]&gt;fNotasFiscais[[#This Row],[Data Contratada]],0,1)</f>
        <v>0</v>
      </c>
      <c r="Y2612" s="3">
        <f>IF(fNotasFiscais[[#This Row],[Ocorrência]]="",1,0)</f>
        <v>1</v>
      </c>
      <c r="Z2612" s="2">
        <f>fNotasFiscais[[#This Row],[On Time]]*fNotasFiscais[[#This Row],[In Full]]</f>
        <v>0</v>
      </c>
      <c r="AA2612">
        <f>IF(fNotasFiscais[[#This Row],[Nota Fiscal]]&lt;&gt;"",1,0)</f>
        <v>1</v>
      </c>
    </row>
    <row r="2613" spans="1:27" x14ac:dyDescent="0.25">
      <c r="A2613" s="1">
        <v>43789</v>
      </c>
      <c r="B2613">
        <v>13022</v>
      </c>
      <c r="C2613" s="2" t="s">
        <v>54</v>
      </c>
      <c r="D2613" s="2" t="s">
        <v>55</v>
      </c>
      <c r="E2613" s="2" t="s">
        <v>56</v>
      </c>
      <c r="F2613">
        <v>4265</v>
      </c>
      <c r="G2613" s="2" t="s">
        <v>348</v>
      </c>
      <c r="H2613" s="2" t="s">
        <v>44</v>
      </c>
      <c r="I2613" s="2" t="s">
        <v>45</v>
      </c>
      <c r="J2613" s="2" t="s">
        <v>60</v>
      </c>
      <c r="K2613" s="2" t="s">
        <v>45</v>
      </c>
      <c r="L2613">
        <v>1113.7</v>
      </c>
      <c r="M2613">
        <v>1</v>
      </c>
      <c r="N2613">
        <v>11.837999999999999</v>
      </c>
      <c r="O2613">
        <v>6140092</v>
      </c>
      <c r="P2613" s="2" t="s">
        <v>137</v>
      </c>
      <c r="Q2613" s="2" t="s">
        <v>138</v>
      </c>
      <c r="R2613" s="2" t="s">
        <v>30</v>
      </c>
      <c r="S2613">
        <v>3</v>
      </c>
      <c r="T2613" s="1">
        <v>43789</v>
      </c>
      <c r="U2613" s="1">
        <v>43795</v>
      </c>
      <c r="V2613" s="2"/>
      <c r="W2613" s="1">
        <f>fNotasFiscais[[#This Row],[Data da Coleta]]+fNotasFiscais[[#This Row],[Prazo Contratado]]</f>
        <v>43792</v>
      </c>
      <c r="X2613" s="3">
        <f>IF(fNotasFiscais[[#This Row],[Data da Entrega]]&gt;fNotasFiscais[[#This Row],[Data Contratada]],0,1)</f>
        <v>0</v>
      </c>
      <c r="Y2613" s="3">
        <f>IF(fNotasFiscais[[#This Row],[Ocorrência]]="",1,0)</f>
        <v>1</v>
      </c>
      <c r="Z2613" s="2">
        <f>fNotasFiscais[[#This Row],[On Time]]*fNotasFiscais[[#This Row],[In Full]]</f>
        <v>0</v>
      </c>
      <c r="AA2613">
        <f>IF(fNotasFiscais[[#This Row],[Nota Fiscal]]&lt;&gt;"",1,0)</f>
        <v>1</v>
      </c>
    </row>
    <row r="2614" spans="1:27" x14ac:dyDescent="0.25">
      <c r="A2614" s="1">
        <v>43789</v>
      </c>
      <c r="B2614">
        <v>13023</v>
      </c>
      <c r="C2614" s="2" t="s">
        <v>22</v>
      </c>
      <c r="D2614" s="2" t="s">
        <v>23</v>
      </c>
      <c r="E2614" s="2" t="s">
        <v>24</v>
      </c>
      <c r="F2614">
        <v>4266</v>
      </c>
      <c r="G2614" s="2" t="s">
        <v>349</v>
      </c>
      <c r="H2614" s="2" t="s">
        <v>32</v>
      </c>
      <c r="I2614" s="2" t="s">
        <v>33</v>
      </c>
      <c r="J2614" s="2" t="s">
        <v>60</v>
      </c>
      <c r="K2614" s="2" t="s">
        <v>33</v>
      </c>
      <c r="L2614">
        <v>256.27</v>
      </c>
      <c r="M2614">
        <v>1</v>
      </c>
      <c r="N2614">
        <v>1.1200000000000001</v>
      </c>
      <c r="O2614">
        <v>6400835</v>
      </c>
      <c r="P2614" s="2" t="s">
        <v>130</v>
      </c>
      <c r="Q2614" s="2" t="s">
        <v>131</v>
      </c>
      <c r="R2614" s="2" t="s">
        <v>30</v>
      </c>
      <c r="S2614">
        <v>6</v>
      </c>
      <c r="T2614" s="1">
        <v>43789</v>
      </c>
      <c r="U2614" s="1">
        <v>43798</v>
      </c>
      <c r="V2614" s="2"/>
      <c r="W2614" s="1">
        <f>fNotasFiscais[[#This Row],[Data da Coleta]]+fNotasFiscais[[#This Row],[Prazo Contratado]]</f>
        <v>43795</v>
      </c>
      <c r="X2614" s="3">
        <f>IF(fNotasFiscais[[#This Row],[Data da Entrega]]&gt;fNotasFiscais[[#This Row],[Data Contratada]],0,1)</f>
        <v>0</v>
      </c>
      <c r="Y2614" s="3">
        <f>IF(fNotasFiscais[[#This Row],[Ocorrência]]="",1,0)</f>
        <v>1</v>
      </c>
      <c r="Z2614" s="2">
        <f>fNotasFiscais[[#This Row],[On Time]]*fNotasFiscais[[#This Row],[In Full]]</f>
        <v>0</v>
      </c>
      <c r="AA2614">
        <f>IF(fNotasFiscais[[#This Row],[Nota Fiscal]]&lt;&gt;"",1,0)</f>
        <v>1</v>
      </c>
    </row>
    <row r="2615" spans="1:27" x14ac:dyDescent="0.25">
      <c r="A2615" s="1">
        <v>43789</v>
      </c>
      <c r="B2615">
        <v>13024</v>
      </c>
      <c r="C2615" s="2" t="s">
        <v>54</v>
      </c>
      <c r="D2615" s="2" t="s">
        <v>55</v>
      </c>
      <c r="E2615" s="2" t="s">
        <v>56</v>
      </c>
      <c r="F2615">
        <v>4058</v>
      </c>
      <c r="G2615" s="2" t="s">
        <v>46</v>
      </c>
      <c r="H2615" s="2" t="s">
        <v>47</v>
      </c>
      <c r="I2615" s="2" t="s">
        <v>48</v>
      </c>
      <c r="J2615" s="2" t="s">
        <v>49</v>
      </c>
      <c r="K2615" s="2" t="s">
        <v>48</v>
      </c>
      <c r="L2615">
        <v>271.04000000000002</v>
      </c>
      <c r="M2615">
        <v>1</v>
      </c>
      <c r="N2615">
        <v>1.1200000000000001</v>
      </c>
      <c r="O2615">
        <v>6100231</v>
      </c>
      <c r="P2615" s="2" t="s">
        <v>50</v>
      </c>
      <c r="Q2615" s="2" t="s">
        <v>51</v>
      </c>
      <c r="R2615" s="2" t="s">
        <v>30</v>
      </c>
      <c r="S2615">
        <v>5</v>
      </c>
      <c r="T2615" s="1">
        <v>43789</v>
      </c>
      <c r="U2615" s="1">
        <v>43798</v>
      </c>
      <c r="V2615" s="2"/>
      <c r="W2615" s="1">
        <f>fNotasFiscais[[#This Row],[Data da Coleta]]+fNotasFiscais[[#This Row],[Prazo Contratado]]</f>
        <v>43794</v>
      </c>
      <c r="X2615" s="3">
        <f>IF(fNotasFiscais[[#This Row],[Data da Entrega]]&gt;fNotasFiscais[[#This Row],[Data Contratada]],0,1)</f>
        <v>0</v>
      </c>
      <c r="Y2615" s="3">
        <f>IF(fNotasFiscais[[#This Row],[Ocorrência]]="",1,0)</f>
        <v>1</v>
      </c>
      <c r="Z2615" s="2">
        <f>fNotasFiscais[[#This Row],[On Time]]*fNotasFiscais[[#This Row],[In Full]]</f>
        <v>0</v>
      </c>
      <c r="AA2615">
        <f>IF(fNotasFiscais[[#This Row],[Nota Fiscal]]&lt;&gt;"",1,0)</f>
        <v>1</v>
      </c>
    </row>
    <row r="2616" spans="1:27" x14ac:dyDescent="0.25">
      <c r="A2616" s="1">
        <v>43789</v>
      </c>
      <c r="B2616">
        <v>13025</v>
      </c>
      <c r="C2616" s="2" t="s">
        <v>34</v>
      </c>
      <c r="D2616" s="2" t="s">
        <v>35</v>
      </c>
      <c r="E2616" s="2" t="s">
        <v>36</v>
      </c>
      <c r="F2616">
        <v>4056</v>
      </c>
      <c r="G2616" s="2" t="s">
        <v>119</v>
      </c>
      <c r="H2616" s="2" t="s">
        <v>51</v>
      </c>
      <c r="I2616" s="2" t="s">
        <v>73</v>
      </c>
      <c r="J2616" s="2" t="s">
        <v>49</v>
      </c>
      <c r="K2616" s="2" t="s">
        <v>73</v>
      </c>
      <c r="L2616">
        <v>1486.94</v>
      </c>
      <c r="M2616">
        <v>5</v>
      </c>
      <c r="N2616">
        <v>12.516999999999999</v>
      </c>
      <c r="O2616">
        <v>6100231</v>
      </c>
      <c r="P2616" s="2" t="s">
        <v>50</v>
      </c>
      <c r="Q2616" s="2" t="s">
        <v>51</v>
      </c>
      <c r="R2616" s="2" t="s">
        <v>30</v>
      </c>
      <c r="S2616">
        <v>7</v>
      </c>
      <c r="T2616" s="1">
        <v>43789</v>
      </c>
      <c r="U2616" s="1">
        <v>43794</v>
      </c>
      <c r="V2616" s="2"/>
      <c r="W2616" s="1">
        <f>fNotasFiscais[[#This Row],[Data da Coleta]]+fNotasFiscais[[#This Row],[Prazo Contratado]]</f>
        <v>43796</v>
      </c>
      <c r="X2616" s="3">
        <f>IF(fNotasFiscais[[#This Row],[Data da Entrega]]&gt;fNotasFiscais[[#This Row],[Data Contratada]],0,1)</f>
        <v>1</v>
      </c>
      <c r="Y2616" s="3">
        <f>IF(fNotasFiscais[[#This Row],[Ocorrência]]="",1,0)</f>
        <v>1</v>
      </c>
      <c r="Z2616" s="2">
        <f>fNotasFiscais[[#This Row],[On Time]]*fNotasFiscais[[#This Row],[In Full]]</f>
        <v>1</v>
      </c>
      <c r="AA2616">
        <f>IF(fNotasFiscais[[#This Row],[Nota Fiscal]]&lt;&gt;"",1,0)</f>
        <v>1</v>
      </c>
    </row>
    <row r="2617" spans="1:27" x14ac:dyDescent="0.25">
      <c r="A2617" s="1">
        <v>43789</v>
      </c>
      <c r="B2617">
        <v>13026</v>
      </c>
      <c r="C2617" s="2" t="s">
        <v>40</v>
      </c>
      <c r="D2617" s="2" t="s">
        <v>41</v>
      </c>
      <c r="E2617" s="2" t="s">
        <v>33</v>
      </c>
      <c r="F2617">
        <v>4056</v>
      </c>
      <c r="G2617" s="2" t="s">
        <v>119</v>
      </c>
      <c r="H2617" s="2" t="s">
        <v>51</v>
      </c>
      <c r="I2617" s="2" t="s">
        <v>73</v>
      </c>
      <c r="J2617" s="2" t="s">
        <v>49</v>
      </c>
      <c r="K2617" s="2" t="s">
        <v>73</v>
      </c>
      <c r="L2617">
        <v>764.99</v>
      </c>
      <c r="M2617">
        <v>2</v>
      </c>
      <c r="N2617">
        <v>7.702</v>
      </c>
      <c r="O2617">
        <v>6100231</v>
      </c>
      <c r="P2617" s="2" t="s">
        <v>50</v>
      </c>
      <c r="Q2617" s="2" t="s">
        <v>51</v>
      </c>
      <c r="R2617" s="2" t="s">
        <v>30</v>
      </c>
      <c r="S2617">
        <v>6</v>
      </c>
      <c r="T2617" s="1">
        <v>43789</v>
      </c>
      <c r="U2617" s="1">
        <v>43796</v>
      </c>
      <c r="V2617" s="2"/>
      <c r="W2617" s="1">
        <f>fNotasFiscais[[#This Row],[Data da Coleta]]+fNotasFiscais[[#This Row],[Prazo Contratado]]</f>
        <v>43795</v>
      </c>
      <c r="X2617" s="3">
        <f>IF(fNotasFiscais[[#This Row],[Data da Entrega]]&gt;fNotasFiscais[[#This Row],[Data Contratada]],0,1)</f>
        <v>0</v>
      </c>
      <c r="Y2617" s="3">
        <f>IF(fNotasFiscais[[#This Row],[Ocorrência]]="",1,0)</f>
        <v>1</v>
      </c>
      <c r="Z2617" s="2">
        <f>fNotasFiscais[[#This Row],[On Time]]*fNotasFiscais[[#This Row],[In Full]]</f>
        <v>0</v>
      </c>
      <c r="AA2617">
        <f>IF(fNotasFiscais[[#This Row],[Nota Fiscal]]&lt;&gt;"",1,0)</f>
        <v>1</v>
      </c>
    </row>
    <row r="2618" spans="1:27" x14ac:dyDescent="0.25">
      <c r="A2618" s="1">
        <v>43790</v>
      </c>
      <c r="B2618">
        <v>13027</v>
      </c>
      <c r="C2618" s="2" t="s">
        <v>34</v>
      </c>
      <c r="D2618" s="2" t="s">
        <v>35</v>
      </c>
      <c r="E2618" s="2" t="s">
        <v>36</v>
      </c>
      <c r="F2618">
        <v>4140</v>
      </c>
      <c r="G2618" s="2" t="s">
        <v>223</v>
      </c>
      <c r="H2618" s="2" t="s">
        <v>167</v>
      </c>
      <c r="I2618" s="2" t="s">
        <v>168</v>
      </c>
      <c r="J2618" s="2" t="s">
        <v>169</v>
      </c>
      <c r="K2618" s="2" t="s">
        <v>168</v>
      </c>
      <c r="L2618">
        <v>1822.6</v>
      </c>
      <c r="M2618">
        <v>1</v>
      </c>
      <c r="N2618">
        <v>4.51</v>
      </c>
      <c r="O2618">
        <v>6900304</v>
      </c>
      <c r="P2618" s="2" t="s">
        <v>170</v>
      </c>
      <c r="Q2618" s="2" t="s">
        <v>171</v>
      </c>
      <c r="R2618" s="2" t="s">
        <v>30</v>
      </c>
      <c r="S2618">
        <v>3</v>
      </c>
      <c r="T2618" s="1">
        <v>43790</v>
      </c>
      <c r="U2618" s="1">
        <v>43795</v>
      </c>
      <c r="V2618" s="2"/>
      <c r="W2618" s="1">
        <f>fNotasFiscais[[#This Row],[Data da Coleta]]+fNotasFiscais[[#This Row],[Prazo Contratado]]</f>
        <v>43793</v>
      </c>
      <c r="X2618" s="3">
        <f>IF(fNotasFiscais[[#This Row],[Data da Entrega]]&gt;fNotasFiscais[[#This Row],[Data Contratada]],0,1)</f>
        <v>0</v>
      </c>
      <c r="Y2618" s="3">
        <f>IF(fNotasFiscais[[#This Row],[Ocorrência]]="",1,0)</f>
        <v>1</v>
      </c>
      <c r="Z2618" s="2">
        <f>fNotasFiscais[[#This Row],[On Time]]*fNotasFiscais[[#This Row],[In Full]]</f>
        <v>0</v>
      </c>
      <c r="AA2618">
        <f>IF(fNotasFiscais[[#This Row],[Nota Fiscal]]&lt;&gt;"",1,0)</f>
        <v>1</v>
      </c>
    </row>
    <row r="2619" spans="1:27" x14ac:dyDescent="0.25">
      <c r="A2619" s="1">
        <v>43790</v>
      </c>
      <c r="B2619">
        <v>13028</v>
      </c>
      <c r="C2619" s="2" t="s">
        <v>34</v>
      </c>
      <c r="D2619" s="2" t="s">
        <v>35</v>
      </c>
      <c r="E2619" s="2" t="s">
        <v>36</v>
      </c>
      <c r="F2619">
        <v>4208</v>
      </c>
      <c r="G2619" s="2" t="s">
        <v>291</v>
      </c>
      <c r="H2619" s="2" t="s">
        <v>32</v>
      </c>
      <c r="I2619" s="2" t="s">
        <v>33</v>
      </c>
      <c r="J2619" s="2" t="s">
        <v>60</v>
      </c>
      <c r="K2619" s="2" t="s">
        <v>33</v>
      </c>
      <c r="L2619">
        <v>4243.72</v>
      </c>
      <c r="M2619">
        <v>5</v>
      </c>
      <c r="N2619">
        <v>8.1839999999999993</v>
      </c>
      <c r="O2619">
        <v>6400835</v>
      </c>
      <c r="P2619" s="2" t="s">
        <v>130</v>
      </c>
      <c r="Q2619" s="2" t="s">
        <v>131</v>
      </c>
      <c r="R2619" s="2" t="s">
        <v>30</v>
      </c>
      <c r="S2619">
        <v>8</v>
      </c>
      <c r="T2619" s="1">
        <v>43790</v>
      </c>
      <c r="U2619" s="1">
        <v>43794</v>
      </c>
      <c r="V2619" s="2"/>
      <c r="W2619" s="1">
        <f>fNotasFiscais[[#This Row],[Data da Coleta]]+fNotasFiscais[[#This Row],[Prazo Contratado]]</f>
        <v>43798</v>
      </c>
      <c r="X2619" s="3">
        <f>IF(fNotasFiscais[[#This Row],[Data da Entrega]]&gt;fNotasFiscais[[#This Row],[Data Contratada]],0,1)</f>
        <v>1</v>
      </c>
      <c r="Y2619" s="3">
        <f>IF(fNotasFiscais[[#This Row],[Ocorrência]]="",1,0)</f>
        <v>1</v>
      </c>
      <c r="Z2619" s="2">
        <f>fNotasFiscais[[#This Row],[On Time]]*fNotasFiscais[[#This Row],[In Full]]</f>
        <v>1</v>
      </c>
      <c r="AA2619">
        <f>IF(fNotasFiscais[[#This Row],[Nota Fiscal]]&lt;&gt;"",1,0)</f>
        <v>1</v>
      </c>
    </row>
    <row r="2620" spans="1:27" x14ac:dyDescent="0.25">
      <c r="A2620" s="1">
        <v>43790</v>
      </c>
      <c r="B2620">
        <v>13029</v>
      </c>
      <c r="C2620" s="2" t="s">
        <v>43</v>
      </c>
      <c r="D2620" s="2" t="s">
        <v>44</v>
      </c>
      <c r="E2620" s="2" t="s">
        <v>45</v>
      </c>
      <c r="F2620">
        <v>4209</v>
      </c>
      <c r="G2620" s="2" t="s">
        <v>292</v>
      </c>
      <c r="H2620" s="2" t="s">
        <v>35</v>
      </c>
      <c r="I2620" s="2" t="s">
        <v>36</v>
      </c>
      <c r="J2620" s="2" t="s">
        <v>60</v>
      </c>
      <c r="K2620" s="2" t="s">
        <v>36</v>
      </c>
      <c r="L2620">
        <v>27.63</v>
      </c>
      <c r="M2620">
        <v>1</v>
      </c>
      <c r="N2620">
        <v>1.0999999999999999E-2</v>
      </c>
      <c r="O2620">
        <v>6600879</v>
      </c>
      <c r="P2620" s="2" t="s">
        <v>61</v>
      </c>
      <c r="Q2620" s="2" t="s">
        <v>35</v>
      </c>
      <c r="R2620" s="2" t="s">
        <v>30</v>
      </c>
      <c r="S2620">
        <v>8</v>
      </c>
      <c r="T2620" s="1">
        <v>43790</v>
      </c>
      <c r="U2620" s="1">
        <v>43798</v>
      </c>
      <c r="V2620" s="2"/>
      <c r="W2620" s="1">
        <f>fNotasFiscais[[#This Row],[Data da Coleta]]+fNotasFiscais[[#This Row],[Prazo Contratado]]</f>
        <v>43798</v>
      </c>
      <c r="X2620" s="3">
        <f>IF(fNotasFiscais[[#This Row],[Data da Entrega]]&gt;fNotasFiscais[[#This Row],[Data Contratada]],0,1)</f>
        <v>1</v>
      </c>
      <c r="Y2620" s="3">
        <f>IF(fNotasFiscais[[#This Row],[Ocorrência]]="",1,0)</f>
        <v>1</v>
      </c>
      <c r="Z2620" s="2">
        <f>fNotasFiscais[[#This Row],[On Time]]*fNotasFiscais[[#This Row],[In Full]]</f>
        <v>1</v>
      </c>
      <c r="AA2620">
        <f>IF(fNotasFiscais[[#This Row],[Nota Fiscal]]&lt;&gt;"",1,0)</f>
        <v>1</v>
      </c>
    </row>
    <row r="2621" spans="1:27" x14ac:dyDescent="0.25">
      <c r="A2621" s="1">
        <v>43790</v>
      </c>
      <c r="B2621">
        <v>13030</v>
      </c>
      <c r="C2621" s="2" t="s">
        <v>34</v>
      </c>
      <c r="D2621" s="2" t="s">
        <v>35</v>
      </c>
      <c r="E2621" s="2" t="s">
        <v>36</v>
      </c>
      <c r="F2621">
        <v>4252</v>
      </c>
      <c r="G2621" s="2" t="s">
        <v>335</v>
      </c>
      <c r="H2621" s="2" t="s">
        <v>32</v>
      </c>
      <c r="I2621" s="2" t="s">
        <v>33</v>
      </c>
      <c r="J2621" s="2" t="s">
        <v>60</v>
      </c>
      <c r="K2621" s="2" t="s">
        <v>33</v>
      </c>
      <c r="L2621">
        <v>12061.74</v>
      </c>
      <c r="M2621">
        <v>7</v>
      </c>
      <c r="N2621">
        <v>23.187999999999999</v>
      </c>
      <c r="O2621">
        <v>6400835</v>
      </c>
      <c r="P2621" s="2" t="s">
        <v>130</v>
      </c>
      <c r="Q2621" s="2" t="s">
        <v>131</v>
      </c>
      <c r="R2621" s="2" t="s">
        <v>30</v>
      </c>
      <c r="S2621">
        <v>7</v>
      </c>
      <c r="T2621" s="1">
        <v>43790</v>
      </c>
      <c r="U2621" s="1">
        <v>43797</v>
      </c>
      <c r="V2621" s="2"/>
      <c r="W2621" s="1">
        <f>fNotasFiscais[[#This Row],[Data da Coleta]]+fNotasFiscais[[#This Row],[Prazo Contratado]]</f>
        <v>43797</v>
      </c>
      <c r="X2621" s="3">
        <f>IF(fNotasFiscais[[#This Row],[Data da Entrega]]&gt;fNotasFiscais[[#This Row],[Data Contratada]],0,1)</f>
        <v>1</v>
      </c>
      <c r="Y2621" s="3">
        <f>IF(fNotasFiscais[[#This Row],[Ocorrência]]="",1,0)</f>
        <v>1</v>
      </c>
      <c r="Z2621" s="2">
        <f>fNotasFiscais[[#This Row],[On Time]]*fNotasFiscais[[#This Row],[In Full]]</f>
        <v>1</v>
      </c>
      <c r="AA2621">
        <f>IF(fNotasFiscais[[#This Row],[Nota Fiscal]]&lt;&gt;"",1,0)</f>
        <v>1</v>
      </c>
    </row>
    <row r="2622" spans="1:27" x14ac:dyDescent="0.25">
      <c r="A2622" s="1">
        <v>43790</v>
      </c>
      <c r="B2622">
        <v>13031</v>
      </c>
      <c r="C2622" s="2" t="s">
        <v>54</v>
      </c>
      <c r="D2622" s="2" t="s">
        <v>55</v>
      </c>
      <c r="E2622" s="2" t="s">
        <v>56</v>
      </c>
      <c r="F2622">
        <v>4210</v>
      </c>
      <c r="G2622" s="2" t="s">
        <v>293</v>
      </c>
      <c r="H2622" s="2" t="s">
        <v>35</v>
      </c>
      <c r="I2622" s="2" t="s">
        <v>36</v>
      </c>
      <c r="J2622" s="2" t="s">
        <v>60</v>
      </c>
      <c r="K2622" s="2" t="s">
        <v>36</v>
      </c>
      <c r="L2622">
        <v>1833.01</v>
      </c>
      <c r="M2622">
        <v>3</v>
      </c>
      <c r="N2622">
        <v>19.395</v>
      </c>
      <c r="O2622">
        <v>6600879</v>
      </c>
      <c r="P2622" s="2" t="s">
        <v>61</v>
      </c>
      <c r="Q2622" s="2" t="s">
        <v>35</v>
      </c>
      <c r="R2622" s="2" t="s">
        <v>30</v>
      </c>
      <c r="S2622">
        <v>3</v>
      </c>
      <c r="T2622" s="1">
        <v>43790</v>
      </c>
      <c r="U2622" s="1">
        <v>43800</v>
      </c>
      <c r="V2622" s="2"/>
      <c r="W2622" s="1">
        <f>fNotasFiscais[[#This Row],[Data da Coleta]]+fNotasFiscais[[#This Row],[Prazo Contratado]]</f>
        <v>43793</v>
      </c>
      <c r="X2622" s="3">
        <f>IF(fNotasFiscais[[#This Row],[Data da Entrega]]&gt;fNotasFiscais[[#This Row],[Data Contratada]],0,1)</f>
        <v>0</v>
      </c>
      <c r="Y2622" s="3">
        <f>IF(fNotasFiscais[[#This Row],[Ocorrência]]="",1,0)</f>
        <v>1</v>
      </c>
      <c r="Z2622" s="2">
        <f>fNotasFiscais[[#This Row],[On Time]]*fNotasFiscais[[#This Row],[In Full]]</f>
        <v>0</v>
      </c>
      <c r="AA2622">
        <f>IF(fNotasFiscais[[#This Row],[Nota Fiscal]]&lt;&gt;"",1,0)</f>
        <v>1</v>
      </c>
    </row>
    <row r="2623" spans="1:27" x14ac:dyDescent="0.25">
      <c r="A2623" s="1">
        <v>43790</v>
      </c>
      <c r="B2623">
        <v>13032</v>
      </c>
      <c r="C2623" s="2" t="s">
        <v>52</v>
      </c>
      <c r="D2623" s="2" t="s">
        <v>53</v>
      </c>
      <c r="E2623" s="2" t="s">
        <v>33</v>
      </c>
      <c r="F2623">
        <v>4211</v>
      </c>
      <c r="G2623" s="2" t="s">
        <v>294</v>
      </c>
      <c r="H2623" s="2" t="s">
        <v>183</v>
      </c>
      <c r="I2623" s="2" t="s">
        <v>33</v>
      </c>
      <c r="J2623" s="2" t="s">
        <v>60</v>
      </c>
      <c r="K2623" s="2" t="s">
        <v>33</v>
      </c>
      <c r="L2623">
        <v>1317.44</v>
      </c>
      <c r="M2623">
        <v>2</v>
      </c>
      <c r="N2623">
        <v>3.2469999999999999</v>
      </c>
      <c r="O2623">
        <v>6400835</v>
      </c>
      <c r="P2623" s="2" t="s">
        <v>130</v>
      </c>
      <c r="Q2623" s="2" t="s">
        <v>131</v>
      </c>
      <c r="R2623" s="2" t="s">
        <v>30</v>
      </c>
      <c r="S2623">
        <v>2</v>
      </c>
      <c r="T2623" s="1">
        <v>43790</v>
      </c>
      <c r="U2623" s="1">
        <v>43797</v>
      </c>
      <c r="V2623" s="2"/>
      <c r="W2623" s="1">
        <f>fNotasFiscais[[#This Row],[Data da Coleta]]+fNotasFiscais[[#This Row],[Prazo Contratado]]</f>
        <v>43792</v>
      </c>
      <c r="X2623" s="3">
        <f>IF(fNotasFiscais[[#This Row],[Data da Entrega]]&gt;fNotasFiscais[[#This Row],[Data Contratada]],0,1)</f>
        <v>0</v>
      </c>
      <c r="Y2623" s="3">
        <f>IF(fNotasFiscais[[#This Row],[Ocorrência]]="",1,0)</f>
        <v>1</v>
      </c>
      <c r="Z2623" s="2">
        <f>fNotasFiscais[[#This Row],[On Time]]*fNotasFiscais[[#This Row],[In Full]]</f>
        <v>0</v>
      </c>
      <c r="AA2623">
        <f>IF(fNotasFiscais[[#This Row],[Nota Fiscal]]&lt;&gt;"",1,0)</f>
        <v>1</v>
      </c>
    </row>
    <row r="2624" spans="1:27" x14ac:dyDescent="0.25">
      <c r="A2624" s="1">
        <v>43790</v>
      </c>
      <c r="B2624">
        <v>13033</v>
      </c>
      <c r="C2624" s="2" t="s">
        <v>34</v>
      </c>
      <c r="D2624" s="2" t="s">
        <v>35</v>
      </c>
      <c r="E2624" s="2" t="s">
        <v>36</v>
      </c>
      <c r="F2624">
        <v>4212</v>
      </c>
      <c r="G2624" s="2" t="s">
        <v>295</v>
      </c>
      <c r="H2624" s="2" t="s">
        <v>165</v>
      </c>
      <c r="I2624" s="2" t="s">
        <v>24</v>
      </c>
      <c r="J2624" s="2" t="s">
        <v>28</v>
      </c>
      <c r="K2624" s="2" t="s">
        <v>24</v>
      </c>
      <c r="L2624">
        <v>540.65</v>
      </c>
      <c r="M2624">
        <v>1</v>
      </c>
      <c r="N2624">
        <v>3.96</v>
      </c>
      <c r="O2624">
        <v>6500948</v>
      </c>
      <c r="P2624" s="2" t="s">
        <v>29</v>
      </c>
      <c r="Q2624" s="2" t="s">
        <v>23</v>
      </c>
      <c r="R2624" s="2" t="s">
        <v>30</v>
      </c>
      <c r="S2624">
        <v>10</v>
      </c>
      <c r="T2624" s="1">
        <v>43790</v>
      </c>
      <c r="U2624" s="1">
        <v>43800</v>
      </c>
      <c r="V2624" s="2"/>
      <c r="W2624" s="1">
        <f>fNotasFiscais[[#This Row],[Data da Coleta]]+fNotasFiscais[[#This Row],[Prazo Contratado]]</f>
        <v>43800</v>
      </c>
      <c r="X2624" s="3">
        <f>IF(fNotasFiscais[[#This Row],[Data da Entrega]]&gt;fNotasFiscais[[#This Row],[Data Contratada]],0,1)</f>
        <v>1</v>
      </c>
      <c r="Y2624" s="3">
        <f>IF(fNotasFiscais[[#This Row],[Ocorrência]]="",1,0)</f>
        <v>1</v>
      </c>
      <c r="Z2624" s="2">
        <f>fNotasFiscais[[#This Row],[On Time]]*fNotasFiscais[[#This Row],[In Full]]</f>
        <v>1</v>
      </c>
      <c r="AA2624">
        <f>IF(fNotasFiscais[[#This Row],[Nota Fiscal]]&lt;&gt;"",1,0)</f>
        <v>1</v>
      </c>
    </row>
    <row r="2625" spans="1:27" x14ac:dyDescent="0.25">
      <c r="A2625" s="1">
        <v>43790</v>
      </c>
      <c r="B2625">
        <v>13034</v>
      </c>
      <c r="C2625" s="2" t="s">
        <v>54</v>
      </c>
      <c r="D2625" s="2" t="s">
        <v>55</v>
      </c>
      <c r="E2625" s="2" t="s">
        <v>56</v>
      </c>
      <c r="F2625">
        <v>4213</v>
      </c>
      <c r="G2625" s="2" t="s">
        <v>296</v>
      </c>
      <c r="H2625" s="2" t="s">
        <v>32</v>
      </c>
      <c r="I2625" s="2" t="s">
        <v>33</v>
      </c>
      <c r="J2625" s="2" t="s">
        <v>60</v>
      </c>
      <c r="K2625" s="2" t="s">
        <v>33</v>
      </c>
      <c r="L2625">
        <v>605.24</v>
      </c>
      <c r="M2625">
        <v>1</v>
      </c>
      <c r="N2625">
        <v>5.7640000000000002</v>
      </c>
      <c r="O2625">
        <v>6400835</v>
      </c>
      <c r="P2625" s="2" t="s">
        <v>130</v>
      </c>
      <c r="Q2625" s="2" t="s">
        <v>131</v>
      </c>
      <c r="R2625" s="2" t="s">
        <v>30</v>
      </c>
      <c r="S2625">
        <v>5</v>
      </c>
      <c r="T2625" s="1">
        <v>43790</v>
      </c>
      <c r="U2625" s="1">
        <v>43795</v>
      </c>
      <c r="V2625" s="2"/>
      <c r="W2625" s="1">
        <f>fNotasFiscais[[#This Row],[Data da Coleta]]+fNotasFiscais[[#This Row],[Prazo Contratado]]</f>
        <v>43795</v>
      </c>
      <c r="X2625" s="3">
        <f>IF(fNotasFiscais[[#This Row],[Data da Entrega]]&gt;fNotasFiscais[[#This Row],[Data Contratada]],0,1)</f>
        <v>1</v>
      </c>
      <c r="Y2625" s="3">
        <f>IF(fNotasFiscais[[#This Row],[Ocorrência]]="",1,0)</f>
        <v>1</v>
      </c>
      <c r="Z2625" s="2">
        <f>fNotasFiscais[[#This Row],[On Time]]*fNotasFiscais[[#This Row],[In Full]]</f>
        <v>1</v>
      </c>
      <c r="AA2625">
        <f>IF(fNotasFiscais[[#This Row],[Nota Fiscal]]&lt;&gt;"",1,0)</f>
        <v>1</v>
      </c>
    </row>
    <row r="2626" spans="1:27" x14ac:dyDescent="0.25">
      <c r="A2626" s="1">
        <v>43790</v>
      </c>
      <c r="B2626">
        <v>13035</v>
      </c>
      <c r="C2626" s="2" t="s">
        <v>40</v>
      </c>
      <c r="D2626" s="2" t="s">
        <v>41</v>
      </c>
      <c r="E2626" s="2" t="s">
        <v>33</v>
      </c>
      <c r="F2626">
        <v>4216</v>
      </c>
      <c r="G2626" s="2" t="s">
        <v>299</v>
      </c>
      <c r="H2626" s="2" t="s">
        <v>183</v>
      </c>
      <c r="I2626" s="2" t="s">
        <v>33</v>
      </c>
      <c r="J2626" s="2" t="s">
        <v>60</v>
      </c>
      <c r="K2626" s="2" t="s">
        <v>33</v>
      </c>
      <c r="L2626">
        <v>2557.13</v>
      </c>
      <c r="M2626">
        <v>3</v>
      </c>
      <c r="N2626">
        <v>11.88</v>
      </c>
      <c r="O2626">
        <v>6400835</v>
      </c>
      <c r="P2626" s="2" t="s">
        <v>130</v>
      </c>
      <c r="Q2626" s="2" t="s">
        <v>131</v>
      </c>
      <c r="R2626" s="2" t="s">
        <v>30</v>
      </c>
      <c r="S2626">
        <v>5</v>
      </c>
      <c r="T2626" s="1">
        <v>43790</v>
      </c>
      <c r="U2626" s="1">
        <v>43791</v>
      </c>
      <c r="V2626" s="2" t="s">
        <v>42</v>
      </c>
      <c r="W2626" s="1">
        <f>fNotasFiscais[[#This Row],[Data da Coleta]]+fNotasFiscais[[#This Row],[Prazo Contratado]]</f>
        <v>43795</v>
      </c>
      <c r="X2626" s="3">
        <f>IF(fNotasFiscais[[#This Row],[Data da Entrega]]&gt;fNotasFiscais[[#This Row],[Data Contratada]],0,1)</f>
        <v>1</v>
      </c>
      <c r="Y2626" s="3">
        <f>IF(fNotasFiscais[[#This Row],[Ocorrência]]="",1,0)</f>
        <v>0</v>
      </c>
      <c r="Z2626" s="2">
        <f>fNotasFiscais[[#This Row],[On Time]]*fNotasFiscais[[#This Row],[In Full]]</f>
        <v>0</v>
      </c>
      <c r="AA2626">
        <f>IF(fNotasFiscais[[#This Row],[Nota Fiscal]]&lt;&gt;"",1,0)</f>
        <v>1</v>
      </c>
    </row>
    <row r="2627" spans="1:27" x14ac:dyDescent="0.25">
      <c r="A2627" s="1">
        <v>43790</v>
      </c>
      <c r="B2627">
        <v>13036</v>
      </c>
      <c r="C2627" s="2" t="s">
        <v>34</v>
      </c>
      <c r="D2627" s="2" t="s">
        <v>35</v>
      </c>
      <c r="E2627" s="2" t="s">
        <v>36</v>
      </c>
      <c r="F2627">
        <v>4215</v>
      </c>
      <c r="G2627" s="2" t="s">
        <v>298</v>
      </c>
      <c r="H2627" s="2" t="s">
        <v>167</v>
      </c>
      <c r="I2627" s="2" t="s">
        <v>168</v>
      </c>
      <c r="J2627" s="2" t="s">
        <v>169</v>
      </c>
      <c r="K2627" s="2" t="s">
        <v>168</v>
      </c>
      <c r="L2627">
        <v>701.38</v>
      </c>
      <c r="M2627">
        <v>11</v>
      </c>
      <c r="N2627">
        <v>20.57</v>
      </c>
      <c r="O2627">
        <v>6900304</v>
      </c>
      <c r="P2627" s="2" t="s">
        <v>170</v>
      </c>
      <c r="Q2627" s="2" t="s">
        <v>171</v>
      </c>
      <c r="R2627" s="2" t="s">
        <v>30</v>
      </c>
      <c r="S2627">
        <v>5</v>
      </c>
      <c r="T2627" s="1">
        <v>43790</v>
      </c>
      <c r="U2627" s="1">
        <v>43797</v>
      </c>
      <c r="V2627" s="2"/>
      <c r="W2627" s="1">
        <f>fNotasFiscais[[#This Row],[Data da Coleta]]+fNotasFiscais[[#This Row],[Prazo Contratado]]</f>
        <v>43795</v>
      </c>
      <c r="X2627" s="3">
        <f>IF(fNotasFiscais[[#This Row],[Data da Entrega]]&gt;fNotasFiscais[[#This Row],[Data Contratada]],0,1)</f>
        <v>0</v>
      </c>
      <c r="Y2627" s="3">
        <f>IF(fNotasFiscais[[#This Row],[Ocorrência]]="",1,0)</f>
        <v>1</v>
      </c>
      <c r="Z2627" s="2">
        <f>fNotasFiscais[[#This Row],[On Time]]*fNotasFiscais[[#This Row],[In Full]]</f>
        <v>0</v>
      </c>
      <c r="AA2627">
        <f>IF(fNotasFiscais[[#This Row],[Nota Fiscal]]&lt;&gt;"",1,0)</f>
        <v>1</v>
      </c>
    </row>
    <row r="2628" spans="1:27" x14ac:dyDescent="0.25">
      <c r="A2628" s="1">
        <v>43791</v>
      </c>
      <c r="B2628">
        <v>13037</v>
      </c>
      <c r="C2628" s="2" t="s">
        <v>54</v>
      </c>
      <c r="D2628" s="2" t="s">
        <v>55</v>
      </c>
      <c r="E2628" s="2" t="s">
        <v>56</v>
      </c>
      <c r="F2628">
        <v>4154</v>
      </c>
      <c r="G2628" s="2" t="s">
        <v>237</v>
      </c>
      <c r="H2628" s="2" t="s">
        <v>167</v>
      </c>
      <c r="I2628" s="2" t="s">
        <v>168</v>
      </c>
      <c r="J2628" s="2" t="s">
        <v>169</v>
      </c>
      <c r="K2628" s="2" t="s">
        <v>168</v>
      </c>
      <c r="L2628">
        <v>3002.5</v>
      </c>
      <c r="M2628">
        <v>5</v>
      </c>
      <c r="N2628">
        <v>23.381</v>
      </c>
      <c r="O2628">
        <v>6900304</v>
      </c>
      <c r="P2628" s="2" t="s">
        <v>170</v>
      </c>
      <c r="Q2628" s="2" t="s">
        <v>171</v>
      </c>
      <c r="R2628" s="2" t="s">
        <v>30</v>
      </c>
      <c r="S2628">
        <v>10</v>
      </c>
      <c r="T2628" s="1">
        <v>43791</v>
      </c>
      <c r="U2628" s="1">
        <v>43796</v>
      </c>
      <c r="V2628" s="2" t="s">
        <v>42</v>
      </c>
      <c r="W2628" s="1">
        <f>fNotasFiscais[[#This Row],[Data da Coleta]]+fNotasFiscais[[#This Row],[Prazo Contratado]]</f>
        <v>43801</v>
      </c>
      <c r="X2628" s="3">
        <f>IF(fNotasFiscais[[#This Row],[Data da Entrega]]&gt;fNotasFiscais[[#This Row],[Data Contratada]],0,1)</f>
        <v>1</v>
      </c>
      <c r="Y2628" s="3">
        <f>IF(fNotasFiscais[[#This Row],[Ocorrência]]="",1,0)</f>
        <v>0</v>
      </c>
      <c r="Z2628" s="2">
        <f>fNotasFiscais[[#This Row],[On Time]]*fNotasFiscais[[#This Row],[In Full]]</f>
        <v>0</v>
      </c>
      <c r="AA2628">
        <f>IF(fNotasFiscais[[#This Row],[Nota Fiscal]]&lt;&gt;"",1,0)</f>
        <v>1</v>
      </c>
    </row>
    <row r="2629" spans="1:27" x14ac:dyDescent="0.25">
      <c r="A2629" s="1">
        <v>43792</v>
      </c>
      <c r="B2629">
        <v>13038</v>
      </c>
      <c r="C2629" s="2" t="s">
        <v>34</v>
      </c>
      <c r="D2629" s="2" t="s">
        <v>35</v>
      </c>
      <c r="E2629" s="2" t="s">
        <v>36</v>
      </c>
      <c r="F2629">
        <v>4033</v>
      </c>
      <c r="G2629" s="2" t="s">
        <v>109</v>
      </c>
      <c r="H2629" s="2" t="s">
        <v>51</v>
      </c>
      <c r="I2629" s="2" t="s">
        <v>73</v>
      </c>
      <c r="J2629" s="2" t="s">
        <v>49</v>
      </c>
      <c r="K2629" s="2" t="s">
        <v>73</v>
      </c>
      <c r="L2629">
        <v>428.9</v>
      </c>
      <c r="M2629">
        <v>1</v>
      </c>
      <c r="N2629">
        <v>5.5060000000000002</v>
      </c>
      <c r="O2629">
        <v>6100231</v>
      </c>
      <c r="P2629" s="2" t="s">
        <v>50</v>
      </c>
      <c r="Q2629" s="2" t="s">
        <v>51</v>
      </c>
      <c r="R2629" s="2" t="s">
        <v>30</v>
      </c>
      <c r="S2629">
        <v>10</v>
      </c>
      <c r="T2629" s="1">
        <v>43792</v>
      </c>
      <c r="U2629" s="1">
        <v>43801</v>
      </c>
      <c r="V2629" s="2"/>
      <c r="W2629" s="1">
        <f>fNotasFiscais[[#This Row],[Data da Coleta]]+fNotasFiscais[[#This Row],[Prazo Contratado]]</f>
        <v>43802</v>
      </c>
      <c r="X2629" s="3">
        <f>IF(fNotasFiscais[[#This Row],[Data da Entrega]]&gt;fNotasFiscais[[#This Row],[Data Contratada]],0,1)</f>
        <v>1</v>
      </c>
      <c r="Y2629" s="3">
        <f>IF(fNotasFiscais[[#This Row],[Ocorrência]]="",1,0)</f>
        <v>1</v>
      </c>
      <c r="Z2629" s="2">
        <f>fNotasFiscais[[#This Row],[On Time]]*fNotasFiscais[[#This Row],[In Full]]</f>
        <v>1</v>
      </c>
      <c r="AA2629">
        <f>IF(fNotasFiscais[[#This Row],[Nota Fiscal]]&lt;&gt;"",1,0)</f>
        <v>1</v>
      </c>
    </row>
    <row r="2630" spans="1:27" x14ac:dyDescent="0.25">
      <c r="A2630" s="1">
        <v>43792</v>
      </c>
      <c r="B2630">
        <v>13039</v>
      </c>
      <c r="C2630" s="2" t="s">
        <v>34</v>
      </c>
      <c r="D2630" s="2" t="s">
        <v>35</v>
      </c>
      <c r="E2630" s="2" t="s">
        <v>36</v>
      </c>
      <c r="F2630">
        <v>4056</v>
      </c>
      <c r="G2630" s="2" t="s">
        <v>119</v>
      </c>
      <c r="H2630" s="2" t="s">
        <v>51</v>
      </c>
      <c r="I2630" s="2" t="s">
        <v>73</v>
      </c>
      <c r="J2630" s="2" t="s">
        <v>49</v>
      </c>
      <c r="K2630" s="2" t="s">
        <v>73</v>
      </c>
      <c r="L2630">
        <v>8294.65</v>
      </c>
      <c r="M2630">
        <v>12</v>
      </c>
      <c r="N2630">
        <v>50.328000000000003</v>
      </c>
      <c r="O2630">
        <v>6100231</v>
      </c>
      <c r="P2630" s="2" t="s">
        <v>50</v>
      </c>
      <c r="Q2630" s="2" t="s">
        <v>51</v>
      </c>
      <c r="R2630" s="2" t="s">
        <v>30</v>
      </c>
      <c r="S2630">
        <v>1</v>
      </c>
      <c r="T2630" s="1">
        <v>43792</v>
      </c>
      <c r="U2630" s="1">
        <v>43795</v>
      </c>
      <c r="V2630" s="2" t="s">
        <v>42</v>
      </c>
      <c r="W2630" s="1">
        <f>fNotasFiscais[[#This Row],[Data da Coleta]]+fNotasFiscais[[#This Row],[Prazo Contratado]]</f>
        <v>43793</v>
      </c>
      <c r="X2630" s="3">
        <f>IF(fNotasFiscais[[#This Row],[Data da Entrega]]&gt;fNotasFiscais[[#This Row],[Data Contratada]],0,1)</f>
        <v>0</v>
      </c>
      <c r="Y2630" s="3">
        <f>IF(fNotasFiscais[[#This Row],[Ocorrência]]="",1,0)</f>
        <v>0</v>
      </c>
      <c r="Z2630" s="2">
        <f>fNotasFiscais[[#This Row],[On Time]]*fNotasFiscais[[#This Row],[In Full]]</f>
        <v>0</v>
      </c>
      <c r="AA2630">
        <f>IF(fNotasFiscais[[#This Row],[Nota Fiscal]]&lt;&gt;"",1,0)</f>
        <v>1</v>
      </c>
    </row>
    <row r="2631" spans="1:27" x14ac:dyDescent="0.25">
      <c r="A2631" s="1">
        <v>43792</v>
      </c>
      <c r="B2631">
        <v>13040</v>
      </c>
      <c r="C2631" s="2" t="s">
        <v>34</v>
      </c>
      <c r="D2631" s="2" t="s">
        <v>35</v>
      </c>
      <c r="E2631" s="2" t="s">
        <v>36</v>
      </c>
      <c r="F2631">
        <v>4143</v>
      </c>
      <c r="G2631" s="2" t="s">
        <v>226</v>
      </c>
      <c r="H2631" s="2" t="s">
        <v>173</v>
      </c>
      <c r="I2631" s="2" t="s">
        <v>174</v>
      </c>
      <c r="J2631" s="2" t="s">
        <v>175</v>
      </c>
      <c r="K2631" s="2" t="s">
        <v>174</v>
      </c>
      <c r="L2631">
        <v>1137.3399999999999</v>
      </c>
      <c r="M2631">
        <v>2</v>
      </c>
      <c r="N2631">
        <v>10.182</v>
      </c>
      <c r="O2631">
        <v>6700091</v>
      </c>
      <c r="P2631" s="2" t="s">
        <v>176</v>
      </c>
      <c r="Q2631" s="2" t="s">
        <v>173</v>
      </c>
      <c r="R2631" s="2" t="s">
        <v>30</v>
      </c>
      <c r="S2631">
        <v>8</v>
      </c>
      <c r="T2631" s="1">
        <v>43792</v>
      </c>
      <c r="U2631" s="1">
        <v>43801</v>
      </c>
      <c r="V2631" s="2"/>
      <c r="W2631" s="1">
        <f>fNotasFiscais[[#This Row],[Data da Coleta]]+fNotasFiscais[[#This Row],[Prazo Contratado]]</f>
        <v>43800</v>
      </c>
      <c r="X2631" s="3">
        <f>IF(fNotasFiscais[[#This Row],[Data da Entrega]]&gt;fNotasFiscais[[#This Row],[Data Contratada]],0,1)</f>
        <v>0</v>
      </c>
      <c r="Y2631" s="3">
        <f>IF(fNotasFiscais[[#This Row],[Ocorrência]]="",1,0)</f>
        <v>1</v>
      </c>
      <c r="Z2631" s="2">
        <f>fNotasFiscais[[#This Row],[On Time]]*fNotasFiscais[[#This Row],[In Full]]</f>
        <v>0</v>
      </c>
      <c r="AA2631">
        <f>IF(fNotasFiscais[[#This Row],[Nota Fiscal]]&lt;&gt;"",1,0)</f>
        <v>1</v>
      </c>
    </row>
    <row r="2632" spans="1:27" x14ac:dyDescent="0.25">
      <c r="A2632" s="1">
        <v>43795</v>
      </c>
      <c r="B2632">
        <v>13041</v>
      </c>
      <c r="C2632" s="2" t="s">
        <v>43</v>
      </c>
      <c r="D2632" s="2" t="s">
        <v>44</v>
      </c>
      <c r="E2632" s="2" t="s">
        <v>45</v>
      </c>
      <c r="F2632">
        <v>4166</v>
      </c>
      <c r="G2632" s="2" t="s">
        <v>249</v>
      </c>
      <c r="H2632" s="2" t="s">
        <v>173</v>
      </c>
      <c r="I2632" s="2" t="s">
        <v>174</v>
      </c>
      <c r="J2632" s="2" t="s">
        <v>175</v>
      </c>
      <c r="K2632" s="2" t="s">
        <v>174</v>
      </c>
      <c r="L2632">
        <v>5245.84</v>
      </c>
      <c r="M2632">
        <v>9</v>
      </c>
      <c r="N2632">
        <v>38.875999999999998</v>
      </c>
      <c r="O2632">
        <v>6700091</v>
      </c>
      <c r="P2632" s="2" t="s">
        <v>176</v>
      </c>
      <c r="Q2632" s="2" t="s">
        <v>173</v>
      </c>
      <c r="R2632" s="2" t="s">
        <v>30</v>
      </c>
      <c r="S2632">
        <v>2</v>
      </c>
      <c r="T2632" s="1">
        <v>43795</v>
      </c>
      <c r="U2632" s="1">
        <v>43798</v>
      </c>
      <c r="V2632" s="2" t="s">
        <v>42</v>
      </c>
      <c r="W2632" s="1">
        <f>fNotasFiscais[[#This Row],[Data da Coleta]]+fNotasFiscais[[#This Row],[Prazo Contratado]]</f>
        <v>43797</v>
      </c>
      <c r="X2632" s="3">
        <f>IF(fNotasFiscais[[#This Row],[Data da Entrega]]&gt;fNotasFiscais[[#This Row],[Data Contratada]],0,1)</f>
        <v>0</v>
      </c>
      <c r="Y2632" s="3">
        <f>IF(fNotasFiscais[[#This Row],[Ocorrência]]="",1,0)</f>
        <v>0</v>
      </c>
      <c r="Z2632" s="2">
        <f>fNotasFiscais[[#This Row],[On Time]]*fNotasFiscais[[#This Row],[In Full]]</f>
        <v>0</v>
      </c>
      <c r="AA2632">
        <f>IF(fNotasFiscais[[#This Row],[Nota Fiscal]]&lt;&gt;"",1,0)</f>
        <v>1</v>
      </c>
    </row>
    <row r="2633" spans="1:27" x14ac:dyDescent="0.25">
      <c r="A2633" s="1">
        <v>43795</v>
      </c>
      <c r="B2633">
        <v>13042</v>
      </c>
      <c r="C2633" s="2" t="s">
        <v>34</v>
      </c>
      <c r="D2633" s="2" t="s">
        <v>35</v>
      </c>
      <c r="E2633" s="2" t="s">
        <v>36</v>
      </c>
      <c r="F2633">
        <v>4157</v>
      </c>
      <c r="G2633" s="2" t="s">
        <v>240</v>
      </c>
      <c r="H2633" s="2" t="s">
        <v>35</v>
      </c>
      <c r="I2633" s="2" t="s">
        <v>36</v>
      </c>
      <c r="J2633" s="2" t="s">
        <v>60</v>
      </c>
      <c r="K2633" s="2" t="s">
        <v>36</v>
      </c>
      <c r="L2633">
        <v>84.53</v>
      </c>
      <c r="M2633">
        <v>1</v>
      </c>
      <c r="N2633">
        <v>1.87</v>
      </c>
      <c r="O2633">
        <v>6600879</v>
      </c>
      <c r="P2633" s="2" t="s">
        <v>61</v>
      </c>
      <c r="Q2633" s="2" t="s">
        <v>35</v>
      </c>
      <c r="R2633" s="2" t="s">
        <v>30</v>
      </c>
      <c r="S2633">
        <v>11</v>
      </c>
      <c r="T2633" s="1">
        <v>43795</v>
      </c>
      <c r="U2633" s="1">
        <v>43801</v>
      </c>
      <c r="V2633" s="2"/>
      <c r="W2633" s="1">
        <f>fNotasFiscais[[#This Row],[Data da Coleta]]+fNotasFiscais[[#This Row],[Prazo Contratado]]</f>
        <v>43806</v>
      </c>
      <c r="X2633" s="3">
        <f>IF(fNotasFiscais[[#This Row],[Data da Entrega]]&gt;fNotasFiscais[[#This Row],[Data Contratada]],0,1)</f>
        <v>1</v>
      </c>
      <c r="Y2633" s="3">
        <f>IF(fNotasFiscais[[#This Row],[Ocorrência]]="",1,0)</f>
        <v>1</v>
      </c>
      <c r="Z2633" s="2">
        <f>fNotasFiscais[[#This Row],[On Time]]*fNotasFiscais[[#This Row],[In Full]]</f>
        <v>1</v>
      </c>
      <c r="AA2633">
        <f>IF(fNotasFiscais[[#This Row],[Nota Fiscal]]&lt;&gt;"",1,0)</f>
        <v>1</v>
      </c>
    </row>
    <row r="2634" spans="1:27" x14ac:dyDescent="0.25">
      <c r="A2634" s="1">
        <v>43795</v>
      </c>
      <c r="B2634">
        <v>13043</v>
      </c>
      <c r="C2634" s="2" t="s">
        <v>31</v>
      </c>
      <c r="D2634" s="2" t="s">
        <v>32</v>
      </c>
      <c r="E2634" s="2" t="s">
        <v>33</v>
      </c>
      <c r="F2634">
        <v>4068</v>
      </c>
      <c r="G2634" s="2" t="s">
        <v>63</v>
      </c>
      <c r="H2634" s="2" t="s">
        <v>64</v>
      </c>
      <c r="I2634" s="2" t="s">
        <v>65</v>
      </c>
      <c r="J2634" s="2" t="s">
        <v>49</v>
      </c>
      <c r="K2634" s="2" t="s">
        <v>65</v>
      </c>
      <c r="L2634">
        <v>1453.94</v>
      </c>
      <c r="M2634">
        <v>2</v>
      </c>
      <c r="N2634">
        <v>9.68</v>
      </c>
      <c r="O2634">
        <v>6100231</v>
      </c>
      <c r="P2634" s="2" t="s">
        <v>50</v>
      </c>
      <c r="Q2634" s="2" t="s">
        <v>51</v>
      </c>
      <c r="R2634" s="2" t="s">
        <v>30</v>
      </c>
      <c r="S2634">
        <v>4</v>
      </c>
      <c r="T2634" s="1">
        <v>43795</v>
      </c>
      <c r="U2634" s="1">
        <v>43805</v>
      </c>
      <c r="V2634" s="2" t="s">
        <v>42</v>
      </c>
      <c r="W2634" s="1">
        <f>fNotasFiscais[[#This Row],[Data da Coleta]]+fNotasFiscais[[#This Row],[Prazo Contratado]]</f>
        <v>43799</v>
      </c>
      <c r="X2634" s="3">
        <f>IF(fNotasFiscais[[#This Row],[Data da Entrega]]&gt;fNotasFiscais[[#This Row],[Data Contratada]],0,1)</f>
        <v>0</v>
      </c>
      <c r="Y2634" s="3">
        <f>IF(fNotasFiscais[[#This Row],[Ocorrência]]="",1,0)</f>
        <v>0</v>
      </c>
      <c r="Z2634" s="2">
        <f>fNotasFiscais[[#This Row],[On Time]]*fNotasFiscais[[#This Row],[In Full]]</f>
        <v>0</v>
      </c>
      <c r="AA2634">
        <f>IF(fNotasFiscais[[#This Row],[Nota Fiscal]]&lt;&gt;"",1,0)</f>
        <v>1</v>
      </c>
    </row>
    <row r="2635" spans="1:27" x14ac:dyDescent="0.25">
      <c r="A2635" s="1">
        <v>43795</v>
      </c>
      <c r="B2635">
        <v>13044</v>
      </c>
      <c r="C2635" s="2" t="s">
        <v>31</v>
      </c>
      <c r="D2635" s="2" t="s">
        <v>32</v>
      </c>
      <c r="E2635" s="2" t="s">
        <v>33</v>
      </c>
      <c r="F2635">
        <v>4018</v>
      </c>
      <c r="G2635" s="2" t="s">
        <v>77</v>
      </c>
      <c r="H2635" s="2" t="s">
        <v>78</v>
      </c>
      <c r="I2635" s="2" t="s">
        <v>39</v>
      </c>
      <c r="J2635" s="2" t="s">
        <v>28</v>
      </c>
      <c r="K2635" s="2" t="s">
        <v>39</v>
      </c>
      <c r="L2635">
        <v>510.6</v>
      </c>
      <c r="M2635">
        <v>1</v>
      </c>
      <c r="N2635">
        <v>3.96</v>
      </c>
      <c r="O2635">
        <v>6500948</v>
      </c>
      <c r="P2635" s="2" t="s">
        <v>29</v>
      </c>
      <c r="Q2635" s="2" t="s">
        <v>23</v>
      </c>
      <c r="R2635" s="2" t="s">
        <v>30</v>
      </c>
      <c r="S2635">
        <v>3</v>
      </c>
      <c r="T2635" s="1">
        <v>43795</v>
      </c>
      <c r="U2635" s="1">
        <v>43800</v>
      </c>
      <c r="V2635" s="2"/>
      <c r="W2635" s="1">
        <f>fNotasFiscais[[#This Row],[Data da Coleta]]+fNotasFiscais[[#This Row],[Prazo Contratado]]</f>
        <v>43798</v>
      </c>
      <c r="X2635" s="3">
        <f>IF(fNotasFiscais[[#This Row],[Data da Entrega]]&gt;fNotasFiscais[[#This Row],[Data Contratada]],0,1)</f>
        <v>0</v>
      </c>
      <c r="Y2635" s="3">
        <f>IF(fNotasFiscais[[#This Row],[Ocorrência]]="",1,0)</f>
        <v>1</v>
      </c>
      <c r="Z2635" s="2">
        <f>fNotasFiscais[[#This Row],[On Time]]*fNotasFiscais[[#This Row],[In Full]]</f>
        <v>0</v>
      </c>
      <c r="AA2635">
        <f>IF(fNotasFiscais[[#This Row],[Nota Fiscal]]&lt;&gt;"",1,0)</f>
        <v>1</v>
      </c>
    </row>
    <row r="2636" spans="1:27" x14ac:dyDescent="0.25">
      <c r="A2636" s="1">
        <v>43795</v>
      </c>
      <c r="B2636">
        <v>13045</v>
      </c>
      <c r="C2636" s="2" t="s">
        <v>54</v>
      </c>
      <c r="D2636" s="2" t="s">
        <v>55</v>
      </c>
      <c r="E2636" s="2" t="s">
        <v>56</v>
      </c>
      <c r="F2636">
        <v>4018</v>
      </c>
      <c r="G2636" s="2" t="s">
        <v>77</v>
      </c>
      <c r="H2636" s="2" t="s">
        <v>78</v>
      </c>
      <c r="I2636" s="2" t="s">
        <v>39</v>
      </c>
      <c r="J2636" s="2" t="s">
        <v>28</v>
      </c>
      <c r="K2636" s="2" t="s">
        <v>39</v>
      </c>
      <c r="L2636">
        <v>583.28</v>
      </c>
      <c r="M2636">
        <v>2</v>
      </c>
      <c r="N2636">
        <v>5.83</v>
      </c>
      <c r="O2636">
        <v>6500948</v>
      </c>
      <c r="P2636" s="2" t="s">
        <v>29</v>
      </c>
      <c r="Q2636" s="2" t="s">
        <v>23</v>
      </c>
      <c r="R2636" s="2" t="s">
        <v>30</v>
      </c>
      <c r="S2636">
        <v>1</v>
      </c>
      <c r="T2636" s="1">
        <v>43795</v>
      </c>
      <c r="U2636" s="1">
        <v>43800</v>
      </c>
      <c r="V2636" s="2"/>
      <c r="W2636" s="1">
        <f>fNotasFiscais[[#This Row],[Data da Coleta]]+fNotasFiscais[[#This Row],[Prazo Contratado]]</f>
        <v>43796</v>
      </c>
      <c r="X2636" s="3">
        <f>IF(fNotasFiscais[[#This Row],[Data da Entrega]]&gt;fNotasFiscais[[#This Row],[Data Contratada]],0,1)</f>
        <v>0</v>
      </c>
      <c r="Y2636" s="3">
        <f>IF(fNotasFiscais[[#This Row],[Ocorrência]]="",1,0)</f>
        <v>1</v>
      </c>
      <c r="Z2636" s="2">
        <f>fNotasFiscais[[#This Row],[On Time]]*fNotasFiscais[[#This Row],[In Full]]</f>
        <v>0</v>
      </c>
      <c r="AA2636">
        <f>IF(fNotasFiscais[[#This Row],[Nota Fiscal]]&lt;&gt;"",1,0)</f>
        <v>1</v>
      </c>
    </row>
    <row r="2637" spans="1:27" x14ac:dyDescent="0.25">
      <c r="A2637" s="1">
        <v>43796</v>
      </c>
      <c r="B2637">
        <v>13046</v>
      </c>
      <c r="C2637" s="2" t="s">
        <v>34</v>
      </c>
      <c r="D2637" s="2" t="s">
        <v>35</v>
      </c>
      <c r="E2637" s="2" t="s">
        <v>36</v>
      </c>
      <c r="F2637">
        <v>4017</v>
      </c>
      <c r="G2637" s="2" t="s">
        <v>74</v>
      </c>
      <c r="H2637" s="2" t="s">
        <v>75</v>
      </c>
      <c r="I2637" s="2" t="s">
        <v>39</v>
      </c>
      <c r="J2637" s="2" t="s">
        <v>28</v>
      </c>
      <c r="K2637" s="2" t="s">
        <v>39</v>
      </c>
      <c r="L2637">
        <v>1897.73</v>
      </c>
      <c r="M2637">
        <v>3</v>
      </c>
      <c r="N2637">
        <v>13.532</v>
      </c>
      <c r="O2637">
        <v>6500948</v>
      </c>
      <c r="P2637" s="2" t="s">
        <v>29</v>
      </c>
      <c r="Q2637" s="2" t="s">
        <v>23</v>
      </c>
      <c r="R2637" s="2" t="s">
        <v>30</v>
      </c>
      <c r="S2637">
        <v>11</v>
      </c>
      <c r="T2637" s="1">
        <v>43796</v>
      </c>
      <c r="U2637" s="1">
        <v>43803</v>
      </c>
      <c r="V2637" s="2"/>
      <c r="W2637" s="1">
        <f>fNotasFiscais[[#This Row],[Data da Coleta]]+fNotasFiscais[[#This Row],[Prazo Contratado]]</f>
        <v>43807</v>
      </c>
      <c r="X2637" s="3">
        <f>IF(fNotasFiscais[[#This Row],[Data da Entrega]]&gt;fNotasFiscais[[#This Row],[Data Contratada]],0,1)</f>
        <v>1</v>
      </c>
      <c r="Y2637" s="3">
        <f>IF(fNotasFiscais[[#This Row],[Ocorrência]]="",1,0)</f>
        <v>1</v>
      </c>
      <c r="Z2637" s="2">
        <f>fNotasFiscais[[#This Row],[On Time]]*fNotasFiscais[[#This Row],[In Full]]</f>
        <v>1</v>
      </c>
      <c r="AA2637">
        <f>IF(fNotasFiscais[[#This Row],[Nota Fiscal]]&lt;&gt;"",1,0)</f>
        <v>1</v>
      </c>
    </row>
    <row r="2638" spans="1:27" x14ac:dyDescent="0.25">
      <c r="A2638" s="1">
        <v>43796</v>
      </c>
      <c r="B2638">
        <v>13047</v>
      </c>
      <c r="C2638" s="2" t="s">
        <v>22</v>
      </c>
      <c r="D2638" s="2" t="s">
        <v>23</v>
      </c>
      <c r="E2638" s="2" t="s">
        <v>24</v>
      </c>
      <c r="F2638">
        <v>4159</v>
      </c>
      <c r="G2638" s="2" t="s">
        <v>242</v>
      </c>
      <c r="H2638" s="2" t="s">
        <v>173</v>
      </c>
      <c r="I2638" s="2" t="s">
        <v>174</v>
      </c>
      <c r="J2638" s="2" t="s">
        <v>175</v>
      </c>
      <c r="K2638" s="2" t="s">
        <v>174</v>
      </c>
      <c r="L2638">
        <v>703.41</v>
      </c>
      <c r="M2638">
        <v>1</v>
      </c>
      <c r="N2638">
        <v>4.18</v>
      </c>
      <c r="O2638">
        <v>6700091</v>
      </c>
      <c r="P2638" s="2" t="s">
        <v>176</v>
      </c>
      <c r="Q2638" s="2" t="s">
        <v>173</v>
      </c>
      <c r="R2638" s="2" t="s">
        <v>30</v>
      </c>
      <c r="S2638">
        <v>7</v>
      </c>
      <c r="T2638" s="1">
        <v>43796</v>
      </c>
      <c r="U2638" s="1">
        <v>43803</v>
      </c>
      <c r="V2638" s="2"/>
      <c r="W2638" s="1">
        <f>fNotasFiscais[[#This Row],[Data da Coleta]]+fNotasFiscais[[#This Row],[Prazo Contratado]]</f>
        <v>43803</v>
      </c>
      <c r="X2638" s="3">
        <f>IF(fNotasFiscais[[#This Row],[Data da Entrega]]&gt;fNotasFiscais[[#This Row],[Data Contratada]],0,1)</f>
        <v>1</v>
      </c>
      <c r="Y2638" s="3">
        <f>IF(fNotasFiscais[[#This Row],[Ocorrência]]="",1,0)</f>
        <v>1</v>
      </c>
      <c r="Z2638" s="2">
        <f>fNotasFiscais[[#This Row],[On Time]]*fNotasFiscais[[#This Row],[In Full]]</f>
        <v>1</v>
      </c>
      <c r="AA2638">
        <f>IF(fNotasFiscais[[#This Row],[Nota Fiscal]]&lt;&gt;"",1,0)</f>
        <v>1</v>
      </c>
    </row>
    <row r="2639" spans="1:27" x14ac:dyDescent="0.25">
      <c r="A2639" s="1">
        <v>43797</v>
      </c>
      <c r="B2639">
        <v>13048</v>
      </c>
      <c r="C2639" s="2" t="s">
        <v>22</v>
      </c>
      <c r="D2639" s="2" t="s">
        <v>23</v>
      </c>
      <c r="E2639" s="2" t="s">
        <v>24</v>
      </c>
      <c r="F2639">
        <v>4014</v>
      </c>
      <c r="G2639" s="2" t="s">
        <v>58</v>
      </c>
      <c r="H2639" s="2" t="s">
        <v>59</v>
      </c>
      <c r="I2639" s="2" t="s">
        <v>36</v>
      </c>
      <c r="J2639" s="2" t="s">
        <v>60</v>
      </c>
      <c r="K2639" s="2" t="s">
        <v>36</v>
      </c>
      <c r="L2639">
        <v>721.66</v>
      </c>
      <c r="M2639">
        <v>1</v>
      </c>
      <c r="N2639">
        <v>5.5</v>
      </c>
      <c r="O2639">
        <v>6600879</v>
      </c>
      <c r="P2639" s="2" t="s">
        <v>61</v>
      </c>
      <c r="Q2639" s="2" t="s">
        <v>35</v>
      </c>
      <c r="R2639" s="2" t="s">
        <v>30</v>
      </c>
      <c r="S2639">
        <v>10</v>
      </c>
      <c r="T2639" s="1">
        <v>43797</v>
      </c>
      <c r="U2639" s="1">
        <v>43807</v>
      </c>
      <c r="V2639" s="2"/>
      <c r="W2639" s="1">
        <f>fNotasFiscais[[#This Row],[Data da Coleta]]+fNotasFiscais[[#This Row],[Prazo Contratado]]</f>
        <v>43807</v>
      </c>
      <c r="X2639" s="3">
        <f>IF(fNotasFiscais[[#This Row],[Data da Entrega]]&gt;fNotasFiscais[[#This Row],[Data Contratada]],0,1)</f>
        <v>1</v>
      </c>
      <c r="Y2639" s="3">
        <f>IF(fNotasFiscais[[#This Row],[Ocorrência]]="",1,0)</f>
        <v>1</v>
      </c>
      <c r="Z2639" s="2">
        <f>fNotasFiscais[[#This Row],[On Time]]*fNotasFiscais[[#This Row],[In Full]]</f>
        <v>1</v>
      </c>
      <c r="AA2639">
        <f>IF(fNotasFiscais[[#This Row],[Nota Fiscal]]&lt;&gt;"",1,0)</f>
        <v>1</v>
      </c>
    </row>
    <row r="2640" spans="1:27" x14ac:dyDescent="0.25">
      <c r="A2640" s="1">
        <v>43797</v>
      </c>
      <c r="B2640">
        <v>13049</v>
      </c>
      <c r="C2640" s="2" t="s">
        <v>34</v>
      </c>
      <c r="D2640" s="2" t="s">
        <v>35</v>
      </c>
      <c r="E2640" s="2" t="s">
        <v>36</v>
      </c>
      <c r="F2640">
        <v>4064</v>
      </c>
      <c r="G2640" s="2" t="s">
        <v>128</v>
      </c>
      <c r="H2640" s="2" t="s">
        <v>129</v>
      </c>
      <c r="I2640" s="2" t="s">
        <v>33</v>
      </c>
      <c r="J2640" s="2" t="s">
        <v>60</v>
      </c>
      <c r="K2640" s="2" t="s">
        <v>33</v>
      </c>
      <c r="L2640">
        <v>567.21</v>
      </c>
      <c r="M2640">
        <v>1</v>
      </c>
      <c r="N2640">
        <v>4.18</v>
      </c>
      <c r="O2640">
        <v>6400835</v>
      </c>
      <c r="P2640" s="2" t="s">
        <v>130</v>
      </c>
      <c r="Q2640" s="2" t="s">
        <v>131</v>
      </c>
      <c r="R2640" s="2" t="s">
        <v>30</v>
      </c>
      <c r="S2640">
        <v>12</v>
      </c>
      <c r="T2640" s="1">
        <v>43797</v>
      </c>
      <c r="U2640" s="1">
        <v>43802</v>
      </c>
      <c r="V2640" s="2"/>
      <c r="W2640" s="1">
        <f>fNotasFiscais[[#This Row],[Data da Coleta]]+fNotasFiscais[[#This Row],[Prazo Contratado]]</f>
        <v>43809</v>
      </c>
      <c r="X2640" s="3">
        <f>IF(fNotasFiscais[[#This Row],[Data da Entrega]]&gt;fNotasFiscais[[#This Row],[Data Contratada]],0,1)</f>
        <v>1</v>
      </c>
      <c r="Y2640" s="3">
        <f>IF(fNotasFiscais[[#This Row],[Ocorrência]]="",1,0)</f>
        <v>1</v>
      </c>
      <c r="Z2640" s="2">
        <f>fNotasFiscais[[#This Row],[On Time]]*fNotasFiscais[[#This Row],[In Full]]</f>
        <v>1</v>
      </c>
      <c r="AA2640">
        <f>IF(fNotasFiscais[[#This Row],[Nota Fiscal]]&lt;&gt;"",1,0)</f>
        <v>1</v>
      </c>
    </row>
    <row r="2641" spans="1:27" x14ac:dyDescent="0.25">
      <c r="A2641" s="1">
        <v>43797</v>
      </c>
      <c r="B2641">
        <v>13050</v>
      </c>
      <c r="C2641" s="2" t="s">
        <v>31</v>
      </c>
      <c r="D2641" s="2" t="s">
        <v>32</v>
      </c>
      <c r="E2641" s="2" t="s">
        <v>33</v>
      </c>
      <c r="F2641">
        <v>4049</v>
      </c>
      <c r="G2641" s="2" t="s">
        <v>118</v>
      </c>
      <c r="H2641" s="2" t="s">
        <v>97</v>
      </c>
      <c r="I2641" s="2" t="s">
        <v>48</v>
      </c>
      <c r="J2641" s="2" t="s">
        <v>49</v>
      </c>
      <c r="K2641" s="2" t="s">
        <v>48</v>
      </c>
      <c r="L2641">
        <v>696.7</v>
      </c>
      <c r="M2641">
        <v>1</v>
      </c>
      <c r="N2641">
        <v>2.2000000000000002</v>
      </c>
      <c r="O2641">
        <v>6100231</v>
      </c>
      <c r="P2641" s="2" t="s">
        <v>50</v>
      </c>
      <c r="Q2641" s="2" t="s">
        <v>51</v>
      </c>
      <c r="R2641" s="2" t="s">
        <v>30</v>
      </c>
      <c r="S2641">
        <v>10</v>
      </c>
      <c r="T2641" s="1">
        <v>43797</v>
      </c>
      <c r="U2641" s="1">
        <v>43802</v>
      </c>
      <c r="V2641" s="2"/>
      <c r="W2641" s="1">
        <f>fNotasFiscais[[#This Row],[Data da Coleta]]+fNotasFiscais[[#This Row],[Prazo Contratado]]</f>
        <v>43807</v>
      </c>
      <c r="X2641" s="3">
        <f>IF(fNotasFiscais[[#This Row],[Data da Entrega]]&gt;fNotasFiscais[[#This Row],[Data Contratada]],0,1)</f>
        <v>1</v>
      </c>
      <c r="Y2641" s="3">
        <f>IF(fNotasFiscais[[#This Row],[Ocorrência]]="",1,0)</f>
        <v>1</v>
      </c>
      <c r="Z2641" s="2">
        <f>fNotasFiscais[[#This Row],[On Time]]*fNotasFiscais[[#This Row],[In Full]]</f>
        <v>1</v>
      </c>
      <c r="AA2641">
        <f>IF(fNotasFiscais[[#This Row],[Nota Fiscal]]&lt;&gt;"",1,0)</f>
        <v>1</v>
      </c>
    </row>
    <row r="2642" spans="1:27" x14ac:dyDescent="0.25">
      <c r="A2642" s="1">
        <v>43798</v>
      </c>
      <c r="B2642">
        <v>13051</v>
      </c>
      <c r="C2642" s="2" t="s">
        <v>31</v>
      </c>
      <c r="D2642" s="2" t="s">
        <v>32</v>
      </c>
      <c r="E2642" s="2" t="s">
        <v>33</v>
      </c>
      <c r="F2642">
        <v>4146</v>
      </c>
      <c r="G2642" s="2" t="s">
        <v>229</v>
      </c>
      <c r="H2642" s="2" t="s">
        <v>35</v>
      </c>
      <c r="I2642" s="2" t="s">
        <v>36</v>
      </c>
      <c r="J2642" s="2" t="s">
        <v>60</v>
      </c>
      <c r="K2642" s="2" t="s">
        <v>36</v>
      </c>
      <c r="L2642">
        <v>267.32</v>
      </c>
      <c r="M2642">
        <v>1</v>
      </c>
      <c r="N2642">
        <v>0.26400000000000001</v>
      </c>
      <c r="O2642">
        <v>6600879</v>
      </c>
      <c r="P2642" s="2" t="s">
        <v>61</v>
      </c>
      <c r="Q2642" s="2" t="s">
        <v>35</v>
      </c>
      <c r="R2642" s="2" t="s">
        <v>30</v>
      </c>
      <c r="S2642">
        <v>4</v>
      </c>
      <c r="T2642" s="1">
        <v>43798</v>
      </c>
      <c r="U2642" s="1">
        <v>43801</v>
      </c>
      <c r="V2642" s="2"/>
      <c r="W2642" s="1">
        <f>fNotasFiscais[[#This Row],[Data da Coleta]]+fNotasFiscais[[#This Row],[Prazo Contratado]]</f>
        <v>43802</v>
      </c>
      <c r="X2642" s="3">
        <f>IF(fNotasFiscais[[#This Row],[Data da Entrega]]&gt;fNotasFiscais[[#This Row],[Data Contratada]],0,1)</f>
        <v>1</v>
      </c>
      <c r="Y2642" s="3">
        <f>IF(fNotasFiscais[[#This Row],[Ocorrência]]="",1,0)</f>
        <v>1</v>
      </c>
      <c r="Z2642" s="2">
        <f>fNotasFiscais[[#This Row],[On Time]]*fNotasFiscais[[#This Row],[In Full]]</f>
        <v>1</v>
      </c>
      <c r="AA2642">
        <f>IF(fNotasFiscais[[#This Row],[Nota Fiscal]]&lt;&gt;"",1,0)</f>
        <v>1</v>
      </c>
    </row>
    <row r="2643" spans="1:27" x14ac:dyDescent="0.25">
      <c r="A2643" s="1">
        <v>43798</v>
      </c>
      <c r="B2643">
        <v>13052</v>
      </c>
      <c r="C2643" s="2" t="s">
        <v>52</v>
      </c>
      <c r="D2643" s="2" t="s">
        <v>53</v>
      </c>
      <c r="E2643" s="2" t="s">
        <v>33</v>
      </c>
      <c r="F2643">
        <v>4190</v>
      </c>
      <c r="G2643" s="2" t="s">
        <v>273</v>
      </c>
      <c r="H2643" s="2" t="s">
        <v>35</v>
      </c>
      <c r="I2643" s="2" t="s">
        <v>36</v>
      </c>
      <c r="J2643" s="2" t="s">
        <v>60</v>
      </c>
      <c r="K2643" s="2" t="s">
        <v>36</v>
      </c>
      <c r="L2643">
        <v>375.87</v>
      </c>
      <c r="M2643">
        <v>3</v>
      </c>
      <c r="N2643">
        <v>2.2440000000000002</v>
      </c>
      <c r="O2643">
        <v>6600879</v>
      </c>
      <c r="P2643" s="2" t="s">
        <v>61</v>
      </c>
      <c r="Q2643" s="2" t="s">
        <v>35</v>
      </c>
      <c r="R2643" s="2" t="s">
        <v>30</v>
      </c>
      <c r="S2643">
        <v>9</v>
      </c>
      <c r="T2643" s="1">
        <v>43798</v>
      </c>
      <c r="U2643" s="1">
        <v>43808</v>
      </c>
      <c r="V2643" s="2"/>
      <c r="W2643" s="1">
        <f>fNotasFiscais[[#This Row],[Data da Coleta]]+fNotasFiscais[[#This Row],[Prazo Contratado]]</f>
        <v>43807</v>
      </c>
      <c r="X2643" s="3">
        <f>IF(fNotasFiscais[[#This Row],[Data da Entrega]]&gt;fNotasFiscais[[#This Row],[Data Contratada]],0,1)</f>
        <v>0</v>
      </c>
      <c r="Y2643" s="3">
        <f>IF(fNotasFiscais[[#This Row],[Ocorrência]]="",1,0)</f>
        <v>1</v>
      </c>
      <c r="Z2643" s="2">
        <f>fNotasFiscais[[#This Row],[On Time]]*fNotasFiscais[[#This Row],[In Full]]</f>
        <v>0</v>
      </c>
      <c r="AA2643">
        <f>IF(fNotasFiscais[[#This Row],[Nota Fiscal]]&lt;&gt;"",1,0)</f>
        <v>1</v>
      </c>
    </row>
    <row r="2644" spans="1:27" x14ac:dyDescent="0.25">
      <c r="A2644" s="1">
        <v>43798</v>
      </c>
      <c r="B2644">
        <v>13053</v>
      </c>
      <c r="C2644" s="2" t="s">
        <v>34</v>
      </c>
      <c r="D2644" s="2" t="s">
        <v>35</v>
      </c>
      <c r="E2644" s="2" t="s">
        <v>36</v>
      </c>
      <c r="F2644">
        <v>4171</v>
      </c>
      <c r="G2644" s="2" t="s">
        <v>254</v>
      </c>
      <c r="H2644" s="2" t="s">
        <v>173</v>
      </c>
      <c r="I2644" s="2" t="s">
        <v>174</v>
      </c>
      <c r="J2644" s="2" t="s">
        <v>175</v>
      </c>
      <c r="K2644" s="2" t="s">
        <v>174</v>
      </c>
      <c r="L2644">
        <v>254.67</v>
      </c>
      <c r="M2644">
        <v>1</v>
      </c>
      <c r="N2644">
        <v>0.19400000000000001</v>
      </c>
      <c r="O2644">
        <v>6700091</v>
      </c>
      <c r="P2644" s="2" t="s">
        <v>176</v>
      </c>
      <c r="Q2644" s="2" t="s">
        <v>173</v>
      </c>
      <c r="R2644" s="2" t="s">
        <v>30</v>
      </c>
      <c r="S2644">
        <v>12</v>
      </c>
      <c r="T2644" s="1">
        <v>43798</v>
      </c>
      <c r="U2644" s="1">
        <v>43802</v>
      </c>
      <c r="V2644" s="2"/>
      <c r="W2644" s="1">
        <f>fNotasFiscais[[#This Row],[Data da Coleta]]+fNotasFiscais[[#This Row],[Prazo Contratado]]</f>
        <v>43810</v>
      </c>
      <c r="X2644" s="3">
        <f>IF(fNotasFiscais[[#This Row],[Data da Entrega]]&gt;fNotasFiscais[[#This Row],[Data Contratada]],0,1)</f>
        <v>1</v>
      </c>
      <c r="Y2644" s="3">
        <f>IF(fNotasFiscais[[#This Row],[Ocorrência]]="",1,0)</f>
        <v>1</v>
      </c>
      <c r="Z2644" s="2">
        <f>fNotasFiscais[[#This Row],[On Time]]*fNotasFiscais[[#This Row],[In Full]]</f>
        <v>1</v>
      </c>
      <c r="AA2644">
        <f>IF(fNotasFiscais[[#This Row],[Nota Fiscal]]&lt;&gt;"",1,0)</f>
        <v>1</v>
      </c>
    </row>
    <row r="2645" spans="1:27" x14ac:dyDescent="0.25">
      <c r="A2645" s="1">
        <v>43799</v>
      </c>
      <c r="B2645">
        <v>13054</v>
      </c>
      <c r="C2645" s="2" t="s">
        <v>52</v>
      </c>
      <c r="D2645" s="2" t="s">
        <v>53</v>
      </c>
      <c r="E2645" s="2" t="s">
        <v>33</v>
      </c>
      <c r="F2645">
        <v>4164</v>
      </c>
      <c r="G2645" s="2" t="s">
        <v>247</v>
      </c>
      <c r="H2645" s="2" t="s">
        <v>165</v>
      </c>
      <c r="I2645" s="2" t="s">
        <v>24</v>
      </c>
      <c r="J2645" s="2" t="s">
        <v>28</v>
      </c>
      <c r="K2645" s="2" t="s">
        <v>24</v>
      </c>
      <c r="L2645">
        <v>234.55</v>
      </c>
      <c r="M2645">
        <v>1</v>
      </c>
      <c r="N2645">
        <v>2.42</v>
      </c>
      <c r="O2645">
        <v>6500948</v>
      </c>
      <c r="P2645" s="2" t="s">
        <v>29</v>
      </c>
      <c r="Q2645" s="2" t="s">
        <v>23</v>
      </c>
      <c r="R2645" s="2" t="s">
        <v>30</v>
      </c>
      <c r="S2645">
        <v>8</v>
      </c>
      <c r="T2645" s="1">
        <v>43799</v>
      </c>
      <c r="U2645" s="1">
        <v>43804</v>
      </c>
      <c r="V2645" s="2"/>
      <c r="W2645" s="1">
        <f>fNotasFiscais[[#This Row],[Data da Coleta]]+fNotasFiscais[[#This Row],[Prazo Contratado]]</f>
        <v>43807</v>
      </c>
      <c r="X2645" s="3">
        <f>IF(fNotasFiscais[[#This Row],[Data da Entrega]]&gt;fNotasFiscais[[#This Row],[Data Contratada]],0,1)</f>
        <v>1</v>
      </c>
      <c r="Y2645" s="3">
        <f>IF(fNotasFiscais[[#This Row],[Ocorrência]]="",1,0)</f>
        <v>1</v>
      </c>
      <c r="Z2645" s="2">
        <f>fNotasFiscais[[#This Row],[On Time]]*fNotasFiscais[[#This Row],[In Full]]</f>
        <v>1</v>
      </c>
      <c r="AA2645">
        <f>IF(fNotasFiscais[[#This Row],[Nota Fiscal]]&lt;&gt;"",1,0)</f>
        <v>1</v>
      </c>
    </row>
    <row r="2646" spans="1:27" x14ac:dyDescent="0.25">
      <c r="A2646" s="1">
        <v>43799</v>
      </c>
      <c r="B2646">
        <v>13055</v>
      </c>
      <c r="C2646" s="2" t="s">
        <v>22</v>
      </c>
      <c r="D2646" s="2" t="s">
        <v>23</v>
      </c>
      <c r="E2646" s="2" t="s">
        <v>24</v>
      </c>
      <c r="F2646">
        <v>4146</v>
      </c>
      <c r="G2646" s="2" t="s">
        <v>229</v>
      </c>
      <c r="H2646" s="2" t="s">
        <v>35</v>
      </c>
      <c r="I2646" s="2" t="s">
        <v>36</v>
      </c>
      <c r="J2646" s="2" t="s">
        <v>60</v>
      </c>
      <c r="K2646" s="2" t="s">
        <v>36</v>
      </c>
      <c r="L2646">
        <v>1581.57</v>
      </c>
      <c r="M2646">
        <v>1</v>
      </c>
      <c r="N2646">
        <v>14.08</v>
      </c>
      <c r="O2646">
        <v>6600879</v>
      </c>
      <c r="P2646" s="2" t="s">
        <v>61</v>
      </c>
      <c r="Q2646" s="2" t="s">
        <v>35</v>
      </c>
      <c r="R2646" s="2" t="s">
        <v>30</v>
      </c>
      <c r="S2646">
        <v>6</v>
      </c>
      <c r="T2646" s="1">
        <v>43799</v>
      </c>
      <c r="U2646" s="1">
        <v>43800</v>
      </c>
      <c r="V2646" s="2"/>
      <c r="W2646" s="1">
        <f>fNotasFiscais[[#This Row],[Data da Coleta]]+fNotasFiscais[[#This Row],[Prazo Contratado]]</f>
        <v>43805</v>
      </c>
      <c r="X2646" s="3">
        <f>IF(fNotasFiscais[[#This Row],[Data da Entrega]]&gt;fNotasFiscais[[#This Row],[Data Contratada]],0,1)</f>
        <v>1</v>
      </c>
      <c r="Y2646" s="3">
        <f>IF(fNotasFiscais[[#This Row],[Ocorrência]]="",1,0)</f>
        <v>1</v>
      </c>
      <c r="Z2646" s="2">
        <f>fNotasFiscais[[#This Row],[On Time]]*fNotasFiscais[[#This Row],[In Full]]</f>
        <v>1</v>
      </c>
      <c r="AA2646">
        <f>IF(fNotasFiscais[[#This Row],[Nota Fiscal]]&lt;&gt;"",1,0)</f>
        <v>1</v>
      </c>
    </row>
    <row r="2647" spans="1:27" x14ac:dyDescent="0.25">
      <c r="A2647" s="1">
        <v>43798</v>
      </c>
      <c r="B2647">
        <v>13056</v>
      </c>
      <c r="C2647" s="2" t="s">
        <v>22</v>
      </c>
      <c r="D2647" s="2" t="s">
        <v>23</v>
      </c>
      <c r="E2647" s="2" t="s">
        <v>24</v>
      </c>
      <c r="F2647">
        <v>4018</v>
      </c>
      <c r="G2647" s="2" t="s">
        <v>77</v>
      </c>
      <c r="H2647" s="2" t="s">
        <v>78</v>
      </c>
      <c r="I2647" s="2" t="s">
        <v>39</v>
      </c>
      <c r="J2647" s="2" t="s">
        <v>28</v>
      </c>
      <c r="K2647" s="2" t="s">
        <v>39</v>
      </c>
      <c r="L2647">
        <v>3667.39</v>
      </c>
      <c r="M2647">
        <v>1</v>
      </c>
      <c r="N2647">
        <v>26.4</v>
      </c>
      <c r="O2647">
        <v>6500948</v>
      </c>
      <c r="P2647" s="2" t="s">
        <v>29</v>
      </c>
      <c r="Q2647" s="2" t="s">
        <v>23</v>
      </c>
      <c r="R2647" s="2" t="s">
        <v>30</v>
      </c>
      <c r="S2647">
        <v>12</v>
      </c>
      <c r="T2647" s="1">
        <v>43799</v>
      </c>
      <c r="U2647" s="1">
        <v>43809</v>
      </c>
      <c r="V2647" s="2"/>
      <c r="W2647" s="1">
        <f>fNotasFiscais[[#This Row],[Data da Coleta]]+fNotasFiscais[[#This Row],[Prazo Contratado]]</f>
        <v>43811</v>
      </c>
      <c r="X2647" s="3">
        <f>IF(fNotasFiscais[[#This Row],[Data da Entrega]]&gt;fNotasFiscais[[#This Row],[Data Contratada]],0,1)</f>
        <v>1</v>
      </c>
      <c r="Y2647" s="3">
        <f>IF(fNotasFiscais[[#This Row],[Ocorrência]]="",1,0)</f>
        <v>1</v>
      </c>
      <c r="Z2647" s="2">
        <f>fNotasFiscais[[#This Row],[On Time]]*fNotasFiscais[[#This Row],[In Full]]</f>
        <v>1</v>
      </c>
      <c r="AA2647">
        <f>IF(fNotasFiscais[[#This Row],[Nota Fiscal]]&lt;&gt;"",1,0)</f>
        <v>1</v>
      </c>
    </row>
    <row r="2648" spans="1:27" x14ac:dyDescent="0.25">
      <c r="A2648" s="1">
        <v>43798</v>
      </c>
      <c r="B2648">
        <v>13057</v>
      </c>
      <c r="C2648" s="2" t="s">
        <v>52</v>
      </c>
      <c r="D2648" s="2" t="s">
        <v>53</v>
      </c>
      <c r="E2648" s="2" t="s">
        <v>33</v>
      </c>
      <c r="F2648">
        <v>4018</v>
      </c>
      <c r="G2648" s="2" t="s">
        <v>77</v>
      </c>
      <c r="H2648" s="2" t="s">
        <v>78</v>
      </c>
      <c r="I2648" s="2" t="s">
        <v>39</v>
      </c>
      <c r="J2648" s="2" t="s">
        <v>28</v>
      </c>
      <c r="K2648" s="2" t="s">
        <v>39</v>
      </c>
      <c r="L2648">
        <v>209.57</v>
      </c>
      <c r="M2648">
        <v>2</v>
      </c>
      <c r="N2648">
        <v>0.35</v>
      </c>
      <c r="O2648">
        <v>6500948</v>
      </c>
      <c r="P2648" s="2" t="s">
        <v>29</v>
      </c>
      <c r="Q2648" s="2" t="s">
        <v>23</v>
      </c>
      <c r="R2648" s="2" t="s">
        <v>30</v>
      </c>
      <c r="S2648">
        <v>7</v>
      </c>
      <c r="T2648" s="1">
        <v>43799</v>
      </c>
      <c r="U2648" s="1">
        <v>43802</v>
      </c>
      <c r="V2648" s="2"/>
      <c r="W2648" s="1">
        <f>fNotasFiscais[[#This Row],[Data da Coleta]]+fNotasFiscais[[#This Row],[Prazo Contratado]]</f>
        <v>43806</v>
      </c>
      <c r="X2648" s="3">
        <f>IF(fNotasFiscais[[#This Row],[Data da Entrega]]&gt;fNotasFiscais[[#This Row],[Data Contratada]],0,1)</f>
        <v>1</v>
      </c>
      <c r="Y2648" s="3">
        <f>IF(fNotasFiscais[[#This Row],[Ocorrência]]="",1,0)</f>
        <v>1</v>
      </c>
      <c r="Z2648" s="2">
        <f>fNotasFiscais[[#This Row],[On Time]]*fNotasFiscais[[#This Row],[In Full]]</f>
        <v>1</v>
      </c>
      <c r="AA2648">
        <f>IF(fNotasFiscais[[#This Row],[Nota Fiscal]]&lt;&gt;"",1,0)</f>
        <v>1</v>
      </c>
    </row>
    <row r="2649" spans="1:27" x14ac:dyDescent="0.25">
      <c r="A2649" s="1">
        <v>43798</v>
      </c>
      <c r="B2649">
        <v>13058</v>
      </c>
      <c r="C2649" s="2" t="s">
        <v>31</v>
      </c>
      <c r="D2649" s="2" t="s">
        <v>32</v>
      </c>
      <c r="E2649" s="2" t="s">
        <v>33</v>
      </c>
      <c r="F2649">
        <v>4044</v>
      </c>
      <c r="G2649" s="2" t="s">
        <v>123</v>
      </c>
      <c r="H2649" s="2" t="s">
        <v>35</v>
      </c>
      <c r="I2649" s="2" t="s">
        <v>36</v>
      </c>
      <c r="J2649" s="2" t="s">
        <v>60</v>
      </c>
      <c r="K2649" s="2" t="s">
        <v>36</v>
      </c>
      <c r="L2649">
        <v>54.51</v>
      </c>
      <c r="M2649">
        <v>1</v>
      </c>
      <c r="N2649">
        <v>0.248</v>
      </c>
      <c r="O2649">
        <v>6600879</v>
      </c>
      <c r="P2649" s="2" t="s">
        <v>61</v>
      </c>
      <c r="Q2649" s="2" t="s">
        <v>35</v>
      </c>
      <c r="R2649" s="2" t="s">
        <v>30</v>
      </c>
      <c r="S2649">
        <v>4</v>
      </c>
      <c r="T2649" s="1">
        <v>43799</v>
      </c>
      <c r="U2649" s="1">
        <v>43801</v>
      </c>
      <c r="V2649" s="2"/>
      <c r="W2649" s="1">
        <f>fNotasFiscais[[#This Row],[Data da Coleta]]+fNotasFiscais[[#This Row],[Prazo Contratado]]</f>
        <v>43803</v>
      </c>
      <c r="X2649" s="3">
        <f>IF(fNotasFiscais[[#This Row],[Data da Entrega]]&gt;fNotasFiscais[[#This Row],[Data Contratada]],0,1)</f>
        <v>1</v>
      </c>
      <c r="Y2649" s="3">
        <f>IF(fNotasFiscais[[#This Row],[Ocorrência]]="",1,0)</f>
        <v>1</v>
      </c>
      <c r="Z2649" s="2">
        <f>fNotasFiscais[[#This Row],[On Time]]*fNotasFiscais[[#This Row],[In Full]]</f>
        <v>1</v>
      </c>
      <c r="AA2649">
        <f>IF(fNotasFiscais[[#This Row],[Nota Fiscal]]&lt;&gt;"",1,0)</f>
        <v>1</v>
      </c>
    </row>
    <row r="2650" spans="1:27" x14ac:dyDescent="0.25">
      <c r="A2650" s="1">
        <v>43798</v>
      </c>
      <c r="B2650">
        <v>13059</v>
      </c>
      <c r="C2650" s="2" t="s">
        <v>52</v>
      </c>
      <c r="D2650" s="2" t="s">
        <v>53</v>
      </c>
      <c r="E2650" s="2" t="s">
        <v>33</v>
      </c>
      <c r="F2650">
        <v>4045</v>
      </c>
      <c r="G2650" s="2" t="s">
        <v>124</v>
      </c>
      <c r="H2650" s="2" t="s">
        <v>35</v>
      </c>
      <c r="I2650" s="2" t="s">
        <v>36</v>
      </c>
      <c r="J2650" s="2" t="s">
        <v>60</v>
      </c>
      <c r="K2650" s="2" t="s">
        <v>36</v>
      </c>
      <c r="L2650">
        <v>3684.39</v>
      </c>
      <c r="M2650">
        <v>3</v>
      </c>
      <c r="N2650">
        <v>53.9</v>
      </c>
      <c r="O2650">
        <v>6600879</v>
      </c>
      <c r="P2650" s="2" t="s">
        <v>61</v>
      </c>
      <c r="Q2650" s="2" t="s">
        <v>35</v>
      </c>
      <c r="R2650" s="2" t="s">
        <v>30</v>
      </c>
      <c r="S2650">
        <v>7</v>
      </c>
      <c r="T2650" s="1">
        <v>43799</v>
      </c>
      <c r="U2650" s="1">
        <v>43808</v>
      </c>
      <c r="V2650" s="2"/>
      <c r="W2650" s="1">
        <f>fNotasFiscais[[#This Row],[Data da Coleta]]+fNotasFiscais[[#This Row],[Prazo Contratado]]</f>
        <v>43806</v>
      </c>
      <c r="X2650" s="3">
        <f>IF(fNotasFiscais[[#This Row],[Data da Entrega]]&gt;fNotasFiscais[[#This Row],[Data Contratada]],0,1)</f>
        <v>0</v>
      </c>
      <c r="Y2650" s="3">
        <f>IF(fNotasFiscais[[#This Row],[Ocorrência]]="",1,0)</f>
        <v>1</v>
      </c>
      <c r="Z2650" s="2">
        <f>fNotasFiscais[[#This Row],[On Time]]*fNotasFiscais[[#This Row],[In Full]]</f>
        <v>0</v>
      </c>
      <c r="AA2650">
        <f>IF(fNotasFiscais[[#This Row],[Nota Fiscal]]&lt;&gt;"",1,0)</f>
        <v>1</v>
      </c>
    </row>
    <row r="2651" spans="1:27" x14ac:dyDescent="0.25">
      <c r="A2651" s="1">
        <v>43798</v>
      </c>
      <c r="B2651">
        <v>13060</v>
      </c>
      <c r="C2651" s="2" t="s">
        <v>43</v>
      </c>
      <c r="D2651" s="2" t="s">
        <v>44</v>
      </c>
      <c r="E2651" s="2" t="s">
        <v>45</v>
      </c>
      <c r="F2651">
        <v>4119</v>
      </c>
      <c r="G2651" s="2" t="s">
        <v>202</v>
      </c>
      <c r="H2651" s="2" t="s">
        <v>167</v>
      </c>
      <c r="I2651" s="2" t="s">
        <v>168</v>
      </c>
      <c r="J2651" s="2" t="s">
        <v>169</v>
      </c>
      <c r="K2651" s="2" t="s">
        <v>168</v>
      </c>
      <c r="L2651">
        <v>205.35</v>
      </c>
      <c r="M2651">
        <v>1</v>
      </c>
      <c r="N2651">
        <v>1.1200000000000001</v>
      </c>
      <c r="O2651">
        <v>6900304</v>
      </c>
      <c r="P2651" s="2" t="s">
        <v>170</v>
      </c>
      <c r="Q2651" s="2" t="s">
        <v>171</v>
      </c>
      <c r="R2651" s="2" t="s">
        <v>30</v>
      </c>
      <c r="S2651">
        <v>1</v>
      </c>
      <c r="T2651" s="1">
        <v>43799</v>
      </c>
      <c r="U2651" s="1">
        <v>43800</v>
      </c>
      <c r="V2651" s="2"/>
      <c r="W2651" s="1">
        <f>fNotasFiscais[[#This Row],[Data da Coleta]]+fNotasFiscais[[#This Row],[Prazo Contratado]]</f>
        <v>43800</v>
      </c>
      <c r="X2651" s="3">
        <f>IF(fNotasFiscais[[#This Row],[Data da Entrega]]&gt;fNotasFiscais[[#This Row],[Data Contratada]],0,1)</f>
        <v>1</v>
      </c>
      <c r="Y2651" s="3">
        <f>IF(fNotasFiscais[[#This Row],[Ocorrência]]="",1,0)</f>
        <v>1</v>
      </c>
      <c r="Z2651" s="2">
        <f>fNotasFiscais[[#This Row],[On Time]]*fNotasFiscais[[#This Row],[In Full]]</f>
        <v>1</v>
      </c>
      <c r="AA2651">
        <f>IF(fNotasFiscais[[#This Row],[Nota Fiscal]]&lt;&gt;"",1,0)</f>
        <v>1</v>
      </c>
    </row>
    <row r="2652" spans="1:27" x14ac:dyDescent="0.25">
      <c r="A2652" s="1">
        <v>43798</v>
      </c>
      <c r="B2652">
        <v>13061</v>
      </c>
      <c r="C2652" s="2" t="s">
        <v>52</v>
      </c>
      <c r="D2652" s="2" t="s">
        <v>53</v>
      </c>
      <c r="E2652" s="2" t="s">
        <v>33</v>
      </c>
      <c r="F2652">
        <v>4019</v>
      </c>
      <c r="G2652" s="2" t="s">
        <v>79</v>
      </c>
      <c r="H2652" s="2" t="s">
        <v>80</v>
      </c>
      <c r="I2652" s="2" t="s">
        <v>39</v>
      </c>
      <c r="J2652" s="2" t="s">
        <v>28</v>
      </c>
      <c r="K2652" s="2" t="s">
        <v>39</v>
      </c>
      <c r="L2652">
        <v>1083.5</v>
      </c>
      <c r="M2652">
        <v>1</v>
      </c>
      <c r="N2652">
        <v>1.101</v>
      </c>
      <c r="O2652">
        <v>6500948</v>
      </c>
      <c r="P2652" s="2" t="s">
        <v>29</v>
      </c>
      <c r="Q2652" s="2" t="s">
        <v>23</v>
      </c>
      <c r="R2652" s="2" t="s">
        <v>30</v>
      </c>
      <c r="S2652">
        <v>2</v>
      </c>
      <c r="T2652" s="1">
        <v>43799</v>
      </c>
      <c r="U2652" s="1">
        <v>43803</v>
      </c>
      <c r="V2652" s="2"/>
      <c r="W2652" s="1">
        <f>fNotasFiscais[[#This Row],[Data da Coleta]]+fNotasFiscais[[#This Row],[Prazo Contratado]]</f>
        <v>43801</v>
      </c>
      <c r="X2652" s="3">
        <f>IF(fNotasFiscais[[#This Row],[Data da Entrega]]&gt;fNotasFiscais[[#This Row],[Data Contratada]],0,1)</f>
        <v>0</v>
      </c>
      <c r="Y2652" s="3">
        <f>IF(fNotasFiscais[[#This Row],[Ocorrência]]="",1,0)</f>
        <v>1</v>
      </c>
      <c r="Z2652" s="2">
        <f>fNotasFiscais[[#This Row],[On Time]]*fNotasFiscais[[#This Row],[In Full]]</f>
        <v>0</v>
      </c>
      <c r="AA2652">
        <f>IF(fNotasFiscais[[#This Row],[Nota Fiscal]]&lt;&gt;"",1,0)</f>
        <v>1</v>
      </c>
    </row>
    <row r="2653" spans="1:27" x14ac:dyDescent="0.25">
      <c r="A2653" s="1">
        <v>43798</v>
      </c>
      <c r="B2653">
        <v>13062</v>
      </c>
      <c r="C2653" s="2" t="s">
        <v>34</v>
      </c>
      <c r="D2653" s="2" t="s">
        <v>35</v>
      </c>
      <c r="E2653" s="2" t="s">
        <v>36</v>
      </c>
      <c r="F2653">
        <v>4044</v>
      </c>
      <c r="G2653" s="2" t="s">
        <v>123</v>
      </c>
      <c r="H2653" s="2" t="s">
        <v>35</v>
      </c>
      <c r="I2653" s="2" t="s">
        <v>36</v>
      </c>
      <c r="J2653" s="2" t="s">
        <v>60</v>
      </c>
      <c r="K2653" s="2" t="s">
        <v>36</v>
      </c>
      <c r="L2653">
        <v>239.19</v>
      </c>
      <c r="M2653">
        <v>1</v>
      </c>
      <c r="N2653">
        <v>0.63800000000000001</v>
      </c>
      <c r="O2653">
        <v>6600879</v>
      </c>
      <c r="P2653" s="2" t="s">
        <v>61</v>
      </c>
      <c r="Q2653" s="2" t="s">
        <v>35</v>
      </c>
      <c r="R2653" s="2" t="s">
        <v>30</v>
      </c>
      <c r="S2653">
        <v>12</v>
      </c>
      <c r="T2653" s="1">
        <v>43799</v>
      </c>
      <c r="U2653" s="1">
        <v>43803</v>
      </c>
      <c r="V2653" s="2"/>
      <c r="W2653" s="1">
        <f>fNotasFiscais[[#This Row],[Data da Coleta]]+fNotasFiscais[[#This Row],[Prazo Contratado]]</f>
        <v>43811</v>
      </c>
      <c r="X2653" s="3">
        <f>IF(fNotasFiscais[[#This Row],[Data da Entrega]]&gt;fNotasFiscais[[#This Row],[Data Contratada]],0,1)</f>
        <v>1</v>
      </c>
      <c r="Y2653" s="3">
        <f>IF(fNotasFiscais[[#This Row],[Ocorrência]]="",1,0)</f>
        <v>1</v>
      </c>
      <c r="Z2653" s="2">
        <f>fNotasFiscais[[#This Row],[On Time]]*fNotasFiscais[[#This Row],[In Full]]</f>
        <v>1</v>
      </c>
      <c r="AA2653">
        <f>IF(fNotasFiscais[[#This Row],[Nota Fiscal]]&lt;&gt;"",1,0)</f>
        <v>1</v>
      </c>
    </row>
    <row r="2654" spans="1:27" x14ac:dyDescent="0.25">
      <c r="A2654" s="1">
        <v>43798</v>
      </c>
      <c r="B2654">
        <v>13063</v>
      </c>
      <c r="C2654" s="2" t="s">
        <v>43</v>
      </c>
      <c r="D2654" s="2" t="s">
        <v>44</v>
      </c>
      <c r="E2654" s="2" t="s">
        <v>45</v>
      </c>
      <c r="F2654">
        <v>4045</v>
      </c>
      <c r="G2654" s="2" t="s">
        <v>124</v>
      </c>
      <c r="H2654" s="2" t="s">
        <v>35</v>
      </c>
      <c r="I2654" s="2" t="s">
        <v>36</v>
      </c>
      <c r="J2654" s="2" t="s">
        <v>60</v>
      </c>
      <c r="K2654" s="2" t="s">
        <v>36</v>
      </c>
      <c r="L2654">
        <v>1760.4</v>
      </c>
      <c r="M2654">
        <v>1</v>
      </c>
      <c r="N2654">
        <v>15.84</v>
      </c>
      <c r="O2654">
        <v>6600879</v>
      </c>
      <c r="P2654" s="2" t="s">
        <v>61</v>
      </c>
      <c r="Q2654" s="2" t="s">
        <v>35</v>
      </c>
      <c r="R2654" s="2" t="s">
        <v>30</v>
      </c>
      <c r="S2654">
        <v>6</v>
      </c>
      <c r="T2654" s="1">
        <v>43799</v>
      </c>
      <c r="U2654" s="1">
        <v>43801</v>
      </c>
      <c r="V2654" s="2"/>
      <c r="W2654" s="1">
        <f>fNotasFiscais[[#This Row],[Data da Coleta]]+fNotasFiscais[[#This Row],[Prazo Contratado]]</f>
        <v>43805</v>
      </c>
      <c r="X2654" s="3">
        <f>IF(fNotasFiscais[[#This Row],[Data da Entrega]]&gt;fNotasFiscais[[#This Row],[Data Contratada]],0,1)</f>
        <v>1</v>
      </c>
      <c r="Y2654" s="3">
        <f>IF(fNotasFiscais[[#This Row],[Ocorrência]]="",1,0)</f>
        <v>1</v>
      </c>
      <c r="Z2654" s="2">
        <f>fNotasFiscais[[#This Row],[On Time]]*fNotasFiscais[[#This Row],[In Full]]</f>
        <v>1</v>
      </c>
      <c r="AA2654">
        <f>IF(fNotasFiscais[[#This Row],[Nota Fiscal]]&lt;&gt;"",1,0)</f>
        <v>1</v>
      </c>
    </row>
    <row r="2655" spans="1:27" x14ac:dyDescent="0.25">
      <c r="A2655" s="1">
        <v>43801</v>
      </c>
      <c r="B2655">
        <v>13064</v>
      </c>
      <c r="C2655" s="2" t="s">
        <v>34</v>
      </c>
      <c r="D2655" s="2" t="s">
        <v>35</v>
      </c>
      <c r="E2655" s="2" t="s">
        <v>36</v>
      </c>
      <c r="F2655">
        <v>4161</v>
      </c>
      <c r="G2655" s="2" t="s">
        <v>244</v>
      </c>
      <c r="H2655" s="2" t="s">
        <v>167</v>
      </c>
      <c r="I2655" s="2" t="s">
        <v>168</v>
      </c>
      <c r="J2655" s="2" t="s">
        <v>169</v>
      </c>
      <c r="K2655" s="2" t="s">
        <v>168</v>
      </c>
      <c r="L2655">
        <v>11.08</v>
      </c>
      <c r="M2655">
        <v>1</v>
      </c>
      <c r="N2655">
        <v>0.02</v>
      </c>
      <c r="O2655">
        <v>6900304</v>
      </c>
      <c r="P2655" s="2" t="s">
        <v>170</v>
      </c>
      <c r="Q2655" s="2" t="s">
        <v>171</v>
      </c>
      <c r="R2655" s="2" t="s">
        <v>30</v>
      </c>
      <c r="S2655">
        <v>11</v>
      </c>
      <c r="T2655" s="1">
        <v>43802</v>
      </c>
      <c r="U2655" s="1">
        <v>43808</v>
      </c>
      <c r="V2655" s="2"/>
      <c r="W2655" s="1">
        <f>fNotasFiscais[[#This Row],[Data da Coleta]]+fNotasFiscais[[#This Row],[Prazo Contratado]]</f>
        <v>43813</v>
      </c>
      <c r="X2655" s="3">
        <f>IF(fNotasFiscais[[#This Row],[Data da Entrega]]&gt;fNotasFiscais[[#This Row],[Data Contratada]],0,1)</f>
        <v>1</v>
      </c>
      <c r="Y2655" s="3">
        <f>IF(fNotasFiscais[[#This Row],[Ocorrência]]="",1,0)</f>
        <v>1</v>
      </c>
      <c r="Z2655" s="2">
        <f>fNotasFiscais[[#This Row],[On Time]]*fNotasFiscais[[#This Row],[In Full]]</f>
        <v>1</v>
      </c>
      <c r="AA2655">
        <f>IF(fNotasFiscais[[#This Row],[Nota Fiscal]]&lt;&gt;"",1,0)</f>
        <v>1</v>
      </c>
    </row>
    <row r="2656" spans="1:27" x14ac:dyDescent="0.25">
      <c r="A2656" s="1">
        <v>43801</v>
      </c>
      <c r="B2656">
        <v>13065</v>
      </c>
      <c r="C2656" s="2" t="s">
        <v>54</v>
      </c>
      <c r="D2656" s="2" t="s">
        <v>55</v>
      </c>
      <c r="E2656" s="2" t="s">
        <v>56</v>
      </c>
      <c r="F2656">
        <v>4219</v>
      </c>
      <c r="G2656" s="2" t="s">
        <v>302</v>
      </c>
      <c r="H2656" s="2" t="s">
        <v>35</v>
      </c>
      <c r="I2656" s="2" t="s">
        <v>36</v>
      </c>
      <c r="J2656" s="2" t="s">
        <v>60</v>
      </c>
      <c r="K2656" s="2" t="s">
        <v>36</v>
      </c>
      <c r="L2656">
        <v>207.61</v>
      </c>
      <c r="M2656">
        <v>1</v>
      </c>
      <c r="N2656">
        <v>0.24199999999999999</v>
      </c>
      <c r="O2656">
        <v>6600879</v>
      </c>
      <c r="P2656" s="2" t="s">
        <v>61</v>
      </c>
      <c r="Q2656" s="2" t="s">
        <v>35</v>
      </c>
      <c r="R2656" s="2" t="s">
        <v>30</v>
      </c>
      <c r="S2656">
        <v>4</v>
      </c>
      <c r="T2656" s="1">
        <v>43802</v>
      </c>
      <c r="U2656" s="1">
        <v>43808</v>
      </c>
      <c r="V2656" s="2"/>
      <c r="W2656" s="1">
        <f>fNotasFiscais[[#This Row],[Data da Coleta]]+fNotasFiscais[[#This Row],[Prazo Contratado]]</f>
        <v>43806</v>
      </c>
      <c r="X2656" s="3">
        <f>IF(fNotasFiscais[[#This Row],[Data da Entrega]]&gt;fNotasFiscais[[#This Row],[Data Contratada]],0,1)</f>
        <v>0</v>
      </c>
      <c r="Y2656" s="3">
        <f>IF(fNotasFiscais[[#This Row],[Ocorrência]]="",1,0)</f>
        <v>1</v>
      </c>
      <c r="Z2656" s="2">
        <f>fNotasFiscais[[#This Row],[On Time]]*fNotasFiscais[[#This Row],[In Full]]</f>
        <v>0</v>
      </c>
      <c r="AA2656">
        <f>IF(fNotasFiscais[[#This Row],[Nota Fiscal]]&lt;&gt;"",1,0)</f>
        <v>1</v>
      </c>
    </row>
    <row r="2657" spans="1:27" x14ac:dyDescent="0.25">
      <c r="A2657" s="1">
        <v>43801</v>
      </c>
      <c r="B2657">
        <v>13066</v>
      </c>
      <c r="C2657" s="2" t="s">
        <v>34</v>
      </c>
      <c r="D2657" s="2" t="s">
        <v>35</v>
      </c>
      <c r="E2657" s="2" t="s">
        <v>36</v>
      </c>
      <c r="F2657">
        <v>4260</v>
      </c>
      <c r="G2657" s="2" t="s">
        <v>343</v>
      </c>
      <c r="H2657" s="2" t="s">
        <v>44</v>
      </c>
      <c r="I2657" s="2" t="s">
        <v>45</v>
      </c>
      <c r="J2657" s="2" t="s">
        <v>60</v>
      </c>
      <c r="K2657" s="2" t="s">
        <v>45</v>
      </c>
      <c r="L2657">
        <v>35.880000000000003</v>
      </c>
      <c r="M2657">
        <v>1</v>
      </c>
      <c r="N2657">
        <v>0.33</v>
      </c>
      <c r="O2657">
        <v>6140092</v>
      </c>
      <c r="P2657" s="2" t="s">
        <v>137</v>
      </c>
      <c r="Q2657" s="2" t="s">
        <v>138</v>
      </c>
      <c r="R2657" s="2" t="s">
        <v>30</v>
      </c>
      <c r="S2657">
        <v>4</v>
      </c>
      <c r="T2657" s="1">
        <v>43802</v>
      </c>
      <c r="U2657" s="1">
        <v>43808</v>
      </c>
      <c r="V2657" s="2"/>
      <c r="W2657" s="1">
        <f>fNotasFiscais[[#This Row],[Data da Coleta]]+fNotasFiscais[[#This Row],[Prazo Contratado]]</f>
        <v>43806</v>
      </c>
      <c r="X2657" s="3">
        <f>IF(fNotasFiscais[[#This Row],[Data da Entrega]]&gt;fNotasFiscais[[#This Row],[Data Contratada]],0,1)</f>
        <v>0</v>
      </c>
      <c r="Y2657" s="3">
        <f>IF(fNotasFiscais[[#This Row],[Ocorrência]]="",1,0)</f>
        <v>1</v>
      </c>
      <c r="Z2657" s="2">
        <f>fNotasFiscais[[#This Row],[On Time]]*fNotasFiscais[[#This Row],[In Full]]</f>
        <v>0</v>
      </c>
      <c r="AA2657">
        <f>IF(fNotasFiscais[[#This Row],[Nota Fiscal]]&lt;&gt;"",1,0)</f>
        <v>1</v>
      </c>
    </row>
    <row r="2658" spans="1:27" x14ac:dyDescent="0.25">
      <c r="A2658" s="1">
        <v>43802</v>
      </c>
      <c r="B2658">
        <v>13067</v>
      </c>
      <c r="C2658" s="2" t="s">
        <v>34</v>
      </c>
      <c r="D2658" s="2" t="s">
        <v>35</v>
      </c>
      <c r="E2658" s="2" t="s">
        <v>36</v>
      </c>
      <c r="F2658">
        <v>4168</v>
      </c>
      <c r="G2658" s="2" t="s">
        <v>251</v>
      </c>
      <c r="H2658" s="2" t="s">
        <v>183</v>
      </c>
      <c r="I2658" s="2" t="s">
        <v>33</v>
      </c>
      <c r="J2658" s="2" t="s">
        <v>60</v>
      </c>
      <c r="K2658" s="2" t="s">
        <v>33</v>
      </c>
      <c r="L2658">
        <v>150.59</v>
      </c>
      <c r="M2658">
        <v>1</v>
      </c>
      <c r="N2658">
        <v>0.14099999999999999</v>
      </c>
      <c r="O2658">
        <v>6400835</v>
      </c>
      <c r="P2658" s="2" t="s">
        <v>130</v>
      </c>
      <c r="Q2658" s="2" t="s">
        <v>131</v>
      </c>
      <c r="R2658" s="2" t="s">
        <v>30</v>
      </c>
      <c r="S2658">
        <v>4</v>
      </c>
      <c r="T2658" s="1">
        <v>43803</v>
      </c>
      <c r="U2658" s="1">
        <v>43805</v>
      </c>
      <c r="V2658" s="2"/>
      <c r="W2658" s="1">
        <f>fNotasFiscais[[#This Row],[Data da Coleta]]+fNotasFiscais[[#This Row],[Prazo Contratado]]</f>
        <v>43807</v>
      </c>
      <c r="X2658" s="3">
        <f>IF(fNotasFiscais[[#This Row],[Data da Entrega]]&gt;fNotasFiscais[[#This Row],[Data Contratada]],0,1)</f>
        <v>1</v>
      </c>
      <c r="Y2658" s="3">
        <f>IF(fNotasFiscais[[#This Row],[Ocorrência]]="",1,0)</f>
        <v>1</v>
      </c>
      <c r="Z2658" s="2">
        <f>fNotasFiscais[[#This Row],[On Time]]*fNotasFiscais[[#This Row],[In Full]]</f>
        <v>1</v>
      </c>
      <c r="AA2658">
        <f>IF(fNotasFiscais[[#This Row],[Nota Fiscal]]&lt;&gt;"",1,0)</f>
        <v>1</v>
      </c>
    </row>
    <row r="2659" spans="1:27" x14ac:dyDescent="0.25">
      <c r="A2659" s="1">
        <v>43802</v>
      </c>
      <c r="B2659">
        <v>13068</v>
      </c>
      <c r="C2659" s="2" t="s">
        <v>34</v>
      </c>
      <c r="D2659" s="2" t="s">
        <v>35</v>
      </c>
      <c r="E2659" s="2" t="s">
        <v>36</v>
      </c>
      <c r="F2659">
        <v>4205</v>
      </c>
      <c r="G2659" s="2" t="s">
        <v>288</v>
      </c>
      <c r="H2659" s="2" t="s">
        <v>35</v>
      </c>
      <c r="I2659" s="2" t="s">
        <v>36</v>
      </c>
      <c r="J2659" s="2" t="s">
        <v>60</v>
      </c>
      <c r="K2659" s="2" t="s">
        <v>36</v>
      </c>
      <c r="L2659">
        <v>280.43</v>
      </c>
      <c r="M2659">
        <v>1</v>
      </c>
      <c r="N2659">
        <v>0.105</v>
      </c>
      <c r="O2659">
        <v>6600879</v>
      </c>
      <c r="P2659" s="2" t="s">
        <v>61</v>
      </c>
      <c r="Q2659" s="2" t="s">
        <v>35</v>
      </c>
      <c r="R2659" s="2" t="s">
        <v>30</v>
      </c>
      <c r="S2659">
        <v>10</v>
      </c>
      <c r="T2659" s="1">
        <v>43803</v>
      </c>
      <c r="U2659" s="1">
        <v>43807</v>
      </c>
      <c r="V2659" s="2"/>
      <c r="W2659" s="1">
        <f>fNotasFiscais[[#This Row],[Data da Coleta]]+fNotasFiscais[[#This Row],[Prazo Contratado]]</f>
        <v>43813</v>
      </c>
      <c r="X2659" s="3">
        <f>IF(fNotasFiscais[[#This Row],[Data da Entrega]]&gt;fNotasFiscais[[#This Row],[Data Contratada]],0,1)</f>
        <v>1</v>
      </c>
      <c r="Y2659" s="3">
        <f>IF(fNotasFiscais[[#This Row],[Ocorrência]]="",1,0)</f>
        <v>1</v>
      </c>
      <c r="Z2659" s="2">
        <f>fNotasFiscais[[#This Row],[On Time]]*fNotasFiscais[[#This Row],[In Full]]</f>
        <v>1</v>
      </c>
      <c r="AA2659">
        <f>IF(fNotasFiscais[[#This Row],[Nota Fiscal]]&lt;&gt;"",1,0)</f>
        <v>1</v>
      </c>
    </row>
    <row r="2660" spans="1:27" x14ac:dyDescent="0.25">
      <c r="A2660" s="1">
        <v>43802</v>
      </c>
      <c r="B2660">
        <v>13069</v>
      </c>
      <c r="C2660" s="2" t="s">
        <v>34</v>
      </c>
      <c r="D2660" s="2" t="s">
        <v>35</v>
      </c>
      <c r="E2660" s="2" t="s">
        <v>36</v>
      </c>
      <c r="F2660">
        <v>4148</v>
      </c>
      <c r="G2660" s="2" t="s">
        <v>231</v>
      </c>
      <c r="H2660" s="2" t="s">
        <v>32</v>
      </c>
      <c r="I2660" s="2" t="s">
        <v>33</v>
      </c>
      <c r="J2660" s="2" t="s">
        <v>60</v>
      </c>
      <c r="K2660" s="2" t="s">
        <v>33</v>
      </c>
      <c r="L2660">
        <v>60.8</v>
      </c>
      <c r="M2660">
        <v>1</v>
      </c>
      <c r="N2660">
        <v>0.14299999999999999</v>
      </c>
      <c r="O2660">
        <v>6400835</v>
      </c>
      <c r="P2660" s="2" t="s">
        <v>130</v>
      </c>
      <c r="Q2660" s="2" t="s">
        <v>131</v>
      </c>
      <c r="R2660" s="2" t="s">
        <v>30</v>
      </c>
      <c r="S2660">
        <v>10</v>
      </c>
      <c r="T2660" s="1">
        <v>43803</v>
      </c>
      <c r="U2660" s="1">
        <v>43806</v>
      </c>
      <c r="V2660" s="2"/>
      <c r="W2660" s="1">
        <f>fNotasFiscais[[#This Row],[Data da Coleta]]+fNotasFiscais[[#This Row],[Prazo Contratado]]</f>
        <v>43813</v>
      </c>
      <c r="X2660" s="3">
        <f>IF(fNotasFiscais[[#This Row],[Data da Entrega]]&gt;fNotasFiscais[[#This Row],[Data Contratada]],0,1)</f>
        <v>1</v>
      </c>
      <c r="Y2660" s="3">
        <f>IF(fNotasFiscais[[#This Row],[Ocorrência]]="",1,0)</f>
        <v>1</v>
      </c>
      <c r="Z2660" s="2">
        <f>fNotasFiscais[[#This Row],[On Time]]*fNotasFiscais[[#This Row],[In Full]]</f>
        <v>1</v>
      </c>
      <c r="AA2660">
        <f>IF(fNotasFiscais[[#This Row],[Nota Fiscal]]&lt;&gt;"",1,0)</f>
        <v>1</v>
      </c>
    </row>
    <row r="2661" spans="1:27" x14ac:dyDescent="0.25">
      <c r="A2661" s="1">
        <v>43803</v>
      </c>
      <c r="B2661">
        <v>13070</v>
      </c>
      <c r="C2661" s="2" t="s">
        <v>54</v>
      </c>
      <c r="D2661" s="2" t="s">
        <v>55</v>
      </c>
      <c r="E2661" s="2" t="s">
        <v>56</v>
      </c>
      <c r="F2661">
        <v>4156</v>
      </c>
      <c r="G2661" s="2" t="s">
        <v>239</v>
      </c>
      <c r="H2661" s="2" t="s">
        <v>165</v>
      </c>
      <c r="I2661" s="2" t="s">
        <v>24</v>
      </c>
      <c r="J2661" s="2" t="s">
        <v>28</v>
      </c>
      <c r="K2661" s="2" t="s">
        <v>24</v>
      </c>
      <c r="L2661">
        <v>102.73</v>
      </c>
      <c r="M2661">
        <v>2</v>
      </c>
      <c r="N2661">
        <v>0.50800000000000001</v>
      </c>
      <c r="O2661">
        <v>6500948</v>
      </c>
      <c r="P2661" s="2" t="s">
        <v>29</v>
      </c>
      <c r="Q2661" s="2" t="s">
        <v>23</v>
      </c>
      <c r="R2661" s="2" t="s">
        <v>30</v>
      </c>
      <c r="S2661">
        <v>7</v>
      </c>
      <c r="T2661" s="1">
        <v>43804</v>
      </c>
      <c r="U2661" s="1">
        <v>43809</v>
      </c>
      <c r="V2661" s="2"/>
      <c r="W2661" s="1">
        <f>fNotasFiscais[[#This Row],[Data da Coleta]]+fNotasFiscais[[#This Row],[Prazo Contratado]]</f>
        <v>43811</v>
      </c>
      <c r="X2661" s="3">
        <f>IF(fNotasFiscais[[#This Row],[Data da Entrega]]&gt;fNotasFiscais[[#This Row],[Data Contratada]],0,1)</f>
        <v>1</v>
      </c>
      <c r="Y2661" s="3">
        <f>IF(fNotasFiscais[[#This Row],[Ocorrência]]="",1,0)</f>
        <v>1</v>
      </c>
      <c r="Z2661" s="2">
        <f>fNotasFiscais[[#This Row],[On Time]]*fNotasFiscais[[#This Row],[In Full]]</f>
        <v>1</v>
      </c>
      <c r="AA2661">
        <f>IF(fNotasFiscais[[#This Row],[Nota Fiscal]]&lt;&gt;"",1,0)</f>
        <v>1</v>
      </c>
    </row>
    <row r="2662" spans="1:27" x14ac:dyDescent="0.25">
      <c r="A2662" s="1">
        <v>43803</v>
      </c>
      <c r="B2662">
        <v>13071</v>
      </c>
      <c r="C2662" s="2" t="s">
        <v>40</v>
      </c>
      <c r="D2662" s="2" t="s">
        <v>41</v>
      </c>
      <c r="E2662" s="2" t="s">
        <v>33</v>
      </c>
      <c r="F2662">
        <v>4267</v>
      </c>
      <c r="G2662" s="2" t="s">
        <v>350</v>
      </c>
      <c r="H2662" s="2" t="s">
        <v>35</v>
      </c>
      <c r="I2662" s="2" t="s">
        <v>36</v>
      </c>
      <c r="J2662" s="2" t="s">
        <v>60</v>
      </c>
      <c r="K2662" s="2" t="s">
        <v>36</v>
      </c>
      <c r="L2662">
        <v>924.36</v>
      </c>
      <c r="M2662">
        <v>1</v>
      </c>
      <c r="N2662">
        <v>0.14399999999999999</v>
      </c>
      <c r="O2662">
        <v>6600879</v>
      </c>
      <c r="P2662" s="2" t="s">
        <v>61</v>
      </c>
      <c r="Q2662" s="2" t="s">
        <v>35</v>
      </c>
      <c r="R2662" s="2" t="s">
        <v>30</v>
      </c>
      <c r="S2662">
        <v>1</v>
      </c>
      <c r="T2662" s="1">
        <v>43804</v>
      </c>
      <c r="U2662" s="1">
        <v>43808</v>
      </c>
      <c r="V2662" s="2"/>
      <c r="W2662" s="1">
        <f>fNotasFiscais[[#This Row],[Data da Coleta]]+fNotasFiscais[[#This Row],[Prazo Contratado]]</f>
        <v>43805</v>
      </c>
      <c r="X2662" s="3">
        <f>IF(fNotasFiscais[[#This Row],[Data da Entrega]]&gt;fNotasFiscais[[#This Row],[Data Contratada]],0,1)</f>
        <v>0</v>
      </c>
      <c r="Y2662" s="3">
        <f>IF(fNotasFiscais[[#This Row],[Ocorrência]]="",1,0)</f>
        <v>1</v>
      </c>
      <c r="Z2662" s="2">
        <f>fNotasFiscais[[#This Row],[On Time]]*fNotasFiscais[[#This Row],[In Full]]</f>
        <v>0</v>
      </c>
      <c r="AA2662">
        <f>IF(fNotasFiscais[[#This Row],[Nota Fiscal]]&lt;&gt;"",1,0)</f>
        <v>1</v>
      </c>
    </row>
    <row r="2663" spans="1:27" x14ac:dyDescent="0.25">
      <c r="A2663" s="1">
        <v>43803</v>
      </c>
      <c r="B2663">
        <v>13072</v>
      </c>
      <c r="C2663" s="2" t="s">
        <v>31</v>
      </c>
      <c r="D2663" s="2" t="s">
        <v>32</v>
      </c>
      <c r="E2663" s="2" t="s">
        <v>33</v>
      </c>
      <c r="F2663">
        <v>4230</v>
      </c>
      <c r="G2663" s="2" t="s">
        <v>313</v>
      </c>
      <c r="H2663" s="2" t="s">
        <v>35</v>
      </c>
      <c r="I2663" s="2" t="s">
        <v>36</v>
      </c>
      <c r="J2663" s="2" t="s">
        <v>60</v>
      </c>
      <c r="K2663" s="2" t="s">
        <v>36</v>
      </c>
      <c r="L2663">
        <v>214.01</v>
      </c>
      <c r="M2663">
        <v>1</v>
      </c>
      <c r="N2663">
        <v>1.137</v>
      </c>
      <c r="O2663">
        <v>6600879</v>
      </c>
      <c r="P2663" s="2" t="s">
        <v>61</v>
      </c>
      <c r="Q2663" s="2" t="s">
        <v>35</v>
      </c>
      <c r="R2663" s="2" t="s">
        <v>30</v>
      </c>
      <c r="S2663">
        <v>1</v>
      </c>
      <c r="T2663" s="1">
        <v>43804</v>
      </c>
      <c r="U2663" s="1">
        <v>43811</v>
      </c>
      <c r="V2663" s="2"/>
      <c r="W2663" s="1">
        <f>fNotasFiscais[[#This Row],[Data da Coleta]]+fNotasFiscais[[#This Row],[Prazo Contratado]]</f>
        <v>43805</v>
      </c>
      <c r="X2663" s="3">
        <f>IF(fNotasFiscais[[#This Row],[Data da Entrega]]&gt;fNotasFiscais[[#This Row],[Data Contratada]],0,1)</f>
        <v>0</v>
      </c>
      <c r="Y2663" s="3">
        <f>IF(fNotasFiscais[[#This Row],[Ocorrência]]="",1,0)</f>
        <v>1</v>
      </c>
      <c r="Z2663" s="2">
        <f>fNotasFiscais[[#This Row],[On Time]]*fNotasFiscais[[#This Row],[In Full]]</f>
        <v>0</v>
      </c>
      <c r="AA2663">
        <f>IF(fNotasFiscais[[#This Row],[Nota Fiscal]]&lt;&gt;"",1,0)</f>
        <v>1</v>
      </c>
    </row>
    <row r="2664" spans="1:27" x14ac:dyDescent="0.25">
      <c r="A2664" s="1">
        <v>43805</v>
      </c>
      <c r="B2664">
        <v>13073</v>
      </c>
      <c r="C2664" s="2" t="s">
        <v>22</v>
      </c>
      <c r="D2664" s="2" t="s">
        <v>23</v>
      </c>
      <c r="E2664" s="2" t="s">
        <v>24</v>
      </c>
      <c r="F2664">
        <v>4155</v>
      </c>
      <c r="G2664" s="2" t="s">
        <v>238</v>
      </c>
      <c r="H2664" s="2" t="s">
        <v>32</v>
      </c>
      <c r="I2664" s="2" t="s">
        <v>33</v>
      </c>
      <c r="J2664" s="2" t="s">
        <v>60</v>
      </c>
      <c r="K2664" s="2" t="s">
        <v>33</v>
      </c>
      <c r="L2664">
        <v>151.31</v>
      </c>
      <c r="M2664">
        <v>1</v>
      </c>
      <c r="N2664">
        <v>0.51700000000000002</v>
      </c>
      <c r="O2664">
        <v>6400835</v>
      </c>
      <c r="P2664" s="2" t="s">
        <v>130</v>
      </c>
      <c r="Q2664" s="2" t="s">
        <v>131</v>
      </c>
      <c r="R2664" s="2" t="s">
        <v>30</v>
      </c>
      <c r="S2664">
        <v>2</v>
      </c>
      <c r="T2664" s="1">
        <v>43806</v>
      </c>
      <c r="U2664" s="1">
        <v>43808</v>
      </c>
      <c r="V2664" s="2"/>
      <c r="W2664" s="1">
        <f>fNotasFiscais[[#This Row],[Data da Coleta]]+fNotasFiscais[[#This Row],[Prazo Contratado]]</f>
        <v>43808</v>
      </c>
      <c r="X2664" s="3">
        <f>IF(fNotasFiscais[[#This Row],[Data da Entrega]]&gt;fNotasFiscais[[#This Row],[Data Contratada]],0,1)</f>
        <v>1</v>
      </c>
      <c r="Y2664" s="3">
        <f>IF(fNotasFiscais[[#This Row],[Ocorrência]]="",1,0)</f>
        <v>1</v>
      </c>
      <c r="Z2664" s="2">
        <f>fNotasFiscais[[#This Row],[On Time]]*fNotasFiscais[[#This Row],[In Full]]</f>
        <v>1</v>
      </c>
      <c r="AA2664">
        <f>IF(fNotasFiscais[[#This Row],[Nota Fiscal]]&lt;&gt;"",1,0)</f>
        <v>1</v>
      </c>
    </row>
    <row r="2665" spans="1:27" x14ac:dyDescent="0.25">
      <c r="A2665" s="1">
        <v>43805</v>
      </c>
      <c r="B2665">
        <v>13074</v>
      </c>
      <c r="C2665" s="2" t="s">
        <v>31</v>
      </c>
      <c r="D2665" s="2" t="s">
        <v>32</v>
      </c>
      <c r="E2665" s="2" t="s">
        <v>33</v>
      </c>
      <c r="F2665">
        <v>4218</v>
      </c>
      <c r="G2665" s="2" t="s">
        <v>301</v>
      </c>
      <c r="H2665" s="2" t="s">
        <v>183</v>
      </c>
      <c r="I2665" s="2" t="s">
        <v>33</v>
      </c>
      <c r="J2665" s="2" t="s">
        <v>60</v>
      </c>
      <c r="K2665" s="2" t="s">
        <v>33</v>
      </c>
      <c r="L2665">
        <v>151.31</v>
      </c>
      <c r="M2665">
        <v>1</v>
      </c>
      <c r="N2665">
        <v>0.42799999999999999</v>
      </c>
      <c r="O2665">
        <v>6400835</v>
      </c>
      <c r="P2665" s="2" t="s">
        <v>130</v>
      </c>
      <c r="Q2665" s="2" t="s">
        <v>131</v>
      </c>
      <c r="R2665" s="2" t="s">
        <v>30</v>
      </c>
      <c r="S2665">
        <v>2</v>
      </c>
      <c r="T2665" s="1">
        <v>43806</v>
      </c>
      <c r="U2665" s="1">
        <v>43816</v>
      </c>
      <c r="V2665" s="2"/>
      <c r="W2665" s="1">
        <f>fNotasFiscais[[#This Row],[Data da Coleta]]+fNotasFiscais[[#This Row],[Prazo Contratado]]</f>
        <v>43808</v>
      </c>
      <c r="X2665" s="3">
        <f>IF(fNotasFiscais[[#This Row],[Data da Entrega]]&gt;fNotasFiscais[[#This Row],[Data Contratada]],0,1)</f>
        <v>0</v>
      </c>
      <c r="Y2665" s="3">
        <f>IF(fNotasFiscais[[#This Row],[Ocorrência]]="",1,0)</f>
        <v>1</v>
      </c>
      <c r="Z2665" s="2">
        <f>fNotasFiscais[[#This Row],[On Time]]*fNotasFiscais[[#This Row],[In Full]]</f>
        <v>0</v>
      </c>
      <c r="AA2665">
        <f>IF(fNotasFiscais[[#This Row],[Nota Fiscal]]&lt;&gt;"",1,0)</f>
        <v>1</v>
      </c>
    </row>
    <row r="2666" spans="1:27" x14ac:dyDescent="0.25">
      <c r="A2666" s="1">
        <v>43805</v>
      </c>
      <c r="B2666">
        <v>13075</v>
      </c>
      <c r="C2666" s="2" t="s">
        <v>31</v>
      </c>
      <c r="D2666" s="2" t="s">
        <v>32</v>
      </c>
      <c r="E2666" s="2" t="s">
        <v>33</v>
      </c>
      <c r="F2666">
        <v>4165</v>
      </c>
      <c r="G2666" s="2" t="s">
        <v>248</v>
      </c>
      <c r="H2666" s="2" t="s">
        <v>167</v>
      </c>
      <c r="I2666" s="2" t="s">
        <v>168</v>
      </c>
      <c r="J2666" s="2" t="s">
        <v>169</v>
      </c>
      <c r="K2666" s="2" t="s">
        <v>168</v>
      </c>
      <c r="L2666">
        <v>2146.71</v>
      </c>
      <c r="M2666">
        <v>8</v>
      </c>
      <c r="N2666">
        <v>11.593999999999999</v>
      </c>
      <c r="O2666">
        <v>6900304</v>
      </c>
      <c r="P2666" s="2" t="s">
        <v>170</v>
      </c>
      <c r="Q2666" s="2" t="s">
        <v>171</v>
      </c>
      <c r="R2666" s="2" t="s">
        <v>30</v>
      </c>
      <c r="S2666">
        <v>12</v>
      </c>
      <c r="T2666" s="1">
        <v>43806</v>
      </c>
      <c r="U2666" s="1">
        <v>43811</v>
      </c>
      <c r="V2666" s="2" t="s">
        <v>57</v>
      </c>
      <c r="W2666" s="1">
        <f>fNotasFiscais[[#This Row],[Data da Coleta]]+fNotasFiscais[[#This Row],[Prazo Contratado]]</f>
        <v>43818</v>
      </c>
      <c r="X2666" s="3">
        <f>IF(fNotasFiscais[[#This Row],[Data da Entrega]]&gt;fNotasFiscais[[#This Row],[Data Contratada]],0,1)</f>
        <v>1</v>
      </c>
      <c r="Y2666" s="3">
        <f>IF(fNotasFiscais[[#This Row],[Ocorrência]]="",1,0)</f>
        <v>0</v>
      </c>
      <c r="Z2666" s="2">
        <f>fNotasFiscais[[#This Row],[On Time]]*fNotasFiscais[[#This Row],[In Full]]</f>
        <v>0</v>
      </c>
      <c r="AA2666">
        <f>IF(fNotasFiscais[[#This Row],[Nota Fiscal]]&lt;&gt;"",1,0)</f>
        <v>1</v>
      </c>
    </row>
    <row r="2667" spans="1:27" x14ac:dyDescent="0.25">
      <c r="A2667" s="1">
        <v>43805</v>
      </c>
      <c r="B2667">
        <v>13076</v>
      </c>
      <c r="C2667" s="2" t="s">
        <v>34</v>
      </c>
      <c r="D2667" s="2" t="s">
        <v>35</v>
      </c>
      <c r="E2667" s="2" t="s">
        <v>36</v>
      </c>
      <c r="F2667">
        <v>4096</v>
      </c>
      <c r="G2667" s="2" t="s">
        <v>178</v>
      </c>
      <c r="H2667" s="2" t="s">
        <v>44</v>
      </c>
      <c r="I2667" s="2" t="s">
        <v>45</v>
      </c>
      <c r="J2667" s="2" t="s">
        <v>60</v>
      </c>
      <c r="K2667" s="2" t="s">
        <v>45</v>
      </c>
      <c r="L2667">
        <v>1053.03</v>
      </c>
      <c r="M2667">
        <v>2</v>
      </c>
      <c r="N2667">
        <v>3.4740000000000002</v>
      </c>
      <c r="O2667">
        <v>6140092</v>
      </c>
      <c r="P2667" s="2" t="s">
        <v>137</v>
      </c>
      <c r="Q2667" s="2" t="s">
        <v>138</v>
      </c>
      <c r="R2667" s="2" t="s">
        <v>30</v>
      </c>
      <c r="S2667">
        <v>12</v>
      </c>
      <c r="T2667" s="1">
        <v>43806</v>
      </c>
      <c r="U2667" s="1">
        <v>43813</v>
      </c>
      <c r="V2667" s="2"/>
      <c r="W2667" s="1">
        <f>fNotasFiscais[[#This Row],[Data da Coleta]]+fNotasFiscais[[#This Row],[Prazo Contratado]]</f>
        <v>43818</v>
      </c>
      <c r="X2667" s="3">
        <f>IF(fNotasFiscais[[#This Row],[Data da Entrega]]&gt;fNotasFiscais[[#This Row],[Data Contratada]],0,1)</f>
        <v>1</v>
      </c>
      <c r="Y2667" s="3">
        <f>IF(fNotasFiscais[[#This Row],[Ocorrência]]="",1,0)</f>
        <v>1</v>
      </c>
      <c r="Z2667" s="2">
        <f>fNotasFiscais[[#This Row],[On Time]]*fNotasFiscais[[#This Row],[In Full]]</f>
        <v>1</v>
      </c>
      <c r="AA2667">
        <f>IF(fNotasFiscais[[#This Row],[Nota Fiscal]]&lt;&gt;"",1,0)</f>
        <v>1</v>
      </c>
    </row>
    <row r="2668" spans="1:27" x14ac:dyDescent="0.25">
      <c r="A2668" s="1">
        <v>43805</v>
      </c>
      <c r="B2668">
        <v>13077</v>
      </c>
      <c r="C2668" s="2" t="s">
        <v>31</v>
      </c>
      <c r="D2668" s="2" t="s">
        <v>32</v>
      </c>
      <c r="E2668" s="2" t="s">
        <v>33</v>
      </c>
      <c r="F2668">
        <v>4132</v>
      </c>
      <c r="G2668" s="2" t="s">
        <v>215</v>
      </c>
      <c r="H2668" s="2" t="s">
        <v>183</v>
      </c>
      <c r="I2668" s="2" t="s">
        <v>33</v>
      </c>
      <c r="J2668" s="2" t="s">
        <v>60</v>
      </c>
      <c r="K2668" s="2" t="s">
        <v>33</v>
      </c>
      <c r="L2668">
        <v>187.28</v>
      </c>
      <c r="M2668">
        <v>11</v>
      </c>
      <c r="N2668">
        <v>35.841999999999999</v>
      </c>
      <c r="O2668">
        <v>6400835</v>
      </c>
      <c r="P2668" s="2" t="s">
        <v>130</v>
      </c>
      <c r="Q2668" s="2" t="s">
        <v>131</v>
      </c>
      <c r="R2668" s="2" t="s">
        <v>30</v>
      </c>
      <c r="S2668">
        <v>5</v>
      </c>
      <c r="T2668" s="1">
        <v>43806</v>
      </c>
      <c r="U2668" s="1">
        <v>43810</v>
      </c>
      <c r="V2668" s="2"/>
      <c r="W2668" s="1">
        <f>fNotasFiscais[[#This Row],[Data da Coleta]]+fNotasFiscais[[#This Row],[Prazo Contratado]]</f>
        <v>43811</v>
      </c>
      <c r="X2668" s="3">
        <f>IF(fNotasFiscais[[#This Row],[Data da Entrega]]&gt;fNotasFiscais[[#This Row],[Data Contratada]],0,1)</f>
        <v>1</v>
      </c>
      <c r="Y2668" s="3">
        <f>IF(fNotasFiscais[[#This Row],[Ocorrência]]="",1,0)</f>
        <v>1</v>
      </c>
      <c r="Z2668" s="2">
        <f>fNotasFiscais[[#This Row],[On Time]]*fNotasFiscais[[#This Row],[In Full]]</f>
        <v>1</v>
      </c>
      <c r="AA2668">
        <f>IF(fNotasFiscais[[#This Row],[Nota Fiscal]]&lt;&gt;"",1,0)</f>
        <v>1</v>
      </c>
    </row>
    <row r="2669" spans="1:27" x14ac:dyDescent="0.25">
      <c r="A2669" s="1">
        <v>43805</v>
      </c>
      <c r="B2669">
        <v>13078</v>
      </c>
      <c r="C2669" s="2" t="s">
        <v>54</v>
      </c>
      <c r="D2669" s="2" t="s">
        <v>55</v>
      </c>
      <c r="E2669" s="2" t="s">
        <v>56</v>
      </c>
      <c r="F2669">
        <v>4133</v>
      </c>
      <c r="G2669" s="2" t="s">
        <v>216</v>
      </c>
      <c r="H2669" s="2" t="s">
        <v>35</v>
      </c>
      <c r="I2669" s="2" t="s">
        <v>36</v>
      </c>
      <c r="J2669" s="2" t="s">
        <v>60</v>
      </c>
      <c r="K2669" s="2" t="s">
        <v>36</v>
      </c>
      <c r="L2669">
        <v>4700.83</v>
      </c>
      <c r="M2669">
        <v>1</v>
      </c>
      <c r="N2669">
        <v>1.1200000000000001</v>
      </c>
      <c r="O2669">
        <v>6600879</v>
      </c>
      <c r="P2669" s="2" t="s">
        <v>61</v>
      </c>
      <c r="Q2669" s="2" t="s">
        <v>35</v>
      </c>
      <c r="R2669" s="2" t="s">
        <v>30</v>
      </c>
      <c r="S2669">
        <v>5</v>
      </c>
      <c r="T2669" s="1">
        <v>43806</v>
      </c>
      <c r="U2669" s="1">
        <v>43815</v>
      </c>
      <c r="V2669" s="2"/>
      <c r="W2669" s="1">
        <f>fNotasFiscais[[#This Row],[Data da Coleta]]+fNotasFiscais[[#This Row],[Prazo Contratado]]</f>
        <v>43811</v>
      </c>
      <c r="X2669" s="3">
        <f>IF(fNotasFiscais[[#This Row],[Data da Entrega]]&gt;fNotasFiscais[[#This Row],[Data Contratada]],0,1)</f>
        <v>0</v>
      </c>
      <c r="Y2669" s="3">
        <f>IF(fNotasFiscais[[#This Row],[Ocorrência]]="",1,0)</f>
        <v>1</v>
      </c>
      <c r="Z2669" s="2">
        <f>fNotasFiscais[[#This Row],[On Time]]*fNotasFiscais[[#This Row],[In Full]]</f>
        <v>0</v>
      </c>
      <c r="AA2669">
        <f>IF(fNotasFiscais[[#This Row],[Nota Fiscal]]&lt;&gt;"",1,0)</f>
        <v>1</v>
      </c>
    </row>
    <row r="2670" spans="1:27" x14ac:dyDescent="0.25">
      <c r="A2670" s="1">
        <v>43805</v>
      </c>
      <c r="B2670">
        <v>13079</v>
      </c>
      <c r="C2670" s="2" t="s">
        <v>34</v>
      </c>
      <c r="D2670" s="2" t="s">
        <v>35</v>
      </c>
      <c r="E2670" s="2" t="s">
        <v>36</v>
      </c>
      <c r="F2670">
        <v>4159</v>
      </c>
      <c r="G2670" s="2" t="s">
        <v>242</v>
      </c>
      <c r="H2670" s="2" t="s">
        <v>173</v>
      </c>
      <c r="I2670" s="2" t="s">
        <v>174</v>
      </c>
      <c r="J2670" s="2" t="s">
        <v>175</v>
      </c>
      <c r="K2670" s="2" t="s">
        <v>174</v>
      </c>
      <c r="L2670">
        <v>275.98</v>
      </c>
      <c r="M2670">
        <v>1</v>
      </c>
      <c r="N2670">
        <v>0.16200000000000001</v>
      </c>
      <c r="O2670">
        <v>6700091</v>
      </c>
      <c r="P2670" s="2" t="s">
        <v>176</v>
      </c>
      <c r="Q2670" s="2" t="s">
        <v>173</v>
      </c>
      <c r="R2670" s="2" t="s">
        <v>30</v>
      </c>
      <c r="S2670">
        <v>7</v>
      </c>
      <c r="T2670" s="1">
        <v>43806</v>
      </c>
      <c r="U2670" s="1">
        <v>43810</v>
      </c>
      <c r="V2670" s="2"/>
      <c r="W2670" s="1">
        <f>fNotasFiscais[[#This Row],[Data da Coleta]]+fNotasFiscais[[#This Row],[Prazo Contratado]]</f>
        <v>43813</v>
      </c>
      <c r="X2670" s="3">
        <f>IF(fNotasFiscais[[#This Row],[Data da Entrega]]&gt;fNotasFiscais[[#This Row],[Data Contratada]],0,1)</f>
        <v>1</v>
      </c>
      <c r="Y2670" s="3">
        <f>IF(fNotasFiscais[[#This Row],[Ocorrência]]="",1,0)</f>
        <v>1</v>
      </c>
      <c r="Z2670" s="2">
        <f>fNotasFiscais[[#This Row],[On Time]]*fNotasFiscais[[#This Row],[In Full]]</f>
        <v>1</v>
      </c>
      <c r="AA2670">
        <f>IF(fNotasFiscais[[#This Row],[Nota Fiscal]]&lt;&gt;"",1,0)</f>
        <v>1</v>
      </c>
    </row>
    <row r="2671" spans="1:27" x14ac:dyDescent="0.25">
      <c r="A2671" s="1">
        <v>43805</v>
      </c>
      <c r="B2671">
        <v>13080</v>
      </c>
      <c r="C2671" s="2" t="s">
        <v>54</v>
      </c>
      <c r="D2671" s="2" t="s">
        <v>55</v>
      </c>
      <c r="E2671" s="2" t="s">
        <v>56</v>
      </c>
      <c r="F2671">
        <v>4267</v>
      </c>
      <c r="G2671" s="2" t="s">
        <v>350</v>
      </c>
      <c r="H2671" s="2" t="s">
        <v>35</v>
      </c>
      <c r="I2671" s="2" t="s">
        <v>36</v>
      </c>
      <c r="J2671" s="2" t="s">
        <v>60</v>
      </c>
      <c r="K2671" s="2" t="s">
        <v>36</v>
      </c>
      <c r="L2671">
        <v>121.2</v>
      </c>
      <c r="M2671">
        <v>1</v>
      </c>
      <c r="N2671">
        <v>1.01</v>
      </c>
      <c r="O2671">
        <v>6600879</v>
      </c>
      <c r="P2671" s="2" t="s">
        <v>61</v>
      </c>
      <c r="Q2671" s="2" t="s">
        <v>35</v>
      </c>
      <c r="R2671" s="2" t="s">
        <v>30</v>
      </c>
      <c r="S2671">
        <v>11</v>
      </c>
      <c r="T2671" s="1">
        <v>43806</v>
      </c>
      <c r="U2671" s="1">
        <v>43808</v>
      </c>
      <c r="V2671" s="2"/>
      <c r="W2671" s="1">
        <f>fNotasFiscais[[#This Row],[Data da Coleta]]+fNotasFiscais[[#This Row],[Prazo Contratado]]</f>
        <v>43817</v>
      </c>
      <c r="X2671" s="3">
        <f>IF(fNotasFiscais[[#This Row],[Data da Entrega]]&gt;fNotasFiscais[[#This Row],[Data Contratada]],0,1)</f>
        <v>1</v>
      </c>
      <c r="Y2671" s="3">
        <f>IF(fNotasFiscais[[#This Row],[Ocorrência]]="",1,0)</f>
        <v>1</v>
      </c>
      <c r="Z2671" s="2">
        <f>fNotasFiscais[[#This Row],[On Time]]*fNotasFiscais[[#This Row],[In Full]]</f>
        <v>1</v>
      </c>
      <c r="AA2671">
        <f>IF(fNotasFiscais[[#This Row],[Nota Fiscal]]&lt;&gt;"",1,0)</f>
        <v>1</v>
      </c>
    </row>
    <row r="2672" spans="1:27" x14ac:dyDescent="0.25">
      <c r="A2672" s="1">
        <v>43806</v>
      </c>
      <c r="B2672">
        <v>13081</v>
      </c>
      <c r="C2672" s="2" t="s">
        <v>52</v>
      </c>
      <c r="D2672" s="2" t="s">
        <v>53</v>
      </c>
      <c r="E2672" s="2" t="s">
        <v>33</v>
      </c>
      <c r="F2672">
        <v>4233</v>
      </c>
      <c r="G2672" s="2" t="s">
        <v>316</v>
      </c>
      <c r="H2672" s="2" t="s">
        <v>35</v>
      </c>
      <c r="I2672" s="2" t="s">
        <v>36</v>
      </c>
      <c r="J2672" s="2" t="s">
        <v>60</v>
      </c>
      <c r="K2672" s="2" t="s">
        <v>36</v>
      </c>
      <c r="L2672">
        <v>189.06</v>
      </c>
      <c r="M2672">
        <v>1</v>
      </c>
      <c r="N2672">
        <v>1.6830000000000001</v>
      </c>
      <c r="O2672">
        <v>6600879</v>
      </c>
      <c r="P2672" s="2" t="s">
        <v>61</v>
      </c>
      <c r="Q2672" s="2" t="s">
        <v>35</v>
      </c>
      <c r="R2672" s="2" t="s">
        <v>30</v>
      </c>
      <c r="S2672">
        <v>2</v>
      </c>
      <c r="T2672" s="1">
        <v>43807</v>
      </c>
      <c r="U2672" s="1">
        <v>43815</v>
      </c>
      <c r="V2672" s="2"/>
      <c r="W2672" s="1">
        <f>fNotasFiscais[[#This Row],[Data da Coleta]]+fNotasFiscais[[#This Row],[Prazo Contratado]]</f>
        <v>43809</v>
      </c>
      <c r="X2672" s="3">
        <f>IF(fNotasFiscais[[#This Row],[Data da Entrega]]&gt;fNotasFiscais[[#This Row],[Data Contratada]],0,1)</f>
        <v>0</v>
      </c>
      <c r="Y2672" s="3">
        <f>IF(fNotasFiscais[[#This Row],[Ocorrência]]="",1,0)</f>
        <v>1</v>
      </c>
      <c r="Z2672" s="2">
        <f>fNotasFiscais[[#This Row],[On Time]]*fNotasFiscais[[#This Row],[In Full]]</f>
        <v>0</v>
      </c>
      <c r="AA2672">
        <f>IF(fNotasFiscais[[#This Row],[Nota Fiscal]]&lt;&gt;"",1,0)</f>
        <v>1</v>
      </c>
    </row>
    <row r="2673" spans="1:27" x14ac:dyDescent="0.25">
      <c r="A2673" s="1">
        <v>43808</v>
      </c>
      <c r="B2673">
        <v>13082</v>
      </c>
      <c r="C2673" s="2" t="s">
        <v>43</v>
      </c>
      <c r="D2673" s="2" t="s">
        <v>44</v>
      </c>
      <c r="E2673" s="2" t="s">
        <v>45</v>
      </c>
      <c r="F2673">
        <v>4147</v>
      </c>
      <c r="G2673" s="2" t="s">
        <v>230</v>
      </c>
      <c r="H2673" s="2" t="s">
        <v>35</v>
      </c>
      <c r="I2673" s="2" t="s">
        <v>36</v>
      </c>
      <c r="J2673" s="2" t="s">
        <v>60</v>
      </c>
      <c r="K2673" s="2" t="s">
        <v>36</v>
      </c>
      <c r="L2673">
        <v>82.86</v>
      </c>
      <c r="M2673">
        <v>1</v>
      </c>
      <c r="N2673">
        <v>5.5E-2</v>
      </c>
      <c r="O2673">
        <v>6600879</v>
      </c>
      <c r="P2673" s="2" t="s">
        <v>61</v>
      </c>
      <c r="Q2673" s="2" t="s">
        <v>35</v>
      </c>
      <c r="R2673" s="2" t="s">
        <v>30</v>
      </c>
      <c r="S2673">
        <v>5</v>
      </c>
      <c r="T2673" s="1">
        <v>43809</v>
      </c>
      <c r="U2673" s="1">
        <v>43812</v>
      </c>
      <c r="V2673" s="2"/>
      <c r="W2673" s="1">
        <f>fNotasFiscais[[#This Row],[Data da Coleta]]+fNotasFiscais[[#This Row],[Prazo Contratado]]</f>
        <v>43814</v>
      </c>
      <c r="X2673" s="3">
        <f>IF(fNotasFiscais[[#This Row],[Data da Entrega]]&gt;fNotasFiscais[[#This Row],[Data Contratada]],0,1)</f>
        <v>1</v>
      </c>
      <c r="Y2673" s="3">
        <f>IF(fNotasFiscais[[#This Row],[Ocorrência]]="",1,0)</f>
        <v>1</v>
      </c>
      <c r="Z2673" s="2">
        <f>fNotasFiscais[[#This Row],[On Time]]*fNotasFiscais[[#This Row],[In Full]]</f>
        <v>1</v>
      </c>
      <c r="AA2673">
        <f>IF(fNotasFiscais[[#This Row],[Nota Fiscal]]&lt;&gt;"",1,0)</f>
        <v>1</v>
      </c>
    </row>
    <row r="2674" spans="1:27" x14ac:dyDescent="0.25">
      <c r="A2674" s="1">
        <v>43808</v>
      </c>
      <c r="B2674">
        <v>13083</v>
      </c>
      <c r="C2674" s="2" t="s">
        <v>22</v>
      </c>
      <c r="D2674" s="2" t="s">
        <v>23</v>
      </c>
      <c r="E2674" s="2" t="s">
        <v>24</v>
      </c>
      <c r="F2674">
        <v>4173</v>
      </c>
      <c r="G2674" s="2" t="s">
        <v>256</v>
      </c>
      <c r="H2674" s="2" t="s">
        <v>35</v>
      </c>
      <c r="I2674" s="2" t="s">
        <v>36</v>
      </c>
      <c r="J2674" s="2" t="s">
        <v>60</v>
      </c>
      <c r="K2674" s="2" t="s">
        <v>36</v>
      </c>
      <c r="L2674">
        <v>100.83</v>
      </c>
      <c r="M2674">
        <v>1</v>
      </c>
      <c r="N2674">
        <v>0.89800000000000002</v>
      </c>
      <c r="O2674">
        <v>6600879</v>
      </c>
      <c r="P2674" s="2" t="s">
        <v>61</v>
      </c>
      <c r="Q2674" s="2" t="s">
        <v>35</v>
      </c>
      <c r="R2674" s="2" t="s">
        <v>30</v>
      </c>
      <c r="S2674">
        <v>3</v>
      </c>
      <c r="T2674" s="1">
        <v>43809</v>
      </c>
      <c r="U2674" s="1">
        <v>43814</v>
      </c>
      <c r="V2674" s="2"/>
      <c r="W2674" s="1">
        <f>fNotasFiscais[[#This Row],[Data da Coleta]]+fNotasFiscais[[#This Row],[Prazo Contratado]]</f>
        <v>43812</v>
      </c>
      <c r="X2674" s="3">
        <f>IF(fNotasFiscais[[#This Row],[Data da Entrega]]&gt;fNotasFiscais[[#This Row],[Data Contratada]],0,1)</f>
        <v>0</v>
      </c>
      <c r="Y2674" s="3">
        <f>IF(fNotasFiscais[[#This Row],[Ocorrência]]="",1,0)</f>
        <v>1</v>
      </c>
      <c r="Z2674" s="2">
        <f>fNotasFiscais[[#This Row],[On Time]]*fNotasFiscais[[#This Row],[In Full]]</f>
        <v>0</v>
      </c>
      <c r="AA2674">
        <f>IF(fNotasFiscais[[#This Row],[Nota Fiscal]]&lt;&gt;"",1,0)</f>
        <v>1</v>
      </c>
    </row>
    <row r="2675" spans="1:27" x14ac:dyDescent="0.25">
      <c r="A2675" s="1">
        <v>43808</v>
      </c>
      <c r="B2675">
        <v>13084</v>
      </c>
      <c r="C2675" s="2" t="s">
        <v>52</v>
      </c>
      <c r="D2675" s="2" t="s">
        <v>53</v>
      </c>
      <c r="E2675" s="2" t="s">
        <v>33</v>
      </c>
      <c r="F2675">
        <v>4193</v>
      </c>
      <c r="G2675" s="2" t="s">
        <v>276</v>
      </c>
      <c r="H2675" s="2" t="s">
        <v>32</v>
      </c>
      <c r="I2675" s="2" t="s">
        <v>33</v>
      </c>
      <c r="J2675" s="2" t="s">
        <v>60</v>
      </c>
      <c r="K2675" s="2" t="s">
        <v>33</v>
      </c>
      <c r="L2675">
        <v>41.55</v>
      </c>
      <c r="M2675">
        <v>1</v>
      </c>
      <c r="N2675">
        <v>6.0000000000000001E-3</v>
      </c>
      <c r="O2675">
        <v>6400835</v>
      </c>
      <c r="P2675" s="2" t="s">
        <v>130</v>
      </c>
      <c r="Q2675" s="2" t="s">
        <v>131</v>
      </c>
      <c r="R2675" s="2" t="s">
        <v>30</v>
      </c>
      <c r="S2675">
        <v>4</v>
      </c>
      <c r="T2675" s="1">
        <v>43809</v>
      </c>
      <c r="U2675" s="1">
        <v>43816</v>
      </c>
      <c r="V2675" s="2"/>
      <c r="W2675" s="1">
        <f>fNotasFiscais[[#This Row],[Data da Coleta]]+fNotasFiscais[[#This Row],[Prazo Contratado]]</f>
        <v>43813</v>
      </c>
      <c r="X2675" s="3">
        <f>IF(fNotasFiscais[[#This Row],[Data da Entrega]]&gt;fNotasFiscais[[#This Row],[Data Contratada]],0,1)</f>
        <v>0</v>
      </c>
      <c r="Y2675" s="3">
        <f>IF(fNotasFiscais[[#This Row],[Ocorrência]]="",1,0)</f>
        <v>1</v>
      </c>
      <c r="Z2675" s="2">
        <f>fNotasFiscais[[#This Row],[On Time]]*fNotasFiscais[[#This Row],[In Full]]</f>
        <v>0</v>
      </c>
      <c r="AA2675">
        <f>IF(fNotasFiscais[[#This Row],[Nota Fiscal]]&lt;&gt;"",1,0)</f>
        <v>1</v>
      </c>
    </row>
    <row r="2676" spans="1:27" x14ac:dyDescent="0.25">
      <c r="A2676" s="1">
        <v>43808</v>
      </c>
      <c r="B2676">
        <v>13085</v>
      </c>
      <c r="C2676" s="2" t="s">
        <v>22</v>
      </c>
      <c r="D2676" s="2" t="s">
        <v>23</v>
      </c>
      <c r="E2676" s="2" t="s">
        <v>24</v>
      </c>
      <c r="F2676">
        <v>4033</v>
      </c>
      <c r="G2676" s="2" t="s">
        <v>109</v>
      </c>
      <c r="H2676" s="2" t="s">
        <v>51</v>
      </c>
      <c r="I2676" s="2" t="s">
        <v>73</v>
      </c>
      <c r="J2676" s="2" t="s">
        <v>49</v>
      </c>
      <c r="K2676" s="2" t="s">
        <v>73</v>
      </c>
      <c r="L2676">
        <v>29.39</v>
      </c>
      <c r="M2676">
        <v>1</v>
      </c>
      <c r="N2676">
        <v>1.0999999999999999E-2</v>
      </c>
      <c r="O2676">
        <v>6100231</v>
      </c>
      <c r="P2676" s="2" t="s">
        <v>50</v>
      </c>
      <c r="Q2676" s="2" t="s">
        <v>51</v>
      </c>
      <c r="R2676" s="2" t="s">
        <v>30</v>
      </c>
      <c r="S2676">
        <v>10</v>
      </c>
      <c r="T2676" s="1">
        <v>43809</v>
      </c>
      <c r="U2676" s="1">
        <v>43813</v>
      </c>
      <c r="V2676" s="2"/>
      <c r="W2676" s="1">
        <f>fNotasFiscais[[#This Row],[Data da Coleta]]+fNotasFiscais[[#This Row],[Prazo Contratado]]</f>
        <v>43819</v>
      </c>
      <c r="X2676" s="3">
        <f>IF(fNotasFiscais[[#This Row],[Data da Entrega]]&gt;fNotasFiscais[[#This Row],[Data Contratada]],0,1)</f>
        <v>1</v>
      </c>
      <c r="Y2676" s="3">
        <f>IF(fNotasFiscais[[#This Row],[Ocorrência]]="",1,0)</f>
        <v>1</v>
      </c>
      <c r="Z2676" s="2">
        <f>fNotasFiscais[[#This Row],[On Time]]*fNotasFiscais[[#This Row],[In Full]]</f>
        <v>1</v>
      </c>
      <c r="AA2676">
        <f>IF(fNotasFiscais[[#This Row],[Nota Fiscal]]&lt;&gt;"",1,0)</f>
        <v>1</v>
      </c>
    </row>
    <row r="2677" spans="1:27" x14ac:dyDescent="0.25">
      <c r="A2677" s="1">
        <v>43808</v>
      </c>
      <c r="B2677">
        <v>13086</v>
      </c>
      <c r="C2677" s="2" t="s">
        <v>34</v>
      </c>
      <c r="D2677" s="2" t="s">
        <v>35</v>
      </c>
      <c r="E2677" s="2" t="s">
        <v>36</v>
      </c>
      <c r="F2677">
        <v>4233</v>
      </c>
      <c r="G2677" s="2" t="s">
        <v>316</v>
      </c>
      <c r="H2677" s="2" t="s">
        <v>35</v>
      </c>
      <c r="I2677" s="2" t="s">
        <v>36</v>
      </c>
      <c r="J2677" s="2" t="s">
        <v>60</v>
      </c>
      <c r="K2677" s="2" t="s">
        <v>36</v>
      </c>
      <c r="L2677">
        <v>30.71</v>
      </c>
      <c r="M2677">
        <v>1</v>
      </c>
      <c r="N2677">
        <v>0.33</v>
      </c>
      <c r="O2677">
        <v>6600879</v>
      </c>
      <c r="P2677" s="2" t="s">
        <v>61</v>
      </c>
      <c r="Q2677" s="2" t="s">
        <v>35</v>
      </c>
      <c r="R2677" s="2" t="s">
        <v>30</v>
      </c>
      <c r="S2677">
        <v>11</v>
      </c>
      <c r="T2677" s="1">
        <v>43809</v>
      </c>
      <c r="U2677" s="1">
        <v>43816</v>
      </c>
      <c r="V2677" s="2"/>
      <c r="W2677" s="1">
        <f>fNotasFiscais[[#This Row],[Data da Coleta]]+fNotasFiscais[[#This Row],[Prazo Contratado]]</f>
        <v>43820</v>
      </c>
      <c r="X2677" s="3">
        <f>IF(fNotasFiscais[[#This Row],[Data da Entrega]]&gt;fNotasFiscais[[#This Row],[Data Contratada]],0,1)</f>
        <v>1</v>
      </c>
      <c r="Y2677" s="3">
        <f>IF(fNotasFiscais[[#This Row],[Ocorrência]]="",1,0)</f>
        <v>1</v>
      </c>
      <c r="Z2677" s="2">
        <f>fNotasFiscais[[#This Row],[On Time]]*fNotasFiscais[[#This Row],[In Full]]</f>
        <v>1</v>
      </c>
      <c r="AA2677">
        <f>IF(fNotasFiscais[[#This Row],[Nota Fiscal]]&lt;&gt;"",1,0)</f>
        <v>1</v>
      </c>
    </row>
    <row r="2678" spans="1:27" x14ac:dyDescent="0.25">
      <c r="A2678" s="1">
        <v>43809</v>
      </c>
      <c r="B2678">
        <v>13087</v>
      </c>
      <c r="C2678" s="2" t="s">
        <v>34</v>
      </c>
      <c r="D2678" s="2" t="s">
        <v>35</v>
      </c>
      <c r="E2678" s="2" t="s">
        <v>36</v>
      </c>
      <c r="F2678">
        <v>4137</v>
      </c>
      <c r="G2678" s="2" t="s">
        <v>220</v>
      </c>
      <c r="H2678" s="2" t="s">
        <v>32</v>
      </c>
      <c r="I2678" s="2" t="s">
        <v>33</v>
      </c>
      <c r="J2678" s="2" t="s">
        <v>60</v>
      </c>
      <c r="K2678" s="2" t="s">
        <v>33</v>
      </c>
      <c r="L2678">
        <v>51.9</v>
      </c>
      <c r="M2678">
        <v>1</v>
      </c>
      <c r="N2678">
        <v>2.1999999999999999E-2</v>
      </c>
      <c r="O2678">
        <v>6400835</v>
      </c>
      <c r="P2678" s="2" t="s">
        <v>130</v>
      </c>
      <c r="Q2678" s="2" t="s">
        <v>131</v>
      </c>
      <c r="R2678" s="2" t="s">
        <v>30</v>
      </c>
      <c r="S2678">
        <v>8</v>
      </c>
      <c r="T2678" s="1">
        <v>43810</v>
      </c>
      <c r="U2678" s="1">
        <v>43811</v>
      </c>
      <c r="V2678" s="2"/>
      <c r="W2678" s="1">
        <f>fNotasFiscais[[#This Row],[Data da Coleta]]+fNotasFiscais[[#This Row],[Prazo Contratado]]</f>
        <v>43818</v>
      </c>
      <c r="X2678" s="3">
        <f>IF(fNotasFiscais[[#This Row],[Data da Entrega]]&gt;fNotasFiscais[[#This Row],[Data Contratada]],0,1)</f>
        <v>1</v>
      </c>
      <c r="Y2678" s="3">
        <f>IF(fNotasFiscais[[#This Row],[Ocorrência]]="",1,0)</f>
        <v>1</v>
      </c>
      <c r="Z2678" s="2">
        <f>fNotasFiscais[[#This Row],[On Time]]*fNotasFiscais[[#This Row],[In Full]]</f>
        <v>1</v>
      </c>
      <c r="AA2678">
        <f>IF(fNotasFiscais[[#This Row],[Nota Fiscal]]&lt;&gt;"",1,0)</f>
        <v>1</v>
      </c>
    </row>
    <row r="2679" spans="1:27" x14ac:dyDescent="0.25">
      <c r="A2679" s="1">
        <v>43809</v>
      </c>
      <c r="B2679">
        <v>13088</v>
      </c>
      <c r="C2679" s="2" t="s">
        <v>31</v>
      </c>
      <c r="D2679" s="2" t="s">
        <v>32</v>
      </c>
      <c r="E2679" s="2" t="s">
        <v>33</v>
      </c>
      <c r="F2679">
        <v>4137</v>
      </c>
      <c r="G2679" s="2" t="s">
        <v>220</v>
      </c>
      <c r="H2679" s="2" t="s">
        <v>32</v>
      </c>
      <c r="I2679" s="2" t="s">
        <v>33</v>
      </c>
      <c r="J2679" s="2" t="s">
        <v>60</v>
      </c>
      <c r="K2679" s="2" t="s">
        <v>33</v>
      </c>
      <c r="L2679">
        <v>2035.41</v>
      </c>
      <c r="M2679">
        <v>1</v>
      </c>
      <c r="N2679">
        <v>1.3640000000000001</v>
      </c>
      <c r="O2679">
        <v>6400835</v>
      </c>
      <c r="P2679" s="2" t="s">
        <v>130</v>
      </c>
      <c r="Q2679" s="2" t="s">
        <v>131</v>
      </c>
      <c r="R2679" s="2" t="s">
        <v>62</v>
      </c>
      <c r="S2679">
        <v>12</v>
      </c>
      <c r="T2679" s="1">
        <v>43810</v>
      </c>
      <c r="U2679" s="1">
        <v>43813</v>
      </c>
      <c r="V2679" s="2"/>
      <c r="W2679" s="1">
        <f>fNotasFiscais[[#This Row],[Data da Coleta]]+fNotasFiscais[[#This Row],[Prazo Contratado]]</f>
        <v>43822</v>
      </c>
      <c r="X2679" s="3">
        <f>IF(fNotasFiscais[[#This Row],[Data da Entrega]]&gt;fNotasFiscais[[#This Row],[Data Contratada]],0,1)</f>
        <v>1</v>
      </c>
      <c r="Y2679" s="3">
        <f>IF(fNotasFiscais[[#This Row],[Ocorrência]]="",1,0)</f>
        <v>1</v>
      </c>
      <c r="Z2679" s="2">
        <f>fNotasFiscais[[#This Row],[On Time]]*fNotasFiscais[[#This Row],[In Full]]</f>
        <v>1</v>
      </c>
      <c r="AA2679">
        <f>IF(fNotasFiscais[[#This Row],[Nota Fiscal]]&lt;&gt;"",1,0)</f>
        <v>1</v>
      </c>
    </row>
    <row r="2680" spans="1:27" x14ac:dyDescent="0.25">
      <c r="A2680" s="1">
        <v>43809</v>
      </c>
      <c r="B2680">
        <v>13089</v>
      </c>
      <c r="C2680" s="2" t="s">
        <v>43</v>
      </c>
      <c r="D2680" s="2" t="s">
        <v>44</v>
      </c>
      <c r="E2680" s="2" t="s">
        <v>45</v>
      </c>
      <c r="F2680">
        <v>4231</v>
      </c>
      <c r="G2680" s="2" t="s">
        <v>314</v>
      </c>
      <c r="H2680" s="2" t="s">
        <v>44</v>
      </c>
      <c r="I2680" s="2" t="s">
        <v>45</v>
      </c>
      <c r="J2680" s="2" t="s">
        <v>60</v>
      </c>
      <c r="K2680" s="2" t="s">
        <v>45</v>
      </c>
      <c r="L2680">
        <v>1408.94</v>
      </c>
      <c r="M2680">
        <v>1</v>
      </c>
      <c r="N2680">
        <v>13.984</v>
      </c>
      <c r="O2680">
        <v>6140092</v>
      </c>
      <c r="P2680" s="2" t="s">
        <v>137</v>
      </c>
      <c r="Q2680" s="2" t="s">
        <v>138</v>
      </c>
      <c r="R2680" s="2" t="s">
        <v>30</v>
      </c>
      <c r="S2680">
        <v>10</v>
      </c>
      <c r="T2680" s="1">
        <v>43810</v>
      </c>
      <c r="U2680" s="1">
        <v>43816</v>
      </c>
      <c r="V2680" s="2"/>
      <c r="W2680" s="1">
        <f>fNotasFiscais[[#This Row],[Data da Coleta]]+fNotasFiscais[[#This Row],[Prazo Contratado]]</f>
        <v>43820</v>
      </c>
      <c r="X2680" s="3">
        <f>IF(fNotasFiscais[[#This Row],[Data da Entrega]]&gt;fNotasFiscais[[#This Row],[Data Contratada]],0,1)</f>
        <v>1</v>
      </c>
      <c r="Y2680" s="3">
        <f>IF(fNotasFiscais[[#This Row],[Ocorrência]]="",1,0)</f>
        <v>1</v>
      </c>
      <c r="Z2680" s="2">
        <f>fNotasFiscais[[#This Row],[On Time]]*fNotasFiscais[[#This Row],[In Full]]</f>
        <v>1</v>
      </c>
      <c r="AA2680">
        <f>IF(fNotasFiscais[[#This Row],[Nota Fiscal]]&lt;&gt;"",1,0)</f>
        <v>1</v>
      </c>
    </row>
    <row r="2681" spans="1:27" x14ac:dyDescent="0.25">
      <c r="A2681" s="1">
        <v>43809</v>
      </c>
      <c r="B2681">
        <v>13090</v>
      </c>
      <c r="C2681" s="2" t="s">
        <v>31</v>
      </c>
      <c r="D2681" s="2" t="s">
        <v>32</v>
      </c>
      <c r="E2681" s="2" t="s">
        <v>33</v>
      </c>
      <c r="F2681">
        <v>4190</v>
      </c>
      <c r="G2681" s="2" t="s">
        <v>273</v>
      </c>
      <c r="H2681" s="2" t="s">
        <v>35</v>
      </c>
      <c r="I2681" s="2" t="s">
        <v>36</v>
      </c>
      <c r="J2681" s="2" t="s">
        <v>60</v>
      </c>
      <c r="K2681" s="2" t="s">
        <v>36</v>
      </c>
      <c r="L2681">
        <v>53.87</v>
      </c>
      <c r="M2681">
        <v>1</v>
      </c>
      <c r="N2681">
        <v>0.44900000000000001</v>
      </c>
      <c r="O2681">
        <v>6600879</v>
      </c>
      <c r="P2681" s="2" t="s">
        <v>61</v>
      </c>
      <c r="Q2681" s="2" t="s">
        <v>35</v>
      </c>
      <c r="R2681" s="2" t="s">
        <v>30</v>
      </c>
      <c r="S2681">
        <v>2</v>
      </c>
      <c r="T2681" s="1">
        <v>43810</v>
      </c>
      <c r="U2681" s="1">
        <v>43817</v>
      </c>
      <c r="V2681" s="2" t="s">
        <v>57</v>
      </c>
      <c r="W2681" s="1">
        <f>fNotasFiscais[[#This Row],[Data da Coleta]]+fNotasFiscais[[#This Row],[Prazo Contratado]]</f>
        <v>43812</v>
      </c>
      <c r="X2681" s="3">
        <f>IF(fNotasFiscais[[#This Row],[Data da Entrega]]&gt;fNotasFiscais[[#This Row],[Data Contratada]],0,1)</f>
        <v>0</v>
      </c>
      <c r="Y2681" s="3">
        <f>IF(fNotasFiscais[[#This Row],[Ocorrência]]="",1,0)</f>
        <v>0</v>
      </c>
      <c r="Z2681" s="2">
        <f>fNotasFiscais[[#This Row],[On Time]]*fNotasFiscais[[#This Row],[In Full]]</f>
        <v>0</v>
      </c>
      <c r="AA2681">
        <f>IF(fNotasFiscais[[#This Row],[Nota Fiscal]]&lt;&gt;"",1,0)</f>
        <v>1</v>
      </c>
    </row>
    <row r="2682" spans="1:27" x14ac:dyDescent="0.25">
      <c r="A2682" s="1">
        <v>43810</v>
      </c>
      <c r="B2682">
        <v>13091</v>
      </c>
      <c r="C2682" s="2" t="s">
        <v>40</v>
      </c>
      <c r="D2682" s="2" t="s">
        <v>41</v>
      </c>
      <c r="E2682" s="2" t="s">
        <v>33</v>
      </c>
      <c r="F2682">
        <v>4253</v>
      </c>
      <c r="G2682" s="2" t="s">
        <v>336</v>
      </c>
      <c r="H2682" s="2" t="s">
        <v>167</v>
      </c>
      <c r="I2682" s="2" t="s">
        <v>168</v>
      </c>
      <c r="J2682" s="2" t="s">
        <v>169</v>
      </c>
      <c r="K2682" s="2" t="s">
        <v>168</v>
      </c>
      <c r="L2682">
        <v>21.39</v>
      </c>
      <c r="M2682">
        <v>1</v>
      </c>
      <c r="N2682">
        <v>5.5E-2</v>
      </c>
      <c r="O2682">
        <v>6900304</v>
      </c>
      <c r="P2682" s="2" t="s">
        <v>170</v>
      </c>
      <c r="Q2682" s="2" t="s">
        <v>171</v>
      </c>
      <c r="R2682" s="2" t="s">
        <v>30</v>
      </c>
      <c r="S2682">
        <v>8</v>
      </c>
      <c r="T2682" s="1">
        <v>43811</v>
      </c>
      <c r="U2682" s="1">
        <v>43814</v>
      </c>
      <c r="V2682" s="2"/>
      <c r="W2682" s="1">
        <f>fNotasFiscais[[#This Row],[Data da Coleta]]+fNotasFiscais[[#This Row],[Prazo Contratado]]</f>
        <v>43819</v>
      </c>
      <c r="X2682" s="3">
        <f>IF(fNotasFiscais[[#This Row],[Data da Entrega]]&gt;fNotasFiscais[[#This Row],[Data Contratada]],0,1)</f>
        <v>1</v>
      </c>
      <c r="Y2682" s="3">
        <f>IF(fNotasFiscais[[#This Row],[Ocorrência]]="",1,0)</f>
        <v>1</v>
      </c>
      <c r="Z2682" s="2">
        <f>fNotasFiscais[[#This Row],[On Time]]*fNotasFiscais[[#This Row],[In Full]]</f>
        <v>1</v>
      </c>
      <c r="AA2682">
        <f>IF(fNotasFiscais[[#This Row],[Nota Fiscal]]&lt;&gt;"",1,0)</f>
        <v>1</v>
      </c>
    </row>
    <row r="2683" spans="1:27" x14ac:dyDescent="0.25">
      <c r="A2683" s="1">
        <v>43811</v>
      </c>
      <c r="B2683">
        <v>13092</v>
      </c>
      <c r="C2683" s="2" t="s">
        <v>40</v>
      </c>
      <c r="D2683" s="2" t="s">
        <v>41</v>
      </c>
      <c r="E2683" s="2" t="s">
        <v>33</v>
      </c>
      <c r="F2683">
        <v>4172</v>
      </c>
      <c r="G2683" s="2" t="s">
        <v>255</v>
      </c>
      <c r="H2683" s="2" t="s">
        <v>183</v>
      </c>
      <c r="I2683" s="2" t="s">
        <v>33</v>
      </c>
      <c r="J2683" s="2" t="s">
        <v>60</v>
      </c>
      <c r="K2683" s="2" t="s">
        <v>33</v>
      </c>
      <c r="L2683">
        <v>85.56</v>
      </c>
      <c r="M2683">
        <v>1</v>
      </c>
      <c r="N2683">
        <v>0.22</v>
      </c>
      <c r="O2683">
        <v>6400835</v>
      </c>
      <c r="P2683" s="2" t="s">
        <v>130</v>
      </c>
      <c r="Q2683" s="2" t="s">
        <v>131</v>
      </c>
      <c r="R2683" s="2" t="s">
        <v>30</v>
      </c>
      <c r="S2683">
        <v>10</v>
      </c>
      <c r="T2683" s="1">
        <v>43812</v>
      </c>
      <c r="U2683" s="1">
        <v>43820</v>
      </c>
      <c r="V2683" s="2"/>
      <c r="W2683" s="1">
        <f>fNotasFiscais[[#This Row],[Data da Coleta]]+fNotasFiscais[[#This Row],[Prazo Contratado]]</f>
        <v>43822</v>
      </c>
      <c r="X2683" s="3">
        <f>IF(fNotasFiscais[[#This Row],[Data da Entrega]]&gt;fNotasFiscais[[#This Row],[Data Contratada]],0,1)</f>
        <v>1</v>
      </c>
      <c r="Y2683" s="3">
        <f>IF(fNotasFiscais[[#This Row],[Ocorrência]]="",1,0)</f>
        <v>1</v>
      </c>
      <c r="Z2683" s="2">
        <f>fNotasFiscais[[#This Row],[On Time]]*fNotasFiscais[[#This Row],[In Full]]</f>
        <v>1</v>
      </c>
      <c r="AA2683">
        <f>IF(fNotasFiscais[[#This Row],[Nota Fiscal]]&lt;&gt;"",1,0)</f>
        <v>1</v>
      </c>
    </row>
    <row r="2684" spans="1:27" x14ac:dyDescent="0.25">
      <c r="A2684" s="1">
        <v>43811</v>
      </c>
      <c r="B2684">
        <v>13093</v>
      </c>
      <c r="C2684" s="2" t="s">
        <v>31</v>
      </c>
      <c r="D2684" s="2" t="s">
        <v>32</v>
      </c>
      <c r="E2684" s="2" t="s">
        <v>33</v>
      </c>
      <c r="F2684">
        <v>4172</v>
      </c>
      <c r="G2684" s="2" t="s">
        <v>255</v>
      </c>
      <c r="H2684" s="2" t="s">
        <v>183</v>
      </c>
      <c r="I2684" s="2" t="s">
        <v>33</v>
      </c>
      <c r="J2684" s="2" t="s">
        <v>60</v>
      </c>
      <c r="K2684" s="2" t="s">
        <v>33</v>
      </c>
      <c r="L2684">
        <v>258.5</v>
      </c>
      <c r="M2684">
        <v>1</v>
      </c>
      <c r="N2684">
        <v>1.137</v>
      </c>
      <c r="O2684">
        <v>6400835</v>
      </c>
      <c r="P2684" s="2" t="s">
        <v>130</v>
      </c>
      <c r="Q2684" s="2" t="s">
        <v>131</v>
      </c>
      <c r="R2684" s="2" t="s">
        <v>30</v>
      </c>
      <c r="S2684">
        <v>4</v>
      </c>
      <c r="T2684" s="1">
        <v>43812</v>
      </c>
      <c r="U2684" s="1">
        <v>43818</v>
      </c>
      <c r="V2684" s="2" t="s">
        <v>57</v>
      </c>
      <c r="W2684" s="1">
        <f>fNotasFiscais[[#This Row],[Data da Coleta]]+fNotasFiscais[[#This Row],[Prazo Contratado]]</f>
        <v>43816</v>
      </c>
      <c r="X2684" s="3">
        <f>IF(fNotasFiscais[[#This Row],[Data da Entrega]]&gt;fNotasFiscais[[#This Row],[Data Contratada]],0,1)</f>
        <v>0</v>
      </c>
      <c r="Y2684" s="3">
        <f>IF(fNotasFiscais[[#This Row],[Ocorrência]]="",1,0)</f>
        <v>0</v>
      </c>
      <c r="Z2684" s="2">
        <f>fNotasFiscais[[#This Row],[On Time]]*fNotasFiscais[[#This Row],[In Full]]</f>
        <v>0</v>
      </c>
      <c r="AA2684">
        <f>IF(fNotasFiscais[[#This Row],[Nota Fiscal]]&lt;&gt;"",1,0)</f>
        <v>1</v>
      </c>
    </row>
    <row r="2685" spans="1:27" x14ac:dyDescent="0.25">
      <c r="A2685" s="1">
        <v>43811</v>
      </c>
      <c r="B2685">
        <v>13094</v>
      </c>
      <c r="C2685" s="2" t="s">
        <v>43</v>
      </c>
      <c r="D2685" s="2" t="s">
        <v>44</v>
      </c>
      <c r="E2685" s="2" t="s">
        <v>45</v>
      </c>
      <c r="F2685">
        <v>4172</v>
      </c>
      <c r="G2685" s="2" t="s">
        <v>255</v>
      </c>
      <c r="H2685" s="2" t="s">
        <v>183</v>
      </c>
      <c r="I2685" s="2" t="s">
        <v>33</v>
      </c>
      <c r="J2685" s="2" t="s">
        <v>60</v>
      </c>
      <c r="K2685" s="2" t="s">
        <v>33</v>
      </c>
      <c r="L2685">
        <v>258.5</v>
      </c>
      <c r="M2685">
        <v>1</v>
      </c>
      <c r="N2685">
        <v>1.137</v>
      </c>
      <c r="O2685">
        <v>6400835</v>
      </c>
      <c r="P2685" s="2" t="s">
        <v>130</v>
      </c>
      <c r="Q2685" s="2" t="s">
        <v>131</v>
      </c>
      <c r="R2685" s="2" t="s">
        <v>30</v>
      </c>
      <c r="S2685">
        <v>1</v>
      </c>
      <c r="T2685" s="1">
        <v>43812</v>
      </c>
      <c r="U2685" s="1">
        <v>43814</v>
      </c>
      <c r="V2685" s="2"/>
      <c r="W2685" s="1">
        <f>fNotasFiscais[[#This Row],[Data da Coleta]]+fNotasFiscais[[#This Row],[Prazo Contratado]]</f>
        <v>43813</v>
      </c>
      <c r="X2685" s="3">
        <f>IF(fNotasFiscais[[#This Row],[Data da Entrega]]&gt;fNotasFiscais[[#This Row],[Data Contratada]],0,1)</f>
        <v>0</v>
      </c>
      <c r="Y2685" s="3">
        <f>IF(fNotasFiscais[[#This Row],[Ocorrência]]="",1,0)</f>
        <v>1</v>
      </c>
      <c r="Z2685" s="2">
        <f>fNotasFiscais[[#This Row],[On Time]]*fNotasFiscais[[#This Row],[In Full]]</f>
        <v>0</v>
      </c>
      <c r="AA2685">
        <f>IF(fNotasFiscais[[#This Row],[Nota Fiscal]]&lt;&gt;"",1,0)</f>
        <v>1</v>
      </c>
    </row>
    <row r="2686" spans="1:27" x14ac:dyDescent="0.25">
      <c r="A2686" s="1">
        <v>43811</v>
      </c>
      <c r="B2686">
        <v>13095</v>
      </c>
      <c r="C2686" s="2" t="s">
        <v>54</v>
      </c>
      <c r="D2686" s="2" t="s">
        <v>55</v>
      </c>
      <c r="E2686" s="2" t="s">
        <v>56</v>
      </c>
      <c r="F2686">
        <v>4172</v>
      </c>
      <c r="G2686" s="2" t="s">
        <v>255</v>
      </c>
      <c r="H2686" s="2" t="s">
        <v>183</v>
      </c>
      <c r="I2686" s="2" t="s">
        <v>33</v>
      </c>
      <c r="J2686" s="2" t="s">
        <v>60</v>
      </c>
      <c r="K2686" s="2" t="s">
        <v>33</v>
      </c>
      <c r="L2686">
        <v>522.09</v>
      </c>
      <c r="M2686">
        <v>1</v>
      </c>
      <c r="N2686">
        <v>2.024</v>
      </c>
      <c r="O2686">
        <v>6400835</v>
      </c>
      <c r="P2686" s="2" t="s">
        <v>130</v>
      </c>
      <c r="Q2686" s="2" t="s">
        <v>131</v>
      </c>
      <c r="R2686" s="2" t="s">
        <v>30</v>
      </c>
      <c r="S2686">
        <v>10</v>
      </c>
      <c r="T2686" s="1">
        <v>43812</v>
      </c>
      <c r="U2686" s="1">
        <v>43816</v>
      </c>
      <c r="V2686" s="2"/>
      <c r="W2686" s="1">
        <f>fNotasFiscais[[#This Row],[Data da Coleta]]+fNotasFiscais[[#This Row],[Prazo Contratado]]</f>
        <v>43822</v>
      </c>
      <c r="X2686" s="3">
        <f>IF(fNotasFiscais[[#This Row],[Data da Entrega]]&gt;fNotasFiscais[[#This Row],[Data Contratada]],0,1)</f>
        <v>1</v>
      </c>
      <c r="Y2686" s="3">
        <f>IF(fNotasFiscais[[#This Row],[Ocorrência]]="",1,0)</f>
        <v>1</v>
      </c>
      <c r="Z2686" s="2">
        <f>fNotasFiscais[[#This Row],[On Time]]*fNotasFiscais[[#This Row],[In Full]]</f>
        <v>1</v>
      </c>
      <c r="AA2686">
        <f>IF(fNotasFiscais[[#This Row],[Nota Fiscal]]&lt;&gt;"",1,0)</f>
        <v>1</v>
      </c>
    </row>
    <row r="2687" spans="1:27" x14ac:dyDescent="0.25">
      <c r="A2687" s="1">
        <v>43811</v>
      </c>
      <c r="B2687">
        <v>13096</v>
      </c>
      <c r="C2687" s="2" t="s">
        <v>54</v>
      </c>
      <c r="D2687" s="2" t="s">
        <v>55</v>
      </c>
      <c r="E2687" s="2" t="s">
        <v>56</v>
      </c>
      <c r="F2687">
        <v>4191</v>
      </c>
      <c r="G2687" s="2" t="s">
        <v>274</v>
      </c>
      <c r="H2687" s="2" t="s">
        <v>173</v>
      </c>
      <c r="I2687" s="2" t="s">
        <v>174</v>
      </c>
      <c r="J2687" s="2" t="s">
        <v>175</v>
      </c>
      <c r="K2687" s="2" t="s">
        <v>174</v>
      </c>
      <c r="L2687">
        <v>666.1</v>
      </c>
      <c r="M2687">
        <v>1</v>
      </c>
      <c r="N2687">
        <v>0.77600000000000002</v>
      </c>
      <c r="O2687">
        <v>6700091</v>
      </c>
      <c r="P2687" s="2" t="s">
        <v>176</v>
      </c>
      <c r="Q2687" s="2" t="s">
        <v>173</v>
      </c>
      <c r="R2687" s="2" t="s">
        <v>30</v>
      </c>
      <c r="S2687">
        <v>8</v>
      </c>
      <c r="T2687" s="1">
        <v>43812</v>
      </c>
      <c r="U2687" s="1">
        <v>43817</v>
      </c>
      <c r="V2687" s="2"/>
      <c r="W2687" s="1">
        <f>fNotasFiscais[[#This Row],[Data da Coleta]]+fNotasFiscais[[#This Row],[Prazo Contratado]]</f>
        <v>43820</v>
      </c>
      <c r="X2687" s="3">
        <f>IF(fNotasFiscais[[#This Row],[Data da Entrega]]&gt;fNotasFiscais[[#This Row],[Data Contratada]],0,1)</f>
        <v>1</v>
      </c>
      <c r="Y2687" s="3">
        <f>IF(fNotasFiscais[[#This Row],[Ocorrência]]="",1,0)</f>
        <v>1</v>
      </c>
      <c r="Z2687" s="2">
        <f>fNotasFiscais[[#This Row],[On Time]]*fNotasFiscais[[#This Row],[In Full]]</f>
        <v>1</v>
      </c>
      <c r="AA2687">
        <f>IF(fNotasFiscais[[#This Row],[Nota Fiscal]]&lt;&gt;"",1,0)</f>
        <v>1</v>
      </c>
    </row>
    <row r="2688" spans="1:27" x14ac:dyDescent="0.25">
      <c r="A2688" s="1">
        <v>43811</v>
      </c>
      <c r="B2688">
        <v>13097</v>
      </c>
      <c r="C2688" s="2" t="s">
        <v>40</v>
      </c>
      <c r="D2688" s="2" t="s">
        <v>41</v>
      </c>
      <c r="E2688" s="2" t="s">
        <v>33</v>
      </c>
      <c r="F2688">
        <v>4024</v>
      </c>
      <c r="G2688" s="2" t="s">
        <v>89</v>
      </c>
      <c r="H2688" s="2" t="s">
        <v>23</v>
      </c>
      <c r="I2688" s="2" t="s">
        <v>24</v>
      </c>
      <c r="J2688" s="2" t="s">
        <v>28</v>
      </c>
      <c r="K2688" s="2" t="s">
        <v>24</v>
      </c>
      <c r="L2688">
        <v>6231.74</v>
      </c>
      <c r="M2688">
        <v>11</v>
      </c>
      <c r="N2688">
        <v>50.387</v>
      </c>
      <c r="O2688">
        <v>6500948</v>
      </c>
      <c r="P2688" s="2" t="s">
        <v>29</v>
      </c>
      <c r="Q2688" s="2" t="s">
        <v>23</v>
      </c>
      <c r="R2688" s="2" t="s">
        <v>30</v>
      </c>
      <c r="S2688">
        <v>8</v>
      </c>
      <c r="T2688" s="1">
        <v>43812</v>
      </c>
      <c r="U2688" s="1">
        <v>43818</v>
      </c>
      <c r="V2688" s="2"/>
      <c r="W2688" s="1">
        <f>fNotasFiscais[[#This Row],[Data da Coleta]]+fNotasFiscais[[#This Row],[Prazo Contratado]]</f>
        <v>43820</v>
      </c>
      <c r="X2688" s="3">
        <f>IF(fNotasFiscais[[#This Row],[Data da Entrega]]&gt;fNotasFiscais[[#This Row],[Data Contratada]],0,1)</f>
        <v>1</v>
      </c>
      <c r="Y2688" s="3">
        <f>IF(fNotasFiscais[[#This Row],[Ocorrência]]="",1,0)</f>
        <v>1</v>
      </c>
      <c r="Z2688" s="2">
        <f>fNotasFiscais[[#This Row],[On Time]]*fNotasFiscais[[#This Row],[In Full]]</f>
        <v>1</v>
      </c>
      <c r="AA2688">
        <f>IF(fNotasFiscais[[#This Row],[Nota Fiscal]]&lt;&gt;"",1,0)</f>
        <v>1</v>
      </c>
    </row>
    <row r="2689" spans="1:27" x14ac:dyDescent="0.25">
      <c r="A2689" s="1">
        <v>43811</v>
      </c>
      <c r="B2689">
        <v>13098</v>
      </c>
      <c r="C2689" s="2" t="s">
        <v>54</v>
      </c>
      <c r="D2689" s="2" t="s">
        <v>55</v>
      </c>
      <c r="E2689" s="2" t="s">
        <v>56</v>
      </c>
      <c r="F2689">
        <v>4017</v>
      </c>
      <c r="G2689" s="2" t="s">
        <v>74</v>
      </c>
      <c r="H2689" s="2" t="s">
        <v>75</v>
      </c>
      <c r="I2689" s="2" t="s">
        <v>39</v>
      </c>
      <c r="J2689" s="2" t="s">
        <v>28</v>
      </c>
      <c r="K2689" s="2" t="s">
        <v>39</v>
      </c>
      <c r="L2689">
        <v>966.14</v>
      </c>
      <c r="M2689">
        <v>1</v>
      </c>
      <c r="N2689">
        <v>5.3680000000000003</v>
      </c>
      <c r="O2689">
        <v>6500948</v>
      </c>
      <c r="P2689" s="2" t="s">
        <v>29</v>
      </c>
      <c r="Q2689" s="2" t="s">
        <v>23</v>
      </c>
      <c r="R2689" s="2" t="s">
        <v>30</v>
      </c>
      <c r="S2689">
        <v>12</v>
      </c>
      <c r="T2689" s="1">
        <v>43812</v>
      </c>
      <c r="U2689" s="1">
        <v>43819</v>
      </c>
      <c r="V2689" s="2"/>
      <c r="W2689" s="1">
        <f>fNotasFiscais[[#This Row],[Data da Coleta]]+fNotasFiscais[[#This Row],[Prazo Contratado]]</f>
        <v>43824</v>
      </c>
      <c r="X2689" s="3">
        <f>IF(fNotasFiscais[[#This Row],[Data da Entrega]]&gt;fNotasFiscais[[#This Row],[Data Contratada]],0,1)</f>
        <v>1</v>
      </c>
      <c r="Y2689" s="3">
        <f>IF(fNotasFiscais[[#This Row],[Ocorrência]]="",1,0)</f>
        <v>1</v>
      </c>
      <c r="Z2689" s="2">
        <f>fNotasFiscais[[#This Row],[On Time]]*fNotasFiscais[[#This Row],[In Full]]</f>
        <v>1</v>
      </c>
      <c r="AA2689">
        <f>IF(fNotasFiscais[[#This Row],[Nota Fiscal]]&lt;&gt;"",1,0)</f>
        <v>1</v>
      </c>
    </row>
    <row r="2690" spans="1:27" x14ac:dyDescent="0.25">
      <c r="A2690" s="1">
        <v>43811</v>
      </c>
      <c r="B2690">
        <v>13099</v>
      </c>
      <c r="C2690" s="2" t="s">
        <v>40</v>
      </c>
      <c r="D2690" s="2" t="s">
        <v>41</v>
      </c>
      <c r="E2690" s="2" t="s">
        <v>33</v>
      </c>
      <c r="F2690">
        <v>4017</v>
      </c>
      <c r="G2690" s="2" t="s">
        <v>74</v>
      </c>
      <c r="H2690" s="2" t="s">
        <v>75</v>
      </c>
      <c r="I2690" s="2" t="s">
        <v>39</v>
      </c>
      <c r="J2690" s="2" t="s">
        <v>28</v>
      </c>
      <c r="K2690" s="2" t="s">
        <v>39</v>
      </c>
      <c r="L2690">
        <v>3193.72</v>
      </c>
      <c r="M2690">
        <v>4</v>
      </c>
      <c r="N2690">
        <v>33.430999999999997</v>
      </c>
      <c r="O2690">
        <v>6500948</v>
      </c>
      <c r="P2690" s="2" t="s">
        <v>29</v>
      </c>
      <c r="Q2690" s="2" t="s">
        <v>23</v>
      </c>
      <c r="R2690" s="2" t="s">
        <v>30</v>
      </c>
      <c r="S2690">
        <v>4</v>
      </c>
      <c r="T2690" s="1">
        <v>43812</v>
      </c>
      <c r="U2690" s="1">
        <v>43813</v>
      </c>
      <c r="V2690" s="2"/>
      <c r="W2690" s="1">
        <f>fNotasFiscais[[#This Row],[Data da Coleta]]+fNotasFiscais[[#This Row],[Prazo Contratado]]</f>
        <v>43816</v>
      </c>
      <c r="X2690" s="3">
        <f>IF(fNotasFiscais[[#This Row],[Data da Entrega]]&gt;fNotasFiscais[[#This Row],[Data Contratada]],0,1)</f>
        <v>1</v>
      </c>
      <c r="Y2690" s="3">
        <f>IF(fNotasFiscais[[#This Row],[Ocorrência]]="",1,0)</f>
        <v>1</v>
      </c>
      <c r="Z2690" s="2">
        <f>fNotasFiscais[[#This Row],[On Time]]*fNotasFiscais[[#This Row],[In Full]]</f>
        <v>1</v>
      </c>
      <c r="AA2690">
        <f>IF(fNotasFiscais[[#This Row],[Nota Fiscal]]&lt;&gt;"",1,0)</f>
        <v>1</v>
      </c>
    </row>
    <row r="2691" spans="1:27" x14ac:dyDescent="0.25">
      <c r="A2691" s="1">
        <v>43811</v>
      </c>
      <c r="B2691">
        <v>13100</v>
      </c>
      <c r="C2691" s="2" t="s">
        <v>54</v>
      </c>
      <c r="D2691" s="2" t="s">
        <v>55</v>
      </c>
      <c r="E2691" s="2" t="s">
        <v>56</v>
      </c>
      <c r="F2691">
        <v>4137</v>
      </c>
      <c r="G2691" s="2" t="s">
        <v>220</v>
      </c>
      <c r="H2691" s="2" t="s">
        <v>32</v>
      </c>
      <c r="I2691" s="2" t="s">
        <v>33</v>
      </c>
      <c r="J2691" s="2" t="s">
        <v>60</v>
      </c>
      <c r="K2691" s="2" t="s">
        <v>33</v>
      </c>
      <c r="L2691">
        <v>649.29999999999995</v>
      </c>
      <c r="M2691">
        <v>1</v>
      </c>
      <c r="N2691">
        <v>1.1000000000000001</v>
      </c>
      <c r="O2691">
        <v>6400835</v>
      </c>
      <c r="P2691" s="2" t="s">
        <v>130</v>
      </c>
      <c r="Q2691" s="2" t="s">
        <v>131</v>
      </c>
      <c r="R2691" s="2" t="s">
        <v>30</v>
      </c>
      <c r="S2691">
        <v>5</v>
      </c>
      <c r="T2691" s="1">
        <v>43812</v>
      </c>
      <c r="U2691" s="1">
        <v>43814</v>
      </c>
      <c r="V2691" s="2"/>
      <c r="W2691" s="1">
        <f>fNotasFiscais[[#This Row],[Data da Coleta]]+fNotasFiscais[[#This Row],[Prazo Contratado]]</f>
        <v>43817</v>
      </c>
      <c r="X2691" s="3">
        <f>IF(fNotasFiscais[[#This Row],[Data da Entrega]]&gt;fNotasFiscais[[#This Row],[Data Contratada]],0,1)</f>
        <v>1</v>
      </c>
      <c r="Y2691" s="3">
        <f>IF(fNotasFiscais[[#This Row],[Ocorrência]]="",1,0)</f>
        <v>1</v>
      </c>
      <c r="Z2691" s="2">
        <f>fNotasFiscais[[#This Row],[On Time]]*fNotasFiscais[[#This Row],[In Full]]</f>
        <v>1</v>
      </c>
      <c r="AA2691">
        <f>IF(fNotasFiscais[[#This Row],[Nota Fiscal]]&lt;&gt;"",1,0)</f>
        <v>1</v>
      </c>
    </row>
    <row r="2692" spans="1:27" x14ac:dyDescent="0.25">
      <c r="A2692" s="1">
        <v>43812</v>
      </c>
      <c r="B2692">
        <v>13101</v>
      </c>
      <c r="C2692" s="2" t="s">
        <v>22</v>
      </c>
      <c r="D2692" s="2" t="s">
        <v>23</v>
      </c>
      <c r="E2692" s="2" t="s">
        <v>24</v>
      </c>
      <c r="F2692">
        <v>4149</v>
      </c>
      <c r="G2692" s="2" t="s">
        <v>232</v>
      </c>
      <c r="H2692" s="2" t="s">
        <v>183</v>
      </c>
      <c r="I2692" s="2" t="s">
        <v>33</v>
      </c>
      <c r="J2692" s="2" t="s">
        <v>60</v>
      </c>
      <c r="K2692" s="2" t="s">
        <v>33</v>
      </c>
      <c r="L2692">
        <v>1085.02</v>
      </c>
      <c r="M2692">
        <v>1</v>
      </c>
      <c r="N2692">
        <v>11.837999999999999</v>
      </c>
      <c r="O2692">
        <v>6400835</v>
      </c>
      <c r="P2692" s="2" t="s">
        <v>130</v>
      </c>
      <c r="Q2692" s="2" t="s">
        <v>131</v>
      </c>
      <c r="R2692" s="2" t="s">
        <v>30</v>
      </c>
      <c r="S2692">
        <v>8</v>
      </c>
      <c r="T2692" s="1">
        <v>43813</v>
      </c>
      <c r="U2692" s="1">
        <v>43815</v>
      </c>
      <c r="V2692" s="2"/>
      <c r="W2692" s="1">
        <f>fNotasFiscais[[#This Row],[Data da Coleta]]+fNotasFiscais[[#This Row],[Prazo Contratado]]</f>
        <v>43821</v>
      </c>
      <c r="X2692" s="3">
        <f>IF(fNotasFiscais[[#This Row],[Data da Entrega]]&gt;fNotasFiscais[[#This Row],[Data Contratada]],0,1)</f>
        <v>1</v>
      </c>
      <c r="Y2692" s="3">
        <f>IF(fNotasFiscais[[#This Row],[Ocorrência]]="",1,0)</f>
        <v>1</v>
      </c>
      <c r="Z2692" s="2">
        <f>fNotasFiscais[[#This Row],[On Time]]*fNotasFiscais[[#This Row],[In Full]]</f>
        <v>1</v>
      </c>
      <c r="AA2692">
        <f>IF(fNotasFiscais[[#This Row],[Nota Fiscal]]&lt;&gt;"",1,0)</f>
        <v>1</v>
      </c>
    </row>
    <row r="2693" spans="1:27" x14ac:dyDescent="0.25">
      <c r="A2693" s="1">
        <v>43813</v>
      </c>
      <c r="B2693">
        <v>13102</v>
      </c>
      <c r="C2693" s="2" t="s">
        <v>40</v>
      </c>
      <c r="D2693" s="2" t="s">
        <v>41</v>
      </c>
      <c r="E2693" s="2" t="s">
        <v>33</v>
      </c>
      <c r="F2693">
        <v>4233</v>
      </c>
      <c r="G2693" s="2" t="s">
        <v>316</v>
      </c>
      <c r="H2693" s="2" t="s">
        <v>35</v>
      </c>
      <c r="I2693" s="2" t="s">
        <v>36</v>
      </c>
      <c r="J2693" s="2" t="s">
        <v>60</v>
      </c>
      <c r="K2693" s="2" t="s">
        <v>36</v>
      </c>
      <c r="L2693">
        <v>96.18</v>
      </c>
      <c r="M2693">
        <v>1</v>
      </c>
      <c r="N2693">
        <v>0.316</v>
      </c>
      <c r="O2693">
        <v>6600879</v>
      </c>
      <c r="P2693" s="2" t="s">
        <v>61</v>
      </c>
      <c r="Q2693" s="2" t="s">
        <v>35</v>
      </c>
      <c r="R2693" s="2" t="s">
        <v>30</v>
      </c>
      <c r="S2693">
        <v>5</v>
      </c>
      <c r="T2693" s="1">
        <v>43814</v>
      </c>
      <c r="U2693" s="1">
        <v>43818</v>
      </c>
      <c r="V2693" s="2"/>
      <c r="W2693" s="1">
        <f>fNotasFiscais[[#This Row],[Data da Coleta]]+fNotasFiscais[[#This Row],[Prazo Contratado]]</f>
        <v>43819</v>
      </c>
      <c r="X2693" s="3">
        <f>IF(fNotasFiscais[[#This Row],[Data da Entrega]]&gt;fNotasFiscais[[#This Row],[Data Contratada]],0,1)</f>
        <v>1</v>
      </c>
      <c r="Y2693" s="3">
        <f>IF(fNotasFiscais[[#This Row],[Ocorrência]]="",1,0)</f>
        <v>1</v>
      </c>
      <c r="Z2693" s="2">
        <f>fNotasFiscais[[#This Row],[On Time]]*fNotasFiscais[[#This Row],[In Full]]</f>
        <v>1</v>
      </c>
      <c r="AA2693">
        <f>IF(fNotasFiscais[[#This Row],[Nota Fiscal]]&lt;&gt;"",1,0)</f>
        <v>1</v>
      </c>
    </row>
    <row r="2694" spans="1:27" x14ac:dyDescent="0.25">
      <c r="A2694" s="1">
        <v>43815</v>
      </c>
      <c r="B2694">
        <v>13103</v>
      </c>
      <c r="C2694" s="2" t="s">
        <v>22</v>
      </c>
      <c r="D2694" s="2" t="s">
        <v>23</v>
      </c>
      <c r="E2694" s="2" t="s">
        <v>24</v>
      </c>
      <c r="F2694">
        <v>4146</v>
      </c>
      <c r="G2694" s="2" t="s">
        <v>229</v>
      </c>
      <c r="H2694" s="2" t="s">
        <v>35</v>
      </c>
      <c r="I2694" s="2" t="s">
        <v>36</v>
      </c>
      <c r="J2694" s="2" t="s">
        <v>60</v>
      </c>
      <c r="K2694" s="2" t="s">
        <v>36</v>
      </c>
      <c r="L2694">
        <v>606.70000000000005</v>
      </c>
      <c r="M2694">
        <v>5</v>
      </c>
      <c r="N2694">
        <v>13.212</v>
      </c>
      <c r="O2694">
        <v>6600879</v>
      </c>
      <c r="P2694" s="2" t="s">
        <v>61</v>
      </c>
      <c r="Q2694" s="2" t="s">
        <v>35</v>
      </c>
      <c r="R2694" s="2" t="s">
        <v>30</v>
      </c>
      <c r="S2694">
        <v>8</v>
      </c>
      <c r="T2694" s="1">
        <v>43816</v>
      </c>
      <c r="U2694" s="1">
        <v>43820</v>
      </c>
      <c r="V2694" s="2"/>
      <c r="W2694" s="1">
        <f>fNotasFiscais[[#This Row],[Data da Coleta]]+fNotasFiscais[[#This Row],[Prazo Contratado]]</f>
        <v>43824</v>
      </c>
      <c r="X2694" s="3">
        <f>IF(fNotasFiscais[[#This Row],[Data da Entrega]]&gt;fNotasFiscais[[#This Row],[Data Contratada]],0,1)</f>
        <v>1</v>
      </c>
      <c r="Y2694" s="3">
        <f>IF(fNotasFiscais[[#This Row],[Ocorrência]]="",1,0)</f>
        <v>1</v>
      </c>
      <c r="Z2694" s="2">
        <f>fNotasFiscais[[#This Row],[On Time]]*fNotasFiscais[[#This Row],[In Full]]</f>
        <v>1</v>
      </c>
      <c r="AA2694">
        <f>IF(fNotasFiscais[[#This Row],[Nota Fiscal]]&lt;&gt;"",1,0)</f>
        <v>1</v>
      </c>
    </row>
    <row r="2695" spans="1:27" x14ac:dyDescent="0.25">
      <c r="A2695" s="1">
        <v>43815</v>
      </c>
      <c r="B2695">
        <v>13104</v>
      </c>
      <c r="C2695" s="2" t="s">
        <v>40</v>
      </c>
      <c r="D2695" s="2" t="s">
        <v>41</v>
      </c>
      <c r="E2695" s="2" t="s">
        <v>33</v>
      </c>
      <c r="F2695">
        <v>4196</v>
      </c>
      <c r="G2695" s="2" t="s">
        <v>279</v>
      </c>
      <c r="H2695" s="2" t="s">
        <v>173</v>
      </c>
      <c r="I2695" s="2" t="s">
        <v>174</v>
      </c>
      <c r="J2695" s="2" t="s">
        <v>175</v>
      </c>
      <c r="K2695" s="2" t="s">
        <v>174</v>
      </c>
      <c r="L2695">
        <v>3002.74</v>
      </c>
      <c r="M2695">
        <v>1</v>
      </c>
      <c r="N2695">
        <v>1.1200000000000001</v>
      </c>
      <c r="O2695">
        <v>6700091</v>
      </c>
      <c r="P2695" s="2" t="s">
        <v>176</v>
      </c>
      <c r="Q2695" s="2" t="s">
        <v>173</v>
      </c>
      <c r="R2695" s="2" t="s">
        <v>30</v>
      </c>
      <c r="S2695">
        <v>7</v>
      </c>
      <c r="T2695" s="1">
        <v>43816</v>
      </c>
      <c r="U2695" s="1">
        <v>43817</v>
      </c>
      <c r="V2695" s="2"/>
      <c r="W2695" s="1">
        <f>fNotasFiscais[[#This Row],[Data da Coleta]]+fNotasFiscais[[#This Row],[Prazo Contratado]]</f>
        <v>43823</v>
      </c>
      <c r="X2695" s="3">
        <f>IF(fNotasFiscais[[#This Row],[Data da Entrega]]&gt;fNotasFiscais[[#This Row],[Data Contratada]],0,1)</f>
        <v>1</v>
      </c>
      <c r="Y2695" s="3">
        <f>IF(fNotasFiscais[[#This Row],[Ocorrência]]="",1,0)</f>
        <v>1</v>
      </c>
      <c r="Z2695" s="2">
        <f>fNotasFiscais[[#This Row],[On Time]]*fNotasFiscais[[#This Row],[In Full]]</f>
        <v>1</v>
      </c>
      <c r="AA2695">
        <f>IF(fNotasFiscais[[#This Row],[Nota Fiscal]]&lt;&gt;"",1,0)</f>
        <v>1</v>
      </c>
    </row>
    <row r="2696" spans="1:27" x14ac:dyDescent="0.25">
      <c r="A2696" s="1">
        <v>43815</v>
      </c>
      <c r="B2696">
        <v>13105</v>
      </c>
      <c r="C2696" s="2" t="s">
        <v>40</v>
      </c>
      <c r="D2696" s="2" t="s">
        <v>41</v>
      </c>
      <c r="E2696" s="2" t="s">
        <v>33</v>
      </c>
      <c r="F2696">
        <v>4233</v>
      </c>
      <c r="G2696" s="2" t="s">
        <v>316</v>
      </c>
      <c r="H2696" s="2" t="s">
        <v>35</v>
      </c>
      <c r="I2696" s="2" t="s">
        <v>36</v>
      </c>
      <c r="J2696" s="2" t="s">
        <v>60</v>
      </c>
      <c r="K2696" s="2" t="s">
        <v>36</v>
      </c>
      <c r="L2696">
        <v>1337.24</v>
      </c>
      <c r="M2696">
        <v>4</v>
      </c>
      <c r="N2696">
        <v>4.2919999999999998</v>
      </c>
      <c r="O2696">
        <v>6600879</v>
      </c>
      <c r="P2696" s="2" t="s">
        <v>61</v>
      </c>
      <c r="Q2696" s="2" t="s">
        <v>35</v>
      </c>
      <c r="R2696" s="2" t="s">
        <v>30</v>
      </c>
      <c r="S2696">
        <v>7</v>
      </c>
      <c r="T2696" s="1">
        <v>43816</v>
      </c>
      <c r="U2696" s="1">
        <v>43825</v>
      </c>
      <c r="V2696" s="2"/>
      <c r="W2696" s="1">
        <f>fNotasFiscais[[#This Row],[Data da Coleta]]+fNotasFiscais[[#This Row],[Prazo Contratado]]</f>
        <v>43823</v>
      </c>
      <c r="X2696" s="3">
        <f>IF(fNotasFiscais[[#This Row],[Data da Entrega]]&gt;fNotasFiscais[[#This Row],[Data Contratada]],0,1)</f>
        <v>0</v>
      </c>
      <c r="Y2696" s="3">
        <f>IF(fNotasFiscais[[#This Row],[Ocorrência]]="",1,0)</f>
        <v>1</v>
      </c>
      <c r="Z2696" s="2">
        <f>fNotasFiscais[[#This Row],[On Time]]*fNotasFiscais[[#This Row],[In Full]]</f>
        <v>0</v>
      </c>
      <c r="AA2696">
        <f>IF(fNotasFiscais[[#This Row],[Nota Fiscal]]&lt;&gt;"",1,0)</f>
        <v>1</v>
      </c>
    </row>
    <row r="2697" spans="1:27" x14ac:dyDescent="0.25">
      <c r="A2697" s="1">
        <v>43815</v>
      </c>
      <c r="B2697">
        <v>13106</v>
      </c>
      <c r="C2697" s="2" t="s">
        <v>31</v>
      </c>
      <c r="D2697" s="2" t="s">
        <v>32</v>
      </c>
      <c r="E2697" s="2" t="s">
        <v>33</v>
      </c>
      <c r="F2697">
        <v>4233</v>
      </c>
      <c r="G2697" s="2" t="s">
        <v>316</v>
      </c>
      <c r="H2697" s="2" t="s">
        <v>35</v>
      </c>
      <c r="I2697" s="2" t="s">
        <v>36</v>
      </c>
      <c r="J2697" s="2" t="s">
        <v>60</v>
      </c>
      <c r="K2697" s="2" t="s">
        <v>36</v>
      </c>
      <c r="L2697">
        <v>17178.27</v>
      </c>
      <c r="M2697">
        <v>27</v>
      </c>
      <c r="N2697">
        <v>110.667</v>
      </c>
      <c r="O2697">
        <v>6600879</v>
      </c>
      <c r="P2697" s="2" t="s">
        <v>61</v>
      </c>
      <c r="Q2697" s="2" t="s">
        <v>35</v>
      </c>
      <c r="R2697" s="2" t="s">
        <v>30</v>
      </c>
      <c r="S2697">
        <v>9</v>
      </c>
      <c r="T2697" s="1">
        <v>43816</v>
      </c>
      <c r="U2697" s="1">
        <v>43821</v>
      </c>
      <c r="V2697" s="2" t="s">
        <v>42</v>
      </c>
      <c r="W2697" s="1">
        <f>fNotasFiscais[[#This Row],[Data da Coleta]]+fNotasFiscais[[#This Row],[Prazo Contratado]]</f>
        <v>43825</v>
      </c>
      <c r="X2697" s="3">
        <f>IF(fNotasFiscais[[#This Row],[Data da Entrega]]&gt;fNotasFiscais[[#This Row],[Data Contratada]],0,1)</f>
        <v>1</v>
      </c>
      <c r="Y2697" s="3">
        <f>IF(fNotasFiscais[[#This Row],[Ocorrência]]="",1,0)</f>
        <v>0</v>
      </c>
      <c r="Z2697" s="2">
        <f>fNotasFiscais[[#This Row],[On Time]]*fNotasFiscais[[#This Row],[In Full]]</f>
        <v>0</v>
      </c>
      <c r="AA2697">
        <f>IF(fNotasFiscais[[#This Row],[Nota Fiscal]]&lt;&gt;"",1,0)</f>
        <v>1</v>
      </c>
    </row>
    <row r="2698" spans="1:27" x14ac:dyDescent="0.25">
      <c r="A2698" s="1">
        <v>43817</v>
      </c>
      <c r="B2698">
        <v>13107</v>
      </c>
      <c r="C2698" s="2" t="s">
        <v>40</v>
      </c>
      <c r="D2698" s="2" t="s">
        <v>41</v>
      </c>
      <c r="E2698" s="2" t="s">
        <v>33</v>
      </c>
      <c r="F2698">
        <v>4050</v>
      </c>
      <c r="G2698" s="2" t="s">
        <v>127</v>
      </c>
      <c r="H2698" s="2" t="s">
        <v>64</v>
      </c>
      <c r="I2698" s="2" t="s">
        <v>65</v>
      </c>
      <c r="J2698" s="2" t="s">
        <v>49</v>
      </c>
      <c r="K2698" s="2" t="s">
        <v>65</v>
      </c>
      <c r="L2698">
        <v>216.93</v>
      </c>
      <c r="M2698">
        <v>8</v>
      </c>
      <c r="N2698">
        <v>14.712999999999999</v>
      </c>
      <c r="O2698">
        <v>6100231</v>
      </c>
      <c r="P2698" s="2" t="s">
        <v>50</v>
      </c>
      <c r="Q2698" s="2" t="s">
        <v>51</v>
      </c>
      <c r="R2698" s="2" t="s">
        <v>30</v>
      </c>
      <c r="S2698">
        <v>2</v>
      </c>
      <c r="T2698" s="1">
        <v>43817</v>
      </c>
      <c r="U2698" s="1">
        <v>43819</v>
      </c>
      <c r="V2698" s="2"/>
      <c r="W2698" s="1">
        <f>fNotasFiscais[[#This Row],[Data da Coleta]]+fNotasFiscais[[#This Row],[Prazo Contratado]]</f>
        <v>43819</v>
      </c>
      <c r="X2698" s="3">
        <f>IF(fNotasFiscais[[#This Row],[Data da Entrega]]&gt;fNotasFiscais[[#This Row],[Data Contratada]],0,1)</f>
        <v>1</v>
      </c>
      <c r="Y2698" s="3">
        <f>IF(fNotasFiscais[[#This Row],[Ocorrência]]="",1,0)</f>
        <v>1</v>
      </c>
      <c r="Z2698" s="2">
        <f>fNotasFiscais[[#This Row],[On Time]]*fNotasFiscais[[#This Row],[In Full]]</f>
        <v>1</v>
      </c>
      <c r="AA2698">
        <f>IF(fNotasFiscais[[#This Row],[Nota Fiscal]]&lt;&gt;"",1,0)</f>
        <v>1</v>
      </c>
    </row>
    <row r="2699" spans="1:27" x14ac:dyDescent="0.25">
      <c r="A2699" s="1">
        <v>43816</v>
      </c>
      <c r="B2699">
        <v>13108</v>
      </c>
      <c r="C2699" s="2" t="s">
        <v>52</v>
      </c>
      <c r="D2699" s="2" t="s">
        <v>53</v>
      </c>
      <c r="E2699" s="2" t="s">
        <v>33</v>
      </c>
      <c r="F2699">
        <v>4268</v>
      </c>
      <c r="G2699" s="2" t="s">
        <v>351</v>
      </c>
      <c r="H2699" s="2" t="s">
        <v>167</v>
      </c>
      <c r="I2699" s="2" t="s">
        <v>168</v>
      </c>
      <c r="J2699" s="2" t="s">
        <v>169</v>
      </c>
      <c r="K2699" s="2" t="s">
        <v>168</v>
      </c>
      <c r="L2699">
        <v>2910.47</v>
      </c>
      <c r="M2699">
        <v>1</v>
      </c>
      <c r="N2699">
        <v>1.1200000000000001</v>
      </c>
      <c r="O2699">
        <v>6900304</v>
      </c>
      <c r="P2699" s="2" t="s">
        <v>170</v>
      </c>
      <c r="Q2699" s="2" t="s">
        <v>171</v>
      </c>
      <c r="R2699" s="2" t="s">
        <v>30</v>
      </c>
      <c r="S2699">
        <v>10</v>
      </c>
      <c r="T2699" s="1">
        <v>43817</v>
      </c>
      <c r="U2699" s="1">
        <v>43823</v>
      </c>
      <c r="V2699" s="2"/>
      <c r="W2699" s="1">
        <f>fNotasFiscais[[#This Row],[Data da Coleta]]+fNotasFiscais[[#This Row],[Prazo Contratado]]</f>
        <v>43827</v>
      </c>
      <c r="X2699" s="3">
        <f>IF(fNotasFiscais[[#This Row],[Data da Entrega]]&gt;fNotasFiscais[[#This Row],[Data Contratada]],0,1)</f>
        <v>1</v>
      </c>
      <c r="Y2699" s="3">
        <f>IF(fNotasFiscais[[#This Row],[Ocorrência]]="",1,0)</f>
        <v>1</v>
      </c>
      <c r="Z2699" s="2">
        <f>fNotasFiscais[[#This Row],[On Time]]*fNotasFiscais[[#This Row],[In Full]]</f>
        <v>1</v>
      </c>
      <c r="AA2699">
        <f>IF(fNotasFiscais[[#This Row],[Nota Fiscal]]&lt;&gt;"",1,0)</f>
        <v>1</v>
      </c>
    </row>
    <row r="2700" spans="1:27" x14ac:dyDescent="0.25">
      <c r="A2700" s="1">
        <v>43816</v>
      </c>
      <c r="B2700">
        <v>13109</v>
      </c>
      <c r="C2700" s="2" t="s">
        <v>54</v>
      </c>
      <c r="D2700" s="2" t="s">
        <v>55</v>
      </c>
      <c r="E2700" s="2" t="s">
        <v>56</v>
      </c>
      <c r="F2700">
        <v>4269</v>
      </c>
      <c r="G2700" s="2" t="s">
        <v>352</v>
      </c>
      <c r="H2700" s="2" t="s">
        <v>32</v>
      </c>
      <c r="I2700" s="2" t="s">
        <v>33</v>
      </c>
      <c r="J2700" s="2" t="s">
        <v>60</v>
      </c>
      <c r="K2700" s="2" t="s">
        <v>33</v>
      </c>
      <c r="L2700">
        <v>2576.9499999999998</v>
      </c>
      <c r="M2700">
        <v>14</v>
      </c>
      <c r="N2700">
        <v>54.921999999999997</v>
      </c>
      <c r="O2700">
        <v>6400835</v>
      </c>
      <c r="P2700" s="2" t="s">
        <v>130</v>
      </c>
      <c r="Q2700" s="2" t="s">
        <v>131</v>
      </c>
      <c r="R2700" s="2" t="s">
        <v>30</v>
      </c>
      <c r="S2700">
        <v>1</v>
      </c>
      <c r="T2700" s="1">
        <v>43817</v>
      </c>
      <c r="U2700" s="1">
        <v>43821</v>
      </c>
      <c r="V2700" s="2"/>
      <c r="W2700" s="1">
        <f>fNotasFiscais[[#This Row],[Data da Coleta]]+fNotasFiscais[[#This Row],[Prazo Contratado]]</f>
        <v>43818</v>
      </c>
      <c r="X2700" s="3">
        <f>IF(fNotasFiscais[[#This Row],[Data da Entrega]]&gt;fNotasFiscais[[#This Row],[Data Contratada]],0,1)</f>
        <v>0</v>
      </c>
      <c r="Y2700" s="3">
        <f>IF(fNotasFiscais[[#This Row],[Ocorrência]]="",1,0)</f>
        <v>1</v>
      </c>
      <c r="Z2700" s="2">
        <f>fNotasFiscais[[#This Row],[On Time]]*fNotasFiscais[[#This Row],[In Full]]</f>
        <v>0</v>
      </c>
      <c r="AA2700">
        <f>IF(fNotasFiscais[[#This Row],[Nota Fiscal]]&lt;&gt;"",1,0)</f>
        <v>1</v>
      </c>
    </row>
    <row r="2701" spans="1:27" x14ac:dyDescent="0.25">
      <c r="A2701" s="1">
        <v>43816</v>
      </c>
      <c r="B2701">
        <v>13110</v>
      </c>
      <c r="C2701" s="2" t="s">
        <v>52</v>
      </c>
      <c r="D2701" s="2" t="s">
        <v>53</v>
      </c>
      <c r="E2701" s="2" t="s">
        <v>33</v>
      </c>
      <c r="F2701">
        <v>4106</v>
      </c>
      <c r="G2701" s="2" t="s">
        <v>189</v>
      </c>
      <c r="H2701" s="2" t="s">
        <v>44</v>
      </c>
      <c r="I2701" s="2" t="s">
        <v>45</v>
      </c>
      <c r="J2701" s="2" t="s">
        <v>60</v>
      </c>
      <c r="K2701" s="2" t="s">
        <v>45</v>
      </c>
      <c r="L2701">
        <v>6072.25</v>
      </c>
      <c r="M2701">
        <v>1</v>
      </c>
      <c r="N2701">
        <v>1.1200000000000001</v>
      </c>
      <c r="O2701">
        <v>6140092</v>
      </c>
      <c r="P2701" s="2" t="s">
        <v>137</v>
      </c>
      <c r="Q2701" s="2" t="s">
        <v>138</v>
      </c>
      <c r="R2701" s="2" t="s">
        <v>30</v>
      </c>
      <c r="S2701">
        <v>8</v>
      </c>
      <c r="T2701" s="1">
        <v>43817</v>
      </c>
      <c r="U2701" s="1">
        <v>43818</v>
      </c>
      <c r="V2701" s="2"/>
      <c r="W2701" s="1">
        <f>fNotasFiscais[[#This Row],[Data da Coleta]]+fNotasFiscais[[#This Row],[Prazo Contratado]]</f>
        <v>43825</v>
      </c>
      <c r="X2701" s="3">
        <f>IF(fNotasFiscais[[#This Row],[Data da Entrega]]&gt;fNotasFiscais[[#This Row],[Data Contratada]],0,1)</f>
        <v>1</v>
      </c>
      <c r="Y2701" s="3">
        <f>IF(fNotasFiscais[[#This Row],[Ocorrência]]="",1,0)</f>
        <v>1</v>
      </c>
      <c r="Z2701" s="2">
        <f>fNotasFiscais[[#This Row],[On Time]]*fNotasFiscais[[#This Row],[In Full]]</f>
        <v>1</v>
      </c>
      <c r="AA2701">
        <f>IF(fNotasFiscais[[#This Row],[Nota Fiscal]]&lt;&gt;"",1,0)</f>
        <v>1</v>
      </c>
    </row>
    <row r="2702" spans="1:27" x14ac:dyDescent="0.25">
      <c r="A2702" s="1">
        <v>43816</v>
      </c>
      <c r="B2702">
        <v>13111</v>
      </c>
      <c r="C2702" s="2" t="s">
        <v>34</v>
      </c>
      <c r="D2702" s="2" t="s">
        <v>35</v>
      </c>
      <c r="E2702" s="2" t="s">
        <v>36</v>
      </c>
      <c r="F2702">
        <v>4270</v>
      </c>
      <c r="G2702" s="2" t="s">
        <v>353</v>
      </c>
      <c r="H2702" s="2" t="s">
        <v>35</v>
      </c>
      <c r="I2702" s="2" t="s">
        <v>36</v>
      </c>
      <c r="J2702" s="2" t="s">
        <v>60</v>
      </c>
      <c r="K2702" s="2" t="s">
        <v>36</v>
      </c>
      <c r="L2702">
        <v>21552.92</v>
      </c>
      <c r="M2702">
        <v>26</v>
      </c>
      <c r="N2702">
        <v>99.718000000000004</v>
      </c>
      <c r="O2702">
        <v>6600879</v>
      </c>
      <c r="P2702" s="2" t="s">
        <v>61</v>
      </c>
      <c r="Q2702" s="2" t="s">
        <v>35</v>
      </c>
      <c r="R2702" s="2" t="s">
        <v>30</v>
      </c>
      <c r="S2702">
        <v>8</v>
      </c>
      <c r="T2702" s="1">
        <v>43817</v>
      </c>
      <c r="U2702" s="1">
        <v>43820</v>
      </c>
      <c r="V2702" s="2"/>
      <c r="W2702" s="1">
        <f>fNotasFiscais[[#This Row],[Data da Coleta]]+fNotasFiscais[[#This Row],[Prazo Contratado]]</f>
        <v>43825</v>
      </c>
      <c r="X2702" s="3">
        <f>IF(fNotasFiscais[[#This Row],[Data da Entrega]]&gt;fNotasFiscais[[#This Row],[Data Contratada]],0,1)</f>
        <v>1</v>
      </c>
      <c r="Y2702" s="3">
        <f>IF(fNotasFiscais[[#This Row],[Ocorrência]]="",1,0)</f>
        <v>1</v>
      </c>
      <c r="Z2702" s="2">
        <f>fNotasFiscais[[#This Row],[On Time]]*fNotasFiscais[[#This Row],[In Full]]</f>
        <v>1</v>
      </c>
      <c r="AA2702">
        <f>IF(fNotasFiscais[[#This Row],[Nota Fiscal]]&lt;&gt;"",1,0)</f>
        <v>1</v>
      </c>
    </row>
    <row r="2703" spans="1:27" x14ac:dyDescent="0.25">
      <c r="A2703" s="1">
        <v>43816</v>
      </c>
      <c r="B2703">
        <v>13112</v>
      </c>
      <c r="C2703" s="2" t="s">
        <v>34</v>
      </c>
      <c r="D2703" s="2" t="s">
        <v>35</v>
      </c>
      <c r="E2703" s="2" t="s">
        <v>36</v>
      </c>
      <c r="F2703">
        <v>4271</v>
      </c>
      <c r="G2703" s="2" t="s">
        <v>354</v>
      </c>
      <c r="H2703" s="2" t="s">
        <v>44</v>
      </c>
      <c r="I2703" s="2" t="s">
        <v>45</v>
      </c>
      <c r="J2703" s="2" t="s">
        <v>60</v>
      </c>
      <c r="K2703" s="2" t="s">
        <v>45</v>
      </c>
      <c r="L2703">
        <v>59.55</v>
      </c>
      <c r="M2703">
        <v>1</v>
      </c>
      <c r="N2703">
        <v>0.11</v>
      </c>
      <c r="O2703">
        <v>6140092</v>
      </c>
      <c r="P2703" s="2" t="s">
        <v>137</v>
      </c>
      <c r="Q2703" s="2" t="s">
        <v>138</v>
      </c>
      <c r="R2703" s="2" t="s">
        <v>30</v>
      </c>
      <c r="S2703">
        <v>1</v>
      </c>
      <c r="T2703" s="1">
        <v>43817</v>
      </c>
      <c r="U2703" s="1">
        <v>43826</v>
      </c>
      <c r="V2703" s="2"/>
      <c r="W2703" s="1">
        <f>fNotasFiscais[[#This Row],[Data da Coleta]]+fNotasFiscais[[#This Row],[Prazo Contratado]]</f>
        <v>43818</v>
      </c>
      <c r="X2703" s="3">
        <f>IF(fNotasFiscais[[#This Row],[Data da Entrega]]&gt;fNotasFiscais[[#This Row],[Data Contratada]],0,1)</f>
        <v>0</v>
      </c>
      <c r="Y2703" s="3">
        <f>IF(fNotasFiscais[[#This Row],[Ocorrência]]="",1,0)</f>
        <v>1</v>
      </c>
      <c r="Z2703" s="2">
        <f>fNotasFiscais[[#This Row],[On Time]]*fNotasFiscais[[#This Row],[In Full]]</f>
        <v>0</v>
      </c>
      <c r="AA2703">
        <f>IF(fNotasFiscais[[#This Row],[Nota Fiscal]]&lt;&gt;"",1,0)</f>
        <v>1</v>
      </c>
    </row>
    <row r="2704" spans="1:27" x14ac:dyDescent="0.25">
      <c r="A2704" s="1">
        <v>43816</v>
      </c>
      <c r="B2704">
        <v>13113</v>
      </c>
      <c r="C2704" s="2" t="s">
        <v>31</v>
      </c>
      <c r="D2704" s="2" t="s">
        <v>32</v>
      </c>
      <c r="E2704" s="2" t="s">
        <v>33</v>
      </c>
      <c r="F2704">
        <v>4272</v>
      </c>
      <c r="G2704" s="2" t="s">
        <v>355</v>
      </c>
      <c r="H2704" s="2" t="s">
        <v>165</v>
      </c>
      <c r="I2704" s="2" t="s">
        <v>24</v>
      </c>
      <c r="J2704" s="2" t="s">
        <v>28</v>
      </c>
      <c r="K2704" s="2" t="s">
        <v>24</v>
      </c>
      <c r="L2704">
        <v>2394.23</v>
      </c>
      <c r="M2704">
        <v>3</v>
      </c>
      <c r="N2704">
        <v>24.332000000000001</v>
      </c>
      <c r="O2704">
        <v>6500948</v>
      </c>
      <c r="P2704" s="2" t="s">
        <v>29</v>
      </c>
      <c r="Q2704" s="2" t="s">
        <v>23</v>
      </c>
      <c r="R2704" s="2" t="s">
        <v>30</v>
      </c>
      <c r="S2704">
        <v>11</v>
      </c>
      <c r="T2704" s="1">
        <v>43817</v>
      </c>
      <c r="U2704" s="1">
        <v>43818</v>
      </c>
      <c r="V2704" s="2"/>
      <c r="W2704" s="1">
        <f>fNotasFiscais[[#This Row],[Data da Coleta]]+fNotasFiscais[[#This Row],[Prazo Contratado]]</f>
        <v>43828</v>
      </c>
      <c r="X2704" s="3">
        <f>IF(fNotasFiscais[[#This Row],[Data da Entrega]]&gt;fNotasFiscais[[#This Row],[Data Contratada]],0,1)</f>
        <v>1</v>
      </c>
      <c r="Y2704" s="3">
        <f>IF(fNotasFiscais[[#This Row],[Ocorrência]]="",1,0)</f>
        <v>1</v>
      </c>
      <c r="Z2704" s="2">
        <f>fNotasFiscais[[#This Row],[On Time]]*fNotasFiscais[[#This Row],[In Full]]</f>
        <v>1</v>
      </c>
      <c r="AA2704">
        <f>IF(fNotasFiscais[[#This Row],[Nota Fiscal]]&lt;&gt;"",1,0)</f>
        <v>1</v>
      </c>
    </row>
    <row r="2705" spans="1:27" x14ac:dyDescent="0.25">
      <c r="A2705" s="1">
        <v>43816</v>
      </c>
      <c r="B2705">
        <v>13114</v>
      </c>
      <c r="C2705" s="2" t="s">
        <v>34</v>
      </c>
      <c r="D2705" s="2" t="s">
        <v>35</v>
      </c>
      <c r="E2705" s="2" t="s">
        <v>36</v>
      </c>
      <c r="F2705">
        <v>4273</v>
      </c>
      <c r="G2705" s="2" t="s">
        <v>356</v>
      </c>
      <c r="H2705" s="2" t="s">
        <v>32</v>
      </c>
      <c r="I2705" s="2" t="s">
        <v>33</v>
      </c>
      <c r="J2705" s="2" t="s">
        <v>60</v>
      </c>
      <c r="K2705" s="2" t="s">
        <v>33</v>
      </c>
      <c r="L2705">
        <v>459.11</v>
      </c>
      <c r="M2705">
        <v>2</v>
      </c>
      <c r="N2705">
        <v>0.55000000000000004</v>
      </c>
      <c r="O2705">
        <v>6400835</v>
      </c>
      <c r="P2705" s="2" t="s">
        <v>130</v>
      </c>
      <c r="Q2705" s="2" t="s">
        <v>131</v>
      </c>
      <c r="R2705" s="2" t="s">
        <v>30</v>
      </c>
      <c r="S2705">
        <v>6</v>
      </c>
      <c r="T2705" s="1">
        <v>43817</v>
      </c>
      <c r="U2705" s="1">
        <v>43820</v>
      </c>
      <c r="V2705" s="2"/>
      <c r="W2705" s="1">
        <f>fNotasFiscais[[#This Row],[Data da Coleta]]+fNotasFiscais[[#This Row],[Prazo Contratado]]</f>
        <v>43823</v>
      </c>
      <c r="X2705" s="3">
        <f>IF(fNotasFiscais[[#This Row],[Data da Entrega]]&gt;fNotasFiscais[[#This Row],[Data Contratada]],0,1)</f>
        <v>1</v>
      </c>
      <c r="Y2705" s="3">
        <f>IF(fNotasFiscais[[#This Row],[Ocorrência]]="",1,0)</f>
        <v>1</v>
      </c>
      <c r="Z2705" s="2">
        <f>fNotasFiscais[[#This Row],[On Time]]*fNotasFiscais[[#This Row],[In Full]]</f>
        <v>1</v>
      </c>
      <c r="AA2705">
        <f>IF(fNotasFiscais[[#This Row],[Nota Fiscal]]&lt;&gt;"",1,0)</f>
        <v>1</v>
      </c>
    </row>
    <row r="2706" spans="1:27" x14ac:dyDescent="0.25">
      <c r="A2706" s="1">
        <v>43816</v>
      </c>
      <c r="B2706">
        <v>13115</v>
      </c>
      <c r="C2706" s="2" t="s">
        <v>22</v>
      </c>
      <c r="D2706" s="2" t="s">
        <v>23</v>
      </c>
      <c r="E2706" s="2" t="s">
        <v>24</v>
      </c>
      <c r="F2706">
        <v>4274</v>
      </c>
      <c r="G2706" s="2" t="s">
        <v>357</v>
      </c>
      <c r="H2706" s="2" t="s">
        <v>183</v>
      </c>
      <c r="I2706" s="2" t="s">
        <v>33</v>
      </c>
      <c r="J2706" s="2" t="s">
        <v>60</v>
      </c>
      <c r="K2706" s="2" t="s">
        <v>33</v>
      </c>
      <c r="L2706">
        <v>1068.3699999999999</v>
      </c>
      <c r="M2706">
        <v>1</v>
      </c>
      <c r="N2706">
        <v>11.837999999999999</v>
      </c>
      <c r="O2706">
        <v>6400835</v>
      </c>
      <c r="P2706" s="2" t="s">
        <v>130</v>
      </c>
      <c r="Q2706" s="2" t="s">
        <v>131</v>
      </c>
      <c r="R2706" s="2" t="s">
        <v>30</v>
      </c>
      <c r="S2706">
        <v>2</v>
      </c>
      <c r="T2706" s="1">
        <v>43817</v>
      </c>
      <c r="U2706" s="1">
        <v>43821</v>
      </c>
      <c r="V2706" s="2"/>
      <c r="W2706" s="1">
        <f>fNotasFiscais[[#This Row],[Data da Coleta]]+fNotasFiscais[[#This Row],[Prazo Contratado]]</f>
        <v>43819</v>
      </c>
      <c r="X2706" s="3">
        <f>IF(fNotasFiscais[[#This Row],[Data da Entrega]]&gt;fNotasFiscais[[#This Row],[Data Contratada]],0,1)</f>
        <v>0</v>
      </c>
      <c r="Y2706" s="3">
        <f>IF(fNotasFiscais[[#This Row],[Ocorrência]]="",1,0)</f>
        <v>1</v>
      </c>
      <c r="Z2706" s="2">
        <f>fNotasFiscais[[#This Row],[On Time]]*fNotasFiscais[[#This Row],[In Full]]</f>
        <v>0</v>
      </c>
      <c r="AA2706">
        <f>IF(fNotasFiscais[[#This Row],[Nota Fiscal]]&lt;&gt;"",1,0)</f>
        <v>1</v>
      </c>
    </row>
    <row r="2707" spans="1:27" x14ac:dyDescent="0.25">
      <c r="A2707" s="1">
        <v>43817</v>
      </c>
      <c r="B2707">
        <v>13116</v>
      </c>
      <c r="C2707" s="2" t="s">
        <v>40</v>
      </c>
      <c r="D2707" s="2" t="s">
        <v>41</v>
      </c>
      <c r="E2707" s="2" t="s">
        <v>33</v>
      </c>
      <c r="F2707">
        <v>4141</v>
      </c>
      <c r="G2707" s="2" t="s">
        <v>224</v>
      </c>
      <c r="H2707" s="2" t="s">
        <v>44</v>
      </c>
      <c r="I2707" s="2" t="s">
        <v>45</v>
      </c>
      <c r="J2707" s="2" t="s">
        <v>60</v>
      </c>
      <c r="K2707" s="2" t="s">
        <v>45</v>
      </c>
      <c r="L2707">
        <v>8485.81</v>
      </c>
      <c r="M2707">
        <v>10</v>
      </c>
      <c r="N2707">
        <v>65.468000000000004</v>
      </c>
      <c r="O2707">
        <v>6140092</v>
      </c>
      <c r="P2707" s="2" t="s">
        <v>137</v>
      </c>
      <c r="Q2707" s="2" t="s">
        <v>138</v>
      </c>
      <c r="R2707" s="2" t="s">
        <v>30</v>
      </c>
      <c r="S2707">
        <v>2</v>
      </c>
      <c r="T2707" s="1">
        <v>43818</v>
      </c>
      <c r="U2707" s="1">
        <v>43825</v>
      </c>
      <c r="V2707" s="2"/>
      <c r="W2707" s="1">
        <f>fNotasFiscais[[#This Row],[Data da Coleta]]+fNotasFiscais[[#This Row],[Prazo Contratado]]</f>
        <v>43820</v>
      </c>
      <c r="X2707" s="3">
        <f>IF(fNotasFiscais[[#This Row],[Data da Entrega]]&gt;fNotasFiscais[[#This Row],[Data Contratada]],0,1)</f>
        <v>0</v>
      </c>
      <c r="Y2707" s="3">
        <f>IF(fNotasFiscais[[#This Row],[Ocorrência]]="",1,0)</f>
        <v>1</v>
      </c>
      <c r="Z2707" s="2">
        <f>fNotasFiscais[[#This Row],[On Time]]*fNotasFiscais[[#This Row],[In Full]]</f>
        <v>0</v>
      </c>
      <c r="AA2707">
        <f>IF(fNotasFiscais[[#This Row],[Nota Fiscal]]&lt;&gt;"",1,0)</f>
        <v>1</v>
      </c>
    </row>
    <row r="2708" spans="1:27" x14ac:dyDescent="0.25">
      <c r="A2708" s="1">
        <v>43817</v>
      </c>
      <c r="B2708">
        <v>13117</v>
      </c>
      <c r="C2708" s="2" t="s">
        <v>54</v>
      </c>
      <c r="D2708" s="2" t="s">
        <v>55</v>
      </c>
      <c r="E2708" s="2" t="s">
        <v>56</v>
      </c>
      <c r="F2708">
        <v>4165</v>
      </c>
      <c r="G2708" s="2" t="s">
        <v>248</v>
      </c>
      <c r="H2708" s="2" t="s">
        <v>167</v>
      </c>
      <c r="I2708" s="2" t="s">
        <v>168</v>
      </c>
      <c r="J2708" s="2" t="s">
        <v>169</v>
      </c>
      <c r="K2708" s="2" t="s">
        <v>168</v>
      </c>
      <c r="L2708">
        <v>737.85</v>
      </c>
      <c r="M2708">
        <v>1</v>
      </c>
      <c r="N2708">
        <v>2.2000000000000002</v>
      </c>
      <c r="O2708">
        <v>6900304</v>
      </c>
      <c r="P2708" s="2" t="s">
        <v>170</v>
      </c>
      <c r="Q2708" s="2" t="s">
        <v>171</v>
      </c>
      <c r="R2708" s="2" t="s">
        <v>30</v>
      </c>
      <c r="S2708">
        <v>10</v>
      </c>
      <c r="T2708" s="1">
        <v>43818</v>
      </c>
      <c r="U2708" s="1">
        <v>43821</v>
      </c>
      <c r="V2708" s="2"/>
      <c r="W2708" s="1">
        <f>fNotasFiscais[[#This Row],[Data da Coleta]]+fNotasFiscais[[#This Row],[Prazo Contratado]]</f>
        <v>43828</v>
      </c>
      <c r="X2708" s="3">
        <f>IF(fNotasFiscais[[#This Row],[Data da Entrega]]&gt;fNotasFiscais[[#This Row],[Data Contratada]],0,1)</f>
        <v>1</v>
      </c>
      <c r="Y2708" s="3">
        <f>IF(fNotasFiscais[[#This Row],[Ocorrência]]="",1,0)</f>
        <v>1</v>
      </c>
      <c r="Z2708" s="2">
        <f>fNotasFiscais[[#This Row],[On Time]]*fNotasFiscais[[#This Row],[In Full]]</f>
        <v>1</v>
      </c>
      <c r="AA2708">
        <f>IF(fNotasFiscais[[#This Row],[Nota Fiscal]]&lt;&gt;"",1,0)</f>
        <v>1</v>
      </c>
    </row>
    <row r="2709" spans="1:27" x14ac:dyDescent="0.25">
      <c r="A2709" s="1">
        <v>43817</v>
      </c>
      <c r="B2709">
        <v>13118</v>
      </c>
      <c r="C2709" s="2" t="s">
        <v>31</v>
      </c>
      <c r="D2709" s="2" t="s">
        <v>32</v>
      </c>
      <c r="E2709" s="2" t="s">
        <v>33</v>
      </c>
      <c r="F2709">
        <v>4061</v>
      </c>
      <c r="G2709" s="2" t="s">
        <v>103</v>
      </c>
      <c r="H2709" s="2" t="s">
        <v>51</v>
      </c>
      <c r="I2709" s="2" t="s">
        <v>73</v>
      </c>
      <c r="J2709" s="2" t="s">
        <v>49</v>
      </c>
      <c r="K2709" s="2" t="s">
        <v>73</v>
      </c>
      <c r="L2709">
        <v>843.45</v>
      </c>
      <c r="M2709">
        <v>1</v>
      </c>
      <c r="N2709">
        <v>4.84</v>
      </c>
      <c r="O2709">
        <v>6100231</v>
      </c>
      <c r="P2709" s="2" t="s">
        <v>50</v>
      </c>
      <c r="Q2709" s="2" t="s">
        <v>51</v>
      </c>
      <c r="R2709" s="2" t="s">
        <v>30</v>
      </c>
      <c r="S2709">
        <v>2</v>
      </c>
      <c r="T2709" s="1">
        <v>43818</v>
      </c>
      <c r="U2709" s="1">
        <v>43821</v>
      </c>
      <c r="V2709" s="2"/>
      <c r="W2709" s="1">
        <f>fNotasFiscais[[#This Row],[Data da Coleta]]+fNotasFiscais[[#This Row],[Prazo Contratado]]</f>
        <v>43820</v>
      </c>
      <c r="X2709" s="3">
        <f>IF(fNotasFiscais[[#This Row],[Data da Entrega]]&gt;fNotasFiscais[[#This Row],[Data Contratada]],0,1)</f>
        <v>0</v>
      </c>
      <c r="Y2709" s="3">
        <f>IF(fNotasFiscais[[#This Row],[Ocorrência]]="",1,0)</f>
        <v>1</v>
      </c>
      <c r="Z2709" s="2">
        <f>fNotasFiscais[[#This Row],[On Time]]*fNotasFiscais[[#This Row],[In Full]]</f>
        <v>0</v>
      </c>
      <c r="AA2709">
        <f>IF(fNotasFiscais[[#This Row],[Nota Fiscal]]&lt;&gt;"",1,0)</f>
        <v>1</v>
      </c>
    </row>
    <row r="2710" spans="1:27" x14ac:dyDescent="0.25">
      <c r="A2710" s="1">
        <v>43817</v>
      </c>
      <c r="B2710">
        <v>13119</v>
      </c>
      <c r="C2710" s="2" t="s">
        <v>22</v>
      </c>
      <c r="D2710" s="2" t="s">
        <v>23</v>
      </c>
      <c r="E2710" s="2" t="s">
        <v>24</v>
      </c>
      <c r="F2710">
        <v>4260</v>
      </c>
      <c r="G2710" s="2" t="s">
        <v>343</v>
      </c>
      <c r="H2710" s="2" t="s">
        <v>44</v>
      </c>
      <c r="I2710" s="2" t="s">
        <v>45</v>
      </c>
      <c r="J2710" s="2" t="s">
        <v>60</v>
      </c>
      <c r="K2710" s="2" t="s">
        <v>45</v>
      </c>
      <c r="L2710">
        <v>3143.75</v>
      </c>
      <c r="M2710">
        <v>8</v>
      </c>
      <c r="N2710">
        <v>25.552</v>
      </c>
      <c r="O2710">
        <v>6140092</v>
      </c>
      <c r="P2710" s="2" t="s">
        <v>137</v>
      </c>
      <c r="Q2710" s="2" t="s">
        <v>138</v>
      </c>
      <c r="R2710" s="2" t="s">
        <v>30</v>
      </c>
      <c r="S2710">
        <v>6</v>
      </c>
      <c r="T2710" s="1">
        <v>43818</v>
      </c>
      <c r="U2710" s="1">
        <v>43822</v>
      </c>
      <c r="V2710" s="2"/>
      <c r="W2710" s="1">
        <f>fNotasFiscais[[#This Row],[Data da Coleta]]+fNotasFiscais[[#This Row],[Prazo Contratado]]</f>
        <v>43824</v>
      </c>
      <c r="X2710" s="3">
        <f>IF(fNotasFiscais[[#This Row],[Data da Entrega]]&gt;fNotasFiscais[[#This Row],[Data Contratada]],0,1)</f>
        <v>1</v>
      </c>
      <c r="Y2710" s="3">
        <f>IF(fNotasFiscais[[#This Row],[Ocorrência]]="",1,0)</f>
        <v>1</v>
      </c>
      <c r="Z2710" s="2">
        <f>fNotasFiscais[[#This Row],[On Time]]*fNotasFiscais[[#This Row],[In Full]]</f>
        <v>1</v>
      </c>
      <c r="AA2710">
        <f>IF(fNotasFiscais[[#This Row],[Nota Fiscal]]&lt;&gt;"",1,0)</f>
        <v>1</v>
      </c>
    </row>
    <row r="2711" spans="1:27" x14ac:dyDescent="0.25">
      <c r="A2711" s="1">
        <v>43817</v>
      </c>
      <c r="B2711">
        <v>13120</v>
      </c>
      <c r="C2711" s="2" t="s">
        <v>43</v>
      </c>
      <c r="D2711" s="2" t="s">
        <v>44</v>
      </c>
      <c r="E2711" s="2" t="s">
        <v>45</v>
      </c>
      <c r="F2711">
        <v>4233</v>
      </c>
      <c r="G2711" s="2" t="s">
        <v>316</v>
      </c>
      <c r="H2711" s="2" t="s">
        <v>35</v>
      </c>
      <c r="I2711" s="2" t="s">
        <v>36</v>
      </c>
      <c r="J2711" s="2" t="s">
        <v>60</v>
      </c>
      <c r="K2711" s="2" t="s">
        <v>36</v>
      </c>
      <c r="L2711">
        <v>5589.48</v>
      </c>
      <c r="M2711">
        <v>6</v>
      </c>
      <c r="N2711">
        <v>41.976999999999997</v>
      </c>
      <c r="O2711">
        <v>6600879</v>
      </c>
      <c r="P2711" s="2" t="s">
        <v>61</v>
      </c>
      <c r="Q2711" s="2" t="s">
        <v>35</v>
      </c>
      <c r="R2711" s="2" t="s">
        <v>30</v>
      </c>
      <c r="S2711">
        <v>10</v>
      </c>
      <c r="T2711" s="1">
        <v>43818</v>
      </c>
      <c r="U2711" s="1">
        <v>43828</v>
      </c>
      <c r="V2711" s="2" t="s">
        <v>57</v>
      </c>
      <c r="W2711" s="1">
        <f>fNotasFiscais[[#This Row],[Data da Coleta]]+fNotasFiscais[[#This Row],[Prazo Contratado]]</f>
        <v>43828</v>
      </c>
      <c r="X2711" s="3">
        <f>IF(fNotasFiscais[[#This Row],[Data da Entrega]]&gt;fNotasFiscais[[#This Row],[Data Contratada]],0,1)</f>
        <v>1</v>
      </c>
      <c r="Y2711" s="3">
        <f>IF(fNotasFiscais[[#This Row],[Ocorrência]]="",1,0)</f>
        <v>0</v>
      </c>
      <c r="Z2711" s="2">
        <f>fNotasFiscais[[#This Row],[On Time]]*fNotasFiscais[[#This Row],[In Full]]</f>
        <v>0</v>
      </c>
      <c r="AA2711">
        <f>IF(fNotasFiscais[[#This Row],[Nota Fiscal]]&lt;&gt;"",1,0)</f>
        <v>1</v>
      </c>
    </row>
    <row r="2712" spans="1:27" x14ac:dyDescent="0.25">
      <c r="A2712" s="1">
        <v>43818</v>
      </c>
      <c r="B2712">
        <v>13121</v>
      </c>
      <c r="C2712" s="2" t="s">
        <v>43</v>
      </c>
      <c r="D2712" s="2" t="s">
        <v>44</v>
      </c>
      <c r="E2712" s="2" t="s">
        <v>45</v>
      </c>
      <c r="F2712">
        <v>4161</v>
      </c>
      <c r="G2712" s="2" t="s">
        <v>244</v>
      </c>
      <c r="H2712" s="2" t="s">
        <v>167</v>
      </c>
      <c r="I2712" s="2" t="s">
        <v>168</v>
      </c>
      <c r="J2712" s="2" t="s">
        <v>169</v>
      </c>
      <c r="K2712" s="2" t="s">
        <v>168</v>
      </c>
      <c r="L2712">
        <v>1867.72</v>
      </c>
      <c r="M2712">
        <v>2</v>
      </c>
      <c r="N2712">
        <v>13.186</v>
      </c>
      <c r="O2712">
        <v>6900304</v>
      </c>
      <c r="P2712" s="2" t="s">
        <v>170</v>
      </c>
      <c r="Q2712" s="2" t="s">
        <v>171</v>
      </c>
      <c r="R2712" s="2" t="s">
        <v>30</v>
      </c>
      <c r="S2712">
        <v>2</v>
      </c>
      <c r="T2712" s="1">
        <v>43819</v>
      </c>
      <c r="U2712" s="1">
        <v>43826</v>
      </c>
      <c r="V2712" s="2"/>
      <c r="W2712" s="1">
        <f>fNotasFiscais[[#This Row],[Data da Coleta]]+fNotasFiscais[[#This Row],[Prazo Contratado]]</f>
        <v>43821</v>
      </c>
      <c r="X2712" s="3">
        <f>IF(fNotasFiscais[[#This Row],[Data da Entrega]]&gt;fNotasFiscais[[#This Row],[Data Contratada]],0,1)</f>
        <v>0</v>
      </c>
      <c r="Y2712" s="3">
        <f>IF(fNotasFiscais[[#This Row],[Ocorrência]]="",1,0)</f>
        <v>1</v>
      </c>
      <c r="Z2712" s="2">
        <f>fNotasFiscais[[#This Row],[On Time]]*fNotasFiscais[[#This Row],[In Full]]</f>
        <v>0</v>
      </c>
      <c r="AA2712">
        <f>IF(fNotasFiscais[[#This Row],[Nota Fiscal]]&lt;&gt;"",1,0)</f>
        <v>1</v>
      </c>
    </row>
    <row r="2713" spans="1:27" x14ac:dyDescent="0.25">
      <c r="A2713" s="1">
        <v>43818</v>
      </c>
      <c r="B2713">
        <v>13122</v>
      </c>
      <c r="C2713" s="2" t="s">
        <v>31</v>
      </c>
      <c r="D2713" s="2" t="s">
        <v>32</v>
      </c>
      <c r="E2713" s="2" t="s">
        <v>33</v>
      </c>
      <c r="F2713">
        <v>4173</v>
      </c>
      <c r="G2713" s="2" t="s">
        <v>256</v>
      </c>
      <c r="H2713" s="2" t="s">
        <v>35</v>
      </c>
      <c r="I2713" s="2" t="s">
        <v>36</v>
      </c>
      <c r="J2713" s="2" t="s">
        <v>60</v>
      </c>
      <c r="K2713" s="2" t="s">
        <v>36</v>
      </c>
      <c r="L2713">
        <v>425.83</v>
      </c>
      <c r="M2713">
        <v>1</v>
      </c>
      <c r="N2713">
        <v>0.749</v>
      </c>
      <c r="O2713">
        <v>6600879</v>
      </c>
      <c r="P2713" s="2" t="s">
        <v>61</v>
      </c>
      <c r="Q2713" s="2" t="s">
        <v>35</v>
      </c>
      <c r="R2713" s="2" t="s">
        <v>30</v>
      </c>
      <c r="S2713">
        <v>5</v>
      </c>
      <c r="T2713" s="1">
        <v>43819</v>
      </c>
      <c r="U2713" s="1">
        <v>43828</v>
      </c>
      <c r="V2713" s="2"/>
      <c r="W2713" s="1">
        <f>fNotasFiscais[[#This Row],[Data da Coleta]]+fNotasFiscais[[#This Row],[Prazo Contratado]]</f>
        <v>43824</v>
      </c>
      <c r="X2713" s="3">
        <f>IF(fNotasFiscais[[#This Row],[Data da Entrega]]&gt;fNotasFiscais[[#This Row],[Data Contratada]],0,1)</f>
        <v>0</v>
      </c>
      <c r="Y2713" s="3">
        <f>IF(fNotasFiscais[[#This Row],[Ocorrência]]="",1,0)</f>
        <v>1</v>
      </c>
      <c r="Z2713" s="2">
        <f>fNotasFiscais[[#This Row],[On Time]]*fNotasFiscais[[#This Row],[In Full]]</f>
        <v>0</v>
      </c>
      <c r="AA2713">
        <f>IF(fNotasFiscais[[#This Row],[Nota Fiscal]]&lt;&gt;"",1,0)</f>
        <v>1</v>
      </c>
    </row>
    <row r="2714" spans="1:27" x14ac:dyDescent="0.25">
      <c r="A2714" s="1">
        <v>43819</v>
      </c>
      <c r="B2714">
        <v>13123</v>
      </c>
      <c r="C2714" s="2" t="s">
        <v>40</v>
      </c>
      <c r="D2714" s="2" t="s">
        <v>41</v>
      </c>
      <c r="E2714" s="2" t="s">
        <v>33</v>
      </c>
      <c r="F2714">
        <v>4233</v>
      </c>
      <c r="G2714" s="2" t="s">
        <v>316</v>
      </c>
      <c r="H2714" s="2" t="s">
        <v>35</v>
      </c>
      <c r="I2714" s="2" t="s">
        <v>36</v>
      </c>
      <c r="J2714" s="2" t="s">
        <v>60</v>
      </c>
      <c r="K2714" s="2" t="s">
        <v>36</v>
      </c>
      <c r="L2714">
        <v>431.36</v>
      </c>
      <c r="M2714">
        <v>1</v>
      </c>
      <c r="N2714">
        <v>0.749</v>
      </c>
      <c r="O2714">
        <v>6600879</v>
      </c>
      <c r="P2714" s="2" t="s">
        <v>61</v>
      </c>
      <c r="Q2714" s="2" t="s">
        <v>35</v>
      </c>
      <c r="R2714" s="2" t="s">
        <v>30</v>
      </c>
      <c r="S2714">
        <v>3</v>
      </c>
      <c r="T2714" s="1">
        <v>43820</v>
      </c>
      <c r="U2714" s="1">
        <v>43827</v>
      </c>
      <c r="V2714" s="2"/>
      <c r="W2714" s="1">
        <f>fNotasFiscais[[#This Row],[Data da Coleta]]+fNotasFiscais[[#This Row],[Prazo Contratado]]</f>
        <v>43823</v>
      </c>
      <c r="X2714" s="3">
        <f>IF(fNotasFiscais[[#This Row],[Data da Entrega]]&gt;fNotasFiscais[[#This Row],[Data Contratada]],0,1)</f>
        <v>0</v>
      </c>
      <c r="Y2714" s="3">
        <f>IF(fNotasFiscais[[#This Row],[Ocorrência]]="",1,0)</f>
        <v>1</v>
      </c>
      <c r="Z2714" s="2">
        <f>fNotasFiscais[[#This Row],[On Time]]*fNotasFiscais[[#This Row],[In Full]]</f>
        <v>0</v>
      </c>
      <c r="AA2714">
        <f>IF(fNotasFiscais[[#This Row],[Nota Fiscal]]&lt;&gt;"",1,0)</f>
        <v>1</v>
      </c>
    </row>
    <row r="2715" spans="1:27" x14ac:dyDescent="0.25">
      <c r="A2715" s="1">
        <v>43819</v>
      </c>
      <c r="B2715">
        <v>13124</v>
      </c>
      <c r="C2715" s="2" t="s">
        <v>22</v>
      </c>
      <c r="D2715" s="2" t="s">
        <v>23</v>
      </c>
      <c r="E2715" s="2" t="s">
        <v>24</v>
      </c>
      <c r="F2715">
        <v>4233</v>
      </c>
      <c r="G2715" s="2" t="s">
        <v>316</v>
      </c>
      <c r="H2715" s="2" t="s">
        <v>35</v>
      </c>
      <c r="I2715" s="2" t="s">
        <v>36</v>
      </c>
      <c r="J2715" s="2" t="s">
        <v>60</v>
      </c>
      <c r="K2715" s="2" t="s">
        <v>36</v>
      </c>
      <c r="L2715">
        <v>8613.89</v>
      </c>
      <c r="M2715">
        <v>13</v>
      </c>
      <c r="N2715">
        <v>86.325000000000003</v>
      </c>
      <c r="O2715">
        <v>6600879</v>
      </c>
      <c r="P2715" s="2" t="s">
        <v>61</v>
      </c>
      <c r="Q2715" s="2" t="s">
        <v>35</v>
      </c>
      <c r="R2715" s="2" t="s">
        <v>30</v>
      </c>
      <c r="S2715">
        <v>5</v>
      </c>
      <c r="T2715" s="1">
        <v>43820</v>
      </c>
      <c r="U2715" s="1">
        <v>43827</v>
      </c>
      <c r="V2715" s="2"/>
      <c r="W2715" s="1">
        <f>fNotasFiscais[[#This Row],[Data da Coleta]]+fNotasFiscais[[#This Row],[Prazo Contratado]]</f>
        <v>43825</v>
      </c>
      <c r="X2715" s="3">
        <f>IF(fNotasFiscais[[#This Row],[Data da Entrega]]&gt;fNotasFiscais[[#This Row],[Data Contratada]],0,1)</f>
        <v>0</v>
      </c>
      <c r="Y2715" s="3">
        <f>IF(fNotasFiscais[[#This Row],[Ocorrência]]="",1,0)</f>
        <v>1</v>
      </c>
      <c r="Z2715" s="2">
        <f>fNotasFiscais[[#This Row],[On Time]]*fNotasFiscais[[#This Row],[In Full]]</f>
        <v>0</v>
      </c>
      <c r="AA2715">
        <f>IF(fNotasFiscais[[#This Row],[Nota Fiscal]]&lt;&gt;"",1,0)</f>
        <v>1</v>
      </c>
    </row>
    <row r="2716" spans="1:27" x14ac:dyDescent="0.25">
      <c r="A2716" s="1">
        <v>43824</v>
      </c>
      <c r="B2716">
        <v>13125</v>
      </c>
      <c r="C2716" s="2" t="s">
        <v>22</v>
      </c>
      <c r="D2716" s="2" t="s">
        <v>23</v>
      </c>
      <c r="E2716" s="2" t="s">
        <v>24</v>
      </c>
      <c r="F2716">
        <v>4061</v>
      </c>
      <c r="G2716" s="2" t="s">
        <v>103</v>
      </c>
      <c r="H2716" s="2" t="s">
        <v>51</v>
      </c>
      <c r="I2716" s="2" t="s">
        <v>73</v>
      </c>
      <c r="J2716" s="2" t="s">
        <v>49</v>
      </c>
      <c r="K2716" s="2" t="s">
        <v>73</v>
      </c>
      <c r="L2716">
        <v>638.52</v>
      </c>
      <c r="M2716">
        <v>1</v>
      </c>
      <c r="N2716">
        <v>1.1200000000000001</v>
      </c>
      <c r="O2716">
        <v>6100231</v>
      </c>
      <c r="P2716" s="2" t="s">
        <v>50</v>
      </c>
      <c r="Q2716" s="2" t="s">
        <v>51</v>
      </c>
      <c r="R2716" s="2" t="s">
        <v>30</v>
      </c>
      <c r="S2716">
        <v>4</v>
      </c>
      <c r="T2716" s="1">
        <v>43825</v>
      </c>
      <c r="U2716" s="1">
        <v>43834</v>
      </c>
      <c r="V2716" s="2"/>
      <c r="W2716" s="1">
        <f>fNotasFiscais[[#This Row],[Data da Coleta]]+fNotasFiscais[[#This Row],[Prazo Contratado]]</f>
        <v>43829</v>
      </c>
      <c r="X2716" s="3">
        <f>IF(fNotasFiscais[[#This Row],[Data da Entrega]]&gt;fNotasFiscais[[#This Row],[Data Contratada]],0,1)</f>
        <v>0</v>
      </c>
      <c r="Y2716" s="3">
        <f>IF(fNotasFiscais[[#This Row],[Ocorrência]]="",1,0)</f>
        <v>1</v>
      </c>
      <c r="Z2716" s="2">
        <f>fNotasFiscais[[#This Row],[On Time]]*fNotasFiscais[[#This Row],[In Full]]</f>
        <v>0</v>
      </c>
      <c r="AA2716">
        <f>IF(fNotasFiscais[[#This Row],[Nota Fiscal]]&lt;&gt;"",1,0)</f>
        <v>1</v>
      </c>
    </row>
    <row r="2717" spans="1:27" x14ac:dyDescent="0.25">
      <c r="A2717" s="1">
        <v>43824</v>
      </c>
      <c r="B2717">
        <v>13126</v>
      </c>
      <c r="C2717" s="2" t="s">
        <v>22</v>
      </c>
      <c r="D2717" s="2" t="s">
        <v>23</v>
      </c>
      <c r="E2717" s="2" t="s">
        <v>24</v>
      </c>
      <c r="F2717">
        <v>4138</v>
      </c>
      <c r="G2717" s="2" t="s">
        <v>221</v>
      </c>
      <c r="H2717" s="2" t="s">
        <v>173</v>
      </c>
      <c r="I2717" s="2" t="s">
        <v>174</v>
      </c>
      <c r="J2717" s="2" t="s">
        <v>175</v>
      </c>
      <c r="K2717" s="2" t="s">
        <v>174</v>
      </c>
      <c r="L2717">
        <v>6880.57</v>
      </c>
      <c r="M2717">
        <v>12</v>
      </c>
      <c r="N2717">
        <v>56.216999999999999</v>
      </c>
      <c r="O2717">
        <v>6700091</v>
      </c>
      <c r="P2717" s="2" t="s">
        <v>176</v>
      </c>
      <c r="Q2717" s="2" t="s">
        <v>173</v>
      </c>
      <c r="R2717" s="2" t="s">
        <v>30</v>
      </c>
      <c r="S2717">
        <v>4</v>
      </c>
      <c r="T2717" s="1">
        <v>43825</v>
      </c>
      <c r="U2717" s="1">
        <v>43835</v>
      </c>
      <c r="V2717" s="2"/>
      <c r="W2717" s="1">
        <f>fNotasFiscais[[#This Row],[Data da Coleta]]+fNotasFiscais[[#This Row],[Prazo Contratado]]</f>
        <v>43829</v>
      </c>
      <c r="X2717" s="3">
        <f>IF(fNotasFiscais[[#This Row],[Data da Entrega]]&gt;fNotasFiscais[[#This Row],[Data Contratada]],0,1)</f>
        <v>0</v>
      </c>
      <c r="Y2717" s="3">
        <f>IF(fNotasFiscais[[#This Row],[Ocorrência]]="",1,0)</f>
        <v>1</v>
      </c>
      <c r="Z2717" s="2">
        <f>fNotasFiscais[[#This Row],[On Time]]*fNotasFiscais[[#This Row],[In Full]]</f>
        <v>0</v>
      </c>
      <c r="AA2717">
        <f>IF(fNotasFiscais[[#This Row],[Nota Fiscal]]&lt;&gt;"",1,0)</f>
        <v>1</v>
      </c>
    </row>
    <row r="2718" spans="1:27" x14ac:dyDescent="0.25">
      <c r="A2718" s="1">
        <v>43825</v>
      </c>
      <c r="B2718">
        <v>13127</v>
      </c>
      <c r="C2718" s="2" t="s">
        <v>31</v>
      </c>
      <c r="D2718" s="2" t="s">
        <v>32</v>
      </c>
      <c r="E2718" s="2" t="s">
        <v>33</v>
      </c>
      <c r="F2718">
        <v>4132</v>
      </c>
      <c r="G2718" s="2" t="s">
        <v>215</v>
      </c>
      <c r="H2718" s="2" t="s">
        <v>183</v>
      </c>
      <c r="I2718" s="2" t="s">
        <v>33</v>
      </c>
      <c r="J2718" s="2" t="s">
        <v>60</v>
      </c>
      <c r="K2718" s="2" t="s">
        <v>33</v>
      </c>
      <c r="L2718">
        <v>1668.76</v>
      </c>
      <c r="M2718">
        <v>1</v>
      </c>
      <c r="N2718">
        <v>1.1200000000000001</v>
      </c>
      <c r="O2718">
        <v>6400835</v>
      </c>
      <c r="P2718" s="2" t="s">
        <v>130</v>
      </c>
      <c r="Q2718" s="2" t="s">
        <v>131</v>
      </c>
      <c r="R2718" s="2" t="s">
        <v>30</v>
      </c>
      <c r="S2718">
        <v>8</v>
      </c>
      <c r="T2718" s="1">
        <v>43826</v>
      </c>
      <c r="U2718" s="1">
        <v>43835</v>
      </c>
      <c r="V2718" s="2"/>
      <c r="W2718" s="1">
        <f>fNotasFiscais[[#This Row],[Data da Coleta]]+fNotasFiscais[[#This Row],[Prazo Contratado]]</f>
        <v>43834</v>
      </c>
      <c r="X2718" s="3">
        <f>IF(fNotasFiscais[[#This Row],[Data da Entrega]]&gt;fNotasFiscais[[#This Row],[Data Contratada]],0,1)</f>
        <v>0</v>
      </c>
      <c r="Y2718" s="3">
        <f>IF(fNotasFiscais[[#This Row],[Ocorrência]]="",1,0)</f>
        <v>1</v>
      </c>
      <c r="Z2718" s="2">
        <f>fNotasFiscais[[#This Row],[On Time]]*fNotasFiscais[[#This Row],[In Full]]</f>
        <v>0</v>
      </c>
      <c r="AA2718">
        <f>IF(fNotasFiscais[[#This Row],[Nota Fiscal]]&lt;&gt;"",1,0)</f>
        <v>1</v>
      </c>
    </row>
    <row r="2719" spans="1:27" x14ac:dyDescent="0.25">
      <c r="A2719" s="1">
        <v>43826</v>
      </c>
      <c r="B2719">
        <v>13128</v>
      </c>
      <c r="C2719" s="2" t="s">
        <v>54</v>
      </c>
      <c r="D2719" s="2" t="s">
        <v>55</v>
      </c>
      <c r="E2719" s="2" t="s">
        <v>56</v>
      </c>
      <c r="F2719">
        <v>4131</v>
      </c>
      <c r="G2719" s="2" t="s">
        <v>214</v>
      </c>
      <c r="H2719" s="2" t="s">
        <v>167</v>
      </c>
      <c r="I2719" s="2" t="s">
        <v>168</v>
      </c>
      <c r="J2719" s="2" t="s">
        <v>169</v>
      </c>
      <c r="K2719" s="2" t="s">
        <v>168</v>
      </c>
      <c r="L2719">
        <v>2901.36</v>
      </c>
      <c r="M2719">
        <v>7</v>
      </c>
      <c r="N2719">
        <v>14.176</v>
      </c>
      <c r="O2719">
        <v>6900304</v>
      </c>
      <c r="P2719" s="2" t="s">
        <v>170</v>
      </c>
      <c r="Q2719" s="2" t="s">
        <v>171</v>
      </c>
      <c r="R2719" s="2" t="s">
        <v>30</v>
      </c>
      <c r="S2719">
        <v>2</v>
      </c>
      <c r="T2719" s="1">
        <v>43826</v>
      </c>
      <c r="U2719" s="1">
        <v>43831</v>
      </c>
      <c r="V2719" s="2"/>
      <c r="W2719" s="1">
        <f>fNotasFiscais[[#This Row],[Data da Coleta]]+fNotasFiscais[[#This Row],[Prazo Contratado]]</f>
        <v>43828</v>
      </c>
      <c r="X2719" s="3">
        <f>IF(fNotasFiscais[[#This Row],[Data da Entrega]]&gt;fNotasFiscais[[#This Row],[Data Contratada]],0,1)</f>
        <v>0</v>
      </c>
      <c r="Y2719" s="3">
        <f>IF(fNotasFiscais[[#This Row],[Ocorrência]]="",1,0)</f>
        <v>1</v>
      </c>
      <c r="Z2719" s="2">
        <f>fNotasFiscais[[#This Row],[On Time]]*fNotasFiscais[[#This Row],[In Full]]</f>
        <v>0</v>
      </c>
      <c r="AA2719">
        <f>IF(fNotasFiscais[[#This Row],[Nota Fiscal]]&lt;&gt;"",1,0)</f>
        <v>1</v>
      </c>
    </row>
    <row r="2720" spans="1:27" x14ac:dyDescent="0.25">
      <c r="A2720" s="1">
        <v>43826</v>
      </c>
      <c r="B2720">
        <v>13129</v>
      </c>
      <c r="C2720" s="2" t="s">
        <v>43</v>
      </c>
      <c r="D2720" s="2" t="s">
        <v>44</v>
      </c>
      <c r="E2720" s="2" t="s">
        <v>45</v>
      </c>
      <c r="F2720">
        <v>4157</v>
      </c>
      <c r="G2720" s="2" t="s">
        <v>240</v>
      </c>
      <c r="H2720" s="2" t="s">
        <v>35</v>
      </c>
      <c r="I2720" s="2" t="s">
        <v>36</v>
      </c>
      <c r="J2720" s="2" t="s">
        <v>60</v>
      </c>
      <c r="K2720" s="2" t="s">
        <v>36</v>
      </c>
      <c r="L2720">
        <v>1902.58</v>
      </c>
      <c r="M2720">
        <v>1</v>
      </c>
      <c r="N2720">
        <v>1.1200000000000001</v>
      </c>
      <c r="O2720">
        <v>6600879</v>
      </c>
      <c r="P2720" s="2" t="s">
        <v>61</v>
      </c>
      <c r="Q2720" s="2" t="s">
        <v>35</v>
      </c>
      <c r="R2720" s="2" t="s">
        <v>30</v>
      </c>
      <c r="S2720">
        <v>5</v>
      </c>
      <c r="T2720" s="1">
        <v>43826</v>
      </c>
      <c r="U2720" s="1">
        <v>43834</v>
      </c>
      <c r="V2720" s="2" t="s">
        <v>57</v>
      </c>
      <c r="W2720" s="1">
        <f>fNotasFiscais[[#This Row],[Data da Coleta]]+fNotasFiscais[[#This Row],[Prazo Contratado]]</f>
        <v>43831</v>
      </c>
      <c r="X2720" s="3">
        <f>IF(fNotasFiscais[[#This Row],[Data da Entrega]]&gt;fNotasFiscais[[#This Row],[Data Contratada]],0,1)</f>
        <v>0</v>
      </c>
      <c r="Y2720" s="3">
        <f>IF(fNotasFiscais[[#This Row],[Ocorrência]]="",1,0)</f>
        <v>0</v>
      </c>
      <c r="Z2720" s="2">
        <f>fNotasFiscais[[#This Row],[On Time]]*fNotasFiscais[[#This Row],[In Full]]</f>
        <v>0</v>
      </c>
      <c r="AA2720">
        <f>IF(fNotasFiscais[[#This Row],[Nota Fiscal]]&lt;&gt;"",1,0)</f>
        <v>1</v>
      </c>
    </row>
    <row r="2721" spans="1:27" x14ac:dyDescent="0.25">
      <c r="A2721" s="1">
        <v>43826</v>
      </c>
      <c r="B2721">
        <v>13130</v>
      </c>
      <c r="C2721" s="2" t="s">
        <v>43</v>
      </c>
      <c r="D2721" s="2" t="s">
        <v>44</v>
      </c>
      <c r="E2721" s="2" t="s">
        <v>45</v>
      </c>
      <c r="F2721">
        <v>4189</v>
      </c>
      <c r="G2721" s="2" t="s">
        <v>272</v>
      </c>
      <c r="H2721" s="2" t="s">
        <v>165</v>
      </c>
      <c r="I2721" s="2" t="s">
        <v>24</v>
      </c>
      <c r="J2721" s="2" t="s">
        <v>28</v>
      </c>
      <c r="K2721" s="2" t="s">
        <v>24</v>
      </c>
      <c r="L2721">
        <v>1362.46</v>
      </c>
      <c r="M2721">
        <v>1</v>
      </c>
      <c r="N2721">
        <v>10.164</v>
      </c>
      <c r="O2721">
        <v>6500948</v>
      </c>
      <c r="P2721" s="2" t="s">
        <v>29</v>
      </c>
      <c r="Q2721" s="2" t="s">
        <v>23</v>
      </c>
      <c r="R2721" s="2" t="s">
        <v>30</v>
      </c>
      <c r="S2721">
        <v>12</v>
      </c>
      <c r="T2721" s="1">
        <v>43826</v>
      </c>
      <c r="U2721" s="1">
        <v>43834</v>
      </c>
      <c r="V2721" s="2"/>
      <c r="W2721" s="1">
        <f>fNotasFiscais[[#This Row],[Data da Coleta]]+fNotasFiscais[[#This Row],[Prazo Contratado]]</f>
        <v>43838</v>
      </c>
      <c r="X2721" s="3">
        <f>IF(fNotasFiscais[[#This Row],[Data da Entrega]]&gt;fNotasFiscais[[#This Row],[Data Contratada]],0,1)</f>
        <v>1</v>
      </c>
      <c r="Y2721" s="3">
        <f>IF(fNotasFiscais[[#This Row],[Ocorrência]]="",1,0)</f>
        <v>1</v>
      </c>
      <c r="Z2721" s="2">
        <f>fNotasFiscais[[#This Row],[On Time]]*fNotasFiscais[[#This Row],[In Full]]</f>
        <v>1</v>
      </c>
      <c r="AA2721">
        <f>IF(fNotasFiscais[[#This Row],[Nota Fiscal]]&lt;&gt;"",1,0)</f>
        <v>1</v>
      </c>
    </row>
    <row r="2722" spans="1:27" x14ac:dyDescent="0.25">
      <c r="A2722" s="1">
        <v>43826</v>
      </c>
      <c r="B2722">
        <v>13131</v>
      </c>
      <c r="C2722" s="2" t="s">
        <v>43</v>
      </c>
      <c r="D2722" s="2" t="s">
        <v>44</v>
      </c>
      <c r="E2722" s="2" t="s">
        <v>45</v>
      </c>
      <c r="F2722">
        <v>4213</v>
      </c>
      <c r="G2722" s="2" t="s">
        <v>296</v>
      </c>
      <c r="H2722" s="2" t="s">
        <v>32</v>
      </c>
      <c r="I2722" s="2" t="s">
        <v>33</v>
      </c>
      <c r="J2722" s="2" t="s">
        <v>60</v>
      </c>
      <c r="K2722" s="2" t="s">
        <v>33</v>
      </c>
      <c r="L2722">
        <v>507.16</v>
      </c>
      <c r="M2722">
        <v>8</v>
      </c>
      <c r="N2722">
        <v>54.145000000000003</v>
      </c>
      <c r="O2722">
        <v>6400835</v>
      </c>
      <c r="P2722" s="2" t="s">
        <v>130</v>
      </c>
      <c r="Q2722" s="2" t="s">
        <v>131</v>
      </c>
      <c r="R2722" s="2" t="s">
        <v>30</v>
      </c>
      <c r="S2722">
        <v>1</v>
      </c>
      <c r="T2722" s="1">
        <v>43826</v>
      </c>
      <c r="U2722" s="1">
        <v>43831</v>
      </c>
      <c r="V2722" s="2" t="s">
        <v>42</v>
      </c>
      <c r="W2722" s="1">
        <f>fNotasFiscais[[#This Row],[Data da Coleta]]+fNotasFiscais[[#This Row],[Prazo Contratado]]</f>
        <v>43827</v>
      </c>
      <c r="X2722" s="3">
        <f>IF(fNotasFiscais[[#This Row],[Data da Entrega]]&gt;fNotasFiscais[[#This Row],[Data Contratada]],0,1)</f>
        <v>0</v>
      </c>
      <c r="Y2722" s="3">
        <f>IF(fNotasFiscais[[#This Row],[Ocorrência]]="",1,0)</f>
        <v>0</v>
      </c>
      <c r="Z2722" s="2">
        <f>fNotasFiscais[[#This Row],[On Time]]*fNotasFiscais[[#This Row],[In Full]]</f>
        <v>0</v>
      </c>
      <c r="AA2722">
        <f>IF(fNotasFiscais[[#This Row],[Nota Fiscal]]&lt;&gt;"",1,0)</f>
        <v>1</v>
      </c>
    </row>
    <row r="2723" spans="1:27" x14ac:dyDescent="0.25">
      <c r="A2723" s="1">
        <v>43826</v>
      </c>
      <c r="B2723">
        <v>13132</v>
      </c>
      <c r="C2723" s="2" t="s">
        <v>31</v>
      </c>
      <c r="D2723" s="2" t="s">
        <v>32</v>
      </c>
      <c r="E2723" s="2" t="s">
        <v>33</v>
      </c>
      <c r="F2723">
        <v>4230</v>
      </c>
      <c r="G2723" s="2" t="s">
        <v>313</v>
      </c>
      <c r="H2723" s="2" t="s">
        <v>35</v>
      </c>
      <c r="I2723" s="2" t="s">
        <v>36</v>
      </c>
      <c r="J2723" s="2" t="s">
        <v>60</v>
      </c>
      <c r="K2723" s="2" t="s">
        <v>36</v>
      </c>
      <c r="L2723">
        <v>6334.37</v>
      </c>
      <c r="M2723">
        <v>1</v>
      </c>
      <c r="N2723">
        <v>1.1200000000000001</v>
      </c>
      <c r="O2723">
        <v>6600879</v>
      </c>
      <c r="P2723" s="2" t="s">
        <v>61</v>
      </c>
      <c r="Q2723" s="2" t="s">
        <v>35</v>
      </c>
      <c r="R2723" s="2" t="s">
        <v>30</v>
      </c>
      <c r="S2723">
        <v>9</v>
      </c>
      <c r="T2723" s="1">
        <v>43826</v>
      </c>
      <c r="U2723" s="1">
        <v>43830</v>
      </c>
      <c r="V2723" s="2"/>
      <c r="W2723" s="1">
        <f>fNotasFiscais[[#This Row],[Data da Coleta]]+fNotasFiscais[[#This Row],[Prazo Contratado]]</f>
        <v>43835</v>
      </c>
      <c r="X2723" s="3">
        <f>IF(fNotasFiscais[[#This Row],[Data da Entrega]]&gt;fNotasFiscais[[#This Row],[Data Contratada]],0,1)</f>
        <v>1</v>
      </c>
      <c r="Y2723" s="3">
        <f>IF(fNotasFiscais[[#This Row],[Ocorrência]]="",1,0)</f>
        <v>1</v>
      </c>
      <c r="Z2723" s="2">
        <f>fNotasFiscais[[#This Row],[On Time]]*fNotasFiscais[[#This Row],[In Full]]</f>
        <v>1</v>
      </c>
      <c r="AA2723">
        <f>IF(fNotasFiscais[[#This Row],[Nota Fiscal]]&lt;&gt;"",1,0)</f>
        <v>1</v>
      </c>
    </row>
    <row r="2724" spans="1:27" x14ac:dyDescent="0.25">
      <c r="A2724" s="1">
        <v>43826</v>
      </c>
      <c r="B2724">
        <v>13133</v>
      </c>
      <c r="C2724" s="2" t="s">
        <v>34</v>
      </c>
      <c r="D2724" s="2" t="s">
        <v>35</v>
      </c>
      <c r="E2724" s="2" t="s">
        <v>36</v>
      </c>
      <c r="F2724">
        <v>4033</v>
      </c>
      <c r="G2724" s="2" t="s">
        <v>109</v>
      </c>
      <c r="H2724" s="2" t="s">
        <v>51</v>
      </c>
      <c r="I2724" s="2" t="s">
        <v>73</v>
      </c>
      <c r="J2724" s="2" t="s">
        <v>49</v>
      </c>
      <c r="K2724" s="2" t="s">
        <v>73</v>
      </c>
      <c r="L2724">
        <v>4047.56</v>
      </c>
      <c r="M2724">
        <v>7</v>
      </c>
      <c r="N2724">
        <v>28.596</v>
      </c>
      <c r="O2724">
        <v>6100231</v>
      </c>
      <c r="P2724" s="2" t="s">
        <v>50</v>
      </c>
      <c r="Q2724" s="2" t="s">
        <v>51</v>
      </c>
      <c r="R2724" s="2" t="s">
        <v>30</v>
      </c>
      <c r="S2724">
        <v>5</v>
      </c>
      <c r="T2724" s="1">
        <v>43826</v>
      </c>
      <c r="U2724" s="1">
        <v>43828</v>
      </c>
      <c r="V2724" s="2"/>
      <c r="W2724" s="1">
        <f>fNotasFiscais[[#This Row],[Data da Coleta]]+fNotasFiscais[[#This Row],[Prazo Contratado]]</f>
        <v>43831</v>
      </c>
      <c r="X2724" s="3">
        <f>IF(fNotasFiscais[[#This Row],[Data da Entrega]]&gt;fNotasFiscais[[#This Row],[Data Contratada]],0,1)</f>
        <v>1</v>
      </c>
      <c r="Y2724" s="3">
        <f>IF(fNotasFiscais[[#This Row],[Ocorrência]]="",1,0)</f>
        <v>1</v>
      </c>
      <c r="Z2724" s="2">
        <f>fNotasFiscais[[#This Row],[On Time]]*fNotasFiscais[[#This Row],[In Full]]</f>
        <v>1</v>
      </c>
      <c r="AA2724">
        <f>IF(fNotasFiscais[[#This Row],[Nota Fiscal]]&lt;&gt;"",1,0)</f>
        <v>1</v>
      </c>
    </row>
    <row r="2725" spans="1:27" x14ac:dyDescent="0.25">
      <c r="A2725" s="1">
        <v>43827</v>
      </c>
      <c r="B2725">
        <v>13134</v>
      </c>
      <c r="C2725" s="2" t="s">
        <v>22</v>
      </c>
      <c r="D2725" s="2" t="s">
        <v>23</v>
      </c>
      <c r="E2725" s="2" t="s">
        <v>24</v>
      </c>
      <c r="F2725">
        <v>4275</v>
      </c>
      <c r="G2725" s="2" t="s">
        <v>358</v>
      </c>
      <c r="H2725" s="2" t="s">
        <v>44</v>
      </c>
      <c r="I2725" s="2" t="s">
        <v>45</v>
      </c>
      <c r="J2725" s="2" t="s">
        <v>60</v>
      </c>
      <c r="K2725" s="2" t="s">
        <v>45</v>
      </c>
      <c r="L2725">
        <v>164.73</v>
      </c>
      <c r="M2725">
        <v>1</v>
      </c>
      <c r="N2725">
        <v>4.4039999999999999</v>
      </c>
      <c r="O2725">
        <v>6140092</v>
      </c>
      <c r="P2725" s="2" t="s">
        <v>137</v>
      </c>
      <c r="Q2725" s="2" t="s">
        <v>138</v>
      </c>
      <c r="R2725" s="2" t="s">
        <v>30</v>
      </c>
      <c r="S2725">
        <v>4</v>
      </c>
      <c r="T2725" s="1">
        <v>43827</v>
      </c>
      <c r="U2725" s="1">
        <v>43837</v>
      </c>
      <c r="V2725" s="2" t="s">
        <v>57</v>
      </c>
      <c r="W2725" s="1">
        <f>fNotasFiscais[[#This Row],[Data da Coleta]]+fNotasFiscais[[#This Row],[Prazo Contratado]]</f>
        <v>43831</v>
      </c>
      <c r="X2725" s="3">
        <f>IF(fNotasFiscais[[#This Row],[Data da Entrega]]&gt;fNotasFiscais[[#This Row],[Data Contratada]],0,1)</f>
        <v>0</v>
      </c>
      <c r="Y2725" s="3">
        <f>IF(fNotasFiscais[[#This Row],[Ocorrência]]="",1,0)</f>
        <v>0</v>
      </c>
      <c r="Z2725" s="2">
        <f>fNotasFiscais[[#This Row],[On Time]]*fNotasFiscais[[#This Row],[In Full]]</f>
        <v>0</v>
      </c>
      <c r="AA2725">
        <f>IF(fNotasFiscais[[#This Row],[Nota Fiscal]]&lt;&gt;"",1,0)</f>
        <v>1</v>
      </c>
    </row>
    <row r="2726" spans="1:27" x14ac:dyDescent="0.25">
      <c r="A2726" s="1">
        <v>43827</v>
      </c>
      <c r="B2726">
        <v>13135</v>
      </c>
      <c r="C2726" s="2" t="s">
        <v>31</v>
      </c>
      <c r="D2726" s="2" t="s">
        <v>32</v>
      </c>
      <c r="E2726" s="2" t="s">
        <v>33</v>
      </c>
      <c r="F2726">
        <v>4012</v>
      </c>
      <c r="G2726" s="2" t="s">
        <v>25</v>
      </c>
      <c r="H2726" s="2" t="s">
        <v>26</v>
      </c>
      <c r="I2726" s="2" t="s">
        <v>27</v>
      </c>
      <c r="J2726" s="2" t="s">
        <v>28</v>
      </c>
      <c r="K2726" s="2" t="s">
        <v>27</v>
      </c>
      <c r="L2726">
        <v>740.52</v>
      </c>
      <c r="M2726">
        <v>3</v>
      </c>
      <c r="N2726">
        <v>22.11</v>
      </c>
      <c r="O2726">
        <v>6500948</v>
      </c>
      <c r="P2726" s="2" t="s">
        <v>29</v>
      </c>
      <c r="Q2726" s="2" t="s">
        <v>23</v>
      </c>
      <c r="R2726" s="2" t="s">
        <v>30</v>
      </c>
      <c r="S2726">
        <v>5</v>
      </c>
      <c r="T2726" s="1">
        <v>43827</v>
      </c>
      <c r="U2726" s="1">
        <v>43836</v>
      </c>
      <c r="V2726" s="2"/>
      <c r="W2726" s="1">
        <f>fNotasFiscais[[#This Row],[Data da Coleta]]+fNotasFiscais[[#This Row],[Prazo Contratado]]</f>
        <v>43832</v>
      </c>
      <c r="X2726" s="3">
        <f>IF(fNotasFiscais[[#This Row],[Data da Entrega]]&gt;fNotasFiscais[[#This Row],[Data Contratada]],0,1)</f>
        <v>0</v>
      </c>
      <c r="Y2726" s="3">
        <f>IF(fNotasFiscais[[#This Row],[Ocorrência]]="",1,0)</f>
        <v>1</v>
      </c>
      <c r="Z2726" s="2">
        <f>fNotasFiscais[[#This Row],[On Time]]*fNotasFiscais[[#This Row],[In Full]]</f>
        <v>0</v>
      </c>
      <c r="AA2726">
        <f>IF(fNotasFiscais[[#This Row],[Nota Fiscal]]&lt;&gt;"",1,0)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381-B129-4A0B-8A79-7CF4787BE636}">
  <dimension ref="A3:AE17"/>
  <sheetViews>
    <sheetView topLeftCell="C31" zoomScale="80" zoomScaleNormal="80" workbookViewId="0">
      <selection activeCell="AC20" sqref="AC20"/>
    </sheetView>
  </sheetViews>
  <sheetFormatPr defaultRowHeight="15" x14ac:dyDescent="0.25"/>
  <cols>
    <col min="1" max="1" width="23.85546875" bestFit="1" customWidth="1"/>
    <col min="2" max="2" width="2.140625" customWidth="1"/>
    <col min="3" max="3" width="23.140625" bestFit="1" customWidth="1"/>
    <col min="4" max="4" width="2.140625" customWidth="1"/>
    <col min="5" max="5" width="23.85546875" bestFit="1" customWidth="1"/>
    <col min="6" max="6" width="2.140625" customWidth="1"/>
    <col min="7" max="7" width="24.5703125" bestFit="1" customWidth="1"/>
    <col min="8" max="8" width="9.42578125" customWidth="1"/>
    <col min="9" max="9" width="18.7109375" bestFit="1" customWidth="1"/>
    <col min="10" max="10" width="26.42578125" bestFit="1" customWidth="1"/>
    <col min="11" max="11" width="23.85546875" bestFit="1" customWidth="1"/>
    <col min="12" max="12" width="4.7109375" customWidth="1"/>
    <col min="13" max="13" width="18.7109375" bestFit="1" customWidth="1"/>
    <col min="14" max="14" width="17.85546875" bestFit="1" customWidth="1"/>
    <col min="15" max="15" width="5" customWidth="1"/>
    <col min="16" max="16" width="18.7109375" bestFit="1" customWidth="1"/>
    <col min="17" max="17" width="17.85546875" bestFit="1" customWidth="1"/>
    <col min="19" max="19" width="22.42578125" bestFit="1" customWidth="1"/>
    <col min="20" max="20" width="20.28515625" bestFit="1" customWidth="1"/>
    <col min="21" max="21" width="18.28515625" bestFit="1" customWidth="1"/>
    <col min="23" max="23" width="18.7109375" bestFit="1" customWidth="1"/>
    <col min="24" max="24" width="23.85546875" bestFit="1" customWidth="1"/>
    <col min="26" max="26" width="18.7109375" bestFit="1" customWidth="1"/>
    <col min="27" max="27" width="23.85546875" bestFit="1" customWidth="1"/>
    <col min="29" max="29" width="18.7109375" bestFit="1" customWidth="1"/>
    <col min="30" max="30" width="22.85546875" bestFit="1" customWidth="1"/>
    <col min="31" max="31" width="21.5703125" bestFit="1" customWidth="1"/>
  </cols>
  <sheetData>
    <row r="3" spans="1:31" x14ac:dyDescent="0.25">
      <c r="A3" t="s">
        <v>365</v>
      </c>
      <c r="C3" t="s">
        <v>366</v>
      </c>
      <c r="E3" t="s">
        <v>367</v>
      </c>
      <c r="G3" t="s">
        <v>368</v>
      </c>
      <c r="I3" s="4" t="s">
        <v>373</v>
      </c>
      <c r="J3" t="s">
        <v>372</v>
      </c>
      <c r="K3" t="s">
        <v>365</v>
      </c>
      <c r="M3" s="4" t="s">
        <v>373</v>
      </c>
      <c r="N3" t="s">
        <v>388</v>
      </c>
      <c r="P3" s="4" t="s">
        <v>373</v>
      </c>
      <c r="Q3" t="s">
        <v>388</v>
      </c>
      <c r="S3" s="4" t="s">
        <v>373</v>
      </c>
      <c r="T3" t="s">
        <v>370</v>
      </c>
      <c r="U3" t="s">
        <v>371</v>
      </c>
      <c r="W3" s="4" t="s">
        <v>373</v>
      </c>
      <c r="X3" t="s">
        <v>367</v>
      </c>
      <c r="Z3" s="4" t="s">
        <v>373</v>
      </c>
      <c r="AA3" t="s">
        <v>365</v>
      </c>
      <c r="AC3" s="4" t="s">
        <v>373</v>
      </c>
      <c r="AD3" t="s">
        <v>394</v>
      </c>
      <c r="AE3" t="s">
        <v>395</v>
      </c>
    </row>
    <row r="4" spans="1:31" x14ac:dyDescent="0.25">
      <c r="A4" s="7">
        <v>4688</v>
      </c>
      <c r="C4" s="7">
        <v>21970.706000000027</v>
      </c>
      <c r="E4" s="7">
        <v>1524</v>
      </c>
      <c r="G4" s="11">
        <v>3247274.9299999955</v>
      </c>
      <c r="I4" s="6" t="s">
        <v>375</v>
      </c>
      <c r="J4" s="9">
        <v>0.57020997375328086</v>
      </c>
      <c r="K4" s="10">
        <v>4688</v>
      </c>
      <c r="M4" s="6">
        <v>0</v>
      </c>
      <c r="N4" s="2">
        <v>559</v>
      </c>
      <c r="P4" s="6">
        <v>0</v>
      </c>
      <c r="Q4" s="2">
        <v>152</v>
      </c>
      <c r="S4" s="6" t="s">
        <v>50</v>
      </c>
      <c r="T4" s="5">
        <v>0.65038560411311053</v>
      </c>
      <c r="U4" s="5">
        <v>0.91002570694087404</v>
      </c>
      <c r="W4" s="6" t="s">
        <v>42</v>
      </c>
      <c r="X4" s="7">
        <v>81</v>
      </c>
      <c r="Z4" s="6" t="s">
        <v>60</v>
      </c>
      <c r="AA4" s="7">
        <v>2173</v>
      </c>
      <c r="AC4" s="6" t="s">
        <v>390</v>
      </c>
      <c r="AD4" s="7">
        <v>163</v>
      </c>
      <c r="AE4" s="7">
        <v>130</v>
      </c>
    </row>
    <row r="5" spans="1:31" x14ac:dyDescent="0.25">
      <c r="I5" s="8" t="s">
        <v>376</v>
      </c>
      <c r="J5" s="9">
        <v>0.55769230769230771</v>
      </c>
      <c r="K5" s="10">
        <v>281</v>
      </c>
      <c r="M5" s="6">
        <v>1</v>
      </c>
      <c r="N5" s="2">
        <v>965</v>
      </c>
      <c r="P5" s="6">
        <v>1</v>
      </c>
      <c r="Q5" s="2">
        <v>1372</v>
      </c>
      <c r="S5" s="6" t="s">
        <v>29</v>
      </c>
      <c r="T5" s="5">
        <v>0.6</v>
      </c>
      <c r="U5" s="5">
        <v>0.88181818181818183</v>
      </c>
      <c r="W5" s="6" t="s">
        <v>57</v>
      </c>
      <c r="X5" s="7">
        <v>71</v>
      </c>
      <c r="Z5" s="6" t="s">
        <v>49</v>
      </c>
      <c r="AA5" s="7">
        <v>1056</v>
      </c>
      <c r="AC5" s="6" t="s">
        <v>391</v>
      </c>
      <c r="AD5" s="7">
        <v>215</v>
      </c>
      <c r="AE5" s="7">
        <v>168</v>
      </c>
    </row>
    <row r="6" spans="1:31" x14ac:dyDescent="0.25">
      <c r="I6" s="8" t="s">
        <v>377</v>
      </c>
      <c r="J6" s="9">
        <v>0.6097560975609756</v>
      </c>
      <c r="K6" s="10">
        <v>215</v>
      </c>
      <c r="M6" s="6" t="s">
        <v>374</v>
      </c>
      <c r="N6" s="2">
        <v>1524</v>
      </c>
      <c r="P6" s="6" t="s">
        <v>374</v>
      </c>
      <c r="Q6" s="2">
        <v>1524</v>
      </c>
      <c r="S6" s="6" t="s">
        <v>130</v>
      </c>
      <c r="T6" s="5">
        <v>0.63755458515283847</v>
      </c>
      <c r="U6" s="5">
        <v>0.92576419213973804</v>
      </c>
      <c r="W6" s="6" t="s">
        <v>389</v>
      </c>
      <c r="X6" s="7">
        <v>1372</v>
      </c>
      <c r="Z6" s="6" t="s">
        <v>28</v>
      </c>
      <c r="AA6" s="7">
        <v>902</v>
      </c>
      <c r="AC6" s="6" t="s">
        <v>392</v>
      </c>
      <c r="AD6" s="7">
        <v>289</v>
      </c>
      <c r="AE6" s="7">
        <v>197</v>
      </c>
    </row>
    <row r="7" spans="1:31" x14ac:dyDescent="0.25">
      <c r="I7" s="8" t="s">
        <v>378</v>
      </c>
      <c r="J7" s="9">
        <v>0.51401869158878499</v>
      </c>
      <c r="K7" s="10">
        <v>265</v>
      </c>
      <c r="S7" s="6" t="s">
        <v>137</v>
      </c>
      <c r="T7" s="5">
        <v>0.625</v>
      </c>
      <c r="U7" s="5">
        <v>0.8214285714285714</v>
      </c>
      <c r="W7" s="6" t="s">
        <v>374</v>
      </c>
      <c r="X7" s="7">
        <v>1524</v>
      </c>
      <c r="Z7" s="6" t="s">
        <v>169</v>
      </c>
      <c r="AA7" s="7">
        <v>382</v>
      </c>
      <c r="AC7" s="6" t="s">
        <v>393</v>
      </c>
      <c r="AD7" s="7">
        <v>202</v>
      </c>
      <c r="AE7" s="7">
        <v>160</v>
      </c>
    </row>
    <row r="8" spans="1:31" x14ac:dyDescent="0.25">
      <c r="I8" s="8" t="s">
        <v>379</v>
      </c>
      <c r="J8" s="9">
        <v>0.5145631067961165</v>
      </c>
      <c r="K8" s="10">
        <v>180</v>
      </c>
      <c r="S8" s="6" t="s">
        <v>170</v>
      </c>
      <c r="T8" s="5">
        <v>0.65441176470588236</v>
      </c>
      <c r="U8" s="5">
        <v>0.90441176470588236</v>
      </c>
      <c r="Z8" s="6" t="s">
        <v>175</v>
      </c>
      <c r="AA8" s="7">
        <v>175</v>
      </c>
      <c r="AC8" s="6" t="s">
        <v>374</v>
      </c>
      <c r="AD8" s="7">
        <v>869</v>
      </c>
      <c r="AE8" s="7">
        <v>655</v>
      </c>
    </row>
    <row r="9" spans="1:31" x14ac:dyDescent="0.25">
      <c r="I9" s="8" t="s">
        <v>380</v>
      </c>
      <c r="J9" s="9">
        <v>0.63559322033898302</v>
      </c>
      <c r="K9" s="10">
        <v>322</v>
      </c>
      <c r="S9" s="6" t="s">
        <v>176</v>
      </c>
      <c r="T9" s="5">
        <v>0.67901234567901236</v>
      </c>
      <c r="U9" s="5">
        <v>0.85185185185185186</v>
      </c>
      <c r="Z9" s="6" t="s">
        <v>374</v>
      </c>
      <c r="AA9" s="7">
        <v>4688</v>
      </c>
    </row>
    <row r="10" spans="1:31" x14ac:dyDescent="0.25">
      <c r="I10" s="8" t="s">
        <v>381</v>
      </c>
      <c r="J10" s="9">
        <v>0.53703703703703709</v>
      </c>
      <c r="K10" s="10">
        <v>630</v>
      </c>
      <c r="S10" s="6" t="s">
        <v>61</v>
      </c>
      <c r="T10" s="5">
        <v>0.62376237623762376</v>
      </c>
      <c r="U10" s="5">
        <v>0.91419141914191415</v>
      </c>
    </row>
    <row r="11" spans="1:31" x14ac:dyDescent="0.25">
      <c r="I11" s="8" t="s">
        <v>382</v>
      </c>
      <c r="J11" s="9">
        <v>0.53521126760563376</v>
      </c>
      <c r="K11" s="10">
        <v>408</v>
      </c>
      <c r="S11" s="6" t="s">
        <v>374</v>
      </c>
      <c r="T11" s="5">
        <v>0.63320209973753283</v>
      </c>
      <c r="U11" s="5">
        <v>0.90026246719160108</v>
      </c>
    </row>
    <row r="12" spans="1:31" x14ac:dyDescent="0.25">
      <c r="I12" s="8" t="s">
        <v>383</v>
      </c>
      <c r="J12" s="9">
        <v>0.61956521739130432</v>
      </c>
      <c r="K12" s="10">
        <v>470</v>
      </c>
    </row>
    <row r="13" spans="1:31" x14ac:dyDescent="0.25">
      <c r="I13" s="8" t="s">
        <v>384</v>
      </c>
      <c r="J13" s="9">
        <v>0.61875000000000002</v>
      </c>
      <c r="K13" s="10">
        <v>520</v>
      </c>
      <c r="Z13" s="6" t="s">
        <v>60</v>
      </c>
      <c r="AA13">
        <f>IFERROR(VLOOKUP(Z13,Z2:AA10,2,0),0)</f>
        <v>2173</v>
      </c>
    </row>
    <row r="14" spans="1:31" x14ac:dyDescent="0.25">
      <c r="I14" s="8" t="s">
        <v>385</v>
      </c>
      <c r="J14" s="9">
        <v>0.65151515151515149</v>
      </c>
      <c r="K14" s="10">
        <v>738</v>
      </c>
      <c r="Z14" s="6" t="s">
        <v>49</v>
      </c>
      <c r="AA14">
        <f t="shared" ref="AA14:AA17" si="0">IFERROR(VLOOKUP(Z14,Z3:AA11,2,0),0)</f>
        <v>1056</v>
      </c>
    </row>
    <row r="15" spans="1:31" x14ac:dyDescent="0.25">
      <c r="I15" s="8" t="s">
        <v>386</v>
      </c>
      <c r="J15" s="9">
        <v>0.42553191489361702</v>
      </c>
      <c r="K15" s="10">
        <v>405</v>
      </c>
      <c r="Z15" s="6" t="s">
        <v>28</v>
      </c>
      <c r="AA15">
        <f t="shared" si="0"/>
        <v>902</v>
      </c>
    </row>
    <row r="16" spans="1:31" x14ac:dyDescent="0.25">
      <c r="I16" s="8" t="s">
        <v>387</v>
      </c>
      <c r="J16" s="9">
        <v>0.6292134831460674</v>
      </c>
      <c r="K16" s="10">
        <v>254</v>
      </c>
      <c r="Z16" s="6" t="s">
        <v>169</v>
      </c>
      <c r="AA16">
        <f t="shared" si="0"/>
        <v>382</v>
      </c>
    </row>
    <row r="17" spans="9:27" x14ac:dyDescent="0.25">
      <c r="I17" s="6" t="s">
        <v>374</v>
      </c>
      <c r="J17" s="5">
        <v>0.57020997375328086</v>
      </c>
      <c r="K17" s="7">
        <v>4688</v>
      </c>
      <c r="Z17" s="6" t="s">
        <v>175</v>
      </c>
      <c r="AA17">
        <f t="shared" si="0"/>
        <v>175</v>
      </c>
    </row>
  </sheetData>
  <pageMargins left="0.511811024" right="0.511811024" top="0.78740157499999996" bottom="0.78740157499999996" header="0.31496062000000002" footer="0.31496062000000002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FBE1-E9E9-479D-A15E-DB86BFB0A2CB}">
  <dimension ref="A1"/>
  <sheetViews>
    <sheetView showGridLines="0" showRowColHeaders="0" tabSelected="1" zoomScale="90" zoomScaleNormal="90" workbookViewId="0">
      <selection activeCell="X14" sqref="X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0113D1-2D58-4486-8246-E6A16D4E8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CadTransportadoras</vt:lpstr>
      <vt:lpstr>dimCliente</vt:lpstr>
      <vt:lpstr>fNotasFiscais</vt:lpstr>
      <vt:lpstr>Dinâmica Base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Sandynele Dias</dc:creator>
  <cp:lastModifiedBy>Sandynele Dias</cp:lastModifiedBy>
  <dcterms:created xsi:type="dcterms:W3CDTF">2026-01-15T22:51:11Z</dcterms:created>
  <dcterms:modified xsi:type="dcterms:W3CDTF">2026-01-20T18:49:12Z</dcterms:modified>
</cp:coreProperties>
</file>