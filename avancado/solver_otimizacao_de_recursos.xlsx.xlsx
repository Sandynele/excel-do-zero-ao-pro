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yPC\Documents\Excel - Data Driven\Modulo 5\Aula 3 - Otimização com Solver\"/>
    </mc:Choice>
  </mc:AlternateContent>
  <xr:revisionPtr revIDLastSave="0" documentId="13_ncr:1_{DED664E2-5CBB-48EE-8C57-C06A55B08574}" xr6:coauthVersionLast="47" xr6:coauthVersionMax="47" xr10:uidLastSave="{00000000-0000-0000-0000-000000000000}"/>
  <bookViews>
    <workbookView xWindow="-120" yWindow="-120" windowWidth="29040" windowHeight="15720" activeTab="1" xr2:uid="{ED3BC307-B235-4A55-807F-CA51E6EF64BE}"/>
  </bookViews>
  <sheets>
    <sheet name="Problema 1-Consolidar Caminhão" sheetId="1" r:id="rId1"/>
    <sheet name="Problema 2 - Estoque de loja" sheetId="2" r:id="rId2"/>
  </sheets>
  <definedNames>
    <definedName name="solver_adj" localSheetId="0" hidden="1">'Problema 1-Consolidar Caminhão'!$F$4:$F$6</definedName>
    <definedName name="solver_adj" localSheetId="1" hidden="1">'Problema 2 - Estoque de loja'!$F$3:$F$8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'Problema 1-Consolidar Caminhão'!$G$7</definedName>
    <definedName name="solver_lhs1" localSheetId="1" hidden="1">'Problema 2 - Estoque de loja'!$F$3</definedName>
    <definedName name="solver_lhs2" localSheetId="0" hidden="1">'Problema 1-Consolidar Caminhão'!$I$4</definedName>
    <definedName name="solver_lhs2" localSheetId="1" hidden="1">'Problema 2 - Estoque de loja'!$F$4</definedName>
    <definedName name="solver_lhs3" localSheetId="0" hidden="1">'Problema 1-Consolidar Caminhão'!$I$5</definedName>
    <definedName name="solver_lhs3" localSheetId="1" hidden="1">'Problema 2 - Estoque de loja'!$F$5</definedName>
    <definedName name="solver_lhs4" localSheetId="0" hidden="1">'Problema 1-Consolidar Caminhão'!$I$6</definedName>
    <definedName name="solver_lhs4" localSheetId="1" hidden="1">'Problema 2 - Estoque de loja'!$F$6</definedName>
    <definedName name="solver_lhs5" localSheetId="0" hidden="1">'Problema 1-Consolidar Caminhão'!$I$7</definedName>
    <definedName name="solver_lhs5" localSheetId="1" hidden="1">'Problema 2 - Estoque de loja'!$F$7</definedName>
    <definedName name="solver_lhs6" localSheetId="1" hidden="1">'Problema 2 - Estoque de loja'!$F$8</definedName>
    <definedName name="solver_lhs7" localSheetId="1" hidden="1">'Problema 2 - Estoque de loja'!$G$9</definedName>
    <definedName name="solver_lhs8" localSheetId="1" hidden="1">'Problema 2 - Estoque de loja'!$G$9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5</definedName>
    <definedName name="solver_num" localSheetId="1" hidden="1">7</definedName>
    <definedName name="solver_nwt" localSheetId="0" hidden="1">1</definedName>
    <definedName name="solver_nwt" localSheetId="1" hidden="1">1</definedName>
    <definedName name="solver_opt" localSheetId="0" hidden="1">'Problema 1-Consolidar Caminhão'!$I$7</definedName>
    <definedName name="solver_opt" localSheetId="1" hidden="1">'Problema 2 - Estoque de loja'!$I$9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1</definedName>
    <definedName name="solver_rel1" localSheetId="0" hidden="1">1</definedName>
    <definedName name="solver_rel1" localSheetId="1" hidden="1">3</definedName>
    <definedName name="solver_rel2" localSheetId="0" hidden="1">3</definedName>
    <definedName name="solver_rel2" localSheetId="1" hidden="1">3</definedName>
    <definedName name="solver_rel3" localSheetId="0" hidden="1">3</definedName>
    <definedName name="solver_rel3" localSheetId="1" hidden="1">3</definedName>
    <definedName name="solver_rel4" localSheetId="0" hidden="1">3</definedName>
    <definedName name="solver_rel4" localSheetId="1" hidden="1">3</definedName>
    <definedName name="solver_rel5" localSheetId="0" hidden="1">1</definedName>
    <definedName name="solver_rel5" localSheetId="1" hidden="1">3</definedName>
    <definedName name="solver_rel6" localSheetId="1" hidden="1">3</definedName>
    <definedName name="solver_rel7" localSheetId="1" hidden="1">1</definedName>
    <definedName name="solver_rel8" localSheetId="1" hidden="1">1</definedName>
    <definedName name="solver_rhs1" localSheetId="0" hidden="1">'Problema 1-Consolidar Caminhão'!$G$9</definedName>
    <definedName name="solver_rhs1" localSheetId="1" hidden="1">'Problema 2 - Estoque de loja'!$C$3</definedName>
    <definedName name="solver_rhs2" localSheetId="0" hidden="1">'Problema 1-Consolidar Caminhão'!$E$4</definedName>
    <definedName name="solver_rhs2" localSheetId="1" hidden="1">'Problema 2 - Estoque de loja'!$C$4</definedName>
    <definedName name="solver_rhs3" localSheetId="0" hidden="1">'Problema 1-Consolidar Caminhão'!$E$5</definedName>
    <definedName name="solver_rhs3" localSheetId="1" hidden="1">'Problema 2 - Estoque de loja'!$C$5</definedName>
    <definedName name="solver_rhs4" localSheetId="0" hidden="1">'Problema 1-Consolidar Caminhão'!$E$6</definedName>
    <definedName name="solver_rhs4" localSheetId="1" hidden="1">'Problema 2 - Estoque de loja'!$C$6</definedName>
    <definedName name="solver_rhs5" localSheetId="0" hidden="1">'Problema 1-Consolidar Caminhão'!$G$10</definedName>
    <definedName name="solver_rhs5" localSheetId="1" hidden="1">'Problema 2 - Estoque de loja'!$C$7</definedName>
    <definedName name="solver_rhs6" localSheetId="1" hidden="1">'Problema 2 - Estoque de loja'!$C$8</definedName>
    <definedName name="solver_rhs7" localSheetId="1" hidden="1">'Problema 2 - Estoque de loja'!$G$11</definedName>
    <definedName name="solver_rhs8" localSheetId="1" hidden="1">'Problema 2 - Estoque de loja'!$G$11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2" l="1"/>
  <c r="G4" i="2"/>
  <c r="G5" i="2"/>
  <c r="G6" i="2"/>
  <c r="G7" i="2"/>
  <c r="G8" i="2"/>
  <c r="G3" i="2"/>
  <c r="I4" i="2" l="1"/>
  <c r="I6" i="2"/>
  <c r="I7" i="2"/>
  <c r="I8" i="2"/>
  <c r="G5" i="1"/>
  <c r="G6" i="1"/>
  <c r="G4" i="1"/>
  <c r="I5" i="1"/>
  <c r="I6" i="1"/>
  <c r="I4" i="1"/>
  <c r="I7" i="1" l="1"/>
  <c r="G7" i="1"/>
  <c r="I5" i="2"/>
  <c r="G9" i="2"/>
  <c r="I9" i="2" l="1"/>
</calcChain>
</file>

<file path=xl/sharedStrings.xml><?xml version="1.0" encoding="utf-8"?>
<sst xmlns="http://schemas.openxmlformats.org/spreadsheetml/2006/main" count="52" uniqueCount="41">
  <si>
    <t>Material</t>
  </si>
  <si>
    <t>Químico 2</t>
  </si>
  <si>
    <t>Químico 3</t>
  </si>
  <si>
    <t>Químico 1</t>
  </si>
  <si>
    <t>Peso (kg/unidade)</t>
  </si>
  <si>
    <t>Volume mínimo (kg)</t>
  </si>
  <si>
    <t>Unidades</t>
  </si>
  <si>
    <t>Volume (kg)</t>
  </si>
  <si>
    <t>(Truck)</t>
  </si>
  <si>
    <t>Cubagem (M3/unidade)</t>
  </si>
  <si>
    <t>Cubagem</t>
  </si>
  <si>
    <t>Cadernos</t>
  </si>
  <si>
    <t>Canetas</t>
  </si>
  <si>
    <t>Borracha</t>
  </si>
  <si>
    <t>Estojos</t>
  </si>
  <si>
    <t>Caixa de Lápis de Cor</t>
  </si>
  <si>
    <t>Réguas</t>
  </si>
  <si>
    <t>Budget de compras</t>
  </si>
  <si>
    <t>Custo (R$) / Unidade</t>
  </si>
  <si>
    <t>Custo Total (R$)</t>
  </si>
  <si>
    <t>Lucro (R$)</t>
  </si>
  <si>
    <t>Preço (R$) / Unidade</t>
  </si>
  <si>
    <t>Lote Mínimo (Unidades)</t>
  </si>
  <si>
    <t>Cubagem Máxima</t>
  </si>
  <si>
    <t>Peso Máximo</t>
  </si>
  <si>
    <t>Problema:</t>
  </si>
  <si>
    <t>Fazer caber o maior volume possível de produto dentro de um truck sem extrapolar a cubagem máxima do caminhão.</t>
  </si>
  <si>
    <t>Volume em Kg</t>
  </si>
  <si>
    <t>Objetivo</t>
  </si>
  <si>
    <t>Tipo</t>
  </si>
  <si>
    <t>Maximizar</t>
  </si>
  <si>
    <t>Variável</t>
  </si>
  <si>
    <t>Unidades de cada tipo de químico</t>
  </si>
  <si>
    <t>Restrições</t>
  </si>
  <si>
    <t>Cubagem máximo, volume máximo (kg) e volume mínimo de cada químico</t>
  </si>
  <si>
    <t>Encontrar a melhor combinação de composição de estoque para otimizar o lucro de uma papelaria.</t>
  </si>
  <si>
    <t>Unidades de cada tipo de produto</t>
  </si>
  <si>
    <t>Valor máximo de compra e lote mínimo de compra de cada produto</t>
  </si>
  <si>
    <t>Melhorias</t>
  </si>
  <si>
    <t>Demanda máxima de produto, limite de estocagem de material, risco de obsolescência por produto</t>
  </si>
  <si>
    <t>Limite de empilhamento de carga, dimensões dos pallets caso não forem uniformes, prioridade de recebimento do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</si>
</sst>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_-[$R$-416]\ * #,##0.0_-;\-[$R$-416]\ * #,##0.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1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3" borderId="3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0" xfId="0" applyNumberFormat="1"/>
    <xf numFmtId="3" fontId="0" fillId="2" borderId="2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2" xfId="0" applyBorder="1" applyAlignment="1">
      <alignment wrapText="1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9" fontId="0" fillId="0" borderId="0" xfId="1" applyFont="1"/>
    <xf numFmtId="9" fontId="0" fillId="4" borderId="0" xfId="1" applyFont="1" applyFill="1"/>
    <xf numFmtId="0" fontId="0" fillId="0" borderId="2" xfId="0" applyBorder="1" applyAlignment="1">
      <alignment wrapText="1"/>
    </xf>
    <xf numFmtId="0" fontId="2" fillId="3" borderId="2" xfId="0" applyFont="1" applyFill="1" applyBorder="1" applyAlignment="1">
      <alignment horizontal="left" vertical="center"/>
    </xf>
    <xf numFmtId="0" fontId="0" fillId="0" borderId="2" xfId="0" applyBorder="1" applyAlignment="1">
      <alignment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A531-A61E-4DB4-9444-11B1C11301EF}">
  <dimension ref="B2:L11"/>
  <sheetViews>
    <sheetView showGridLines="0" workbookViewId="0">
      <selection activeCell="L19" sqref="L19"/>
    </sheetView>
  </sheetViews>
  <sheetFormatPr defaultRowHeight="15" x14ac:dyDescent="0.25"/>
  <cols>
    <col min="1" max="1" width="4.7109375" customWidth="1"/>
    <col min="2" max="2" width="9.7109375" bestFit="1" customWidth="1"/>
    <col min="3" max="3" width="17.140625" style="1" bestFit="1" customWidth="1"/>
    <col min="4" max="4" width="21.85546875" bestFit="1" customWidth="1"/>
    <col min="5" max="5" width="18.7109375" style="1" bestFit="1" customWidth="1"/>
    <col min="6" max="6" width="9.140625" bestFit="1" customWidth="1"/>
    <col min="7" max="7" width="9" bestFit="1" customWidth="1"/>
    <col min="8" max="8" width="2" customWidth="1"/>
    <col min="9" max="9" width="11.5703125" style="1" bestFit="1" customWidth="1"/>
    <col min="10" max="10" width="3" bestFit="1" customWidth="1"/>
    <col min="11" max="11" width="9.85546875" style="1" bestFit="1" customWidth="1"/>
    <col min="12" max="12" width="88.28515625" style="1" customWidth="1"/>
  </cols>
  <sheetData>
    <row r="2" spans="2:12" x14ac:dyDescent="0.25">
      <c r="K2" s="34" t="s">
        <v>25</v>
      </c>
      <c r="L2" s="33" t="s">
        <v>26</v>
      </c>
    </row>
    <row r="3" spans="2:12" x14ac:dyDescent="0.25">
      <c r="B3" s="3" t="s">
        <v>0</v>
      </c>
      <c r="C3" s="4" t="s">
        <v>4</v>
      </c>
      <c r="D3" s="3" t="s">
        <v>9</v>
      </c>
      <c r="E3" s="4" t="s">
        <v>5</v>
      </c>
      <c r="F3" s="7" t="s">
        <v>6</v>
      </c>
      <c r="G3" s="4" t="s">
        <v>10</v>
      </c>
      <c r="H3" s="8"/>
      <c r="I3" s="4" t="s">
        <v>7</v>
      </c>
      <c r="K3" s="34"/>
      <c r="L3" s="33"/>
    </row>
    <row r="4" spans="2:12" x14ac:dyDescent="0.25">
      <c r="B4" s="5" t="s">
        <v>3</v>
      </c>
      <c r="C4" s="6">
        <v>10</v>
      </c>
      <c r="D4" s="9">
        <v>0.09</v>
      </c>
      <c r="E4" s="16">
        <v>100</v>
      </c>
      <c r="F4" s="17">
        <v>278.74999999999983</v>
      </c>
      <c r="G4" s="16">
        <f>F4*D4</f>
        <v>25.087499999999984</v>
      </c>
      <c r="H4" s="18"/>
      <c r="I4" s="16">
        <f>F4*C4</f>
        <v>2787.4999999999982</v>
      </c>
      <c r="K4" s="24"/>
      <c r="L4"/>
    </row>
    <row r="5" spans="2:12" x14ac:dyDescent="0.25">
      <c r="B5" s="5" t="s">
        <v>1</v>
      </c>
      <c r="C5" s="6">
        <v>20</v>
      </c>
      <c r="D5" s="6">
        <v>0.105</v>
      </c>
      <c r="E5" s="16">
        <v>150</v>
      </c>
      <c r="F5" s="17">
        <v>7.5</v>
      </c>
      <c r="G5" s="16">
        <f t="shared" ref="G5:G6" si="0">F5*D5</f>
        <v>0.78749999999999998</v>
      </c>
      <c r="H5" s="18"/>
      <c r="I5" s="16">
        <f t="shared" ref="I5:I6" si="1">F5*C5</f>
        <v>150</v>
      </c>
      <c r="K5" s="28" t="s">
        <v>28</v>
      </c>
      <c r="L5" s="5" t="s">
        <v>27</v>
      </c>
    </row>
    <row r="6" spans="2:12" ht="15.75" thickBot="1" x14ac:dyDescent="0.3">
      <c r="B6" s="5" t="s">
        <v>2</v>
      </c>
      <c r="C6" s="6">
        <v>50</v>
      </c>
      <c r="D6" s="6">
        <v>0.1</v>
      </c>
      <c r="E6" s="16">
        <v>120</v>
      </c>
      <c r="F6" s="17">
        <v>241.25000000000006</v>
      </c>
      <c r="G6" s="16">
        <f t="shared" si="0"/>
        <v>24.125000000000007</v>
      </c>
      <c r="H6" s="18"/>
      <c r="I6" s="19">
        <f t="shared" si="1"/>
        <v>12062.500000000004</v>
      </c>
      <c r="K6" s="28" t="s">
        <v>29</v>
      </c>
      <c r="L6" s="5" t="s">
        <v>30</v>
      </c>
    </row>
    <row r="7" spans="2:12" ht="15.75" thickBot="1" x14ac:dyDescent="0.3">
      <c r="E7" s="18"/>
      <c r="F7" s="20"/>
      <c r="G7" s="21">
        <f>SUM(G4:G6)</f>
        <v>49.999999999999993</v>
      </c>
      <c r="H7" s="18"/>
      <c r="I7" s="22">
        <f>SUM(I4:I6)</f>
        <v>15000.000000000002</v>
      </c>
      <c r="K7" s="25"/>
      <c r="L7"/>
    </row>
    <row r="8" spans="2:12" x14ac:dyDescent="0.25">
      <c r="K8" s="28" t="s">
        <v>31</v>
      </c>
      <c r="L8" s="5" t="s">
        <v>32</v>
      </c>
    </row>
    <row r="9" spans="2:12" x14ac:dyDescent="0.25">
      <c r="E9" t="s">
        <v>23</v>
      </c>
      <c r="F9" t="s">
        <v>8</v>
      </c>
      <c r="G9" s="1">
        <v>50</v>
      </c>
      <c r="K9" s="28" t="s">
        <v>33</v>
      </c>
      <c r="L9" s="5" t="s">
        <v>34</v>
      </c>
    </row>
    <row r="10" spans="2:12" x14ac:dyDescent="0.25">
      <c r="E10" t="s">
        <v>24</v>
      </c>
      <c r="F10" t="s">
        <v>8</v>
      </c>
      <c r="G10" s="18">
        <v>15000</v>
      </c>
    </row>
    <row r="11" spans="2:12" ht="30" x14ac:dyDescent="0.25">
      <c r="K11" s="27" t="s">
        <v>38</v>
      </c>
      <c r="L11" s="26" t="s">
        <v>40</v>
      </c>
    </row>
  </sheetData>
  <mergeCells count="2">
    <mergeCell ref="L2:L3"/>
    <mergeCell ref="K2:K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B7EA-E90F-4502-929C-04446BA92C2C}">
  <dimension ref="B2:L11"/>
  <sheetViews>
    <sheetView showGridLines="0" tabSelected="1" workbookViewId="0">
      <selection activeCell="K26" sqref="K26"/>
    </sheetView>
  </sheetViews>
  <sheetFormatPr defaultRowHeight="15" x14ac:dyDescent="0.25"/>
  <cols>
    <col min="1" max="1" width="4.140625" customWidth="1"/>
    <col min="2" max="2" width="19.7109375" bestFit="1" customWidth="1"/>
    <col min="3" max="3" width="22.28515625" style="1" bestFit="1" customWidth="1"/>
    <col min="4" max="5" width="19" style="1" bestFit="1" customWidth="1"/>
    <col min="6" max="6" width="8.85546875" style="1"/>
    <col min="7" max="7" width="14.7109375" style="1" bestFit="1" customWidth="1"/>
    <col min="8" max="8" width="7.28515625" customWidth="1"/>
    <col min="9" max="9" width="13.140625" bestFit="1" customWidth="1"/>
    <col min="10" max="10" width="18" customWidth="1"/>
    <col min="11" max="11" width="10.42578125" bestFit="1" customWidth="1"/>
    <col min="12" max="12" width="87.7109375" bestFit="1" customWidth="1"/>
  </cols>
  <sheetData>
    <row r="2" spans="2:12" x14ac:dyDescent="0.25">
      <c r="B2" s="3" t="s">
        <v>0</v>
      </c>
      <c r="C2" s="4" t="s">
        <v>22</v>
      </c>
      <c r="D2" s="4" t="s">
        <v>18</v>
      </c>
      <c r="E2" s="4" t="s">
        <v>21</v>
      </c>
      <c r="F2" s="4" t="s">
        <v>6</v>
      </c>
      <c r="G2" s="4" t="s">
        <v>19</v>
      </c>
      <c r="H2" s="2"/>
      <c r="I2" s="3" t="s">
        <v>20</v>
      </c>
      <c r="K2" s="34" t="s">
        <v>25</v>
      </c>
      <c r="L2" s="35" t="s">
        <v>35</v>
      </c>
    </row>
    <row r="3" spans="2:12" x14ac:dyDescent="0.25">
      <c r="B3" s="5" t="s">
        <v>11</v>
      </c>
      <c r="C3" s="6">
        <v>200</v>
      </c>
      <c r="D3" s="10">
        <v>2</v>
      </c>
      <c r="E3" s="10">
        <v>4</v>
      </c>
      <c r="F3" s="23">
        <v>200</v>
      </c>
      <c r="G3" s="11">
        <f>F3*D3</f>
        <v>400</v>
      </c>
      <c r="H3" s="12"/>
      <c r="I3" s="11">
        <f>F3*(E3-D3)</f>
        <v>400</v>
      </c>
      <c r="J3" s="31"/>
      <c r="K3" s="34"/>
      <c r="L3" s="35"/>
    </row>
    <row r="4" spans="2:12" x14ac:dyDescent="0.25">
      <c r="B4" s="5" t="s">
        <v>12</v>
      </c>
      <c r="C4" s="6">
        <v>500</v>
      </c>
      <c r="D4" s="30">
        <v>1</v>
      </c>
      <c r="E4" s="30">
        <v>3</v>
      </c>
      <c r="F4" s="23">
        <v>3830</v>
      </c>
      <c r="G4" s="11">
        <f t="shared" ref="G4:G8" si="0">F4*D4</f>
        <v>3830</v>
      </c>
      <c r="H4" s="12"/>
      <c r="I4" s="11">
        <f t="shared" ref="I4:I8" si="1">F4*(E4-D4)</f>
        <v>7660</v>
      </c>
      <c r="J4" s="32"/>
      <c r="K4" s="24"/>
    </row>
    <row r="5" spans="2:12" x14ac:dyDescent="0.25">
      <c r="B5" s="5" t="s">
        <v>16</v>
      </c>
      <c r="C5" s="6">
        <v>100</v>
      </c>
      <c r="D5" s="10">
        <v>0.6</v>
      </c>
      <c r="E5" s="10">
        <v>1.5</v>
      </c>
      <c r="F5" s="23">
        <v>100</v>
      </c>
      <c r="G5" s="11">
        <f t="shared" si="0"/>
        <v>60</v>
      </c>
      <c r="H5" s="12"/>
      <c r="I5" s="11">
        <f t="shared" si="1"/>
        <v>90</v>
      </c>
      <c r="J5" s="31"/>
      <c r="K5" s="28" t="s">
        <v>28</v>
      </c>
      <c r="L5" s="5" t="s">
        <v>20</v>
      </c>
    </row>
    <row r="6" spans="2:12" x14ac:dyDescent="0.25">
      <c r="B6" s="5" t="s">
        <v>13</v>
      </c>
      <c r="C6" s="6">
        <v>300</v>
      </c>
      <c r="D6" s="10">
        <v>0.7</v>
      </c>
      <c r="E6" s="10">
        <v>2</v>
      </c>
      <c r="F6" s="23">
        <v>300</v>
      </c>
      <c r="G6" s="11">
        <f t="shared" si="0"/>
        <v>210</v>
      </c>
      <c r="H6" s="12"/>
      <c r="I6" s="11">
        <f t="shared" si="1"/>
        <v>390</v>
      </c>
      <c r="J6" s="31"/>
      <c r="K6" s="28" t="s">
        <v>29</v>
      </c>
      <c r="L6" s="5" t="s">
        <v>30</v>
      </c>
    </row>
    <row r="7" spans="2:12" x14ac:dyDescent="0.25">
      <c r="B7" s="5" t="s">
        <v>14</v>
      </c>
      <c r="C7" s="6">
        <v>100</v>
      </c>
      <c r="D7" s="10">
        <v>10</v>
      </c>
      <c r="E7" s="10">
        <v>25</v>
      </c>
      <c r="F7" s="23">
        <v>100</v>
      </c>
      <c r="G7" s="11">
        <f t="shared" si="0"/>
        <v>1000</v>
      </c>
      <c r="H7" s="12"/>
      <c r="I7" s="11">
        <f t="shared" si="1"/>
        <v>1500</v>
      </c>
      <c r="J7" s="31"/>
      <c r="K7" s="25"/>
    </row>
    <row r="8" spans="2:12" ht="15.75" thickBot="1" x14ac:dyDescent="0.3">
      <c r="B8" s="5" t="s">
        <v>15</v>
      </c>
      <c r="C8" s="6">
        <v>50</v>
      </c>
      <c r="D8" s="30">
        <v>50</v>
      </c>
      <c r="E8" s="30">
        <v>60</v>
      </c>
      <c r="F8" s="23">
        <v>50</v>
      </c>
      <c r="G8" s="11">
        <f t="shared" si="0"/>
        <v>2500</v>
      </c>
      <c r="H8" s="12"/>
      <c r="I8" s="11">
        <f t="shared" si="1"/>
        <v>500</v>
      </c>
      <c r="J8" s="31"/>
      <c r="K8" s="28" t="s">
        <v>31</v>
      </c>
      <c r="L8" s="5" t="s">
        <v>36</v>
      </c>
    </row>
    <row r="9" spans="2:12" ht="15.75" thickBot="1" x14ac:dyDescent="0.3">
      <c r="G9" s="13">
        <f>SUM(G3:G8)</f>
        <v>8000</v>
      </c>
      <c r="H9" s="14"/>
      <c r="I9" s="15">
        <f>SUM(I3:I8)</f>
        <v>10540</v>
      </c>
      <c r="K9" s="28" t="s">
        <v>33</v>
      </c>
      <c r="L9" s="5" t="s">
        <v>37</v>
      </c>
    </row>
    <row r="10" spans="2:12" ht="15.75" thickBot="1" x14ac:dyDescent="0.3"/>
    <row r="11" spans="2:12" ht="15.75" thickBot="1" x14ac:dyDescent="0.3">
      <c r="G11" s="29">
        <v>8000</v>
      </c>
      <c r="H11" t="s">
        <v>17</v>
      </c>
      <c r="K11" s="28" t="s">
        <v>38</v>
      </c>
      <c r="L11" s="5" t="s">
        <v>39</v>
      </c>
    </row>
  </sheetData>
  <mergeCells count="2">
    <mergeCell ref="K2:K3"/>
    <mergeCell ref="L2:L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73B8BA-E294-47D1-9109-3A8EFC8163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1510C7-D756-43FB-B97F-2B7199A77B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Problema 1-Consolidar Caminhão</vt:lpstr>
      <vt:lpstr>Problema 2 - Estoque de loja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Cléber Neves de Freitas</dc:creator>
  <cp:lastModifiedBy>Sandynele Dias</cp:lastModifiedBy>
  <dcterms:created xsi:type="dcterms:W3CDTF">2023-06-10T17:31:39Z</dcterms:created>
  <dcterms:modified xsi:type="dcterms:W3CDTF">2026-01-14T23:37:50Z</dcterms:modified>
</cp:coreProperties>
</file>