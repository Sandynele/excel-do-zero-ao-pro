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yPC\Documents\Excel - Data Driven\Modulo 5\Aula 2 - Gantt\"/>
    </mc:Choice>
  </mc:AlternateContent>
  <xr:revisionPtr revIDLastSave="0" documentId="13_ncr:1_{AF9A63DC-3D96-4BE7-8F91-1ED28FAB6F3C}" xr6:coauthVersionLast="47" xr6:coauthVersionMax="47" xr10:uidLastSave="{00000000-0000-0000-0000-000000000000}"/>
  <bookViews>
    <workbookView xWindow="-120" yWindow="-120" windowWidth="29040" windowHeight="15720" activeTab="1" xr2:uid="{BAD8F015-DDE7-4C0B-8277-C9DC59264C37}"/>
  </bookViews>
  <sheets>
    <sheet name="Gantt - Referencia" sheetId="3" r:id="rId1"/>
    <sheet name="Grafico de Gant - Aul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7" i="5" l="1"/>
  <c r="M27" i="5" s="1"/>
  <c r="I6" i="5"/>
  <c r="I10" i="5"/>
  <c r="G6" i="5"/>
  <c r="G7" i="5"/>
  <c r="I7" i="5" s="1"/>
  <c r="G8" i="5"/>
  <c r="I8" i="5" s="1"/>
  <c r="G9" i="5"/>
  <c r="I9" i="5" s="1"/>
  <c r="G10" i="5"/>
  <c r="G11" i="5"/>
  <c r="I11" i="5" s="1"/>
  <c r="G12" i="5"/>
  <c r="I12" i="5" s="1"/>
  <c r="G13" i="5"/>
  <c r="I13" i="5" s="1"/>
  <c r="G14" i="5"/>
  <c r="I14" i="5" s="1"/>
  <c r="G15" i="5"/>
  <c r="I15" i="5" s="1"/>
  <c r="G5" i="5"/>
  <c r="I5" i="5" s="1"/>
  <c r="E8" i="3"/>
  <c r="N30" i="3"/>
  <c r="O30" i="3" s="1"/>
  <c r="G18" i="3"/>
  <c r="I18" i="3" s="1"/>
  <c r="G19" i="3"/>
  <c r="I19" i="3" s="1"/>
  <c r="G20" i="3"/>
  <c r="I20" i="3" s="1"/>
  <c r="G21" i="3"/>
  <c r="I21" i="3" s="1"/>
  <c r="G22" i="3"/>
  <c r="I22" i="3" s="1"/>
  <c r="G23" i="3"/>
  <c r="I23" i="3" s="1"/>
  <c r="G24" i="3"/>
  <c r="I24" i="3" s="1"/>
  <c r="G25" i="3"/>
  <c r="I25" i="3" s="1"/>
  <c r="G26" i="3"/>
  <c r="I26" i="3" s="1"/>
  <c r="F7" i="3"/>
  <c r="E9" i="3" l="1"/>
  <c r="F9" i="3" s="1"/>
  <c r="G9" i="3" s="1"/>
  <c r="I9" i="3" s="1"/>
  <c r="F8" i="3"/>
  <c r="G8" i="3" s="1"/>
  <c r="I8" i="3" s="1"/>
  <c r="G7" i="3"/>
  <c r="I7" i="3" s="1"/>
  <c r="E10" i="3"/>
  <c r="F10" i="3" l="1"/>
  <c r="E11" i="3"/>
  <c r="G10" i="3" l="1"/>
  <c r="I10" i="3" s="1"/>
  <c r="E12" i="3"/>
  <c r="F11" i="3"/>
  <c r="E13" i="3" l="1"/>
  <c r="F12" i="3"/>
  <c r="G11" i="3"/>
  <c r="I11" i="3" s="1"/>
  <c r="G12" i="3" l="1"/>
  <c r="I12" i="3" s="1"/>
  <c r="E14" i="3"/>
  <c r="F13" i="3"/>
  <c r="F14" i="3" l="1"/>
  <c r="G14" i="3" s="1"/>
  <c r="I14" i="3" s="1"/>
  <c r="E15" i="3"/>
  <c r="G13" i="3"/>
  <c r="I13" i="3" s="1"/>
  <c r="E16" i="3" l="1"/>
  <c r="F15" i="3"/>
  <c r="G15" i="3" s="1"/>
  <c r="I15" i="3" s="1"/>
  <c r="E17" i="3" l="1"/>
  <c r="F17" i="3" s="1"/>
  <c r="G17" i="3" s="1"/>
  <c r="I17" i="3" s="1"/>
  <c r="F16" i="3"/>
  <c r="G16" i="3" s="1"/>
  <c r="I16" i="3" s="1"/>
</calcChain>
</file>

<file path=xl/sharedStrings.xml><?xml version="1.0" encoding="utf-8"?>
<sst xmlns="http://schemas.openxmlformats.org/spreadsheetml/2006/main" count="68" uniqueCount="31">
  <si>
    <t>Nome do Projeto</t>
  </si>
  <si>
    <t>Insira o nome</t>
  </si>
  <si>
    <t>Atividade</t>
  </si>
  <si>
    <t>Responsável</t>
  </si>
  <si>
    <t>Início</t>
  </si>
  <si>
    <t>Fim</t>
  </si>
  <si>
    <t>Carmen</t>
  </si>
  <si>
    <t>Ronaldo</t>
  </si>
  <si>
    <t>Arnaldo</t>
  </si>
  <si>
    <t>Luana</t>
  </si>
  <si>
    <t>%Progresso</t>
  </si>
  <si>
    <t>Ação 1.1</t>
  </si>
  <si>
    <t>Ação 1.2</t>
  </si>
  <si>
    <t>Ação 1.3</t>
  </si>
  <si>
    <t>Ação 1.4</t>
  </si>
  <si>
    <t>Ação 2.1</t>
  </si>
  <si>
    <t>Ação 2.2</t>
  </si>
  <si>
    <t>Ação 2.3</t>
  </si>
  <si>
    <t>Ação 2.4</t>
  </si>
  <si>
    <t>Duração</t>
  </si>
  <si>
    <t>Dias completos</t>
  </si>
  <si>
    <t>Fase</t>
  </si>
  <si>
    <t>Ação 3.1</t>
  </si>
  <si>
    <t>Ação 3.2</t>
  </si>
  <si>
    <t>Ação 3.3</t>
  </si>
  <si>
    <t>Eixo Y</t>
  </si>
  <si>
    <t>Hoje</t>
  </si>
  <si>
    <t>Adicionar o Nome</t>
  </si>
  <si>
    <t>Suporte Y</t>
  </si>
  <si>
    <t>Progresso</t>
  </si>
  <si>
    <t>Dias Completados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</si>
</sst>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/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/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0" fillId="0" borderId="5" xfId="0" applyBorder="1" applyAlignment="1">
      <alignment horizontal="right" indent="1"/>
    </xf>
    <xf numFmtId="0" fontId="0" fillId="0" borderId="2" xfId="0" applyBorder="1" applyAlignment="1">
      <alignment horizontal="right" indent="1"/>
    </xf>
    <xf numFmtId="0" fontId="0" fillId="0" borderId="6" xfId="0" applyBorder="1" applyAlignment="1">
      <alignment horizontal="right" indent="1"/>
    </xf>
    <xf numFmtId="0" fontId="0" fillId="0" borderId="3" xfId="0" applyBorder="1" applyAlignment="1">
      <alignment horizontal="right" indent="1"/>
    </xf>
    <xf numFmtId="1" fontId="2" fillId="3" borderId="2" xfId="0" applyNumberFormat="1" applyFont="1" applyFill="1" applyBorder="1" applyAlignment="1">
      <alignment horizontal="center"/>
    </xf>
    <xf numFmtId="9" fontId="0" fillId="0" borderId="2" xfId="1" applyFont="1" applyBorder="1" applyAlignment="1">
      <alignment horizontal="center"/>
    </xf>
    <xf numFmtId="9" fontId="0" fillId="0" borderId="3" xfId="1" applyFont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0" fontId="0" fillId="2" borderId="6" xfId="0" applyFill="1" applyBorder="1" applyAlignment="1">
      <alignment horizontal="right" indent="1"/>
    </xf>
    <xf numFmtId="0" fontId="0" fillId="4" borderId="6" xfId="0" applyFill="1" applyBorder="1" applyAlignment="1">
      <alignment horizontal="right" indent="1"/>
    </xf>
    <xf numFmtId="0" fontId="6" fillId="0" borderId="0" xfId="0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2"/>
    <xf numFmtId="0" fontId="5" fillId="0" borderId="0" xfId="0" applyFont="1" applyAlignment="1">
      <alignment horizontal="center" vertical="center"/>
    </xf>
    <xf numFmtId="0" fontId="9" fillId="0" borderId="0" xfId="0" applyFont="1"/>
    <xf numFmtId="0" fontId="6" fillId="0" borderId="0" xfId="0" applyFont="1" applyAlignment="1">
      <alignment horizontal="center"/>
    </xf>
    <xf numFmtId="0" fontId="0" fillId="0" borderId="7" xfId="0" applyBorder="1"/>
    <xf numFmtId="0" fontId="10" fillId="5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right" indent="2"/>
    </xf>
    <xf numFmtId="9" fontId="0" fillId="0" borderId="7" xfId="1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15" fontId="0" fillId="0" borderId="7" xfId="0" applyNumberFormat="1" applyBorder="1" applyAlignment="1">
      <alignment horizontal="center"/>
    </xf>
    <xf numFmtId="0" fontId="0" fillId="0" borderId="10" xfId="0" applyBorder="1"/>
    <xf numFmtId="14" fontId="0" fillId="0" borderId="8" xfId="0" applyNumberFormat="1" applyBorder="1"/>
    <xf numFmtId="14" fontId="0" fillId="0" borderId="11" xfId="0" applyNumberFormat="1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6" borderId="7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7" xfId="0" applyFill="1" applyBorder="1" applyAlignment="1">
      <alignment horizontal="center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- Referencia'!$E$6</c:f>
              <c:strCache>
                <c:ptCount val="1"/>
                <c:pt idx="0">
                  <c:v>Início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'Gantt - Referencia'!$I$7:$I$17</c:f>
                <c:numCache>
                  <c:formatCode>General</c:formatCode>
                  <c:ptCount val="11"/>
                  <c:pt idx="0">
                    <c:v>4</c:v>
                  </c:pt>
                  <c:pt idx="1">
                    <c:v>3</c:v>
                  </c:pt>
                  <c:pt idx="2">
                    <c:v>2.4000000000000004</c:v>
                  </c:pt>
                  <c:pt idx="3">
                    <c:v>5.5</c:v>
                  </c:pt>
                  <c:pt idx="4">
                    <c:v>3.75</c:v>
                  </c:pt>
                  <c:pt idx="5">
                    <c:v>5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1150" cap="flat" cmpd="sng" algn="ctr">
                <a:solidFill>
                  <a:srgbClr val="00B050"/>
                </a:solidFill>
                <a:round/>
              </a:ln>
              <a:effectLst/>
            </c:spPr>
          </c:errBars>
          <c:cat>
            <c:strRef>
              <c:f>'Gantt - Referencia'!$C$7:$C$17</c:f>
              <c:strCache>
                <c:ptCount val="11"/>
                <c:pt idx="0">
                  <c:v>Ação 1.1</c:v>
                </c:pt>
                <c:pt idx="1">
                  <c:v>Ação 1.2</c:v>
                </c:pt>
                <c:pt idx="2">
                  <c:v>Ação 1.3</c:v>
                </c:pt>
                <c:pt idx="3">
                  <c:v>Ação 1.4</c:v>
                </c:pt>
                <c:pt idx="4">
                  <c:v>Ação 2.1</c:v>
                </c:pt>
                <c:pt idx="5">
                  <c:v>Ação 2.2</c:v>
                </c:pt>
                <c:pt idx="6">
                  <c:v>Ação 2.3</c:v>
                </c:pt>
                <c:pt idx="7">
                  <c:v>Ação 2.4</c:v>
                </c:pt>
                <c:pt idx="8">
                  <c:v>Ação 3.1</c:v>
                </c:pt>
                <c:pt idx="9">
                  <c:v>Ação 3.2</c:v>
                </c:pt>
                <c:pt idx="10">
                  <c:v>Ação 3.3</c:v>
                </c:pt>
              </c:strCache>
            </c:strRef>
          </c:cat>
          <c:val>
            <c:numRef>
              <c:f>'Gantt - Referencia'!$E$7:$E$17</c:f>
              <c:numCache>
                <c:formatCode>d\-mmm\-yy</c:formatCode>
                <c:ptCount val="11"/>
                <c:pt idx="0">
                  <c:v>45056</c:v>
                </c:pt>
                <c:pt idx="1">
                  <c:v>45069</c:v>
                </c:pt>
                <c:pt idx="2">
                  <c:v>45070</c:v>
                </c:pt>
                <c:pt idx="3">
                  <c:v>45076</c:v>
                </c:pt>
                <c:pt idx="4">
                  <c:v>45084</c:v>
                </c:pt>
                <c:pt idx="5">
                  <c:v>45094</c:v>
                </c:pt>
                <c:pt idx="6">
                  <c:v>45104</c:v>
                </c:pt>
                <c:pt idx="7">
                  <c:v>45114</c:v>
                </c:pt>
                <c:pt idx="8">
                  <c:v>45118</c:v>
                </c:pt>
                <c:pt idx="9">
                  <c:v>45125</c:v>
                </c:pt>
                <c:pt idx="10">
                  <c:v>45135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5-4063-9D48-6EB562DE7163}"/>
            </c:ext>
          </c:extLst>
        </c:ser>
        <c:ser>
          <c:idx val="1"/>
          <c:order val="1"/>
          <c:tx>
            <c:strRef>
              <c:f>'Gantt - Referencia'!$G$6</c:f>
              <c:strCache>
                <c:ptCount val="1"/>
                <c:pt idx="0">
                  <c:v>Duração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6D79264-3C53-4B86-84DF-2C21C0AA22C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4A5-4063-9D48-6EB562DE716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85EB65-5E8E-42AF-819D-11EAF832356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A5-4063-9D48-6EB562DE716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F152D9F-A531-479C-B3EE-2FAAB234200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4A5-4063-9D48-6EB562DE716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65E5A8-44A5-4AA1-9D19-8DF46453BC37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4A5-4063-9D48-6EB562DE716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D2275A4-F73A-42E0-BAFC-FD9DC05B8AC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4A5-4063-9D48-6EB562DE716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1B9394B-4DC4-403A-9B84-CEB2172BED0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4A5-4063-9D48-6EB562DE716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B84C96D-9832-435F-A490-04542721298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4A5-4063-9D48-6EB562DE716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BE638D4-062F-49BF-9B41-020869D8CE68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4A5-4063-9D48-6EB562DE716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701147D-489C-4135-B5D1-AAFC515C4195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4A5-4063-9D48-6EB562DE716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3CA8F03-5EAC-414D-AFAF-8F423281975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4A5-4063-9D48-6EB562DE716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83C4572-2822-4464-BF41-948822DC50E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4A5-4063-9D48-6EB562DE71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'Gantt - Referencia'!$C$7:$C$17</c:f>
              <c:strCache>
                <c:ptCount val="11"/>
                <c:pt idx="0">
                  <c:v>Ação 1.1</c:v>
                </c:pt>
                <c:pt idx="1">
                  <c:v>Ação 1.2</c:v>
                </c:pt>
                <c:pt idx="2">
                  <c:v>Ação 1.3</c:v>
                </c:pt>
                <c:pt idx="3">
                  <c:v>Ação 1.4</c:v>
                </c:pt>
                <c:pt idx="4">
                  <c:v>Ação 2.1</c:v>
                </c:pt>
                <c:pt idx="5">
                  <c:v>Ação 2.2</c:v>
                </c:pt>
                <c:pt idx="6">
                  <c:v>Ação 2.3</c:v>
                </c:pt>
                <c:pt idx="7">
                  <c:v>Ação 2.4</c:v>
                </c:pt>
                <c:pt idx="8">
                  <c:v>Ação 3.1</c:v>
                </c:pt>
                <c:pt idx="9">
                  <c:v>Ação 3.2</c:v>
                </c:pt>
                <c:pt idx="10">
                  <c:v>Ação 3.3</c:v>
                </c:pt>
              </c:strCache>
            </c:strRef>
          </c:cat>
          <c:val>
            <c:numRef>
              <c:f>'Gantt - Referencia'!$G$7:$G$17</c:f>
              <c:numCache>
                <c:formatCode>0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11</c:v>
                </c:pt>
                <c:pt idx="4">
                  <c:v>15</c:v>
                </c:pt>
                <c:pt idx="5">
                  <c:v>10</c:v>
                </c:pt>
                <c:pt idx="6">
                  <c:v>9</c:v>
                </c:pt>
                <c:pt idx="7">
                  <c:v>6</c:v>
                </c:pt>
                <c:pt idx="8">
                  <c:v>9</c:v>
                </c:pt>
                <c:pt idx="9">
                  <c:v>12</c:v>
                </c:pt>
                <c:pt idx="1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'Gantt - Referencia'!$H$7:$H$17</c15:f>
                <c15:dlblRangeCache>
                  <c:ptCount val="11"/>
                  <c:pt idx="0">
                    <c:v>100%</c:v>
                  </c:pt>
                  <c:pt idx="1">
                    <c:v>100%</c:v>
                  </c:pt>
                  <c:pt idx="2">
                    <c:v>80%</c:v>
                  </c:pt>
                  <c:pt idx="3">
                    <c:v>50%</c:v>
                  </c:pt>
                  <c:pt idx="4">
                    <c:v>25%</c:v>
                  </c:pt>
                  <c:pt idx="5">
                    <c:v>50%</c:v>
                  </c:pt>
                  <c:pt idx="6">
                    <c:v>0%</c:v>
                  </c:pt>
                  <c:pt idx="7">
                    <c:v>0%</c:v>
                  </c:pt>
                  <c:pt idx="8">
                    <c:v>0%</c:v>
                  </c:pt>
                  <c:pt idx="9">
                    <c:v>0%</c:v>
                  </c:pt>
                  <c:pt idx="10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4A5-4063-9D48-6EB562DE71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2007510064"/>
        <c:axId val="2007506704"/>
      </c:barChart>
      <c:scatterChart>
        <c:scatterStyle val="lineMarker"/>
        <c:varyColors val="0"/>
        <c:ser>
          <c:idx val="2"/>
          <c:order val="2"/>
          <c:tx>
            <c:strRef>
              <c:f>'Gantt - Referencia'!$M$30</c:f>
              <c:strCache>
                <c:ptCount val="1"/>
                <c:pt idx="0">
                  <c:v>Hoje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'Gantt - Referencia'!$N$30:$O$30</c:f>
              <c:numCache>
                <c:formatCode>dd\-mmm\-yy</c:formatCode>
                <c:ptCount val="2"/>
                <c:pt idx="0">
                  <c:v>46034</c:v>
                </c:pt>
                <c:pt idx="1">
                  <c:v>46034</c:v>
                </c:pt>
              </c:numCache>
            </c:numRef>
          </c:xVal>
          <c:yVal>
            <c:numRef>
              <c:f>'Gantt - Referencia'!$N$31:$O$31</c:f>
              <c:numCache>
                <c:formatCode>General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4A5-4063-9D48-6EB562DE7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20496"/>
        <c:axId val="39804176"/>
      </c:scatterChart>
      <c:catAx>
        <c:axId val="20075100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506704"/>
        <c:crosses val="autoZero"/>
        <c:auto val="1"/>
        <c:lblAlgn val="ctr"/>
        <c:lblOffset val="100"/>
        <c:noMultiLvlLbl val="0"/>
      </c:catAx>
      <c:valAx>
        <c:axId val="2007506704"/>
        <c:scaling>
          <c:orientation val="minMax"/>
          <c:min val="4505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510064"/>
        <c:crosses val="autoZero"/>
        <c:crossBetween val="between"/>
      </c:valAx>
      <c:valAx>
        <c:axId val="39804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39820496"/>
        <c:crosses val="max"/>
        <c:crossBetween val="midCat"/>
      </c:valAx>
      <c:valAx>
        <c:axId val="39820496"/>
        <c:scaling>
          <c:orientation val="minMax"/>
        </c:scaling>
        <c:delete val="1"/>
        <c:axPos val="b"/>
        <c:numFmt formatCode="dd\-mmm\-yy" sourceLinked="1"/>
        <c:majorTickMark val="out"/>
        <c:minorTickMark val="none"/>
        <c:tickLblPos val="nextTo"/>
        <c:crossAx val="3980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'Grafico de Gant - Aula'!$E$4</c:f>
              <c:strCache>
                <c:ptCount val="1"/>
                <c:pt idx="0">
                  <c:v>Início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'Grafico de Gant - Aula'!$I$5:$I$15</c:f>
                <c:numCache>
                  <c:formatCode>General</c:formatCode>
                  <c:ptCount val="11"/>
                  <c:pt idx="0">
                    <c:v>5</c:v>
                  </c:pt>
                  <c:pt idx="1">
                    <c:v>6</c:v>
                  </c:pt>
                  <c:pt idx="2">
                    <c:v>4</c:v>
                  </c:pt>
                  <c:pt idx="3">
                    <c:v>8.4</c:v>
                  </c:pt>
                  <c:pt idx="4">
                    <c:v>9</c:v>
                  </c:pt>
                  <c:pt idx="5">
                    <c:v>4.8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33375" cap="flat" cmpd="sng" algn="ctr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errBars>
          <c:val>
            <c:numRef>
              <c:f>'Grafico de Gant - Aula'!$E$5:$E$15</c:f>
              <c:numCache>
                <c:formatCode>d\-mmm\-yy</c:formatCode>
                <c:ptCount val="11"/>
                <c:pt idx="0">
                  <c:v>46001</c:v>
                </c:pt>
                <c:pt idx="1">
                  <c:v>46010</c:v>
                </c:pt>
                <c:pt idx="2">
                  <c:v>46013</c:v>
                </c:pt>
                <c:pt idx="3">
                  <c:v>46021</c:v>
                </c:pt>
                <c:pt idx="4">
                  <c:v>46029</c:v>
                </c:pt>
                <c:pt idx="5">
                  <c:v>46039</c:v>
                </c:pt>
                <c:pt idx="6">
                  <c:v>46049</c:v>
                </c:pt>
                <c:pt idx="7">
                  <c:v>46060</c:v>
                </c:pt>
                <c:pt idx="8">
                  <c:v>46064</c:v>
                </c:pt>
                <c:pt idx="9">
                  <c:v>46071</c:v>
                </c:pt>
                <c:pt idx="10">
                  <c:v>46081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5-483E-8B2E-7585ED1589BE}"/>
            </c:ext>
          </c:extLst>
        </c:ser>
        <c:ser>
          <c:idx val="1"/>
          <c:order val="1"/>
          <c:tx>
            <c:strRef>
              <c:f>'Grafico de Gant - Aula'!$G$4</c:f>
              <c:strCache>
                <c:ptCount val="1"/>
                <c:pt idx="0">
                  <c:v>Duração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6042984-99E7-4925-A836-E8E5E83B5E2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EB5-483E-8B2E-7585ED1589B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36D2BA2-4798-49C7-AD93-A6FA9F98579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EB5-483E-8B2E-7585ED1589B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F903EF-DD95-45B2-92D7-F6977336287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EB5-483E-8B2E-7585ED1589B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98DF57F-1226-4B57-9771-B9793318C92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EB5-483E-8B2E-7585ED1589B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91A27FD-3F91-4EF4-A4A3-BDD63C69B9D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EB5-483E-8B2E-7585ED1589B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6C84952-29C4-4AB2-B420-9DCD444D0B7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EB5-483E-8B2E-7585ED1589B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396EEDF-A77F-4AF4-B179-E8AAFC02618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EB5-483E-8B2E-7585ED1589B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684ECE6-EEBB-4F26-AC53-2B9B5531F53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EB5-483E-8B2E-7585ED1589B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4372EAA-3ACB-4243-9348-0D876332658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EB5-483E-8B2E-7585ED1589B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07EF1BD-ADB3-4284-BC04-BE8C4634F9F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EB5-483E-8B2E-7585ED1589B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E7D9295-5750-4812-8387-9595F7C6A47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EB5-483E-8B2E-7585ED1589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'Grafico de Gant - Aula'!$G$5:$G$15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14</c:v>
                </c:pt>
                <c:pt idx="4">
                  <c:v>20</c:v>
                </c:pt>
                <c:pt idx="5">
                  <c:v>16</c:v>
                </c:pt>
                <c:pt idx="6">
                  <c:v>11</c:v>
                </c:pt>
                <c:pt idx="7">
                  <c:v>7</c:v>
                </c:pt>
                <c:pt idx="8">
                  <c:v>10</c:v>
                </c:pt>
                <c:pt idx="9">
                  <c:v>12</c:v>
                </c:pt>
                <c:pt idx="10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'Grafico de Gant - Aula'!$H$5:$H$15</c15:f>
                <c15:dlblRangeCache>
                  <c:ptCount val="11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60%</c:v>
                  </c:pt>
                  <c:pt idx="4">
                    <c:v>45%</c:v>
                  </c:pt>
                  <c:pt idx="5">
                    <c:v>30%</c:v>
                  </c:pt>
                  <c:pt idx="6">
                    <c:v>0%</c:v>
                  </c:pt>
                  <c:pt idx="7">
                    <c:v>0%</c:v>
                  </c:pt>
                  <c:pt idx="8">
                    <c:v>0%</c:v>
                  </c:pt>
                  <c:pt idx="9">
                    <c:v>0%</c:v>
                  </c:pt>
                  <c:pt idx="10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AEB5-483E-8B2E-7585ED1589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838947775"/>
        <c:axId val="838955455"/>
      </c:barChart>
      <c:scatterChart>
        <c:scatterStyle val="lineMarker"/>
        <c:varyColors val="0"/>
        <c:ser>
          <c:idx val="2"/>
          <c:order val="2"/>
          <c:tx>
            <c:strRef>
              <c:f>'Grafico de Gant - Aula'!$K$27</c:f>
              <c:strCache>
                <c:ptCount val="1"/>
                <c:pt idx="0">
                  <c:v>Hoje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AEB5-483E-8B2E-7585ED1589BE}"/>
              </c:ext>
            </c:extLst>
          </c:dPt>
          <c:xVal>
            <c:numRef>
              <c:f>'Grafico de Gant - Aula'!$L$27:$M$27</c:f>
              <c:numCache>
                <c:formatCode>m/d/yyyy</c:formatCode>
                <c:ptCount val="2"/>
                <c:pt idx="0">
                  <c:v>46034</c:v>
                </c:pt>
                <c:pt idx="1">
                  <c:v>46034</c:v>
                </c:pt>
              </c:numCache>
            </c:numRef>
          </c:xVal>
          <c:yVal>
            <c:numRef>
              <c:f>'Grafico de Gant - Aula'!$L$28:$M$28</c:f>
              <c:numCache>
                <c:formatCode>General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EB5-483E-8B2E-7585ED158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410479"/>
        <c:axId val="896417199"/>
      </c:scatterChart>
      <c:catAx>
        <c:axId val="838947775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8955455"/>
        <c:crosses val="autoZero"/>
        <c:auto val="1"/>
        <c:lblAlgn val="ctr"/>
        <c:lblOffset val="100"/>
        <c:noMultiLvlLbl val="0"/>
      </c:catAx>
      <c:valAx>
        <c:axId val="838955455"/>
        <c:scaling>
          <c:orientation val="minMax"/>
          <c:min val="4600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8947775"/>
        <c:crosses val="autoZero"/>
        <c:crossBetween val="between"/>
      </c:valAx>
      <c:valAx>
        <c:axId val="8964171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410479"/>
        <c:crosses val="max"/>
        <c:crossBetween val="midCat"/>
      </c:valAx>
      <c:valAx>
        <c:axId val="89641047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9641719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91109</xdr:colOff>
      <xdr:row>4</xdr:row>
      <xdr:rowOff>372718</xdr:rowOff>
    </xdr:from>
    <xdr:to>
      <xdr:col>22</xdr:col>
      <xdr:colOff>21036</xdr:colOff>
      <xdr:row>26</xdr:row>
      <xdr:rowOff>20375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F5C1EE-F8D6-5B52-07DE-12E25AF55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104776</xdr:colOff>
      <xdr:row>3</xdr:row>
      <xdr:rowOff>23812</xdr:rowOff>
    </xdr:from>
    <xdr:to>
      <xdr:col>27</xdr:col>
      <xdr:colOff>295276</xdr:colOff>
      <xdr:row>24</xdr:row>
      <xdr:rowOff>47626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0B6A6E-7F16-2617-614C-0AF9CC3AA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3DE1-AAF5-4EF2-B8C0-0E301365819D}">
  <dimension ref="B3:O37"/>
  <sheetViews>
    <sheetView showGridLines="0" zoomScale="115" zoomScaleNormal="115" workbookViewId="0">
      <selection activeCell="B7" sqref="B7:F17"/>
    </sheetView>
  </sheetViews>
  <sheetFormatPr defaultRowHeight="15" x14ac:dyDescent="0.25"/>
  <cols>
    <col min="1" max="1" width="3.7109375" customWidth="1"/>
    <col min="2" max="2" width="5.7109375" bestFit="1" customWidth="1"/>
    <col min="3" max="3" width="15.7109375" style="1" customWidth="1"/>
    <col min="4" max="4" width="15.28515625" bestFit="1" customWidth="1"/>
    <col min="5" max="6" width="11" style="1" customWidth="1"/>
    <col min="7" max="7" width="9.7109375" bestFit="1" customWidth="1"/>
    <col min="8" max="8" width="14" style="1" bestFit="1" customWidth="1"/>
    <col min="9" max="9" width="17.42578125" customWidth="1"/>
    <col min="13" max="13" width="11.85546875" bestFit="1" customWidth="1"/>
    <col min="14" max="15" width="10" bestFit="1" customWidth="1"/>
  </cols>
  <sheetData>
    <row r="3" spans="2:9" s="3" customFormat="1" x14ac:dyDescent="0.25">
      <c r="F3" s="2"/>
      <c r="H3" s="2"/>
    </row>
    <row r="4" spans="2:9" s="3" customFormat="1" x14ac:dyDescent="0.25">
      <c r="F4" s="2"/>
      <c r="H4" s="2"/>
    </row>
    <row r="5" spans="2:9" s="3" customFormat="1" ht="43.9" customHeight="1" x14ac:dyDescent="0.25">
      <c r="C5" s="8" t="s">
        <v>0</v>
      </c>
      <c r="D5" s="24" t="s">
        <v>1</v>
      </c>
      <c r="E5" s="24"/>
      <c r="F5" s="24"/>
      <c r="H5" s="9"/>
    </row>
    <row r="6" spans="2:9" ht="18.75" x14ac:dyDescent="0.25">
      <c r="B6" s="6" t="s">
        <v>21</v>
      </c>
      <c r="C6" s="6" t="s">
        <v>2</v>
      </c>
      <c r="D6" s="5" t="s">
        <v>3</v>
      </c>
      <c r="E6" s="5" t="s">
        <v>4</v>
      </c>
      <c r="F6" s="5" t="s">
        <v>5</v>
      </c>
      <c r="G6" s="5" t="s">
        <v>19</v>
      </c>
      <c r="H6" s="5" t="s">
        <v>10</v>
      </c>
      <c r="I6" s="5" t="s">
        <v>20</v>
      </c>
    </row>
    <row r="7" spans="2:9" x14ac:dyDescent="0.25">
      <c r="B7" s="18">
        <v>1</v>
      </c>
      <c r="C7" s="10" t="s">
        <v>11</v>
      </c>
      <c r="D7" s="11" t="s">
        <v>6</v>
      </c>
      <c r="E7" s="17">
        <v>45056</v>
      </c>
      <c r="F7" s="17">
        <f>E7+5</f>
        <v>45061</v>
      </c>
      <c r="G7" s="14">
        <f>IF(F7="","",NETWORKDAYS(E7,F7))</f>
        <v>4</v>
      </c>
      <c r="H7" s="15">
        <v>1</v>
      </c>
      <c r="I7" s="14">
        <f>IFERROR(G7*H7,"")</f>
        <v>4</v>
      </c>
    </row>
    <row r="8" spans="2:9" x14ac:dyDescent="0.25">
      <c r="B8" s="18">
        <v>1</v>
      </c>
      <c r="C8" s="12" t="s">
        <v>12</v>
      </c>
      <c r="D8" s="13" t="s">
        <v>7</v>
      </c>
      <c r="E8" s="17">
        <f>F7+8</f>
        <v>45069</v>
      </c>
      <c r="F8" s="17">
        <f>E8+2</f>
        <v>45071</v>
      </c>
      <c r="G8" s="14">
        <f>IF(F8="","",NETWORKDAYS(E8,F8))</f>
        <v>3</v>
      </c>
      <c r="H8" s="16">
        <v>1</v>
      </c>
      <c r="I8" s="14">
        <f t="shared" ref="I8:I26" si="0">IFERROR(G8*H8,"")</f>
        <v>3</v>
      </c>
    </row>
    <row r="9" spans="2:9" x14ac:dyDescent="0.25">
      <c r="B9" s="18">
        <v>1</v>
      </c>
      <c r="C9" s="12" t="s">
        <v>13</v>
      </c>
      <c r="D9" s="13" t="s">
        <v>8</v>
      </c>
      <c r="E9" s="17">
        <f>E8+1</f>
        <v>45070</v>
      </c>
      <c r="F9" s="17">
        <f>E9+2</f>
        <v>45072</v>
      </c>
      <c r="G9" s="14">
        <f>IF(F9="","",NETWORKDAYS(E9,F9))</f>
        <v>3</v>
      </c>
      <c r="H9" s="16">
        <v>0.8</v>
      </c>
      <c r="I9" s="14">
        <f t="shared" si="0"/>
        <v>2.4000000000000004</v>
      </c>
    </row>
    <row r="10" spans="2:9" x14ac:dyDescent="0.25">
      <c r="B10" s="18">
        <v>1</v>
      </c>
      <c r="C10" s="12" t="s">
        <v>14</v>
      </c>
      <c r="D10" s="13" t="s">
        <v>9</v>
      </c>
      <c r="E10" s="17">
        <f>E8+7</f>
        <v>45076</v>
      </c>
      <c r="F10" s="17">
        <f>E10+14</f>
        <v>45090</v>
      </c>
      <c r="G10" s="14">
        <f t="shared" ref="G10:G26" si="1">IF(F10="","",NETWORKDAYS(E10,F10))</f>
        <v>11</v>
      </c>
      <c r="H10" s="16">
        <v>0.5</v>
      </c>
      <c r="I10" s="14">
        <f t="shared" si="0"/>
        <v>5.5</v>
      </c>
    </row>
    <row r="11" spans="2:9" x14ac:dyDescent="0.25">
      <c r="B11" s="19">
        <v>2</v>
      </c>
      <c r="C11" s="10" t="s">
        <v>15</v>
      </c>
      <c r="D11" s="13" t="s">
        <v>8</v>
      </c>
      <c r="E11" s="17">
        <f>E10+8</f>
        <v>45084</v>
      </c>
      <c r="F11" s="17">
        <f>E11+20</f>
        <v>45104</v>
      </c>
      <c r="G11" s="14">
        <f t="shared" si="1"/>
        <v>15</v>
      </c>
      <c r="H11" s="16">
        <v>0.25</v>
      </c>
      <c r="I11" s="14">
        <f t="shared" si="0"/>
        <v>3.75</v>
      </c>
    </row>
    <row r="12" spans="2:9" x14ac:dyDescent="0.25">
      <c r="B12" s="19">
        <v>2</v>
      </c>
      <c r="C12" s="12" t="s">
        <v>16</v>
      </c>
      <c r="D12" s="13" t="s">
        <v>7</v>
      </c>
      <c r="E12" s="17">
        <f>E11+10</f>
        <v>45094</v>
      </c>
      <c r="F12" s="17">
        <f>E12+15</f>
        <v>45109</v>
      </c>
      <c r="G12" s="14">
        <f t="shared" si="1"/>
        <v>10</v>
      </c>
      <c r="H12" s="16">
        <v>0.5</v>
      </c>
      <c r="I12" s="14">
        <f t="shared" si="0"/>
        <v>5</v>
      </c>
    </row>
    <row r="13" spans="2:9" x14ac:dyDescent="0.25">
      <c r="B13" s="19">
        <v>2</v>
      </c>
      <c r="C13" s="12" t="s">
        <v>17</v>
      </c>
      <c r="D13" s="13" t="s">
        <v>9</v>
      </c>
      <c r="E13" s="17">
        <f>E12+10</f>
        <v>45104</v>
      </c>
      <c r="F13" s="17">
        <f>E13+10</f>
        <v>45114</v>
      </c>
      <c r="G13" s="14">
        <f t="shared" si="1"/>
        <v>9</v>
      </c>
      <c r="H13" s="16">
        <v>0</v>
      </c>
      <c r="I13" s="14">
        <f t="shared" si="0"/>
        <v>0</v>
      </c>
    </row>
    <row r="14" spans="2:9" x14ac:dyDescent="0.25">
      <c r="B14" s="19">
        <v>2</v>
      </c>
      <c r="C14" s="12" t="s">
        <v>18</v>
      </c>
      <c r="D14" s="13" t="s">
        <v>6</v>
      </c>
      <c r="E14" s="17">
        <f>E13+10</f>
        <v>45114</v>
      </c>
      <c r="F14" s="17">
        <f>E14+7</f>
        <v>45121</v>
      </c>
      <c r="G14" s="14">
        <f t="shared" si="1"/>
        <v>6</v>
      </c>
      <c r="H14" s="16">
        <v>0</v>
      </c>
      <c r="I14" s="14">
        <f t="shared" si="0"/>
        <v>0</v>
      </c>
    </row>
    <row r="15" spans="2:9" x14ac:dyDescent="0.25">
      <c r="B15" s="18">
        <v>3</v>
      </c>
      <c r="C15" s="10" t="s">
        <v>22</v>
      </c>
      <c r="D15" s="13" t="s">
        <v>9</v>
      </c>
      <c r="E15" s="17">
        <f>E14+4</f>
        <v>45118</v>
      </c>
      <c r="F15" s="17">
        <f>E15+10</f>
        <v>45128</v>
      </c>
      <c r="G15" s="14">
        <f t="shared" si="1"/>
        <v>9</v>
      </c>
      <c r="H15" s="16">
        <v>0</v>
      </c>
      <c r="I15" s="14">
        <f t="shared" si="0"/>
        <v>0</v>
      </c>
    </row>
    <row r="16" spans="2:9" x14ac:dyDescent="0.25">
      <c r="B16" s="18">
        <v>3</v>
      </c>
      <c r="C16" s="12" t="s">
        <v>23</v>
      </c>
      <c r="D16" s="13" t="s">
        <v>8</v>
      </c>
      <c r="E16" s="17">
        <f>E15+7</f>
        <v>45125</v>
      </c>
      <c r="F16" s="17">
        <f>E16+15</f>
        <v>45140</v>
      </c>
      <c r="G16" s="14">
        <f t="shared" si="1"/>
        <v>12</v>
      </c>
      <c r="H16" s="16">
        <v>0</v>
      </c>
      <c r="I16" s="14">
        <f t="shared" si="0"/>
        <v>0</v>
      </c>
    </row>
    <row r="17" spans="2:15" x14ac:dyDescent="0.25">
      <c r="B17" s="18">
        <v>3</v>
      </c>
      <c r="C17" s="12" t="s">
        <v>24</v>
      </c>
      <c r="D17" s="13" t="s">
        <v>6</v>
      </c>
      <c r="E17" s="17">
        <f>E16+10</f>
        <v>45135</v>
      </c>
      <c r="F17" s="17">
        <f>E17+7</f>
        <v>45142</v>
      </c>
      <c r="G17" s="14">
        <f t="shared" si="1"/>
        <v>6</v>
      </c>
      <c r="H17" s="16">
        <v>0</v>
      </c>
      <c r="I17" s="14">
        <f t="shared" si="0"/>
        <v>0</v>
      </c>
    </row>
    <row r="18" spans="2:15" x14ac:dyDescent="0.25">
      <c r="B18" s="18"/>
      <c r="C18" s="12"/>
      <c r="D18" s="13"/>
      <c r="E18" s="17"/>
      <c r="F18" s="17"/>
      <c r="G18" s="14" t="str">
        <f t="shared" si="1"/>
        <v/>
      </c>
      <c r="H18" s="16"/>
      <c r="I18" s="14" t="str">
        <f t="shared" si="0"/>
        <v/>
      </c>
    </row>
    <row r="19" spans="2:15" x14ac:dyDescent="0.25">
      <c r="B19" s="18"/>
      <c r="C19" s="12"/>
      <c r="D19" s="13"/>
      <c r="E19" s="17"/>
      <c r="F19" s="17"/>
      <c r="G19" s="14" t="str">
        <f t="shared" si="1"/>
        <v/>
      </c>
      <c r="H19" s="16"/>
      <c r="I19" s="14" t="str">
        <f t="shared" si="0"/>
        <v/>
      </c>
    </row>
    <row r="20" spans="2:15" x14ac:dyDescent="0.25">
      <c r="B20" s="18"/>
      <c r="C20" s="12"/>
      <c r="D20" s="13"/>
      <c r="E20" s="17"/>
      <c r="F20" s="17"/>
      <c r="G20" s="14" t="str">
        <f t="shared" si="1"/>
        <v/>
      </c>
      <c r="H20" s="16"/>
      <c r="I20" s="14" t="str">
        <f t="shared" si="0"/>
        <v/>
      </c>
    </row>
    <row r="21" spans="2:15" x14ac:dyDescent="0.25">
      <c r="B21" s="18"/>
      <c r="C21" s="12"/>
      <c r="D21" s="13"/>
      <c r="E21" s="17"/>
      <c r="F21" s="17"/>
      <c r="G21" s="14" t="str">
        <f t="shared" si="1"/>
        <v/>
      </c>
      <c r="H21" s="16"/>
      <c r="I21" s="14" t="str">
        <f t="shared" si="0"/>
        <v/>
      </c>
    </row>
    <row r="22" spans="2:15" x14ac:dyDescent="0.25">
      <c r="B22" s="18"/>
      <c r="C22" s="10"/>
      <c r="D22" s="11"/>
      <c r="E22" s="17"/>
      <c r="F22" s="17"/>
      <c r="G22" s="14" t="str">
        <f t="shared" si="1"/>
        <v/>
      </c>
      <c r="H22" s="16"/>
      <c r="I22" s="14" t="str">
        <f t="shared" si="0"/>
        <v/>
      </c>
    </row>
    <row r="23" spans="2:15" x14ac:dyDescent="0.25">
      <c r="B23" s="18"/>
      <c r="C23" s="12"/>
      <c r="D23" s="13"/>
      <c r="E23" s="17"/>
      <c r="F23" s="17"/>
      <c r="G23" s="14" t="str">
        <f t="shared" si="1"/>
        <v/>
      </c>
      <c r="H23" s="16"/>
      <c r="I23" s="14" t="str">
        <f t="shared" si="0"/>
        <v/>
      </c>
    </row>
    <row r="24" spans="2:15" x14ac:dyDescent="0.25">
      <c r="B24" s="18"/>
      <c r="C24" s="12"/>
      <c r="D24" s="13"/>
      <c r="E24" s="17"/>
      <c r="F24" s="17"/>
      <c r="G24" s="14" t="str">
        <f t="shared" si="1"/>
        <v/>
      </c>
      <c r="H24" s="16"/>
      <c r="I24" s="14" t="str">
        <f t="shared" si="0"/>
        <v/>
      </c>
    </row>
    <row r="25" spans="2:15" x14ac:dyDescent="0.25">
      <c r="B25" s="18"/>
      <c r="C25" s="12"/>
      <c r="D25" s="13"/>
      <c r="E25" s="17"/>
      <c r="F25" s="17"/>
      <c r="G25" s="14" t="str">
        <f t="shared" si="1"/>
        <v/>
      </c>
      <c r="H25" s="16"/>
      <c r="I25" s="14" t="str">
        <f t="shared" si="0"/>
        <v/>
      </c>
    </row>
    <row r="26" spans="2:15" x14ac:dyDescent="0.25">
      <c r="B26" s="18"/>
      <c r="C26" s="12"/>
      <c r="D26" s="13"/>
      <c r="E26" s="17"/>
      <c r="F26" s="17"/>
      <c r="G26" s="14" t="str">
        <f t="shared" si="1"/>
        <v/>
      </c>
      <c r="H26" s="16"/>
      <c r="I26" s="14" t="str">
        <f t="shared" si="0"/>
        <v/>
      </c>
    </row>
    <row r="27" spans="2:15" x14ac:dyDescent="0.25">
      <c r="C27" s="7"/>
      <c r="D27" s="4"/>
      <c r="E27" s="7"/>
      <c r="F27" s="7"/>
      <c r="G27" s="4"/>
      <c r="H27" s="7"/>
    </row>
    <row r="30" spans="2:15" x14ac:dyDescent="0.25">
      <c r="M30" s="22" t="s">
        <v>26</v>
      </c>
      <c r="N30" s="21">
        <f ca="1">TODAY()</f>
        <v>46034</v>
      </c>
      <c r="O30" s="21">
        <f ca="1">N30</f>
        <v>46034</v>
      </c>
    </row>
    <row r="31" spans="2:15" x14ac:dyDescent="0.25">
      <c r="M31" s="22" t="s">
        <v>25</v>
      </c>
      <c r="N31" s="20">
        <v>0</v>
      </c>
      <c r="O31" s="20">
        <v>9</v>
      </c>
    </row>
    <row r="36" spans="2:2" x14ac:dyDescent="0.25">
      <c r="B36" s="23"/>
    </row>
    <row r="37" spans="2:2" x14ac:dyDescent="0.25">
      <c r="B37" s="23"/>
    </row>
  </sheetData>
  <mergeCells count="1">
    <mergeCell ref="D5:F5"/>
  </mergeCells>
  <conditionalFormatting sqref="H7:H2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{68A09D91-13E1-4599-BEED-54899C023304}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F14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A09D91-13E1-4599-BEED-54899C0233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H7:H26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F849-5B46-4CB5-99E4-075A0D1DDF03}">
  <dimension ref="B2:M40"/>
  <sheetViews>
    <sheetView tabSelected="1" zoomScale="80" zoomScaleNormal="80" workbookViewId="0">
      <selection activeCell="P34" sqref="P34"/>
    </sheetView>
  </sheetViews>
  <sheetFormatPr defaultRowHeight="15" x14ac:dyDescent="0.25"/>
  <cols>
    <col min="3" max="3" width="20.28515625" bestFit="1" customWidth="1"/>
    <col min="4" max="4" width="17.28515625" bestFit="1" customWidth="1"/>
    <col min="5" max="5" width="11.140625" customWidth="1"/>
    <col min="6" max="6" width="12.85546875" customWidth="1"/>
    <col min="7" max="7" width="11.42578125" bestFit="1" customWidth="1"/>
    <col min="8" max="8" width="13.42578125" bestFit="1" customWidth="1"/>
    <col min="9" max="9" width="23.7109375" bestFit="1" customWidth="1"/>
    <col min="11" max="11" width="10.28515625" bestFit="1" customWidth="1"/>
    <col min="12" max="13" width="11.5703125" bestFit="1" customWidth="1"/>
  </cols>
  <sheetData>
    <row r="2" spans="2:9" ht="18.75" x14ac:dyDescent="0.3">
      <c r="C2" s="25" t="s">
        <v>0</v>
      </c>
      <c r="D2" s="26" t="s">
        <v>27</v>
      </c>
    </row>
    <row r="4" spans="2:9" ht="21" x14ac:dyDescent="0.35">
      <c r="B4" s="28" t="s">
        <v>21</v>
      </c>
      <c r="C4" s="28" t="s">
        <v>2</v>
      </c>
      <c r="D4" s="28" t="s">
        <v>3</v>
      </c>
      <c r="E4" s="28" t="s">
        <v>4</v>
      </c>
      <c r="F4" s="28" t="s">
        <v>5</v>
      </c>
      <c r="G4" s="28" t="s">
        <v>19</v>
      </c>
      <c r="H4" s="28" t="s">
        <v>29</v>
      </c>
      <c r="I4" s="28" t="s">
        <v>30</v>
      </c>
    </row>
    <row r="5" spans="2:9" x14ac:dyDescent="0.25">
      <c r="B5" s="41">
        <v>1</v>
      </c>
      <c r="C5" s="30" t="s">
        <v>11</v>
      </c>
      <c r="D5" s="29" t="s">
        <v>6</v>
      </c>
      <c r="E5" s="34">
        <v>46001</v>
      </c>
      <c r="F5" s="34">
        <v>46006</v>
      </c>
      <c r="G5" s="32">
        <f>F5-E5</f>
        <v>5</v>
      </c>
      <c r="H5" s="31">
        <v>1</v>
      </c>
      <c r="I5" s="33">
        <f>IFERROR(G5*H5,0)</f>
        <v>5</v>
      </c>
    </row>
    <row r="6" spans="2:9" x14ac:dyDescent="0.25">
      <c r="B6" s="41">
        <v>1</v>
      </c>
      <c r="C6" s="30" t="s">
        <v>12</v>
      </c>
      <c r="D6" s="29" t="s">
        <v>7</v>
      </c>
      <c r="E6" s="34">
        <v>46010</v>
      </c>
      <c r="F6" s="34">
        <v>46016</v>
      </c>
      <c r="G6" s="32">
        <f t="shared" ref="G6:G15" si="0">F6-E6</f>
        <v>6</v>
      </c>
      <c r="H6" s="31">
        <v>1</v>
      </c>
      <c r="I6" s="33">
        <f t="shared" ref="I6:I15" si="1">IFERROR(G6*H6,0)</f>
        <v>6</v>
      </c>
    </row>
    <row r="7" spans="2:9" x14ac:dyDescent="0.25">
      <c r="B7" s="41">
        <v>1</v>
      </c>
      <c r="C7" s="30" t="s">
        <v>13</v>
      </c>
      <c r="D7" s="29" t="s">
        <v>8</v>
      </c>
      <c r="E7" s="34">
        <v>46013</v>
      </c>
      <c r="F7" s="34">
        <v>46017</v>
      </c>
      <c r="G7" s="32">
        <f t="shared" si="0"/>
        <v>4</v>
      </c>
      <c r="H7" s="31">
        <v>1</v>
      </c>
      <c r="I7" s="33">
        <f t="shared" si="1"/>
        <v>4</v>
      </c>
    </row>
    <row r="8" spans="2:9" x14ac:dyDescent="0.25">
      <c r="B8" s="41">
        <v>1</v>
      </c>
      <c r="C8" s="30" t="s">
        <v>14</v>
      </c>
      <c r="D8" s="29" t="s">
        <v>9</v>
      </c>
      <c r="E8" s="34">
        <v>46021</v>
      </c>
      <c r="F8" s="34">
        <v>46035</v>
      </c>
      <c r="G8" s="32">
        <f t="shared" si="0"/>
        <v>14</v>
      </c>
      <c r="H8" s="31">
        <v>0.6</v>
      </c>
      <c r="I8" s="33">
        <f t="shared" si="1"/>
        <v>8.4</v>
      </c>
    </row>
    <row r="9" spans="2:9" x14ac:dyDescent="0.25">
      <c r="B9" s="42">
        <v>2</v>
      </c>
      <c r="C9" s="30" t="s">
        <v>15</v>
      </c>
      <c r="D9" s="29" t="s">
        <v>8</v>
      </c>
      <c r="E9" s="34">
        <v>46029</v>
      </c>
      <c r="F9" s="34">
        <v>46049</v>
      </c>
      <c r="G9" s="32">
        <f t="shared" si="0"/>
        <v>20</v>
      </c>
      <c r="H9" s="31">
        <v>0.45</v>
      </c>
      <c r="I9" s="33">
        <f t="shared" si="1"/>
        <v>9</v>
      </c>
    </row>
    <row r="10" spans="2:9" x14ac:dyDescent="0.25">
      <c r="B10" s="42">
        <v>2</v>
      </c>
      <c r="C10" s="30" t="s">
        <v>16</v>
      </c>
      <c r="D10" s="29" t="s">
        <v>7</v>
      </c>
      <c r="E10" s="34">
        <v>46039</v>
      </c>
      <c r="F10" s="34">
        <v>46055</v>
      </c>
      <c r="G10" s="32">
        <f t="shared" si="0"/>
        <v>16</v>
      </c>
      <c r="H10" s="31">
        <v>0.3</v>
      </c>
      <c r="I10" s="33">
        <f t="shared" si="1"/>
        <v>4.8</v>
      </c>
    </row>
    <row r="11" spans="2:9" x14ac:dyDescent="0.25">
      <c r="B11" s="42">
        <v>2</v>
      </c>
      <c r="C11" s="30" t="s">
        <v>17</v>
      </c>
      <c r="D11" s="29" t="s">
        <v>9</v>
      </c>
      <c r="E11" s="34">
        <v>46049</v>
      </c>
      <c r="F11" s="34">
        <v>46060</v>
      </c>
      <c r="G11" s="32">
        <f t="shared" si="0"/>
        <v>11</v>
      </c>
      <c r="H11" s="31">
        <v>0</v>
      </c>
      <c r="I11" s="33">
        <f t="shared" si="1"/>
        <v>0</v>
      </c>
    </row>
    <row r="12" spans="2:9" x14ac:dyDescent="0.25">
      <c r="B12" s="42">
        <v>2</v>
      </c>
      <c r="C12" s="30" t="s">
        <v>18</v>
      </c>
      <c r="D12" s="29" t="s">
        <v>6</v>
      </c>
      <c r="E12" s="34">
        <v>46060</v>
      </c>
      <c r="F12" s="34">
        <v>46067</v>
      </c>
      <c r="G12" s="32">
        <f t="shared" si="0"/>
        <v>7</v>
      </c>
      <c r="H12" s="31">
        <v>0</v>
      </c>
      <c r="I12" s="33">
        <f t="shared" si="1"/>
        <v>0</v>
      </c>
    </row>
    <row r="13" spans="2:9" x14ac:dyDescent="0.25">
      <c r="B13" s="43">
        <v>3</v>
      </c>
      <c r="C13" s="30" t="s">
        <v>22</v>
      </c>
      <c r="D13" s="29" t="s">
        <v>9</v>
      </c>
      <c r="E13" s="34">
        <v>46064</v>
      </c>
      <c r="F13" s="34">
        <v>46074</v>
      </c>
      <c r="G13" s="32">
        <f t="shared" si="0"/>
        <v>10</v>
      </c>
      <c r="H13" s="31">
        <v>0</v>
      </c>
      <c r="I13" s="33">
        <f t="shared" si="1"/>
        <v>0</v>
      </c>
    </row>
    <row r="14" spans="2:9" x14ac:dyDescent="0.25">
      <c r="B14" s="43">
        <v>3</v>
      </c>
      <c r="C14" s="30" t="s">
        <v>23</v>
      </c>
      <c r="D14" s="29" t="s">
        <v>8</v>
      </c>
      <c r="E14" s="34">
        <v>46071</v>
      </c>
      <c r="F14" s="34">
        <v>46083</v>
      </c>
      <c r="G14" s="32">
        <f t="shared" si="0"/>
        <v>12</v>
      </c>
      <c r="H14" s="31">
        <v>0</v>
      </c>
      <c r="I14" s="33">
        <f t="shared" si="1"/>
        <v>0</v>
      </c>
    </row>
    <row r="15" spans="2:9" x14ac:dyDescent="0.25">
      <c r="B15" s="43">
        <v>3</v>
      </c>
      <c r="C15" s="30" t="s">
        <v>24</v>
      </c>
      <c r="D15" s="29" t="s">
        <v>6</v>
      </c>
      <c r="E15" s="34">
        <v>46081</v>
      </c>
      <c r="F15" s="34">
        <v>46085</v>
      </c>
      <c r="G15" s="32">
        <f t="shared" si="0"/>
        <v>4</v>
      </c>
      <c r="H15" s="31">
        <v>0</v>
      </c>
      <c r="I15" s="33">
        <f t="shared" si="1"/>
        <v>0</v>
      </c>
    </row>
    <row r="16" spans="2:9" x14ac:dyDescent="0.25">
      <c r="B16" s="27"/>
      <c r="C16" s="27"/>
      <c r="D16" s="27"/>
      <c r="E16" s="27"/>
      <c r="F16" s="27"/>
      <c r="G16" s="27"/>
      <c r="H16" s="27"/>
      <c r="I16" s="27"/>
    </row>
    <row r="17" spans="2:13" x14ac:dyDescent="0.25">
      <c r="B17" s="27"/>
      <c r="C17" s="27"/>
      <c r="D17" s="27"/>
      <c r="E17" s="27"/>
      <c r="F17" s="27"/>
      <c r="G17" s="27"/>
      <c r="H17" s="27"/>
      <c r="I17" s="27"/>
    </row>
    <row r="18" spans="2:13" x14ac:dyDescent="0.25">
      <c r="B18" s="27"/>
      <c r="C18" s="27"/>
      <c r="D18" s="27"/>
      <c r="E18" s="27"/>
      <c r="F18" s="27"/>
      <c r="G18" s="27"/>
      <c r="H18" s="27"/>
      <c r="I18" s="27"/>
    </row>
    <row r="19" spans="2:13" x14ac:dyDescent="0.25">
      <c r="B19" s="27"/>
      <c r="C19" s="27"/>
      <c r="D19" s="27"/>
      <c r="E19" s="27"/>
      <c r="F19" s="27"/>
      <c r="G19" s="27"/>
      <c r="H19" s="27"/>
      <c r="I19" s="27"/>
    </row>
    <row r="20" spans="2:13" x14ac:dyDescent="0.25">
      <c r="B20" s="27"/>
      <c r="C20" s="27"/>
      <c r="D20" s="27"/>
      <c r="E20" s="27"/>
      <c r="F20" s="27"/>
      <c r="G20" s="27"/>
      <c r="H20" s="27"/>
      <c r="I20" s="27"/>
    </row>
    <row r="21" spans="2:13" x14ac:dyDescent="0.25">
      <c r="B21" s="27"/>
      <c r="C21" s="27"/>
      <c r="D21" s="27"/>
      <c r="E21" s="27"/>
      <c r="F21" s="27"/>
      <c r="G21" s="27"/>
      <c r="H21" s="27"/>
      <c r="I21" s="27"/>
    </row>
    <row r="22" spans="2:13" x14ac:dyDescent="0.25">
      <c r="B22" s="27"/>
      <c r="C22" s="27"/>
      <c r="D22" s="27"/>
      <c r="E22" s="27"/>
      <c r="F22" s="27"/>
      <c r="G22" s="27"/>
      <c r="H22" s="27"/>
      <c r="I22" s="27"/>
    </row>
    <row r="23" spans="2:13" x14ac:dyDescent="0.25">
      <c r="B23" s="27"/>
      <c r="C23" s="27"/>
      <c r="D23" s="27"/>
      <c r="E23" s="27"/>
      <c r="F23" s="27"/>
      <c r="G23" s="27"/>
      <c r="H23" s="27"/>
      <c r="I23" s="27"/>
    </row>
    <row r="24" spans="2:13" x14ac:dyDescent="0.25">
      <c r="B24" s="27"/>
      <c r="C24" s="27"/>
      <c r="D24" s="27"/>
      <c r="E24" s="27"/>
      <c r="F24" s="27"/>
      <c r="G24" s="27"/>
      <c r="H24" s="27"/>
      <c r="I24" s="27"/>
    </row>
    <row r="25" spans="2:13" x14ac:dyDescent="0.25">
      <c r="B25" s="27"/>
      <c r="C25" s="27"/>
      <c r="D25" s="27"/>
      <c r="E25" s="27"/>
      <c r="F25" s="27"/>
      <c r="G25" s="27"/>
      <c r="H25" s="27"/>
      <c r="I25" s="27"/>
    </row>
    <row r="26" spans="2:13" x14ac:dyDescent="0.25">
      <c r="B26" s="27"/>
      <c r="C26" s="27"/>
      <c r="D26" s="27"/>
      <c r="E26" s="27"/>
      <c r="F26" s="27"/>
      <c r="G26" s="27"/>
      <c r="H26" s="27"/>
      <c r="I26" s="27"/>
    </row>
    <row r="27" spans="2:13" x14ac:dyDescent="0.25">
      <c r="B27" s="27"/>
      <c r="C27" s="27"/>
      <c r="D27" s="27"/>
      <c r="E27" s="27"/>
      <c r="F27" s="27"/>
      <c r="G27" s="27"/>
      <c r="H27" s="27"/>
      <c r="I27" s="27"/>
      <c r="K27" s="35" t="s">
        <v>26</v>
      </c>
      <c r="L27" s="36">
        <f ca="1">TODAY()</f>
        <v>46034</v>
      </c>
      <c r="M27" s="37">
        <f ca="1">L27</f>
        <v>46034</v>
      </c>
    </row>
    <row r="28" spans="2:13" x14ac:dyDescent="0.25">
      <c r="B28" s="27"/>
      <c r="C28" s="27"/>
      <c r="D28" s="27"/>
      <c r="E28" s="27"/>
      <c r="F28" s="27"/>
      <c r="G28" s="27"/>
      <c r="H28" s="27"/>
      <c r="I28" s="27"/>
      <c r="K28" s="38" t="s">
        <v>28</v>
      </c>
      <c r="L28" s="39">
        <v>0</v>
      </c>
      <c r="M28" s="40">
        <v>9</v>
      </c>
    </row>
    <row r="29" spans="2:13" x14ac:dyDescent="0.25">
      <c r="B29" s="27"/>
      <c r="C29" s="27"/>
      <c r="D29" s="27"/>
      <c r="E29" s="27"/>
      <c r="F29" s="27"/>
      <c r="G29" s="27"/>
      <c r="H29" s="27"/>
      <c r="I29" s="27"/>
    </row>
    <row r="30" spans="2:13" x14ac:dyDescent="0.25">
      <c r="B30" s="27"/>
      <c r="C30" s="27"/>
      <c r="D30" s="27"/>
      <c r="E30" s="27"/>
      <c r="F30" s="27"/>
      <c r="G30" s="27"/>
      <c r="H30" s="27"/>
      <c r="I30" s="27"/>
    </row>
    <row r="31" spans="2:13" x14ac:dyDescent="0.25">
      <c r="B31" s="27"/>
      <c r="C31" s="27"/>
      <c r="D31" s="27"/>
      <c r="E31" s="27"/>
      <c r="F31" s="27"/>
      <c r="G31" s="27"/>
      <c r="H31" s="27"/>
      <c r="I31" s="27"/>
    </row>
    <row r="32" spans="2:13" x14ac:dyDescent="0.25">
      <c r="B32" s="27"/>
      <c r="C32" s="27"/>
      <c r="D32" s="27"/>
      <c r="E32" s="27"/>
      <c r="F32" s="27"/>
      <c r="G32" s="27"/>
      <c r="H32" s="27"/>
      <c r="I32" s="27"/>
    </row>
    <row r="33" spans="2:9" x14ac:dyDescent="0.25">
      <c r="B33" s="27"/>
      <c r="C33" s="27"/>
      <c r="D33" s="27"/>
      <c r="E33" s="27"/>
      <c r="F33" s="27"/>
      <c r="G33" s="27"/>
      <c r="H33" s="27"/>
      <c r="I33" s="27"/>
    </row>
    <row r="34" spans="2:9" x14ac:dyDescent="0.25">
      <c r="B34" s="27"/>
      <c r="C34" s="27"/>
      <c r="D34" s="27"/>
      <c r="E34" s="27"/>
      <c r="F34" s="27"/>
      <c r="G34" s="27"/>
      <c r="H34" s="27"/>
      <c r="I34" s="27"/>
    </row>
    <row r="35" spans="2:9" x14ac:dyDescent="0.25">
      <c r="B35" s="27"/>
      <c r="C35" s="27"/>
      <c r="D35" s="27"/>
      <c r="E35" s="27"/>
      <c r="F35" s="27"/>
      <c r="G35" s="27"/>
      <c r="H35" s="27"/>
      <c r="I35" s="27"/>
    </row>
    <row r="36" spans="2:9" x14ac:dyDescent="0.25">
      <c r="B36" s="27"/>
      <c r="C36" s="27"/>
      <c r="D36" s="27"/>
      <c r="E36" s="27"/>
      <c r="F36" s="27"/>
      <c r="G36" s="27"/>
      <c r="H36" s="27"/>
      <c r="I36" s="27"/>
    </row>
    <row r="37" spans="2:9" x14ac:dyDescent="0.25">
      <c r="B37" s="27"/>
      <c r="C37" s="27"/>
      <c r="D37" s="27"/>
      <c r="E37" s="27"/>
      <c r="F37" s="27"/>
      <c r="G37" s="27"/>
      <c r="H37" s="27"/>
      <c r="I37" s="27"/>
    </row>
    <row r="38" spans="2:9" x14ac:dyDescent="0.25">
      <c r="B38" s="27"/>
      <c r="C38" s="27"/>
      <c r="D38" s="27"/>
      <c r="E38" s="27"/>
      <c r="F38" s="27"/>
      <c r="G38" s="27"/>
      <c r="H38" s="27"/>
      <c r="I38" s="27"/>
    </row>
    <row r="39" spans="2:9" x14ac:dyDescent="0.25">
      <c r="B39" s="27"/>
      <c r="C39" s="27"/>
      <c r="D39" s="27"/>
      <c r="E39" s="27"/>
      <c r="F39" s="27"/>
      <c r="G39" s="27"/>
      <c r="H39" s="27"/>
      <c r="I39" s="27"/>
    </row>
    <row r="40" spans="2:9" x14ac:dyDescent="0.25">
      <c r="B40" s="27"/>
      <c r="C40" s="27"/>
      <c r="D40" s="27"/>
      <c r="E40" s="27"/>
      <c r="F40" s="27"/>
      <c r="G40" s="27"/>
      <c r="H40" s="27"/>
      <c r="I40" s="27"/>
    </row>
  </sheetData>
  <conditionalFormatting sqref="H5:H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{261C47F2-D0BC-40A4-9595-CBC1C8EF8F93}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1C47F2-D0BC-40A4-9595-CBC1C8EF8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H5:H15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45C2F8-9288-474D-99B4-DCB210E5A2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1BBE05-D1D2-4413-ABFC-53C098D79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Gantt - Referencia</vt:lpstr>
      <vt:lpstr>Grafico de Gant - Aula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Cléber Neves de Freitas</dc:creator>
  <cp:lastModifiedBy>Sandynele Dias</cp:lastModifiedBy>
  <dcterms:created xsi:type="dcterms:W3CDTF">2023-06-09T22:49:23Z</dcterms:created>
  <dcterms:modified xsi:type="dcterms:W3CDTF">2026-01-12T23:21:52Z</dcterms:modified>
</cp:coreProperties>
</file>